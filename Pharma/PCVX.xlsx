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Vaxcyte, Inc.</t>
        </is>
      </c>
      <c r="C2" s="10" t="n"/>
    </row>
    <row r="3">
      <c r="B3" t="inlineStr">
        <is>
          <t>Price</t>
        </is>
      </c>
      <c r="C3" s="11">
        <f>INDEX([1]Pharma!$F$1:$F$1000,MATCH("PCVX",[1]Pharma!$B$1:$B$1000,0))</f>
        <v>66.23</v>
      </c>
      <c r="F3" s="1" t="n"/>
    </row>
    <row r="4">
      <c r="B4" t="inlineStr">
        <is>
          <t>Shares</t>
        </is>
      </c>
      <c r="C4" s="21" t="n">
        <v>148.805278</v>
      </c>
      <c r="F4" s="1" t="n"/>
    </row>
    <row r="5">
      <c r="B5" t="inlineStr">
        <is>
          <t>Market Cap.</t>
        </is>
      </c>
      <c r="C5" s="13">
        <f>C3*C4</f>
        <v>9855.37356194</v>
      </c>
      <c r="F5" s="1" t="n"/>
    </row>
    <row r="6"/>
    <row r="7">
      <c r="B7" t="inlineStr">
        <is>
          <t>Cash</t>
        </is>
      </c>
      <c r="C7" s="21">
        <f>183.19+1303.648</f>
        <v>1486.838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8368.53556194</v>
      </c>
    </row>
    <row r="10"/>
    <row r="11">
      <c r="B11" s="14" t="inlineStr">
        <is>
          <t>rNPV / Share</t>
        </is>
      </c>
      <c r="C11" s="11">
        <f>NPV!B27</f>
        <v>15.897805318070404</v>
      </c>
    </row>
    <row r="12">
      <c r="B12" s="14" t="inlineStr">
        <is>
          <t>Upside</t>
        </is>
      </c>
      <c r="C12" s="15">
        <f>IFERROR(C11/C3-1,"")</f>
        <v>-0.7599606625687694</v>
      </c>
    </row>
    <row r="13">
      <c r="B13" s="14" t="inlineStr">
        <is>
          <t>Cash / Share</t>
        </is>
      </c>
      <c r="C13" s="11">
        <f>IFERROR((C7-C8)/C4,"")</f>
        <v>9.99183644547877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-881.2329999999999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1.6872246046164863</v>
      </c>
    </row>
    <row r="19">
      <c r="B19" s="14" t="inlineStr">
        <is>
          <t>Implied Pipeline Value</t>
        </is>
      </c>
      <c r="C19" s="13">
        <f>C9</f>
        <v>8368.53556194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1" t="n"/>
      <c r="K4" s="1" t="n"/>
    </row>
    <row r="5">
      <c r="A5" s="2" t="inlineStr">
        <is>
          <t>Research &amp; Dev.</t>
        </is>
      </c>
      <c r="B5" s="23" t="n">
        <v>30.145</v>
      </c>
      <c r="C5" s="23" t="n">
        <v>45.607</v>
      </c>
      <c r="D5" s="23" t="n">
        <v>73.56399999999999</v>
      </c>
      <c r="E5" s="23" t="n">
        <v>78.411</v>
      </c>
      <c r="F5" s="23" t="n">
        <v>169.451</v>
      </c>
      <c r="G5" s="23" t="n">
        <v>332.341</v>
      </c>
      <c r="H5" s="23" t="n">
        <v>476.644</v>
      </c>
      <c r="I5" s="23" t="n">
        <v>794.306</v>
      </c>
      <c r="J5" s="1" t="n"/>
      <c r="K5" s="1" t="n"/>
    </row>
    <row r="6">
      <c r="A6" s="19" t="inlineStr">
        <is>
          <t>SG&amp;A &amp; Other</t>
        </is>
      </c>
      <c r="B6" s="23" t="n">
        <v>5.388</v>
      </c>
      <c r="C6" s="23" t="n">
        <v>8.545999999999999</v>
      </c>
      <c r="D6" s="23" t="n">
        <v>16.017</v>
      </c>
      <c r="E6" s="23" t="n">
        <v>25.259</v>
      </c>
      <c r="F6" s="23" t="n">
        <v>62.805</v>
      </c>
      <c r="G6" s="23" t="n">
        <v>135.7</v>
      </c>
      <c r="H6" s="23" t="n">
        <v>92.902</v>
      </c>
      <c r="I6" s="23" t="n">
        <v>129.369</v>
      </c>
      <c r="J6" s="1" t="n"/>
      <c r="K6" s="1" t="n"/>
    </row>
    <row r="7">
      <c r="A7" s="2" t="inlineStr">
        <is>
          <t>Operating Expense</t>
        </is>
      </c>
      <c r="B7" s="23">
        <f>SUM(B5:B6)</f>
        <v>35.533</v>
      </c>
      <c r="C7" s="23">
        <f>SUM(C5:C6)</f>
        <v>54.153</v>
      </c>
      <c r="D7" s="23">
        <f>SUM(D5:D6)</f>
        <v>89.58099999999999</v>
      </c>
      <c r="E7" s="23">
        <f>SUM(E5:E6)</f>
        <v>103.67</v>
      </c>
      <c r="F7" s="23">
        <f>SUM(F5:F6)</f>
        <v>232.256</v>
      </c>
      <c r="G7" s="23">
        <f>SUM(G5:G6)</f>
        <v>468.041</v>
      </c>
      <c r="H7" s="23">
        <f>SUM(H5:H6)</f>
        <v>569.546</v>
      </c>
      <c r="I7" s="23">
        <f>SUM(I5:I6)</f>
        <v>923.6750000000001</v>
      </c>
      <c r="J7" s="1" t="n"/>
      <c r="K7" s="1" t="n"/>
    </row>
    <row r="8">
      <c r="A8" s="2" t="inlineStr">
        <is>
          <t>Operating Income</t>
        </is>
      </c>
      <c r="B8" s="23">
        <f>B4-B7</f>
        <v>-35.533</v>
      </c>
      <c r="C8" s="23">
        <f>C4-C7</f>
        <v>-54.153</v>
      </c>
      <c r="D8" s="23">
        <f>D4-D7</f>
        <v>-89.58099999999999</v>
      </c>
      <c r="E8" s="23">
        <f>E4-E7</f>
        <v>-103.67</v>
      </c>
      <c r="F8" s="23">
        <f>F4-F7</f>
        <v>-232.256</v>
      </c>
      <c r="G8" s="23">
        <f>G4-G7</f>
        <v>-468.041</v>
      </c>
      <c r="H8" s="23">
        <f>H4-H7</f>
        <v>-569.546</v>
      </c>
      <c r="I8" s="23">
        <f>I4-I7</f>
        <v>-923.6750000000001</v>
      </c>
      <c r="J8" s="1" t="n"/>
      <c r="K8" s="1" t="n"/>
    </row>
    <row r="9">
      <c r="A9" s="19" t="inlineStr">
        <is>
          <t>Interest &amp; Other</t>
        </is>
      </c>
      <c r="B9" s="23" t="n">
        <v>6.048</v>
      </c>
      <c r="C9" s="23" t="n">
        <v>3.879</v>
      </c>
      <c r="D9" s="23" t="n">
        <v>0.364</v>
      </c>
      <c r="E9" s="23" t="n">
        <v>103.57</v>
      </c>
      <c r="F9" s="23" t="n">
        <v>232.033</v>
      </c>
      <c r="G9" s="23" t="n">
        <v>467.639</v>
      </c>
      <c r="H9" s="23" t="n">
        <v>569.082</v>
      </c>
      <c r="I9" s="23" t="n">
        <v>922.908</v>
      </c>
    </row>
    <row r="10">
      <c r="A10" s="2" t="inlineStr">
        <is>
          <t>Pretax</t>
        </is>
      </c>
      <c r="B10" s="23">
        <f>B8+B9</f>
        <v>-29.485</v>
      </c>
      <c r="C10" s="23">
        <f>C8+C9</f>
        <v>-50.274</v>
      </c>
      <c r="D10" s="23">
        <f>D8+D9</f>
        <v>-89.21699999999998</v>
      </c>
      <c r="E10" s="23">
        <f>E8+E9</f>
        <v>-0.10000000000000853</v>
      </c>
      <c r="F10" s="23">
        <f>F8+F9</f>
        <v>-0.2230000000000132</v>
      </c>
      <c r="G10" s="23">
        <f>G8+G9</f>
        <v>-0.4019999999999868</v>
      </c>
      <c r="H10" s="23">
        <f>H8+H9</f>
        <v>-0.4640000000000555</v>
      </c>
      <c r="I10" s="23">
        <f>I8+I9</f>
        <v>-0.7670000000000528</v>
      </c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</row>
    <row r="12">
      <c r="A12" s="2" t="inlineStr">
        <is>
          <t>Net Income</t>
        </is>
      </c>
      <c r="B12" s="23" t="n">
        <v>-29.485</v>
      </c>
      <c r="C12" s="23" t="n">
        <v>-50.274</v>
      </c>
      <c r="D12" s="23" t="n">
        <v>-89.217</v>
      </c>
      <c r="E12" s="23" t="n">
        <v>-0.1</v>
      </c>
      <c r="F12" s="23" t="n">
        <v>-0.223</v>
      </c>
      <c r="G12" s="23" t="n">
        <v>-0.402</v>
      </c>
      <c r="H12" s="23" t="n">
        <v>-0.464</v>
      </c>
      <c r="I12" s="23" t="n">
        <v>-0.767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-8.122589531680442</v>
      </c>
      <c r="C13" s="11">
        <f>IFERROR(C12/C14,0)</f>
        <v>-13.247430830039526</v>
      </c>
      <c r="D13" s="11">
        <f>IFERROR(D12/D14,0)</f>
        <v>-3.0195965612942532</v>
      </c>
      <c r="E13" s="11">
        <f>IFERROR(E12/E14,0)</f>
        <v>-0.0019259658718847503</v>
      </c>
      <c r="F13" s="11">
        <f>IFERROR(F12/F14,0)</f>
        <v>-0.003437220629489195</v>
      </c>
      <c r="G13" s="11">
        <f>IFERROR(G12/G14,0)</f>
        <v>-0.004137590316803557</v>
      </c>
      <c r="H13" s="11">
        <f>IFERROR(H12/H14,0)</f>
        <v>-0.003803372214070838</v>
      </c>
      <c r="I13" s="11">
        <f>IFERROR(I12/I14,0)</f>
        <v>-0.005635976192225733</v>
      </c>
    </row>
    <row r="14">
      <c r="A14" s="2" t="inlineStr">
        <is>
          <t>Shares</t>
        </is>
      </c>
      <c r="B14" s="23" t="n">
        <v>3.63</v>
      </c>
      <c r="C14" s="23" t="n">
        <v>3.795</v>
      </c>
      <c r="D14" s="23" t="n">
        <v>29.546</v>
      </c>
      <c r="E14" s="23" t="n">
        <v>51.922</v>
      </c>
      <c r="F14" s="23" t="n">
        <v>64.878</v>
      </c>
      <c r="G14" s="23" t="n">
        <v>97.158</v>
      </c>
      <c r="H14" s="23" t="n">
        <v>121.997</v>
      </c>
      <c r="I14" s="23" t="n">
        <v>136.09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Vaxcyte,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0.6481128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1165.29</v>
      </c>
    </row>
    <row r="19">
      <c r="A19" s="14" t="inlineStr">
        <is>
          <t>Years of full burn (until the first launch, max 4)</t>
        </is>
      </c>
      <c r="B19" s="39">
        <f>MIN(4,MAX(1,MIN(Pipeline!I4:I5)-2026))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170.9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878.8393399453447</v>
      </c>
      <c r="C29" s="42">
        <f>NPV!B25</f>
        <v>2365.6773399453446</v>
      </c>
      <c r="D29" s="43">
        <f>NPV!B27</f>
        <v>15.897805318070404</v>
      </c>
      <c r="E29" s="44">
        <f>NPV!B29</f>
        <v>-0.7599606625687694</v>
      </c>
    </row>
    <row r="30">
      <c r="A30" s="45" t="n">
        <v>1</v>
      </c>
      <c r="B30" s="46">
        <f t="dataTable" ref="B30:E32" r1="B4"/>
        <v>-1327.5767204282106</v>
      </c>
      <c r="C30" s="46">
        <v>159.26127957178937</v>
      </c>
      <c r="D30" s="47">
        <v>1.0702663353902635</v>
      </c>
      <c r="E30" s="48">
        <v>-0.9838401580040728</v>
      </c>
    </row>
    <row r="31">
      <c r="A31" s="45" t="n">
        <v>2</v>
      </c>
      <c r="B31" s="46">
        <v>878.8393399453447</v>
      </c>
      <c r="C31" s="46">
        <v>2365.6773399453446</v>
      </c>
      <c r="D31" s="47">
        <v>15.897805318070404</v>
      </c>
      <c r="E31" s="48">
        <v>-0.7599606625687694</v>
      </c>
    </row>
    <row r="32">
      <c r="A32" s="45" t="n">
        <v>3</v>
      </c>
      <c r="B32" s="46">
        <v>4316.133957194678</v>
      </c>
      <c r="C32" s="46">
        <v>5802.971957194678</v>
      </c>
      <c r="D32" s="47">
        <v>38.99708421091541</v>
      </c>
      <c r="E32" s="48">
        <v>-0.4111870117633186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15.897805318070404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-2.0731689437997343</v>
      </c>
      <c r="C37" s="47">
        <v>2.766946809786456</v>
      </c>
      <c r="D37" s="47">
        <v>7.1796749409841105</v>
      </c>
      <c r="E37" s="47">
        <v>15.746176479209643</v>
      </c>
      <c r="F37" s="47">
        <v>24.174631827678592</v>
      </c>
    </row>
    <row r="38">
      <c r="A38" s="50" t="n">
        <v>0.8</v>
      </c>
      <c r="B38" s="47">
        <v>-0.23912763750833477</v>
      </c>
      <c r="C38" s="47">
        <v>5.765040277668776</v>
      </c>
      <c r="D38" s="47">
        <v>11.533797808513457</v>
      </c>
      <c r="E38" s="47">
        <v>22.816934803948346</v>
      </c>
      <c r="F38" s="47">
        <v>33.98729753078359</v>
      </c>
    </row>
    <row r="39">
      <c r="A39" s="50" t="n">
        <v>1</v>
      </c>
      <c r="B39" s="47">
        <v>1.4243312920678097</v>
      </c>
      <c r="C39" s="47">
        <v>8.772108688992164</v>
      </c>
      <c r="D39" s="47">
        <v>15.897805318070404</v>
      </c>
      <c r="E39" s="47">
        <v>29.931278513456693</v>
      </c>
      <c r="F39" s="47">
        <v>43.83765607064828</v>
      </c>
    </row>
    <row r="40">
      <c r="A40" s="50" t="n">
        <v>1.2</v>
      </c>
      <c r="B40" s="47">
        <v>3.1167726439356067</v>
      </c>
      <c r="C40" s="47">
        <v>11.8206092596606</v>
      </c>
      <c r="D40" s="47">
        <v>20.305298250510777</v>
      </c>
      <c r="E40" s="47">
        <v>37.06933044080656</v>
      </c>
      <c r="F40" s="47">
        <v>53.73767195056391</v>
      </c>
    </row>
    <row r="41">
      <c r="A41" s="50" t="n">
        <v>1.4</v>
      </c>
      <c r="B41" s="47">
        <v>4.851236628719308</v>
      </c>
      <c r="C41" s="47">
        <v>14.904838835544059</v>
      </c>
      <c r="D41" s="47">
        <v>24.763525343765497</v>
      </c>
      <c r="E41" s="47">
        <v>44.27574748926136</v>
      </c>
      <c r="F41" s="47">
        <v>63.67174101454731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Vaxcyte,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Pneumococcal vaccine</t>
        </is>
      </c>
      <c r="C4" s="14" t="inlineStr">
        <is>
          <t>31-valent pneumococcal conjugate vaccine, 20 valent pneumoco</t>
        </is>
      </c>
      <c r="D4" s="14" t="inlineStr">
        <is>
          <t>Phase 3</t>
        </is>
      </c>
      <c r="E4" s="14" t="inlineStr">
        <is>
          <t>Infectious disease / area</t>
        </is>
      </c>
      <c r="F4" s="14" t="inlineStr">
        <is>
          <t>Owned</t>
        </is>
      </c>
      <c r="G4" s="40" t="n">
        <v>6000</v>
      </c>
      <c r="H4" s="27" t="n">
        <v>0.5946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5117.553103933143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356.76</v>
      </c>
      <c r="Q4" s="23">
        <f>IF(Q$3&lt;$I4,0,$G4*Assumptions!$E$11*INDEX(Assumptions!$B$24:$G$24,MIN(6,Q$3-$I4+1))*IF(Q$3&gt;$J4,(1-Assumptions!$B$26)^(Q$3-$J4),1)*IF($H4&gt;=1,1,MIN(0.97,$H4*Assumptions!$E$12)))</f>
        <v>891.9</v>
      </c>
      <c r="R4" s="23">
        <f>IF(R$3&lt;$I4,0,$G4*Assumptions!$E$11*INDEX(Assumptions!$B$24:$G$24,MIN(6,R$3-$I4+1))*IF(R$3&gt;$J4,(1-Assumptions!$B$26)^(R$3-$J4),1)*IF($H4&gt;=1,1,MIN(0.97,$H4*Assumptions!$E$12)))</f>
        <v>1605.42</v>
      </c>
      <c r="S4" s="23">
        <f>IF(S$3&lt;$I4,0,$G4*Assumptions!$E$11*INDEX(Assumptions!$B$24:$G$24,MIN(6,S$3-$I4+1))*IF(S$3&gt;$J4,(1-Assumptions!$B$26)^(S$3-$J4),1)*IF($H4&gt;=1,1,MIN(0.97,$H4*Assumptions!$E$12)))</f>
        <v>2318.94</v>
      </c>
      <c r="T4" s="23">
        <f>IF(T$3&lt;$I4,0,$G4*Assumptions!$E$11*INDEX(Assumptions!$B$24:$G$24,MIN(6,T$3-$I4+1))*IF(T$3&gt;$J4,(1-Assumptions!$B$26)^(T$3-$J4),1)*IF($H4&gt;=1,1,MIN(0.97,$H4*Assumptions!$E$12)))</f>
        <v>3032.46</v>
      </c>
      <c r="U4" s="23">
        <f>IF(U$3&lt;$I4,0,$G4*Assumptions!$E$11*INDEX(Assumptions!$B$24:$G$24,MIN(6,U$3-$I4+1))*IF(U$3&gt;$J4,(1-Assumptions!$B$26)^(U$3-$J4),1)*IF($H4&gt;=1,1,MIN(0.97,$H4*Assumptions!$E$12)))</f>
        <v>3567.6</v>
      </c>
      <c r="V4" s="23">
        <f>IF(V$3&lt;$I4,0,$G4*Assumptions!$E$11*INDEX(Assumptions!$B$24:$G$24,MIN(6,V$3-$I4+1))*IF(V$3&gt;$J4,(1-Assumptions!$B$26)^(V$3-$J4),1)*IF($H4&gt;=1,1,MIN(0.97,$H4*Assumptions!$E$12)))</f>
        <v>3567.6</v>
      </c>
      <c r="W4" s="23">
        <f>IF(W$3&lt;$I4,0,$G4*Assumptions!$E$11*INDEX(Assumptions!$B$24:$G$24,MIN(6,W$3-$I4+1))*IF(W$3&gt;$J4,(1-Assumptions!$B$26)^(W$3-$J4),1)*IF($H4&gt;=1,1,MIN(0.97,$H4*Assumptions!$E$12)))</f>
        <v>3567.6</v>
      </c>
      <c r="X4" s="23">
        <f>IF(X$3&lt;$I4,0,$G4*Assumptions!$E$11*INDEX(Assumptions!$B$24:$G$24,MIN(6,X$3-$I4+1))*IF(X$3&gt;$J4,(1-Assumptions!$B$26)^(X$3-$J4),1)*IF($H4&gt;=1,1,MIN(0.97,$H4*Assumptions!$E$12)))</f>
        <v>3567.6</v>
      </c>
      <c r="Y4" s="23">
        <f>IF(Y$3&lt;$I4,0,$G4*Assumptions!$E$11*INDEX(Assumptions!$B$24:$G$24,MIN(6,Y$3-$I4+1))*IF(Y$3&gt;$J4,(1-Assumptions!$B$26)^(Y$3-$J4),1)*IF($H4&gt;=1,1,MIN(0.97,$H4*Assumptions!$E$12)))</f>
        <v>3567.6</v>
      </c>
      <c r="Z4" s="23">
        <f>IF(Z$3&lt;$I4,0,$G4*Assumptions!$E$11*INDEX(Assumptions!$B$24:$G$24,MIN(6,Z$3-$I4+1))*IF(Z$3&gt;$J4,(1-Assumptions!$B$26)^(Z$3-$J4),1)*IF($H4&gt;=1,1,MIN(0.97,$H4*Assumptions!$E$12)))</f>
        <v>3567.6</v>
      </c>
      <c r="AA4" s="23">
        <f>IF(AA$3&lt;$I4,0,$G4*Assumptions!$E$11*INDEX(Assumptions!$B$24:$G$24,MIN(6,AA$3-$I4+1))*IF(AA$3&gt;$J4,(1-Assumptions!$B$26)^(AA$3-$J4),1)*IF($H4&gt;=1,1,MIN(0.97,$H4*Assumptions!$E$12)))</f>
        <v>3567.6</v>
      </c>
      <c r="AB4" s="23">
        <f>IF(AB$3&lt;$I4,0,$G4*Assumptions!$E$11*INDEX(Assumptions!$B$24:$G$24,MIN(6,AB$3-$I4+1))*IF(AB$3&gt;$J4,(1-Assumptions!$B$26)^(AB$3-$J4),1)*IF($H4&gt;=1,1,MIN(0.97,$H4*Assumptions!$E$12)))</f>
        <v>3567.6</v>
      </c>
      <c r="AC4" s="23">
        <f>IF(AC$3&lt;$I4,0,$G4*Assumptions!$E$11*INDEX(Assumptions!$B$24:$G$24,MIN(6,AC$3-$I4+1))*IF(AC$3&gt;$J4,(1-Assumptions!$B$26)^(AC$3-$J4),1)*IF($H4&gt;=1,1,MIN(0.97,$H4*Assumptions!$E$12)))</f>
        <v>1783.8</v>
      </c>
      <c r="AD4" s="23">
        <f>IF(AD$3&lt;$I4,0,$G4*Assumptions!$E$11*INDEX(Assumptions!$B$24:$G$24,MIN(6,AD$3-$I4+1))*IF(AD$3&gt;$J4,(1-Assumptions!$B$26)^(AD$3-$J4),1)*IF($H4&gt;=1,1,MIN(0.97,$H4*Assumptions!$E$12)))</f>
        <v>891.9</v>
      </c>
      <c r="AE4" s="23">
        <f>IF(AE$3&lt;$I4,0,$G4*Assumptions!$E$11*INDEX(Assumptions!$B$24:$G$24,MIN(6,AE$3-$I4+1))*IF(AE$3&gt;$J4,(1-Assumptions!$B$26)^(AE$3-$J4),1)*IF($H4&gt;=1,1,MIN(0.97,$H4*Assumptions!$E$12)))</f>
        <v>445.95</v>
      </c>
      <c r="AF4" s="23">
        <f>IF(AF$3&lt;$I4,0,$G4*Assumptions!$E$11*INDEX(Assumptions!$B$24:$G$24,MIN(6,AF$3-$I4+1))*IF(AF$3&gt;$J4,(1-Assumptions!$B$26)^(AF$3-$J4),1)*IF($H4&gt;=1,1,MIN(0.97,$H4*Assumptions!$E$12)))</f>
        <v>222.975</v>
      </c>
      <c r="AG4" s="35">
        <f>IF(F4="Owned",1-IF(H4&gt;=1,1,MIN(0.97,H4*Assumptions!$E$12)),1)</f>
        <v>0.4054</v>
      </c>
    </row>
    <row r="5">
      <c r="A5" s="39" t="n">
        <v>2</v>
      </c>
      <c r="B5" s="14" t="inlineStr">
        <is>
          <t>Bacterial / fungal infections</t>
        </is>
      </c>
      <c r="C5" s="14" t="inlineStr">
        <is>
          <t>VAX-A1 Low, VAX-A1 Mid</t>
        </is>
      </c>
      <c r="D5" s="14" t="inlineStr">
        <is>
          <t>Phase 1</t>
        </is>
      </c>
      <c r="E5" s="14" t="inlineStr">
        <is>
          <t>Infectious disease / area</t>
        </is>
      </c>
      <c r="F5" s="14" t="inlineStr">
        <is>
          <t>Owned</t>
        </is>
      </c>
      <c r="G5" s="40" t="n">
        <v>500</v>
      </c>
      <c r="H5" s="27" t="n">
        <v>0.132</v>
      </c>
      <c r="I5" s="26" t="n">
        <v>2033</v>
      </c>
      <c r="J5" s="39">
        <f>I5+Assumptions!$B$25</f>
        <v>2045.0</v>
      </c>
      <c r="K5" s="53">
        <f>Assumptions!$E$13</f>
        <v>0.4</v>
      </c>
      <c r="L5" s="23">
        <f>K5*SUMPRODUCT(M5:AF5,NPV!$C$15:$V$15)</f>
        <v>57.7942946110367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0</v>
      </c>
      <c r="S5" s="23">
        <f>IF(S$3&lt;$I5,0,$G5*Assumptions!$E$11*INDEX(Assumptions!$B$24:$G$24,MIN(6,S$3-$I5+1))*IF(S$3&gt;$J5,(1-Assumptions!$B$26)^(S$3-$J5),1)*IF($H5&gt;=1,1,MIN(0.97,$H5*Assumptions!$E$12)))</f>
        <v>0</v>
      </c>
      <c r="T5" s="23">
        <f>IF(T$3&lt;$I5,0,$G5*Assumptions!$E$11*INDEX(Assumptions!$B$24:$G$24,MIN(6,T$3-$I5+1))*IF(T$3&gt;$J5,(1-Assumptions!$B$26)^(T$3-$J5),1)*IF($H5&gt;=1,1,MIN(0.97,$H5*Assumptions!$E$12)))</f>
        <v>6.6000000000000005</v>
      </c>
      <c r="U5" s="23">
        <f>IF(U$3&lt;$I5,0,$G5*Assumptions!$E$11*INDEX(Assumptions!$B$24:$G$24,MIN(6,U$3-$I5+1))*IF(U$3&gt;$J5,(1-Assumptions!$B$26)^(U$3-$J5),1)*IF($H5&gt;=1,1,MIN(0.97,$H5*Assumptions!$E$12)))</f>
        <v>16.5</v>
      </c>
      <c r="V5" s="23">
        <f>IF(V$3&lt;$I5,0,$G5*Assumptions!$E$11*INDEX(Assumptions!$B$24:$G$24,MIN(6,V$3-$I5+1))*IF(V$3&gt;$J5,(1-Assumptions!$B$26)^(V$3-$J5),1)*IF($H5&gt;=1,1,MIN(0.97,$H5*Assumptions!$E$12)))</f>
        <v>29.700000000000003</v>
      </c>
      <c r="W5" s="23">
        <f>IF(W$3&lt;$I5,0,$G5*Assumptions!$E$11*INDEX(Assumptions!$B$24:$G$24,MIN(6,W$3-$I5+1))*IF(W$3&gt;$J5,(1-Assumptions!$B$26)^(W$3-$J5),1)*IF($H5&gt;=1,1,MIN(0.97,$H5*Assumptions!$E$12)))</f>
        <v>42.9</v>
      </c>
      <c r="X5" s="23">
        <f>IF(X$3&lt;$I5,0,$G5*Assumptions!$E$11*INDEX(Assumptions!$B$24:$G$24,MIN(6,X$3-$I5+1))*IF(X$3&gt;$J5,(1-Assumptions!$B$26)^(X$3-$J5),1)*IF($H5&gt;=1,1,MIN(0.97,$H5*Assumptions!$E$12)))</f>
        <v>56.1</v>
      </c>
      <c r="Y5" s="23">
        <f>IF(Y$3&lt;$I5,0,$G5*Assumptions!$E$11*INDEX(Assumptions!$B$24:$G$24,MIN(6,Y$3-$I5+1))*IF(Y$3&gt;$J5,(1-Assumptions!$B$26)^(Y$3-$J5),1)*IF($H5&gt;=1,1,MIN(0.97,$H5*Assumptions!$E$12)))</f>
        <v>66.0</v>
      </c>
      <c r="Z5" s="23">
        <f>IF(Z$3&lt;$I5,0,$G5*Assumptions!$E$11*INDEX(Assumptions!$B$24:$G$24,MIN(6,Z$3-$I5+1))*IF(Z$3&gt;$J5,(1-Assumptions!$B$26)^(Z$3-$J5),1)*IF($H5&gt;=1,1,MIN(0.97,$H5*Assumptions!$E$12)))</f>
        <v>66.0</v>
      </c>
      <c r="AA5" s="23">
        <f>IF(AA$3&lt;$I5,0,$G5*Assumptions!$E$11*INDEX(Assumptions!$B$24:$G$24,MIN(6,AA$3-$I5+1))*IF(AA$3&gt;$J5,(1-Assumptions!$B$26)^(AA$3-$J5),1)*IF($H5&gt;=1,1,MIN(0.97,$H5*Assumptions!$E$12)))</f>
        <v>66.0</v>
      </c>
      <c r="AB5" s="23">
        <f>IF(AB$3&lt;$I5,0,$G5*Assumptions!$E$11*INDEX(Assumptions!$B$24:$G$24,MIN(6,AB$3-$I5+1))*IF(AB$3&gt;$J5,(1-Assumptions!$B$26)^(AB$3-$J5),1)*IF($H5&gt;=1,1,MIN(0.97,$H5*Assumptions!$E$12)))</f>
        <v>66.0</v>
      </c>
      <c r="AC5" s="23">
        <f>IF(AC$3&lt;$I5,0,$G5*Assumptions!$E$11*INDEX(Assumptions!$B$24:$G$24,MIN(6,AC$3-$I5+1))*IF(AC$3&gt;$J5,(1-Assumptions!$B$26)^(AC$3-$J5),1)*IF($H5&gt;=1,1,MIN(0.97,$H5*Assumptions!$E$12)))</f>
        <v>66.0</v>
      </c>
      <c r="AD5" s="23">
        <f>IF(AD$3&lt;$I5,0,$G5*Assumptions!$E$11*INDEX(Assumptions!$B$24:$G$24,MIN(6,AD$3-$I5+1))*IF(AD$3&gt;$J5,(1-Assumptions!$B$26)^(AD$3-$J5),1)*IF($H5&gt;=1,1,MIN(0.97,$H5*Assumptions!$E$12)))</f>
        <v>66.0</v>
      </c>
      <c r="AE5" s="23">
        <f>IF(AE$3&lt;$I5,0,$G5*Assumptions!$E$11*INDEX(Assumptions!$B$24:$G$24,MIN(6,AE$3-$I5+1))*IF(AE$3&gt;$J5,(1-Assumptions!$B$26)^(AE$3-$J5),1)*IF($H5&gt;=1,1,MIN(0.97,$H5*Assumptions!$E$12)))</f>
        <v>66.0</v>
      </c>
      <c r="AF5" s="23">
        <f>IF(AF$3&lt;$I5,0,$G5*Assumptions!$E$11*INDEX(Assumptions!$B$24:$G$24,MIN(6,AF$3-$I5+1))*IF(AF$3&gt;$J5,(1-Assumptions!$B$26)^(AF$3-$J5),1)*IF($H5&gt;=1,1,MIN(0.97,$H5*Assumptions!$E$12)))</f>
        <v>66.0</v>
      </c>
      <c r="AG5" s="35">
        <f>IF(F5="Owned",1-IF(H5&gt;=1,1,MIN(0.97,H5*Assumptions!$E$12)),1)</f>
        <v>0.868</v>
      </c>
    </row>
    <row r="6">
      <c r="B6" s="24" t="inlineStr">
        <is>
          <t>Risked revenue</t>
        </is>
      </c>
      <c r="L6" s="54">
        <f>SUM(L4:L5)</f>
        <v>5175.34739854418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356.76</v>
      </c>
      <c r="Q6" s="54">
        <f>SUM(Q4:Q5)</f>
        <v>891.9</v>
      </c>
      <c r="R6" s="54">
        <f>SUM(R4:R5)</f>
        <v>1605.42</v>
      </c>
      <c r="S6" s="54">
        <f>SUM(S4:S5)</f>
        <v>2318.94</v>
      </c>
      <c r="T6" s="54">
        <f>SUM(T4:T5)</f>
        <v>3039.06</v>
      </c>
      <c r="U6" s="54">
        <f>SUM(U4:U5)</f>
        <v>3584.1</v>
      </c>
      <c r="V6" s="54">
        <f>SUM(V4:V5)</f>
        <v>3597.2999999999997</v>
      </c>
      <c r="W6" s="54">
        <f>SUM(W4:W5)</f>
        <v>3610.5</v>
      </c>
      <c r="X6" s="54">
        <f>SUM(X4:X5)</f>
        <v>3623.7</v>
      </c>
      <c r="Y6" s="54">
        <f>SUM(Y4:Y5)</f>
        <v>3633.6</v>
      </c>
      <c r="Z6" s="54">
        <f>SUM(Z4:Z5)</f>
        <v>3633.6</v>
      </c>
      <c r="AA6" s="54">
        <f>SUM(AA4:AA5)</f>
        <v>3633.6</v>
      </c>
      <c r="AB6" s="54">
        <f>SUM(AB4:AB5)</f>
        <v>3633.6</v>
      </c>
      <c r="AC6" s="54">
        <f>SUM(AC4:AC5)</f>
        <v>1849.8</v>
      </c>
      <c r="AD6" s="54">
        <f>SUM(AD4:AD5)</f>
        <v>957.9</v>
      </c>
      <c r="AE6" s="54">
        <f>SUM(AE4:AE5)</f>
        <v>511.95</v>
      </c>
      <c r="AF6" s="54">
        <f>SUM(AF4:AF5)</f>
        <v>288.975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142.704</v>
      </c>
      <c r="Q7" s="55">
        <f>SUMPRODUCT(Q4:Q5,$K$4:$K$5)</f>
        <v>356.76</v>
      </c>
      <c r="R7" s="55">
        <f>SUMPRODUCT(R4:R5,$K$4:$K$5)</f>
        <v>642.1680000000001</v>
      </c>
      <c r="S7" s="55">
        <f>SUMPRODUCT(S4:S5,$K$4:$K$5)</f>
        <v>927.576</v>
      </c>
      <c r="T7" s="55">
        <f>SUMPRODUCT(T4:T5,$K$4:$K$5)</f>
        <v>1215.6240000000003</v>
      </c>
      <c r="U7" s="55">
        <f>SUMPRODUCT(U4:U5,$K$4:$K$5)</f>
        <v>1433.6399999999999</v>
      </c>
      <c r="V7" s="55">
        <f>SUMPRODUCT(V4:V5,$K$4:$K$5)</f>
        <v>1438.92</v>
      </c>
      <c r="W7" s="55">
        <f>SUMPRODUCT(W4:W5,$K$4:$K$5)</f>
        <v>1444.2</v>
      </c>
      <c r="X7" s="55">
        <f>SUMPRODUCT(X4:X5,$K$4:$K$5)</f>
        <v>1449.48</v>
      </c>
      <c r="Y7" s="55">
        <f>SUMPRODUCT(Y4:Y5,$K$4:$K$5)</f>
        <v>1453.44</v>
      </c>
      <c r="Z7" s="55">
        <f>SUMPRODUCT(Z4:Z5,$K$4:$K$5)</f>
        <v>1453.44</v>
      </c>
      <c r="AA7" s="55">
        <f>SUMPRODUCT(AA4:AA5,$K$4:$K$5)</f>
        <v>1453.44</v>
      </c>
      <c r="AB7" s="55">
        <f>SUMPRODUCT(AB4:AB5,$K$4:$K$5)</f>
        <v>1453.44</v>
      </c>
      <c r="AC7" s="55">
        <f>SUMPRODUCT(AC4:AC5,$K$4:$K$5)</f>
        <v>739.92</v>
      </c>
      <c r="AD7" s="55">
        <f>SUMPRODUCT(AD4:AD5,$K$4:$K$5)</f>
        <v>383.15999999999997</v>
      </c>
      <c r="AE7" s="55">
        <f>SUMPRODUCT(AE4:AE5,$K$4:$K$5)</f>
        <v>204.78</v>
      </c>
      <c r="AF7" s="55">
        <f>SUMPRODUCT(AF4:AF5,$K$4:$K$5)</f>
        <v>115.59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Vaxcyte,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356.76</v>
      </c>
      <c r="G4" s="57">
        <f>Pipeline!Q6</f>
        <v>891.9</v>
      </c>
      <c r="H4" s="57">
        <f>Pipeline!R6</f>
        <v>1605.42</v>
      </c>
      <c r="I4" s="57">
        <f>Pipeline!S6</f>
        <v>2318.94</v>
      </c>
      <c r="J4" s="57">
        <f>Pipeline!T6</f>
        <v>3039.06</v>
      </c>
      <c r="K4" s="57">
        <f>Pipeline!U6</f>
        <v>3584.1</v>
      </c>
      <c r="L4" s="57">
        <f>Pipeline!V6</f>
        <v>3597.2999999999997</v>
      </c>
      <c r="M4" s="57">
        <f>Pipeline!W6</f>
        <v>3610.5</v>
      </c>
      <c r="N4" s="57">
        <f>Pipeline!X6</f>
        <v>3623.7</v>
      </c>
      <c r="O4" s="57">
        <f>Pipeline!Y6</f>
        <v>3633.6</v>
      </c>
      <c r="P4" s="57">
        <f>Pipeline!Z6</f>
        <v>3633.6</v>
      </c>
      <c r="Q4" s="57">
        <f>Pipeline!AA6</f>
        <v>3633.6</v>
      </c>
      <c r="R4" s="57">
        <f>Pipeline!AB6</f>
        <v>3633.6</v>
      </c>
      <c r="S4" s="57">
        <f>Pipeline!AC6</f>
        <v>1849.8</v>
      </c>
      <c r="T4" s="57">
        <f>Pipeline!AD6</f>
        <v>957.9</v>
      </c>
      <c r="U4" s="57">
        <f>Pipeline!AE6</f>
        <v>511.95</v>
      </c>
      <c r="V4" s="57">
        <f>Pipeline!AF6</f>
        <v>288.975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142.704</v>
      </c>
      <c r="G5" s="57">
        <f>Pipeline!Q7</f>
        <v>356.76</v>
      </c>
      <c r="H5" s="57">
        <f>Pipeline!R7</f>
        <v>642.1680000000001</v>
      </c>
      <c r="I5" s="57">
        <f>Pipeline!S7</f>
        <v>927.576</v>
      </c>
      <c r="J5" s="57">
        <f>Pipeline!T7</f>
        <v>1215.6240000000003</v>
      </c>
      <c r="K5" s="57">
        <f>Pipeline!U7</f>
        <v>1433.6399999999999</v>
      </c>
      <c r="L5" s="57">
        <f>Pipeline!V7</f>
        <v>1438.92</v>
      </c>
      <c r="M5" s="57">
        <f>Pipeline!W7</f>
        <v>1444.2</v>
      </c>
      <c r="N5" s="57">
        <f>Pipeline!X7</f>
        <v>1449.48</v>
      </c>
      <c r="O5" s="57">
        <f>Pipeline!Y7</f>
        <v>1453.44</v>
      </c>
      <c r="P5" s="57">
        <f>Pipeline!Z7</f>
        <v>1453.44</v>
      </c>
      <c r="Q5" s="57">
        <f>Pipeline!AA7</f>
        <v>1453.44</v>
      </c>
      <c r="R5" s="57">
        <f>Pipeline!AB7</f>
        <v>1453.44</v>
      </c>
      <c r="S5" s="57">
        <f>Pipeline!AC7</f>
        <v>739.92</v>
      </c>
      <c r="T5" s="57">
        <f>Pipeline!AD7</f>
        <v>383.15999999999997</v>
      </c>
      <c r="U5" s="57">
        <f>Pipeline!AE7</f>
        <v>204.78</v>
      </c>
      <c r="V5" s="57">
        <f>Pipeline!AF7</f>
        <v>115.59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-1165.29</v>
      </c>
      <c r="D6" s="23">
        <f>-IF(D3-2026&lt;Assumptions!$B$19,Assumptions!$B$18,Assumptions!$B$18*Assumptions!$B$20*Assumptions!$B$16)</f>
        <v>-1165.29</v>
      </c>
      <c r="E6" s="23">
        <f>-IF(E3-2026&lt;Assumptions!$B$19,Assumptions!$B$18,Assumptions!$B$18*Assumptions!$B$20*Assumptions!$B$16)</f>
        <v>-1165.29</v>
      </c>
      <c r="F6" s="23">
        <f>-IF(F3-2026&lt;Assumptions!$B$19,Assumptions!$B$18,Assumptions!$B$18*Assumptions!$B$20*Assumptions!$B$16)</f>
        <v>-226.57180941360002</v>
      </c>
      <c r="G6" s="23">
        <f>-IF(G3-2026&lt;Assumptions!$B$19,Assumptions!$B$18,Assumptions!$B$18*Assumptions!$B$20*Assumptions!$B$16)</f>
        <v>-226.57180941360002</v>
      </c>
      <c r="H6" s="23">
        <f>-IF(H3-2026&lt;Assumptions!$B$19,Assumptions!$B$18,Assumptions!$B$18*Assumptions!$B$20*Assumptions!$B$16)</f>
        <v>-226.57180941360002</v>
      </c>
      <c r="I6" s="23">
        <f>-IF(I3-2026&lt;Assumptions!$B$19,Assumptions!$B$18,Assumptions!$B$18*Assumptions!$B$20*Assumptions!$B$16)</f>
        <v>-226.57180941360002</v>
      </c>
      <c r="J6" s="23">
        <f>-IF(J3-2026&lt;Assumptions!$B$19,Assumptions!$B$18,Assumptions!$B$18*Assumptions!$B$20*Assumptions!$B$16)</f>
        <v>-226.57180941360002</v>
      </c>
      <c r="K6" s="23">
        <f>-IF(K3-2026&lt;Assumptions!$B$19,Assumptions!$B$18,Assumptions!$B$18*Assumptions!$B$20*Assumptions!$B$16)</f>
        <v>-226.57180941360002</v>
      </c>
      <c r="L6" s="23">
        <f>-IF(L3-2026&lt;Assumptions!$B$19,Assumptions!$B$18,Assumptions!$B$18*Assumptions!$B$20*Assumptions!$B$16)</f>
        <v>-226.57180941360002</v>
      </c>
      <c r="M6" s="23">
        <f>-IF(M3-2026&lt;Assumptions!$B$19,Assumptions!$B$18,Assumptions!$B$18*Assumptions!$B$20*Assumptions!$B$16)</f>
        <v>-226.57180941360002</v>
      </c>
      <c r="N6" s="23">
        <f>-IF(N3-2026&lt;Assumptions!$B$19,Assumptions!$B$18,Assumptions!$B$18*Assumptions!$B$20*Assumptions!$B$16)</f>
        <v>-226.57180941360002</v>
      </c>
      <c r="O6" s="23">
        <f>-IF(O3-2026&lt;Assumptions!$B$19,Assumptions!$B$18,Assumptions!$B$18*Assumptions!$B$20*Assumptions!$B$16)</f>
        <v>-226.57180941360002</v>
      </c>
      <c r="P6" s="23">
        <f>-IF(P3-2026&lt;Assumptions!$B$19,Assumptions!$B$18,Assumptions!$B$18*Assumptions!$B$20*Assumptions!$B$16)</f>
        <v>-226.57180941360002</v>
      </c>
      <c r="Q6" s="23">
        <f>-IF(Q3-2026&lt;Assumptions!$B$19,Assumptions!$B$18,Assumptions!$B$18*Assumptions!$B$20*Assumptions!$B$16)</f>
        <v>-226.57180941360002</v>
      </c>
      <c r="R6" s="23">
        <f>-IF(R3-2026&lt;Assumptions!$B$19,Assumptions!$B$18,Assumptions!$B$18*Assumptions!$B$20*Assumptions!$B$16)</f>
        <v>-226.57180941360002</v>
      </c>
      <c r="S6" s="23">
        <f>-IF(S3-2026&lt;Assumptions!$B$19,Assumptions!$B$18,Assumptions!$B$18*Assumptions!$B$20*Assumptions!$B$16)</f>
        <v>-226.57180941360002</v>
      </c>
      <c r="T6" s="23">
        <f>-IF(T3-2026&lt;Assumptions!$B$19,Assumptions!$B$18,Assumptions!$B$18*Assumptions!$B$20*Assumptions!$B$16)</f>
        <v>-226.57180941360002</v>
      </c>
      <c r="U6" s="23">
        <f>-IF(U3-2026&lt;Assumptions!$B$19,Assumptions!$B$18,Assumptions!$B$18*Assumptions!$B$20*Assumptions!$B$16)</f>
        <v>-226.57180941360002</v>
      </c>
      <c r="V6" s="23">
        <f>-IF(V3-2026&lt;Assumptions!$B$19,Assumptions!$B$18,Assumptions!$B$18*Assumptions!$B$20*Assumptions!$B$16)</f>
        <v>-226.57180941360002</v>
      </c>
    </row>
    <row r="7">
      <c r="A7" s="14" t="inlineStr">
        <is>
          <t>Pre-tax cash flow</t>
        </is>
      </c>
      <c r="C7" s="23">
        <f>C5+C6</f>
        <v>-1165.29</v>
      </c>
      <c r="D7" s="23">
        <f>D5+D6</f>
        <v>-1165.29</v>
      </c>
      <c r="E7" s="23">
        <f>E5+E6</f>
        <v>-1165.29</v>
      </c>
      <c r="F7" s="23">
        <f>F5+F6</f>
        <v>-83.86780941360001</v>
      </c>
      <c r="G7" s="23">
        <f>G5+G6</f>
        <v>130.18819058639997</v>
      </c>
      <c r="H7" s="23">
        <f>H5+H6</f>
        <v>415.5961905864001</v>
      </c>
      <c r="I7" s="23">
        <f>I5+I6</f>
        <v>701.0041905864</v>
      </c>
      <c r="J7" s="23">
        <f>J5+J6</f>
        <v>989.0521905864002</v>
      </c>
      <c r="K7" s="23">
        <f>K5+K6</f>
        <v>1207.0681905863999</v>
      </c>
      <c r="L7" s="23">
        <f>L5+L6</f>
        <v>1212.3481905864</v>
      </c>
      <c r="M7" s="23">
        <f>M5+M6</f>
        <v>1217.6281905864</v>
      </c>
      <c r="N7" s="23">
        <f>N5+N6</f>
        <v>1222.9081905864</v>
      </c>
      <c r="O7" s="23">
        <f>O5+O6</f>
        <v>1226.8681905864</v>
      </c>
      <c r="P7" s="23">
        <f>P5+P6</f>
        <v>1226.8681905864</v>
      </c>
      <c r="Q7" s="23">
        <f>Q5+Q6</f>
        <v>1226.8681905864</v>
      </c>
      <c r="R7" s="23">
        <f>R5+R6</f>
        <v>1226.8681905864</v>
      </c>
      <c r="S7" s="23">
        <f>S5+S6</f>
        <v>513.3481905863999</v>
      </c>
      <c r="T7" s="23">
        <f>T5+T6</f>
        <v>156.58819058639995</v>
      </c>
      <c r="U7" s="23">
        <f>U5+U6</f>
        <v>-21.79180941360002</v>
      </c>
      <c r="V7" s="23">
        <f>V5+V6</f>
        <v>-110.98180941360002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130.18819058639997</v>
      </c>
      <c r="H8" s="23">
        <f>MIN(G17,MAX(0,H7))</f>
        <v>415.5961905864001</v>
      </c>
      <c r="I8" s="23">
        <f>MIN(H17,MAX(0,I7))</f>
        <v>701.0041905864</v>
      </c>
      <c r="J8" s="23">
        <f>MIN(I17,MAX(0,J7))</f>
        <v>989.0521905864002</v>
      </c>
      <c r="K8" s="23">
        <f>MIN(J17,MAX(0,K7))</f>
        <v>1207.0681905863999</v>
      </c>
      <c r="L8" s="23">
        <f>MIN(K17,MAX(0,L7))</f>
        <v>307.72885648159945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904.6193341048006</v>
      </c>
      <c r="M9" s="23">
        <f>MAX(0,M7)-M8</f>
        <v>1217.6281905864</v>
      </c>
      <c r="N9" s="23">
        <f>MAX(0,N7)-N8</f>
        <v>1222.9081905864</v>
      </c>
      <c r="O9" s="23">
        <f>MAX(0,O7)-O8</f>
        <v>1226.8681905864</v>
      </c>
      <c r="P9" s="23">
        <f>MAX(0,P7)-P8</f>
        <v>1226.8681905864</v>
      </c>
      <c r="Q9" s="23">
        <f>MAX(0,Q7)-Q8</f>
        <v>1226.8681905864</v>
      </c>
      <c r="R9" s="23">
        <f>MAX(0,R7)-R8</f>
        <v>1226.8681905864</v>
      </c>
      <c r="S9" s="23">
        <f>MAX(0,S7)-S8</f>
        <v>513.3481905863999</v>
      </c>
      <c r="T9" s="23">
        <f>MAX(0,T7)-T8</f>
        <v>156.58819058639995</v>
      </c>
      <c r="U9" s="23">
        <f>MAX(0,U7)-U8</f>
        <v>0.0</v>
      </c>
      <c r="V9" s="23">
        <f>MAX(0,V7)-V8</f>
        <v>0.0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189.9700601620081</v>
      </c>
      <c r="M10" s="23">
        <f>M9*Assumptions!$E$15</f>
        <v>255.701920023144</v>
      </c>
      <c r="N10" s="23">
        <f>N9*Assumptions!$E$15</f>
        <v>256.810720023144</v>
      </c>
      <c r="O10" s="23">
        <f>O9*Assumptions!$E$15</f>
        <v>257.642320023144</v>
      </c>
      <c r="P10" s="23">
        <f>P9*Assumptions!$E$15</f>
        <v>257.642320023144</v>
      </c>
      <c r="Q10" s="23">
        <f>Q9*Assumptions!$E$15</f>
        <v>257.642320023144</v>
      </c>
      <c r="R10" s="23">
        <f>R9*Assumptions!$E$15</f>
        <v>257.642320023144</v>
      </c>
      <c r="S10" s="23">
        <f>S9*Assumptions!$E$15</f>
        <v>107.80312002314399</v>
      </c>
      <c r="T10" s="23">
        <f>T9*Assumptions!$E$15</f>
        <v>32.88352002314399</v>
      </c>
      <c r="U10" s="23">
        <f>U9*Assumptions!$E$15</f>
        <v>0.0</v>
      </c>
      <c r="V10" s="23">
        <f>V9*Assumptions!$E$15</f>
        <v>0.0</v>
      </c>
    </row>
    <row r="11">
      <c r="A11" s="24" t="inlineStr">
        <is>
          <t>Free cash flow</t>
        </is>
      </c>
      <c r="C11" s="55">
        <f>C7-C10</f>
        <v>-1165.29</v>
      </c>
      <c r="D11" s="55">
        <f>D7-D10</f>
        <v>-1165.29</v>
      </c>
      <c r="E11" s="55">
        <f>E7-E10</f>
        <v>-1165.29</v>
      </c>
      <c r="F11" s="55">
        <f>F7-F10</f>
        <v>-83.86780941360001</v>
      </c>
      <c r="G11" s="55">
        <f>G7-G10</f>
        <v>130.18819058639997</v>
      </c>
      <c r="H11" s="55">
        <f>H7-H10</f>
        <v>415.5961905864001</v>
      </c>
      <c r="I11" s="55">
        <f>I7-I10</f>
        <v>701.0041905864</v>
      </c>
      <c r="J11" s="55">
        <f>J7-J10</f>
        <v>989.0521905864002</v>
      </c>
      <c r="K11" s="55">
        <f>K7-K10</f>
        <v>1207.0681905863999</v>
      </c>
      <c r="L11" s="55">
        <f>L7-L10</f>
        <v>1022.3781304243919</v>
      </c>
      <c r="M11" s="55">
        <f>M7-M10</f>
        <v>961.926270563256</v>
      </c>
      <c r="N11" s="55">
        <f>N7-N10</f>
        <v>966.097470563256</v>
      </c>
      <c r="O11" s="55">
        <f>O7-O10</f>
        <v>969.225870563256</v>
      </c>
      <c r="P11" s="55">
        <f>P7-P10</f>
        <v>969.225870563256</v>
      </c>
      <c r="Q11" s="55">
        <f>Q7-Q10</f>
        <v>969.225870563256</v>
      </c>
      <c r="R11" s="55">
        <f>R7-R10</f>
        <v>969.225870563256</v>
      </c>
      <c r="S11" s="55">
        <f>S7-S10</f>
        <v>405.54507056325593</v>
      </c>
      <c r="T11" s="55">
        <f>T7-T10</f>
        <v>123.70467056325596</v>
      </c>
      <c r="U11" s="55">
        <f>U7-U10</f>
        <v>-21.79180941360002</v>
      </c>
      <c r="V11" s="55">
        <f>V7-V10</f>
        <v>-110.98180941360002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-570.8806388632946</v>
      </c>
      <c r="D16" s="55">
        <f>D11*D15</f>
        <v>-1039.9541754990044</v>
      </c>
      <c r="E16" s="55">
        <f>E11*E15</f>
        <v>-928.5305138383965</v>
      </c>
      <c r="F16" s="55">
        <f>F11*F15</f>
        <v>-59.667719262794435</v>
      </c>
      <c r="G16" s="55">
        <f>G11*G15</f>
        <v>82.6985141169758</v>
      </c>
      <c r="H16" s="55">
        <f>H11*H15</f>
        <v>235.71089172201008</v>
      </c>
      <c r="I16" s="55">
        <f>I11*I15</f>
        <v>354.9855575098266</v>
      </c>
      <c r="J16" s="55">
        <f>J11*J15</f>
        <v>447.18914868898014</v>
      </c>
      <c r="K16" s="55">
        <f>K11*K15</f>
        <v>487.28812733135476</v>
      </c>
      <c r="L16" s="55">
        <f>L11*L15</f>
        <v>368.5085367560014</v>
      </c>
      <c r="M16" s="55">
        <f>M11*M15</f>
        <v>309.5706400140102</v>
      </c>
      <c r="N16" s="55">
        <f>N11*N15</f>
        <v>277.6009204418137</v>
      </c>
      <c r="O16" s="55">
        <f>O11*O15</f>
        <v>248.66057402379397</v>
      </c>
      <c r="P16" s="55">
        <f>P11*P15</f>
        <v>222.01836966410173</v>
      </c>
      <c r="Q16" s="55">
        <f>Q11*Q15</f>
        <v>198.23068720009084</v>
      </c>
      <c r="R16" s="55">
        <f>R11*R15</f>
        <v>176.9916850000811</v>
      </c>
      <c r="S16" s="55">
        <f>S11*S15</f>
        <v>66.12245508288478</v>
      </c>
      <c r="T16" s="55">
        <f>T11*T15</f>
        <v>18.008515656254705</v>
      </c>
      <c r="U16" s="55">
        <f>U11*U15</f>
        <v>-2.8324815524639178</v>
      </c>
      <c r="V16" s="55">
        <f>V11*V15</f>
        <v>-12.879754246881319</v>
      </c>
    </row>
    <row r="17">
      <c r="A17" s="14" t="inlineStr">
        <is>
          <t>Tax-loss carryforward, end of year</t>
        </is>
      </c>
      <c r="C17" s="23">
        <f>Assumptions!$B$21-C8+MAX(0,-C7)</f>
        <v>1336.19</v>
      </c>
      <c r="D17" s="23">
        <f>C17-D8+MAX(0,-D7)</f>
        <v>2501.48</v>
      </c>
      <c r="E17" s="23">
        <f>D17-E8+MAX(0,-E7)</f>
        <v>3666.77</v>
      </c>
      <c r="F17" s="23">
        <f>E17-F8+MAX(0,-F7)</f>
        <v>3750.6378094136</v>
      </c>
      <c r="G17" s="23">
        <f>F17-G8+MAX(0,-G7)</f>
        <v>3620.4496188271996</v>
      </c>
      <c r="H17" s="23">
        <f>G17-H8+MAX(0,-H7)</f>
        <v>3204.8534282407995</v>
      </c>
      <c r="I17" s="23">
        <f>H17-I8+MAX(0,-I7)</f>
        <v>2503.8492376543995</v>
      </c>
      <c r="J17" s="23">
        <f>I17-J8+MAX(0,-J7)</f>
        <v>1514.7970470679993</v>
      </c>
      <c r="K17" s="23">
        <f>J17-K8+MAX(0,-K7)</f>
        <v>307.72885648159945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21.79180941360002</v>
      </c>
      <c r="V17" s="23">
        <f>U17-V8+MAX(0,-V7)</f>
        <v>132.77361882720004</v>
      </c>
    </row>
    <row r="19">
      <c r="A19" s="14" t="inlineStr">
        <is>
          <t>PV of risked pipeline contribution</t>
        </is>
      </c>
      <c r="B19" s="23">
        <f>SUMPRODUCT(C5:V5,C15:V15)</f>
        <v>5175.347398544178</v>
      </c>
    </row>
    <row r="20">
      <c r="A20" s="14" t="inlineStr">
        <is>
          <t>PV of corporate burn</t>
        </is>
      </c>
      <c r="B20" s="23">
        <f>SUMPRODUCT(C6:V6,C15:V15)</f>
        <v>-3824.7274220426734</v>
      </c>
    </row>
    <row r="21">
      <c r="A21" s="14" t="inlineStr">
        <is>
          <t>PV of taxes</t>
        </is>
      </c>
      <c r="B21" s="23">
        <f>-SUMPRODUCT(C10:V10,C15:V15)</f>
        <v>-471.78063655616097</v>
      </c>
    </row>
    <row r="22">
      <c r="A22" s="24" t="inlineStr">
        <is>
          <t>Pipeline rNPV (operations)</t>
        </is>
      </c>
      <c r="B22" s="54">
        <f>SUM(C16:V16)</f>
        <v>878.8393399453447</v>
      </c>
    </row>
    <row r="23">
      <c r="A23" s="14" t="inlineStr">
        <is>
          <t>Cash &amp; investments</t>
        </is>
      </c>
      <c r="B23" s="57">
        <f>Main!C7</f>
        <v>1486.838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2365.6773399453446</v>
      </c>
    </row>
    <row r="26">
      <c r="A26" s="14" t="inlineStr">
        <is>
          <t>Shares (mm)</t>
        </is>
      </c>
      <c r="B26" s="57">
        <f>Main!C4</f>
        <v>148.805278</v>
      </c>
    </row>
    <row r="27">
      <c r="A27" s="24" t="inlineStr">
        <is>
          <t>rNPV / share</t>
        </is>
      </c>
      <c r="B27" s="60">
        <f>B25/B26</f>
        <v>15.897805318070404</v>
      </c>
    </row>
    <row r="28">
      <c r="A28" s="14" t="inlineStr">
        <is>
          <t>Price</t>
        </is>
      </c>
      <c r="B28" s="61">
        <f>Main!C3</f>
        <v>66.23</v>
      </c>
    </row>
    <row r="29">
      <c r="A29" s="14" t="inlineStr">
        <is>
          <t>Upside</t>
        </is>
      </c>
      <c r="B29" s="62">
        <f>B27/B28-1</f>
        <v>-0.7599606625687694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2026-10-21T06:21:25Z</dcterms:modified>
  <cp:lastModifiedBy>Wang, Eric</cp:lastModifiedBy>
</cp:coreProperties>
</file>