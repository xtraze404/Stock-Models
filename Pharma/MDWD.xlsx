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Mediwound Ltd</t>
        </is>
      </c>
      <c r="C2" s="10" t="n"/>
    </row>
    <row r="3">
      <c r="B3" t="inlineStr">
        <is>
          <t>Price</t>
        </is>
      </c>
      <c r="C3" s="11">
        <f>INDEX([1]Pharma!$F$1:$F$1000,MATCH("MDWD",[1]Pharma!$B$1:$B$1000,0))</f>
        <v>12.1</v>
      </c>
      <c r="F3" s="1" t="n"/>
    </row>
    <row r="4">
      <c r="B4" t="inlineStr">
        <is>
          <t>Shares</t>
        </is>
      </c>
      <c r="C4" s="21" t="n">
        <v>12.835148</v>
      </c>
      <c r="F4" s="1" t="n"/>
    </row>
    <row r="5">
      <c r="B5" t="inlineStr">
        <is>
          <t>Market Cap.</t>
        </is>
      </c>
      <c r="C5" s="13">
        <f>C3*C4</f>
        <v>155.3052908</v>
      </c>
      <c r="F5" s="1" t="n"/>
    </row>
    <row r="6"/>
    <row r="7">
      <c r="B7" t="inlineStr">
        <is>
          <t>Cash</t>
        </is>
      </c>
      <c r="C7" s="21">
        <f>4.799+48.341</f>
        <v>53.14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102.1652908</v>
      </c>
    </row>
    <row r="10"/>
    <row r="11">
      <c r="B11" s="14" t="inlineStr">
        <is>
          <t>Net Cash / Share</t>
        </is>
      </c>
      <c r="C11" s="11">
        <f>(C7-C8)/C4</f>
        <v>4.140193786624042</v>
      </c>
    </row>
    <row r="12">
      <c r="B12" s="14" t="inlineStr">
        <is>
          <t>Upside</t>
        </is>
      </c>
      <c r="C12" s="15">
        <f>IFERROR(C11/C3-1,"")</f>
        <v>-0.6578352242459469</v>
      </c>
    </row>
    <row r="13">
      <c r="B13" s="14" t="inlineStr">
        <is>
          <t>Cash / Share</t>
        </is>
      </c>
      <c r="C13" s="11">
        <f>IFERROR((C7-C8)/C4,"")</f>
        <v>4.140193786624042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-16.121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3.2963215681409346</v>
      </c>
    </row>
    <row r="19">
      <c r="B19" s="14" t="inlineStr">
        <is>
          <t>Implied Pipeline Value</t>
        </is>
      </c>
      <c r="C19" s="13">
        <f>C9</f>
        <v>102.1652908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0.601</v>
      </c>
      <c r="C2" s="23" t="n">
        <v>1.558</v>
      </c>
      <c r="D2" s="23" t="n">
        <v>2.496</v>
      </c>
      <c r="E2" s="23" t="n">
        <v>3.401</v>
      </c>
      <c r="F2" s="23" t="n">
        <v>31.789</v>
      </c>
      <c r="G2" s="23" t="n">
        <v>21.763</v>
      </c>
      <c r="H2" s="23" t="n">
        <v>23.763</v>
      </c>
      <c r="I2" s="23" t="n">
        <v>26.496</v>
      </c>
      <c r="J2" s="23" t="n">
        <v>18.686</v>
      </c>
      <c r="K2" s="23" t="n">
        <v>20.222</v>
      </c>
      <c r="L2" s="23" t="n">
        <v>16.959</v>
      </c>
    </row>
    <row r="3" customFormat="1" s="1">
      <c r="A3" s="5" t="inlineStr">
        <is>
          <t>Cost of Sales</t>
        </is>
      </c>
      <c r="B3" s="23" t="n">
        <v>2.519</v>
      </c>
      <c r="C3" s="23" t="n">
        <v>2.158</v>
      </c>
      <c r="D3" s="23" t="n">
        <v>1.578</v>
      </c>
      <c r="E3" s="23" t="n">
        <v>2.088</v>
      </c>
      <c r="F3" s="23" t="n">
        <v>11.849</v>
      </c>
      <c r="G3" s="23" t="n">
        <v>14.218</v>
      </c>
      <c r="H3" s="23" t="n">
        <v>14.992</v>
      </c>
      <c r="I3" s="23" t="n">
        <v>13.331</v>
      </c>
      <c r="J3" s="23" t="n">
        <v>15.108</v>
      </c>
      <c r="K3" s="23" t="n">
        <v>17.588</v>
      </c>
      <c r="L3" s="23" t="n">
        <v>13.705</v>
      </c>
    </row>
    <row r="4" customFormat="1" s="1">
      <c r="A4" s="5" t="inlineStr">
        <is>
          <t>Gross Margin</t>
        </is>
      </c>
      <c r="B4" s="23">
        <f>B2-B3</f>
        <v>-1.9180000000000001</v>
      </c>
      <c r="C4" s="23">
        <f>C2-C3</f>
        <v>-0.5999999999999999</v>
      </c>
      <c r="D4" s="23">
        <f>D2-D3</f>
        <v>0.9179999999999999</v>
      </c>
      <c r="E4" s="23">
        <f>E2-E3</f>
        <v>1.3129999999999997</v>
      </c>
      <c r="F4" s="23">
        <f>F2-F3</f>
        <v>19.94</v>
      </c>
      <c r="G4" s="23">
        <f>G2-G3</f>
        <v>7.545000000000002</v>
      </c>
      <c r="H4" s="23">
        <f>H2-H3</f>
        <v>8.771</v>
      </c>
      <c r="I4" s="23">
        <f>I2-I3</f>
        <v>13.165</v>
      </c>
      <c r="J4" s="23">
        <f>J2-J3</f>
        <v>3.5779999999999994</v>
      </c>
      <c r="K4" s="23">
        <f>K2-K3</f>
        <v>2.6340000000000003</v>
      </c>
      <c r="L4" s="23">
        <f>L2-L3</f>
        <v>3.2539999999999996</v>
      </c>
    </row>
    <row r="5">
      <c r="A5" s="2" t="inlineStr">
        <is>
          <t>Research &amp; Dev.</t>
        </is>
      </c>
      <c r="B5" s="23" t="n">
        <v>6.021</v>
      </c>
      <c r="C5" s="23" t="n">
        <v>7.068</v>
      </c>
      <c r="D5" s="23" t="n">
        <v>5.462</v>
      </c>
      <c r="E5" s="23" t="n">
        <v>4.072</v>
      </c>
      <c r="F5" s="23" t="n">
        <v>4.969</v>
      </c>
      <c r="G5" s="23" t="n">
        <v>7.698</v>
      </c>
      <c r="H5" s="23" t="n">
        <v>10.256</v>
      </c>
      <c r="I5" s="23" t="n">
        <v>10.181</v>
      </c>
      <c r="J5" s="23" t="n">
        <v>7.467</v>
      </c>
      <c r="K5" s="23" t="n">
        <v>8.878</v>
      </c>
      <c r="L5" s="23" t="n">
        <v>14.32</v>
      </c>
    </row>
    <row r="6">
      <c r="A6" s="19" t="inlineStr">
        <is>
          <t>SG&amp;A &amp; Other</t>
        </is>
      </c>
      <c r="B6" s="23" t="n">
        <v>13.288</v>
      </c>
      <c r="C6" s="23" t="n">
        <v>12.487</v>
      </c>
      <c r="D6" s="23" t="n">
        <v>9.143000000000001</v>
      </c>
      <c r="E6" s="23" t="n">
        <v>1.201</v>
      </c>
      <c r="F6" s="23" t="n">
        <v>10.478</v>
      </c>
      <c r="G6" s="23" t="n">
        <v>8.686999999999999</v>
      </c>
      <c r="H6" s="23" t="n">
        <v>9.736000000000001</v>
      </c>
      <c r="I6" s="23" t="n">
        <v>11.329</v>
      </c>
      <c r="J6" s="23" t="n">
        <v>11.401</v>
      </c>
      <c r="K6" s="23" t="n">
        <v>13.156</v>
      </c>
      <c r="L6" s="23" t="n">
        <v>14.2</v>
      </c>
    </row>
    <row r="7">
      <c r="A7" s="2" t="inlineStr">
        <is>
          <t>Operating Expense</t>
        </is>
      </c>
      <c r="B7" s="23">
        <f>SUM(B5:B6)</f>
        <v>19.309</v>
      </c>
      <c r="C7" s="23">
        <f>SUM(C5:C6)</f>
        <v>19.555</v>
      </c>
      <c r="D7" s="23">
        <f>SUM(D5:D6)</f>
        <v>14.605</v>
      </c>
      <c r="E7" s="23">
        <f>SUM(E5:E6)</f>
        <v>5.273</v>
      </c>
      <c r="F7" s="23">
        <f>SUM(F5:F6)</f>
        <v>15.447</v>
      </c>
      <c r="G7" s="23">
        <f>SUM(G5:G6)</f>
        <v>16.384999999999998</v>
      </c>
      <c r="H7" s="23">
        <f>SUM(H5:H6)</f>
        <v>19.992</v>
      </c>
      <c r="I7" s="23">
        <f>SUM(I5:I6)</f>
        <v>21.509999999999998</v>
      </c>
      <c r="J7" s="23">
        <f>SUM(J5:J6)</f>
        <v>18.868</v>
      </c>
      <c r="K7" s="23">
        <f>SUM(K5:K6)</f>
        <v>22.034</v>
      </c>
      <c r="L7" s="23">
        <f>SUM(L5:L6)</f>
        <v>28.52</v>
      </c>
    </row>
    <row r="8">
      <c r="A8" s="2" t="inlineStr">
        <is>
          <t>Operating Income</t>
        </is>
      </c>
      <c r="B8" s="23">
        <f>B4-B7</f>
        <v>-21.227</v>
      </c>
      <c r="C8" s="23">
        <f>C4-C7</f>
        <v>-20.155</v>
      </c>
      <c r="D8" s="23">
        <f>D4-D7</f>
        <v>-13.687000000000001</v>
      </c>
      <c r="E8" s="23">
        <f>E4-E7</f>
        <v>-3.96</v>
      </c>
      <c r="F8" s="23">
        <f>F4-F7</f>
        <v>4.493000000000002</v>
      </c>
      <c r="G8" s="23">
        <f>G4-G7</f>
        <v>-8.839999999999996</v>
      </c>
      <c r="H8" s="23">
        <f>H4-H7</f>
        <v>-11.221</v>
      </c>
      <c r="I8" s="23">
        <f>I4-I7</f>
        <v>-8.344999999999999</v>
      </c>
      <c r="J8" s="23">
        <f>J4-J7</f>
        <v>-15.29</v>
      </c>
      <c r="K8" s="23">
        <f>K4-K7</f>
        <v>-19.4</v>
      </c>
      <c r="L8" s="23">
        <f>L4-L7</f>
        <v>-25.266</v>
      </c>
    </row>
    <row r="9">
      <c r="A9" s="19" t="inlineStr">
        <is>
          <t>Interest &amp; Other</t>
        </is>
      </c>
      <c r="B9" s="23" t="n">
        <v>-0.861</v>
      </c>
      <c r="C9" s="23" t="n">
        <v>1.27</v>
      </c>
      <c r="D9" s="23" t="n">
        <v>-8.462</v>
      </c>
      <c r="E9" s="23" t="n">
        <v>2.903</v>
      </c>
      <c r="F9" s="23" t="n">
        <v>0.462</v>
      </c>
      <c r="G9" s="23" t="n">
        <v>-0.356</v>
      </c>
      <c r="H9" s="23" t="n">
        <v>-2.303</v>
      </c>
      <c r="I9" s="23" t="n">
        <v>-11.176</v>
      </c>
      <c r="J9" s="23" t="n">
        <v>8.759</v>
      </c>
      <c r="K9" s="23" t="n">
        <v>-10.763</v>
      </c>
      <c r="L9" s="23" t="n">
        <v>1.556</v>
      </c>
    </row>
    <row r="10">
      <c r="A10" s="2" t="inlineStr">
        <is>
          <t>Pretax</t>
        </is>
      </c>
      <c r="B10" s="23">
        <f>B8+B9</f>
        <v>-22.088</v>
      </c>
      <c r="C10" s="23">
        <f>C8+C9</f>
        <v>-18.885</v>
      </c>
      <c r="D10" s="23">
        <f>D8+D9</f>
        <v>-22.149</v>
      </c>
      <c r="E10" s="23">
        <f>E8+E9</f>
        <v>-1.057</v>
      </c>
      <c r="F10" s="23">
        <f>F8+F9</f>
        <v>4.955000000000002</v>
      </c>
      <c r="G10" s="23">
        <f>G8+G9</f>
        <v>-9.195999999999996</v>
      </c>
      <c r="H10" s="23">
        <f>H8+H9</f>
        <v>-13.524000000000001</v>
      </c>
      <c r="I10" s="23">
        <f>I8+I9</f>
        <v>-19.521</v>
      </c>
      <c r="J10" s="23">
        <f>J8+J9</f>
        <v>-6.530999999999999</v>
      </c>
      <c r="K10" s="23">
        <f>K8+K9</f>
        <v>-30.162999999999997</v>
      </c>
      <c r="L10" s="23">
        <f>L8+L9</f>
        <v>-23.709999999999997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0.027</v>
      </c>
      <c r="I11" s="23" t="n">
        <v>0.078</v>
      </c>
      <c r="J11" s="23" t="n">
        <v>0.185</v>
      </c>
      <c r="K11" s="23" t="n">
        <v>0.061</v>
      </c>
      <c r="L11" s="23" t="n">
        <v>0.169</v>
      </c>
    </row>
    <row r="12">
      <c r="A12" s="2" t="inlineStr">
        <is>
          <t>Net Income</t>
        </is>
      </c>
      <c r="B12" s="23" t="n">
        <v>-22.088</v>
      </c>
      <c r="C12" s="23" t="n">
        <v>-18.885</v>
      </c>
      <c r="D12" s="23" t="n">
        <v>-22.149</v>
      </c>
      <c r="E12" s="23" t="n">
        <v>-1.057</v>
      </c>
      <c r="F12" s="23" t="n">
        <v>4.955</v>
      </c>
      <c r="G12" s="23" t="n">
        <v>-9.196</v>
      </c>
      <c r="H12" s="23" t="n">
        <v>-13.551</v>
      </c>
      <c r="I12" s="23" t="n">
        <v>-19.599</v>
      </c>
      <c r="J12" s="23" t="n">
        <v>-6.716</v>
      </c>
      <c r="K12" s="23" t="n">
        <v>-30.224</v>
      </c>
      <c r="L12" s="23" t="n">
        <v>-23.879</v>
      </c>
    </row>
    <row r="13">
      <c r="A13" s="2" t="inlineStr">
        <is>
          <t>Earnings per Share</t>
        </is>
      </c>
      <c r="B13" s="11">
        <f>IFERROR(B12/B14,0)</f>
        <v>-7.118272639381244</v>
      </c>
      <c r="C13" s="11">
        <f>IFERROR(C12/C14,0)</f>
        <v>-6.047070124879923</v>
      </c>
      <c r="D13" s="11">
        <f>IFERROR(D12/D14,0)</f>
        <v>-6.6433713257348534</v>
      </c>
      <c r="E13" s="11">
        <f>IFERROR(E12/E14,0)</f>
        <v>-0.27291505293054474</v>
      </c>
      <c r="F13" s="11">
        <f>IFERROR(F12/F14,0)</f>
        <v>1.2760751995879476</v>
      </c>
      <c r="G13" s="11">
        <f>IFERROR(G12/G14,0)</f>
        <v>-2.365834834062259</v>
      </c>
      <c r="H13" s="11">
        <f>IFERROR(H12/H14,0)</f>
        <v>-3.481757451181912</v>
      </c>
      <c r="I13" s="11">
        <f>IFERROR(I12/I14,0)</f>
        <v>-3.930018046921997</v>
      </c>
      <c r="J13" s="11">
        <f>IFERROR(J12/J14,0)</f>
        <v>-0.7451459003661378</v>
      </c>
      <c r="K13" s="11">
        <f>IFERROR(K12/K14,0)</f>
        <v>-3.0345381526104416</v>
      </c>
      <c r="L13" s="11">
        <f>IFERROR(L12/L14,0)</f>
        <v>-2.0988837127538016</v>
      </c>
    </row>
    <row r="14">
      <c r="A14" s="2" t="inlineStr">
        <is>
          <t>Shares</t>
        </is>
      </c>
      <c r="B14" s="23" t="n">
        <v>3.103</v>
      </c>
      <c r="C14" s="23" t="n">
        <v>3.123</v>
      </c>
      <c r="D14" s="23" t="n">
        <v>3.334</v>
      </c>
      <c r="E14" s="23" t="n">
        <v>3.873</v>
      </c>
      <c r="F14" s="23" t="n">
        <v>3.883</v>
      </c>
      <c r="G14" s="23" t="n">
        <v>3.887</v>
      </c>
      <c r="H14" s="23" t="n">
        <v>3.892</v>
      </c>
      <c r="I14" s="23" t="n">
        <v>4.987</v>
      </c>
      <c r="J14" s="23" t="n">
        <v>9.013</v>
      </c>
      <c r="K14" s="23" t="n">
        <v>9.960000000000001</v>
      </c>
      <c r="L14" s="23" t="n">
        <v>11.377</v>
      </c>
    </row>
    <row r="15"/>
    <row r="16" customFormat="1" s="4">
      <c r="A16" s="3" t="inlineStr">
        <is>
          <t>Revenue Change</t>
        </is>
      </c>
      <c r="C16" s="15">
        <f>IFERROR(C2/B2-1,"")</f>
        <v>1.59234608985025</v>
      </c>
      <c r="D16" s="15">
        <f>IFERROR(D2/C2-1,"")</f>
        <v>0.6020539152759947</v>
      </c>
      <c r="E16" s="15">
        <f>IFERROR(E2/D2-1,"")</f>
        <v>0.3625801282051282</v>
      </c>
      <c r="F16" s="15">
        <f>IFERROR(F2/E2-1,"")</f>
        <v>8.346956777418407</v>
      </c>
      <c r="G16" s="15">
        <f>IFERROR(G2/F2-1,"")</f>
        <v>-0.3153921167699518</v>
      </c>
      <c r="H16" s="15">
        <f>IFERROR(H2/G2-1,"")</f>
        <v>0.09189909479391623</v>
      </c>
      <c r="I16" s="15">
        <f>IFERROR(I2/H2-1,"")</f>
        <v>0.11501073096831194</v>
      </c>
      <c r="J16" s="15">
        <f>IFERROR(J2/I2-1,"")</f>
        <v>-0.2947614734299516</v>
      </c>
      <c r="K16" s="15">
        <f>IFERROR(K2/J2-1,"")</f>
        <v>0.08220057797281388</v>
      </c>
      <c r="L16" s="15">
        <f>IFERROR(L2/K2-1,"")</f>
        <v>-0.16135891603204433</v>
      </c>
    </row>
    <row r="17" customFormat="1" s="4">
      <c r="A17" s="3" t="inlineStr">
        <is>
          <t>Gross Margin</t>
        </is>
      </c>
      <c r="B17" s="15">
        <f>IFERROR(B4/B2,"")</f>
        <v>-3.1913477537437607</v>
      </c>
      <c r="C17" s="15">
        <f>IFERROR(C4/C2,"")</f>
        <v>-0.38510911424903715</v>
      </c>
      <c r="D17" s="15">
        <f>IFERROR(D4/D2,"")</f>
        <v>0.3677884615384615</v>
      </c>
      <c r="E17" s="15">
        <f>IFERROR(E4/E2,"")</f>
        <v>0.38606292266980297</v>
      </c>
      <c r="F17" s="15">
        <f>IFERROR(F4/F2,"")</f>
        <v>0.627261002233477</v>
      </c>
      <c r="G17" s="15">
        <f>IFERROR(G4/G2,"")</f>
        <v>0.34668933511004923</v>
      </c>
      <c r="H17" s="15">
        <f>IFERROR(H4/H2,"")</f>
        <v>0.3691032277069394</v>
      </c>
      <c r="I17" s="15">
        <f>IFERROR(I4/I2,"")</f>
        <v>0.49686745169082125</v>
      </c>
      <c r="J17" s="15">
        <f>IFERROR(J4/J2,"")</f>
        <v>0.19148025259552603</v>
      </c>
      <c r="K17" s="15">
        <f>IFERROR(K4/K2,"")</f>
        <v>0.13025417861734745</v>
      </c>
      <c r="L17" s="15">
        <f>IFERROR(L4/L2,"")</f>
        <v>0.19187452090335513</v>
      </c>
    </row>
    <row r="18">
      <c r="A18" s="14" t="inlineStr">
        <is>
          <t>Operating Margin</t>
        </is>
      </c>
      <c r="B18" s="15">
        <f>IFERROR(B8/B2,"")</f>
        <v>-35.31946755407654</v>
      </c>
      <c r="C18" s="15">
        <f>IFERROR(C8/C2,"")</f>
        <v>-12.936456996148909</v>
      </c>
      <c r="D18" s="15">
        <f>IFERROR(D8/D2,"")</f>
        <v>-5.483573717948718</v>
      </c>
      <c r="E18" s="15">
        <f>IFERROR(E8/E2,"")</f>
        <v>-1.1643634225227875</v>
      </c>
      <c r="F18" s="15">
        <f>IFERROR(F8/F2,"")</f>
        <v>0.14133819874799464</v>
      </c>
      <c r="G18" s="15">
        <f>IFERROR(G8/G2,"")</f>
        <v>-0.40619399898910974</v>
      </c>
      <c r="H18" s="15">
        <f>IFERROR(H8/H2,"")</f>
        <v>-0.47220468796027437</v>
      </c>
      <c r="I18" s="15">
        <f>IFERROR(I8/I2,"")</f>
        <v>-0.3149532004830918</v>
      </c>
      <c r="J18" s="15">
        <f>IFERROR(J8/J2,"")</f>
        <v>-0.8182596596382318</v>
      </c>
      <c r="K18" s="15">
        <f>IFERROR(K8/K2,"")</f>
        <v>-0.9593512016615566</v>
      </c>
      <c r="L18" s="15">
        <f>IFERROR(L8/L2,"")</f>
        <v>-1.4898284096939678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2026-10-21T01:05:45Z</dcterms:modified>
  <cp:lastModifiedBy>Wang, Eric</cp:lastModifiedBy>
</cp:coreProperties>
</file>