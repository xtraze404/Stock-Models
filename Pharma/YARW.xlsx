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Yarrow Bioscience, Inc.</t>
        </is>
      </c>
      <c r="C2" s="10" t="n"/>
    </row>
    <row r="3">
      <c r="B3" t="inlineStr">
        <is>
          <t>Price</t>
        </is>
      </c>
      <c r="C3" s="11">
        <f>INDEX([1]Pharma!$F$1:$F$1000,MATCH("YARW",[1]Pharma!$B$1:$B$1000,0))</f>
        <v>20.21</v>
      </c>
      <c r="F3" s="1" t="n"/>
    </row>
    <row r="4">
      <c r="B4" t="inlineStr">
        <is>
          <t>Shares</t>
        </is>
      </c>
      <c r="C4" s="21" t="n">
        <v>2.669746</v>
      </c>
      <c r="F4" s="1" t="n"/>
    </row>
    <row r="5">
      <c r="B5" t="inlineStr">
        <is>
          <t>Market Cap.</t>
        </is>
      </c>
      <c r="C5" s="13">
        <f>C3*C4</f>
        <v>53.95556666</v>
      </c>
      <c r="F5" s="1" t="n"/>
    </row>
    <row r="6"/>
    <row r="7">
      <c r="B7" t="inlineStr">
        <is>
          <t>Cash</t>
        </is>
      </c>
      <c r="C7" s="21" t="n">
        <v>22.925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31.03056666</v>
      </c>
    </row>
    <row r="10"/>
    <row r="11">
      <c r="B11" s="14" t="inlineStr">
        <is>
          <t>Net Cash / Share</t>
        </is>
      </c>
      <c r="C11" s="11">
        <f>(C7-C8)/C4</f>
        <v>8.586959208853576</v>
      </c>
    </row>
    <row r="12">
      <c r="B12" s="14" t="inlineStr">
        <is>
          <t>Upside</t>
        </is>
      </c>
      <c r="C12" s="15">
        <f>IFERROR(C11/C3-1,"")</f>
        <v>-0.5751133493887395</v>
      </c>
    </row>
    <row r="13">
      <c r="B13" s="14" t="inlineStr">
        <is>
          <t>Cash / Share</t>
        </is>
      </c>
      <c r="C13" s="11">
        <f>IFERROR((C7-C8)/C4,"")</f>
        <v>8.586959208853576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-16.933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1.35386523356759</v>
      </c>
    </row>
    <row r="19">
      <c r="B19" s="14" t="inlineStr">
        <is>
          <t>Implied Pipeline Value</t>
        </is>
      </c>
      <c r="C19" s="13">
        <f>C9</f>
        <v>31.03056666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0.674</v>
      </c>
      <c r="D2" s="23" t="n">
        <v>4.582</v>
      </c>
      <c r="E2" s="23" t="n">
        <v>10.64</v>
      </c>
      <c r="F2" s="23" t="n">
        <v>0.443</v>
      </c>
      <c r="G2" s="23" t="n">
        <v>20.993</v>
      </c>
      <c r="H2" s="23" t="n">
        <v>0.931</v>
      </c>
      <c r="I2" s="23" t="n">
        <v>0.477</v>
      </c>
      <c r="J2" s="23" t="n">
        <v>0.424</v>
      </c>
      <c r="K2" s="23" t="n">
        <v>0.501</v>
      </c>
      <c r="L2" s="23" t="n">
        <v>0.57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1.392</v>
      </c>
      <c r="H3" s="23" t="n">
        <v>3.348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0.674</v>
      </c>
      <c r="D4" s="23">
        <f>D2-D3</f>
        <v>4.582</v>
      </c>
      <c r="E4" s="23">
        <f>E2-E3</f>
        <v>10.64</v>
      </c>
      <c r="F4" s="23">
        <f>F2-F3</f>
        <v>0.443</v>
      </c>
      <c r="G4" s="23">
        <f>G2-G3</f>
        <v>19.601</v>
      </c>
      <c r="H4" s="23">
        <f>H2-H3</f>
        <v>-2.417</v>
      </c>
      <c r="I4" s="23">
        <f>I2-I3</f>
        <v>0.477</v>
      </c>
      <c r="J4" s="23">
        <f>J2-J3</f>
        <v>0.424</v>
      </c>
      <c r="K4" s="23">
        <f>K2-K3</f>
        <v>0.501</v>
      </c>
      <c r="L4" s="23">
        <f>L2-L3</f>
        <v>0.57</v>
      </c>
    </row>
    <row r="5">
      <c r="A5" s="2" t="inlineStr">
        <is>
          <t>Research &amp; Dev.</t>
        </is>
      </c>
      <c r="B5" s="23" t="n">
        <v>2.921</v>
      </c>
      <c r="C5" s="23" t="n">
        <v>11.255</v>
      </c>
      <c r="D5" s="23" t="n">
        <v>29.007</v>
      </c>
      <c r="E5" s="23" t="n">
        <v>64.474</v>
      </c>
      <c r="F5" s="23" t="n">
        <v>51.202</v>
      </c>
      <c r="G5" s="23" t="n">
        <v>43.533</v>
      </c>
      <c r="H5" s="23" t="n">
        <v>19.543</v>
      </c>
      <c r="I5" s="23" t="n">
        <v>18.385</v>
      </c>
      <c r="J5" s="23" t="n">
        <v>16.307</v>
      </c>
      <c r="K5" s="23" t="n">
        <v>30.946</v>
      </c>
      <c r="L5" s="23" t="n">
        <v>19.237</v>
      </c>
    </row>
    <row r="6">
      <c r="A6" s="19" t="inlineStr">
        <is>
          <t>SG&amp;A &amp; Other</t>
        </is>
      </c>
      <c r="B6" s="23" t="n">
        <v>1.687</v>
      </c>
      <c r="C6" s="23" t="n">
        <v>3.751</v>
      </c>
      <c r="D6" s="23" t="n">
        <v>5.168</v>
      </c>
      <c r="E6" s="23" t="n">
        <v>21.058</v>
      </c>
      <c r="F6" s="23" t="n">
        <v>45.114</v>
      </c>
      <c r="G6" s="23" t="n">
        <v>228.614</v>
      </c>
      <c r="H6" s="23" t="n">
        <v>16.951</v>
      </c>
      <c r="I6" s="23" t="n">
        <v>16.387</v>
      </c>
      <c r="J6" s="23" t="n">
        <v>13.375</v>
      </c>
      <c r="K6" s="23" t="n">
        <v>13.192</v>
      </c>
      <c r="L6" s="23" t="n">
        <v>11.082</v>
      </c>
    </row>
    <row r="7">
      <c r="A7" s="2" t="inlineStr">
        <is>
          <t>Operating Expense</t>
        </is>
      </c>
      <c r="B7" s="23">
        <f>SUM(B5:B6)</f>
        <v>4.608</v>
      </c>
      <c r="C7" s="23">
        <f>SUM(C5:C6)</f>
        <v>15.006</v>
      </c>
      <c r="D7" s="23">
        <f>SUM(D5:D6)</f>
        <v>34.175000000000004</v>
      </c>
      <c r="E7" s="23">
        <f>SUM(E5:E6)</f>
        <v>85.53200000000001</v>
      </c>
      <c r="F7" s="23">
        <f>SUM(F5:F6)</f>
        <v>96.316</v>
      </c>
      <c r="G7" s="23">
        <f>SUM(G5:G6)</f>
        <v>272.147</v>
      </c>
      <c r="H7" s="23">
        <f>SUM(H5:H6)</f>
        <v>36.494</v>
      </c>
      <c r="I7" s="23">
        <f>SUM(I5:I6)</f>
        <v>34.772000000000006</v>
      </c>
      <c r="J7" s="23">
        <f>SUM(J5:J6)</f>
        <v>29.682</v>
      </c>
      <c r="K7" s="23">
        <f>SUM(K5:K6)</f>
        <v>44.138000000000005</v>
      </c>
      <c r="L7" s="23">
        <f>SUM(L5:L6)</f>
        <v>30.319</v>
      </c>
    </row>
    <row r="8">
      <c r="A8" s="2" t="inlineStr">
        <is>
          <t>Operating Income</t>
        </is>
      </c>
      <c r="B8" s="23">
        <f>B4-B7</f>
        <v>-4.608</v>
      </c>
      <c r="C8" s="23">
        <f>C4-C7</f>
        <v>-14.332</v>
      </c>
      <c r="D8" s="23">
        <f>D4-D7</f>
        <v>-29.593000000000004</v>
      </c>
      <c r="E8" s="23">
        <f>E4-E7</f>
        <v>-74.89200000000001</v>
      </c>
      <c r="F8" s="23">
        <f>F4-F7</f>
        <v>-95.873</v>
      </c>
      <c r="G8" s="23">
        <f>G4-G7</f>
        <v>-252.546</v>
      </c>
      <c r="H8" s="23">
        <f>H4-H7</f>
        <v>-38.911</v>
      </c>
      <c r="I8" s="23">
        <f>I4-I7</f>
        <v>-34.29500000000001</v>
      </c>
      <c r="J8" s="23">
        <f>J4-J7</f>
        <v>-29.258</v>
      </c>
      <c r="K8" s="23">
        <f>K4-K7</f>
        <v>-43.63700000000001</v>
      </c>
      <c r="L8" s="23">
        <f>L4-L7</f>
        <v>-29.749</v>
      </c>
    </row>
    <row r="9">
      <c r="A9" s="19" t="inlineStr">
        <is>
          <t>Interest &amp; Other</t>
        </is>
      </c>
      <c r="B9" s="23" t="n">
        <v>0</v>
      </c>
      <c r="C9" s="23" t="n">
        <v>0.264</v>
      </c>
      <c r="D9" s="23" t="n">
        <v>0.517</v>
      </c>
      <c r="E9" s="23" t="n">
        <v>0.9409999999999999</v>
      </c>
      <c r="F9" s="23" t="n">
        <v>0.519</v>
      </c>
      <c r="G9" s="23" t="n">
        <v>-3.28</v>
      </c>
      <c r="H9" s="23" t="n">
        <v>-34.866</v>
      </c>
      <c r="I9" s="23" t="n">
        <v>11.098</v>
      </c>
      <c r="J9" s="23" t="n">
        <v>0.806</v>
      </c>
      <c r="K9" s="23" t="n">
        <v>3.807</v>
      </c>
      <c r="L9" s="23" t="n">
        <v>3.27</v>
      </c>
    </row>
    <row r="10">
      <c r="A10" s="2" t="inlineStr">
        <is>
          <t>Pretax</t>
        </is>
      </c>
      <c r="B10" s="23">
        <f>B8+B9</f>
        <v>-4.608</v>
      </c>
      <c r="C10" s="23">
        <f>C8+C9</f>
        <v>-14.068000000000001</v>
      </c>
      <c r="D10" s="23">
        <f>D8+D9</f>
        <v>-29.076000000000004</v>
      </c>
      <c r="E10" s="23">
        <f>E8+E9</f>
        <v>-73.95100000000001</v>
      </c>
      <c r="F10" s="23">
        <f>F8+F9</f>
        <v>-95.354</v>
      </c>
      <c r="G10" s="23">
        <f>G8+G9</f>
        <v>-255.826</v>
      </c>
      <c r="H10" s="23">
        <f>H8+H9</f>
        <v>-73.777</v>
      </c>
      <c r="I10" s="23">
        <f>I8+I9</f>
        <v>-23.19700000000001</v>
      </c>
      <c r="J10" s="23">
        <f>J8+J9</f>
        <v>-28.451999999999998</v>
      </c>
      <c r="K10" s="23">
        <f>K8+K9</f>
        <v>-39.830000000000005</v>
      </c>
      <c r="L10" s="23">
        <f>L8+L9</f>
        <v>-26.479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0.212</v>
      </c>
      <c r="F11" s="23" t="n">
        <v>-0.176</v>
      </c>
      <c r="G11" s="23" t="n">
        <v>-0.258</v>
      </c>
      <c r="H11" s="23" t="n">
        <v>-0.448</v>
      </c>
      <c r="I11" s="23" t="n">
        <v>0.013</v>
      </c>
      <c r="J11" s="23" t="n">
        <v>0</v>
      </c>
      <c r="K11" s="23" t="n">
        <v>0.004</v>
      </c>
      <c r="L11" s="23" t="n">
        <v>0.004</v>
      </c>
    </row>
    <row r="12">
      <c r="A12" s="2" t="inlineStr">
        <is>
          <t>Net Income</t>
        </is>
      </c>
      <c r="B12" s="23" t="n">
        <v>-4.608</v>
      </c>
      <c r="C12" s="23" t="n">
        <v>-14.068</v>
      </c>
      <c r="D12" s="23" t="n">
        <v>-29.076</v>
      </c>
      <c r="E12" s="23" t="n">
        <v>-74.163</v>
      </c>
      <c r="F12" s="23" t="n">
        <v>-95.178</v>
      </c>
      <c r="G12" s="23" t="n">
        <v>-255.568</v>
      </c>
      <c r="H12" s="23" t="n">
        <v>-73.32899999999999</v>
      </c>
      <c r="I12" s="23" t="n">
        <v>-23.21</v>
      </c>
      <c r="J12" s="23" t="n">
        <v>-28.452</v>
      </c>
      <c r="K12" s="23" t="n">
        <v>-39.834</v>
      </c>
      <c r="L12" s="23" t="n">
        <v>-26.483</v>
      </c>
    </row>
    <row r="13">
      <c r="A13" s="2" t="inlineStr">
        <is>
          <t>Earnings per Share</t>
        </is>
      </c>
      <c r="B13" s="11">
        <f>IFERROR(B12/B14,0)</f>
        <v>-0.9731784582893346</v>
      </c>
      <c r="C13" s="11">
        <f>IFERROR(C12/C14,0)</f>
        <v>-2.8209344295167433</v>
      </c>
      <c r="D13" s="11">
        <f>IFERROR(D12/D14,0)</f>
        <v>-5.692247454972592</v>
      </c>
      <c r="E13" s="11">
        <f>IFERROR(E12/E14,0)</f>
        <v>-11.46968759665945</v>
      </c>
      <c r="F13" s="11">
        <f>IFERROR(F12/F14,0)</f>
        <v>-11.217206835592222</v>
      </c>
      <c r="G13" s="11">
        <f>IFERROR(G12/G14,0)</f>
        <v>-7.883521500401012</v>
      </c>
      <c r="H13" s="11">
        <f>IFERROR(H12/H14,0)</f>
        <v>-25.64847848898216</v>
      </c>
      <c r="I13" s="11">
        <f>IFERROR(I12/I14,0)</f>
        <v>-7.2849968612680485</v>
      </c>
      <c r="J13" s="11">
        <f>IFERROR(J12/J14,0)</f>
        <v>-2.7695901878711187</v>
      </c>
      <c r="K13" s="11">
        <f>IFERROR(K12/K14,0)</f>
        <v>-0.935311935006692</v>
      </c>
      <c r="L13" s="11">
        <f>IFERROR(L12/L14,0)</f>
        <v>-0.6192246539468762</v>
      </c>
    </row>
    <row r="14">
      <c r="A14" s="2" t="inlineStr">
        <is>
          <t>Shares</t>
        </is>
      </c>
      <c r="B14" s="23" t="n">
        <v>4.735</v>
      </c>
      <c r="C14" s="23" t="n">
        <v>4.987</v>
      </c>
      <c r="D14" s="23" t="n">
        <v>5.108</v>
      </c>
      <c r="E14" s="23" t="n">
        <v>6.466</v>
      </c>
      <c r="F14" s="23" t="n">
        <v>8.484999999999999</v>
      </c>
      <c r="G14" s="23" t="n">
        <v>32.418</v>
      </c>
      <c r="H14" s="23" t="n">
        <v>2.859</v>
      </c>
      <c r="I14" s="23" t="n">
        <v>3.186</v>
      </c>
      <c r="J14" s="23" t="n">
        <v>10.273</v>
      </c>
      <c r="K14" s="23" t="n">
        <v>42.589</v>
      </c>
      <c r="L14" s="23" t="n">
        <v>42.768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5.798219584569733</v>
      </c>
      <c r="E16" s="15">
        <f>IFERROR(E2/D2-1,"")</f>
        <v>1.3221300742034048</v>
      </c>
      <c r="F16" s="15">
        <f>IFERROR(F2/E2-1,"")</f>
        <v>-0.9583646616541354</v>
      </c>
      <c r="G16" s="15">
        <f>IFERROR(G2/F2-1,"")</f>
        <v>46.3882618510158</v>
      </c>
      <c r="H16" s="15">
        <f>IFERROR(H2/G2-1,"")</f>
        <v>-0.9556518839613204</v>
      </c>
      <c r="I16" s="15">
        <f>IFERROR(I2/H2-1,"")</f>
        <v>-0.4876476906552095</v>
      </c>
      <c r="J16" s="15">
        <f>IFERROR(J2/I2-1,"")</f>
        <v>-0.11111111111111105</v>
      </c>
      <c r="K16" s="15">
        <f>IFERROR(K2/J2-1,"")</f>
        <v>0.18160377358490565</v>
      </c>
      <c r="L16" s="15">
        <f>IFERROR(L2/K2-1,"")</f>
        <v>0.13772455089820346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0.9336921831086553</v>
      </c>
      <c r="H17" s="15">
        <f>IFERROR(H4/H2,"")</f>
        <v>-2.5961331901181524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-21.264094955489615</v>
      </c>
      <c r="D18" s="15">
        <f>IFERROR(D8/D2,"")</f>
        <v>-6.458533391532083</v>
      </c>
      <c r="E18" s="15">
        <f>IFERROR(E8/E2,"")</f>
        <v>-7.038721804511279</v>
      </c>
      <c r="F18" s="15">
        <f>IFERROR(F8/F2,"")</f>
        <v>-216.4176072234763</v>
      </c>
      <c r="G18" s="15">
        <f>IFERROR(G8/G2,"")</f>
        <v>-12.030010003334445</v>
      </c>
      <c r="H18" s="15">
        <f>IFERROR(H8/H2,"")</f>
        <v>-41.79484425349087</v>
      </c>
      <c r="I18" s="15">
        <f>IFERROR(I8/I2,"")</f>
        <v>-71.89727463312371</v>
      </c>
      <c r="J18" s="15">
        <f>IFERROR(J8/J2,"")</f>
        <v>-69.00471698113208</v>
      </c>
      <c r="K18" s="15">
        <f>IFERROR(K8/K2,"")</f>
        <v>-87.09980039920161</v>
      </c>
      <c r="L18" s="15">
        <f>IFERROR(L8/L2,"")</f>
        <v>-52.19122807017544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2026-10-21T01:06:10Z</dcterms:modified>
  <cp:lastModifiedBy>Wang, Eric</cp:lastModifiedBy>
</cp:coreProperties>
</file>