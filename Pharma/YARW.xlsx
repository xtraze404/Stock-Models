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Yarrow Bioscience, Inc.</t>
        </is>
      </c>
      <c r="C2" s="10" t="n"/>
    </row>
    <row r="3">
      <c r="B3" t="inlineStr">
        <is>
          <t>Price</t>
        </is>
      </c>
      <c r="C3" s="11">
        <f>INDEX([1]Pharma!$F$1:$F$1000,MATCH("YARW",[1]Pharma!$B$1:$B$1000,0))</f>
        <v>20.21</v>
      </c>
      <c r="F3" s="1" t="n"/>
    </row>
    <row r="4">
      <c r="B4" t="inlineStr">
        <is>
          <t>Shares</t>
        </is>
      </c>
      <c r="C4" s="21" t="n">
        <v>2.669746</v>
      </c>
      <c r="F4" s="1" t="n"/>
    </row>
    <row r="5">
      <c r="B5" t="inlineStr">
        <is>
          <t>Market Cap.</t>
        </is>
      </c>
      <c r="C5" s="13">
        <f>C3*C4</f>
        <v>53.95556666</v>
      </c>
      <c r="F5" s="1" t="n"/>
    </row>
    <row r="6"/>
    <row r="7">
      <c r="B7" t="inlineStr">
        <is>
          <t>Cash</t>
        </is>
      </c>
      <c r="C7" s="21" t="n">
        <v>22.925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31.03056666</v>
      </c>
    </row>
    <row r="10"/>
    <row r="11">
      <c r="B11" s="14" t="inlineStr">
        <is>
          <t>rNPV / Share</t>
        </is>
      </c>
      <c r="C11" s="11">
        <f>NPV!B27</f>
        <v>68.7035882165937</v>
      </c>
    </row>
    <row r="12">
      <c r="B12" s="14" t="inlineStr">
        <is>
          <t>Upside</t>
        </is>
      </c>
      <c r="C12" s="15">
        <f>IFERROR(C11/C3-1,"")</f>
        <v>2.399484820217402</v>
      </c>
    </row>
    <row r="13">
      <c r="B13" s="14" t="inlineStr">
        <is>
          <t>Cash / Share</t>
        </is>
      </c>
      <c r="C13" s="11">
        <f>IFERROR((C7-C8)/C4,"")</f>
        <v>8.586959208853576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-16.933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1.35386523356759</v>
      </c>
    </row>
    <row r="19">
      <c r="B19" s="14" t="inlineStr">
        <is>
          <t>Implied Pipeline Value</t>
        </is>
      </c>
      <c r="C19" s="13">
        <f>C9</f>
        <v>31.03056666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2015</v>
      </c>
      <c r="C1" s="17" t="n">
        <v>2016</v>
      </c>
      <c r="D1" s="17" t="n">
        <v>2017</v>
      </c>
      <c r="E1" s="17" t="n">
        <v>2018</v>
      </c>
      <c r="F1" s="17" t="n">
        <v>2019</v>
      </c>
      <c r="G1" s="17" t="n">
        <v>2020</v>
      </c>
      <c r="H1" s="17" t="n">
        <v>2021</v>
      </c>
      <c r="I1" s="17" t="n">
        <v>2022</v>
      </c>
      <c r="J1" s="17" t="n">
        <v>2023</v>
      </c>
      <c r="K1" s="17" t="n">
        <v>2024</v>
      </c>
      <c r="L1" s="17" t="n">
        <v>2025</v>
      </c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0.674</v>
      </c>
      <c r="D2" s="23" t="n">
        <v>4.582</v>
      </c>
      <c r="E2" s="23" t="n">
        <v>10.64</v>
      </c>
      <c r="F2" s="23" t="n">
        <v>0.443</v>
      </c>
      <c r="G2" s="23" t="n">
        <v>20.993</v>
      </c>
      <c r="H2" s="23" t="n">
        <v>0.931</v>
      </c>
      <c r="I2" s="23" t="n">
        <v>0.477</v>
      </c>
      <c r="J2" s="23" t="n">
        <v>0.424</v>
      </c>
      <c r="K2" s="23" t="n">
        <v>0.501</v>
      </c>
      <c r="L2" s="23" t="n">
        <v>0.57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1.392</v>
      </c>
      <c r="H3" s="23" t="n">
        <v>3.348</v>
      </c>
      <c r="I3" s="23" t="n">
        <v>0</v>
      </c>
      <c r="J3" s="23" t="n">
        <v>0</v>
      </c>
      <c r="K3" s="23" t="n">
        <v>0</v>
      </c>
      <c r="L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0.674</v>
      </c>
      <c r="D4" s="23">
        <f>D2-D3</f>
        <v>4.582</v>
      </c>
      <c r="E4" s="23">
        <f>E2-E3</f>
        <v>10.64</v>
      </c>
      <c r="F4" s="23">
        <f>F2-F3</f>
        <v>0.443</v>
      </c>
      <c r="G4" s="23">
        <f>G2-G3</f>
        <v>19.601</v>
      </c>
      <c r="H4" s="23">
        <f>H2-H3</f>
        <v>-2.417</v>
      </c>
      <c r="I4" s="23">
        <f>I2-I3</f>
        <v>0.477</v>
      </c>
      <c r="J4" s="23">
        <f>J2-J3</f>
        <v>0.424</v>
      </c>
      <c r="K4" s="23">
        <f>K2-K3</f>
        <v>0.501</v>
      </c>
      <c r="L4" s="23">
        <f>L2-L3</f>
        <v>0.57</v>
      </c>
    </row>
    <row r="5">
      <c r="A5" s="2" t="inlineStr">
        <is>
          <t>Research &amp; Dev.</t>
        </is>
      </c>
      <c r="B5" s="23" t="n">
        <v>2.921</v>
      </c>
      <c r="C5" s="23" t="n">
        <v>11.255</v>
      </c>
      <c r="D5" s="23" t="n">
        <v>29.007</v>
      </c>
      <c r="E5" s="23" t="n">
        <v>64.474</v>
      </c>
      <c r="F5" s="23" t="n">
        <v>51.202</v>
      </c>
      <c r="G5" s="23" t="n">
        <v>43.533</v>
      </c>
      <c r="H5" s="23" t="n">
        <v>19.543</v>
      </c>
      <c r="I5" s="23" t="n">
        <v>18.385</v>
      </c>
      <c r="J5" s="23" t="n">
        <v>16.307</v>
      </c>
      <c r="K5" s="23" t="n">
        <v>30.946</v>
      </c>
      <c r="L5" s="23" t="n">
        <v>19.237</v>
      </c>
    </row>
    <row r="6">
      <c r="A6" s="19" t="inlineStr">
        <is>
          <t>SG&amp;A &amp; Other</t>
        </is>
      </c>
      <c r="B6" s="23" t="n">
        <v>1.687</v>
      </c>
      <c r="C6" s="23" t="n">
        <v>3.751</v>
      </c>
      <c r="D6" s="23" t="n">
        <v>5.168</v>
      </c>
      <c r="E6" s="23" t="n">
        <v>21.058</v>
      </c>
      <c r="F6" s="23" t="n">
        <v>45.114</v>
      </c>
      <c r="G6" s="23" t="n">
        <v>228.614</v>
      </c>
      <c r="H6" s="23" t="n">
        <v>16.951</v>
      </c>
      <c r="I6" s="23" t="n">
        <v>16.387</v>
      </c>
      <c r="J6" s="23" t="n">
        <v>13.375</v>
      </c>
      <c r="K6" s="23" t="n">
        <v>13.192</v>
      </c>
      <c r="L6" s="23" t="n">
        <v>11.082</v>
      </c>
    </row>
    <row r="7">
      <c r="A7" s="2" t="inlineStr">
        <is>
          <t>Operating Expense</t>
        </is>
      </c>
      <c r="B7" s="23">
        <f>SUM(B5:B6)</f>
        <v>4.608</v>
      </c>
      <c r="C7" s="23">
        <f>SUM(C5:C6)</f>
        <v>15.006</v>
      </c>
      <c r="D7" s="23">
        <f>SUM(D5:D6)</f>
        <v>34.175000000000004</v>
      </c>
      <c r="E7" s="23">
        <f>SUM(E5:E6)</f>
        <v>85.53200000000001</v>
      </c>
      <c r="F7" s="23">
        <f>SUM(F5:F6)</f>
        <v>96.316</v>
      </c>
      <c r="G7" s="23">
        <f>SUM(G5:G6)</f>
        <v>272.147</v>
      </c>
      <c r="H7" s="23">
        <f>SUM(H5:H6)</f>
        <v>36.494</v>
      </c>
      <c r="I7" s="23">
        <f>SUM(I5:I6)</f>
        <v>34.772000000000006</v>
      </c>
      <c r="J7" s="23">
        <f>SUM(J5:J6)</f>
        <v>29.682</v>
      </c>
      <c r="K7" s="23">
        <f>SUM(K5:K6)</f>
        <v>44.138000000000005</v>
      </c>
      <c r="L7" s="23">
        <f>SUM(L5:L6)</f>
        <v>30.319</v>
      </c>
    </row>
    <row r="8">
      <c r="A8" s="2" t="inlineStr">
        <is>
          <t>Operating Income</t>
        </is>
      </c>
      <c r="B8" s="23">
        <f>B4-B7</f>
        <v>-4.608</v>
      </c>
      <c r="C8" s="23">
        <f>C4-C7</f>
        <v>-14.332</v>
      </c>
      <c r="D8" s="23">
        <f>D4-D7</f>
        <v>-29.593000000000004</v>
      </c>
      <c r="E8" s="23">
        <f>E4-E7</f>
        <v>-74.89200000000001</v>
      </c>
      <c r="F8" s="23">
        <f>F4-F7</f>
        <v>-95.873</v>
      </c>
      <c r="G8" s="23">
        <f>G4-G7</f>
        <v>-252.546</v>
      </c>
      <c r="H8" s="23">
        <f>H4-H7</f>
        <v>-38.911</v>
      </c>
      <c r="I8" s="23">
        <f>I4-I7</f>
        <v>-34.29500000000001</v>
      </c>
      <c r="J8" s="23">
        <f>J4-J7</f>
        <v>-29.258</v>
      </c>
      <c r="K8" s="23">
        <f>K4-K7</f>
        <v>-43.63700000000001</v>
      </c>
      <c r="L8" s="23">
        <f>L4-L7</f>
        <v>-29.749</v>
      </c>
    </row>
    <row r="9">
      <c r="A9" s="19" t="inlineStr">
        <is>
          <t>Interest &amp; Other</t>
        </is>
      </c>
      <c r="B9" s="23" t="n">
        <v>0</v>
      </c>
      <c r="C9" s="23" t="n">
        <v>0.264</v>
      </c>
      <c r="D9" s="23" t="n">
        <v>0.517</v>
      </c>
      <c r="E9" s="23" t="n">
        <v>0.9409999999999999</v>
      </c>
      <c r="F9" s="23" t="n">
        <v>0.519</v>
      </c>
      <c r="G9" s="23" t="n">
        <v>-3.28</v>
      </c>
      <c r="H9" s="23" t="n">
        <v>-34.866</v>
      </c>
      <c r="I9" s="23" t="n">
        <v>11.098</v>
      </c>
      <c r="J9" s="23" t="n">
        <v>0.806</v>
      </c>
      <c r="K9" s="23" t="n">
        <v>3.807</v>
      </c>
      <c r="L9" s="23" t="n">
        <v>3.27</v>
      </c>
    </row>
    <row r="10">
      <c r="A10" s="2" t="inlineStr">
        <is>
          <t>Pretax</t>
        </is>
      </c>
      <c r="B10" s="23">
        <f>B8+B9</f>
        <v>-4.608</v>
      </c>
      <c r="C10" s="23">
        <f>C8+C9</f>
        <v>-14.068000000000001</v>
      </c>
      <c r="D10" s="23">
        <f>D8+D9</f>
        <v>-29.076000000000004</v>
      </c>
      <c r="E10" s="23">
        <f>E8+E9</f>
        <v>-73.95100000000001</v>
      </c>
      <c r="F10" s="23">
        <f>F8+F9</f>
        <v>-95.354</v>
      </c>
      <c r="G10" s="23">
        <f>G8+G9</f>
        <v>-255.826</v>
      </c>
      <c r="H10" s="23">
        <f>H8+H9</f>
        <v>-73.777</v>
      </c>
      <c r="I10" s="23">
        <f>I8+I9</f>
        <v>-23.19700000000001</v>
      </c>
      <c r="J10" s="23">
        <f>J8+J9</f>
        <v>-28.451999999999998</v>
      </c>
      <c r="K10" s="23">
        <f>K8+K9</f>
        <v>-39.830000000000005</v>
      </c>
      <c r="L10" s="23">
        <f>L8+L9</f>
        <v>-26.479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0.212</v>
      </c>
      <c r="F11" s="23" t="n">
        <v>-0.176</v>
      </c>
      <c r="G11" s="23" t="n">
        <v>-0.258</v>
      </c>
      <c r="H11" s="23" t="n">
        <v>-0.448</v>
      </c>
      <c r="I11" s="23" t="n">
        <v>0.013</v>
      </c>
      <c r="J11" s="23" t="n">
        <v>0</v>
      </c>
      <c r="K11" s="23" t="n">
        <v>0.004</v>
      </c>
      <c r="L11" s="23" t="n">
        <v>0.004</v>
      </c>
    </row>
    <row r="12">
      <c r="A12" s="2" t="inlineStr">
        <is>
          <t>Net Income</t>
        </is>
      </c>
      <c r="B12" s="23" t="n">
        <v>-4.608</v>
      </c>
      <c r="C12" s="23" t="n">
        <v>-14.068</v>
      </c>
      <c r="D12" s="23" t="n">
        <v>-29.076</v>
      </c>
      <c r="E12" s="23" t="n">
        <v>-74.163</v>
      </c>
      <c r="F12" s="23" t="n">
        <v>-95.178</v>
      </c>
      <c r="G12" s="23" t="n">
        <v>-255.568</v>
      </c>
      <c r="H12" s="23" t="n">
        <v>-73.32899999999999</v>
      </c>
      <c r="I12" s="23" t="n">
        <v>-23.21</v>
      </c>
      <c r="J12" s="23" t="n">
        <v>-28.452</v>
      </c>
      <c r="K12" s="23" t="n">
        <v>-39.834</v>
      </c>
      <c r="L12" s="23" t="n">
        <v>-26.483</v>
      </c>
    </row>
    <row r="13">
      <c r="A13" s="2" t="inlineStr">
        <is>
          <t>Earnings per Share</t>
        </is>
      </c>
      <c r="B13" s="11">
        <f>IFERROR(B12/B14,0)</f>
        <v>-0.9731784582893346</v>
      </c>
      <c r="C13" s="11">
        <f>IFERROR(C12/C14,0)</f>
        <v>-2.8209344295167433</v>
      </c>
      <c r="D13" s="11">
        <f>IFERROR(D12/D14,0)</f>
        <v>-5.692247454972592</v>
      </c>
      <c r="E13" s="11">
        <f>IFERROR(E12/E14,0)</f>
        <v>-11.46968759665945</v>
      </c>
      <c r="F13" s="11">
        <f>IFERROR(F12/F14,0)</f>
        <v>-11.217206835592222</v>
      </c>
      <c r="G13" s="11">
        <f>IFERROR(G12/G14,0)</f>
        <v>-7.883521500401012</v>
      </c>
      <c r="H13" s="11">
        <f>IFERROR(H12/H14,0)</f>
        <v>-25.64847848898216</v>
      </c>
      <c r="I13" s="11">
        <f>IFERROR(I12/I14,0)</f>
        <v>-7.2849968612680485</v>
      </c>
      <c r="J13" s="11">
        <f>IFERROR(J12/J14,0)</f>
        <v>-2.7695901878711187</v>
      </c>
      <c r="K13" s="11">
        <f>IFERROR(K12/K14,0)</f>
        <v>-0.935311935006692</v>
      </c>
      <c r="L13" s="11">
        <f>IFERROR(L12/L14,0)</f>
        <v>-0.6192246539468762</v>
      </c>
    </row>
    <row r="14">
      <c r="A14" s="2" t="inlineStr">
        <is>
          <t>Shares</t>
        </is>
      </c>
      <c r="B14" s="23" t="n">
        <v>4.735</v>
      </c>
      <c r="C14" s="23" t="n">
        <v>4.987</v>
      </c>
      <c r="D14" s="23" t="n">
        <v>5.108</v>
      </c>
      <c r="E14" s="23" t="n">
        <v>6.466</v>
      </c>
      <c r="F14" s="23" t="n">
        <v>8.484999999999999</v>
      </c>
      <c r="G14" s="23" t="n">
        <v>32.418</v>
      </c>
      <c r="H14" s="23" t="n">
        <v>2.859</v>
      </c>
      <c r="I14" s="23" t="n">
        <v>3.186</v>
      </c>
      <c r="J14" s="23" t="n">
        <v>10.273</v>
      </c>
      <c r="K14" s="23" t="n">
        <v>42.589</v>
      </c>
      <c r="L14" s="23" t="n">
        <v>42.768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>5.798219584569733</v>
      </c>
      <c r="E16" s="15">
        <f>IFERROR(E2/D2-1,"")</f>
        <v>1.3221300742034048</v>
      </c>
      <c r="F16" s="15">
        <f>IFERROR(F2/E2-1,"")</f>
        <v>-0.9583646616541354</v>
      </c>
      <c r="G16" s="15">
        <f>IFERROR(G2/F2-1,"")</f>
        <v>46.3882618510158</v>
      </c>
      <c r="H16" s="15">
        <f>IFERROR(H2/G2-1,"")</f>
        <v>-0.9556518839613204</v>
      </c>
      <c r="I16" s="15">
        <f>IFERROR(I2/H2-1,"")</f>
        <v>-0.4876476906552095</v>
      </c>
      <c r="J16" s="15">
        <f>IFERROR(J2/I2-1,"")</f>
        <v>-0.11111111111111105</v>
      </c>
      <c r="K16" s="15">
        <f>IFERROR(K2/J2-1,"")</f>
        <v>0.18160377358490565</v>
      </c>
      <c r="L16" s="15">
        <f>IFERROR(L2/K2-1,"")</f>
        <v>0.13772455089820346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0.9336921831086553</v>
      </c>
      <c r="H17" s="15">
        <f>IFERROR(H4/H2,"")</f>
        <v>-2.5961331901181524</v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>-21.264094955489615</v>
      </c>
      <c r="D18" s="15">
        <f>IFERROR(D8/D2,"")</f>
        <v>-6.458533391532083</v>
      </c>
      <c r="E18" s="15">
        <f>IFERROR(E8/E2,"")</f>
        <v>-7.038721804511279</v>
      </c>
      <c r="F18" s="15">
        <f>IFERROR(F8/F2,"")</f>
        <v>-216.4176072234763</v>
      </c>
      <c r="G18" s="15">
        <f>IFERROR(G8/G2,"")</f>
        <v>-12.030010003334445</v>
      </c>
      <c r="H18" s="15">
        <f>IFERROR(H8/H2,"")</f>
        <v>-41.79484425349087</v>
      </c>
      <c r="I18" s="15">
        <f>IFERROR(I8/I2,"")</f>
        <v>-71.89727463312371</v>
      </c>
      <c r="J18" s="15">
        <f>IFERROR(J8/J2,"")</f>
        <v>-69.00471698113208</v>
      </c>
      <c r="K18" s="15">
        <f>IFERROR(K8/K2,"")</f>
        <v>-87.09980039920161</v>
      </c>
      <c r="L18" s="15">
        <f>IFERROR(L8/L2,"")</f>
        <v>-52.19122807017544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Yarrow Bioscience, Inc.: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0.2521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19.929</v>
      </c>
    </row>
    <row r="19">
      <c r="A19" s="14" t="inlineStr">
        <is>
          <t>Years of full burn (until the first launch, max 4)</t>
        </is>
      </c>
      <c r="B19" s="39">
        <f>MIN(4,MAX(1,MIN(Pipeline!I4:I4)-2026))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664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160.49612982689814</v>
      </c>
      <c r="C29" s="42">
        <f>NPV!B25</f>
        <v>183.42112982689815</v>
      </c>
      <c r="D29" s="43">
        <f>NPV!B27</f>
        <v>68.7035882165937</v>
      </c>
      <c r="E29" s="44">
        <f>NPV!B29</f>
        <v>2.399484820217402</v>
      </c>
    </row>
    <row r="30">
      <c r="A30" s="45" t="n">
        <v>1</v>
      </c>
      <c r="B30" s="46">
        <f t="dataTable" ref="B30:E32" r1="B4"/>
        <v>29.093677910801063</v>
      </c>
      <c r="C30" s="46">
        <v>52.01867791080106</v>
      </c>
      <c r="D30" s="47">
        <v>19.484504484996346</v>
      </c>
      <c r="E30" s="48">
        <v>-0.03589784834258558</v>
      </c>
    </row>
    <row r="31">
      <c r="A31" s="45" t="n">
        <v>2</v>
      </c>
      <c r="B31" s="46">
        <v>160.49612982689814</v>
      </c>
      <c r="C31" s="46">
        <v>183.42112982689815</v>
      </c>
      <c r="D31" s="47">
        <v>68.7035882165937</v>
      </c>
      <c r="E31" s="48">
        <v>2.399484820217402</v>
      </c>
    </row>
    <row r="32">
      <c r="A32" s="45" t="n">
        <v>3</v>
      </c>
      <c r="B32" s="46">
        <v>352.1105504235937</v>
      </c>
      <c r="C32" s="46">
        <v>375.0355504235937</v>
      </c>
      <c r="D32" s="47">
        <v>140.47611661318857</v>
      </c>
      <c r="E32" s="48">
        <v>5.950822197584788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68.7035882165937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11.074454784335629</v>
      </c>
      <c r="C37" s="47">
        <v>23.94742937663952</v>
      </c>
      <c r="D37" s="47">
        <v>36.82040396894341</v>
      </c>
      <c r="E37" s="47">
        <v>62.134389400628386</v>
      </c>
      <c r="F37" s="47">
        <v>84.58311907605642</v>
      </c>
    </row>
    <row r="38">
      <c r="A38" s="50" t="n">
        <v>0.8</v>
      </c>
      <c r="B38" s="47">
        <v>19.096209760034213</v>
      </c>
      <c r="C38" s="47">
        <v>36.26017588310607</v>
      </c>
      <c r="D38" s="47">
        <v>53.42414200617793</v>
      </c>
      <c r="E38" s="47">
        <v>84.08800255144503</v>
      </c>
      <c r="F38" s="47">
        <v>113.1166763908224</v>
      </c>
    </row>
    <row r="39">
      <c r="A39" s="50" t="n">
        <v>1</v>
      </c>
      <c r="B39" s="47">
        <v>27.1179647357328</v>
      </c>
      <c r="C39" s="47">
        <v>48.57292238957262</v>
      </c>
      <c r="D39" s="47">
        <v>68.7035882165937</v>
      </c>
      <c r="E39" s="47">
        <v>105.46801175180582</v>
      </c>
      <c r="F39" s="47">
        <v>141.081874192802</v>
      </c>
    </row>
    <row r="40">
      <c r="A40" s="50" t="n">
        <v>1.2</v>
      </c>
      <c r="B40" s="47">
        <v>35.13971971143138</v>
      </c>
      <c r="C40" s="47">
        <v>60.60065053988829</v>
      </c>
      <c r="D40" s="47">
        <v>83.09776950222222</v>
      </c>
      <c r="E40" s="47">
        <v>126.45888657088935</v>
      </c>
      <c r="F40" s="47">
        <v>168.71465406277483</v>
      </c>
    </row>
    <row r="41">
      <c r="A41" s="50" t="n">
        <v>1.4</v>
      </c>
      <c r="B41" s="47">
        <v>43.16147468712996</v>
      </c>
      <c r="C41" s="47">
        <v>71.45404563521137</v>
      </c>
      <c r="D41" s="47">
        <v>97.2328873976273</v>
      </c>
      <c r="E41" s="47">
        <v>147.1990795747639</v>
      </c>
      <c r="F41" s="47">
        <v>196.19730420815554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Yarrow Bioscience, Inc.: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Rare autoimmune</t>
        </is>
      </c>
      <c r="C4" s="14" t="inlineStr">
        <is>
          <t>Experimental: YB-101</t>
        </is>
      </c>
      <c r="D4" s="14" t="inlineStr">
        <is>
          <t>Phase 2</t>
        </is>
      </c>
      <c r="E4" s="14" t="inlineStr">
        <is>
          <t>Autoimmune / rare</t>
        </is>
      </c>
      <c r="F4" s="14" t="inlineStr">
        <is>
          <t>Owned</t>
        </is>
      </c>
      <c r="G4" s="40" t="n">
        <v>800</v>
      </c>
      <c r="H4" s="27" t="n">
        <v>0.2521</v>
      </c>
      <c r="I4" s="26" t="n">
        <v>2031</v>
      </c>
      <c r="J4" s="39">
        <f>I4+Assumptions!$B$25</f>
        <v>2043.0</v>
      </c>
      <c r="K4" s="53">
        <f>Assumptions!$E$13</f>
        <v>0.4</v>
      </c>
      <c r="L4" s="23">
        <f>K4*SUMPRODUCT(M4:AF4,NPV!$C$15:$V$15)</f>
        <v>229.11714950603306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20.168</v>
      </c>
      <c r="S4" s="23">
        <f>IF(S$3&lt;$I4,0,$G4*Assumptions!$E$11*INDEX(Assumptions!$B$24:$G$24,MIN(6,S$3-$I4+1))*IF(S$3&gt;$J4,(1-Assumptions!$B$26)^(S$3-$J4),1)*IF($H4&gt;=1,1,MIN(0.97,$H4*Assumptions!$E$12)))</f>
        <v>50.42</v>
      </c>
      <c r="T4" s="23">
        <f>IF(T$3&lt;$I4,0,$G4*Assumptions!$E$11*INDEX(Assumptions!$B$24:$G$24,MIN(6,T$3-$I4+1))*IF(T$3&gt;$J4,(1-Assumptions!$B$26)^(T$3-$J4),1)*IF($H4&gt;=1,1,MIN(0.97,$H4*Assumptions!$E$12)))</f>
        <v>90.756</v>
      </c>
      <c r="U4" s="23">
        <f>IF(U$3&lt;$I4,0,$G4*Assumptions!$E$11*INDEX(Assumptions!$B$24:$G$24,MIN(6,U$3-$I4+1))*IF(U$3&gt;$J4,(1-Assumptions!$B$26)^(U$3-$J4),1)*IF($H4&gt;=1,1,MIN(0.97,$H4*Assumptions!$E$12)))</f>
        <v>131.09199999999998</v>
      </c>
      <c r="V4" s="23">
        <f>IF(V$3&lt;$I4,0,$G4*Assumptions!$E$11*INDEX(Assumptions!$B$24:$G$24,MIN(6,V$3-$I4+1))*IF(V$3&gt;$J4,(1-Assumptions!$B$26)^(V$3-$J4),1)*IF($H4&gt;=1,1,MIN(0.97,$H4*Assumptions!$E$12)))</f>
        <v>171.428</v>
      </c>
      <c r="W4" s="23">
        <f>IF(W$3&lt;$I4,0,$G4*Assumptions!$E$11*INDEX(Assumptions!$B$24:$G$24,MIN(6,W$3-$I4+1))*IF(W$3&gt;$J4,(1-Assumptions!$B$26)^(W$3-$J4),1)*IF($H4&gt;=1,1,MIN(0.97,$H4*Assumptions!$E$12)))</f>
        <v>201.68</v>
      </c>
      <c r="X4" s="23">
        <f>IF(X$3&lt;$I4,0,$G4*Assumptions!$E$11*INDEX(Assumptions!$B$24:$G$24,MIN(6,X$3-$I4+1))*IF(X$3&gt;$J4,(1-Assumptions!$B$26)^(X$3-$J4),1)*IF($H4&gt;=1,1,MIN(0.97,$H4*Assumptions!$E$12)))</f>
        <v>201.68</v>
      </c>
      <c r="Y4" s="23">
        <f>IF(Y$3&lt;$I4,0,$G4*Assumptions!$E$11*INDEX(Assumptions!$B$24:$G$24,MIN(6,Y$3-$I4+1))*IF(Y$3&gt;$J4,(1-Assumptions!$B$26)^(Y$3-$J4),1)*IF($H4&gt;=1,1,MIN(0.97,$H4*Assumptions!$E$12)))</f>
        <v>201.68</v>
      </c>
      <c r="Z4" s="23">
        <f>IF(Z$3&lt;$I4,0,$G4*Assumptions!$E$11*INDEX(Assumptions!$B$24:$G$24,MIN(6,Z$3-$I4+1))*IF(Z$3&gt;$J4,(1-Assumptions!$B$26)^(Z$3-$J4),1)*IF($H4&gt;=1,1,MIN(0.97,$H4*Assumptions!$E$12)))</f>
        <v>201.68</v>
      </c>
      <c r="AA4" s="23">
        <f>IF(AA$3&lt;$I4,0,$G4*Assumptions!$E$11*INDEX(Assumptions!$B$24:$G$24,MIN(6,AA$3-$I4+1))*IF(AA$3&gt;$J4,(1-Assumptions!$B$26)^(AA$3-$J4),1)*IF($H4&gt;=1,1,MIN(0.97,$H4*Assumptions!$E$12)))</f>
        <v>201.68</v>
      </c>
      <c r="AB4" s="23">
        <f>IF(AB$3&lt;$I4,0,$G4*Assumptions!$E$11*INDEX(Assumptions!$B$24:$G$24,MIN(6,AB$3-$I4+1))*IF(AB$3&gt;$J4,(1-Assumptions!$B$26)^(AB$3-$J4),1)*IF($H4&gt;=1,1,MIN(0.97,$H4*Assumptions!$E$12)))</f>
        <v>201.68</v>
      </c>
      <c r="AC4" s="23">
        <f>IF(AC$3&lt;$I4,0,$G4*Assumptions!$E$11*INDEX(Assumptions!$B$24:$G$24,MIN(6,AC$3-$I4+1))*IF(AC$3&gt;$J4,(1-Assumptions!$B$26)^(AC$3-$J4),1)*IF($H4&gt;=1,1,MIN(0.97,$H4*Assumptions!$E$12)))</f>
        <v>201.68</v>
      </c>
      <c r="AD4" s="23">
        <f>IF(AD$3&lt;$I4,0,$G4*Assumptions!$E$11*INDEX(Assumptions!$B$24:$G$24,MIN(6,AD$3-$I4+1))*IF(AD$3&gt;$J4,(1-Assumptions!$B$26)^(AD$3-$J4),1)*IF($H4&gt;=1,1,MIN(0.97,$H4*Assumptions!$E$12)))</f>
        <v>201.68</v>
      </c>
      <c r="AE4" s="23">
        <f>IF(AE$3&lt;$I4,0,$G4*Assumptions!$E$11*INDEX(Assumptions!$B$24:$G$24,MIN(6,AE$3-$I4+1))*IF(AE$3&gt;$J4,(1-Assumptions!$B$26)^(AE$3-$J4),1)*IF($H4&gt;=1,1,MIN(0.97,$H4*Assumptions!$E$12)))</f>
        <v>100.84</v>
      </c>
      <c r="AF4" s="23">
        <f>IF(AF$3&lt;$I4,0,$G4*Assumptions!$E$11*INDEX(Assumptions!$B$24:$G$24,MIN(6,AF$3-$I4+1))*IF(AF$3&gt;$J4,(1-Assumptions!$B$26)^(AF$3-$J4),1)*IF($H4&gt;=1,1,MIN(0.97,$H4*Assumptions!$E$12)))</f>
        <v>50.42</v>
      </c>
      <c r="AG4" s="35">
        <f>IF(F4="Owned",1-IF(H4&gt;=1,1,MIN(0.97,H4*Assumptions!$E$12)),1)</f>
        <v>0.7479</v>
      </c>
    </row>
    <row r="5">
      <c r="B5" s="24" t="inlineStr">
        <is>
          <t>Risked revenue</t>
        </is>
      </c>
      <c r="L5" s="54">
        <f>SUM(L4:L4)</f>
        <v>229.11714950603306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0.0</v>
      </c>
      <c r="Q5" s="54">
        <f>SUM(Q4:Q4)</f>
        <v>0.0</v>
      </c>
      <c r="R5" s="54">
        <f>SUM(R4:R4)</f>
        <v>20.168</v>
      </c>
      <c r="S5" s="54">
        <f>SUM(S4:S4)</f>
        <v>50.42</v>
      </c>
      <c r="T5" s="54">
        <f>SUM(T4:T4)</f>
        <v>90.756</v>
      </c>
      <c r="U5" s="54">
        <f>SUM(U4:U4)</f>
        <v>131.09199999999998</v>
      </c>
      <c r="V5" s="54">
        <f>SUM(V4:V4)</f>
        <v>171.428</v>
      </c>
      <c r="W5" s="54">
        <f>SUM(W4:W4)</f>
        <v>201.68</v>
      </c>
      <c r="X5" s="54">
        <f>SUM(X4:X4)</f>
        <v>201.68</v>
      </c>
      <c r="Y5" s="54">
        <f>SUM(Y4:Y4)</f>
        <v>201.68</v>
      </c>
      <c r="Z5" s="54">
        <f>SUM(Z4:Z4)</f>
        <v>201.68</v>
      </c>
      <c r="AA5" s="54">
        <f>SUM(AA4:AA4)</f>
        <v>201.68</v>
      </c>
      <c r="AB5" s="54">
        <f>SUM(AB4:AB4)</f>
        <v>201.68</v>
      </c>
      <c r="AC5" s="54">
        <f>SUM(AC4:AC4)</f>
        <v>201.68</v>
      </c>
      <c r="AD5" s="54">
        <f>SUM(AD4:AD4)</f>
        <v>201.68</v>
      </c>
      <c r="AE5" s="54">
        <f>SUM(AE4:AE4)</f>
        <v>100.84</v>
      </c>
      <c r="AF5" s="54">
        <f>SUM(AF4:AF4)</f>
        <v>50.42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0.0</v>
      </c>
      <c r="Q6" s="55">
        <f>SUMPRODUCT(Q4:Q4,$K$4:$K$4)</f>
        <v>0.0</v>
      </c>
      <c r="R6" s="55">
        <f>SUMPRODUCT(R4:R4,$K$4:$K$4)</f>
        <v>8.0672</v>
      </c>
      <c r="S6" s="55">
        <f>SUMPRODUCT(S4:S4,$K$4:$K$4)</f>
        <v>20.168000000000003</v>
      </c>
      <c r="T6" s="55">
        <f>SUMPRODUCT(T4:T4,$K$4:$K$4)</f>
        <v>36.3024</v>
      </c>
      <c r="U6" s="55">
        <f>SUMPRODUCT(U4:U4,$K$4:$K$4)</f>
        <v>52.4368</v>
      </c>
      <c r="V6" s="55">
        <f>SUMPRODUCT(V4:V4,$K$4:$K$4)</f>
        <v>68.5712</v>
      </c>
      <c r="W6" s="55">
        <f>SUMPRODUCT(W4:W4,$K$4:$K$4)</f>
        <v>80.67200000000001</v>
      </c>
      <c r="X6" s="55">
        <f>SUMPRODUCT(X4:X4,$K$4:$K$4)</f>
        <v>80.67200000000001</v>
      </c>
      <c r="Y6" s="55">
        <f>SUMPRODUCT(Y4:Y4,$K$4:$K$4)</f>
        <v>80.67200000000001</v>
      </c>
      <c r="Z6" s="55">
        <f>SUMPRODUCT(Z4:Z4,$K$4:$K$4)</f>
        <v>80.67200000000001</v>
      </c>
      <c r="AA6" s="55">
        <f>SUMPRODUCT(AA4:AA4,$K$4:$K$4)</f>
        <v>80.67200000000001</v>
      </c>
      <c r="AB6" s="55">
        <f>SUMPRODUCT(AB4:AB4,$K$4:$K$4)</f>
        <v>80.67200000000001</v>
      </c>
      <c r="AC6" s="55">
        <f>SUMPRODUCT(AC4:AC4,$K$4:$K$4)</f>
        <v>80.67200000000001</v>
      </c>
      <c r="AD6" s="55">
        <f>SUMPRODUCT(AD4:AD4,$K$4:$K$4)</f>
        <v>80.67200000000001</v>
      </c>
      <c r="AE6" s="55">
        <f>SUMPRODUCT(AE4:AE4,$K$4:$K$4)</f>
        <v>40.336000000000006</v>
      </c>
      <c r="AF6" s="55">
        <f>SUMPRODUCT(AF4:AF4,$K$4:$K$4)</f>
        <v>20.168000000000003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Yarrow Bioscience, Inc.: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0.0</v>
      </c>
      <c r="G4" s="57">
        <f>Pipeline!Q5</f>
        <v>0.0</v>
      </c>
      <c r="H4" s="57">
        <f>Pipeline!R5</f>
        <v>20.168</v>
      </c>
      <c r="I4" s="57">
        <f>Pipeline!S5</f>
        <v>50.42</v>
      </c>
      <c r="J4" s="57">
        <f>Pipeline!T5</f>
        <v>90.756</v>
      </c>
      <c r="K4" s="57">
        <f>Pipeline!U5</f>
        <v>131.09199999999998</v>
      </c>
      <c r="L4" s="57">
        <f>Pipeline!V5</f>
        <v>171.428</v>
      </c>
      <c r="M4" s="57">
        <f>Pipeline!W5</f>
        <v>201.68</v>
      </c>
      <c r="N4" s="57">
        <f>Pipeline!X5</f>
        <v>201.68</v>
      </c>
      <c r="O4" s="57">
        <f>Pipeline!Y5</f>
        <v>201.68</v>
      </c>
      <c r="P4" s="57">
        <f>Pipeline!Z5</f>
        <v>201.68</v>
      </c>
      <c r="Q4" s="57">
        <f>Pipeline!AA5</f>
        <v>201.68</v>
      </c>
      <c r="R4" s="57">
        <f>Pipeline!AB5</f>
        <v>201.68</v>
      </c>
      <c r="S4" s="57">
        <f>Pipeline!AC5</f>
        <v>201.68</v>
      </c>
      <c r="T4" s="57">
        <f>Pipeline!AD5</f>
        <v>201.68</v>
      </c>
      <c r="U4" s="57">
        <f>Pipeline!AE5</f>
        <v>100.84</v>
      </c>
      <c r="V4" s="57">
        <f>Pipeline!AF5</f>
        <v>50.42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0.0</v>
      </c>
      <c r="G5" s="57">
        <f>Pipeline!Q6</f>
        <v>0.0</v>
      </c>
      <c r="H5" s="57">
        <f>Pipeline!R6</f>
        <v>8.0672</v>
      </c>
      <c r="I5" s="57">
        <f>Pipeline!S6</f>
        <v>20.168000000000003</v>
      </c>
      <c r="J5" s="57">
        <f>Pipeline!T6</f>
        <v>36.3024</v>
      </c>
      <c r="K5" s="57">
        <f>Pipeline!U6</f>
        <v>52.4368</v>
      </c>
      <c r="L5" s="57">
        <f>Pipeline!V6</f>
        <v>68.5712</v>
      </c>
      <c r="M5" s="57">
        <f>Pipeline!W6</f>
        <v>80.67200000000001</v>
      </c>
      <c r="N5" s="57">
        <f>Pipeline!X6</f>
        <v>80.67200000000001</v>
      </c>
      <c r="O5" s="57">
        <f>Pipeline!Y6</f>
        <v>80.67200000000001</v>
      </c>
      <c r="P5" s="57">
        <f>Pipeline!Z6</f>
        <v>80.67200000000001</v>
      </c>
      <c r="Q5" s="57">
        <f>Pipeline!AA6</f>
        <v>80.67200000000001</v>
      </c>
      <c r="R5" s="57">
        <f>Pipeline!AB6</f>
        <v>80.67200000000001</v>
      </c>
      <c r="S5" s="57">
        <f>Pipeline!AC6</f>
        <v>80.67200000000001</v>
      </c>
      <c r="T5" s="57">
        <f>Pipeline!AD6</f>
        <v>80.67200000000001</v>
      </c>
      <c r="U5" s="57">
        <f>Pipeline!AE6</f>
        <v>40.336000000000006</v>
      </c>
      <c r="V5" s="57">
        <f>Pipeline!AF6</f>
        <v>20.168000000000003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-19.929</v>
      </c>
      <c r="D6" s="23">
        <f>-IF(D3-2026&lt;Assumptions!$B$19,Assumptions!$B$18,Assumptions!$B$18*Assumptions!$B$20*Assumptions!$B$16)</f>
        <v>-19.929</v>
      </c>
      <c r="E6" s="23">
        <f>-IF(E3-2026&lt;Assumptions!$B$19,Assumptions!$B$18,Assumptions!$B$18*Assumptions!$B$20*Assumptions!$B$16)</f>
        <v>-19.929</v>
      </c>
      <c r="F6" s="23">
        <f>-IF(F3-2026&lt;Assumptions!$B$19,Assumptions!$B$18,Assumptions!$B$18*Assumptions!$B$20*Assumptions!$B$16)</f>
        <v>-19.929</v>
      </c>
      <c r="G6" s="23">
        <f>-IF(G3-2026&lt;Assumptions!$B$19,Assumptions!$B$18,Assumptions!$B$18*Assumptions!$B$20*Assumptions!$B$16)</f>
        <v>-1.5072302699999998</v>
      </c>
      <c r="H6" s="23">
        <f>-IF(H3-2026&lt;Assumptions!$B$19,Assumptions!$B$18,Assumptions!$B$18*Assumptions!$B$20*Assumptions!$B$16)</f>
        <v>-1.5072302699999998</v>
      </c>
      <c r="I6" s="23">
        <f>-IF(I3-2026&lt;Assumptions!$B$19,Assumptions!$B$18,Assumptions!$B$18*Assumptions!$B$20*Assumptions!$B$16)</f>
        <v>-1.5072302699999998</v>
      </c>
      <c r="J6" s="23">
        <f>-IF(J3-2026&lt;Assumptions!$B$19,Assumptions!$B$18,Assumptions!$B$18*Assumptions!$B$20*Assumptions!$B$16)</f>
        <v>-1.5072302699999998</v>
      </c>
      <c r="K6" s="23">
        <f>-IF(K3-2026&lt;Assumptions!$B$19,Assumptions!$B$18,Assumptions!$B$18*Assumptions!$B$20*Assumptions!$B$16)</f>
        <v>-1.5072302699999998</v>
      </c>
      <c r="L6" s="23">
        <f>-IF(L3-2026&lt;Assumptions!$B$19,Assumptions!$B$18,Assumptions!$B$18*Assumptions!$B$20*Assumptions!$B$16)</f>
        <v>-1.5072302699999998</v>
      </c>
      <c r="M6" s="23">
        <f>-IF(M3-2026&lt;Assumptions!$B$19,Assumptions!$B$18,Assumptions!$B$18*Assumptions!$B$20*Assumptions!$B$16)</f>
        <v>-1.5072302699999998</v>
      </c>
      <c r="N6" s="23">
        <f>-IF(N3-2026&lt;Assumptions!$B$19,Assumptions!$B$18,Assumptions!$B$18*Assumptions!$B$20*Assumptions!$B$16)</f>
        <v>-1.5072302699999998</v>
      </c>
      <c r="O6" s="23">
        <f>-IF(O3-2026&lt;Assumptions!$B$19,Assumptions!$B$18,Assumptions!$B$18*Assumptions!$B$20*Assumptions!$B$16)</f>
        <v>-1.5072302699999998</v>
      </c>
      <c r="P6" s="23">
        <f>-IF(P3-2026&lt;Assumptions!$B$19,Assumptions!$B$18,Assumptions!$B$18*Assumptions!$B$20*Assumptions!$B$16)</f>
        <v>-1.5072302699999998</v>
      </c>
      <c r="Q6" s="23">
        <f>-IF(Q3-2026&lt;Assumptions!$B$19,Assumptions!$B$18,Assumptions!$B$18*Assumptions!$B$20*Assumptions!$B$16)</f>
        <v>-1.5072302699999998</v>
      </c>
      <c r="R6" s="23">
        <f>-IF(R3-2026&lt;Assumptions!$B$19,Assumptions!$B$18,Assumptions!$B$18*Assumptions!$B$20*Assumptions!$B$16)</f>
        <v>-1.5072302699999998</v>
      </c>
      <c r="S6" s="23">
        <f>-IF(S3-2026&lt;Assumptions!$B$19,Assumptions!$B$18,Assumptions!$B$18*Assumptions!$B$20*Assumptions!$B$16)</f>
        <v>-1.5072302699999998</v>
      </c>
      <c r="T6" s="23">
        <f>-IF(T3-2026&lt;Assumptions!$B$19,Assumptions!$B$18,Assumptions!$B$18*Assumptions!$B$20*Assumptions!$B$16)</f>
        <v>-1.5072302699999998</v>
      </c>
      <c r="U6" s="23">
        <f>-IF(U3-2026&lt;Assumptions!$B$19,Assumptions!$B$18,Assumptions!$B$18*Assumptions!$B$20*Assumptions!$B$16)</f>
        <v>-1.5072302699999998</v>
      </c>
      <c r="V6" s="23">
        <f>-IF(V3-2026&lt;Assumptions!$B$19,Assumptions!$B$18,Assumptions!$B$18*Assumptions!$B$20*Assumptions!$B$16)</f>
        <v>-1.5072302699999998</v>
      </c>
    </row>
    <row r="7">
      <c r="A7" s="14" t="inlineStr">
        <is>
          <t>Pre-tax cash flow</t>
        </is>
      </c>
      <c r="C7" s="23">
        <f>C5+C6</f>
        <v>-19.929</v>
      </c>
      <c r="D7" s="23">
        <f>D5+D6</f>
        <v>-19.929</v>
      </c>
      <c r="E7" s="23">
        <f>E5+E6</f>
        <v>-19.929</v>
      </c>
      <c r="F7" s="23">
        <f>F5+F6</f>
        <v>-19.929</v>
      </c>
      <c r="G7" s="23">
        <f>G5+G6</f>
        <v>-1.5072302699999998</v>
      </c>
      <c r="H7" s="23">
        <f>H5+H6</f>
        <v>6.55996973</v>
      </c>
      <c r="I7" s="23">
        <f>I5+I6</f>
        <v>18.660769730000002</v>
      </c>
      <c r="J7" s="23">
        <f>J5+J6</f>
        <v>34.79516973</v>
      </c>
      <c r="K7" s="23">
        <f>K5+K6</f>
        <v>50.92956973</v>
      </c>
      <c r="L7" s="23">
        <f>L5+L6</f>
        <v>67.06396973000001</v>
      </c>
      <c r="M7" s="23">
        <f>M5+M6</f>
        <v>79.16476973000002</v>
      </c>
      <c r="N7" s="23">
        <f>N5+N6</f>
        <v>79.16476973000002</v>
      </c>
      <c r="O7" s="23">
        <f>O5+O6</f>
        <v>79.16476973000002</v>
      </c>
      <c r="P7" s="23">
        <f>P5+P6</f>
        <v>79.16476973000002</v>
      </c>
      <c r="Q7" s="23">
        <f>Q5+Q6</f>
        <v>79.16476973000002</v>
      </c>
      <c r="R7" s="23">
        <f>R5+R6</f>
        <v>79.16476973000002</v>
      </c>
      <c r="S7" s="23">
        <f>S5+S6</f>
        <v>79.16476973000002</v>
      </c>
      <c r="T7" s="23">
        <f>T5+T6</f>
        <v>79.16476973000002</v>
      </c>
      <c r="U7" s="23">
        <f>U5+U6</f>
        <v>38.828769730000005</v>
      </c>
      <c r="V7" s="23">
        <f>V5+V6</f>
        <v>18.660769730000002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6.55996973</v>
      </c>
      <c r="I8" s="23">
        <f>MIN(H17,MAX(0,I7))</f>
        <v>18.660769730000002</v>
      </c>
      <c r="J8" s="23">
        <f>MIN(I17,MAX(0,J7))</f>
        <v>34.79516973</v>
      </c>
      <c r="K8" s="23">
        <f>MIN(J17,MAX(0,K7))</f>
        <v>50.92956973</v>
      </c>
      <c r="L8" s="23">
        <f>MIN(K17,MAX(0,L7))</f>
        <v>67.06396973000001</v>
      </c>
      <c r="M8" s="23">
        <f>MIN(L17,MAX(0,M7))</f>
        <v>79.16476973000002</v>
      </c>
      <c r="N8" s="23">
        <f>MIN(M17,MAX(0,N7))</f>
        <v>79.16476973000002</v>
      </c>
      <c r="O8" s="23">
        <f>MIN(N17,MAX(0,O7))</f>
        <v>79.16476973000002</v>
      </c>
      <c r="P8" s="23">
        <f>MIN(O17,MAX(0,P7))</f>
        <v>79.16476973000002</v>
      </c>
      <c r="Q8" s="23">
        <f>MIN(P17,MAX(0,Q7))</f>
        <v>79.16476973000002</v>
      </c>
      <c r="R8" s="23">
        <f>MIN(Q17,MAX(0,R7))</f>
        <v>79.16476973000002</v>
      </c>
      <c r="S8" s="23">
        <f>MIN(R17,MAX(0,S7))</f>
        <v>79.16476973000002</v>
      </c>
      <c r="T8" s="23">
        <f>MIN(S17,MAX(0,T7))</f>
        <v>13.060393509999813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0.0</v>
      </c>
      <c r="P9" s="23">
        <f>MAX(0,P7)-P8</f>
        <v>0.0</v>
      </c>
      <c r="Q9" s="23">
        <f>MAX(0,Q7)-Q8</f>
        <v>0.0</v>
      </c>
      <c r="R9" s="23">
        <f>MAX(0,R7)-R8</f>
        <v>0.0</v>
      </c>
      <c r="S9" s="23">
        <f>MAX(0,S7)-S8</f>
        <v>0.0</v>
      </c>
      <c r="T9" s="23">
        <f>MAX(0,T7)-T8</f>
        <v>66.1043762200002</v>
      </c>
      <c r="U9" s="23">
        <f>MAX(0,U7)-U8</f>
        <v>38.828769730000005</v>
      </c>
      <c r="V9" s="23">
        <f>MAX(0,V7)-V8</f>
        <v>18.660769730000002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0.0</v>
      </c>
      <c r="P10" s="23">
        <f>P9*Assumptions!$E$15</f>
        <v>0.0</v>
      </c>
      <c r="Q10" s="23">
        <f>Q9*Assumptions!$E$15</f>
        <v>0.0</v>
      </c>
      <c r="R10" s="23">
        <f>R9*Assumptions!$E$15</f>
        <v>0.0</v>
      </c>
      <c r="S10" s="23">
        <f>S9*Assumptions!$E$15</f>
        <v>0.0</v>
      </c>
      <c r="T10" s="23">
        <f>T9*Assumptions!$E$15</f>
        <v>13.881919006200043</v>
      </c>
      <c r="U10" s="23">
        <f>U9*Assumptions!$E$15</f>
        <v>8.154041643300001</v>
      </c>
      <c r="V10" s="23">
        <f>V9*Assumptions!$E$15</f>
        <v>3.9187616433000003</v>
      </c>
    </row>
    <row r="11">
      <c r="A11" s="24" t="inlineStr">
        <is>
          <t>Free cash flow</t>
        </is>
      </c>
      <c r="C11" s="55">
        <f>C7-C10</f>
        <v>-19.929</v>
      </c>
      <c r="D11" s="55">
        <f>D7-D10</f>
        <v>-19.929</v>
      </c>
      <c r="E11" s="55">
        <f>E7-E10</f>
        <v>-19.929</v>
      </c>
      <c r="F11" s="55">
        <f>F7-F10</f>
        <v>-19.929</v>
      </c>
      <c r="G11" s="55">
        <f>G7-G10</f>
        <v>-1.5072302699999998</v>
      </c>
      <c r="H11" s="55">
        <f>H7-H10</f>
        <v>6.55996973</v>
      </c>
      <c r="I11" s="55">
        <f>I7-I10</f>
        <v>18.660769730000002</v>
      </c>
      <c r="J11" s="55">
        <f>J7-J10</f>
        <v>34.79516973</v>
      </c>
      <c r="K11" s="55">
        <f>K7-K10</f>
        <v>50.92956973</v>
      </c>
      <c r="L11" s="55">
        <f>L7-L10</f>
        <v>67.06396973000001</v>
      </c>
      <c r="M11" s="55">
        <f>M7-M10</f>
        <v>79.16476973000002</v>
      </c>
      <c r="N11" s="55">
        <f>N7-N10</f>
        <v>79.16476973000002</v>
      </c>
      <c r="O11" s="55">
        <f>O7-O10</f>
        <v>79.16476973000002</v>
      </c>
      <c r="P11" s="55">
        <f>P7-P10</f>
        <v>79.16476973000002</v>
      </c>
      <c r="Q11" s="55">
        <f>Q7-Q10</f>
        <v>79.16476973000002</v>
      </c>
      <c r="R11" s="55">
        <f>R7-R10</f>
        <v>79.16476973000002</v>
      </c>
      <c r="S11" s="55">
        <f>S7-S10</f>
        <v>79.16476973000002</v>
      </c>
      <c r="T11" s="55">
        <f>T7-T10</f>
        <v>65.28285072379998</v>
      </c>
      <c r="U11" s="55">
        <f>U7-U10</f>
        <v>30.674728086700004</v>
      </c>
      <c r="V11" s="55">
        <f>V7-V10</f>
        <v>14.742008086700002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-9.763303771513183</v>
      </c>
      <c r="D16" s="55">
        <f>D11*D15</f>
        <v>-17.78548409710858</v>
      </c>
      <c r="E16" s="55">
        <f>E11*E15</f>
        <v>-15.879896515275513</v>
      </c>
      <c r="F16" s="55">
        <f>F11*F15</f>
        <v>-14.178479031495995</v>
      </c>
      <c r="G16" s="55">
        <f>G11*G15</f>
        <v>-0.9574271153143231</v>
      </c>
      <c r="H16" s="55">
        <f>H11*H15</f>
        <v>3.720573840068045</v>
      </c>
      <c r="I16" s="55">
        <f>I11*I15</f>
        <v>9.449734873375327</v>
      </c>
      <c r="J16" s="55">
        <f>J11*J15</f>
        <v>15.73225607116028</v>
      </c>
      <c r="K16" s="55">
        <f>K11*K15</f>
        <v>20.560043627251037</v>
      </c>
      <c r="L16" s="55">
        <f>L11*L15</f>
        <v>24.172705400097296</v>
      </c>
      <c r="M16" s="55">
        <f>M11*M15</f>
        <v>25.47709651128222</v>
      </c>
      <c r="N16" s="55">
        <f>N11*N15</f>
        <v>22.74740759935912</v>
      </c>
      <c r="O16" s="55">
        <f>O11*O15</f>
        <v>20.310185356570642</v>
      </c>
      <c r="P16" s="55">
        <f>P11*P15</f>
        <v>18.134094068366643</v>
      </c>
      <c r="Q16" s="55">
        <f>Q11*Q15</f>
        <v>16.191155418184504</v>
      </c>
      <c r="R16" s="55">
        <f>R11*R15</f>
        <v>14.456388766236163</v>
      </c>
      <c r="S16" s="55">
        <f>S11*S15</f>
        <v>12.907489969853714</v>
      </c>
      <c r="T16" s="55">
        <f>T11*T15</f>
        <v>9.503660888400551</v>
      </c>
      <c r="U16" s="55">
        <f>U11*U15</f>
        <v>3.987076051527885</v>
      </c>
      <c r="V16" s="55">
        <f>V11*V15</f>
        <v>1.7108519158723094</v>
      </c>
    </row>
    <row r="17">
      <c r="A17" s="14" t="inlineStr">
        <is>
          <t>Tax-loss carryforward, end of year</t>
        </is>
      </c>
      <c r="C17" s="23">
        <f>Assumptions!$B$21-C8+MAX(0,-C7)</f>
        <v>683.929</v>
      </c>
      <c r="D17" s="23">
        <f>C17-D8+MAX(0,-D7)</f>
        <v>703.858</v>
      </c>
      <c r="E17" s="23">
        <f>D17-E8+MAX(0,-E7)</f>
        <v>723.7869999999999</v>
      </c>
      <c r="F17" s="23">
        <f>E17-F8+MAX(0,-F7)</f>
        <v>743.7159999999999</v>
      </c>
      <c r="G17" s="23">
        <f>F17-G8+MAX(0,-G7)</f>
        <v>745.2232302699999</v>
      </c>
      <c r="H17" s="23">
        <f>G17-H8+MAX(0,-H7)</f>
        <v>738.6632605399999</v>
      </c>
      <c r="I17" s="23">
        <f>H17-I8+MAX(0,-I7)</f>
        <v>720.0024908099999</v>
      </c>
      <c r="J17" s="23">
        <f>I17-J8+MAX(0,-J7)</f>
        <v>685.2073210799999</v>
      </c>
      <c r="K17" s="23">
        <f>J17-K8+MAX(0,-K7)</f>
        <v>634.2777513499999</v>
      </c>
      <c r="L17" s="23">
        <f>K17-L8+MAX(0,-L7)</f>
        <v>567.2137816199998</v>
      </c>
      <c r="M17" s="23">
        <f>L17-M8+MAX(0,-M7)</f>
        <v>488.04901188999986</v>
      </c>
      <c r="N17" s="23">
        <f>M17-N8+MAX(0,-N7)</f>
        <v>408.88424215999987</v>
      </c>
      <c r="O17" s="23">
        <f>N17-O8+MAX(0,-O7)</f>
        <v>329.7194724299999</v>
      </c>
      <c r="P17" s="23">
        <f>O17-P8+MAX(0,-P7)</f>
        <v>250.55470269999986</v>
      </c>
      <c r="Q17" s="23">
        <f>P17-Q8+MAX(0,-Q7)</f>
        <v>171.38993296999985</v>
      </c>
      <c r="R17" s="23">
        <f>Q17-R8+MAX(0,-R7)</f>
        <v>92.22516323999983</v>
      </c>
      <c r="S17" s="23">
        <f>R17-S8+MAX(0,-S7)</f>
        <v>13.060393509999813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229.11714950603306</v>
      </c>
    </row>
    <row r="20">
      <c r="A20" s="14" t="inlineStr">
        <is>
          <t>PV of corporate burn</t>
        </is>
      </c>
      <c r="B20" s="23">
        <f>SUMPRODUCT(C6:V6,C15:V15)</f>
        <v>-65.08549687165281</v>
      </c>
    </row>
    <row r="21">
      <c r="A21" s="14" t="inlineStr">
        <is>
          <t>PV of taxes</t>
        </is>
      </c>
      <c r="B21" s="23">
        <f>-SUMPRODUCT(C10:V10,C15:V15)</f>
        <v>-3.535522807482089</v>
      </c>
    </row>
    <row r="22">
      <c r="A22" s="24" t="inlineStr">
        <is>
          <t>Pipeline rNPV (operations)</t>
        </is>
      </c>
      <c r="B22" s="54">
        <f>SUM(C16:V16)</f>
        <v>160.49612982689814</v>
      </c>
    </row>
    <row r="23">
      <c r="A23" s="14" t="inlineStr">
        <is>
          <t>Cash &amp; investments</t>
        </is>
      </c>
      <c r="B23" s="57">
        <f>Main!C7</f>
        <v>22.925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183.42112982689815</v>
      </c>
    </row>
    <row r="26">
      <c r="A26" s="14" t="inlineStr">
        <is>
          <t>Shares (mm)</t>
        </is>
      </c>
      <c r="B26" s="57">
        <f>Main!C4</f>
        <v>2.669746</v>
      </c>
    </row>
    <row r="27">
      <c r="A27" s="24" t="inlineStr">
        <is>
          <t>rNPV / share</t>
        </is>
      </c>
      <c r="B27" s="60">
        <f>B25/B26</f>
        <v>68.7035882165937</v>
      </c>
    </row>
    <row r="28">
      <c r="A28" s="14" t="inlineStr">
        <is>
          <t>Price</t>
        </is>
      </c>
      <c r="B28" s="61">
        <f>Main!C3</f>
        <v>20.21</v>
      </c>
    </row>
    <row r="29">
      <c r="A29" s="14" t="inlineStr">
        <is>
          <t>Upside</t>
        </is>
      </c>
      <c r="B29" s="62">
        <f>B27/B28-1</f>
        <v>2.399484820217402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2026-10-21T06:29:10Z</dcterms:modified>
  <cp:lastModifiedBy>Wang, Eric</cp:lastModifiedBy>
</cp:coreProperties>
</file>