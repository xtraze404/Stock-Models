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Perspective Therapeutics, Inc.</t>
        </is>
      </c>
      <c r="C2" s="10" t="n"/>
    </row>
    <row r="3">
      <c r="B3" t="inlineStr">
        <is>
          <t>Price</t>
        </is>
      </c>
      <c r="C3" s="11">
        <f>INDEX([1]Pharma!$F$1:$F$1000,MATCH("CATX",[1]Pharma!$B$1:$B$1000,0))</f>
        <v>2.3</v>
      </c>
      <c r="F3" s="1" t="n"/>
    </row>
    <row r="4">
      <c r="B4" t="inlineStr">
        <is>
          <t>Shares</t>
        </is>
      </c>
      <c r="C4" s="21" t="n">
        <v>114.151663</v>
      </c>
      <c r="F4" s="1" t="n"/>
    </row>
    <row r="5">
      <c r="B5" t="inlineStr">
        <is>
          <t>Market Cap.</t>
        </is>
      </c>
      <c r="C5" s="13">
        <f>C3*C4</f>
        <v>262.5488249</v>
      </c>
      <c r="F5" s="1" t="n"/>
    </row>
    <row r="6"/>
    <row r="7">
      <c r="B7" t="inlineStr">
        <is>
          <t>Cash</t>
        </is>
      </c>
      <c r="C7" s="21">
        <f>48.488+188.388</f>
        <v>236.876</v>
      </c>
    </row>
    <row r="8">
      <c r="B8" t="inlineStr">
        <is>
          <t>Debt</t>
        </is>
      </c>
      <c r="C8" s="21">
        <f>0.057+1.54</f>
        <v>1.597</v>
      </c>
    </row>
    <row r="9">
      <c r="B9" t="inlineStr">
        <is>
          <t>Enterprise V.</t>
        </is>
      </c>
      <c r="C9" s="13">
        <f>C5-C7+C8</f>
        <v>27.269824899999996</v>
      </c>
    </row>
    <row r="10"/>
    <row r="11">
      <c r="B11" s="14" t="inlineStr">
        <is>
          <t>Net Cash / Share</t>
        </is>
      </c>
      <c r="C11" s="11">
        <f>(C7-C8)/C4</f>
        <v>2.061108825019921</v>
      </c>
    </row>
    <row r="12">
      <c r="B12" s="14" t="inlineStr">
        <is>
          <t>Upside</t>
        </is>
      </c>
      <c r="C12" s="15">
        <f>IFERROR(C11/C3-1,"")</f>
        <v>-0.10386572825220808</v>
      </c>
    </row>
    <row r="13">
      <c r="B13" s="14" t="inlineStr">
        <is>
          <t>Cash / Share</t>
        </is>
      </c>
      <c r="C13" s="11">
        <f>IFERROR((C7-C8)/C4,"")</f>
        <v>2.061108825019921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-93.06699999999999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2.5280604295829887</v>
      </c>
    </row>
    <row r="19">
      <c r="B19" s="14" t="inlineStr">
        <is>
          <t>Implied Pipeline Value</t>
        </is>
      </c>
      <c r="C19" s="13">
        <f>C9</f>
        <v>27.269824899999996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5.239</v>
      </c>
      <c r="C2" s="23" t="n">
        <v>5.071</v>
      </c>
      <c r="D2" s="23" t="n">
        <v>4.525</v>
      </c>
      <c r="E2" s="23" t="n">
        <v>4.219</v>
      </c>
      <c r="F2" s="23" t="n">
        <v>4.606</v>
      </c>
      <c r="G2" s="23" t="n">
        <v>4.769</v>
      </c>
      <c r="H2" s="23" t="n">
        <v>4.761</v>
      </c>
      <c r="I2" s="23" t="n">
        <v>5.923</v>
      </c>
      <c r="J2" s="23" t="n">
        <v>7.314</v>
      </c>
      <c r="K2" s="23" t="n">
        <v>9.68</v>
      </c>
      <c r="L2" s="23" t="n">
        <v>10.053</v>
      </c>
      <c r="M2" s="23" t="n">
        <v>0</v>
      </c>
      <c r="N2" s="23" t="n">
        <v>1.434</v>
      </c>
      <c r="O2" s="23" t="n">
        <v>0</v>
      </c>
      <c r="P2" s="23" t="n">
        <v>0</v>
      </c>
    </row>
    <row r="3" customFormat="1" s="1">
      <c r="A3" s="5" t="inlineStr">
        <is>
          <t>Cost of Sales</t>
        </is>
      </c>
      <c r="B3" s="23" t="n">
        <v>4.082</v>
      </c>
      <c r="C3" s="23" t="n">
        <v>4.368</v>
      </c>
      <c r="D3" s="23" t="n">
        <v>4.375</v>
      </c>
      <c r="E3" s="23" t="n">
        <v>4.416</v>
      </c>
      <c r="F3" s="23" t="n">
        <v>4.439</v>
      </c>
      <c r="G3" s="23" t="n">
        <v>4.64</v>
      </c>
      <c r="H3" s="23" t="n">
        <v>3.923</v>
      </c>
      <c r="I3" s="23" t="n">
        <v>4.081</v>
      </c>
      <c r="J3" s="23" t="n">
        <v>4.267</v>
      </c>
      <c r="K3" s="23" t="n">
        <v>4.556</v>
      </c>
      <c r="L3" s="23" t="n">
        <v>4.932</v>
      </c>
      <c r="M3" s="23" t="n">
        <v>6.179</v>
      </c>
      <c r="N3" s="23" t="n">
        <v>0</v>
      </c>
      <c r="O3" s="23" t="n">
        <v>0</v>
      </c>
      <c r="P3" s="23" t="n">
        <v>0</v>
      </c>
    </row>
    <row r="4" customFormat="1" s="1">
      <c r="A4" s="5" t="inlineStr">
        <is>
          <t>Gross Margin</t>
        </is>
      </c>
      <c r="B4" s="23">
        <f>B2-B3</f>
        <v>1.157</v>
      </c>
      <c r="C4" s="23">
        <f>C2-C3</f>
        <v>0.7029999999999994</v>
      </c>
      <c r="D4" s="23">
        <f>D2-D3</f>
        <v>0.15000000000000036</v>
      </c>
      <c r="E4" s="23">
        <f>E2-E3</f>
        <v>-0.19700000000000006</v>
      </c>
      <c r="F4" s="23">
        <f>F2-F3</f>
        <v>0.16699999999999982</v>
      </c>
      <c r="G4" s="23">
        <f>G2-G3</f>
        <v>0.12900000000000045</v>
      </c>
      <c r="H4" s="23">
        <f>H2-H3</f>
        <v>0.8380000000000001</v>
      </c>
      <c r="I4" s="23">
        <f>I2-I3</f>
        <v>1.8419999999999996</v>
      </c>
      <c r="J4" s="23">
        <f>J2-J3</f>
        <v>3.0469999999999997</v>
      </c>
      <c r="K4" s="23">
        <f>K2-K3</f>
        <v>5.124</v>
      </c>
      <c r="L4" s="23">
        <f>L2-L3</f>
        <v>5.121</v>
      </c>
      <c r="M4" s="23">
        <f>M2-M3</f>
        <v>-6.179</v>
      </c>
      <c r="N4" s="23">
        <f>N2-N3</f>
        <v>1.434</v>
      </c>
      <c r="O4" s="23">
        <f>O2-O3</f>
        <v>0.0</v>
      </c>
      <c r="P4" s="23">
        <f>P2-P3</f>
        <v>0.0</v>
      </c>
    </row>
    <row r="5">
      <c r="A5" s="2" t="inlineStr">
        <is>
          <t>Research &amp; Dev.</t>
        </is>
      </c>
      <c r="B5" s="23" t="n">
        <v>0.981</v>
      </c>
      <c r="C5" s="23" t="n">
        <v>0.781</v>
      </c>
      <c r="D5" s="23" t="n">
        <v>0.627</v>
      </c>
      <c r="E5" s="23" t="n">
        <v>0.669</v>
      </c>
      <c r="F5" s="23" t="n">
        <v>0.615</v>
      </c>
      <c r="G5" s="23" t="n">
        <v>0.528</v>
      </c>
      <c r="H5" s="23" t="n">
        <v>0.965</v>
      </c>
      <c r="I5" s="23" t="n">
        <v>1.746</v>
      </c>
      <c r="J5" s="23" t="n">
        <v>1.474</v>
      </c>
      <c r="K5" s="23" t="n">
        <v>1.126</v>
      </c>
      <c r="L5" s="23" t="n">
        <v>1.427</v>
      </c>
      <c r="M5" s="23" t="n">
        <v>0.881</v>
      </c>
      <c r="N5" s="23" t="n">
        <v>21.311</v>
      </c>
      <c r="O5" s="23" t="n">
        <v>41.638</v>
      </c>
      <c r="P5" s="23" t="n">
        <v>84.215</v>
      </c>
    </row>
    <row r="6">
      <c r="A6" s="19" t="inlineStr">
        <is>
          <t>SG&amp;A &amp; Other</t>
        </is>
      </c>
      <c r="B6" s="23" t="n">
        <v>3.139</v>
      </c>
      <c r="C6" s="23" t="n">
        <v>3.521</v>
      </c>
      <c r="D6" s="23" t="n">
        <v>3.59</v>
      </c>
      <c r="E6" s="23" t="n">
        <v>3.723</v>
      </c>
      <c r="F6" s="23" t="n">
        <v>3.889</v>
      </c>
      <c r="G6" s="23" t="n">
        <v>4.683</v>
      </c>
      <c r="H6" s="23" t="n">
        <v>6.18</v>
      </c>
      <c r="I6" s="23" t="n">
        <v>6.825</v>
      </c>
      <c r="J6" s="23" t="n">
        <v>6.827</v>
      </c>
      <c r="K6" s="23" t="n">
        <v>7.474</v>
      </c>
      <c r="L6" s="23" t="n">
        <v>7.14</v>
      </c>
      <c r="M6" s="23" t="n">
        <v>1.612</v>
      </c>
      <c r="N6" s="23" t="n">
        <v>21.064</v>
      </c>
      <c r="O6" s="23" t="n">
        <v>49.248</v>
      </c>
      <c r="P6" s="23" t="n">
        <v>29.349</v>
      </c>
    </row>
    <row r="7">
      <c r="A7" s="2" t="inlineStr">
        <is>
          <t>Operating Expense</t>
        </is>
      </c>
      <c r="B7" s="23">
        <f>SUM(B5:B6)</f>
        <v>4.12</v>
      </c>
      <c r="C7" s="23">
        <f>SUM(C5:C6)</f>
        <v>4.302</v>
      </c>
      <c r="D7" s="23">
        <f>SUM(D5:D6)</f>
        <v>4.217</v>
      </c>
      <c r="E7" s="23">
        <f>SUM(E5:E6)</f>
        <v>4.3919999999999995</v>
      </c>
      <c r="F7" s="23">
        <f>SUM(F5:F6)</f>
        <v>4.504</v>
      </c>
      <c r="G7" s="23">
        <f>SUM(G5:G6)</f>
        <v>5.211</v>
      </c>
      <c r="H7" s="23">
        <f>SUM(H5:H6)</f>
        <v>7.145</v>
      </c>
      <c r="I7" s="23">
        <f>SUM(I5:I6)</f>
        <v>8.571</v>
      </c>
      <c r="J7" s="23">
        <f>SUM(J5:J6)</f>
        <v>8.301</v>
      </c>
      <c r="K7" s="23">
        <f>SUM(K5:K6)</f>
        <v>8.6</v>
      </c>
      <c r="L7" s="23">
        <f>SUM(L5:L6)</f>
        <v>8.567</v>
      </c>
      <c r="M7" s="23">
        <f>SUM(M5:M6)</f>
        <v>2.4930000000000003</v>
      </c>
      <c r="N7" s="23">
        <f>SUM(N5:N6)</f>
        <v>42.375</v>
      </c>
      <c r="O7" s="23">
        <f>SUM(O5:O6)</f>
        <v>90.886</v>
      </c>
      <c r="P7" s="23">
        <f>SUM(P5:P6)</f>
        <v>113.56400000000001</v>
      </c>
    </row>
    <row r="8">
      <c r="A8" s="2" t="inlineStr">
        <is>
          <t>Operating Income</t>
        </is>
      </c>
      <c r="B8" s="23">
        <f>B4-B7</f>
        <v>-2.963</v>
      </c>
      <c r="C8" s="23">
        <f>C4-C7</f>
        <v>-3.599</v>
      </c>
      <c r="D8" s="23">
        <f>D4-D7</f>
        <v>-4.066999999999999</v>
      </c>
      <c r="E8" s="23">
        <f>E4-E7</f>
        <v>-4.5889999999999995</v>
      </c>
      <c r="F8" s="23">
        <f>F4-F7</f>
        <v>-4.337</v>
      </c>
      <c r="G8" s="23">
        <f>G4-G7</f>
        <v>-5.082</v>
      </c>
      <c r="H8" s="23">
        <f>H4-H7</f>
        <v>-6.3069999999999995</v>
      </c>
      <c r="I8" s="23">
        <f>I4-I7</f>
        <v>-6.729</v>
      </c>
      <c r="J8" s="23">
        <f>J4-J7</f>
        <v>-5.2540000000000004</v>
      </c>
      <c r="K8" s="23">
        <f>K4-K7</f>
        <v>-3.476</v>
      </c>
      <c r="L8" s="23">
        <f>L4-L7</f>
        <v>-3.4459999999999997</v>
      </c>
      <c r="M8" s="23">
        <f>M4-M7</f>
        <v>-8.672</v>
      </c>
      <c r="N8" s="23">
        <f>N4-N7</f>
        <v>-40.941</v>
      </c>
      <c r="O8" s="23">
        <f>O4-O7</f>
        <v>-90.886</v>
      </c>
      <c r="P8" s="23">
        <f>P4-P7</f>
        <v>-113.56400000000001</v>
      </c>
    </row>
    <row r="9">
      <c r="A9" s="19" t="inlineStr">
        <is>
          <t>Interest &amp; Other</t>
        </is>
      </c>
      <c r="B9" s="23" t="n">
        <v>0.121</v>
      </c>
      <c r="C9" s="23" t="n">
        <v>0.109</v>
      </c>
      <c r="D9" s="23" t="n">
        <v>0.211</v>
      </c>
      <c r="E9" s="23" t="n">
        <v>-1.371</v>
      </c>
      <c r="F9" s="23" t="n">
        <v>0.656</v>
      </c>
      <c r="G9" s="23" t="n">
        <v>0.371</v>
      </c>
      <c r="H9" s="23" t="n">
        <v>0.145</v>
      </c>
      <c r="I9" s="23" t="n">
        <v>0.029</v>
      </c>
      <c r="J9" s="23" t="n">
        <v>0.11</v>
      </c>
      <c r="K9" s="23" t="n">
        <v>0.03</v>
      </c>
      <c r="L9" s="23" t="n">
        <v>0.059</v>
      </c>
      <c r="M9" s="23" t="n">
        <v>-2.088</v>
      </c>
      <c r="N9" s="23" t="n">
        <v>-8.218</v>
      </c>
      <c r="O9" s="23" t="n">
        <v>9.51</v>
      </c>
      <c r="P9" s="23" t="n">
        <v>9.65</v>
      </c>
    </row>
    <row r="10">
      <c r="A10" s="2" t="inlineStr">
        <is>
          <t>Pretax</t>
        </is>
      </c>
      <c r="B10" s="23">
        <f>B8+B9</f>
        <v>-2.842</v>
      </c>
      <c r="C10" s="23">
        <f>C8+C9</f>
        <v>-3.49</v>
      </c>
      <c r="D10" s="23">
        <f>D8+D9</f>
        <v>-3.8559999999999994</v>
      </c>
      <c r="E10" s="23">
        <f>E8+E9</f>
        <v>-5.959999999999999</v>
      </c>
      <c r="F10" s="23">
        <f>F8+F9</f>
        <v>-3.6809999999999996</v>
      </c>
      <c r="G10" s="23">
        <f>G8+G9</f>
        <v>-4.711</v>
      </c>
      <c r="H10" s="23">
        <f>H8+H9</f>
        <v>-6.162</v>
      </c>
      <c r="I10" s="23">
        <f>I8+I9</f>
        <v>-6.7</v>
      </c>
      <c r="J10" s="23">
        <f>J8+J9</f>
        <v>-5.144</v>
      </c>
      <c r="K10" s="23">
        <f>K8+K9</f>
        <v>-3.446</v>
      </c>
      <c r="L10" s="23">
        <f>L8+L9</f>
        <v>-3.3869999999999996</v>
      </c>
      <c r="M10" s="23">
        <f>M8+M9</f>
        <v>-10.760000000000002</v>
      </c>
      <c r="N10" s="23">
        <f>N8+N9</f>
        <v>-49.159000000000006</v>
      </c>
      <c r="O10" s="23">
        <f>O8+O9</f>
        <v>-81.37599999999999</v>
      </c>
      <c r="P10" s="23">
        <f>P8+P9</f>
        <v>-103.914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-2.651</v>
      </c>
      <c r="O11" s="23" t="n">
        <v>-2.097</v>
      </c>
      <c r="P11" s="23" t="n">
        <v>-0.793</v>
      </c>
    </row>
    <row r="12">
      <c r="A12" s="2" t="inlineStr">
        <is>
          <t>Net Income</t>
        </is>
      </c>
      <c r="B12" s="23" t="n">
        <v>-2.842</v>
      </c>
      <c r="C12" s="23" t="n">
        <v>-3.489</v>
      </c>
      <c r="D12" s="23" t="n">
        <v>-3.857</v>
      </c>
      <c r="E12" s="23" t="n">
        <v>-5.959</v>
      </c>
      <c r="F12" s="23" t="n">
        <v>-3.681</v>
      </c>
      <c r="G12" s="23" t="n">
        <v>-4.711</v>
      </c>
      <c r="H12" s="23" t="n">
        <v>-6.162</v>
      </c>
      <c r="I12" s="23" t="n">
        <v>-6.7</v>
      </c>
      <c r="J12" s="23" t="n">
        <v>-5.144</v>
      </c>
      <c r="K12" s="23" t="n">
        <v>-3.446</v>
      </c>
      <c r="L12" s="23" t="n">
        <v>-3.387</v>
      </c>
      <c r="M12" s="23" t="n">
        <v>-10.76</v>
      </c>
      <c r="N12" s="23" t="n">
        <v>-46.508</v>
      </c>
      <c r="O12" s="23" t="n">
        <v>-79.279</v>
      </c>
      <c r="P12" s="23" t="n">
        <v>-103.121</v>
      </c>
    </row>
    <row r="13">
      <c r="A13" s="2" t="inlineStr">
        <is>
          <t>Earnings per Share</t>
        </is>
      </c>
      <c r="B13" s="11">
        <f>IFERROR(B12/B14,0)</f>
        <v>-0.11308292217093745</v>
      </c>
      <c r="C13" s="11">
        <f>IFERROR(C12/C14,0)</f>
        <v>-0.12189923834812381</v>
      </c>
      <c r="D13" s="11">
        <f>IFERROR(D12/D14,0)</f>
        <v>-0.11204717775905644</v>
      </c>
      <c r="E13" s="11">
        <f>IFERROR(E12/E14,0)</f>
        <v>-0.13963678968951376</v>
      </c>
      <c r="F13" s="11">
        <f>IFERROR(F12/F14,0)</f>
        <v>-0.06707117087569696</v>
      </c>
      <c r="G13" s="11">
        <f>IFERROR(G12/G14,0)</f>
        <v>-0.08563119149322912</v>
      </c>
      <c r="H13" s="11">
        <f>IFERROR(H12/H14,0)</f>
        <v>-0.11200378071833648</v>
      </c>
      <c r="I13" s="11">
        <f>IFERROR(I12/I14,0)</f>
        <v>-0.12146703167207527</v>
      </c>
      <c r="J13" s="11">
        <f>IFERROR(J12/J14,0)</f>
        <v>-0.07672802124041646</v>
      </c>
      <c r="K13" s="11">
        <f>IFERROR(K12/K14,0)</f>
        <v>-0.050975577284359704</v>
      </c>
      <c r="L13" s="11">
        <f>IFERROR(L12/L14,0)</f>
        <v>-0.03261717433383731</v>
      </c>
      <c r="M13" s="11">
        <f>IFERROR(M12/M14,0)</f>
        <v>-0.0757389119218397</v>
      </c>
      <c r="N13" s="11">
        <f>IFERROR(N12/N14,0)</f>
        <v>-1.7377073681064117</v>
      </c>
      <c r="O13" s="11">
        <f>IFERROR(O12/O14,0)</f>
        <v>-1.2305626697710517</v>
      </c>
      <c r="P13" s="11">
        <f>IFERROR(P12/P14,0)</f>
        <v>-1.3970574289081867</v>
      </c>
    </row>
    <row r="14">
      <c r="A14" s="2" t="inlineStr">
        <is>
          <t>Shares</t>
        </is>
      </c>
      <c r="B14" s="23" t="n">
        <v>25.132</v>
      </c>
      <c r="C14" s="23" t="n">
        <v>28.622</v>
      </c>
      <c r="D14" s="23" t="n">
        <v>34.423</v>
      </c>
      <c r="E14" s="23" t="n">
        <v>42.675</v>
      </c>
      <c r="F14" s="23" t="n">
        <v>54.882</v>
      </c>
      <c r="G14" s="23" t="n">
        <v>55.015</v>
      </c>
      <c r="H14" s="23" t="n">
        <v>55.016</v>
      </c>
      <c r="I14" s="23" t="n">
        <v>55.159</v>
      </c>
      <c r="J14" s="23" t="n">
        <v>67.042</v>
      </c>
      <c r="K14" s="23" t="n">
        <v>67.601</v>
      </c>
      <c r="L14" s="23" t="n">
        <v>103.841</v>
      </c>
      <c r="M14" s="23" t="n">
        <v>142.067</v>
      </c>
      <c r="N14" s="23" t="n">
        <v>26.764</v>
      </c>
      <c r="O14" s="23" t="n">
        <v>64.425</v>
      </c>
      <c r="P14" s="23" t="n">
        <v>73.813</v>
      </c>
    </row>
    <row r="15"/>
    <row r="16" customFormat="1" s="4">
      <c r="A16" s="3" t="inlineStr">
        <is>
          <t>Revenue Change</t>
        </is>
      </c>
      <c r="C16" s="15">
        <f>IFERROR(C2/B2-1,"")</f>
        <v>-0.03206718839473188</v>
      </c>
      <c r="D16" s="15">
        <f>IFERROR(D2/C2-1,"")</f>
        <v>-0.10767107079471494</v>
      </c>
      <c r="E16" s="15">
        <f>IFERROR(E2/D2-1,"")</f>
        <v>-0.06762430939226516</v>
      </c>
      <c r="F16" s="15">
        <f>IFERROR(F2/E2-1,"")</f>
        <v>0.09172789760606759</v>
      </c>
      <c r="G16" s="15">
        <f>IFERROR(G2/F2-1,"")</f>
        <v>0.035388623534520214</v>
      </c>
      <c r="H16" s="15">
        <f>IFERROR(H2/G2-1,"")</f>
        <v>-0.001677500524218889</v>
      </c>
      <c r="I16" s="15">
        <f>IFERROR(I2/H2-1,"")</f>
        <v>0.2440663726107961</v>
      </c>
      <c r="J16" s="15">
        <f>IFERROR(J2/I2-1,"")</f>
        <v>0.23484720580786766</v>
      </c>
      <c r="K16" s="15">
        <f>IFERROR(K2/J2-1,"")</f>
        <v>0.323489198796828</v>
      </c>
      <c r="L16" s="15">
        <f>IFERROR(L2/K2-1,"")</f>
        <v>0.03853305785123973</v>
      </c>
      <c r="M16" s="15">
        <f>IFERROR(M2/L2-1,"")</f>
        <v>-1.0</v>
      </c>
      <c r="N16" s="15">
        <f>IFERROR(N2/M2-1,"")</f>
        <v/>
      </c>
      <c r="O16" s="15">
        <f>IFERROR(O2/N2-1,"")</f>
        <v>-1.0</v>
      </c>
      <c r="P16" s="15">
        <f>IFERROR(P2/O2-1,"")</f>
        <v/>
      </c>
    </row>
    <row r="17" customFormat="1" s="4">
      <c r="A17" s="3" t="inlineStr">
        <is>
          <t>Gross Margin</t>
        </is>
      </c>
      <c r="B17" s="15">
        <f>IFERROR(B4/B2,"")</f>
        <v>0.22084367245657568</v>
      </c>
      <c r="C17" s="15">
        <f>IFERROR(C4/C2,"")</f>
        <v>0.1386314336422795</v>
      </c>
      <c r="D17" s="15">
        <f>IFERROR(D4/D2,"")</f>
        <v>0.03314917127071831</v>
      </c>
      <c r="E17" s="15">
        <f>IFERROR(E4/E2,"")</f>
        <v>-0.046693529272339426</v>
      </c>
      <c r="F17" s="15">
        <f>IFERROR(F4/F2,"")</f>
        <v>0.03625705601389488</v>
      </c>
      <c r="G17" s="15">
        <f>IFERROR(G4/G2,"")</f>
        <v>0.027049695953030077</v>
      </c>
      <c r="H17" s="15">
        <f>IFERROR(H4/H2,"")</f>
        <v>0.1760134425540853</v>
      </c>
      <c r="I17" s="15">
        <f>IFERROR(I4/I2,"")</f>
        <v>0.3109910518318419</v>
      </c>
      <c r="J17" s="15">
        <f>IFERROR(J4/J2,"")</f>
        <v>0.41659830462127423</v>
      </c>
      <c r="K17" s="15">
        <f>IFERROR(K4/K2,"")</f>
        <v>0.5293388429752066</v>
      </c>
      <c r="L17" s="15">
        <f>IFERROR(L4/L2,"")</f>
        <v>0.5094001790510295</v>
      </c>
      <c r="M17" s="15">
        <f>IFERROR(M4/M2,"")</f>
        <v/>
      </c>
      <c r="N17" s="15">
        <f>IFERROR(N4/N2,"")</f>
        <v>1.0</v>
      </c>
      <c r="O17" s="15">
        <f>IFERROR(O4/O2,"")</f>
        <v/>
      </c>
      <c r="P17" s="15">
        <f>IFERROR(P4/P2,"")</f>
        <v/>
      </c>
    </row>
    <row r="18">
      <c r="A18" s="14" t="inlineStr">
        <is>
          <t>Operating Margin</t>
        </is>
      </c>
      <c r="B18" s="15">
        <f>IFERROR(B8/B2,"")</f>
        <v>-0.5655659476999427</v>
      </c>
      <c r="C18" s="15">
        <f>IFERROR(C8/C2,"")</f>
        <v>-0.7097219483336621</v>
      </c>
      <c r="D18" s="15">
        <f>IFERROR(D8/D2,"")</f>
        <v>-0.8987845303867401</v>
      </c>
      <c r="E18" s="15">
        <f>IFERROR(E8/E2,"")</f>
        <v>-1.087698506755155</v>
      </c>
      <c r="F18" s="15">
        <f>IFERROR(F8/F2,"")</f>
        <v>-0.9415979157620494</v>
      </c>
      <c r="G18" s="15">
        <f>IFERROR(G8/G2,"")</f>
        <v>-1.0656322080100649</v>
      </c>
      <c r="H18" s="15">
        <f>IFERROR(H8/H2,"")</f>
        <v>-1.3247216971224531</v>
      </c>
      <c r="I18" s="15">
        <f>IFERROR(I8/I2,"")</f>
        <v>-1.136079689346615</v>
      </c>
      <c r="J18" s="15">
        <f>IFERROR(J8/J2,"")</f>
        <v>-0.7183483729833198</v>
      </c>
      <c r="K18" s="15">
        <f>IFERROR(K8/K2,"")</f>
        <v>-0.35909090909090907</v>
      </c>
      <c r="L18" s="15">
        <f>IFERROR(L8/L2,"")</f>
        <v>-0.3427832487814582</v>
      </c>
      <c r="M18" s="15">
        <f>IFERROR(M8/M2,"")</f>
        <v/>
      </c>
      <c r="N18" s="15">
        <f>IFERROR(N8/N2,"")</f>
        <v>-28.550209205020924</v>
      </c>
      <c r="O18" s="15">
        <f>IFERROR(O8/O2,"")</f>
        <v/>
      </c>
      <c r="P18" s="15">
        <f>IFERROR(P8/P2,"")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2026-10-21T01:05:27Z</dcterms:modified>
  <cp:lastModifiedBy>Wang, Eric</cp:lastModifiedBy>
</cp:coreProperties>
</file>