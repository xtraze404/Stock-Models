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Perspective Therapeutics, Inc.</t>
        </is>
      </c>
      <c r="C2" s="10" t="n"/>
    </row>
    <row r="3">
      <c r="B3" t="inlineStr">
        <is>
          <t>Price</t>
        </is>
      </c>
      <c r="C3" s="11">
        <f>INDEX([1]Pharma!$F$1:$F$1000,MATCH("CATX",[1]Pharma!$B$1:$B$1000,0))</f>
        <v>2.3</v>
      </c>
      <c r="F3" s="1" t="n"/>
    </row>
    <row r="4">
      <c r="B4" t="inlineStr">
        <is>
          <t>Shares</t>
        </is>
      </c>
      <c r="C4" s="21" t="n">
        <v>114.151663</v>
      </c>
      <c r="F4" s="1" t="n"/>
    </row>
    <row r="5">
      <c r="B5" t="inlineStr">
        <is>
          <t>Market Cap.</t>
        </is>
      </c>
      <c r="C5" s="13">
        <f>C3*C4</f>
        <v>262.5488249</v>
      </c>
      <c r="F5" s="1" t="n"/>
    </row>
    <row r="6"/>
    <row r="7">
      <c r="B7" t="inlineStr">
        <is>
          <t>Cash</t>
        </is>
      </c>
      <c r="C7" s="21">
        <f>48.488+188.388</f>
        <v>236.876</v>
      </c>
    </row>
    <row r="8">
      <c r="B8" t="inlineStr">
        <is>
          <t>Debt</t>
        </is>
      </c>
      <c r="C8" s="21">
        <f>0.057+1.54</f>
        <v>1.597</v>
      </c>
    </row>
    <row r="9">
      <c r="B9" t="inlineStr">
        <is>
          <t>Enterprise V.</t>
        </is>
      </c>
      <c r="C9" s="13">
        <f>C5-C7+C8</f>
        <v>27.269824899999996</v>
      </c>
    </row>
    <row r="10"/>
    <row r="11">
      <c r="B11" s="14" t="inlineStr">
        <is>
          <t>rNPV / Share</t>
        </is>
      </c>
      <c r="C11" s="11">
        <f>NPV!B27</f>
        <v>0.6983702149178673</v>
      </c>
    </row>
    <row r="12">
      <c r="B12" s="14" t="inlineStr">
        <is>
          <t>Upside</t>
        </is>
      </c>
      <c r="C12" s="15">
        <f>IFERROR(C11/C3-1,"")</f>
        <v>-0.6963607761226663</v>
      </c>
    </row>
    <row r="13">
      <c r="B13" s="14" t="inlineStr">
        <is>
          <t>Cash / Share</t>
        </is>
      </c>
      <c r="C13" s="11">
        <f>IFERROR((C7-C8)/C4,"")</f>
        <v>2.061108825019921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-93.06699999999999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2.5280604295829887</v>
      </c>
    </row>
    <row r="19">
      <c r="B19" s="14" t="inlineStr">
        <is>
          <t>Implied Pipeline Value</t>
        </is>
      </c>
      <c r="C19" s="13">
        <f>C9</f>
        <v>27.269824899999996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5.239</v>
      </c>
      <c r="C2" s="23" t="n">
        <v>5.071</v>
      </c>
      <c r="D2" s="23" t="n">
        <v>4.525</v>
      </c>
      <c r="E2" s="23" t="n">
        <v>4.219</v>
      </c>
      <c r="F2" s="23" t="n">
        <v>4.606</v>
      </c>
      <c r="G2" s="23" t="n">
        <v>4.769</v>
      </c>
      <c r="H2" s="23" t="n">
        <v>4.761</v>
      </c>
      <c r="I2" s="23" t="n">
        <v>5.923</v>
      </c>
      <c r="J2" s="23" t="n">
        <v>7.314</v>
      </c>
      <c r="K2" s="23" t="n">
        <v>9.68</v>
      </c>
      <c r="L2" s="23" t="n">
        <v>10.053</v>
      </c>
      <c r="M2" s="23" t="n">
        <v>0</v>
      </c>
      <c r="N2" s="23" t="n">
        <v>1.434</v>
      </c>
      <c r="O2" s="23" t="n">
        <v>0</v>
      </c>
      <c r="P2" s="23" t="n">
        <v>0</v>
      </c>
    </row>
    <row r="3" customFormat="1" s="1">
      <c r="A3" s="5" t="inlineStr">
        <is>
          <t>Cost of Sales</t>
        </is>
      </c>
      <c r="B3" s="23" t="n">
        <v>4.082</v>
      </c>
      <c r="C3" s="23" t="n">
        <v>4.368</v>
      </c>
      <c r="D3" s="23" t="n">
        <v>4.375</v>
      </c>
      <c r="E3" s="23" t="n">
        <v>4.416</v>
      </c>
      <c r="F3" s="23" t="n">
        <v>4.439</v>
      </c>
      <c r="G3" s="23" t="n">
        <v>4.64</v>
      </c>
      <c r="H3" s="23" t="n">
        <v>3.923</v>
      </c>
      <c r="I3" s="23" t="n">
        <v>4.081</v>
      </c>
      <c r="J3" s="23" t="n">
        <v>4.267</v>
      </c>
      <c r="K3" s="23" t="n">
        <v>4.556</v>
      </c>
      <c r="L3" s="23" t="n">
        <v>4.932</v>
      </c>
      <c r="M3" s="23" t="n">
        <v>6.179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1.157</v>
      </c>
      <c r="C4" s="23">
        <f>C2-C3</f>
        <v>0.7029999999999994</v>
      </c>
      <c r="D4" s="23">
        <f>D2-D3</f>
        <v>0.15000000000000036</v>
      </c>
      <c r="E4" s="23">
        <f>E2-E3</f>
        <v>-0.19700000000000006</v>
      </c>
      <c r="F4" s="23">
        <f>F2-F3</f>
        <v>0.16699999999999982</v>
      </c>
      <c r="G4" s="23">
        <f>G2-G3</f>
        <v>0.12900000000000045</v>
      </c>
      <c r="H4" s="23">
        <f>H2-H3</f>
        <v>0.8380000000000001</v>
      </c>
      <c r="I4" s="23">
        <f>I2-I3</f>
        <v>1.8419999999999996</v>
      </c>
      <c r="J4" s="23">
        <f>J2-J3</f>
        <v>3.0469999999999997</v>
      </c>
      <c r="K4" s="23">
        <f>K2-K3</f>
        <v>5.124</v>
      </c>
      <c r="L4" s="23">
        <f>L2-L3</f>
        <v>5.121</v>
      </c>
      <c r="M4" s="23">
        <f>M2-M3</f>
        <v>-6.179</v>
      </c>
      <c r="N4" s="23">
        <f>N2-N3</f>
        <v>1.434</v>
      </c>
      <c r="O4" s="23">
        <f>O2-O3</f>
        <v>0.0</v>
      </c>
      <c r="P4" s="23">
        <f>P2-P3</f>
        <v>0.0</v>
      </c>
    </row>
    <row r="5">
      <c r="A5" s="2" t="inlineStr">
        <is>
          <t>Research &amp; Dev.</t>
        </is>
      </c>
      <c r="B5" s="23" t="n">
        <v>0.981</v>
      </c>
      <c r="C5" s="23" t="n">
        <v>0.781</v>
      </c>
      <c r="D5" s="23" t="n">
        <v>0.627</v>
      </c>
      <c r="E5" s="23" t="n">
        <v>0.669</v>
      </c>
      <c r="F5" s="23" t="n">
        <v>0.615</v>
      </c>
      <c r="G5" s="23" t="n">
        <v>0.528</v>
      </c>
      <c r="H5" s="23" t="n">
        <v>0.965</v>
      </c>
      <c r="I5" s="23" t="n">
        <v>1.746</v>
      </c>
      <c r="J5" s="23" t="n">
        <v>1.474</v>
      </c>
      <c r="K5" s="23" t="n">
        <v>1.126</v>
      </c>
      <c r="L5" s="23" t="n">
        <v>1.427</v>
      </c>
      <c r="M5" s="23" t="n">
        <v>0.881</v>
      </c>
      <c r="N5" s="23" t="n">
        <v>21.311</v>
      </c>
      <c r="O5" s="23" t="n">
        <v>41.638</v>
      </c>
      <c r="P5" s="23" t="n">
        <v>84.215</v>
      </c>
    </row>
    <row r="6">
      <c r="A6" s="19" t="inlineStr">
        <is>
          <t>SG&amp;A &amp; Other</t>
        </is>
      </c>
      <c r="B6" s="23" t="n">
        <v>3.139</v>
      </c>
      <c r="C6" s="23" t="n">
        <v>3.521</v>
      </c>
      <c r="D6" s="23" t="n">
        <v>3.59</v>
      </c>
      <c r="E6" s="23" t="n">
        <v>3.723</v>
      </c>
      <c r="F6" s="23" t="n">
        <v>3.889</v>
      </c>
      <c r="G6" s="23" t="n">
        <v>4.683</v>
      </c>
      <c r="H6" s="23" t="n">
        <v>6.18</v>
      </c>
      <c r="I6" s="23" t="n">
        <v>6.825</v>
      </c>
      <c r="J6" s="23" t="n">
        <v>6.827</v>
      </c>
      <c r="K6" s="23" t="n">
        <v>7.474</v>
      </c>
      <c r="L6" s="23" t="n">
        <v>7.14</v>
      </c>
      <c r="M6" s="23" t="n">
        <v>1.612</v>
      </c>
      <c r="N6" s="23" t="n">
        <v>21.064</v>
      </c>
      <c r="O6" s="23" t="n">
        <v>49.248</v>
      </c>
      <c r="P6" s="23" t="n">
        <v>29.349</v>
      </c>
    </row>
    <row r="7">
      <c r="A7" s="2" t="inlineStr">
        <is>
          <t>Operating Expense</t>
        </is>
      </c>
      <c r="B7" s="23">
        <f>SUM(B5:B6)</f>
        <v>4.12</v>
      </c>
      <c r="C7" s="23">
        <f>SUM(C5:C6)</f>
        <v>4.302</v>
      </c>
      <c r="D7" s="23">
        <f>SUM(D5:D6)</f>
        <v>4.217</v>
      </c>
      <c r="E7" s="23">
        <f>SUM(E5:E6)</f>
        <v>4.3919999999999995</v>
      </c>
      <c r="F7" s="23">
        <f>SUM(F5:F6)</f>
        <v>4.504</v>
      </c>
      <c r="G7" s="23">
        <f>SUM(G5:G6)</f>
        <v>5.211</v>
      </c>
      <c r="H7" s="23">
        <f>SUM(H5:H6)</f>
        <v>7.145</v>
      </c>
      <c r="I7" s="23">
        <f>SUM(I5:I6)</f>
        <v>8.571</v>
      </c>
      <c r="J7" s="23">
        <f>SUM(J5:J6)</f>
        <v>8.301</v>
      </c>
      <c r="K7" s="23">
        <f>SUM(K5:K6)</f>
        <v>8.6</v>
      </c>
      <c r="L7" s="23">
        <f>SUM(L5:L6)</f>
        <v>8.567</v>
      </c>
      <c r="M7" s="23">
        <f>SUM(M5:M6)</f>
        <v>2.4930000000000003</v>
      </c>
      <c r="N7" s="23">
        <f>SUM(N5:N6)</f>
        <v>42.375</v>
      </c>
      <c r="O7" s="23">
        <f>SUM(O5:O6)</f>
        <v>90.886</v>
      </c>
      <c r="P7" s="23">
        <f>SUM(P5:P6)</f>
        <v>113.56400000000001</v>
      </c>
    </row>
    <row r="8">
      <c r="A8" s="2" t="inlineStr">
        <is>
          <t>Operating Income</t>
        </is>
      </c>
      <c r="B8" s="23">
        <f>B4-B7</f>
        <v>-2.963</v>
      </c>
      <c r="C8" s="23">
        <f>C4-C7</f>
        <v>-3.599</v>
      </c>
      <c r="D8" s="23">
        <f>D4-D7</f>
        <v>-4.066999999999999</v>
      </c>
      <c r="E8" s="23">
        <f>E4-E7</f>
        <v>-4.5889999999999995</v>
      </c>
      <c r="F8" s="23">
        <f>F4-F7</f>
        <v>-4.337</v>
      </c>
      <c r="G8" s="23">
        <f>G4-G7</f>
        <v>-5.082</v>
      </c>
      <c r="H8" s="23">
        <f>H4-H7</f>
        <v>-6.3069999999999995</v>
      </c>
      <c r="I8" s="23">
        <f>I4-I7</f>
        <v>-6.729</v>
      </c>
      <c r="J8" s="23">
        <f>J4-J7</f>
        <v>-5.2540000000000004</v>
      </c>
      <c r="K8" s="23">
        <f>K4-K7</f>
        <v>-3.476</v>
      </c>
      <c r="L8" s="23">
        <f>L4-L7</f>
        <v>-3.4459999999999997</v>
      </c>
      <c r="M8" s="23">
        <f>M4-M7</f>
        <v>-8.672</v>
      </c>
      <c r="N8" s="23">
        <f>N4-N7</f>
        <v>-40.941</v>
      </c>
      <c r="O8" s="23">
        <f>O4-O7</f>
        <v>-90.886</v>
      </c>
      <c r="P8" s="23">
        <f>P4-P7</f>
        <v>-113.56400000000001</v>
      </c>
    </row>
    <row r="9">
      <c r="A9" s="19" t="inlineStr">
        <is>
          <t>Interest &amp; Other</t>
        </is>
      </c>
      <c r="B9" s="23" t="n">
        <v>0.121</v>
      </c>
      <c r="C9" s="23" t="n">
        <v>0.109</v>
      </c>
      <c r="D9" s="23" t="n">
        <v>0.211</v>
      </c>
      <c r="E9" s="23" t="n">
        <v>-1.371</v>
      </c>
      <c r="F9" s="23" t="n">
        <v>0.656</v>
      </c>
      <c r="G9" s="23" t="n">
        <v>0.371</v>
      </c>
      <c r="H9" s="23" t="n">
        <v>0.145</v>
      </c>
      <c r="I9" s="23" t="n">
        <v>0.029</v>
      </c>
      <c r="J9" s="23" t="n">
        <v>0.11</v>
      </c>
      <c r="K9" s="23" t="n">
        <v>0.03</v>
      </c>
      <c r="L9" s="23" t="n">
        <v>0.059</v>
      </c>
      <c r="M9" s="23" t="n">
        <v>-2.088</v>
      </c>
      <c r="N9" s="23" t="n">
        <v>-8.218</v>
      </c>
      <c r="O9" s="23" t="n">
        <v>9.51</v>
      </c>
      <c r="P9" s="23" t="n">
        <v>9.65</v>
      </c>
    </row>
    <row r="10">
      <c r="A10" s="2" t="inlineStr">
        <is>
          <t>Pretax</t>
        </is>
      </c>
      <c r="B10" s="23">
        <f>B8+B9</f>
        <v>-2.842</v>
      </c>
      <c r="C10" s="23">
        <f>C8+C9</f>
        <v>-3.49</v>
      </c>
      <c r="D10" s="23">
        <f>D8+D9</f>
        <v>-3.8559999999999994</v>
      </c>
      <c r="E10" s="23">
        <f>E8+E9</f>
        <v>-5.959999999999999</v>
      </c>
      <c r="F10" s="23">
        <f>F8+F9</f>
        <v>-3.6809999999999996</v>
      </c>
      <c r="G10" s="23">
        <f>G8+G9</f>
        <v>-4.711</v>
      </c>
      <c r="H10" s="23">
        <f>H8+H9</f>
        <v>-6.162</v>
      </c>
      <c r="I10" s="23">
        <f>I8+I9</f>
        <v>-6.7</v>
      </c>
      <c r="J10" s="23">
        <f>J8+J9</f>
        <v>-5.144</v>
      </c>
      <c r="K10" s="23">
        <f>K8+K9</f>
        <v>-3.446</v>
      </c>
      <c r="L10" s="23">
        <f>L8+L9</f>
        <v>-3.3869999999999996</v>
      </c>
      <c r="M10" s="23">
        <f>M8+M9</f>
        <v>-10.760000000000002</v>
      </c>
      <c r="N10" s="23">
        <f>N8+N9</f>
        <v>-49.159000000000006</v>
      </c>
      <c r="O10" s="23">
        <f>O8+O9</f>
        <v>-81.37599999999999</v>
      </c>
      <c r="P10" s="23">
        <f>P8+P9</f>
        <v>-103.914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-2.651</v>
      </c>
      <c r="O11" s="23" t="n">
        <v>-2.097</v>
      </c>
      <c r="P11" s="23" t="n">
        <v>-0.793</v>
      </c>
    </row>
    <row r="12">
      <c r="A12" s="2" t="inlineStr">
        <is>
          <t>Net Income</t>
        </is>
      </c>
      <c r="B12" s="23" t="n">
        <v>-2.842</v>
      </c>
      <c r="C12" s="23" t="n">
        <v>-3.489</v>
      </c>
      <c r="D12" s="23" t="n">
        <v>-3.857</v>
      </c>
      <c r="E12" s="23" t="n">
        <v>-5.959</v>
      </c>
      <c r="F12" s="23" t="n">
        <v>-3.681</v>
      </c>
      <c r="G12" s="23" t="n">
        <v>-4.711</v>
      </c>
      <c r="H12" s="23" t="n">
        <v>-6.162</v>
      </c>
      <c r="I12" s="23" t="n">
        <v>-6.7</v>
      </c>
      <c r="J12" s="23" t="n">
        <v>-5.144</v>
      </c>
      <c r="K12" s="23" t="n">
        <v>-3.446</v>
      </c>
      <c r="L12" s="23" t="n">
        <v>-3.387</v>
      </c>
      <c r="M12" s="23" t="n">
        <v>-10.76</v>
      </c>
      <c r="N12" s="23" t="n">
        <v>-46.508</v>
      </c>
      <c r="O12" s="23" t="n">
        <v>-79.279</v>
      </c>
      <c r="P12" s="23" t="n">
        <v>-103.121</v>
      </c>
    </row>
    <row r="13">
      <c r="A13" s="2" t="inlineStr">
        <is>
          <t>Earnings per Share</t>
        </is>
      </c>
      <c r="B13" s="11">
        <f>IFERROR(B12/B14,0)</f>
        <v>-0.11308292217093745</v>
      </c>
      <c r="C13" s="11">
        <f>IFERROR(C12/C14,0)</f>
        <v>-0.12189923834812381</v>
      </c>
      <c r="D13" s="11">
        <f>IFERROR(D12/D14,0)</f>
        <v>-0.11204717775905644</v>
      </c>
      <c r="E13" s="11">
        <f>IFERROR(E12/E14,0)</f>
        <v>-0.13963678968951376</v>
      </c>
      <c r="F13" s="11">
        <f>IFERROR(F12/F14,0)</f>
        <v>-0.06707117087569696</v>
      </c>
      <c r="G13" s="11">
        <f>IFERROR(G12/G14,0)</f>
        <v>-0.08563119149322912</v>
      </c>
      <c r="H13" s="11">
        <f>IFERROR(H12/H14,0)</f>
        <v>-0.11200378071833648</v>
      </c>
      <c r="I13" s="11">
        <f>IFERROR(I12/I14,0)</f>
        <v>-0.12146703167207527</v>
      </c>
      <c r="J13" s="11">
        <f>IFERROR(J12/J14,0)</f>
        <v>-0.07672802124041646</v>
      </c>
      <c r="K13" s="11">
        <f>IFERROR(K12/K14,0)</f>
        <v>-0.050975577284359704</v>
      </c>
      <c r="L13" s="11">
        <f>IFERROR(L12/L14,0)</f>
        <v>-0.03261717433383731</v>
      </c>
      <c r="M13" s="11">
        <f>IFERROR(M12/M14,0)</f>
        <v>-0.0757389119218397</v>
      </c>
      <c r="N13" s="11">
        <f>IFERROR(N12/N14,0)</f>
        <v>-1.7377073681064117</v>
      </c>
      <c r="O13" s="11">
        <f>IFERROR(O12/O14,0)</f>
        <v>-1.2305626697710517</v>
      </c>
      <c r="P13" s="11">
        <f>IFERROR(P12/P14,0)</f>
        <v>-1.3970574289081867</v>
      </c>
    </row>
    <row r="14">
      <c r="A14" s="2" t="inlineStr">
        <is>
          <t>Shares</t>
        </is>
      </c>
      <c r="B14" s="23" t="n">
        <v>25.132</v>
      </c>
      <c r="C14" s="23" t="n">
        <v>28.622</v>
      </c>
      <c r="D14" s="23" t="n">
        <v>34.423</v>
      </c>
      <c r="E14" s="23" t="n">
        <v>42.675</v>
      </c>
      <c r="F14" s="23" t="n">
        <v>54.882</v>
      </c>
      <c r="G14" s="23" t="n">
        <v>55.015</v>
      </c>
      <c r="H14" s="23" t="n">
        <v>55.016</v>
      </c>
      <c r="I14" s="23" t="n">
        <v>55.159</v>
      </c>
      <c r="J14" s="23" t="n">
        <v>67.042</v>
      </c>
      <c r="K14" s="23" t="n">
        <v>67.601</v>
      </c>
      <c r="L14" s="23" t="n">
        <v>103.841</v>
      </c>
      <c r="M14" s="23" t="n">
        <v>142.067</v>
      </c>
      <c r="N14" s="23" t="n">
        <v>26.764</v>
      </c>
      <c r="O14" s="23" t="n">
        <v>64.425</v>
      </c>
      <c r="P14" s="23" t="n">
        <v>73.813</v>
      </c>
    </row>
    <row r="15"/>
    <row r="16" customFormat="1" s="4">
      <c r="A16" s="3" t="inlineStr">
        <is>
          <t>Revenue Change</t>
        </is>
      </c>
      <c r="C16" s="15">
        <f>IFERROR(C2/B2-1,"")</f>
        <v>-0.03206718839473188</v>
      </c>
      <c r="D16" s="15">
        <f>IFERROR(D2/C2-1,"")</f>
        <v>-0.10767107079471494</v>
      </c>
      <c r="E16" s="15">
        <f>IFERROR(E2/D2-1,"")</f>
        <v>-0.06762430939226516</v>
      </c>
      <c r="F16" s="15">
        <f>IFERROR(F2/E2-1,"")</f>
        <v>0.09172789760606759</v>
      </c>
      <c r="G16" s="15">
        <f>IFERROR(G2/F2-1,"")</f>
        <v>0.035388623534520214</v>
      </c>
      <c r="H16" s="15">
        <f>IFERROR(H2/G2-1,"")</f>
        <v>-0.001677500524218889</v>
      </c>
      <c r="I16" s="15">
        <f>IFERROR(I2/H2-1,"")</f>
        <v>0.2440663726107961</v>
      </c>
      <c r="J16" s="15">
        <f>IFERROR(J2/I2-1,"")</f>
        <v>0.23484720580786766</v>
      </c>
      <c r="K16" s="15">
        <f>IFERROR(K2/J2-1,"")</f>
        <v>0.323489198796828</v>
      </c>
      <c r="L16" s="15">
        <f>IFERROR(L2/K2-1,"")</f>
        <v>0.03853305785123973</v>
      </c>
      <c r="M16" s="15">
        <f>IFERROR(M2/L2-1,"")</f>
        <v>-1.0</v>
      </c>
      <c r="N16" s="15">
        <f>IFERROR(N2/M2-1,"")</f>
        <v/>
      </c>
      <c r="O16" s="15">
        <f>IFERROR(O2/N2-1,"")</f>
        <v>-1.0</v>
      </c>
      <c r="P16" s="15">
        <f>IFERROR(P2/O2-1,"")</f>
        <v/>
      </c>
    </row>
    <row r="17" customFormat="1" s="4">
      <c r="A17" s="3" t="inlineStr">
        <is>
          <t>Gross Margin</t>
        </is>
      </c>
      <c r="B17" s="15">
        <f>IFERROR(B4/B2,"")</f>
        <v>0.22084367245657568</v>
      </c>
      <c r="C17" s="15">
        <f>IFERROR(C4/C2,"")</f>
        <v>0.1386314336422795</v>
      </c>
      <c r="D17" s="15">
        <f>IFERROR(D4/D2,"")</f>
        <v>0.03314917127071831</v>
      </c>
      <c r="E17" s="15">
        <f>IFERROR(E4/E2,"")</f>
        <v>-0.046693529272339426</v>
      </c>
      <c r="F17" s="15">
        <f>IFERROR(F4/F2,"")</f>
        <v>0.03625705601389488</v>
      </c>
      <c r="G17" s="15">
        <f>IFERROR(G4/G2,"")</f>
        <v>0.027049695953030077</v>
      </c>
      <c r="H17" s="15">
        <f>IFERROR(H4/H2,"")</f>
        <v>0.1760134425540853</v>
      </c>
      <c r="I17" s="15">
        <f>IFERROR(I4/I2,"")</f>
        <v>0.3109910518318419</v>
      </c>
      <c r="J17" s="15">
        <f>IFERROR(J4/J2,"")</f>
        <v>0.41659830462127423</v>
      </c>
      <c r="K17" s="15">
        <f>IFERROR(K4/K2,"")</f>
        <v>0.5293388429752066</v>
      </c>
      <c r="L17" s="15">
        <f>IFERROR(L4/L2,"")</f>
        <v>0.5094001790510295</v>
      </c>
      <c r="M17" s="15">
        <f>IFERROR(M4/M2,"")</f>
        <v/>
      </c>
      <c r="N17" s="15">
        <f>IFERROR(N4/N2,"")</f>
        <v>1.0</v>
      </c>
      <c r="O17" s="15">
        <f>IFERROR(O4/O2,"")</f>
        <v/>
      </c>
      <c r="P17" s="15">
        <f>IFERROR(P4/P2,"")</f>
        <v/>
      </c>
    </row>
    <row r="18">
      <c r="A18" s="14" t="inlineStr">
        <is>
          <t>Operating Margin</t>
        </is>
      </c>
      <c r="B18" s="15">
        <f>IFERROR(B8/B2,"")</f>
        <v>-0.5655659476999427</v>
      </c>
      <c r="C18" s="15">
        <f>IFERROR(C8/C2,"")</f>
        <v>-0.7097219483336621</v>
      </c>
      <c r="D18" s="15">
        <f>IFERROR(D8/D2,"")</f>
        <v>-0.8987845303867401</v>
      </c>
      <c r="E18" s="15">
        <f>IFERROR(E8/E2,"")</f>
        <v>-1.087698506755155</v>
      </c>
      <c r="F18" s="15">
        <f>IFERROR(F8/F2,"")</f>
        <v>-0.9415979157620494</v>
      </c>
      <c r="G18" s="15">
        <f>IFERROR(G8/G2,"")</f>
        <v>-1.0656322080100649</v>
      </c>
      <c r="H18" s="15">
        <f>IFERROR(H8/H2,"")</f>
        <v>-1.3247216971224531</v>
      </c>
      <c r="I18" s="15">
        <f>IFERROR(I8/I2,"")</f>
        <v>-1.136079689346615</v>
      </c>
      <c r="J18" s="15">
        <f>IFERROR(J8/J2,"")</f>
        <v>-0.7183483729833198</v>
      </c>
      <c r="K18" s="15">
        <f>IFERROR(K8/K2,"")</f>
        <v>-0.35909090909090907</v>
      </c>
      <c r="L18" s="15">
        <f>IFERROR(L8/L2,"")</f>
        <v>-0.3427832487814582</v>
      </c>
      <c r="M18" s="15">
        <f>IFERROR(M8/M2,"")</f>
        <v/>
      </c>
      <c r="N18" s="15">
        <f>IFERROR(N8/N2,"")</f>
        <v>-28.550209205020924</v>
      </c>
      <c r="O18" s="15">
        <f>IFERROR(O8/O2,"")</f>
        <v/>
      </c>
      <c r="P18" s="15">
        <f>IFERROR(P8/P2,"")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Perspective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0.20957318106400014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125.232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-155.55887857745805</v>
      </c>
      <c r="C29" s="42">
        <f>NPV!B25</f>
        <v>79.72012142254196</v>
      </c>
      <c r="D29" s="43">
        <f>NPV!B27</f>
        <v>0.6983702149178673</v>
      </c>
      <c r="E29" s="44">
        <f>NPV!B29</f>
        <v>-0.6963607761226663</v>
      </c>
    </row>
    <row r="30">
      <c r="A30" s="45" t="n">
        <v>1</v>
      </c>
      <c r="B30" s="46">
        <f t="dataTable" ref="B30:E32" r1="B4"/>
        <v>-282.00377861536873</v>
      </c>
      <c r="C30" s="46">
        <v>-46.72477861536873</v>
      </c>
      <c r="D30" s="47">
        <v>-0.40932192652654326</v>
      </c>
      <c r="E30" s="48">
        <v>-1.1779660550115405</v>
      </c>
    </row>
    <row r="31">
      <c r="A31" s="45" t="n">
        <v>2</v>
      </c>
      <c r="B31" s="46">
        <v>-155.55887857745805</v>
      </c>
      <c r="C31" s="46">
        <v>79.72012142254196</v>
      </c>
      <c r="D31" s="47">
        <v>0.6983702149178673</v>
      </c>
      <c r="E31" s="48">
        <v>-0.6963607761226663</v>
      </c>
    </row>
    <row r="32">
      <c r="A32" s="45" t="n">
        <v>3</v>
      </c>
      <c r="B32" s="46">
        <v>41.23934006737032</v>
      </c>
      <c r="C32" s="46">
        <v>276.51834006737033</v>
      </c>
      <c r="D32" s="47">
        <v>2.422376799428409</v>
      </c>
      <c r="E32" s="48">
        <v>0.053207304099308406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0.6983702149178673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-0.6653359286937989</v>
      </c>
      <c r="C37" s="47">
        <v>-0.3370806805032547</v>
      </c>
      <c r="D37" s="47">
        <v>-0.008825432312711821</v>
      </c>
      <c r="E37" s="47">
        <v>0.6249068804195663</v>
      </c>
      <c r="F37" s="47">
        <v>1.192162252658943</v>
      </c>
    </row>
    <row r="38">
      <c r="A38" s="50" t="n">
        <v>0.8</v>
      </c>
      <c r="B38" s="47">
        <v>-0.5127837568494112</v>
      </c>
      <c r="C38" s="47">
        <v>-0.07511009259535244</v>
      </c>
      <c r="D38" s="47">
        <v>0.3625635716587057</v>
      </c>
      <c r="E38" s="47">
        <v>1.1335814148469017</v>
      </c>
      <c r="F38" s="47">
        <v>1.8691612492786127</v>
      </c>
    </row>
    <row r="39">
      <c r="A39" s="50" t="n">
        <v>1</v>
      </c>
      <c r="B39" s="47">
        <v>-0.3581378897728626</v>
      </c>
      <c r="C39" s="47">
        <v>0.18895419054471102</v>
      </c>
      <c r="D39" s="47">
        <v>0.6983702149178673</v>
      </c>
      <c r="E39" s="47">
        <v>1.6302777523573215</v>
      </c>
      <c r="F39" s="47">
        <v>2.535904244553245</v>
      </c>
    </row>
    <row r="40">
      <c r="A40" s="50" t="n">
        <v>1.2</v>
      </c>
      <c r="B40" s="47">
        <v>-0.20143192711946312</v>
      </c>
      <c r="C40" s="47">
        <v>0.4489648739453031</v>
      </c>
      <c r="D40" s="47">
        <v>1.020872144101967</v>
      </c>
      <c r="E40" s="47">
        <v>2.1214212648089683</v>
      </c>
      <c r="F40" s="47">
        <v>3.196217604297729</v>
      </c>
    </row>
    <row r="41">
      <c r="A41" s="50" t="n">
        <v>1.4</v>
      </c>
      <c r="B41" s="47">
        <v>-0.04269946854452198</v>
      </c>
      <c r="C41" s="47">
        <v>0.6832547602315254</v>
      </c>
      <c r="D41" s="47">
        <v>1.3394935731383593</v>
      </c>
      <c r="E41" s="47">
        <v>2.610179571044882</v>
      </c>
      <c r="F41" s="47">
        <v>3.8555090396235534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Perspective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Melanoma</t>
        </is>
      </c>
      <c r="C4" s="14" t="inlineStr">
        <is>
          <t>[203Pb]VMT01, [68Ga]VMT02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A5" s="39" t="n">
        <v>2</v>
      </c>
      <c r="B5" s="14" t="inlineStr">
        <is>
          <t>Gastric / esophageal cancer</t>
        </is>
      </c>
      <c r="C5" s="14" t="inlineStr">
        <is>
          <t>[203Pb]Pb-PSV359, [212Pb]Pb-PSV359</t>
        </is>
      </c>
      <c r="D5" s="14" t="inlineStr">
        <is>
          <t>Phase 1/2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1200</v>
      </c>
      <c r="H5" s="27" t="n">
        <v>0.07539999999999999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90.83850295618979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9.048</v>
      </c>
      <c r="T5" s="23">
        <f>IF(T$3&lt;$I5,0,$G5*Assumptions!$E$11*INDEX(Assumptions!$B$24:$G$24,MIN(6,T$3-$I5+1))*IF(T$3&gt;$J5,(1-Assumptions!$B$26)^(T$3-$J5),1)*IF($H5&gt;=1,1,MIN(0.97,$H5*Assumptions!$E$12)))</f>
        <v>22.619999999999997</v>
      </c>
      <c r="U5" s="23">
        <f>IF(U$3&lt;$I5,0,$G5*Assumptions!$E$11*INDEX(Assumptions!$B$24:$G$24,MIN(6,U$3-$I5+1))*IF(U$3&gt;$J5,(1-Assumptions!$B$26)^(U$3-$J5),1)*IF($H5&gt;=1,1,MIN(0.97,$H5*Assumptions!$E$12)))</f>
        <v>40.715999999999994</v>
      </c>
      <c r="V5" s="23">
        <f>IF(V$3&lt;$I5,0,$G5*Assumptions!$E$11*INDEX(Assumptions!$B$24:$G$24,MIN(6,V$3-$I5+1))*IF(V$3&gt;$J5,(1-Assumptions!$B$26)^(V$3-$J5),1)*IF($H5&gt;=1,1,MIN(0.97,$H5*Assumptions!$E$12)))</f>
        <v>58.812</v>
      </c>
      <c r="W5" s="23">
        <f>IF(W$3&lt;$I5,0,$G5*Assumptions!$E$11*INDEX(Assumptions!$B$24:$G$24,MIN(6,W$3-$I5+1))*IF(W$3&gt;$J5,(1-Assumptions!$B$26)^(W$3-$J5),1)*IF($H5&gt;=1,1,MIN(0.97,$H5*Assumptions!$E$12)))</f>
        <v>76.908</v>
      </c>
      <c r="X5" s="23">
        <f>IF(X$3&lt;$I5,0,$G5*Assumptions!$E$11*INDEX(Assumptions!$B$24:$G$24,MIN(6,X$3-$I5+1))*IF(X$3&gt;$J5,(1-Assumptions!$B$26)^(X$3-$J5),1)*IF($H5&gt;=1,1,MIN(0.97,$H5*Assumptions!$E$12)))</f>
        <v>90.47999999999999</v>
      </c>
      <c r="Y5" s="23">
        <f>IF(Y$3&lt;$I5,0,$G5*Assumptions!$E$11*INDEX(Assumptions!$B$24:$G$24,MIN(6,Y$3-$I5+1))*IF(Y$3&gt;$J5,(1-Assumptions!$B$26)^(Y$3-$J5),1)*IF($H5&gt;=1,1,MIN(0.97,$H5*Assumptions!$E$12)))</f>
        <v>90.47999999999999</v>
      </c>
      <c r="Z5" s="23">
        <f>IF(Z$3&lt;$I5,0,$G5*Assumptions!$E$11*INDEX(Assumptions!$B$24:$G$24,MIN(6,Z$3-$I5+1))*IF(Z$3&gt;$J5,(1-Assumptions!$B$26)^(Z$3-$J5),1)*IF($H5&gt;=1,1,MIN(0.97,$H5*Assumptions!$E$12)))</f>
        <v>90.47999999999999</v>
      </c>
      <c r="AA5" s="23">
        <f>IF(AA$3&lt;$I5,0,$G5*Assumptions!$E$11*INDEX(Assumptions!$B$24:$G$24,MIN(6,AA$3-$I5+1))*IF(AA$3&gt;$J5,(1-Assumptions!$B$26)^(AA$3-$J5),1)*IF($H5&gt;=1,1,MIN(0.97,$H5*Assumptions!$E$12)))</f>
        <v>90.47999999999999</v>
      </c>
      <c r="AB5" s="23">
        <f>IF(AB$3&lt;$I5,0,$G5*Assumptions!$E$11*INDEX(Assumptions!$B$24:$G$24,MIN(6,AB$3-$I5+1))*IF(AB$3&gt;$J5,(1-Assumptions!$B$26)^(AB$3-$J5),1)*IF($H5&gt;=1,1,MIN(0.97,$H5*Assumptions!$E$12)))</f>
        <v>90.47999999999999</v>
      </c>
      <c r="AC5" s="23">
        <f>IF(AC$3&lt;$I5,0,$G5*Assumptions!$E$11*INDEX(Assumptions!$B$24:$G$24,MIN(6,AC$3-$I5+1))*IF(AC$3&gt;$J5,(1-Assumptions!$B$26)^(AC$3-$J5),1)*IF($H5&gt;=1,1,MIN(0.97,$H5*Assumptions!$E$12)))</f>
        <v>90.47999999999999</v>
      </c>
      <c r="AD5" s="23">
        <f>IF(AD$3&lt;$I5,0,$G5*Assumptions!$E$11*INDEX(Assumptions!$B$24:$G$24,MIN(6,AD$3-$I5+1))*IF(AD$3&gt;$J5,(1-Assumptions!$B$26)^(AD$3-$J5),1)*IF($H5&gt;=1,1,MIN(0.97,$H5*Assumptions!$E$12)))</f>
        <v>90.47999999999999</v>
      </c>
      <c r="AE5" s="23">
        <f>IF(AE$3&lt;$I5,0,$G5*Assumptions!$E$11*INDEX(Assumptions!$B$24:$G$24,MIN(6,AE$3-$I5+1))*IF(AE$3&gt;$J5,(1-Assumptions!$B$26)^(AE$3-$J5),1)*IF($H5&gt;=1,1,MIN(0.97,$H5*Assumptions!$E$12)))</f>
        <v>90.47999999999999</v>
      </c>
      <c r="AF5" s="23">
        <f>IF(AF$3&lt;$I5,0,$G5*Assumptions!$E$11*INDEX(Assumptions!$B$24:$G$24,MIN(6,AF$3-$I5+1))*IF(AF$3&gt;$J5,(1-Assumptions!$B$26)^(AF$3-$J5),1)*IF($H5&gt;=1,1,MIN(0.97,$H5*Assumptions!$E$12)))</f>
        <v>45.239999999999995</v>
      </c>
      <c r="AG5" s="35">
        <f>IF(F5="Owned",1-IF(H5&gt;=1,1,MIN(0.97,H5*Assumptions!$E$12)),1)</f>
        <v>0.9246</v>
      </c>
    </row>
    <row r="6">
      <c r="A6" s="39" t="n">
        <v>3</v>
      </c>
      <c r="B6" s="14" t="inlineStr">
        <is>
          <t>Thyroid / neuroendocrine cancer</t>
        </is>
      </c>
      <c r="C6" s="14" t="inlineStr">
        <is>
          <t>[203Pb]VMT-α-NET, [212Pb]VMT-α-NET</t>
        </is>
      </c>
      <c r="D6" s="14" t="inlineStr">
        <is>
          <t>Phase 1/2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600</v>
      </c>
      <c r="H6" s="27" t="n">
        <v>0.07539999999999999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45.41925147809489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4.524</v>
      </c>
      <c r="T6" s="23">
        <f>IF(T$3&lt;$I6,0,$G6*Assumptions!$E$11*INDEX(Assumptions!$B$24:$G$24,MIN(6,T$3-$I6+1))*IF(T$3&gt;$J6,(1-Assumptions!$B$26)^(T$3-$J6),1)*IF($H6&gt;=1,1,MIN(0.97,$H6*Assumptions!$E$12)))</f>
        <v>11.309999999999999</v>
      </c>
      <c r="U6" s="23">
        <f>IF(U$3&lt;$I6,0,$G6*Assumptions!$E$11*INDEX(Assumptions!$B$24:$G$24,MIN(6,U$3-$I6+1))*IF(U$3&gt;$J6,(1-Assumptions!$B$26)^(U$3-$J6),1)*IF($H6&gt;=1,1,MIN(0.97,$H6*Assumptions!$E$12)))</f>
        <v>20.357999999999997</v>
      </c>
      <c r="V6" s="23">
        <f>IF(V$3&lt;$I6,0,$G6*Assumptions!$E$11*INDEX(Assumptions!$B$24:$G$24,MIN(6,V$3-$I6+1))*IF(V$3&gt;$J6,(1-Assumptions!$B$26)^(V$3-$J6),1)*IF($H6&gt;=1,1,MIN(0.97,$H6*Assumptions!$E$12)))</f>
        <v>29.406</v>
      </c>
      <c r="W6" s="23">
        <f>IF(W$3&lt;$I6,0,$G6*Assumptions!$E$11*INDEX(Assumptions!$B$24:$G$24,MIN(6,W$3-$I6+1))*IF(W$3&gt;$J6,(1-Assumptions!$B$26)^(W$3-$J6),1)*IF($H6&gt;=1,1,MIN(0.97,$H6*Assumptions!$E$12)))</f>
        <v>38.454</v>
      </c>
      <c r="X6" s="23">
        <f>IF(X$3&lt;$I6,0,$G6*Assumptions!$E$11*INDEX(Assumptions!$B$24:$G$24,MIN(6,X$3-$I6+1))*IF(X$3&gt;$J6,(1-Assumptions!$B$26)^(X$3-$J6),1)*IF($H6&gt;=1,1,MIN(0.97,$H6*Assumptions!$E$12)))</f>
        <v>45.239999999999995</v>
      </c>
      <c r="Y6" s="23">
        <f>IF(Y$3&lt;$I6,0,$G6*Assumptions!$E$11*INDEX(Assumptions!$B$24:$G$24,MIN(6,Y$3-$I6+1))*IF(Y$3&gt;$J6,(1-Assumptions!$B$26)^(Y$3-$J6),1)*IF($H6&gt;=1,1,MIN(0.97,$H6*Assumptions!$E$12)))</f>
        <v>45.239999999999995</v>
      </c>
      <c r="Z6" s="23">
        <f>IF(Z$3&lt;$I6,0,$G6*Assumptions!$E$11*INDEX(Assumptions!$B$24:$G$24,MIN(6,Z$3-$I6+1))*IF(Z$3&gt;$J6,(1-Assumptions!$B$26)^(Z$3-$J6),1)*IF($H6&gt;=1,1,MIN(0.97,$H6*Assumptions!$E$12)))</f>
        <v>45.239999999999995</v>
      </c>
      <c r="AA6" s="23">
        <f>IF(AA$3&lt;$I6,0,$G6*Assumptions!$E$11*INDEX(Assumptions!$B$24:$G$24,MIN(6,AA$3-$I6+1))*IF(AA$3&gt;$J6,(1-Assumptions!$B$26)^(AA$3-$J6),1)*IF($H6&gt;=1,1,MIN(0.97,$H6*Assumptions!$E$12)))</f>
        <v>45.239999999999995</v>
      </c>
      <c r="AB6" s="23">
        <f>IF(AB$3&lt;$I6,0,$G6*Assumptions!$E$11*INDEX(Assumptions!$B$24:$G$24,MIN(6,AB$3-$I6+1))*IF(AB$3&gt;$J6,(1-Assumptions!$B$26)^(AB$3-$J6),1)*IF($H6&gt;=1,1,MIN(0.97,$H6*Assumptions!$E$12)))</f>
        <v>45.239999999999995</v>
      </c>
      <c r="AC6" s="23">
        <f>IF(AC$3&lt;$I6,0,$G6*Assumptions!$E$11*INDEX(Assumptions!$B$24:$G$24,MIN(6,AC$3-$I6+1))*IF(AC$3&gt;$J6,(1-Assumptions!$B$26)^(AC$3-$J6),1)*IF($H6&gt;=1,1,MIN(0.97,$H6*Assumptions!$E$12)))</f>
        <v>45.239999999999995</v>
      </c>
      <c r="AD6" s="23">
        <f>IF(AD$3&lt;$I6,0,$G6*Assumptions!$E$11*INDEX(Assumptions!$B$24:$G$24,MIN(6,AD$3-$I6+1))*IF(AD$3&gt;$J6,(1-Assumptions!$B$26)^(AD$3-$J6),1)*IF($H6&gt;=1,1,MIN(0.97,$H6*Assumptions!$E$12)))</f>
        <v>45.239999999999995</v>
      </c>
      <c r="AE6" s="23">
        <f>IF(AE$3&lt;$I6,0,$G6*Assumptions!$E$11*INDEX(Assumptions!$B$24:$G$24,MIN(6,AE$3-$I6+1))*IF(AE$3&gt;$J6,(1-Assumptions!$B$26)^(AE$3-$J6),1)*IF($H6&gt;=1,1,MIN(0.97,$H6*Assumptions!$E$12)))</f>
        <v>45.239999999999995</v>
      </c>
      <c r="AF6" s="23">
        <f>IF(AF$3&lt;$I6,0,$G6*Assumptions!$E$11*INDEX(Assumptions!$B$24:$G$24,MIN(6,AF$3-$I6+1))*IF(AF$3&gt;$J6,(1-Assumptions!$B$26)^(AF$3-$J6),1)*IF($H6&gt;=1,1,MIN(0.97,$H6*Assumptions!$E$12)))</f>
        <v>22.619999999999997</v>
      </c>
      <c r="AG6" s="35">
        <f>IF(F6="Owned",1-IF(H6&gt;=1,1,MIN(0.97,H6*Assumptions!$E$12)),1)</f>
        <v>0.9246</v>
      </c>
    </row>
    <row r="7">
      <c r="B7" s="24" t="inlineStr">
        <is>
          <t>Risked revenue</t>
        </is>
      </c>
      <c r="L7" s="54">
        <f>SUM(L4:L6)</f>
        <v>249.80588312952193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0.0</v>
      </c>
      <c r="S7" s="54">
        <f>SUM(S4:S6)</f>
        <v>24.881999999999998</v>
      </c>
      <c r="T7" s="54">
        <f>SUM(T4:T6)</f>
        <v>62.205</v>
      </c>
      <c r="U7" s="54">
        <f>SUM(U4:U6)</f>
        <v>111.969</v>
      </c>
      <c r="V7" s="54">
        <f>SUM(V4:V6)</f>
        <v>161.733</v>
      </c>
      <c r="W7" s="54">
        <f>SUM(W4:W6)</f>
        <v>211.497</v>
      </c>
      <c r="X7" s="54">
        <f>SUM(X4:X6)</f>
        <v>248.82</v>
      </c>
      <c r="Y7" s="54">
        <f>SUM(Y4:Y6)</f>
        <v>248.82</v>
      </c>
      <c r="Z7" s="54">
        <f>SUM(Z4:Z6)</f>
        <v>248.82</v>
      </c>
      <c r="AA7" s="54">
        <f>SUM(AA4:AA6)</f>
        <v>248.82</v>
      </c>
      <c r="AB7" s="54">
        <f>SUM(AB4:AB6)</f>
        <v>248.82</v>
      </c>
      <c r="AC7" s="54">
        <f>SUM(AC4:AC6)</f>
        <v>248.82</v>
      </c>
      <c r="AD7" s="54">
        <f>SUM(AD4:AD6)</f>
        <v>248.82</v>
      </c>
      <c r="AE7" s="54">
        <f>SUM(AE4:AE6)</f>
        <v>248.82</v>
      </c>
      <c r="AF7" s="54">
        <f>SUM(AF4:AF6)</f>
        <v>124.41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0.0</v>
      </c>
      <c r="S8" s="55">
        <f>SUMPRODUCT(S4:S6,$K$4:$K$6)</f>
        <v>9.9528</v>
      </c>
      <c r="T8" s="55">
        <f>SUMPRODUCT(T4:T6,$K$4:$K$6)</f>
        <v>24.882</v>
      </c>
      <c r="U8" s="55">
        <f>SUMPRODUCT(U4:U6,$K$4:$K$6)</f>
        <v>44.7876</v>
      </c>
      <c r="V8" s="55">
        <f>SUMPRODUCT(V4:V6,$K$4:$K$6)</f>
        <v>64.6932</v>
      </c>
      <c r="W8" s="55">
        <f>SUMPRODUCT(W4:W6,$K$4:$K$6)</f>
        <v>84.59880000000001</v>
      </c>
      <c r="X8" s="55">
        <f>SUMPRODUCT(X4:X6,$K$4:$K$6)</f>
        <v>99.528</v>
      </c>
      <c r="Y8" s="55">
        <f>SUMPRODUCT(Y4:Y6,$K$4:$K$6)</f>
        <v>99.528</v>
      </c>
      <c r="Z8" s="55">
        <f>SUMPRODUCT(Z4:Z6,$K$4:$K$6)</f>
        <v>99.528</v>
      </c>
      <c r="AA8" s="55">
        <f>SUMPRODUCT(AA4:AA6,$K$4:$K$6)</f>
        <v>99.528</v>
      </c>
      <c r="AB8" s="55">
        <f>SUMPRODUCT(AB4:AB6,$K$4:$K$6)</f>
        <v>99.528</v>
      </c>
      <c r="AC8" s="55">
        <f>SUMPRODUCT(AC4:AC6,$K$4:$K$6)</f>
        <v>99.528</v>
      </c>
      <c r="AD8" s="55">
        <f>SUMPRODUCT(AD4:AD6,$K$4:$K$6)</f>
        <v>99.528</v>
      </c>
      <c r="AE8" s="55">
        <f>SUMPRODUCT(AE4:AE6,$K$4:$K$6)</f>
        <v>99.528</v>
      </c>
      <c r="AF8" s="55">
        <f>SUMPRODUCT(AF4:AF6,$K$4:$K$6)</f>
        <v>49.764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Perspective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0.0</v>
      </c>
      <c r="I4" s="57">
        <f>Pipeline!S7</f>
        <v>24.881999999999998</v>
      </c>
      <c r="J4" s="57">
        <f>Pipeline!T7</f>
        <v>62.205</v>
      </c>
      <c r="K4" s="57">
        <f>Pipeline!U7</f>
        <v>111.969</v>
      </c>
      <c r="L4" s="57">
        <f>Pipeline!V7</f>
        <v>161.733</v>
      </c>
      <c r="M4" s="57">
        <f>Pipeline!W7</f>
        <v>211.497</v>
      </c>
      <c r="N4" s="57">
        <f>Pipeline!X7</f>
        <v>248.82</v>
      </c>
      <c r="O4" s="57">
        <f>Pipeline!Y7</f>
        <v>248.82</v>
      </c>
      <c r="P4" s="57">
        <f>Pipeline!Z7</f>
        <v>248.82</v>
      </c>
      <c r="Q4" s="57">
        <f>Pipeline!AA7</f>
        <v>248.82</v>
      </c>
      <c r="R4" s="57">
        <f>Pipeline!AB7</f>
        <v>248.82</v>
      </c>
      <c r="S4" s="57">
        <f>Pipeline!AC7</f>
        <v>248.82</v>
      </c>
      <c r="T4" s="57">
        <f>Pipeline!AD7</f>
        <v>248.82</v>
      </c>
      <c r="U4" s="57">
        <f>Pipeline!AE7</f>
        <v>248.82</v>
      </c>
      <c r="V4" s="57">
        <f>Pipeline!AF7</f>
        <v>124.41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0.0</v>
      </c>
      <c r="I5" s="57">
        <f>Pipeline!S8</f>
        <v>9.9528</v>
      </c>
      <c r="J5" s="57">
        <f>Pipeline!T8</f>
        <v>24.882</v>
      </c>
      <c r="K5" s="57">
        <f>Pipeline!U8</f>
        <v>44.7876</v>
      </c>
      <c r="L5" s="57">
        <f>Pipeline!V8</f>
        <v>64.6932</v>
      </c>
      <c r="M5" s="57">
        <f>Pipeline!W8</f>
        <v>84.59880000000001</v>
      </c>
      <c r="N5" s="57">
        <f>Pipeline!X8</f>
        <v>99.528</v>
      </c>
      <c r="O5" s="57">
        <f>Pipeline!Y8</f>
        <v>99.528</v>
      </c>
      <c r="P5" s="57">
        <f>Pipeline!Z8</f>
        <v>99.528</v>
      </c>
      <c r="Q5" s="57">
        <f>Pipeline!AA8</f>
        <v>99.528</v>
      </c>
      <c r="R5" s="57">
        <f>Pipeline!AB8</f>
        <v>99.528</v>
      </c>
      <c r="S5" s="57">
        <f>Pipeline!AC8</f>
        <v>99.528</v>
      </c>
      <c r="T5" s="57">
        <f>Pipeline!AD8</f>
        <v>99.528</v>
      </c>
      <c r="U5" s="57">
        <f>Pipeline!AE8</f>
        <v>99.528</v>
      </c>
      <c r="V5" s="57">
        <f>Pipeline!AF8</f>
        <v>49.764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-125.232</v>
      </c>
      <c r="D6" s="23">
        <f>-IF(D3-2026&lt;Assumptions!$B$19,Assumptions!$B$18,Assumptions!$B$18*Assumptions!$B$20*Assumptions!$B$16)</f>
        <v>-125.232</v>
      </c>
      <c r="E6" s="23">
        <f>-IF(E3-2026&lt;Assumptions!$B$19,Assumptions!$B$18,Assumptions!$B$18*Assumptions!$B$20*Assumptions!$B$16)</f>
        <v>-125.232</v>
      </c>
      <c r="F6" s="23">
        <f>-IF(F3-2026&lt;Assumptions!$B$19,Assumptions!$B$18,Assumptions!$B$18*Assumptions!$B$20*Assumptions!$B$16)</f>
        <v>-125.232</v>
      </c>
      <c r="G6" s="23">
        <f>-IF(G3-2026&lt;Assumptions!$B$19,Assumptions!$B$18,Assumptions!$B$18*Assumptions!$B$20*Assumptions!$B$16)</f>
        <v>-7.87358058330206</v>
      </c>
      <c r="H6" s="23">
        <f>-IF(H3-2026&lt;Assumptions!$B$19,Assumptions!$B$18,Assumptions!$B$18*Assumptions!$B$20*Assumptions!$B$16)</f>
        <v>-7.87358058330206</v>
      </c>
      <c r="I6" s="23">
        <f>-IF(I3-2026&lt;Assumptions!$B$19,Assumptions!$B$18,Assumptions!$B$18*Assumptions!$B$20*Assumptions!$B$16)</f>
        <v>-7.87358058330206</v>
      </c>
      <c r="J6" s="23">
        <f>-IF(J3-2026&lt;Assumptions!$B$19,Assumptions!$B$18,Assumptions!$B$18*Assumptions!$B$20*Assumptions!$B$16)</f>
        <v>-7.87358058330206</v>
      </c>
      <c r="K6" s="23">
        <f>-IF(K3-2026&lt;Assumptions!$B$19,Assumptions!$B$18,Assumptions!$B$18*Assumptions!$B$20*Assumptions!$B$16)</f>
        <v>-7.87358058330206</v>
      </c>
      <c r="L6" s="23">
        <f>-IF(L3-2026&lt;Assumptions!$B$19,Assumptions!$B$18,Assumptions!$B$18*Assumptions!$B$20*Assumptions!$B$16)</f>
        <v>-7.87358058330206</v>
      </c>
      <c r="M6" s="23">
        <f>-IF(M3-2026&lt;Assumptions!$B$19,Assumptions!$B$18,Assumptions!$B$18*Assumptions!$B$20*Assumptions!$B$16)</f>
        <v>-7.87358058330206</v>
      </c>
      <c r="N6" s="23">
        <f>-IF(N3-2026&lt;Assumptions!$B$19,Assumptions!$B$18,Assumptions!$B$18*Assumptions!$B$20*Assumptions!$B$16)</f>
        <v>-7.87358058330206</v>
      </c>
      <c r="O6" s="23">
        <f>-IF(O3-2026&lt;Assumptions!$B$19,Assumptions!$B$18,Assumptions!$B$18*Assumptions!$B$20*Assumptions!$B$16)</f>
        <v>-7.87358058330206</v>
      </c>
      <c r="P6" s="23">
        <f>-IF(P3-2026&lt;Assumptions!$B$19,Assumptions!$B$18,Assumptions!$B$18*Assumptions!$B$20*Assumptions!$B$16)</f>
        <v>-7.87358058330206</v>
      </c>
      <c r="Q6" s="23">
        <f>-IF(Q3-2026&lt;Assumptions!$B$19,Assumptions!$B$18,Assumptions!$B$18*Assumptions!$B$20*Assumptions!$B$16)</f>
        <v>-7.87358058330206</v>
      </c>
      <c r="R6" s="23">
        <f>-IF(R3-2026&lt;Assumptions!$B$19,Assumptions!$B$18,Assumptions!$B$18*Assumptions!$B$20*Assumptions!$B$16)</f>
        <v>-7.87358058330206</v>
      </c>
      <c r="S6" s="23">
        <f>-IF(S3-2026&lt;Assumptions!$B$19,Assumptions!$B$18,Assumptions!$B$18*Assumptions!$B$20*Assumptions!$B$16)</f>
        <v>-7.87358058330206</v>
      </c>
      <c r="T6" s="23">
        <f>-IF(T3-2026&lt;Assumptions!$B$19,Assumptions!$B$18,Assumptions!$B$18*Assumptions!$B$20*Assumptions!$B$16)</f>
        <v>-7.87358058330206</v>
      </c>
      <c r="U6" s="23">
        <f>-IF(U3-2026&lt;Assumptions!$B$19,Assumptions!$B$18,Assumptions!$B$18*Assumptions!$B$20*Assumptions!$B$16)</f>
        <v>-7.87358058330206</v>
      </c>
      <c r="V6" s="23">
        <f>-IF(V3-2026&lt;Assumptions!$B$19,Assumptions!$B$18,Assumptions!$B$18*Assumptions!$B$20*Assumptions!$B$16)</f>
        <v>-7.87358058330206</v>
      </c>
    </row>
    <row r="7">
      <c r="A7" s="14" t="inlineStr">
        <is>
          <t>Pre-tax cash flow</t>
        </is>
      </c>
      <c r="C7" s="23">
        <f>C5+C6</f>
        <v>-125.232</v>
      </c>
      <c r="D7" s="23">
        <f>D5+D6</f>
        <v>-125.232</v>
      </c>
      <c r="E7" s="23">
        <f>E5+E6</f>
        <v>-125.232</v>
      </c>
      <c r="F7" s="23">
        <f>F5+F6</f>
        <v>-125.232</v>
      </c>
      <c r="G7" s="23">
        <f>G5+G6</f>
        <v>-7.87358058330206</v>
      </c>
      <c r="H7" s="23">
        <f>H5+H6</f>
        <v>-7.87358058330206</v>
      </c>
      <c r="I7" s="23">
        <f>I5+I6</f>
        <v>2.0792194166979403</v>
      </c>
      <c r="J7" s="23">
        <f>J5+J6</f>
        <v>17.00841941669794</v>
      </c>
      <c r="K7" s="23">
        <f>K5+K6</f>
        <v>36.91401941669794</v>
      </c>
      <c r="L7" s="23">
        <f>L5+L6</f>
        <v>56.81961941669795</v>
      </c>
      <c r="M7" s="23">
        <f>M5+M6</f>
        <v>76.72521941669795</v>
      </c>
      <c r="N7" s="23">
        <f>N5+N6</f>
        <v>91.65441941669795</v>
      </c>
      <c r="O7" s="23">
        <f>O5+O6</f>
        <v>91.65441941669795</v>
      </c>
      <c r="P7" s="23">
        <f>P5+P6</f>
        <v>91.65441941669795</v>
      </c>
      <c r="Q7" s="23">
        <f>Q5+Q6</f>
        <v>91.65441941669795</v>
      </c>
      <c r="R7" s="23">
        <f>R5+R6</f>
        <v>91.65441941669795</v>
      </c>
      <c r="S7" s="23">
        <f>S5+S6</f>
        <v>91.65441941669795</v>
      </c>
      <c r="T7" s="23">
        <f>T5+T6</f>
        <v>91.65441941669795</v>
      </c>
      <c r="U7" s="23">
        <f>U5+U6</f>
        <v>91.65441941669795</v>
      </c>
      <c r="V7" s="23">
        <f>V5+V6</f>
        <v>41.890419416697945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2.0792194166979403</v>
      </c>
      <c r="J8" s="23">
        <f>MIN(I17,MAX(0,J7))</f>
        <v>17.00841941669794</v>
      </c>
      <c r="K8" s="23">
        <f>MIN(J17,MAX(0,K7))</f>
        <v>36.91401941669794</v>
      </c>
      <c r="L8" s="23">
        <f>MIN(K17,MAX(0,L7))</f>
        <v>56.81961941669795</v>
      </c>
      <c r="M8" s="23">
        <f>MIN(L17,MAX(0,M7))</f>
        <v>76.72521941669795</v>
      </c>
      <c r="N8" s="23">
        <f>MIN(M17,MAX(0,N7))</f>
        <v>91.65441941669795</v>
      </c>
      <c r="O8" s="23">
        <f>MIN(N17,MAX(0,O7))</f>
        <v>91.65441941669795</v>
      </c>
      <c r="P8" s="23">
        <f>MIN(O17,MAX(0,P7))</f>
        <v>91.65441941669795</v>
      </c>
      <c r="Q8" s="23">
        <f>MIN(P17,MAX(0,Q7))</f>
        <v>91.65441941669795</v>
      </c>
      <c r="R8" s="23">
        <f>MIN(Q17,MAX(0,R7))</f>
        <v>91.65441941669795</v>
      </c>
      <c r="S8" s="23">
        <f>MIN(R17,MAX(0,S7))</f>
        <v>91.65441941669795</v>
      </c>
      <c r="T8" s="23">
        <f>MIN(S17,MAX(0,T7))</f>
        <v>66.20214758292676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25.452271833771192</v>
      </c>
      <c r="U9" s="23">
        <f>MAX(0,U7)-U8</f>
        <v>91.65441941669795</v>
      </c>
      <c r="V9" s="23">
        <f>MAX(0,V7)-V8</f>
        <v>41.890419416697945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5.3449770850919505</v>
      </c>
      <c r="U10" s="23">
        <f>U9*Assumptions!$E$15</f>
        <v>19.24742807750657</v>
      </c>
      <c r="V10" s="23">
        <f>V9*Assumptions!$E$15</f>
        <v>8.796988077506569</v>
      </c>
    </row>
    <row r="11">
      <c r="A11" s="24" t="inlineStr">
        <is>
          <t>Free cash flow</t>
        </is>
      </c>
      <c r="C11" s="55">
        <f>C7-C10</f>
        <v>-125.232</v>
      </c>
      <c r="D11" s="55">
        <f>D7-D10</f>
        <v>-125.232</v>
      </c>
      <c r="E11" s="55">
        <f>E7-E10</f>
        <v>-125.232</v>
      </c>
      <c r="F11" s="55">
        <f>F7-F10</f>
        <v>-125.232</v>
      </c>
      <c r="G11" s="55">
        <f>G7-G10</f>
        <v>-7.87358058330206</v>
      </c>
      <c r="H11" s="55">
        <f>H7-H10</f>
        <v>-7.87358058330206</v>
      </c>
      <c r="I11" s="55">
        <f>I7-I10</f>
        <v>2.0792194166979403</v>
      </c>
      <c r="J11" s="55">
        <f>J7-J10</f>
        <v>17.00841941669794</v>
      </c>
      <c r="K11" s="55">
        <f>K7-K10</f>
        <v>36.91401941669794</v>
      </c>
      <c r="L11" s="55">
        <f>L7-L10</f>
        <v>56.81961941669795</v>
      </c>
      <c r="M11" s="55">
        <f>M7-M10</f>
        <v>76.72521941669795</v>
      </c>
      <c r="N11" s="55">
        <f>N7-N10</f>
        <v>91.65441941669795</v>
      </c>
      <c r="O11" s="55">
        <f>O7-O10</f>
        <v>91.65441941669795</v>
      </c>
      <c r="P11" s="55">
        <f>P7-P10</f>
        <v>91.65441941669795</v>
      </c>
      <c r="Q11" s="55">
        <f>Q7-Q10</f>
        <v>91.65441941669795</v>
      </c>
      <c r="R11" s="55">
        <f>R7-R10</f>
        <v>91.65441941669795</v>
      </c>
      <c r="S11" s="55">
        <f>S7-S10</f>
        <v>91.65441941669795</v>
      </c>
      <c r="T11" s="55">
        <f>T7-T10</f>
        <v>86.309442331606</v>
      </c>
      <c r="U11" s="55">
        <f>U7-U10</f>
        <v>72.40699133919138</v>
      </c>
      <c r="V11" s="55">
        <f>V7-V10</f>
        <v>33.093431339191376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-61.35170143580405</v>
      </c>
      <c r="D16" s="55">
        <f>D11*D15</f>
        <v>-111.7623435420293</v>
      </c>
      <c r="E16" s="55">
        <f>E11*E15</f>
        <v>-99.7878067339547</v>
      </c>
      <c r="F16" s="55">
        <f>F11*F15</f>
        <v>-89.09625601245956</v>
      </c>
      <c r="G16" s="55">
        <f>G11*G15</f>
        <v>-5.001478337524204</v>
      </c>
      <c r="H16" s="55">
        <f>H11*H15</f>
        <v>-4.465605658503754</v>
      </c>
      <c r="I16" s="55">
        <f>I11*I15</f>
        <v>1.0529079194296251</v>
      </c>
      <c r="J16" s="55">
        <f>J11*J15</f>
        <v>7.690171127358561</v>
      </c>
      <c r="K16" s="55">
        <f>K11*K15</f>
        <v>14.90202751933796</v>
      </c>
      <c r="L16" s="55">
        <f>L11*L15</f>
        <v>20.48020608733934</v>
      </c>
      <c r="M16" s="55">
        <f>M11*M15</f>
        <v>24.691991483021496</v>
      </c>
      <c r="N16" s="55">
        <f>N11*N15</f>
        <v>26.336215514363534</v>
      </c>
      <c r="O16" s="55">
        <f>O11*O15</f>
        <v>23.514478137824582</v>
      </c>
      <c r="P16" s="55">
        <f>P11*P15</f>
        <v>20.995069765914803</v>
      </c>
      <c r="Q16" s="55">
        <f>Q11*Q15</f>
        <v>18.745598005281074</v>
      </c>
      <c r="R16" s="55">
        <f>R11*R15</f>
        <v>16.737141076143814</v>
      </c>
      <c r="S16" s="55">
        <f>S11*S15</f>
        <v>14.94387596084269</v>
      </c>
      <c r="T16" s="55">
        <f>T11*T15</f>
        <v>12.564642356947635</v>
      </c>
      <c r="U16" s="55">
        <f>U11*U15</f>
        <v>9.411401474063874</v>
      </c>
      <c r="V16" s="55">
        <f>V11*V15</f>
        <v>3.8405867149485617</v>
      </c>
    </row>
    <row r="17">
      <c r="A17" s="14" t="inlineStr">
        <is>
          <t>Tax-loss carryforward, end of year</t>
        </is>
      </c>
      <c r="C17" s="23">
        <f>Assumptions!$B$21-C8+MAX(0,-C7)</f>
        <v>414.23199999999997</v>
      </c>
      <c r="D17" s="23">
        <f>C17-D8+MAX(0,-D7)</f>
        <v>539.4639999999999</v>
      </c>
      <c r="E17" s="23">
        <f>D17-E8+MAX(0,-E7)</f>
        <v>664.6959999999999</v>
      </c>
      <c r="F17" s="23">
        <f>E17-F8+MAX(0,-F7)</f>
        <v>789.9279999999999</v>
      </c>
      <c r="G17" s="23">
        <f>F17-G8+MAX(0,-G7)</f>
        <v>797.801580583302</v>
      </c>
      <c r="H17" s="23">
        <f>G17-H8+MAX(0,-H7)</f>
        <v>805.6751611666041</v>
      </c>
      <c r="I17" s="23">
        <f>H17-I8+MAX(0,-I7)</f>
        <v>803.5959417499062</v>
      </c>
      <c r="J17" s="23">
        <f>I17-J8+MAX(0,-J7)</f>
        <v>786.5875223332082</v>
      </c>
      <c r="K17" s="23">
        <f>J17-K8+MAX(0,-K7)</f>
        <v>749.6735029165103</v>
      </c>
      <c r="L17" s="23">
        <f>K17-L8+MAX(0,-L7)</f>
        <v>692.8538834998124</v>
      </c>
      <c r="M17" s="23">
        <f>L17-M8+MAX(0,-M7)</f>
        <v>616.1286640831144</v>
      </c>
      <c r="N17" s="23">
        <f>M17-N8+MAX(0,-N7)</f>
        <v>524.4742446664164</v>
      </c>
      <c r="O17" s="23">
        <f>N17-O8+MAX(0,-O7)</f>
        <v>432.8198252497185</v>
      </c>
      <c r="P17" s="23">
        <f>O17-P8+MAX(0,-P7)</f>
        <v>341.1654058330206</v>
      </c>
      <c r="Q17" s="23">
        <f>P17-Q8+MAX(0,-Q7)</f>
        <v>249.51098641632265</v>
      </c>
      <c r="R17" s="23">
        <f>Q17-R8+MAX(0,-R7)</f>
        <v>157.8565669996247</v>
      </c>
      <c r="S17" s="23">
        <f>R17-S8+MAX(0,-S7)</f>
        <v>66.20214758292676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249.80588312952193</v>
      </c>
    </row>
    <row r="20">
      <c r="A20" s="14" t="inlineStr">
        <is>
          <t>PV of corporate burn</t>
        </is>
      </c>
      <c r="B20" s="23">
        <f>SUMPRODUCT(C6:V6,C15:V15)</f>
        <v>-401.0639772656439</v>
      </c>
    </row>
    <row r="21">
      <c r="A21" s="14" t="inlineStr">
        <is>
          <t>PV of taxes</t>
        </is>
      </c>
      <c r="B21" s="23">
        <f>-SUMPRODUCT(C10:V10,C15:V15)</f>
        <v>-4.3007844413361</v>
      </c>
    </row>
    <row r="22">
      <c r="A22" s="24" t="inlineStr">
        <is>
          <t>Pipeline rNPV (operations)</t>
        </is>
      </c>
      <c r="B22" s="54">
        <f>SUM(C16:V16)</f>
        <v>-155.55887857745805</v>
      </c>
    </row>
    <row r="23">
      <c r="A23" s="14" t="inlineStr">
        <is>
          <t>Cash &amp; investments</t>
        </is>
      </c>
      <c r="B23" s="57">
        <f>Main!C7</f>
        <v>236.876</v>
      </c>
    </row>
    <row r="24">
      <c r="A24" s="14" t="inlineStr">
        <is>
          <t>Debt</t>
        </is>
      </c>
      <c r="B24" s="57">
        <f>Main!C8</f>
        <v>1.597</v>
      </c>
    </row>
    <row r="25">
      <c r="A25" s="24" t="inlineStr">
        <is>
          <t>Equity value</t>
        </is>
      </c>
      <c r="B25" s="54">
        <f>B22+B23-B24</f>
        <v>79.72012142254196</v>
      </c>
    </row>
    <row r="26">
      <c r="A26" s="14" t="inlineStr">
        <is>
          <t>Shares (mm)</t>
        </is>
      </c>
      <c r="B26" s="57">
        <f>Main!C4</f>
        <v>114.151663</v>
      </c>
    </row>
    <row r="27">
      <c r="A27" s="24" t="inlineStr">
        <is>
          <t>rNPV / share</t>
        </is>
      </c>
      <c r="B27" s="60">
        <f>B25/B26</f>
        <v>0.6983702149178673</v>
      </c>
    </row>
    <row r="28">
      <c r="A28" s="14" t="inlineStr">
        <is>
          <t>Price</t>
        </is>
      </c>
      <c r="B28" s="61">
        <f>Main!C3</f>
        <v>2.3</v>
      </c>
    </row>
    <row r="29">
      <c r="A29" s="14" t="inlineStr">
        <is>
          <t>Upside</t>
        </is>
      </c>
      <c r="B29" s="62">
        <f>B27/B28-1</f>
        <v>-0.6963607761226663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2026-10-21T06:26:13Z</dcterms:modified>
  <cp:lastModifiedBy>Wang, Eric</cp:lastModifiedBy>
</cp:coreProperties>
</file>