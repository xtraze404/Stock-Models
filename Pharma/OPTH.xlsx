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3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Optimi Health Corp</t>
        </is>
      </c>
      <c r="C2" s="10" t="n"/>
    </row>
    <row r="3">
      <c r="B3" t="inlineStr">
        <is>
          <t>Price</t>
        </is>
      </c>
      <c r="C3" s="11">
        <f>INDEX([1]Pharma!$F$1:$F$1000,MATCH("OPTH",[1]Pharma!$B$1:$B$1000,0))</f>
        <v>3.36</v>
      </c>
      <c r="F3" s="1" t="n"/>
    </row>
    <row r="4">
      <c r="B4" t="inlineStr">
        <is>
          <t>Shares</t>
        </is>
      </c>
      <c r="C4" s="12" t="n"/>
      <c r="F4" s="1" t="n"/>
    </row>
    <row r="5">
      <c r="B5" t="inlineStr">
        <is>
          <t>Market Cap.</t>
        </is>
      </c>
      <c r="C5" s="13">
        <f>C3*C4</f>
        <v>0.0</v>
      </c>
      <c r="F5" s="1" t="n"/>
    </row>
    <row r="6"/>
    <row r="7">
      <c r="B7" t="inlineStr">
        <is>
          <t>Cash</t>
        </is>
      </c>
      <c r="C7" s="12" t="n"/>
    </row>
    <row r="8">
      <c r="B8" t="inlineStr">
        <is>
          <t>Debt</t>
        </is>
      </c>
      <c r="C8" s="12" t="n"/>
    </row>
    <row r="9">
      <c r="B9" t="inlineStr">
        <is>
          <t>Enterprise V.</t>
        </is>
      </c>
      <c r="C9" s="13">
        <f>C5-C7+C8</f>
        <v>0.0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/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12" t="n"/>
    </row>
    <row r="18">
      <c r="B18" s="14" t="inlineStr">
        <is>
          <t>Runway (years)</t>
        </is>
      </c>
      <c r="C18" s="16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0.0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1" t="n"/>
      <c r="C2" s="1" t="n"/>
      <c r="D2" s="1" t="n"/>
      <c r="I2" s="1" t="n"/>
      <c r="J2" s="1" t="n"/>
      <c r="K2" s="1" t="n"/>
    </row>
    <row r="3" customFormat="1" s="1">
      <c r="A3" s="5" t="inlineStr">
        <is>
          <t>Cost of Sales</t>
        </is>
      </c>
      <c r="B3" s="1" t="n"/>
      <c r="C3" s="1" t="n"/>
      <c r="D3" s="1" t="n"/>
      <c r="I3" s="1" t="n"/>
      <c r="J3" s="1" t="n"/>
      <c r="K3" s="1" t="n"/>
    </row>
    <row r="4" customFormat="1" s="1">
      <c r="A4" s="5" t="inlineStr">
        <is>
          <t>Gross Margin</t>
        </is>
      </c>
      <c r="B4" s="1" t="n"/>
      <c r="C4" s="1" t="n"/>
      <c r="D4" s="1" t="n"/>
      <c r="I4" s="1" t="n"/>
      <c r="J4" s="1" t="n"/>
      <c r="K4" s="1" t="n"/>
    </row>
    <row r="5">
      <c r="A5" s="2" t="inlineStr">
        <is>
          <t>Research &amp; Dev.</t>
        </is>
      </c>
      <c r="B5" s="1" t="n"/>
      <c r="C5" s="1" t="n"/>
      <c r="D5" s="1" t="n"/>
      <c r="I5" s="1" t="n"/>
      <c r="J5" s="1" t="n"/>
      <c r="K5" s="1" t="n"/>
    </row>
    <row r="6">
      <c r="A6" s="17" t="inlineStr">
        <is>
          <t>SG&amp;A &amp; Other</t>
        </is>
      </c>
      <c r="B6" s="1" t="n"/>
      <c r="C6" s="1" t="n"/>
      <c r="D6" s="1" t="n"/>
      <c r="I6" s="1" t="n"/>
      <c r="J6" s="1" t="n"/>
      <c r="K6" s="1" t="n"/>
    </row>
    <row r="7">
      <c r="A7" s="2" t="inlineStr">
        <is>
          <t>Operating Expense</t>
        </is>
      </c>
      <c r="B7" s="1" t="n"/>
      <c r="C7" s="1" t="n"/>
      <c r="D7" s="1" t="n"/>
      <c r="I7" s="1" t="n"/>
      <c r="J7" s="1" t="n"/>
      <c r="K7" s="1" t="n"/>
    </row>
    <row r="8">
      <c r="A8" s="2" t="inlineStr">
        <is>
          <t>Operating Income</t>
        </is>
      </c>
      <c r="B8" s="1" t="n"/>
      <c r="C8" s="1" t="n"/>
      <c r="D8" s="1" t="n"/>
      <c r="I8" s="1" t="n"/>
      <c r="J8" s="1" t="n"/>
      <c r="K8" s="1" t="n"/>
    </row>
    <row r="9">
      <c r="A9" s="17" t="inlineStr">
        <is>
          <t>Interest &amp; Other</t>
        </is>
      </c>
    </row>
    <row r="10">
      <c r="A10" s="2" t="inlineStr">
        <is>
          <t>Pretax</t>
        </is>
      </c>
      <c r="B10" s="1" t="n"/>
      <c r="C10" s="1" t="n"/>
      <c r="D10" s="1" t="n"/>
      <c r="I10" s="1" t="n"/>
      <c r="J10" s="1" t="n"/>
      <c r="K10" s="1" t="n"/>
    </row>
    <row r="11">
      <c r="A11" s="2" t="inlineStr">
        <is>
          <t>Taxes</t>
        </is>
      </c>
    </row>
    <row r="12">
      <c r="A12" s="2" t="inlineStr">
        <is>
          <t>Net Income</t>
        </is>
      </c>
      <c r="B12" s="1" t="n"/>
      <c r="C12" s="1" t="n"/>
      <c r="D12" s="1" t="n"/>
      <c r="I12" s="1" t="n"/>
      <c r="J12" s="1" t="n"/>
      <c r="K12" s="1" t="n"/>
    </row>
    <row r="13">
      <c r="A13" s="2" t="inlineStr">
        <is>
          <t>Earnings per Share</t>
        </is>
      </c>
    </row>
    <row r="14">
      <c r="A14" s="2" t="inlineStr">
        <is>
          <t>Shares</t>
        </is>
      </c>
    </row>
    <row r="15"/>
    <row r="16" customFormat="1" s="4">
      <c r="A16" s="3" t="inlineStr">
        <is>
          <t>Revenue Change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</row>
    <row r="19">
      <c r="A19" s="14" t="inlineStr">
        <is>
          <t>Actual / Estimate</t>
        </is>
      </c>
      <c r="B19" s="14" t="inlineStr">
        <is>
          <t>No annual financials in SEC XBRL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2026-10-21T01:06:59Z</dcterms:modified>
  <cp:lastModifiedBy>Wang, Eric</cp:lastModifiedBy>
</cp:coreProperties>
</file>