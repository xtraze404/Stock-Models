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Replimune Group, Inc.</t>
        </is>
      </c>
      <c r="C2" s="10" t="n"/>
    </row>
    <row r="3">
      <c r="B3" t="inlineStr">
        <is>
          <t>Price</t>
        </is>
      </c>
      <c r="C3" s="11">
        <f>INDEX([1]Pharma!$F$1:$F$1000,MATCH("REPL",[1]Pharma!$B$1:$B$1000,0))</f>
        <v>11.42</v>
      </c>
      <c r="F3" s="1" t="n"/>
    </row>
    <row r="4">
      <c r="B4" t="inlineStr">
        <is>
          <t>Shares</t>
        </is>
      </c>
      <c r="C4" s="21" t="n">
        <v>94.219634</v>
      </c>
      <c r="F4" s="1" t="n"/>
    </row>
    <row r="5">
      <c r="B5" t="inlineStr">
        <is>
          <t>Market Cap.</t>
        </is>
      </c>
      <c r="C5" s="13">
        <f>C3*C4</f>
        <v>1075.98822028</v>
      </c>
      <c r="F5" s="1" t="n"/>
    </row>
    <row r="6"/>
    <row r="7">
      <c r="B7" t="inlineStr">
        <is>
          <t>Cash</t>
        </is>
      </c>
      <c r="C7" s="21">
        <f>185.359+9.969</f>
        <v>195.328</v>
      </c>
    </row>
    <row r="8">
      <c r="B8" t="inlineStr">
        <is>
          <t>Debt</t>
        </is>
      </c>
      <c r="C8" s="21" t="n">
        <v>84.114</v>
      </c>
    </row>
    <row r="9">
      <c r="B9" t="inlineStr">
        <is>
          <t>Enterprise V.</t>
        </is>
      </c>
      <c r="C9" s="13">
        <f>C5-C7+C8</f>
        <v>964.77422028</v>
      </c>
    </row>
    <row r="10"/>
    <row r="11">
      <c r="B11" s="14" t="inlineStr">
        <is>
          <t>Net Cash / Share</t>
        </is>
      </c>
      <c r="C11" s="11">
        <f>(C7-C8)/C4</f>
        <v>1.1803696881267869</v>
      </c>
    </row>
    <row r="12">
      <c r="B12" s="14" t="inlineStr">
        <is>
          <t>Upside</t>
        </is>
      </c>
      <c r="C12" s="15">
        <f>IFERROR(C11/C3-1,"")</f>
        <v>-0.8966401323881973</v>
      </c>
    </row>
    <row r="13">
      <c r="B13" s="14" t="inlineStr">
        <is>
          <t>Cash / Share</t>
        </is>
      </c>
      <c r="C13" s="11">
        <f>IFERROR((C7-C8)/C4,"")</f>
        <v>1.1803696881267869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-279.056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0.3985364944670604</v>
      </c>
    </row>
    <row r="19">
      <c r="B19" s="14" t="inlineStr">
        <is>
          <t>Implied Pipeline Value</t>
        </is>
      </c>
      <c r="C19" s="13">
        <f>C9</f>
        <v>964.77422028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17" t="n">
        <v>2025</v>
      </c>
      <c r="K1" s="17" t="n">
        <v>2026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</row>
    <row r="5">
      <c r="A5" s="2" t="inlineStr">
        <is>
          <t>Research &amp; Dev.</t>
        </is>
      </c>
      <c r="B5" s="23" t="n">
        <v>6.936</v>
      </c>
      <c r="C5" s="23" t="n">
        <v>13.516</v>
      </c>
      <c r="D5" s="23" t="n">
        <v>22.173</v>
      </c>
      <c r="E5" s="23" t="n">
        <v>38.761</v>
      </c>
      <c r="F5" s="23" t="n">
        <v>56.754</v>
      </c>
      <c r="G5" s="23" t="n">
        <v>79.545</v>
      </c>
      <c r="H5" s="23" t="n">
        <v>126.527</v>
      </c>
      <c r="I5" s="23" t="n">
        <v>174.963</v>
      </c>
      <c r="J5" s="23" t="n">
        <v>189.447</v>
      </c>
      <c r="K5" s="23" t="n">
        <v>221.184</v>
      </c>
    </row>
    <row r="6">
      <c r="A6" s="19" t="inlineStr">
        <is>
          <t>SG&amp;A &amp; Other</t>
        </is>
      </c>
      <c r="B6" s="23" t="n">
        <v>2.711</v>
      </c>
      <c r="C6" s="23" t="n">
        <v>5.713</v>
      </c>
      <c r="D6" s="23" t="n">
        <v>8.773</v>
      </c>
      <c r="E6" s="23" t="n">
        <v>17.437</v>
      </c>
      <c r="F6" s="23" t="n">
        <v>23.201</v>
      </c>
      <c r="G6" s="23" t="n">
        <v>38.769</v>
      </c>
      <c r="H6" s="23" t="n">
        <v>50.553</v>
      </c>
      <c r="I6" s="23" t="n">
        <v>59.81</v>
      </c>
      <c r="J6" s="23" t="n">
        <v>72.18000000000001</v>
      </c>
      <c r="K6" s="23" t="n">
        <v>98.735</v>
      </c>
    </row>
    <row r="7">
      <c r="A7" s="2" t="inlineStr">
        <is>
          <t>Operating Expense</t>
        </is>
      </c>
      <c r="B7" s="23">
        <f>SUM(B5:B6)</f>
        <v>9.647</v>
      </c>
      <c r="C7" s="23">
        <f>SUM(C5:C6)</f>
        <v>19.229</v>
      </c>
      <c r="D7" s="23">
        <f>SUM(D5:D6)</f>
        <v>30.945999999999998</v>
      </c>
      <c r="E7" s="23">
        <f>SUM(E5:E6)</f>
        <v>56.19800000000001</v>
      </c>
      <c r="F7" s="23">
        <f>SUM(F5:F6)</f>
        <v>79.955</v>
      </c>
      <c r="G7" s="23">
        <f>SUM(G5:G6)</f>
        <v>118.314</v>
      </c>
      <c r="H7" s="23">
        <f>SUM(H5:H6)</f>
        <v>177.07999999999998</v>
      </c>
      <c r="I7" s="23">
        <f>SUM(I5:I6)</f>
        <v>234.773</v>
      </c>
      <c r="J7" s="23">
        <f>SUM(J5:J6)</f>
        <v>261.627</v>
      </c>
      <c r="K7" s="23">
        <f>SUM(K5:K6)</f>
        <v>319.919</v>
      </c>
    </row>
    <row r="8">
      <c r="A8" s="2" t="inlineStr">
        <is>
          <t>Operating Income</t>
        </is>
      </c>
      <c r="B8" s="23">
        <f>B4-B7</f>
        <v>-9.647</v>
      </c>
      <c r="C8" s="23">
        <f>C4-C7</f>
        <v>-19.229</v>
      </c>
      <c r="D8" s="23">
        <f>D4-D7</f>
        <v>-30.945999999999998</v>
      </c>
      <c r="E8" s="23">
        <f>E4-E7</f>
        <v>-56.19800000000001</v>
      </c>
      <c r="F8" s="23">
        <f>F4-F7</f>
        <v>-79.955</v>
      </c>
      <c r="G8" s="23">
        <f>G4-G7</f>
        <v>-118.314</v>
      </c>
      <c r="H8" s="23">
        <f>H4-H7</f>
        <v>-177.07999999999998</v>
      </c>
      <c r="I8" s="23">
        <f>I4-I7</f>
        <v>-234.773</v>
      </c>
      <c r="J8" s="23">
        <f>J4-J7</f>
        <v>-261.627</v>
      </c>
      <c r="K8" s="23">
        <f>K4-K7</f>
        <v>-319.919</v>
      </c>
    </row>
    <row r="9">
      <c r="A9" s="19" t="inlineStr">
        <is>
          <t>Interest &amp; Other</t>
        </is>
      </c>
      <c r="B9" s="23" t="n">
        <v>1.943</v>
      </c>
      <c r="C9" s="23" t="n">
        <v>-0.473</v>
      </c>
      <c r="D9" s="23" t="n">
        <v>0.112</v>
      </c>
      <c r="E9" s="23" t="n">
        <v>3.573</v>
      </c>
      <c r="F9" s="23" t="n">
        <v>-0.915</v>
      </c>
      <c r="G9" s="23" t="n">
        <v>0.278</v>
      </c>
      <c r="H9" s="23" t="n">
        <v>3.084</v>
      </c>
      <c r="I9" s="23" t="n">
        <v>19.381</v>
      </c>
      <c r="J9" s="23" t="n">
        <v>14.795</v>
      </c>
      <c r="K9" s="23" t="n">
        <v>5.468</v>
      </c>
    </row>
    <row r="10">
      <c r="A10" s="2" t="inlineStr">
        <is>
          <t>Pretax</t>
        </is>
      </c>
      <c r="B10" s="23">
        <f>B8+B9</f>
        <v>-7.704000000000001</v>
      </c>
      <c r="C10" s="23">
        <f>C8+C9</f>
        <v>-19.701999999999998</v>
      </c>
      <c r="D10" s="23">
        <f>D8+D9</f>
        <v>-30.834</v>
      </c>
      <c r="E10" s="23">
        <f>E8+E9</f>
        <v>-52.62500000000001</v>
      </c>
      <c r="F10" s="23">
        <f>F8+F9</f>
        <v>-80.87</v>
      </c>
      <c r="G10" s="23">
        <f>G8+G9</f>
        <v>-118.03599999999999</v>
      </c>
      <c r="H10" s="23">
        <f>H8+H9</f>
        <v>-173.99599999999998</v>
      </c>
      <c r="I10" s="23">
        <f>I8+I9</f>
        <v>-215.392</v>
      </c>
      <c r="J10" s="23">
        <f>J8+J9</f>
        <v>-246.83200000000002</v>
      </c>
      <c r="K10" s="23">
        <f>K8+K9</f>
        <v>-314.45099999999996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0.288</v>
      </c>
      <c r="I11" s="23" t="n">
        <v>0.408</v>
      </c>
      <c r="J11" s="23" t="n">
        <v>0.468</v>
      </c>
      <c r="K11" s="23" t="n">
        <v>-0.551</v>
      </c>
    </row>
    <row r="12">
      <c r="A12" s="2" t="inlineStr">
        <is>
          <t>Net Income</t>
        </is>
      </c>
      <c r="B12" s="23" t="n">
        <v>-7.704</v>
      </c>
      <c r="C12" s="23" t="n">
        <v>-19.702</v>
      </c>
      <c r="D12" s="23" t="n">
        <v>-30.834</v>
      </c>
      <c r="E12" s="23" t="n">
        <v>-52.625</v>
      </c>
      <c r="F12" s="23" t="n">
        <v>-80.87</v>
      </c>
      <c r="G12" s="23" t="n">
        <v>-118.036</v>
      </c>
      <c r="H12" s="23" t="n">
        <v>-174.284</v>
      </c>
      <c r="I12" s="23" t="n">
        <v>-215.8</v>
      </c>
      <c r="J12" s="23" t="n">
        <v>-247.3</v>
      </c>
      <c r="K12" s="23" t="n">
        <v>-313.9</v>
      </c>
    </row>
    <row r="13">
      <c r="A13" s="2" t="inlineStr">
        <is>
          <t>Earnings per Share</t>
        </is>
      </c>
      <c r="B13" s="11">
        <f>IFERROR(B12/B14,0)</f>
        <v>-1.5491654936657953</v>
      </c>
      <c r="C13" s="11">
        <f>IFERROR(C12/C14,0)</f>
        <v>-3.9570194818236595</v>
      </c>
      <c r="D13" s="11">
        <f>IFERROR(D12/D14,0)</f>
        <v>-1.3291663074402966</v>
      </c>
      <c r="E13" s="11">
        <f>IFERROR(E12/E14,0)</f>
        <v>-1.535958204424727</v>
      </c>
      <c r="F13" s="11">
        <f>IFERROR(F12/F14,0)</f>
        <v>-1.748578347639949</v>
      </c>
      <c r="G13" s="11">
        <f>IFERROR(G12/G14,0)</f>
        <v>-2.2607063510304144</v>
      </c>
      <c r="H13" s="11">
        <f>IFERROR(H12/H14,0)</f>
        <v>-2.993901705804545</v>
      </c>
      <c r="I13" s="11">
        <f>IFERROR(I12/I14,0)</f>
        <v>-3.2417004656752297</v>
      </c>
      <c r="J13" s="11">
        <f>IFERROR(J12/J14,0)</f>
        <v>-3.069609254753985</v>
      </c>
      <c r="K13" s="11">
        <f>IFERROR(K12/K14,0)</f>
        <v>-3.382397310460756</v>
      </c>
    </row>
    <row r="14">
      <c r="A14" s="2" t="inlineStr">
        <is>
          <t>Shares</t>
        </is>
      </c>
      <c r="B14" s="23" t="n">
        <v>4.973</v>
      </c>
      <c r="C14" s="23" t="n">
        <v>4.979</v>
      </c>
      <c r="D14" s="23" t="n">
        <v>23.198</v>
      </c>
      <c r="E14" s="23" t="n">
        <v>34.262</v>
      </c>
      <c r="F14" s="23" t="n">
        <v>46.249</v>
      </c>
      <c r="G14" s="23" t="n">
        <v>52.212</v>
      </c>
      <c r="H14" s="23" t="n">
        <v>58.213</v>
      </c>
      <c r="I14" s="23" t="n">
        <v>66.56999999999999</v>
      </c>
      <c r="J14" s="23" t="n">
        <v>80.56399999999999</v>
      </c>
      <c r="K14" s="23" t="n">
        <v>92.804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2026-10-21T01:04:49Z</dcterms:modified>
  <cp:lastModifiedBy>Wang, Eric</cp:lastModifiedBy>
</cp:coreProperties>
</file>