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Replimune Group, Inc.</t>
        </is>
      </c>
      <c r="C2" s="10" t="n"/>
    </row>
    <row r="3">
      <c r="B3" t="inlineStr">
        <is>
          <t>Price</t>
        </is>
      </c>
      <c r="C3" s="11">
        <f>INDEX([1]Pharma!$F$1:$F$1000,MATCH("REPL",[1]Pharma!$B$1:$B$1000,0))</f>
        <v>11.42</v>
      </c>
      <c r="F3" s="1" t="n"/>
    </row>
    <row r="4">
      <c r="B4" t="inlineStr">
        <is>
          <t>Shares</t>
        </is>
      </c>
      <c r="C4" s="21" t="n">
        <v>94.219634</v>
      </c>
      <c r="F4" s="1" t="n"/>
    </row>
    <row r="5">
      <c r="B5" t="inlineStr">
        <is>
          <t>Market Cap.</t>
        </is>
      </c>
      <c r="C5" s="13">
        <f>C3*C4</f>
        <v>1075.98822028</v>
      </c>
      <c r="F5" s="1" t="n"/>
    </row>
    <row r="6"/>
    <row r="7">
      <c r="B7" t="inlineStr">
        <is>
          <t>Cash</t>
        </is>
      </c>
      <c r="C7" s="21">
        <f>185.359+9.969</f>
        <v>195.328</v>
      </c>
    </row>
    <row r="8">
      <c r="B8" t="inlineStr">
        <is>
          <t>Debt</t>
        </is>
      </c>
      <c r="C8" s="21" t="n">
        <v>84.114</v>
      </c>
    </row>
    <row r="9">
      <c r="B9" t="inlineStr">
        <is>
          <t>Enterprise V.</t>
        </is>
      </c>
      <c r="C9" s="13">
        <f>C5-C7+C8</f>
        <v>964.77422028</v>
      </c>
    </row>
    <row r="10"/>
    <row r="11">
      <c r="B11" s="14" t="inlineStr">
        <is>
          <t>rNPV / Share</t>
        </is>
      </c>
      <c r="C11" s="11">
        <f>NPV!B27</f>
        <v>-1.1585091848331095</v>
      </c>
    </row>
    <row r="12">
      <c r="B12" s="14" t="inlineStr">
        <is>
          <t>Upside</t>
        </is>
      </c>
      <c r="C12" s="15">
        <f>IFERROR(C11/C3-1,"")</f>
        <v>-1.101445637901323</v>
      </c>
    </row>
    <row r="13">
      <c r="B13" s="14" t="inlineStr">
        <is>
          <t>Cash / Share</t>
        </is>
      </c>
      <c r="C13" s="11">
        <f>IFERROR((C7-C8)/C4,"")</f>
        <v>1.1803696881267869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-279.056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0.3985364944670604</v>
      </c>
    </row>
    <row r="19">
      <c r="B19" s="14" t="inlineStr">
        <is>
          <t>Implied Pipeline Value</t>
        </is>
      </c>
      <c r="C19" s="13">
        <f>C9</f>
        <v>964.77422028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17" t="n">
        <v>2026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6.936</v>
      </c>
      <c r="C5" s="23" t="n">
        <v>13.516</v>
      </c>
      <c r="D5" s="23" t="n">
        <v>22.173</v>
      </c>
      <c r="E5" s="23" t="n">
        <v>38.761</v>
      </c>
      <c r="F5" s="23" t="n">
        <v>56.754</v>
      </c>
      <c r="G5" s="23" t="n">
        <v>79.545</v>
      </c>
      <c r="H5" s="23" t="n">
        <v>126.527</v>
      </c>
      <c r="I5" s="23" t="n">
        <v>174.963</v>
      </c>
      <c r="J5" s="23" t="n">
        <v>189.447</v>
      </c>
      <c r="K5" s="23" t="n">
        <v>221.184</v>
      </c>
    </row>
    <row r="6">
      <c r="A6" s="19" t="inlineStr">
        <is>
          <t>SG&amp;A &amp; Other</t>
        </is>
      </c>
      <c r="B6" s="23" t="n">
        <v>2.711</v>
      </c>
      <c r="C6" s="23" t="n">
        <v>5.713</v>
      </c>
      <c r="D6" s="23" t="n">
        <v>8.773</v>
      </c>
      <c r="E6" s="23" t="n">
        <v>17.437</v>
      </c>
      <c r="F6" s="23" t="n">
        <v>23.201</v>
      </c>
      <c r="G6" s="23" t="n">
        <v>38.769</v>
      </c>
      <c r="H6" s="23" t="n">
        <v>50.553</v>
      </c>
      <c r="I6" s="23" t="n">
        <v>59.81</v>
      </c>
      <c r="J6" s="23" t="n">
        <v>72.18000000000001</v>
      </c>
      <c r="K6" s="23" t="n">
        <v>98.735</v>
      </c>
    </row>
    <row r="7">
      <c r="A7" s="2" t="inlineStr">
        <is>
          <t>Operating Expense</t>
        </is>
      </c>
      <c r="B7" s="23">
        <f>SUM(B5:B6)</f>
        <v>9.647</v>
      </c>
      <c r="C7" s="23">
        <f>SUM(C5:C6)</f>
        <v>19.229</v>
      </c>
      <c r="D7" s="23">
        <f>SUM(D5:D6)</f>
        <v>30.945999999999998</v>
      </c>
      <c r="E7" s="23">
        <f>SUM(E5:E6)</f>
        <v>56.19800000000001</v>
      </c>
      <c r="F7" s="23">
        <f>SUM(F5:F6)</f>
        <v>79.955</v>
      </c>
      <c r="G7" s="23">
        <f>SUM(G5:G6)</f>
        <v>118.314</v>
      </c>
      <c r="H7" s="23">
        <f>SUM(H5:H6)</f>
        <v>177.07999999999998</v>
      </c>
      <c r="I7" s="23">
        <f>SUM(I5:I6)</f>
        <v>234.773</v>
      </c>
      <c r="J7" s="23">
        <f>SUM(J5:J6)</f>
        <v>261.627</v>
      </c>
      <c r="K7" s="23">
        <f>SUM(K5:K6)</f>
        <v>319.919</v>
      </c>
    </row>
    <row r="8">
      <c r="A8" s="2" t="inlineStr">
        <is>
          <t>Operating Income</t>
        </is>
      </c>
      <c r="B8" s="23">
        <f>B4-B7</f>
        <v>-9.647</v>
      </c>
      <c r="C8" s="23">
        <f>C4-C7</f>
        <v>-19.229</v>
      </c>
      <c r="D8" s="23">
        <f>D4-D7</f>
        <v>-30.945999999999998</v>
      </c>
      <c r="E8" s="23">
        <f>E4-E7</f>
        <v>-56.19800000000001</v>
      </c>
      <c r="F8" s="23">
        <f>F4-F7</f>
        <v>-79.955</v>
      </c>
      <c r="G8" s="23">
        <f>G4-G7</f>
        <v>-118.314</v>
      </c>
      <c r="H8" s="23">
        <f>H4-H7</f>
        <v>-177.07999999999998</v>
      </c>
      <c r="I8" s="23">
        <f>I4-I7</f>
        <v>-234.773</v>
      </c>
      <c r="J8" s="23">
        <f>J4-J7</f>
        <v>-261.627</v>
      </c>
      <c r="K8" s="23">
        <f>K4-K7</f>
        <v>-319.919</v>
      </c>
    </row>
    <row r="9">
      <c r="A9" s="19" t="inlineStr">
        <is>
          <t>Interest &amp; Other</t>
        </is>
      </c>
      <c r="B9" s="23" t="n">
        <v>1.943</v>
      </c>
      <c r="C9" s="23" t="n">
        <v>-0.473</v>
      </c>
      <c r="D9" s="23" t="n">
        <v>0.112</v>
      </c>
      <c r="E9" s="23" t="n">
        <v>3.573</v>
      </c>
      <c r="F9" s="23" t="n">
        <v>-0.915</v>
      </c>
      <c r="G9" s="23" t="n">
        <v>0.278</v>
      </c>
      <c r="H9" s="23" t="n">
        <v>3.084</v>
      </c>
      <c r="I9" s="23" t="n">
        <v>19.381</v>
      </c>
      <c r="J9" s="23" t="n">
        <v>14.795</v>
      </c>
      <c r="K9" s="23" t="n">
        <v>5.468</v>
      </c>
    </row>
    <row r="10">
      <c r="A10" s="2" t="inlineStr">
        <is>
          <t>Pretax</t>
        </is>
      </c>
      <c r="B10" s="23">
        <f>B8+B9</f>
        <v>-7.704000000000001</v>
      </c>
      <c r="C10" s="23">
        <f>C8+C9</f>
        <v>-19.701999999999998</v>
      </c>
      <c r="D10" s="23">
        <f>D8+D9</f>
        <v>-30.834</v>
      </c>
      <c r="E10" s="23">
        <f>E8+E9</f>
        <v>-52.62500000000001</v>
      </c>
      <c r="F10" s="23">
        <f>F8+F9</f>
        <v>-80.87</v>
      </c>
      <c r="G10" s="23">
        <f>G8+G9</f>
        <v>-118.03599999999999</v>
      </c>
      <c r="H10" s="23">
        <f>H8+H9</f>
        <v>-173.99599999999998</v>
      </c>
      <c r="I10" s="23">
        <f>I8+I9</f>
        <v>-215.392</v>
      </c>
      <c r="J10" s="23">
        <f>J8+J9</f>
        <v>-246.83200000000002</v>
      </c>
      <c r="K10" s="23">
        <f>K8+K9</f>
        <v>-314.45099999999996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0.288</v>
      </c>
      <c r="I11" s="23" t="n">
        <v>0.408</v>
      </c>
      <c r="J11" s="23" t="n">
        <v>0.468</v>
      </c>
      <c r="K11" s="23" t="n">
        <v>-0.551</v>
      </c>
    </row>
    <row r="12">
      <c r="A12" s="2" t="inlineStr">
        <is>
          <t>Net Income</t>
        </is>
      </c>
      <c r="B12" s="23" t="n">
        <v>-7.704</v>
      </c>
      <c r="C12" s="23" t="n">
        <v>-19.702</v>
      </c>
      <c r="D12" s="23" t="n">
        <v>-30.834</v>
      </c>
      <c r="E12" s="23" t="n">
        <v>-52.625</v>
      </c>
      <c r="F12" s="23" t="n">
        <v>-80.87</v>
      </c>
      <c r="G12" s="23" t="n">
        <v>-118.036</v>
      </c>
      <c r="H12" s="23" t="n">
        <v>-174.284</v>
      </c>
      <c r="I12" s="23" t="n">
        <v>-215.8</v>
      </c>
      <c r="J12" s="23" t="n">
        <v>-247.3</v>
      </c>
      <c r="K12" s="23" t="n">
        <v>-313.9</v>
      </c>
    </row>
    <row r="13">
      <c r="A13" s="2" t="inlineStr">
        <is>
          <t>Earnings per Share</t>
        </is>
      </c>
      <c r="B13" s="11">
        <f>IFERROR(B12/B14,0)</f>
        <v>-1.5491654936657953</v>
      </c>
      <c r="C13" s="11">
        <f>IFERROR(C12/C14,0)</f>
        <v>-3.9570194818236595</v>
      </c>
      <c r="D13" s="11">
        <f>IFERROR(D12/D14,0)</f>
        <v>-1.3291663074402966</v>
      </c>
      <c r="E13" s="11">
        <f>IFERROR(E12/E14,0)</f>
        <v>-1.535958204424727</v>
      </c>
      <c r="F13" s="11">
        <f>IFERROR(F12/F14,0)</f>
        <v>-1.748578347639949</v>
      </c>
      <c r="G13" s="11">
        <f>IFERROR(G12/G14,0)</f>
        <v>-2.2607063510304144</v>
      </c>
      <c r="H13" s="11">
        <f>IFERROR(H12/H14,0)</f>
        <v>-2.993901705804545</v>
      </c>
      <c r="I13" s="11">
        <f>IFERROR(I12/I14,0)</f>
        <v>-3.2417004656752297</v>
      </c>
      <c r="J13" s="11">
        <f>IFERROR(J12/J14,0)</f>
        <v>-3.069609254753985</v>
      </c>
      <c r="K13" s="11">
        <f>IFERROR(K12/K14,0)</f>
        <v>-3.382397310460756</v>
      </c>
    </row>
    <row r="14">
      <c r="A14" s="2" t="inlineStr">
        <is>
          <t>Shares</t>
        </is>
      </c>
      <c r="B14" s="23" t="n">
        <v>4.973</v>
      </c>
      <c r="C14" s="23" t="n">
        <v>4.979</v>
      </c>
      <c r="D14" s="23" t="n">
        <v>23.198</v>
      </c>
      <c r="E14" s="23" t="n">
        <v>34.262</v>
      </c>
      <c r="F14" s="23" t="n">
        <v>46.249</v>
      </c>
      <c r="G14" s="23" t="n">
        <v>52.212</v>
      </c>
      <c r="H14" s="23" t="n">
        <v>58.213</v>
      </c>
      <c r="I14" s="23" t="n">
        <v>66.56999999999999</v>
      </c>
      <c r="J14" s="23" t="n">
        <v>80.56399999999999</v>
      </c>
      <c r="K14" s="23" t="n">
        <v>92.804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Replimune Group,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0.5534733632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297.744</v>
      </c>
    </row>
    <row r="19">
      <c r="A19" s="14" t="inlineStr">
        <is>
          <t>Years of full burn (until the first launch, max 4)</t>
        </is>
      </c>
      <c r="B19" s="39">
        <f>MIN(4,MAX(1,MIN(Pipeline!I4:I6)-2026))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1261.1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-220.36831138061393</v>
      </c>
      <c r="C29" s="42">
        <f>NPV!B25</f>
        <v>-109.15431138061393</v>
      </c>
      <c r="D29" s="43">
        <f>NPV!B27</f>
        <v>-1.1585091848331095</v>
      </c>
      <c r="E29" s="44">
        <f>NPV!B29</f>
        <v>-1.101445637901323</v>
      </c>
    </row>
    <row r="30">
      <c r="A30" s="45" t="n">
        <v>1</v>
      </c>
      <c r="B30" s="46">
        <f t="dataTable" ref="B30:E32" r1="B4"/>
        <v>-551.7322156817168</v>
      </c>
      <c r="C30" s="46">
        <v>-440.5182156817168</v>
      </c>
      <c r="D30" s="47">
        <v>-4.675439682579501</v>
      </c>
      <c r="E30" s="48">
        <v>-1.4094080282468915</v>
      </c>
    </row>
    <row r="31">
      <c r="A31" s="45" t="n">
        <v>2</v>
      </c>
      <c r="B31" s="46">
        <v>-220.36831138061393</v>
      </c>
      <c r="C31" s="46">
        <v>-109.15431138061393</v>
      </c>
      <c r="D31" s="47">
        <v>-1.1585091848331095</v>
      </c>
      <c r="E31" s="48">
        <v>-1.101445637901323</v>
      </c>
    </row>
    <row r="32">
      <c r="A32" s="45" t="n">
        <v>3</v>
      </c>
      <c r="B32" s="46">
        <v>304.9722507954293</v>
      </c>
      <c r="C32" s="46">
        <v>416.18625079542926</v>
      </c>
      <c r="D32" s="47">
        <v>4.417192395328444</v>
      </c>
      <c r="E32" s="48">
        <v>-0.6132055695859506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-1.1585091848331095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-5.3616252916359155</v>
      </c>
      <c r="C37" s="47">
        <v>-4.232986621730491</v>
      </c>
      <c r="D37" s="47">
        <v>-3.104347951825069</v>
      </c>
      <c r="E37" s="47">
        <v>-0.8470706120142232</v>
      </c>
      <c r="F37" s="47">
        <v>1.3218149938003416</v>
      </c>
    </row>
    <row r="38">
      <c r="A38" s="50" t="n">
        <v>0.8</v>
      </c>
      <c r="B38" s="47">
        <v>-5.161388658305707</v>
      </c>
      <c r="C38" s="47">
        <v>-3.6565370984318077</v>
      </c>
      <c r="D38" s="47">
        <v>-2.151685538557911</v>
      </c>
      <c r="E38" s="47">
        <v>0.8219153703400051</v>
      </c>
      <c r="F38" s="47">
        <v>3.440507988218354</v>
      </c>
    </row>
    <row r="39">
      <c r="A39" s="50" t="n">
        <v>1</v>
      </c>
      <c r="B39" s="47">
        <v>-4.920638084517852</v>
      </c>
      <c r="C39" s="47">
        <v>-3.039573634675481</v>
      </c>
      <c r="D39" s="47">
        <v>-1.1585091848331095</v>
      </c>
      <c r="E39" s="47">
        <v>2.3430756691638943</v>
      </c>
      <c r="F39" s="47">
        <v>5.537761835912126</v>
      </c>
    </row>
    <row r="40">
      <c r="A40" s="50" t="n">
        <v>1.2</v>
      </c>
      <c r="B40" s="47">
        <v>-4.640694859343537</v>
      </c>
      <c r="C40" s="47">
        <v>-2.3834175195326903</v>
      </c>
      <c r="D40" s="47">
        <v>-0.12614017972184446</v>
      </c>
      <c r="E40" s="47">
        <v>3.858805737364831</v>
      </c>
      <c r="F40" s="47">
        <v>7.637357654886529</v>
      </c>
    </row>
    <row r="41">
      <c r="A41" s="50" t="n">
        <v>1.4</v>
      </c>
      <c r="B41" s="47">
        <v>-4.322880271853935</v>
      </c>
      <c r="C41" s="47">
        <v>-1.6893900420746177</v>
      </c>
      <c r="D41" s="47">
        <v>0.870303597276576</v>
      </c>
      <c r="E41" s="47">
        <v>5.384974875957783</v>
      </c>
      <c r="F41" s="47">
        <v>9.750723634268606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Replimune Group,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Melanoma</t>
        </is>
      </c>
      <c r="C4" s="14" t="inlineStr">
        <is>
          <t>RP1, Vusolimogene Oderparepvec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600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377.66268113115757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26.328000000000003</v>
      </c>
      <c r="Q4" s="23">
        <f>IF(Q$3&lt;$I4,0,$G4*Assumptions!$E$11*INDEX(Assumptions!$B$24:$G$24,MIN(6,Q$3-$I4+1))*IF(Q$3&gt;$J4,(1-Assumptions!$B$26)^(Q$3-$J4),1)*IF($H4&gt;=1,1,MIN(0.97,$H4*Assumptions!$E$12)))</f>
        <v>65.82000000000001</v>
      </c>
      <c r="R4" s="23">
        <f>IF(R$3&lt;$I4,0,$G4*Assumptions!$E$11*INDEX(Assumptions!$B$24:$G$24,MIN(6,R$3-$I4+1))*IF(R$3&gt;$J4,(1-Assumptions!$B$26)^(R$3-$J4),1)*IF($H4&gt;=1,1,MIN(0.97,$H4*Assumptions!$E$12)))</f>
        <v>118.47600000000001</v>
      </c>
      <c r="S4" s="23">
        <f>IF(S$3&lt;$I4,0,$G4*Assumptions!$E$11*INDEX(Assumptions!$B$24:$G$24,MIN(6,S$3-$I4+1))*IF(S$3&gt;$J4,(1-Assumptions!$B$26)^(S$3-$J4),1)*IF($H4&gt;=1,1,MIN(0.97,$H4*Assumptions!$E$12)))</f>
        <v>171.132</v>
      </c>
      <c r="T4" s="23">
        <f>IF(T$3&lt;$I4,0,$G4*Assumptions!$E$11*INDEX(Assumptions!$B$24:$G$24,MIN(6,T$3-$I4+1))*IF(T$3&gt;$J4,(1-Assumptions!$B$26)^(T$3-$J4),1)*IF($H4&gt;=1,1,MIN(0.97,$H4*Assumptions!$E$12)))</f>
        <v>223.788</v>
      </c>
      <c r="U4" s="23">
        <f>IF(U$3&lt;$I4,0,$G4*Assumptions!$E$11*INDEX(Assumptions!$B$24:$G$24,MIN(6,U$3-$I4+1))*IF(U$3&gt;$J4,(1-Assumptions!$B$26)^(U$3-$J4),1)*IF($H4&gt;=1,1,MIN(0.97,$H4*Assumptions!$E$12)))</f>
        <v>263.28000000000003</v>
      </c>
      <c r="V4" s="23">
        <f>IF(V$3&lt;$I4,0,$G4*Assumptions!$E$11*INDEX(Assumptions!$B$24:$G$24,MIN(6,V$3-$I4+1))*IF(V$3&gt;$J4,(1-Assumptions!$B$26)^(V$3-$J4),1)*IF($H4&gt;=1,1,MIN(0.97,$H4*Assumptions!$E$12)))</f>
        <v>263.28000000000003</v>
      </c>
      <c r="W4" s="23">
        <f>IF(W$3&lt;$I4,0,$G4*Assumptions!$E$11*INDEX(Assumptions!$B$24:$G$24,MIN(6,W$3-$I4+1))*IF(W$3&gt;$J4,(1-Assumptions!$B$26)^(W$3-$J4),1)*IF($H4&gt;=1,1,MIN(0.97,$H4*Assumptions!$E$12)))</f>
        <v>263.28000000000003</v>
      </c>
      <c r="X4" s="23">
        <f>IF(X$3&lt;$I4,0,$G4*Assumptions!$E$11*INDEX(Assumptions!$B$24:$G$24,MIN(6,X$3-$I4+1))*IF(X$3&gt;$J4,(1-Assumptions!$B$26)^(X$3-$J4),1)*IF($H4&gt;=1,1,MIN(0.97,$H4*Assumptions!$E$12)))</f>
        <v>263.28000000000003</v>
      </c>
      <c r="Y4" s="23">
        <f>IF(Y$3&lt;$I4,0,$G4*Assumptions!$E$11*INDEX(Assumptions!$B$24:$G$24,MIN(6,Y$3-$I4+1))*IF(Y$3&gt;$J4,(1-Assumptions!$B$26)^(Y$3-$J4),1)*IF($H4&gt;=1,1,MIN(0.97,$H4*Assumptions!$E$12)))</f>
        <v>263.28000000000003</v>
      </c>
      <c r="Z4" s="23">
        <f>IF(Z$3&lt;$I4,0,$G4*Assumptions!$E$11*INDEX(Assumptions!$B$24:$G$24,MIN(6,Z$3-$I4+1))*IF(Z$3&gt;$J4,(1-Assumptions!$B$26)^(Z$3-$J4),1)*IF($H4&gt;=1,1,MIN(0.97,$H4*Assumptions!$E$12)))</f>
        <v>263.28000000000003</v>
      </c>
      <c r="AA4" s="23">
        <f>IF(AA$3&lt;$I4,0,$G4*Assumptions!$E$11*INDEX(Assumptions!$B$24:$G$24,MIN(6,AA$3-$I4+1))*IF(AA$3&gt;$J4,(1-Assumptions!$B$26)^(AA$3-$J4),1)*IF($H4&gt;=1,1,MIN(0.97,$H4*Assumptions!$E$12)))</f>
        <v>263.28000000000003</v>
      </c>
      <c r="AB4" s="23">
        <f>IF(AB$3&lt;$I4,0,$G4*Assumptions!$E$11*INDEX(Assumptions!$B$24:$G$24,MIN(6,AB$3-$I4+1))*IF(AB$3&gt;$J4,(1-Assumptions!$B$26)^(AB$3-$J4),1)*IF($H4&gt;=1,1,MIN(0.97,$H4*Assumptions!$E$12)))</f>
        <v>263.28000000000003</v>
      </c>
      <c r="AC4" s="23">
        <f>IF(AC$3&lt;$I4,0,$G4*Assumptions!$E$11*INDEX(Assumptions!$B$24:$G$24,MIN(6,AC$3-$I4+1))*IF(AC$3&gt;$J4,(1-Assumptions!$B$26)^(AC$3-$J4),1)*IF($H4&gt;=1,1,MIN(0.97,$H4*Assumptions!$E$12)))</f>
        <v>131.64000000000001</v>
      </c>
      <c r="AD4" s="23">
        <f>IF(AD$3&lt;$I4,0,$G4*Assumptions!$E$11*INDEX(Assumptions!$B$24:$G$24,MIN(6,AD$3-$I4+1))*IF(AD$3&gt;$J4,(1-Assumptions!$B$26)^(AD$3-$J4),1)*IF($H4&gt;=1,1,MIN(0.97,$H4*Assumptions!$E$12)))</f>
        <v>65.82000000000001</v>
      </c>
      <c r="AE4" s="23">
        <f>IF(AE$3&lt;$I4,0,$G4*Assumptions!$E$11*INDEX(Assumptions!$B$24:$G$24,MIN(6,AE$3-$I4+1))*IF(AE$3&gt;$J4,(1-Assumptions!$B$26)^(AE$3-$J4),1)*IF($H4&gt;=1,1,MIN(0.97,$H4*Assumptions!$E$12)))</f>
        <v>32.910000000000004</v>
      </c>
      <c r="AF4" s="23">
        <f>IF(AF$3&lt;$I4,0,$G4*Assumptions!$E$11*INDEX(Assumptions!$B$24:$G$24,MIN(6,AF$3-$I4+1))*IF(AF$3&gt;$J4,(1-Assumptions!$B$26)^(AF$3-$J4),1)*IF($H4&gt;=1,1,MIN(0.97,$H4*Assumptions!$E$12)))</f>
        <v>16.455000000000002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Solid tumors (basket)</t>
        </is>
      </c>
      <c r="C5" s="14" t="inlineStr">
        <is>
          <t>Cemiplimab, RP1</t>
        </is>
      </c>
      <c r="D5" s="14" t="inlineStr">
        <is>
          <t>Phase 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0.108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184.0389638039337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16.2</v>
      </c>
      <c r="S5" s="23">
        <f>IF(S$3&lt;$I5,0,$G5*Assumptions!$E$11*INDEX(Assumptions!$B$24:$G$24,MIN(6,S$3-$I5+1))*IF(S$3&gt;$J5,(1-Assumptions!$B$26)^(S$3-$J5),1)*IF($H5&gt;=1,1,MIN(0.97,$H5*Assumptions!$E$12)))</f>
        <v>40.5</v>
      </c>
      <c r="T5" s="23">
        <f>IF(T$3&lt;$I5,0,$G5*Assumptions!$E$11*INDEX(Assumptions!$B$24:$G$24,MIN(6,T$3-$I5+1))*IF(T$3&gt;$J5,(1-Assumptions!$B$26)^(T$3-$J5),1)*IF($H5&gt;=1,1,MIN(0.97,$H5*Assumptions!$E$12)))</f>
        <v>72.9</v>
      </c>
      <c r="U5" s="23">
        <f>IF(U$3&lt;$I5,0,$G5*Assumptions!$E$11*INDEX(Assumptions!$B$24:$G$24,MIN(6,U$3-$I5+1))*IF(U$3&gt;$J5,(1-Assumptions!$B$26)^(U$3-$J5),1)*IF($H5&gt;=1,1,MIN(0.97,$H5*Assumptions!$E$12)))</f>
        <v>105.3</v>
      </c>
      <c r="V5" s="23">
        <f>IF(V$3&lt;$I5,0,$G5*Assumptions!$E$11*INDEX(Assumptions!$B$24:$G$24,MIN(6,V$3-$I5+1))*IF(V$3&gt;$J5,(1-Assumptions!$B$26)^(V$3-$J5),1)*IF($H5&gt;=1,1,MIN(0.97,$H5*Assumptions!$E$12)))</f>
        <v>137.7</v>
      </c>
      <c r="W5" s="23">
        <f>IF(W$3&lt;$I5,0,$G5*Assumptions!$E$11*INDEX(Assumptions!$B$24:$G$24,MIN(6,W$3-$I5+1))*IF(W$3&gt;$J5,(1-Assumptions!$B$26)^(W$3-$J5),1)*IF($H5&gt;=1,1,MIN(0.97,$H5*Assumptions!$E$12)))</f>
        <v>162.0</v>
      </c>
      <c r="X5" s="23">
        <f>IF(X$3&lt;$I5,0,$G5*Assumptions!$E$11*INDEX(Assumptions!$B$24:$G$24,MIN(6,X$3-$I5+1))*IF(X$3&gt;$J5,(1-Assumptions!$B$26)^(X$3-$J5),1)*IF($H5&gt;=1,1,MIN(0.97,$H5*Assumptions!$E$12)))</f>
        <v>162.0</v>
      </c>
      <c r="Y5" s="23">
        <f>IF(Y$3&lt;$I5,0,$G5*Assumptions!$E$11*INDEX(Assumptions!$B$24:$G$24,MIN(6,Y$3-$I5+1))*IF(Y$3&gt;$J5,(1-Assumptions!$B$26)^(Y$3-$J5),1)*IF($H5&gt;=1,1,MIN(0.97,$H5*Assumptions!$E$12)))</f>
        <v>162.0</v>
      </c>
      <c r="Z5" s="23">
        <f>IF(Z$3&lt;$I5,0,$G5*Assumptions!$E$11*INDEX(Assumptions!$B$24:$G$24,MIN(6,Z$3-$I5+1))*IF(Z$3&gt;$J5,(1-Assumptions!$B$26)^(Z$3-$J5),1)*IF($H5&gt;=1,1,MIN(0.97,$H5*Assumptions!$E$12)))</f>
        <v>162.0</v>
      </c>
      <c r="AA5" s="23">
        <f>IF(AA$3&lt;$I5,0,$G5*Assumptions!$E$11*INDEX(Assumptions!$B$24:$G$24,MIN(6,AA$3-$I5+1))*IF(AA$3&gt;$J5,(1-Assumptions!$B$26)^(AA$3-$J5),1)*IF($H5&gt;=1,1,MIN(0.97,$H5*Assumptions!$E$12)))</f>
        <v>162.0</v>
      </c>
      <c r="AB5" s="23">
        <f>IF(AB$3&lt;$I5,0,$G5*Assumptions!$E$11*INDEX(Assumptions!$B$24:$G$24,MIN(6,AB$3-$I5+1))*IF(AB$3&gt;$J5,(1-Assumptions!$B$26)^(AB$3-$J5),1)*IF($H5&gt;=1,1,MIN(0.97,$H5*Assumptions!$E$12)))</f>
        <v>162.0</v>
      </c>
      <c r="AC5" s="23">
        <f>IF(AC$3&lt;$I5,0,$G5*Assumptions!$E$11*INDEX(Assumptions!$B$24:$G$24,MIN(6,AC$3-$I5+1))*IF(AC$3&gt;$J5,(1-Assumptions!$B$26)^(AC$3-$J5),1)*IF($H5&gt;=1,1,MIN(0.97,$H5*Assumptions!$E$12)))</f>
        <v>162.0</v>
      </c>
      <c r="AD5" s="23">
        <f>IF(AD$3&lt;$I5,0,$G5*Assumptions!$E$11*INDEX(Assumptions!$B$24:$G$24,MIN(6,AD$3-$I5+1))*IF(AD$3&gt;$J5,(1-Assumptions!$B$26)^(AD$3-$J5),1)*IF($H5&gt;=1,1,MIN(0.97,$H5*Assumptions!$E$12)))</f>
        <v>162.0</v>
      </c>
      <c r="AE5" s="23">
        <f>IF(AE$3&lt;$I5,0,$G5*Assumptions!$E$11*INDEX(Assumptions!$B$24:$G$24,MIN(6,AE$3-$I5+1))*IF(AE$3&gt;$J5,(1-Assumptions!$B$26)^(AE$3-$J5),1)*IF($H5&gt;=1,1,MIN(0.97,$H5*Assumptions!$E$12)))</f>
        <v>81.0</v>
      </c>
      <c r="AF5" s="23">
        <f>IF(AF$3&lt;$I5,0,$G5*Assumptions!$E$11*INDEX(Assumptions!$B$24:$G$24,MIN(6,AF$3-$I5+1))*IF(AF$3&gt;$J5,(1-Assumptions!$B$26)^(AF$3-$J5),1)*IF($H5&gt;=1,1,MIN(0.97,$H5*Assumptions!$E$12)))</f>
        <v>40.5</v>
      </c>
      <c r="AG5" s="35">
        <f>IF(F5="Owned",1-IF(H5&gt;=1,1,MIN(0.97,H5*Assumptions!$E$12)),1)</f>
        <v>0.892</v>
      </c>
    </row>
    <row r="6">
      <c r="A6" s="39" t="n">
        <v>3</v>
      </c>
      <c r="B6" s="14" t="inlineStr">
        <is>
          <t>Liver cancer</t>
        </is>
      </c>
      <c r="C6" s="14" t="inlineStr">
        <is>
          <t>RP2, RP2 Monotherapy</t>
        </is>
      </c>
      <c r="D6" s="14" t="inlineStr">
        <is>
          <t>Phase 2</t>
        </is>
      </c>
      <c r="E6" s="14" t="inlineStr">
        <is>
          <t>Oncology / area</t>
        </is>
      </c>
      <c r="F6" s="14" t="inlineStr">
        <is>
          <t>Owned</t>
        </is>
      </c>
      <c r="G6" s="40" t="n">
        <v>1200</v>
      </c>
      <c r="H6" s="27" t="n">
        <v>0.108</v>
      </c>
      <c r="I6" s="26" t="n">
        <v>2031</v>
      </c>
      <c r="J6" s="39">
        <f>I6+Assumptions!$B$25</f>
        <v>2043.0</v>
      </c>
      <c r="K6" s="53">
        <f>Assumptions!$E$13</f>
        <v>0.4</v>
      </c>
      <c r="L6" s="23">
        <f>K6*SUMPRODUCT(M6:AF6,NPV!$C$15:$V$15)</f>
        <v>147.23117104314696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12.959999999999999</v>
      </c>
      <c r="S6" s="23">
        <f>IF(S$3&lt;$I6,0,$G6*Assumptions!$E$11*INDEX(Assumptions!$B$24:$G$24,MIN(6,S$3-$I6+1))*IF(S$3&gt;$J6,(1-Assumptions!$B$26)^(S$3-$J6),1)*IF($H6&gt;=1,1,MIN(0.97,$H6*Assumptions!$E$12)))</f>
        <v>32.4</v>
      </c>
      <c r="T6" s="23">
        <f>IF(T$3&lt;$I6,0,$G6*Assumptions!$E$11*INDEX(Assumptions!$B$24:$G$24,MIN(6,T$3-$I6+1))*IF(T$3&gt;$J6,(1-Assumptions!$B$26)^(T$3-$J6),1)*IF($H6&gt;=1,1,MIN(0.97,$H6*Assumptions!$E$12)))</f>
        <v>58.32</v>
      </c>
      <c r="U6" s="23">
        <f>IF(U$3&lt;$I6,0,$G6*Assumptions!$E$11*INDEX(Assumptions!$B$24:$G$24,MIN(6,U$3-$I6+1))*IF(U$3&gt;$J6,(1-Assumptions!$B$26)^(U$3-$J6),1)*IF($H6&gt;=1,1,MIN(0.97,$H6*Assumptions!$E$12)))</f>
        <v>84.24</v>
      </c>
      <c r="V6" s="23">
        <f>IF(V$3&lt;$I6,0,$G6*Assumptions!$E$11*INDEX(Assumptions!$B$24:$G$24,MIN(6,V$3-$I6+1))*IF(V$3&gt;$J6,(1-Assumptions!$B$26)^(V$3-$J6),1)*IF($H6&gt;=1,1,MIN(0.97,$H6*Assumptions!$E$12)))</f>
        <v>110.16</v>
      </c>
      <c r="W6" s="23">
        <f>IF(W$3&lt;$I6,0,$G6*Assumptions!$E$11*INDEX(Assumptions!$B$24:$G$24,MIN(6,W$3-$I6+1))*IF(W$3&gt;$J6,(1-Assumptions!$B$26)^(W$3-$J6),1)*IF($H6&gt;=1,1,MIN(0.97,$H6*Assumptions!$E$12)))</f>
        <v>129.6</v>
      </c>
      <c r="X6" s="23">
        <f>IF(X$3&lt;$I6,0,$G6*Assumptions!$E$11*INDEX(Assumptions!$B$24:$G$24,MIN(6,X$3-$I6+1))*IF(X$3&gt;$J6,(1-Assumptions!$B$26)^(X$3-$J6),1)*IF($H6&gt;=1,1,MIN(0.97,$H6*Assumptions!$E$12)))</f>
        <v>129.6</v>
      </c>
      <c r="Y6" s="23">
        <f>IF(Y$3&lt;$I6,0,$G6*Assumptions!$E$11*INDEX(Assumptions!$B$24:$G$24,MIN(6,Y$3-$I6+1))*IF(Y$3&gt;$J6,(1-Assumptions!$B$26)^(Y$3-$J6),1)*IF($H6&gt;=1,1,MIN(0.97,$H6*Assumptions!$E$12)))</f>
        <v>129.6</v>
      </c>
      <c r="Z6" s="23">
        <f>IF(Z$3&lt;$I6,0,$G6*Assumptions!$E$11*INDEX(Assumptions!$B$24:$G$24,MIN(6,Z$3-$I6+1))*IF(Z$3&gt;$J6,(1-Assumptions!$B$26)^(Z$3-$J6),1)*IF($H6&gt;=1,1,MIN(0.97,$H6*Assumptions!$E$12)))</f>
        <v>129.6</v>
      </c>
      <c r="AA6" s="23">
        <f>IF(AA$3&lt;$I6,0,$G6*Assumptions!$E$11*INDEX(Assumptions!$B$24:$G$24,MIN(6,AA$3-$I6+1))*IF(AA$3&gt;$J6,(1-Assumptions!$B$26)^(AA$3-$J6),1)*IF($H6&gt;=1,1,MIN(0.97,$H6*Assumptions!$E$12)))</f>
        <v>129.6</v>
      </c>
      <c r="AB6" s="23">
        <f>IF(AB$3&lt;$I6,0,$G6*Assumptions!$E$11*INDEX(Assumptions!$B$24:$G$24,MIN(6,AB$3-$I6+1))*IF(AB$3&gt;$J6,(1-Assumptions!$B$26)^(AB$3-$J6),1)*IF($H6&gt;=1,1,MIN(0.97,$H6*Assumptions!$E$12)))</f>
        <v>129.6</v>
      </c>
      <c r="AC6" s="23">
        <f>IF(AC$3&lt;$I6,0,$G6*Assumptions!$E$11*INDEX(Assumptions!$B$24:$G$24,MIN(6,AC$3-$I6+1))*IF(AC$3&gt;$J6,(1-Assumptions!$B$26)^(AC$3-$J6),1)*IF($H6&gt;=1,1,MIN(0.97,$H6*Assumptions!$E$12)))</f>
        <v>129.6</v>
      </c>
      <c r="AD6" s="23">
        <f>IF(AD$3&lt;$I6,0,$G6*Assumptions!$E$11*INDEX(Assumptions!$B$24:$G$24,MIN(6,AD$3-$I6+1))*IF(AD$3&gt;$J6,(1-Assumptions!$B$26)^(AD$3-$J6),1)*IF($H6&gt;=1,1,MIN(0.97,$H6*Assumptions!$E$12)))</f>
        <v>129.6</v>
      </c>
      <c r="AE6" s="23">
        <f>IF(AE$3&lt;$I6,0,$G6*Assumptions!$E$11*INDEX(Assumptions!$B$24:$G$24,MIN(6,AE$3-$I6+1))*IF(AE$3&gt;$J6,(1-Assumptions!$B$26)^(AE$3-$J6),1)*IF($H6&gt;=1,1,MIN(0.97,$H6*Assumptions!$E$12)))</f>
        <v>64.8</v>
      </c>
      <c r="AF6" s="23">
        <f>IF(AF$3&lt;$I6,0,$G6*Assumptions!$E$11*INDEX(Assumptions!$B$24:$G$24,MIN(6,AF$3-$I6+1))*IF(AF$3&gt;$J6,(1-Assumptions!$B$26)^(AF$3-$J6),1)*IF($H6&gt;=1,1,MIN(0.97,$H6*Assumptions!$E$12)))</f>
        <v>32.4</v>
      </c>
      <c r="AG6" s="35">
        <f>IF(F6="Owned",1-IF(H6&gt;=1,1,MIN(0.97,H6*Assumptions!$E$12)),1)</f>
        <v>0.892</v>
      </c>
    </row>
    <row r="7">
      <c r="B7" s="24" t="inlineStr">
        <is>
          <t>Risked revenue</t>
        </is>
      </c>
      <c r="L7" s="54">
        <f>SUM(L4:L6)</f>
        <v>708.9328159782383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26.328000000000003</v>
      </c>
      <c r="Q7" s="54">
        <f>SUM(Q4:Q6)</f>
        <v>65.82000000000001</v>
      </c>
      <c r="R7" s="54">
        <f>SUM(R4:R6)</f>
        <v>147.63600000000002</v>
      </c>
      <c r="S7" s="54">
        <f>SUM(S4:S6)</f>
        <v>244.032</v>
      </c>
      <c r="T7" s="54">
        <f>SUM(T4:T6)</f>
        <v>355.008</v>
      </c>
      <c r="U7" s="54">
        <f>SUM(U4:U6)</f>
        <v>452.82000000000005</v>
      </c>
      <c r="V7" s="54">
        <f>SUM(V4:V6)</f>
        <v>511.14</v>
      </c>
      <c r="W7" s="54">
        <f>SUM(W4:W6)</f>
        <v>554.88</v>
      </c>
      <c r="X7" s="54">
        <f>SUM(X4:X6)</f>
        <v>554.88</v>
      </c>
      <c r="Y7" s="54">
        <f>SUM(Y4:Y6)</f>
        <v>554.88</v>
      </c>
      <c r="Z7" s="54">
        <f>SUM(Z4:Z6)</f>
        <v>554.88</v>
      </c>
      <c r="AA7" s="54">
        <f>SUM(AA4:AA6)</f>
        <v>554.88</v>
      </c>
      <c r="AB7" s="54">
        <f>SUM(AB4:AB6)</f>
        <v>554.88</v>
      </c>
      <c r="AC7" s="54">
        <f>SUM(AC4:AC6)</f>
        <v>423.24</v>
      </c>
      <c r="AD7" s="54">
        <f>SUM(AD4:AD6)</f>
        <v>357.41999999999996</v>
      </c>
      <c r="AE7" s="54">
        <f>SUM(AE4:AE6)</f>
        <v>178.70999999999998</v>
      </c>
      <c r="AF7" s="54">
        <f>SUM(AF4:AF6)</f>
        <v>89.35499999999999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10.531200000000002</v>
      </c>
      <c r="Q8" s="55">
        <f>SUMPRODUCT(Q4:Q6,$K$4:$K$6)</f>
        <v>26.328000000000003</v>
      </c>
      <c r="R8" s="55">
        <f>SUMPRODUCT(R4:R6,$K$4:$K$6)</f>
        <v>59.0544</v>
      </c>
      <c r="S8" s="55">
        <f>SUMPRODUCT(S4:S6,$K$4:$K$6)</f>
        <v>97.61280000000002</v>
      </c>
      <c r="T8" s="55">
        <f>SUMPRODUCT(T4:T6,$K$4:$K$6)</f>
        <v>142.00320000000002</v>
      </c>
      <c r="U8" s="55">
        <f>SUMPRODUCT(U4:U6,$K$4:$K$6)</f>
        <v>181.12800000000001</v>
      </c>
      <c r="V8" s="55">
        <f>SUMPRODUCT(V4:V6,$K$4:$K$6)</f>
        <v>204.456</v>
      </c>
      <c r="W8" s="55">
        <f>SUMPRODUCT(W4:W6,$K$4:$K$6)</f>
        <v>221.95200000000003</v>
      </c>
      <c r="X8" s="55">
        <f>SUMPRODUCT(X4:X6,$K$4:$K$6)</f>
        <v>221.95200000000003</v>
      </c>
      <c r="Y8" s="55">
        <f>SUMPRODUCT(Y4:Y6,$K$4:$K$6)</f>
        <v>221.95200000000003</v>
      </c>
      <c r="Z8" s="55">
        <f>SUMPRODUCT(Z4:Z6,$K$4:$K$6)</f>
        <v>221.95200000000003</v>
      </c>
      <c r="AA8" s="55">
        <f>SUMPRODUCT(AA4:AA6,$K$4:$K$6)</f>
        <v>221.95200000000003</v>
      </c>
      <c r="AB8" s="55">
        <f>SUMPRODUCT(AB4:AB6,$K$4:$K$6)</f>
        <v>221.95200000000003</v>
      </c>
      <c r="AC8" s="55">
        <f>SUMPRODUCT(AC4:AC6,$K$4:$K$6)</f>
        <v>169.296</v>
      </c>
      <c r="AD8" s="55">
        <f>SUMPRODUCT(AD4:AD6,$K$4:$K$6)</f>
        <v>142.96800000000002</v>
      </c>
      <c r="AE8" s="55">
        <f>SUMPRODUCT(AE4:AE6,$K$4:$K$6)</f>
        <v>71.48400000000001</v>
      </c>
      <c r="AF8" s="55">
        <f>SUMPRODUCT(AF4:AF6,$K$4:$K$6)</f>
        <v>35.742000000000004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Replimune Group,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26.328000000000003</v>
      </c>
      <c r="G4" s="57">
        <f>Pipeline!Q7</f>
        <v>65.82000000000001</v>
      </c>
      <c r="H4" s="57">
        <f>Pipeline!R7</f>
        <v>147.63600000000002</v>
      </c>
      <c r="I4" s="57">
        <f>Pipeline!S7</f>
        <v>244.032</v>
      </c>
      <c r="J4" s="57">
        <f>Pipeline!T7</f>
        <v>355.008</v>
      </c>
      <c r="K4" s="57">
        <f>Pipeline!U7</f>
        <v>452.82000000000005</v>
      </c>
      <c r="L4" s="57">
        <f>Pipeline!V7</f>
        <v>511.14</v>
      </c>
      <c r="M4" s="57">
        <f>Pipeline!W7</f>
        <v>554.88</v>
      </c>
      <c r="N4" s="57">
        <f>Pipeline!X7</f>
        <v>554.88</v>
      </c>
      <c r="O4" s="57">
        <f>Pipeline!Y7</f>
        <v>554.88</v>
      </c>
      <c r="P4" s="57">
        <f>Pipeline!Z7</f>
        <v>554.88</v>
      </c>
      <c r="Q4" s="57">
        <f>Pipeline!AA7</f>
        <v>554.88</v>
      </c>
      <c r="R4" s="57">
        <f>Pipeline!AB7</f>
        <v>554.88</v>
      </c>
      <c r="S4" s="57">
        <f>Pipeline!AC7</f>
        <v>423.24</v>
      </c>
      <c r="T4" s="57">
        <f>Pipeline!AD7</f>
        <v>357.41999999999996</v>
      </c>
      <c r="U4" s="57">
        <f>Pipeline!AE7</f>
        <v>178.70999999999998</v>
      </c>
      <c r="V4" s="57">
        <f>Pipeline!AF7</f>
        <v>89.35499999999999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10.531200000000002</v>
      </c>
      <c r="G5" s="57">
        <f>Pipeline!Q8</f>
        <v>26.328000000000003</v>
      </c>
      <c r="H5" s="57">
        <f>Pipeline!R8</f>
        <v>59.0544</v>
      </c>
      <c r="I5" s="57">
        <f>Pipeline!S8</f>
        <v>97.61280000000002</v>
      </c>
      <c r="J5" s="57">
        <f>Pipeline!T8</f>
        <v>142.00320000000002</v>
      </c>
      <c r="K5" s="57">
        <f>Pipeline!U8</f>
        <v>181.12800000000001</v>
      </c>
      <c r="L5" s="57">
        <f>Pipeline!V8</f>
        <v>204.456</v>
      </c>
      <c r="M5" s="57">
        <f>Pipeline!W8</f>
        <v>221.95200000000003</v>
      </c>
      <c r="N5" s="57">
        <f>Pipeline!X8</f>
        <v>221.95200000000003</v>
      </c>
      <c r="O5" s="57">
        <f>Pipeline!Y8</f>
        <v>221.95200000000003</v>
      </c>
      <c r="P5" s="57">
        <f>Pipeline!Z8</f>
        <v>221.95200000000003</v>
      </c>
      <c r="Q5" s="57">
        <f>Pipeline!AA8</f>
        <v>221.95200000000003</v>
      </c>
      <c r="R5" s="57">
        <f>Pipeline!AB8</f>
        <v>221.95200000000003</v>
      </c>
      <c r="S5" s="57">
        <f>Pipeline!AC8</f>
        <v>169.296</v>
      </c>
      <c r="T5" s="57">
        <f>Pipeline!AD8</f>
        <v>142.96800000000002</v>
      </c>
      <c r="U5" s="57">
        <f>Pipeline!AE8</f>
        <v>71.48400000000001</v>
      </c>
      <c r="V5" s="57">
        <f>Pipeline!AF8</f>
        <v>35.742000000000004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-297.744</v>
      </c>
      <c r="D6" s="23">
        <f>-IF(D3-2026&lt;Assumptions!$B$19,Assumptions!$B$18,Assumptions!$B$18*Assumptions!$B$20*Assumptions!$B$16)</f>
        <v>-297.744</v>
      </c>
      <c r="E6" s="23">
        <f>-IF(E3-2026&lt;Assumptions!$B$19,Assumptions!$B$18,Assumptions!$B$18*Assumptions!$B$20*Assumptions!$B$16)</f>
        <v>-297.744</v>
      </c>
      <c r="F6" s="23">
        <f>-IF(F3-2026&lt;Assumptions!$B$19,Assumptions!$B$18,Assumptions!$B$18*Assumptions!$B$20*Assumptions!$B$16)</f>
        <v>-49.438011915786234</v>
      </c>
      <c r="G6" s="23">
        <f>-IF(G3-2026&lt;Assumptions!$B$19,Assumptions!$B$18,Assumptions!$B$18*Assumptions!$B$20*Assumptions!$B$16)</f>
        <v>-49.438011915786234</v>
      </c>
      <c r="H6" s="23">
        <f>-IF(H3-2026&lt;Assumptions!$B$19,Assumptions!$B$18,Assumptions!$B$18*Assumptions!$B$20*Assumptions!$B$16)</f>
        <v>-49.438011915786234</v>
      </c>
      <c r="I6" s="23">
        <f>-IF(I3-2026&lt;Assumptions!$B$19,Assumptions!$B$18,Assumptions!$B$18*Assumptions!$B$20*Assumptions!$B$16)</f>
        <v>-49.438011915786234</v>
      </c>
      <c r="J6" s="23">
        <f>-IF(J3-2026&lt;Assumptions!$B$19,Assumptions!$B$18,Assumptions!$B$18*Assumptions!$B$20*Assumptions!$B$16)</f>
        <v>-49.438011915786234</v>
      </c>
      <c r="K6" s="23">
        <f>-IF(K3-2026&lt;Assumptions!$B$19,Assumptions!$B$18,Assumptions!$B$18*Assumptions!$B$20*Assumptions!$B$16)</f>
        <v>-49.438011915786234</v>
      </c>
      <c r="L6" s="23">
        <f>-IF(L3-2026&lt;Assumptions!$B$19,Assumptions!$B$18,Assumptions!$B$18*Assumptions!$B$20*Assumptions!$B$16)</f>
        <v>-49.438011915786234</v>
      </c>
      <c r="M6" s="23">
        <f>-IF(M3-2026&lt;Assumptions!$B$19,Assumptions!$B$18,Assumptions!$B$18*Assumptions!$B$20*Assumptions!$B$16)</f>
        <v>-49.438011915786234</v>
      </c>
      <c r="N6" s="23">
        <f>-IF(N3-2026&lt;Assumptions!$B$19,Assumptions!$B$18,Assumptions!$B$18*Assumptions!$B$20*Assumptions!$B$16)</f>
        <v>-49.438011915786234</v>
      </c>
      <c r="O6" s="23">
        <f>-IF(O3-2026&lt;Assumptions!$B$19,Assumptions!$B$18,Assumptions!$B$18*Assumptions!$B$20*Assumptions!$B$16)</f>
        <v>-49.438011915786234</v>
      </c>
      <c r="P6" s="23">
        <f>-IF(P3-2026&lt;Assumptions!$B$19,Assumptions!$B$18,Assumptions!$B$18*Assumptions!$B$20*Assumptions!$B$16)</f>
        <v>-49.438011915786234</v>
      </c>
      <c r="Q6" s="23">
        <f>-IF(Q3-2026&lt;Assumptions!$B$19,Assumptions!$B$18,Assumptions!$B$18*Assumptions!$B$20*Assumptions!$B$16)</f>
        <v>-49.438011915786234</v>
      </c>
      <c r="R6" s="23">
        <f>-IF(R3-2026&lt;Assumptions!$B$19,Assumptions!$B$18,Assumptions!$B$18*Assumptions!$B$20*Assumptions!$B$16)</f>
        <v>-49.438011915786234</v>
      </c>
      <c r="S6" s="23">
        <f>-IF(S3-2026&lt;Assumptions!$B$19,Assumptions!$B$18,Assumptions!$B$18*Assumptions!$B$20*Assumptions!$B$16)</f>
        <v>-49.438011915786234</v>
      </c>
      <c r="T6" s="23">
        <f>-IF(T3-2026&lt;Assumptions!$B$19,Assumptions!$B$18,Assumptions!$B$18*Assumptions!$B$20*Assumptions!$B$16)</f>
        <v>-49.438011915786234</v>
      </c>
      <c r="U6" s="23">
        <f>-IF(U3-2026&lt;Assumptions!$B$19,Assumptions!$B$18,Assumptions!$B$18*Assumptions!$B$20*Assumptions!$B$16)</f>
        <v>-49.438011915786234</v>
      </c>
      <c r="V6" s="23">
        <f>-IF(V3-2026&lt;Assumptions!$B$19,Assumptions!$B$18,Assumptions!$B$18*Assumptions!$B$20*Assumptions!$B$16)</f>
        <v>-49.438011915786234</v>
      </c>
    </row>
    <row r="7">
      <c r="A7" s="14" t="inlineStr">
        <is>
          <t>Pre-tax cash flow</t>
        </is>
      </c>
      <c r="C7" s="23">
        <f>C5+C6</f>
        <v>-297.744</v>
      </c>
      <c r="D7" s="23">
        <f>D5+D6</f>
        <v>-297.744</v>
      </c>
      <c r="E7" s="23">
        <f>E5+E6</f>
        <v>-297.744</v>
      </c>
      <c r="F7" s="23">
        <f>F5+F6</f>
        <v>-38.906811915786236</v>
      </c>
      <c r="G7" s="23">
        <f>G5+G6</f>
        <v>-23.11001191578623</v>
      </c>
      <c r="H7" s="23">
        <f>H5+H6</f>
        <v>9.616388084213767</v>
      </c>
      <c r="I7" s="23">
        <f>I5+I6</f>
        <v>48.17478808421379</v>
      </c>
      <c r="J7" s="23">
        <f>J5+J6</f>
        <v>92.56518808421379</v>
      </c>
      <c r="K7" s="23">
        <f>K5+K6</f>
        <v>131.68998808421378</v>
      </c>
      <c r="L7" s="23">
        <f>L5+L6</f>
        <v>155.01798808421375</v>
      </c>
      <c r="M7" s="23">
        <f>M5+M6</f>
        <v>172.5139880842138</v>
      </c>
      <c r="N7" s="23">
        <f>N5+N6</f>
        <v>172.5139880842138</v>
      </c>
      <c r="O7" s="23">
        <f>O5+O6</f>
        <v>172.5139880842138</v>
      </c>
      <c r="P7" s="23">
        <f>P5+P6</f>
        <v>172.5139880842138</v>
      </c>
      <c r="Q7" s="23">
        <f>Q5+Q6</f>
        <v>172.5139880842138</v>
      </c>
      <c r="R7" s="23">
        <f>R5+R6</f>
        <v>172.5139880842138</v>
      </c>
      <c r="S7" s="23">
        <f>S5+S6</f>
        <v>119.85798808421376</v>
      </c>
      <c r="T7" s="23">
        <f>T5+T6</f>
        <v>93.52998808421378</v>
      </c>
      <c r="U7" s="23">
        <f>U5+U6</f>
        <v>22.045988084213775</v>
      </c>
      <c r="V7" s="23">
        <f>V5+V6</f>
        <v>-13.69601191578623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9.616388084213767</v>
      </c>
      <c r="I8" s="23">
        <f>MIN(H17,MAX(0,I7))</f>
        <v>48.17478808421379</v>
      </c>
      <c r="J8" s="23">
        <f>MIN(I17,MAX(0,J7))</f>
        <v>92.56518808421379</v>
      </c>
      <c r="K8" s="23">
        <f>MIN(J17,MAX(0,K7))</f>
        <v>131.68998808421378</v>
      </c>
      <c r="L8" s="23">
        <f>MIN(K17,MAX(0,L7))</f>
        <v>155.01798808421375</v>
      </c>
      <c r="M8" s="23">
        <f>MIN(L17,MAX(0,M7))</f>
        <v>172.5139880842138</v>
      </c>
      <c r="N8" s="23">
        <f>MIN(M17,MAX(0,N7))</f>
        <v>172.5139880842138</v>
      </c>
      <c r="O8" s="23">
        <f>MIN(N17,MAX(0,O7))</f>
        <v>172.5139880842138</v>
      </c>
      <c r="P8" s="23">
        <f>MIN(O17,MAX(0,P7))</f>
        <v>172.5139880842138</v>
      </c>
      <c r="Q8" s="23">
        <f>MIN(P17,MAX(0,Q7))</f>
        <v>172.5139880842138</v>
      </c>
      <c r="R8" s="23">
        <f>MIN(Q17,MAX(0,R7))</f>
        <v>172.5139880842138</v>
      </c>
      <c r="S8" s="23">
        <f>MIN(R17,MAX(0,S7))</f>
        <v>119.85798808421376</v>
      </c>
      <c r="T8" s="23">
        <f>MIN(S17,MAX(0,T7))</f>
        <v>93.52998808421378</v>
      </c>
      <c r="U8" s="23">
        <f>MIN(T17,MAX(0,U7))</f>
        <v>22.045988084213775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-297.744</v>
      </c>
      <c r="D11" s="55">
        <f>D7-D10</f>
        <v>-297.744</v>
      </c>
      <c r="E11" s="55">
        <f>E7-E10</f>
        <v>-297.744</v>
      </c>
      <c r="F11" s="55">
        <f>F7-F10</f>
        <v>-38.906811915786236</v>
      </c>
      <c r="G11" s="55">
        <f>G7-G10</f>
        <v>-23.11001191578623</v>
      </c>
      <c r="H11" s="55">
        <f>H7-H10</f>
        <v>9.616388084213767</v>
      </c>
      <c r="I11" s="55">
        <f>I7-I10</f>
        <v>48.17478808421379</v>
      </c>
      <c r="J11" s="55">
        <f>J7-J10</f>
        <v>92.56518808421379</v>
      </c>
      <c r="K11" s="55">
        <f>K7-K10</f>
        <v>131.68998808421378</v>
      </c>
      <c r="L11" s="55">
        <f>L7-L10</f>
        <v>155.01798808421375</v>
      </c>
      <c r="M11" s="55">
        <f>M7-M10</f>
        <v>172.5139880842138</v>
      </c>
      <c r="N11" s="55">
        <f>N7-N10</f>
        <v>172.5139880842138</v>
      </c>
      <c r="O11" s="55">
        <f>O7-O10</f>
        <v>172.5139880842138</v>
      </c>
      <c r="P11" s="55">
        <f>P7-P10</f>
        <v>172.5139880842138</v>
      </c>
      <c r="Q11" s="55">
        <f>Q7-Q10</f>
        <v>172.5139880842138</v>
      </c>
      <c r="R11" s="55">
        <f>R7-R10</f>
        <v>172.5139880842138</v>
      </c>
      <c r="S11" s="55">
        <f>S7-S10</f>
        <v>119.85798808421376</v>
      </c>
      <c r="T11" s="55">
        <f>T7-T10</f>
        <v>93.52998808421378</v>
      </c>
      <c r="U11" s="55">
        <f>U7-U10</f>
        <v>22.045988084213775</v>
      </c>
      <c r="V11" s="55">
        <f>V7-V10</f>
        <v>-13.69601191578623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-145.86608049302131</v>
      </c>
      <c r="D16" s="55">
        <f>D11*D15</f>
        <v>-265.7193625876611</v>
      </c>
      <c r="E16" s="55">
        <f>E11*E15</f>
        <v>-237.2494308818402</v>
      </c>
      <c r="F16" s="55">
        <f>F11*F15</f>
        <v>-27.680235683192016</v>
      </c>
      <c r="G16" s="55">
        <f>G11*G15</f>
        <v>-14.680007749188084</v>
      </c>
      <c r="H16" s="55">
        <f>H11*H15</f>
        <v>5.454062048250916</v>
      </c>
      <c r="I16" s="55">
        <f>I11*I15</f>
        <v>24.395508950790806</v>
      </c>
      <c r="J16" s="55">
        <f>J11*J15</f>
        <v>41.85233908947987</v>
      </c>
      <c r="K16" s="55">
        <f>K11*K15</f>
        <v>53.162669832820605</v>
      </c>
      <c r="L16" s="55">
        <f>L11*L15</f>
        <v>55.87507230427547</v>
      </c>
      <c r="M16" s="55">
        <f>M11*M15</f>
        <v>55.51908429668725</v>
      </c>
      <c r="N16" s="55">
        <f>N11*N15</f>
        <v>49.570610979185034</v>
      </c>
      <c r="O16" s="55">
        <f>O11*O15</f>
        <v>44.25947408855806</v>
      </c>
      <c r="P16" s="55">
        <f>P11*P15</f>
        <v>39.51738757906969</v>
      </c>
      <c r="Q16" s="55">
        <f>Q11*Q15</f>
        <v>35.28338176702651</v>
      </c>
      <c r="R16" s="55">
        <f>R11*R15</f>
        <v>31.503019434845097</v>
      </c>
      <c r="S16" s="55">
        <f>S11*S15</f>
        <v>19.542351784515635</v>
      </c>
      <c r="T16" s="55">
        <f>T11*T15</f>
        <v>13.615785459633072</v>
      </c>
      <c r="U16" s="55">
        <f>U11*U15</f>
        <v>2.8655194880423163</v>
      </c>
      <c r="V16" s="55">
        <f>V11*V15</f>
        <v>-1.5894610888914569</v>
      </c>
    </row>
    <row r="17">
      <c r="A17" s="14" t="inlineStr">
        <is>
          <t>Tax-loss carryforward, end of year</t>
        </is>
      </c>
      <c r="C17" s="23">
        <f>Assumptions!$B$21-C8+MAX(0,-C7)</f>
        <v>1558.844</v>
      </c>
      <c r="D17" s="23">
        <f>C17-D8+MAX(0,-D7)</f>
        <v>1856.5880000000002</v>
      </c>
      <c r="E17" s="23">
        <f>D17-E8+MAX(0,-E7)</f>
        <v>2154.3320000000003</v>
      </c>
      <c r="F17" s="23">
        <f>E17-F8+MAX(0,-F7)</f>
        <v>2193.2388119157868</v>
      </c>
      <c r="G17" s="23">
        <f>F17-G8+MAX(0,-G7)</f>
        <v>2216.348823831573</v>
      </c>
      <c r="H17" s="23">
        <f>G17-H8+MAX(0,-H7)</f>
        <v>2206.7324357473594</v>
      </c>
      <c r="I17" s="23">
        <f>H17-I8+MAX(0,-I7)</f>
        <v>2158.557647663146</v>
      </c>
      <c r="J17" s="23">
        <f>I17-J8+MAX(0,-J7)</f>
        <v>2065.992459578932</v>
      </c>
      <c r="K17" s="23">
        <f>J17-K8+MAX(0,-K7)</f>
        <v>1934.3024714947182</v>
      </c>
      <c r="L17" s="23">
        <f>K17-L8+MAX(0,-L7)</f>
        <v>1779.2844834105044</v>
      </c>
      <c r="M17" s="23">
        <f>L17-M8+MAX(0,-M7)</f>
        <v>1606.7704953262905</v>
      </c>
      <c r="N17" s="23">
        <f>M17-N8+MAX(0,-N7)</f>
        <v>1434.2565072420766</v>
      </c>
      <c r="O17" s="23">
        <f>N17-O8+MAX(0,-O7)</f>
        <v>1261.7425191578627</v>
      </c>
      <c r="P17" s="23">
        <f>O17-P8+MAX(0,-P7)</f>
        <v>1089.2285310736488</v>
      </c>
      <c r="Q17" s="23">
        <f>P17-Q8+MAX(0,-Q7)</f>
        <v>916.714542989435</v>
      </c>
      <c r="R17" s="23">
        <f>Q17-R8+MAX(0,-R7)</f>
        <v>744.2005549052212</v>
      </c>
      <c r="S17" s="23">
        <f>R17-S8+MAX(0,-S7)</f>
        <v>624.3425668210075</v>
      </c>
      <c r="T17" s="23">
        <f>S17-T8+MAX(0,-T7)</f>
        <v>530.8125787367937</v>
      </c>
      <c r="U17" s="23">
        <f>T17-U8+MAX(0,-U7)</f>
        <v>508.76659065257996</v>
      </c>
      <c r="V17" s="23">
        <f>U17-V8+MAX(0,-V7)</f>
        <v>522.4626025683662</v>
      </c>
    </row>
    <row r="19">
      <c r="A19" s="14" t="inlineStr">
        <is>
          <t>PV of risked pipeline contribution</t>
        </is>
      </c>
      <c r="B19" s="23">
        <f>SUMPRODUCT(C5:V5,C15:V15)</f>
        <v>708.9328159782382</v>
      </c>
    </row>
    <row r="20">
      <c r="A20" s="14" t="inlineStr">
        <is>
          <t>PV of corporate burn</t>
        </is>
      </c>
      <c r="B20" s="23">
        <f>SUMPRODUCT(C6:V6,C15:V15)</f>
        <v>-929.3011273588521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-220.36831138061393</v>
      </c>
    </row>
    <row r="23">
      <c r="A23" s="14" t="inlineStr">
        <is>
          <t>Cash &amp; investments</t>
        </is>
      </c>
      <c r="B23" s="57">
        <f>Main!C7</f>
        <v>195.328</v>
      </c>
    </row>
    <row r="24">
      <c r="A24" s="14" t="inlineStr">
        <is>
          <t>Debt</t>
        </is>
      </c>
      <c r="B24" s="57">
        <f>Main!C8</f>
        <v>84.114</v>
      </c>
    </row>
    <row r="25">
      <c r="A25" s="24" t="inlineStr">
        <is>
          <t>Equity value</t>
        </is>
      </c>
      <c r="B25" s="54">
        <f>B22+B23-B24</f>
        <v>-109.15431138061393</v>
      </c>
    </row>
    <row r="26">
      <c r="A26" s="14" t="inlineStr">
        <is>
          <t>Shares (mm)</t>
        </is>
      </c>
      <c r="B26" s="57">
        <f>Main!C4</f>
        <v>94.219634</v>
      </c>
    </row>
    <row r="27">
      <c r="A27" s="24" t="inlineStr">
        <is>
          <t>rNPV / share</t>
        </is>
      </c>
      <c r="B27" s="60">
        <f>B25/B26</f>
        <v>-1.1585091848331095</v>
      </c>
    </row>
    <row r="28">
      <c r="A28" s="14" t="inlineStr">
        <is>
          <t>Price</t>
        </is>
      </c>
      <c r="B28" s="61">
        <f>Main!C3</f>
        <v>11.42</v>
      </c>
    </row>
    <row r="29">
      <c r="A29" s="14" t="inlineStr">
        <is>
          <t>Upside</t>
        </is>
      </c>
      <c r="B29" s="62">
        <f>B27/B28-1</f>
        <v>-1.101445637901323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2026-10-21T06:23:51Z</dcterms:modified>
  <cp:lastModifiedBy>Wang, Eric</cp:lastModifiedBy>
</cp:coreProperties>
</file>