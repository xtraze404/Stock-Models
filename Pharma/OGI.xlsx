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Organigram Global Inc</t>
        </is>
      </c>
      <c r="C2" s="10" t="n"/>
    </row>
    <row r="3">
      <c r="B3" t="inlineStr">
        <is>
          <t>Price</t>
        </is>
      </c>
      <c r="C3" s="11">
        <f>INDEX([1]Pharma!$F$1:$F$1000,MATCH("OGI",[1]Pharma!$B$1:$B$1000,0))</f>
        <v>0.937</v>
      </c>
      <c r="F3" s="1" t="n"/>
    </row>
    <row r="4">
      <c r="B4" t="inlineStr">
        <is>
          <t>Shares</t>
        </is>
      </c>
      <c r="C4" s="21" t="n"/>
      <c r="F4" s="1" t="n"/>
    </row>
    <row r="5">
      <c r="B5" t="inlineStr">
        <is>
          <t>Market Cap.</t>
        </is>
      </c>
      <c r="C5" s="13">
        <f>C3*C4</f>
        <v>0.0</v>
      </c>
      <c r="F5" s="1" t="n"/>
    </row>
    <row r="6"/>
    <row r="7">
      <c r="B7" t="inlineStr">
        <is>
          <t>Cash</t>
        </is>
      </c>
      <c r="C7" s="21" t="n"/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0.0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/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21" t="n">
        <v>2.734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0.0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2024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8.776999999999999</v>
      </c>
      <c r="C2" s="23" t="n">
        <v>56.785</v>
      </c>
      <c r="D2" s="23" t="n">
        <v>61.292</v>
      </c>
      <c r="E2" s="23" t="n">
        <v>55.902</v>
      </c>
      <c r="F2" s="23" t="n">
        <v>102.965</v>
      </c>
      <c r="G2" s="23" t="n">
        <v>112.874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3.902</v>
      </c>
      <c r="C3" s="23" t="n">
        <v>30.027</v>
      </c>
      <c r="D3" s="23" t="n">
        <v>74.15000000000001</v>
      </c>
      <c r="E3" s="23" t="n">
        <v>73.13500000000001</v>
      </c>
      <c r="F3" s="23" t="n">
        <v>84.06</v>
      </c>
      <c r="G3" s="23" t="n">
        <v>78.66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4.874999999999999</v>
      </c>
      <c r="C4" s="23">
        <f>C2-C3</f>
        <v>26.757999999999996</v>
      </c>
      <c r="D4" s="23">
        <f>D2-D3</f>
        <v>-12.858000000000004</v>
      </c>
      <c r="E4" s="23">
        <f>E2-E3</f>
        <v>-17.233000000000004</v>
      </c>
      <c r="F4" s="23">
        <f>F2-F3</f>
        <v>18.905</v>
      </c>
      <c r="G4" s="23">
        <f>G2-G3</f>
        <v>34.214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0.289</v>
      </c>
      <c r="D5" s="23" t="n">
        <v>0.896</v>
      </c>
      <c r="E5" s="23" t="n">
        <v>2.574</v>
      </c>
      <c r="F5" s="23" t="n">
        <v>4.21</v>
      </c>
      <c r="G5" s="23" t="n">
        <v>7.909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-20.84</v>
      </c>
      <c r="C6" s="23" t="n">
        <v>22.594</v>
      </c>
      <c r="D6" s="23" t="n">
        <v>88.999</v>
      </c>
      <c r="E6" s="23" t="n">
        <v>45.033</v>
      </c>
      <c r="F6" s="23" t="n">
        <v>45.167</v>
      </c>
      <c r="G6" s="23" t="n">
        <v>51.495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-20.84</v>
      </c>
      <c r="C7" s="23">
        <f>SUM(C5:C6)</f>
        <v>22.883000000000003</v>
      </c>
      <c r="D7" s="23">
        <f>SUM(D5:D6)</f>
        <v>89.895</v>
      </c>
      <c r="E7" s="23">
        <f>SUM(E5:E6)</f>
        <v>47.607</v>
      </c>
      <c r="F7" s="23">
        <f>SUM(F5:F6)</f>
        <v>49.377</v>
      </c>
      <c r="G7" s="23">
        <f>SUM(G5:G6)</f>
        <v>59.403999999999996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25.715</v>
      </c>
      <c r="C8" s="23">
        <f>C4-C7</f>
        <v>3.874999999999993</v>
      </c>
      <c r="D8" s="23">
        <f>D4-D7</f>
        <v>-102.753</v>
      </c>
      <c r="E8" s="23">
        <f>E4-E7</f>
        <v>-64.84</v>
      </c>
      <c r="F8" s="23">
        <f>F4-F7</f>
        <v>-30.472</v>
      </c>
      <c r="G8" s="23">
        <f>G4-G7</f>
        <v>-25.189999999999998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-7.238</v>
      </c>
      <c r="C9" s="23" t="n">
        <v>-8.050000000000001</v>
      </c>
      <c r="D9" s="23" t="n">
        <v>-0.789</v>
      </c>
      <c r="E9" s="23" t="n">
        <v>-27.459</v>
      </c>
      <c r="F9" s="23" t="n">
        <v>20.323</v>
      </c>
      <c r="G9" s="23" t="n">
        <v>-6.899</v>
      </c>
    </row>
    <row r="10">
      <c r="A10" s="2" t="inlineStr">
        <is>
          <t>Pretax</t>
        </is>
      </c>
      <c r="B10" s="23">
        <f>B8+B9</f>
        <v>18.477</v>
      </c>
      <c r="C10" s="23">
        <f>C8+C9</f>
        <v>-4.175000000000008</v>
      </c>
      <c r="D10" s="23">
        <f>D8+D9</f>
        <v>-103.542</v>
      </c>
      <c r="E10" s="23">
        <f>E8+E9</f>
        <v>-92.299</v>
      </c>
      <c r="F10" s="23">
        <f>F8+F9</f>
        <v>-10.149000000000001</v>
      </c>
      <c r="G10" s="23">
        <f>G8+G9</f>
        <v>-32.089</v>
      </c>
      <c r="I10" s="1" t="n"/>
      <c r="J10" s="1" t="n"/>
      <c r="K10" s="1" t="n"/>
    </row>
    <row r="11">
      <c r="A11" s="2" t="inlineStr">
        <is>
          <t>Taxes</t>
        </is>
      </c>
      <c r="B11" s="23" t="n">
        <v>3.992</v>
      </c>
      <c r="C11" s="23" t="n">
        <v>2.563</v>
      </c>
      <c r="D11" s="23" t="n">
        <v>-7.394</v>
      </c>
      <c r="E11" s="23" t="n">
        <v>0</v>
      </c>
      <c r="F11" s="23" t="n">
        <v>-0.062</v>
      </c>
      <c r="G11" s="23" t="n">
        <v>0</v>
      </c>
    </row>
    <row r="12">
      <c r="A12" s="2" t="inlineStr">
        <is>
          <t>Net Income</t>
        </is>
      </c>
      <c r="B12" s="23" t="n">
        <v>14.486</v>
      </c>
      <c r="C12" s="23" t="n">
        <v>-6.738</v>
      </c>
      <c r="D12" s="23" t="n">
        <v>-96.149</v>
      </c>
      <c r="E12" s="23" t="n">
        <v>-92.29900000000001</v>
      </c>
      <c r="F12" s="23" t="n">
        <v>-10.086</v>
      </c>
      <c r="G12" s="23" t="n">
        <v>-32.088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0.11418796950993608</v>
      </c>
      <c r="C13" s="11">
        <f>IFERROR(C12/C14,0)</f>
        <v>-0.04446321457559341</v>
      </c>
      <c r="D13" s="11">
        <f>IFERROR(D12/D14,0)</f>
        <v>-0.5399718077309716</v>
      </c>
      <c r="E13" s="11">
        <f>IFERROR(E12/E14,0)</f>
        <v>-0.36037404341714824</v>
      </c>
      <c r="F13" s="11">
        <f>IFERROR(F12/F14,0)</f>
        <v>-0.13059860933069184</v>
      </c>
      <c r="G13" s="11">
        <f>IFERROR(G12/G14,0)</f>
        <v>-0.33672634163745885</v>
      </c>
    </row>
    <row r="14">
      <c r="A14" s="2" t="inlineStr">
        <is>
          <t>Shares</t>
        </is>
      </c>
      <c r="B14" s="23" t="n">
        <v>126.861</v>
      </c>
      <c r="C14" s="23" t="n">
        <v>151.541</v>
      </c>
      <c r="D14" s="23" t="n">
        <v>178.063</v>
      </c>
      <c r="E14" s="23" t="n">
        <v>256.12</v>
      </c>
      <c r="F14" s="23" t="n">
        <v>77.229</v>
      </c>
      <c r="G14" s="23" t="n">
        <v>95.294</v>
      </c>
    </row>
    <row r="15"/>
    <row r="16" customFormat="1" s="4">
      <c r="A16" s="3" t="inlineStr">
        <is>
          <t>Revenue Change</t>
        </is>
      </c>
      <c r="C16" s="15">
        <f>IFERROR(C2/B2-1,"")</f>
        <v>5.469750484220121</v>
      </c>
      <c r="D16" s="15">
        <f>IFERROR(D2/C2-1,"")</f>
        <v>0.079369551818262</v>
      </c>
      <c r="E16" s="15">
        <f>IFERROR(E2/D2-1,"")</f>
        <v>-0.0879396984924623</v>
      </c>
      <c r="F16" s="15">
        <f>IFERROR(F2/E2-1,"")</f>
        <v>0.8418840113054988</v>
      </c>
      <c r="G16" s="15">
        <f>IFERROR(G2/F2-1,"")</f>
        <v>0.09623658524741407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0.5554289620599293</v>
      </c>
      <c r="C17" s="15">
        <f>IFERROR(C4/C2,"")</f>
        <v>0.47121599013824067</v>
      </c>
      <c r="D17" s="15">
        <f>IFERROR(D4/D2,"")</f>
        <v>-0.20978267963192593</v>
      </c>
      <c r="E17" s="15">
        <f>IFERROR(E4/E2,"")</f>
        <v>-0.30827161818897364</v>
      </c>
      <c r="F17" s="15">
        <f>IFERROR(F4/F2,"")</f>
        <v>0.18360607973583257</v>
      </c>
      <c r="G17" s="15">
        <f>IFERROR(G4/G2,"")</f>
        <v>0.30311674965005225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2.929816566024838</v>
      </c>
      <c r="C18" s="15">
        <f>IFERROR(C8/C2,"")</f>
        <v>0.06823985207361087</v>
      </c>
      <c r="D18" s="15">
        <f>IFERROR(D8/D2,"")</f>
        <v>-1.6764504339881223</v>
      </c>
      <c r="E18" s="15">
        <f>IFERROR(E8/E2,"")</f>
        <v>-1.159886945010912</v>
      </c>
      <c r="F18" s="15">
        <f>IFERROR(F8/F2,"")</f>
        <v>-0.2959452241052785</v>
      </c>
      <c r="G18" s="15">
        <f>IFERROR(G8/G2,"")</f>
        <v>-0.2231691975122703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2026-10-21T01:06:58Z</dcterms:modified>
  <cp:lastModifiedBy>Wang, Eric</cp:lastModifiedBy>
</cp:coreProperties>
</file>