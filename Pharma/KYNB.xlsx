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Kyntra Bio, Inc.</t>
        </is>
      </c>
      <c r="C2" s="10" t="n"/>
    </row>
    <row r="3">
      <c r="B3" t="inlineStr">
        <is>
          <t>Price</t>
        </is>
      </c>
      <c r="C3" s="11">
        <f>INDEX([1]Pharma!$F$1:$F$1000,MATCH("KYNB",[1]Pharma!$B$1:$B$1000,0))</f>
        <v>5.28</v>
      </c>
      <c r="F3" s="1" t="n"/>
    </row>
    <row r="4">
      <c r="B4" t="inlineStr">
        <is>
          <t>Shares</t>
        </is>
      </c>
      <c r="C4" s="21" t="n">
        <v>4.049124</v>
      </c>
      <c r="F4" s="1" t="n"/>
    </row>
    <row r="5">
      <c r="B5" t="inlineStr">
        <is>
          <t>Market Cap.</t>
        </is>
      </c>
      <c r="C5" s="13">
        <f>C3*C4</f>
        <v>21.37937472</v>
      </c>
      <c r="F5" s="1" t="n"/>
    </row>
    <row r="6"/>
    <row r="7">
      <c r="B7" t="inlineStr">
        <is>
          <t>Cash</t>
        </is>
      </c>
      <c r="C7" s="21">
        <f>50.644+40.674</f>
        <v>91.318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-69.93862528</v>
      </c>
    </row>
    <row r="10"/>
    <row r="11">
      <c r="B11" s="14" t="inlineStr">
        <is>
          <t>Net Cash / Share</t>
        </is>
      </c>
      <c r="C11" s="11">
        <f>(C7-C8)/C4</f>
        <v>22.552532350207105</v>
      </c>
    </row>
    <row r="12">
      <c r="B12" s="14" t="inlineStr">
        <is>
          <t>Upside</t>
        </is>
      </c>
      <c r="C12" s="15">
        <f>IFERROR(C11/C3-1,"")</f>
        <v>3.271312945114982</v>
      </c>
    </row>
    <row r="13">
      <c r="B13" s="14" t="inlineStr">
        <is>
          <t>Cash / Share</t>
        </is>
      </c>
      <c r="C13" s="11">
        <f>IFERROR((C7-C8)/C4,"")</f>
        <v>22.552532350207105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-38.053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2.3997582319396633</v>
      </c>
    </row>
    <row r="19">
      <c r="B19" s="14" t="inlineStr">
        <is>
          <t>Implied Pipeline Value</t>
        </is>
      </c>
      <c r="C19" s="13">
        <f>C9</f>
        <v>-69.93862528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102.17</v>
      </c>
      <c r="C2" s="23" t="n">
        <v>137.601</v>
      </c>
      <c r="D2" s="23" t="n">
        <v>180.828</v>
      </c>
      <c r="E2" s="23" t="n">
        <v>183.189</v>
      </c>
      <c r="F2" s="23" t="n">
        <v>130.996</v>
      </c>
      <c r="G2" s="23" t="n">
        <v>212.958</v>
      </c>
      <c r="H2" s="23" t="n">
        <v>256.577</v>
      </c>
      <c r="I2" s="23" t="n">
        <v>176.319</v>
      </c>
      <c r="J2" s="23" t="n">
        <v>235.309</v>
      </c>
      <c r="K2" s="23" t="n">
        <v>140.734</v>
      </c>
      <c r="L2" s="23" t="n">
        <v>46.803</v>
      </c>
      <c r="M2" s="23" t="n">
        <v>29.621</v>
      </c>
      <c r="N2" s="23" t="n">
        <v>6.44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1.147</v>
      </c>
      <c r="I3" s="23" t="n">
        <v>8.869</v>
      </c>
      <c r="J3" s="23" t="n">
        <v>12.871</v>
      </c>
      <c r="K3" s="23" t="n">
        <v>20.28</v>
      </c>
      <c r="L3" s="23" t="n">
        <v>3.962</v>
      </c>
      <c r="M3" s="23" t="n">
        <v>15.561</v>
      </c>
      <c r="N3" s="23" t="n">
        <v>0.556</v>
      </c>
    </row>
    <row r="4" customFormat="1" s="1">
      <c r="A4" s="5" t="inlineStr">
        <is>
          <t>Gross Margin</t>
        </is>
      </c>
      <c r="B4" s="23">
        <f>B2-B3</f>
        <v>102.17</v>
      </c>
      <c r="C4" s="23">
        <f>C2-C3</f>
        <v>137.601</v>
      </c>
      <c r="D4" s="23">
        <f>D2-D3</f>
        <v>180.828</v>
      </c>
      <c r="E4" s="23">
        <f>E2-E3</f>
        <v>183.189</v>
      </c>
      <c r="F4" s="23">
        <f>F2-F3</f>
        <v>130.996</v>
      </c>
      <c r="G4" s="23">
        <f>G2-G3</f>
        <v>212.958</v>
      </c>
      <c r="H4" s="23">
        <f>H2-H3</f>
        <v>255.43</v>
      </c>
      <c r="I4" s="23">
        <f>I2-I3</f>
        <v>167.45</v>
      </c>
      <c r="J4" s="23">
        <f>J2-J3</f>
        <v>222.438</v>
      </c>
      <c r="K4" s="23">
        <f>K2-K3</f>
        <v>120.45400000000001</v>
      </c>
      <c r="L4" s="23">
        <f>L2-L3</f>
        <v>42.840999999999994</v>
      </c>
      <c r="M4" s="23">
        <f>M2-M3</f>
        <v>14.059999999999999</v>
      </c>
      <c r="N4" s="23">
        <f>N2-N3</f>
        <v>5.884</v>
      </c>
    </row>
    <row r="5">
      <c r="A5" s="2" t="inlineStr">
        <is>
          <t>Research &amp; Dev.</t>
        </is>
      </c>
      <c r="B5" s="23" t="n">
        <v>85.70999999999999</v>
      </c>
      <c r="C5" s="23" t="n">
        <v>150.794</v>
      </c>
      <c r="D5" s="23" t="n">
        <v>214.089</v>
      </c>
      <c r="E5" s="23" t="n">
        <v>187.206</v>
      </c>
      <c r="F5" s="23" t="n">
        <v>196.517</v>
      </c>
      <c r="G5" s="23" t="n">
        <v>235.839</v>
      </c>
      <c r="H5" s="23" t="n">
        <v>209.265</v>
      </c>
      <c r="I5" s="23" t="n">
        <v>252.924</v>
      </c>
      <c r="J5" s="23" t="n">
        <v>387.043</v>
      </c>
      <c r="K5" s="23" t="n">
        <v>296.791</v>
      </c>
      <c r="L5" s="23" t="n">
        <v>266.473</v>
      </c>
      <c r="M5" s="23" t="n">
        <v>95.69199999999999</v>
      </c>
      <c r="N5" s="23" t="n">
        <v>23.517</v>
      </c>
    </row>
    <row r="6">
      <c r="A6" s="19" t="inlineStr">
        <is>
          <t>SG&amp;A &amp; Other</t>
        </is>
      </c>
      <c r="B6" s="23" t="n">
        <v>24.409</v>
      </c>
      <c r="C6" s="23" t="n">
        <v>36.909</v>
      </c>
      <c r="D6" s="23" t="n">
        <v>44.364</v>
      </c>
      <c r="E6" s="23" t="n">
        <v>46.025</v>
      </c>
      <c r="F6" s="23" t="n">
        <v>51.76</v>
      </c>
      <c r="G6" s="23" t="n">
        <v>63.812</v>
      </c>
      <c r="H6" s="23" t="n">
        <v>135.479</v>
      </c>
      <c r="I6" s="23" t="n">
        <v>106.406</v>
      </c>
      <c r="J6" s="23" t="n">
        <v>123.925</v>
      </c>
      <c r="K6" s="23" t="n">
        <v>124.688</v>
      </c>
      <c r="L6" s="23" t="n">
        <v>99.089</v>
      </c>
      <c r="M6" s="23" t="n">
        <v>68.78400000000001</v>
      </c>
      <c r="N6" s="23" t="n">
        <v>28.262</v>
      </c>
    </row>
    <row r="7">
      <c r="A7" s="2" t="inlineStr">
        <is>
          <t>Operating Expense</t>
        </is>
      </c>
      <c r="B7" s="23">
        <f>SUM(B5:B6)</f>
        <v>110.119</v>
      </c>
      <c r="C7" s="23">
        <f>SUM(C5:C6)</f>
        <v>187.703</v>
      </c>
      <c r="D7" s="23">
        <f>SUM(D5:D6)</f>
        <v>258.453</v>
      </c>
      <c r="E7" s="23">
        <f>SUM(E5:E6)</f>
        <v>233.231</v>
      </c>
      <c r="F7" s="23">
        <f>SUM(F5:F6)</f>
        <v>248.277</v>
      </c>
      <c r="G7" s="23">
        <f>SUM(G5:G6)</f>
        <v>299.651</v>
      </c>
      <c r="H7" s="23">
        <f>SUM(H5:H6)</f>
        <v>344.744</v>
      </c>
      <c r="I7" s="23">
        <f>SUM(I5:I6)</f>
        <v>359.33000000000004</v>
      </c>
      <c r="J7" s="23">
        <f>SUM(J5:J6)</f>
        <v>510.968</v>
      </c>
      <c r="K7" s="23">
        <f>SUM(K5:K6)</f>
        <v>421.479</v>
      </c>
      <c r="L7" s="23">
        <f>SUM(L5:L6)</f>
        <v>365.562</v>
      </c>
      <c r="M7" s="23">
        <f>SUM(M5:M6)</f>
        <v>164.476</v>
      </c>
      <c r="N7" s="23">
        <f>SUM(N5:N6)</f>
        <v>51.778999999999996</v>
      </c>
    </row>
    <row r="8">
      <c r="A8" s="2" t="inlineStr">
        <is>
          <t>Operating Income</t>
        </is>
      </c>
      <c r="B8" s="23">
        <f>B4-B7</f>
        <v>-7.948999999999998</v>
      </c>
      <c r="C8" s="23">
        <f>C4-C7</f>
        <v>-50.102000000000004</v>
      </c>
      <c r="D8" s="23">
        <f>D4-D7</f>
        <v>-77.62499999999997</v>
      </c>
      <c r="E8" s="23">
        <f>E4-E7</f>
        <v>-50.042</v>
      </c>
      <c r="F8" s="23">
        <f>F4-F7</f>
        <v>-117.28099999999998</v>
      </c>
      <c r="G8" s="23">
        <f>G4-G7</f>
        <v>-86.69300000000001</v>
      </c>
      <c r="H8" s="23">
        <f>H4-H7</f>
        <v>-89.31400000000002</v>
      </c>
      <c r="I8" s="23">
        <f>I4-I7</f>
        <v>-191.88000000000005</v>
      </c>
      <c r="J8" s="23">
        <f>J4-J7</f>
        <v>-288.53000000000003</v>
      </c>
      <c r="K8" s="23">
        <f>K4-K7</f>
        <v>-301.025</v>
      </c>
      <c r="L8" s="23">
        <f>L4-L7</f>
        <v>-322.721</v>
      </c>
      <c r="M8" s="23">
        <f>M4-M7</f>
        <v>-150.416</v>
      </c>
      <c r="N8" s="23">
        <f>N4-N7</f>
        <v>-45.894999999999996</v>
      </c>
    </row>
    <row r="9">
      <c r="A9" s="19" t="inlineStr">
        <is>
          <t>Interest &amp; Other</t>
        </is>
      </c>
      <c r="B9" s="23" t="n">
        <v>-6.994</v>
      </c>
      <c r="C9" s="23" t="n">
        <v>-9.401999999999999</v>
      </c>
      <c r="D9" s="23" t="n">
        <v>-7.912</v>
      </c>
      <c r="E9" s="23" t="n">
        <v>-8.097</v>
      </c>
      <c r="F9" s="23" t="n">
        <v>-3.273</v>
      </c>
      <c r="G9" s="23" t="n">
        <v>0.577</v>
      </c>
      <c r="H9" s="23" t="n">
        <v>12.672</v>
      </c>
      <c r="I9" s="23" t="n">
        <v>2.949</v>
      </c>
      <c r="J9" s="23" t="n">
        <v>-1.146</v>
      </c>
      <c r="K9" s="23" t="n">
        <v>7.729</v>
      </c>
      <c r="L9" s="23" t="n">
        <v>38.237</v>
      </c>
      <c r="M9" s="23" t="n">
        <v>102.568</v>
      </c>
      <c r="N9" s="23" t="n">
        <v>229.257</v>
      </c>
    </row>
    <row r="10">
      <c r="A10" s="2" t="inlineStr">
        <is>
          <t>Pretax</t>
        </is>
      </c>
      <c r="B10" s="23">
        <f>B8+B9</f>
        <v>-14.942999999999998</v>
      </c>
      <c r="C10" s="23">
        <f>C8+C9</f>
        <v>-59.504000000000005</v>
      </c>
      <c r="D10" s="23">
        <f>D8+D9</f>
        <v>-85.53699999999998</v>
      </c>
      <c r="E10" s="23">
        <f>E8+E9</f>
        <v>-58.139</v>
      </c>
      <c r="F10" s="23">
        <f>F8+F9</f>
        <v>-120.55399999999997</v>
      </c>
      <c r="G10" s="23">
        <f>G8+G9</f>
        <v>-86.11600000000001</v>
      </c>
      <c r="H10" s="23">
        <f>H8+H9</f>
        <v>-76.64200000000002</v>
      </c>
      <c r="I10" s="23">
        <f>I8+I9</f>
        <v>-188.93100000000004</v>
      </c>
      <c r="J10" s="23">
        <f>J8+J9</f>
        <v>-289.67600000000004</v>
      </c>
      <c r="K10" s="23">
        <f>K8+K9</f>
        <v>-293.296</v>
      </c>
      <c r="L10" s="23">
        <f>L8+L9</f>
        <v>-284.484</v>
      </c>
      <c r="M10" s="23">
        <f>M8+M9</f>
        <v>-47.848</v>
      </c>
      <c r="N10" s="23">
        <f>N8+N9</f>
        <v>183.36200000000002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0.242</v>
      </c>
      <c r="E11" s="23" t="n">
        <v>-0.07099999999999999</v>
      </c>
      <c r="F11" s="23" t="n">
        <v>0.321</v>
      </c>
      <c r="G11" s="23" t="n">
        <v>0.304</v>
      </c>
      <c r="H11" s="23" t="n">
        <v>0.328</v>
      </c>
      <c r="I11" s="23" t="n">
        <v>0.36</v>
      </c>
      <c r="J11" s="23" t="n">
        <v>0.347</v>
      </c>
      <c r="K11" s="23" t="n">
        <v>0.358</v>
      </c>
      <c r="L11" s="23" t="n">
        <v>-0.252</v>
      </c>
      <c r="M11" s="23" t="n">
        <v>-0.269</v>
      </c>
      <c r="N11" s="23" t="n">
        <v>-0.09</v>
      </c>
    </row>
    <row r="12">
      <c r="A12" s="2" t="inlineStr">
        <is>
          <t>Net Income</t>
        </is>
      </c>
      <c r="B12" s="23" t="n">
        <v>-14.943</v>
      </c>
      <c r="C12" s="23" t="n">
        <v>-59.504</v>
      </c>
      <c r="D12" s="23" t="n">
        <v>-85.779</v>
      </c>
      <c r="E12" s="23" t="n">
        <v>-58.068</v>
      </c>
      <c r="F12" s="23" t="n">
        <v>-120.875</v>
      </c>
      <c r="G12" s="23" t="n">
        <v>-86.42</v>
      </c>
      <c r="H12" s="23" t="n">
        <v>-76.97</v>
      </c>
      <c r="I12" s="23" t="n">
        <v>-189.291</v>
      </c>
      <c r="J12" s="23" t="n">
        <v>-290.023</v>
      </c>
      <c r="K12" s="23" t="n">
        <v>-293.654</v>
      </c>
      <c r="L12" s="23" t="n">
        <v>-284.232</v>
      </c>
      <c r="M12" s="23" t="n">
        <v>-47.579</v>
      </c>
      <c r="N12" s="23" t="n">
        <v>183.452</v>
      </c>
    </row>
    <row r="13">
      <c r="A13" s="2" t="inlineStr">
        <is>
          <t>Earnings per Share</t>
        </is>
      </c>
      <c r="B13" s="11">
        <f>IFERROR(B12/B14,0)</f>
        <v>-27.218579234972676</v>
      </c>
      <c r="C13" s="11">
        <f>IFERROR(C12/C14,0)</f>
        <v>-76.09207161125319</v>
      </c>
      <c r="D13" s="11">
        <f>IFERROR(D12/D14,0)</f>
        <v>-34.12052505966587</v>
      </c>
      <c r="E13" s="11">
        <f>IFERROR(E12/E14,0)</f>
        <v>-22.214231063504208</v>
      </c>
      <c r="F13" s="11">
        <f>IFERROR(F12/F14,0)</f>
        <v>-39.748438013811246</v>
      </c>
      <c r="G13" s="11">
        <f>IFERROR(G12/G14,0)</f>
        <v>-24.670282614901513</v>
      </c>
      <c r="H13" s="11">
        <f>IFERROR(H12/H14,0)</f>
        <v>-21.321329639889196</v>
      </c>
      <c r="I13" s="11">
        <f>IFERROR(I12/I14,0)</f>
        <v>-50.558493589743584</v>
      </c>
      <c r="J13" s="11">
        <f>IFERROR(J12/J14,0)</f>
        <v>-75.3698024948025</v>
      </c>
      <c r="K13" s="11">
        <f>IFERROR(K12/K14,0)</f>
        <v>-75.31520902795589</v>
      </c>
      <c r="L13" s="11">
        <f>IFERROR(L12/L14,0)</f>
        <v>-70.11149481993094</v>
      </c>
      <c r="M13" s="11">
        <f>IFERROR(M12/M14,0)</f>
        <v>-11.8888055972014</v>
      </c>
      <c r="N13" s="11">
        <f>IFERROR(N12/N14,0)</f>
        <v>45.37521642344793</v>
      </c>
    </row>
    <row r="14">
      <c r="A14" s="2" t="inlineStr">
        <is>
          <t>Shares</t>
        </is>
      </c>
      <c r="B14" s="23" t="n">
        <v>0.549</v>
      </c>
      <c r="C14" s="23" t="n">
        <v>0.782</v>
      </c>
      <c r="D14" s="23" t="n">
        <v>2.514</v>
      </c>
      <c r="E14" s="23" t="n">
        <v>2.614</v>
      </c>
      <c r="F14" s="23" t="n">
        <v>3.041</v>
      </c>
      <c r="G14" s="23" t="n">
        <v>3.503</v>
      </c>
      <c r="H14" s="23" t="n">
        <v>3.61</v>
      </c>
      <c r="I14" s="23" t="n">
        <v>3.744</v>
      </c>
      <c r="J14" s="23" t="n">
        <v>3.848</v>
      </c>
      <c r="K14" s="23" t="n">
        <v>3.899</v>
      </c>
      <c r="L14" s="23" t="n">
        <v>4.054</v>
      </c>
      <c r="M14" s="23" t="n">
        <v>4.002</v>
      </c>
      <c r="N14" s="23" t="n">
        <v>4.043</v>
      </c>
    </row>
    <row r="15"/>
    <row r="16" customFormat="1" s="4">
      <c r="A16" s="3" t="inlineStr">
        <is>
          <t>Revenue Change</t>
        </is>
      </c>
      <c r="C16" s="15">
        <f>IFERROR(C2/B2-1,"")</f>
        <v>0.34678477048057155</v>
      </c>
      <c r="D16" s="15">
        <f>IFERROR(D2/C2-1,"")</f>
        <v>0.3141474262541697</v>
      </c>
      <c r="E16" s="15">
        <f>IFERROR(E2/D2-1,"")</f>
        <v>0.013056606277788818</v>
      </c>
      <c r="F16" s="15">
        <f>IFERROR(F2/E2-1,"")</f>
        <v>-0.2849133954549672</v>
      </c>
      <c r="G16" s="15">
        <f>IFERROR(G2/F2-1,"")</f>
        <v>0.6256832269687622</v>
      </c>
      <c r="H16" s="15">
        <f>IFERROR(H2/G2-1,"")</f>
        <v>0.2048244254735676</v>
      </c>
      <c r="I16" s="15">
        <f>IFERROR(I2/H2-1,"")</f>
        <v>-0.3128027843493376</v>
      </c>
      <c r="J16" s="15">
        <f>IFERROR(J2/I2-1,"")</f>
        <v>0.3345640571917945</v>
      </c>
      <c r="K16" s="15">
        <f>IFERROR(K2/J2-1,"")</f>
        <v>-0.40191832866571187</v>
      </c>
      <c r="L16" s="15">
        <f>IFERROR(L2/K2-1,"")</f>
        <v>-0.6674364403768813</v>
      </c>
      <c r="M16" s="15">
        <f>IFERROR(M2/L2-1,"")</f>
        <v>-0.36711321923808304</v>
      </c>
      <c r="N16" s="15">
        <f>IFERROR(N2/M2-1,"")</f>
        <v>-0.7825866783700752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0.9955296070965052</v>
      </c>
      <c r="I17" s="15">
        <f>IFERROR(I4/I2,"")</f>
        <v>0.9496991248816067</v>
      </c>
      <c r="J17" s="15">
        <f>IFERROR(J4/J2,"")</f>
        <v>0.9453017096668636</v>
      </c>
      <c r="K17" s="15">
        <f>IFERROR(K4/K2,"")</f>
        <v>0.8558983614478378</v>
      </c>
      <c r="L17" s="15">
        <f>IFERROR(L4/L2,"")</f>
        <v>0.9153473067965728</v>
      </c>
      <c r="M17" s="15">
        <f>IFERROR(M4/M2,"")</f>
        <v>0.47466324567030144</v>
      </c>
      <c r="N17" s="15">
        <f>IFERROR(N4/N2,"")</f>
        <v>0.9136645962732919</v>
      </c>
    </row>
    <row r="18">
      <c r="A18" s="14" t="inlineStr">
        <is>
          <t>Operating Margin</t>
        </is>
      </c>
      <c r="B18" s="15">
        <f>IFERROR(B8/B2,"")</f>
        <v>-0.07780170304394635</v>
      </c>
      <c r="C18" s="15">
        <f>IFERROR(C8/C2,"")</f>
        <v>-0.36411072593949173</v>
      </c>
      <c r="D18" s="15">
        <f>IFERROR(D8/D2,"")</f>
        <v>-0.42927533346605595</v>
      </c>
      <c r="E18" s="15">
        <f>IFERROR(E8/E2,"")</f>
        <v>-0.2731714240483872</v>
      </c>
      <c r="F18" s="15">
        <f>IFERROR(F8/F2,"")</f>
        <v>-0.8953021466304312</v>
      </c>
      <c r="G18" s="15">
        <f>IFERROR(G8/G2,"")</f>
        <v>-0.4070896608720969</v>
      </c>
      <c r="H18" s="15">
        <f>IFERROR(H8/H2,"")</f>
        <v>-0.3480982317199126</v>
      </c>
      <c r="I18" s="15">
        <f>IFERROR(I8/I2,"")</f>
        <v>-1.0882548108825485</v>
      </c>
      <c r="J18" s="15">
        <f>IFERROR(J8/J2,"")</f>
        <v>-1.2261749444347647</v>
      </c>
      <c r="K18" s="15">
        <f>IFERROR(K8/K2,"")</f>
        <v>-2.138964287236915</v>
      </c>
      <c r="L18" s="15">
        <f>IFERROR(L8/L2,"")</f>
        <v>-6.895305856462193</v>
      </c>
      <c r="M18" s="15">
        <f>IFERROR(M8/M2,"")</f>
        <v>-5.078018973025894</v>
      </c>
      <c r="N18" s="15">
        <f>IFERROR(N8/N2,"")</f>
        <v>-7.1265527950310545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2026-10-21T01:06:27Z</dcterms:modified>
  <cp:lastModifiedBy>Wang, Eric</cp:lastModifiedBy>
</cp:coreProperties>
</file>