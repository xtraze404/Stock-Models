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Kyntra Bio, Inc.</t>
        </is>
      </c>
      <c r="C2" s="10" t="n"/>
    </row>
    <row r="3">
      <c r="B3" t="inlineStr">
        <is>
          <t>Price</t>
        </is>
      </c>
      <c r="C3" s="11">
        <f>INDEX([1]Pharma!$F$1:$F$1000,MATCH("KYNB",[1]Pharma!$B$1:$B$1000,0))</f>
        <v>5.28</v>
      </c>
      <c r="F3" s="1" t="n"/>
    </row>
    <row r="4">
      <c r="B4" t="inlineStr">
        <is>
          <t>Shares</t>
        </is>
      </c>
      <c r="C4" s="21" t="n">
        <v>4.049124</v>
      </c>
      <c r="F4" s="1" t="n"/>
    </row>
    <row r="5">
      <c r="B5" t="inlineStr">
        <is>
          <t>Market Cap.</t>
        </is>
      </c>
      <c r="C5" s="13">
        <f>C3*C4</f>
        <v>21.37937472</v>
      </c>
      <c r="F5" s="1" t="n"/>
    </row>
    <row r="6"/>
    <row r="7">
      <c r="B7" t="inlineStr">
        <is>
          <t>Cash</t>
        </is>
      </c>
      <c r="C7" s="21">
        <f>50.644+40.674</f>
        <v>91.318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-69.93862528</v>
      </c>
    </row>
    <row r="10"/>
    <row r="11">
      <c r="B11" s="14" t="inlineStr">
        <is>
          <t>rNPV / Share</t>
        </is>
      </c>
      <c r="C11" s="11">
        <f>NPV!B27</f>
        <v>203.7025205213928</v>
      </c>
    </row>
    <row r="12">
      <c r="B12" s="14" t="inlineStr">
        <is>
          <t>Upside</t>
        </is>
      </c>
      <c r="C12" s="15">
        <f>IFERROR(C11/C3-1,"")</f>
        <v>37.58002282602136</v>
      </c>
    </row>
    <row r="13">
      <c r="B13" s="14" t="inlineStr">
        <is>
          <t>Cash / Share</t>
        </is>
      </c>
      <c r="C13" s="11">
        <f>IFERROR((C7-C8)/C4,"")</f>
        <v>22.552532350207105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-38.053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2.3997582319396633</v>
      </c>
    </row>
    <row r="19">
      <c r="B19" s="14" t="inlineStr">
        <is>
          <t>Implied Pipeline Value</t>
        </is>
      </c>
      <c r="C19" s="13">
        <f>C9</f>
        <v>-69.93862528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2013</v>
      </c>
      <c r="C1" s="17" t="n">
        <v>2014</v>
      </c>
      <c r="D1" s="17" t="n">
        <v>2015</v>
      </c>
      <c r="E1" s="17" t="n">
        <v>2016</v>
      </c>
      <c r="F1" s="17" t="n">
        <v>2017</v>
      </c>
      <c r="G1" s="17" t="n">
        <v>2018</v>
      </c>
      <c r="H1" s="17" t="n">
        <v>2019</v>
      </c>
      <c r="I1" s="17" t="n">
        <v>2020</v>
      </c>
      <c r="J1" s="17" t="n">
        <v>2021</v>
      </c>
      <c r="K1" s="17" t="n">
        <v>2022</v>
      </c>
      <c r="L1" s="17" t="n">
        <v>2023</v>
      </c>
      <c r="M1" s="17" t="n">
        <v>2024</v>
      </c>
      <c r="N1" s="17" t="n">
        <v>2025</v>
      </c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102.17</v>
      </c>
      <c r="C2" s="23" t="n">
        <v>137.601</v>
      </c>
      <c r="D2" s="23" t="n">
        <v>180.828</v>
      </c>
      <c r="E2" s="23" t="n">
        <v>183.189</v>
      </c>
      <c r="F2" s="23" t="n">
        <v>130.996</v>
      </c>
      <c r="G2" s="23" t="n">
        <v>212.958</v>
      </c>
      <c r="H2" s="23" t="n">
        <v>256.577</v>
      </c>
      <c r="I2" s="23" t="n">
        <v>176.319</v>
      </c>
      <c r="J2" s="23" t="n">
        <v>235.309</v>
      </c>
      <c r="K2" s="23" t="n">
        <v>140.734</v>
      </c>
      <c r="L2" s="23" t="n">
        <v>46.803</v>
      </c>
      <c r="M2" s="23" t="n">
        <v>29.621</v>
      </c>
      <c r="N2" s="23" t="n">
        <v>6.44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1.147</v>
      </c>
      <c r="I3" s="23" t="n">
        <v>8.869</v>
      </c>
      <c r="J3" s="23" t="n">
        <v>12.871</v>
      </c>
      <c r="K3" s="23" t="n">
        <v>20.28</v>
      </c>
      <c r="L3" s="23" t="n">
        <v>3.962</v>
      </c>
      <c r="M3" s="23" t="n">
        <v>15.561</v>
      </c>
      <c r="N3" s="23" t="n">
        <v>0.556</v>
      </c>
    </row>
    <row r="4" customFormat="1" s="1">
      <c r="A4" s="5" t="inlineStr">
        <is>
          <t>Gross Margin</t>
        </is>
      </c>
      <c r="B4" s="23">
        <f>B2-B3</f>
        <v>102.17</v>
      </c>
      <c r="C4" s="23">
        <f>C2-C3</f>
        <v>137.601</v>
      </c>
      <c r="D4" s="23">
        <f>D2-D3</f>
        <v>180.828</v>
      </c>
      <c r="E4" s="23">
        <f>E2-E3</f>
        <v>183.189</v>
      </c>
      <c r="F4" s="23">
        <f>F2-F3</f>
        <v>130.996</v>
      </c>
      <c r="G4" s="23">
        <f>G2-G3</f>
        <v>212.958</v>
      </c>
      <c r="H4" s="23">
        <f>H2-H3</f>
        <v>255.43</v>
      </c>
      <c r="I4" s="23">
        <f>I2-I3</f>
        <v>167.45</v>
      </c>
      <c r="J4" s="23">
        <f>J2-J3</f>
        <v>222.438</v>
      </c>
      <c r="K4" s="23">
        <f>K2-K3</f>
        <v>120.45400000000001</v>
      </c>
      <c r="L4" s="23">
        <f>L2-L3</f>
        <v>42.840999999999994</v>
      </c>
      <c r="M4" s="23">
        <f>M2-M3</f>
        <v>14.059999999999999</v>
      </c>
      <c r="N4" s="23">
        <f>N2-N3</f>
        <v>5.884</v>
      </c>
    </row>
    <row r="5">
      <c r="A5" s="2" t="inlineStr">
        <is>
          <t>Research &amp; Dev.</t>
        </is>
      </c>
      <c r="B5" s="23" t="n">
        <v>85.70999999999999</v>
      </c>
      <c r="C5" s="23" t="n">
        <v>150.794</v>
      </c>
      <c r="D5" s="23" t="n">
        <v>214.089</v>
      </c>
      <c r="E5" s="23" t="n">
        <v>187.206</v>
      </c>
      <c r="F5" s="23" t="n">
        <v>196.517</v>
      </c>
      <c r="G5" s="23" t="n">
        <v>235.839</v>
      </c>
      <c r="H5" s="23" t="n">
        <v>209.265</v>
      </c>
      <c r="I5" s="23" t="n">
        <v>252.924</v>
      </c>
      <c r="J5" s="23" t="n">
        <v>387.043</v>
      </c>
      <c r="K5" s="23" t="n">
        <v>296.791</v>
      </c>
      <c r="L5" s="23" t="n">
        <v>266.473</v>
      </c>
      <c r="M5" s="23" t="n">
        <v>95.69199999999999</v>
      </c>
      <c r="N5" s="23" t="n">
        <v>23.517</v>
      </c>
    </row>
    <row r="6">
      <c r="A6" s="19" t="inlineStr">
        <is>
          <t>SG&amp;A &amp; Other</t>
        </is>
      </c>
      <c r="B6" s="23" t="n">
        <v>24.409</v>
      </c>
      <c r="C6" s="23" t="n">
        <v>36.909</v>
      </c>
      <c r="D6" s="23" t="n">
        <v>44.364</v>
      </c>
      <c r="E6" s="23" t="n">
        <v>46.025</v>
      </c>
      <c r="F6" s="23" t="n">
        <v>51.76</v>
      </c>
      <c r="G6" s="23" t="n">
        <v>63.812</v>
      </c>
      <c r="H6" s="23" t="n">
        <v>135.479</v>
      </c>
      <c r="I6" s="23" t="n">
        <v>106.406</v>
      </c>
      <c r="J6" s="23" t="n">
        <v>123.925</v>
      </c>
      <c r="K6" s="23" t="n">
        <v>124.688</v>
      </c>
      <c r="L6" s="23" t="n">
        <v>99.089</v>
      </c>
      <c r="M6" s="23" t="n">
        <v>68.78400000000001</v>
      </c>
      <c r="N6" s="23" t="n">
        <v>28.262</v>
      </c>
    </row>
    <row r="7">
      <c r="A7" s="2" t="inlineStr">
        <is>
          <t>Operating Expense</t>
        </is>
      </c>
      <c r="B7" s="23">
        <f>SUM(B5:B6)</f>
        <v>110.119</v>
      </c>
      <c r="C7" s="23">
        <f>SUM(C5:C6)</f>
        <v>187.703</v>
      </c>
      <c r="D7" s="23">
        <f>SUM(D5:D6)</f>
        <v>258.453</v>
      </c>
      <c r="E7" s="23">
        <f>SUM(E5:E6)</f>
        <v>233.231</v>
      </c>
      <c r="F7" s="23">
        <f>SUM(F5:F6)</f>
        <v>248.277</v>
      </c>
      <c r="G7" s="23">
        <f>SUM(G5:G6)</f>
        <v>299.651</v>
      </c>
      <c r="H7" s="23">
        <f>SUM(H5:H6)</f>
        <v>344.744</v>
      </c>
      <c r="I7" s="23">
        <f>SUM(I5:I6)</f>
        <v>359.33000000000004</v>
      </c>
      <c r="J7" s="23">
        <f>SUM(J5:J6)</f>
        <v>510.968</v>
      </c>
      <c r="K7" s="23">
        <f>SUM(K5:K6)</f>
        <v>421.479</v>
      </c>
      <c r="L7" s="23">
        <f>SUM(L5:L6)</f>
        <v>365.562</v>
      </c>
      <c r="M7" s="23">
        <f>SUM(M5:M6)</f>
        <v>164.476</v>
      </c>
      <c r="N7" s="23">
        <f>SUM(N5:N6)</f>
        <v>51.778999999999996</v>
      </c>
    </row>
    <row r="8">
      <c r="A8" s="2" t="inlineStr">
        <is>
          <t>Operating Income</t>
        </is>
      </c>
      <c r="B8" s="23">
        <f>B4-B7</f>
        <v>-7.948999999999998</v>
      </c>
      <c r="C8" s="23">
        <f>C4-C7</f>
        <v>-50.102000000000004</v>
      </c>
      <c r="D8" s="23">
        <f>D4-D7</f>
        <v>-77.62499999999997</v>
      </c>
      <c r="E8" s="23">
        <f>E4-E7</f>
        <v>-50.042</v>
      </c>
      <c r="F8" s="23">
        <f>F4-F7</f>
        <v>-117.28099999999998</v>
      </c>
      <c r="G8" s="23">
        <f>G4-G7</f>
        <v>-86.69300000000001</v>
      </c>
      <c r="H8" s="23">
        <f>H4-H7</f>
        <v>-89.31400000000002</v>
      </c>
      <c r="I8" s="23">
        <f>I4-I7</f>
        <v>-191.88000000000005</v>
      </c>
      <c r="J8" s="23">
        <f>J4-J7</f>
        <v>-288.53000000000003</v>
      </c>
      <c r="K8" s="23">
        <f>K4-K7</f>
        <v>-301.025</v>
      </c>
      <c r="L8" s="23">
        <f>L4-L7</f>
        <v>-322.721</v>
      </c>
      <c r="M8" s="23">
        <f>M4-M7</f>
        <v>-150.416</v>
      </c>
      <c r="N8" s="23">
        <f>N4-N7</f>
        <v>-45.894999999999996</v>
      </c>
    </row>
    <row r="9">
      <c r="A9" s="19" t="inlineStr">
        <is>
          <t>Interest &amp; Other</t>
        </is>
      </c>
      <c r="B9" s="23" t="n">
        <v>-6.994</v>
      </c>
      <c r="C9" s="23" t="n">
        <v>-9.401999999999999</v>
      </c>
      <c r="D9" s="23" t="n">
        <v>-7.912</v>
      </c>
      <c r="E9" s="23" t="n">
        <v>-8.097</v>
      </c>
      <c r="F9" s="23" t="n">
        <v>-3.273</v>
      </c>
      <c r="G9" s="23" t="n">
        <v>0.577</v>
      </c>
      <c r="H9" s="23" t="n">
        <v>12.672</v>
      </c>
      <c r="I9" s="23" t="n">
        <v>2.949</v>
      </c>
      <c r="J9" s="23" t="n">
        <v>-1.146</v>
      </c>
      <c r="K9" s="23" t="n">
        <v>7.729</v>
      </c>
      <c r="L9" s="23" t="n">
        <v>38.237</v>
      </c>
      <c r="M9" s="23" t="n">
        <v>102.568</v>
      </c>
      <c r="N9" s="23" t="n">
        <v>229.257</v>
      </c>
    </row>
    <row r="10">
      <c r="A10" s="2" t="inlineStr">
        <is>
          <t>Pretax</t>
        </is>
      </c>
      <c r="B10" s="23">
        <f>B8+B9</f>
        <v>-14.942999999999998</v>
      </c>
      <c r="C10" s="23">
        <f>C8+C9</f>
        <v>-59.504000000000005</v>
      </c>
      <c r="D10" s="23">
        <f>D8+D9</f>
        <v>-85.53699999999998</v>
      </c>
      <c r="E10" s="23">
        <f>E8+E9</f>
        <v>-58.139</v>
      </c>
      <c r="F10" s="23">
        <f>F8+F9</f>
        <v>-120.55399999999997</v>
      </c>
      <c r="G10" s="23">
        <f>G8+G9</f>
        <v>-86.11600000000001</v>
      </c>
      <c r="H10" s="23">
        <f>H8+H9</f>
        <v>-76.64200000000002</v>
      </c>
      <c r="I10" s="23">
        <f>I8+I9</f>
        <v>-188.93100000000004</v>
      </c>
      <c r="J10" s="23">
        <f>J8+J9</f>
        <v>-289.67600000000004</v>
      </c>
      <c r="K10" s="23">
        <f>K8+K9</f>
        <v>-293.296</v>
      </c>
      <c r="L10" s="23">
        <f>L8+L9</f>
        <v>-284.484</v>
      </c>
      <c r="M10" s="23">
        <f>M8+M9</f>
        <v>-47.848</v>
      </c>
      <c r="N10" s="23">
        <f>N8+N9</f>
        <v>183.36200000000002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0.242</v>
      </c>
      <c r="E11" s="23" t="n">
        <v>-0.07099999999999999</v>
      </c>
      <c r="F11" s="23" t="n">
        <v>0.321</v>
      </c>
      <c r="G11" s="23" t="n">
        <v>0.304</v>
      </c>
      <c r="H11" s="23" t="n">
        <v>0.328</v>
      </c>
      <c r="I11" s="23" t="n">
        <v>0.36</v>
      </c>
      <c r="J11" s="23" t="n">
        <v>0.347</v>
      </c>
      <c r="K11" s="23" t="n">
        <v>0.358</v>
      </c>
      <c r="L11" s="23" t="n">
        <v>-0.252</v>
      </c>
      <c r="M11" s="23" t="n">
        <v>-0.269</v>
      </c>
      <c r="N11" s="23" t="n">
        <v>-0.09</v>
      </c>
    </row>
    <row r="12">
      <c r="A12" s="2" t="inlineStr">
        <is>
          <t>Net Income</t>
        </is>
      </c>
      <c r="B12" s="23" t="n">
        <v>-14.943</v>
      </c>
      <c r="C12" s="23" t="n">
        <v>-59.504</v>
      </c>
      <c r="D12" s="23" t="n">
        <v>-85.779</v>
      </c>
      <c r="E12" s="23" t="n">
        <v>-58.068</v>
      </c>
      <c r="F12" s="23" t="n">
        <v>-120.875</v>
      </c>
      <c r="G12" s="23" t="n">
        <v>-86.42</v>
      </c>
      <c r="H12" s="23" t="n">
        <v>-76.97</v>
      </c>
      <c r="I12" s="23" t="n">
        <v>-189.291</v>
      </c>
      <c r="J12" s="23" t="n">
        <v>-290.023</v>
      </c>
      <c r="K12" s="23" t="n">
        <v>-293.654</v>
      </c>
      <c r="L12" s="23" t="n">
        <v>-284.232</v>
      </c>
      <c r="M12" s="23" t="n">
        <v>-47.579</v>
      </c>
      <c r="N12" s="23" t="n">
        <v>183.452</v>
      </c>
    </row>
    <row r="13">
      <c r="A13" s="2" t="inlineStr">
        <is>
          <t>Earnings per Share</t>
        </is>
      </c>
      <c r="B13" s="11">
        <f>IFERROR(B12/B14,0)</f>
        <v>-27.218579234972676</v>
      </c>
      <c r="C13" s="11">
        <f>IFERROR(C12/C14,0)</f>
        <v>-76.09207161125319</v>
      </c>
      <c r="D13" s="11">
        <f>IFERROR(D12/D14,0)</f>
        <v>-34.12052505966587</v>
      </c>
      <c r="E13" s="11">
        <f>IFERROR(E12/E14,0)</f>
        <v>-22.214231063504208</v>
      </c>
      <c r="F13" s="11">
        <f>IFERROR(F12/F14,0)</f>
        <v>-39.748438013811246</v>
      </c>
      <c r="G13" s="11">
        <f>IFERROR(G12/G14,0)</f>
        <v>-24.670282614901513</v>
      </c>
      <c r="H13" s="11">
        <f>IFERROR(H12/H14,0)</f>
        <v>-21.321329639889196</v>
      </c>
      <c r="I13" s="11">
        <f>IFERROR(I12/I14,0)</f>
        <v>-50.558493589743584</v>
      </c>
      <c r="J13" s="11">
        <f>IFERROR(J12/J14,0)</f>
        <v>-75.3698024948025</v>
      </c>
      <c r="K13" s="11">
        <f>IFERROR(K12/K14,0)</f>
        <v>-75.31520902795589</v>
      </c>
      <c r="L13" s="11">
        <f>IFERROR(L12/L14,0)</f>
        <v>-70.11149481993094</v>
      </c>
      <c r="M13" s="11">
        <f>IFERROR(M12/M14,0)</f>
        <v>-11.8888055972014</v>
      </c>
      <c r="N13" s="11">
        <f>IFERROR(N12/N14,0)</f>
        <v>45.37521642344793</v>
      </c>
    </row>
    <row r="14">
      <c r="A14" s="2" t="inlineStr">
        <is>
          <t>Shares</t>
        </is>
      </c>
      <c r="B14" s="23" t="n">
        <v>0.549</v>
      </c>
      <c r="C14" s="23" t="n">
        <v>0.782</v>
      </c>
      <c r="D14" s="23" t="n">
        <v>2.514</v>
      </c>
      <c r="E14" s="23" t="n">
        <v>2.614</v>
      </c>
      <c r="F14" s="23" t="n">
        <v>3.041</v>
      </c>
      <c r="G14" s="23" t="n">
        <v>3.503</v>
      </c>
      <c r="H14" s="23" t="n">
        <v>3.61</v>
      </c>
      <c r="I14" s="23" t="n">
        <v>3.744</v>
      </c>
      <c r="J14" s="23" t="n">
        <v>3.848</v>
      </c>
      <c r="K14" s="23" t="n">
        <v>3.899</v>
      </c>
      <c r="L14" s="23" t="n">
        <v>4.054</v>
      </c>
      <c r="M14" s="23" t="n">
        <v>4.002</v>
      </c>
      <c r="N14" s="23" t="n">
        <v>4.043</v>
      </c>
    </row>
    <row r="15"/>
    <row r="16" customFormat="1" s="4">
      <c r="A16" s="3" t="inlineStr">
        <is>
          <t>Revenue Change</t>
        </is>
      </c>
      <c r="C16" s="15">
        <f>IFERROR(C2/B2-1,"")</f>
        <v>0.34678477048057155</v>
      </c>
      <c r="D16" s="15">
        <f>IFERROR(D2/C2-1,"")</f>
        <v>0.3141474262541697</v>
      </c>
      <c r="E16" s="15">
        <f>IFERROR(E2/D2-1,"")</f>
        <v>0.013056606277788818</v>
      </c>
      <c r="F16" s="15">
        <f>IFERROR(F2/E2-1,"")</f>
        <v>-0.2849133954549672</v>
      </c>
      <c r="G16" s="15">
        <f>IFERROR(G2/F2-1,"")</f>
        <v>0.6256832269687622</v>
      </c>
      <c r="H16" s="15">
        <f>IFERROR(H2/G2-1,"")</f>
        <v>0.2048244254735676</v>
      </c>
      <c r="I16" s="15">
        <f>IFERROR(I2/H2-1,"")</f>
        <v>-0.3128027843493376</v>
      </c>
      <c r="J16" s="15">
        <f>IFERROR(J2/I2-1,"")</f>
        <v>0.3345640571917945</v>
      </c>
      <c r="K16" s="15">
        <f>IFERROR(K2/J2-1,"")</f>
        <v>-0.40191832866571187</v>
      </c>
      <c r="L16" s="15">
        <f>IFERROR(L2/K2-1,"")</f>
        <v>-0.6674364403768813</v>
      </c>
      <c r="M16" s="15">
        <f>IFERROR(M2/L2-1,"")</f>
        <v>-0.36711321923808304</v>
      </c>
      <c r="N16" s="15">
        <f>IFERROR(N2/M2-1,"")</f>
        <v>-0.7825866783700752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0.9955296070965052</v>
      </c>
      <c r="I17" s="15">
        <f>IFERROR(I4/I2,"")</f>
        <v>0.9496991248816067</v>
      </c>
      <c r="J17" s="15">
        <f>IFERROR(J4/J2,"")</f>
        <v>0.9453017096668636</v>
      </c>
      <c r="K17" s="15">
        <f>IFERROR(K4/K2,"")</f>
        <v>0.8558983614478378</v>
      </c>
      <c r="L17" s="15">
        <f>IFERROR(L4/L2,"")</f>
        <v>0.9153473067965728</v>
      </c>
      <c r="M17" s="15">
        <f>IFERROR(M4/M2,"")</f>
        <v>0.47466324567030144</v>
      </c>
      <c r="N17" s="15">
        <f>IFERROR(N4/N2,"")</f>
        <v>0.9136645962732919</v>
      </c>
    </row>
    <row r="18">
      <c r="A18" s="14" t="inlineStr">
        <is>
          <t>Operating Margin</t>
        </is>
      </c>
      <c r="B18" s="15">
        <f>IFERROR(B8/B2,"")</f>
        <v>-0.07780170304394635</v>
      </c>
      <c r="C18" s="15">
        <f>IFERROR(C8/C2,"")</f>
        <v>-0.36411072593949173</v>
      </c>
      <c r="D18" s="15">
        <f>IFERROR(D8/D2,"")</f>
        <v>-0.42927533346605595</v>
      </c>
      <c r="E18" s="15">
        <f>IFERROR(E8/E2,"")</f>
        <v>-0.2731714240483872</v>
      </c>
      <c r="F18" s="15">
        <f>IFERROR(F8/F2,"")</f>
        <v>-0.8953021466304312</v>
      </c>
      <c r="G18" s="15">
        <f>IFERROR(G8/G2,"")</f>
        <v>-0.4070896608720969</v>
      </c>
      <c r="H18" s="15">
        <f>IFERROR(H8/H2,"")</f>
        <v>-0.3480982317199126</v>
      </c>
      <c r="I18" s="15">
        <f>IFERROR(I8/I2,"")</f>
        <v>-1.0882548108825485</v>
      </c>
      <c r="J18" s="15">
        <f>IFERROR(J8/J2,"")</f>
        <v>-1.2261749444347647</v>
      </c>
      <c r="K18" s="15">
        <f>IFERROR(K8/K2,"")</f>
        <v>-2.138964287236915</v>
      </c>
      <c r="L18" s="15">
        <f>IFERROR(L8/L2,"")</f>
        <v>-6.895305856462193</v>
      </c>
      <c r="M18" s="15">
        <f>IFERROR(M8/M2,"")</f>
        <v>-5.078018973025894</v>
      </c>
      <c r="N18" s="15">
        <f>IFERROR(N8/N2,"")</f>
        <v>-7.1265527950310545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Kyntra Bio, Inc.: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1-PRODUCT(Pipeline!AG4:AG5)</f>
        <v>0.4994096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50.315</v>
      </c>
    </row>
    <row r="19">
      <c r="A19" s="14" t="inlineStr">
        <is>
          <t>Years of full burn (until the first launch, max 4)</t>
        </is>
      </c>
      <c r="B19" s="39">
        <f>MIN(4,MAX(1,MIN(Pipeline!I4:I5)-2026))</f>
        <v>3.0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1607.3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733.4987647036642</v>
      </c>
      <c r="C29" s="42">
        <f>NPV!B25</f>
        <v>824.8167647036641</v>
      </c>
      <c r="D29" s="43">
        <f>NPV!B27</f>
        <v>203.7025205213928</v>
      </c>
      <c r="E29" s="44">
        <f>NPV!B29</f>
        <v>37.58002282602136</v>
      </c>
    </row>
    <row r="30">
      <c r="A30" s="45" t="n">
        <v>1</v>
      </c>
      <c r="B30" s="46">
        <f t="dataTable" ref="B30:E32" r1="B4"/>
        <v>239.5724964601577</v>
      </c>
      <c r="C30" s="46">
        <v>330.8904964601577</v>
      </c>
      <c r="D30" s="47">
        <v>81.71903267476068</v>
      </c>
      <c r="E30" s="48">
        <v>14.477089521734976</v>
      </c>
    </row>
    <row r="31">
      <c r="A31" s="45" t="n">
        <v>2</v>
      </c>
      <c r="B31" s="46">
        <v>733.4987647036642</v>
      </c>
      <c r="C31" s="46">
        <v>824.8167647036641</v>
      </c>
      <c r="D31" s="47">
        <v>203.7025205213928</v>
      </c>
      <c r="E31" s="48">
        <v>37.58002282602136</v>
      </c>
    </row>
    <row r="32">
      <c r="A32" s="45" t="n">
        <v>3</v>
      </c>
      <c r="B32" s="46">
        <v>1453.4905927724267</v>
      </c>
      <c r="C32" s="46">
        <v>1544.8085927724267</v>
      </c>
      <c r="D32" s="47">
        <v>381.51674109571024</v>
      </c>
      <c r="E32" s="48">
        <v>71.25695854085421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203.7025205213928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58.25717205180697</v>
      </c>
      <c r="C37" s="47">
        <v>92.93761434840565</v>
      </c>
      <c r="D37" s="47">
        <v>127.2150203445503</v>
      </c>
      <c r="E37" s="47">
        <v>187.54702363707952</v>
      </c>
      <c r="F37" s="47">
        <v>245.78890845845538</v>
      </c>
    </row>
    <row r="38">
      <c r="A38" s="50" t="n">
        <v>0.8</v>
      </c>
      <c r="B38" s="47">
        <v>79.34530376068514</v>
      </c>
      <c r="C38" s="47">
        <v>125.35002867763454</v>
      </c>
      <c r="D38" s="47">
        <v>165.96976763189772</v>
      </c>
      <c r="E38" s="47">
        <v>244.05865790080867</v>
      </c>
      <c r="F38" s="47">
        <v>320.18043444056144</v>
      </c>
    </row>
    <row r="39">
      <c r="A39" s="50" t="n">
        <v>1</v>
      </c>
      <c r="B39" s="47">
        <v>100.51361391499633</v>
      </c>
      <c r="C39" s="47">
        <v>154.2458231388681</v>
      </c>
      <c r="D39" s="47">
        <v>203.7025205213928</v>
      </c>
      <c r="E39" s="47">
        <v>299.6257058462306</v>
      </c>
      <c r="F39" s="47">
        <v>393.7980061600476</v>
      </c>
    </row>
    <row r="40">
      <c r="A40" s="50" t="n">
        <v>1.2</v>
      </c>
      <c r="B40" s="47">
        <v>121.76210251474058</v>
      </c>
      <c r="C40" s="47">
        <v>182.44142345011034</v>
      </c>
      <c r="D40" s="47">
        <v>240.80295648313543</v>
      </c>
      <c r="E40" s="47">
        <v>354.7891308605534</v>
      </c>
      <c r="F40" s="47">
        <v>467.0891694131287</v>
      </c>
    </row>
    <row r="41">
      <c r="A41" s="50" t="n">
        <v>1.4</v>
      </c>
      <c r="B41" s="47">
        <v>140.87708361532466</v>
      </c>
      <c r="C41" s="47">
        <v>210.24251644514987</v>
      </c>
      <c r="D41" s="47">
        <v>277.56304287017787</v>
      </c>
      <c r="E41" s="47">
        <v>409.4646639921604</v>
      </c>
      <c r="F41" s="47">
        <v>539.9060856278655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7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Kyntra Bio, Inc.: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Myelofibrosis / MDS / MPN</t>
        </is>
      </c>
      <c r="C4" s="14" t="inlineStr">
        <is>
          <t>Roxadustat</t>
        </is>
      </c>
      <c r="D4" s="14" t="inlineStr">
        <is>
          <t>Phase 3</t>
        </is>
      </c>
      <c r="E4" s="14" t="inlineStr">
        <is>
          <t>Oncology / area</t>
        </is>
      </c>
      <c r="F4" s="14" t="inlineStr">
        <is>
          <t>Owned</t>
        </is>
      </c>
      <c r="G4" s="40" t="n">
        <v>1000</v>
      </c>
      <c r="H4" s="27" t="n">
        <v>0.4388</v>
      </c>
      <c r="I4" s="26" t="n">
        <v>2029</v>
      </c>
      <c r="J4" s="39">
        <f>I4+Assumptions!$B$25</f>
        <v>2041.0</v>
      </c>
      <c r="K4" s="53">
        <f>Assumptions!$E$13</f>
        <v>0.4</v>
      </c>
      <c r="L4" s="23">
        <f>K4*SUMPRODUCT(M4:AF4,NPV!$C$15:$V$15)</f>
        <v>629.4378018852624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43.88</v>
      </c>
      <c r="Q4" s="23">
        <f>IF(Q$3&lt;$I4,0,$G4*Assumptions!$E$11*INDEX(Assumptions!$B$24:$G$24,MIN(6,Q$3-$I4+1))*IF(Q$3&gt;$J4,(1-Assumptions!$B$26)^(Q$3-$J4),1)*IF($H4&gt;=1,1,MIN(0.97,$H4*Assumptions!$E$12)))</f>
        <v>109.7</v>
      </c>
      <c r="R4" s="23">
        <f>IF(R$3&lt;$I4,0,$G4*Assumptions!$E$11*INDEX(Assumptions!$B$24:$G$24,MIN(6,R$3-$I4+1))*IF(R$3&gt;$J4,(1-Assumptions!$B$26)^(R$3-$J4),1)*IF($H4&gt;=1,1,MIN(0.97,$H4*Assumptions!$E$12)))</f>
        <v>197.46</v>
      </c>
      <c r="S4" s="23">
        <f>IF(S$3&lt;$I4,0,$G4*Assumptions!$E$11*INDEX(Assumptions!$B$24:$G$24,MIN(6,S$3-$I4+1))*IF(S$3&gt;$J4,(1-Assumptions!$B$26)^(S$3-$J4),1)*IF($H4&gt;=1,1,MIN(0.97,$H4*Assumptions!$E$12)))</f>
        <v>285.22</v>
      </c>
      <c r="T4" s="23">
        <f>IF(T$3&lt;$I4,0,$G4*Assumptions!$E$11*INDEX(Assumptions!$B$24:$G$24,MIN(6,T$3-$I4+1))*IF(T$3&gt;$J4,(1-Assumptions!$B$26)^(T$3-$J4),1)*IF($H4&gt;=1,1,MIN(0.97,$H4*Assumptions!$E$12)))</f>
        <v>372.98</v>
      </c>
      <c r="U4" s="23">
        <f>IF(U$3&lt;$I4,0,$G4*Assumptions!$E$11*INDEX(Assumptions!$B$24:$G$24,MIN(6,U$3-$I4+1))*IF(U$3&gt;$J4,(1-Assumptions!$B$26)^(U$3-$J4),1)*IF($H4&gt;=1,1,MIN(0.97,$H4*Assumptions!$E$12)))</f>
        <v>438.8</v>
      </c>
      <c r="V4" s="23">
        <f>IF(V$3&lt;$I4,0,$G4*Assumptions!$E$11*INDEX(Assumptions!$B$24:$G$24,MIN(6,V$3-$I4+1))*IF(V$3&gt;$J4,(1-Assumptions!$B$26)^(V$3-$J4),1)*IF($H4&gt;=1,1,MIN(0.97,$H4*Assumptions!$E$12)))</f>
        <v>438.8</v>
      </c>
      <c r="W4" s="23">
        <f>IF(W$3&lt;$I4,0,$G4*Assumptions!$E$11*INDEX(Assumptions!$B$24:$G$24,MIN(6,W$3-$I4+1))*IF(W$3&gt;$J4,(1-Assumptions!$B$26)^(W$3-$J4),1)*IF($H4&gt;=1,1,MIN(0.97,$H4*Assumptions!$E$12)))</f>
        <v>438.8</v>
      </c>
      <c r="X4" s="23">
        <f>IF(X$3&lt;$I4,0,$G4*Assumptions!$E$11*INDEX(Assumptions!$B$24:$G$24,MIN(6,X$3-$I4+1))*IF(X$3&gt;$J4,(1-Assumptions!$B$26)^(X$3-$J4),1)*IF($H4&gt;=1,1,MIN(0.97,$H4*Assumptions!$E$12)))</f>
        <v>438.8</v>
      </c>
      <c r="Y4" s="23">
        <f>IF(Y$3&lt;$I4,0,$G4*Assumptions!$E$11*INDEX(Assumptions!$B$24:$G$24,MIN(6,Y$3-$I4+1))*IF(Y$3&gt;$J4,(1-Assumptions!$B$26)^(Y$3-$J4),1)*IF($H4&gt;=1,1,MIN(0.97,$H4*Assumptions!$E$12)))</f>
        <v>438.8</v>
      </c>
      <c r="Z4" s="23">
        <f>IF(Z$3&lt;$I4,0,$G4*Assumptions!$E$11*INDEX(Assumptions!$B$24:$G$24,MIN(6,Z$3-$I4+1))*IF(Z$3&gt;$J4,(1-Assumptions!$B$26)^(Z$3-$J4),1)*IF($H4&gt;=1,1,MIN(0.97,$H4*Assumptions!$E$12)))</f>
        <v>438.8</v>
      </c>
      <c r="AA4" s="23">
        <f>IF(AA$3&lt;$I4,0,$G4*Assumptions!$E$11*INDEX(Assumptions!$B$24:$G$24,MIN(6,AA$3-$I4+1))*IF(AA$3&gt;$J4,(1-Assumptions!$B$26)^(AA$3-$J4),1)*IF($H4&gt;=1,1,MIN(0.97,$H4*Assumptions!$E$12)))</f>
        <v>438.8</v>
      </c>
      <c r="AB4" s="23">
        <f>IF(AB$3&lt;$I4,0,$G4*Assumptions!$E$11*INDEX(Assumptions!$B$24:$G$24,MIN(6,AB$3-$I4+1))*IF(AB$3&gt;$J4,(1-Assumptions!$B$26)^(AB$3-$J4),1)*IF($H4&gt;=1,1,MIN(0.97,$H4*Assumptions!$E$12)))</f>
        <v>438.8</v>
      </c>
      <c r="AC4" s="23">
        <f>IF(AC$3&lt;$I4,0,$G4*Assumptions!$E$11*INDEX(Assumptions!$B$24:$G$24,MIN(6,AC$3-$I4+1))*IF(AC$3&gt;$J4,(1-Assumptions!$B$26)^(AC$3-$J4),1)*IF($H4&gt;=1,1,MIN(0.97,$H4*Assumptions!$E$12)))</f>
        <v>219.4</v>
      </c>
      <c r="AD4" s="23">
        <f>IF(AD$3&lt;$I4,0,$G4*Assumptions!$E$11*INDEX(Assumptions!$B$24:$G$24,MIN(6,AD$3-$I4+1))*IF(AD$3&gt;$J4,(1-Assumptions!$B$26)^(AD$3-$J4),1)*IF($H4&gt;=1,1,MIN(0.97,$H4*Assumptions!$E$12)))</f>
        <v>109.7</v>
      </c>
      <c r="AE4" s="23">
        <f>IF(AE$3&lt;$I4,0,$G4*Assumptions!$E$11*INDEX(Assumptions!$B$24:$G$24,MIN(6,AE$3-$I4+1))*IF(AE$3&gt;$J4,(1-Assumptions!$B$26)^(AE$3-$J4),1)*IF($H4&gt;=1,1,MIN(0.97,$H4*Assumptions!$E$12)))</f>
        <v>54.85</v>
      </c>
      <c r="AF4" s="23">
        <f>IF(AF$3&lt;$I4,0,$G4*Assumptions!$E$11*INDEX(Assumptions!$B$24:$G$24,MIN(6,AF$3-$I4+1))*IF(AF$3&gt;$J4,(1-Assumptions!$B$26)^(AF$3-$J4),1)*IF($H4&gt;=1,1,MIN(0.97,$H4*Assumptions!$E$12)))</f>
        <v>27.425</v>
      </c>
      <c r="AG4" s="35">
        <f>IF(F4="Owned",1-IF(H4&gt;=1,1,MIN(0.97,H4*Assumptions!$E$12)),1)</f>
        <v>0.5611999999999999</v>
      </c>
    </row>
    <row r="5">
      <c r="A5" s="39" t="n">
        <v>2</v>
      </c>
      <c r="B5" s="14" t="inlineStr">
        <is>
          <t>Prostate cancer</t>
        </is>
      </c>
      <c r="C5" s="14" t="inlineStr">
        <is>
          <t>FG-3246</t>
        </is>
      </c>
      <c r="D5" s="14" t="inlineStr">
        <is>
          <t>Phase 2</t>
        </is>
      </c>
      <c r="E5" s="14" t="inlineStr">
        <is>
          <t>Oncology / area</t>
        </is>
      </c>
      <c r="F5" s="14" t="inlineStr">
        <is>
          <t>Owned</t>
        </is>
      </c>
      <c r="G5" s="40" t="n">
        <v>2500</v>
      </c>
      <c r="H5" s="27" t="n">
        <v>0.108</v>
      </c>
      <c r="I5" s="26" t="n">
        <v>2031</v>
      </c>
      <c r="J5" s="39">
        <f>I5+Assumptions!$B$25</f>
        <v>2043.0</v>
      </c>
      <c r="K5" s="53">
        <f>Assumptions!$E$13</f>
        <v>0.4</v>
      </c>
      <c r="L5" s="23">
        <f>K5*SUMPRODUCT(M5:AF5,NPV!$C$15:$V$15)</f>
        <v>306.73160633988954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0</v>
      </c>
      <c r="Q5" s="23">
        <f>IF(Q$3&lt;$I5,0,$G5*Assumptions!$E$11*INDEX(Assumptions!$B$24:$G$24,MIN(6,Q$3-$I5+1))*IF(Q$3&gt;$J5,(1-Assumptions!$B$26)^(Q$3-$J5),1)*IF($H5&gt;=1,1,MIN(0.97,$H5*Assumptions!$E$12)))</f>
        <v>0</v>
      </c>
      <c r="R5" s="23">
        <f>IF(R$3&lt;$I5,0,$G5*Assumptions!$E$11*INDEX(Assumptions!$B$24:$G$24,MIN(6,R$3-$I5+1))*IF(R$3&gt;$J5,(1-Assumptions!$B$26)^(R$3-$J5),1)*IF($H5&gt;=1,1,MIN(0.97,$H5*Assumptions!$E$12)))</f>
        <v>27.0</v>
      </c>
      <c r="S5" s="23">
        <f>IF(S$3&lt;$I5,0,$G5*Assumptions!$E$11*INDEX(Assumptions!$B$24:$G$24,MIN(6,S$3-$I5+1))*IF(S$3&gt;$J5,(1-Assumptions!$B$26)^(S$3-$J5),1)*IF($H5&gt;=1,1,MIN(0.97,$H5*Assumptions!$E$12)))</f>
        <v>67.5</v>
      </c>
      <c r="T5" s="23">
        <f>IF(T$3&lt;$I5,0,$G5*Assumptions!$E$11*INDEX(Assumptions!$B$24:$G$24,MIN(6,T$3-$I5+1))*IF(T$3&gt;$J5,(1-Assumptions!$B$26)^(T$3-$J5),1)*IF($H5&gt;=1,1,MIN(0.97,$H5*Assumptions!$E$12)))</f>
        <v>121.5</v>
      </c>
      <c r="U5" s="23">
        <f>IF(U$3&lt;$I5,0,$G5*Assumptions!$E$11*INDEX(Assumptions!$B$24:$G$24,MIN(6,U$3-$I5+1))*IF(U$3&gt;$J5,(1-Assumptions!$B$26)^(U$3-$J5),1)*IF($H5&gt;=1,1,MIN(0.97,$H5*Assumptions!$E$12)))</f>
        <v>175.5</v>
      </c>
      <c r="V5" s="23">
        <f>IF(V$3&lt;$I5,0,$G5*Assumptions!$E$11*INDEX(Assumptions!$B$24:$G$24,MIN(6,V$3-$I5+1))*IF(V$3&gt;$J5,(1-Assumptions!$B$26)^(V$3-$J5),1)*IF($H5&gt;=1,1,MIN(0.97,$H5*Assumptions!$E$12)))</f>
        <v>229.5</v>
      </c>
      <c r="W5" s="23">
        <f>IF(W$3&lt;$I5,0,$G5*Assumptions!$E$11*INDEX(Assumptions!$B$24:$G$24,MIN(6,W$3-$I5+1))*IF(W$3&gt;$J5,(1-Assumptions!$B$26)^(W$3-$J5),1)*IF($H5&gt;=1,1,MIN(0.97,$H5*Assumptions!$E$12)))</f>
        <v>270.0</v>
      </c>
      <c r="X5" s="23">
        <f>IF(X$3&lt;$I5,0,$G5*Assumptions!$E$11*INDEX(Assumptions!$B$24:$G$24,MIN(6,X$3-$I5+1))*IF(X$3&gt;$J5,(1-Assumptions!$B$26)^(X$3-$J5),1)*IF($H5&gt;=1,1,MIN(0.97,$H5*Assumptions!$E$12)))</f>
        <v>270.0</v>
      </c>
      <c r="Y5" s="23">
        <f>IF(Y$3&lt;$I5,0,$G5*Assumptions!$E$11*INDEX(Assumptions!$B$24:$G$24,MIN(6,Y$3-$I5+1))*IF(Y$3&gt;$J5,(1-Assumptions!$B$26)^(Y$3-$J5),1)*IF($H5&gt;=1,1,MIN(0.97,$H5*Assumptions!$E$12)))</f>
        <v>270.0</v>
      </c>
      <c r="Z5" s="23">
        <f>IF(Z$3&lt;$I5,0,$G5*Assumptions!$E$11*INDEX(Assumptions!$B$24:$G$24,MIN(6,Z$3-$I5+1))*IF(Z$3&gt;$J5,(1-Assumptions!$B$26)^(Z$3-$J5),1)*IF($H5&gt;=1,1,MIN(0.97,$H5*Assumptions!$E$12)))</f>
        <v>270.0</v>
      </c>
      <c r="AA5" s="23">
        <f>IF(AA$3&lt;$I5,0,$G5*Assumptions!$E$11*INDEX(Assumptions!$B$24:$G$24,MIN(6,AA$3-$I5+1))*IF(AA$3&gt;$J5,(1-Assumptions!$B$26)^(AA$3-$J5),1)*IF($H5&gt;=1,1,MIN(0.97,$H5*Assumptions!$E$12)))</f>
        <v>270.0</v>
      </c>
      <c r="AB5" s="23">
        <f>IF(AB$3&lt;$I5,0,$G5*Assumptions!$E$11*INDEX(Assumptions!$B$24:$G$24,MIN(6,AB$3-$I5+1))*IF(AB$3&gt;$J5,(1-Assumptions!$B$26)^(AB$3-$J5),1)*IF($H5&gt;=1,1,MIN(0.97,$H5*Assumptions!$E$12)))</f>
        <v>270.0</v>
      </c>
      <c r="AC5" s="23">
        <f>IF(AC$3&lt;$I5,0,$G5*Assumptions!$E$11*INDEX(Assumptions!$B$24:$G$24,MIN(6,AC$3-$I5+1))*IF(AC$3&gt;$J5,(1-Assumptions!$B$26)^(AC$3-$J5),1)*IF($H5&gt;=1,1,MIN(0.97,$H5*Assumptions!$E$12)))</f>
        <v>270.0</v>
      </c>
      <c r="AD5" s="23">
        <f>IF(AD$3&lt;$I5,0,$G5*Assumptions!$E$11*INDEX(Assumptions!$B$24:$G$24,MIN(6,AD$3-$I5+1))*IF(AD$3&gt;$J5,(1-Assumptions!$B$26)^(AD$3-$J5),1)*IF($H5&gt;=1,1,MIN(0.97,$H5*Assumptions!$E$12)))</f>
        <v>270.0</v>
      </c>
      <c r="AE5" s="23">
        <f>IF(AE$3&lt;$I5,0,$G5*Assumptions!$E$11*INDEX(Assumptions!$B$24:$G$24,MIN(6,AE$3-$I5+1))*IF(AE$3&gt;$J5,(1-Assumptions!$B$26)^(AE$3-$J5),1)*IF($H5&gt;=1,1,MIN(0.97,$H5*Assumptions!$E$12)))</f>
        <v>135.0</v>
      </c>
      <c r="AF5" s="23">
        <f>IF(AF$3&lt;$I5,0,$G5*Assumptions!$E$11*INDEX(Assumptions!$B$24:$G$24,MIN(6,AF$3-$I5+1))*IF(AF$3&gt;$J5,(1-Assumptions!$B$26)^(AF$3-$J5),1)*IF($H5&gt;=1,1,MIN(0.97,$H5*Assumptions!$E$12)))</f>
        <v>67.5</v>
      </c>
      <c r="AG5" s="35">
        <f>IF(F5="Owned",1-IF(H5&gt;=1,1,MIN(0.97,H5*Assumptions!$E$12)),1)</f>
        <v>0.892</v>
      </c>
    </row>
    <row r="6">
      <c r="B6" s="24" t="inlineStr">
        <is>
          <t>Risked revenue</t>
        </is>
      </c>
      <c r="L6" s="54">
        <f>SUM(L4:L5)</f>
        <v>936.169408225152</v>
      </c>
      <c r="M6" s="54">
        <f>SUM(M4:M5)</f>
        <v>0.0</v>
      </c>
      <c r="N6" s="54">
        <f>SUM(N4:N5)</f>
        <v>0.0</v>
      </c>
      <c r="O6" s="54">
        <f>SUM(O4:O5)</f>
        <v>0.0</v>
      </c>
      <c r="P6" s="54">
        <f>SUM(P4:P5)</f>
        <v>43.88</v>
      </c>
      <c r="Q6" s="54">
        <f>SUM(Q4:Q5)</f>
        <v>109.7</v>
      </c>
      <c r="R6" s="54">
        <f>SUM(R4:R5)</f>
        <v>224.46</v>
      </c>
      <c r="S6" s="54">
        <f>SUM(S4:S5)</f>
        <v>352.72</v>
      </c>
      <c r="T6" s="54">
        <f>SUM(T4:T5)</f>
        <v>494.48</v>
      </c>
      <c r="U6" s="54">
        <f>SUM(U4:U5)</f>
        <v>614.3</v>
      </c>
      <c r="V6" s="54">
        <f>SUM(V4:V5)</f>
        <v>668.3</v>
      </c>
      <c r="W6" s="54">
        <f>SUM(W4:W5)</f>
        <v>708.8</v>
      </c>
      <c r="X6" s="54">
        <f>SUM(X4:X5)</f>
        <v>708.8</v>
      </c>
      <c r="Y6" s="54">
        <f>SUM(Y4:Y5)</f>
        <v>708.8</v>
      </c>
      <c r="Z6" s="54">
        <f>SUM(Z4:Z5)</f>
        <v>708.8</v>
      </c>
      <c r="AA6" s="54">
        <f>SUM(AA4:AA5)</f>
        <v>708.8</v>
      </c>
      <c r="AB6" s="54">
        <f>SUM(AB4:AB5)</f>
        <v>708.8</v>
      </c>
      <c r="AC6" s="54">
        <f>SUM(AC4:AC5)</f>
        <v>489.4</v>
      </c>
      <c r="AD6" s="54">
        <f>SUM(AD4:AD5)</f>
        <v>379.7</v>
      </c>
      <c r="AE6" s="54">
        <f>SUM(AE4:AE5)</f>
        <v>189.85</v>
      </c>
      <c r="AF6" s="54">
        <f>SUM(AF4:AF5)</f>
        <v>94.925</v>
      </c>
    </row>
    <row r="7">
      <c r="B7" s="24" t="inlineStr">
        <is>
          <t>Risked contribution (revenue x share)</t>
        </is>
      </c>
      <c r="M7" s="55">
        <f>SUMPRODUCT(M4:M5,$K$4:$K$5)</f>
        <v>0.0</v>
      </c>
      <c r="N7" s="55">
        <f>SUMPRODUCT(N4:N5,$K$4:$K$5)</f>
        <v>0.0</v>
      </c>
      <c r="O7" s="55">
        <f>SUMPRODUCT(O4:O5,$K$4:$K$5)</f>
        <v>0.0</v>
      </c>
      <c r="P7" s="55">
        <f>SUMPRODUCT(P4:P5,$K$4:$K$5)</f>
        <v>17.552000000000003</v>
      </c>
      <c r="Q7" s="55">
        <f>SUMPRODUCT(Q4:Q5,$K$4:$K$5)</f>
        <v>43.88</v>
      </c>
      <c r="R7" s="55">
        <f>SUMPRODUCT(R4:R5,$K$4:$K$5)</f>
        <v>89.784</v>
      </c>
      <c r="S7" s="55">
        <f>SUMPRODUCT(S4:S5,$K$4:$K$5)</f>
        <v>141.08800000000002</v>
      </c>
      <c r="T7" s="55">
        <f>SUMPRODUCT(T4:T5,$K$4:$K$5)</f>
        <v>197.792</v>
      </c>
      <c r="U7" s="55">
        <f>SUMPRODUCT(U4:U5,$K$4:$K$5)</f>
        <v>245.72000000000003</v>
      </c>
      <c r="V7" s="55">
        <f>SUMPRODUCT(V4:V5,$K$4:$K$5)</f>
        <v>267.32000000000005</v>
      </c>
      <c r="W7" s="55">
        <f>SUMPRODUCT(W4:W5,$K$4:$K$5)</f>
        <v>283.52</v>
      </c>
      <c r="X7" s="55">
        <f>SUMPRODUCT(X4:X5,$K$4:$K$5)</f>
        <v>283.52</v>
      </c>
      <c r="Y7" s="55">
        <f>SUMPRODUCT(Y4:Y5,$K$4:$K$5)</f>
        <v>283.52</v>
      </c>
      <c r="Z7" s="55">
        <f>SUMPRODUCT(Z4:Z5,$K$4:$K$5)</f>
        <v>283.52</v>
      </c>
      <c r="AA7" s="55">
        <f>SUMPRODUCT(AA4:AA5,$K$4:$K$5)</f>
        <v>283.52</v>
      </c>
      <c r="AB7" s="55">
        <f>SUMPRODUCT(AB4:AB5,$K$4:$K$5)</f>
        <v>283.52</v>
      </c>
      <c r="AC7" s="55">
        <f>SUMPRODUCT(AC4:AC5,$K$4:$K$5)</f>
        <v>195.76</v>
      </c>
      <c r="AD7" s="55">
        <f>SUMPRODUCT(AD4:AD5,$K$4:$K$5)</f>
        <v>151.88</v>
      </c>
      <c r="AE7" s="55">
        <f>SUMPRODUCT(AE4:AE5,$K$4:$K$5)</f>
        <v>75.94</v>
      </c>
      <c r="AF7" s="55">
        <f>SUMPRODUCT(AF4:AF5,$K$4:$K$5)</f>
        <v>37.97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Kyntra Bio, Inc.: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Pipeline!M6</f>
        <v>0.0</v>
      </c>
      <c r="D4" s="57">
        <f>Pipeline!N6</f>
        <v>0.0</v>
      </c>
      <c r="E4" s="57">
        <f>Pipeline!O6</f>
        <v>0.0</v>
      </c>
      <c r="F4" s="57">
        <f>Pipeline!P6</f>
        <v>43.88</v>
      </c>
      <c r="G4" s="57">
        <f>Pipeline!Q6</f>
        <v>109.7</v>
      </c>
      <c r="H4" s="57">
        <f>Pipeline!R6</f>
        <v>224.46</v>
      </c>
      <c r="I4" s="57">
        <f>Pipeline!S6</f>
        <v>352.72</v>
      </c>
      <c r="J4" s="57">
        <f>Pipeline!T6</f>
        <v>494.48</v>
      </c>
      <c r="K4" s="57">
        <f>Pipeline!U6</f>
        <v>614.3</v>
      </c>
      <c r="L4" s="57">
        <f>Pipeline!V6</f>
        <v>668.3</v>
      </c>
      <c r="M4" s="57">
        <f>Pipeline!W6</f>
        <v>708.8</v>
      </c>
      <c r="N4" s="57">
        <f>Pipeline!X6</f>
        <v>708.8</v>
      </c>
      <c r="O4" s="57">
        <f>Pipeline!Y6</f>
        <v>708.8</v>
      </c>
      <c r="P4" s="57">
        <f>Pipeline!Z6</f>
        <v>708.8</v>
      </c>
      <c r="Q4" s="57">
        <f>Pipeline!AA6</f>
        <v>708.8</v>
      </c>
      <c r="R4" s="57">
        <f>Pipeline!AB6</f>
        <v>708.8</v>
      </c>
      <c r="S4" s="57">
        <f>Pipeline!AC6</f>
        <v>489.4</v>
      </c>
      <c r="T4" s="57">
        <f>Pipeline!AD6</f>
        <v>379.7</v>
      </c>
      <c r="U4" s="57">
        <f>Pipeline!AE6</f>
        <v>189.85</v>
      </c>
      <c r="V4" s="57">
        <f>Pipeline!AF6</f>
        <v>94.925</v>
      </c>
    </row>
    <row r="5">
      <c r="A5" s="14" t="inlineStr">
        <is>
          <t>Risked contribution</t>
        </is>
      </c>
      <c r="C5" s="57">
        <f>Pipeline!M7</f>
        <v>0.0</v>
      </c>
      <c r="D5" s="57">
        <f>Pipeline!N7</f>
        <v>0.0</v>
      </c>
      <c r="E5" s="57">
        <f>Pipeline!O7</f>
        <v>0.0</v>
      </c>
      <c r="F5" s="57">
        <f>Pipeline!P7</f>
        <v>17.552000000000003</v>
      </c>
      <c r="G5" s="57">
        <f>Pipeline!Q7</f>
        <v>43.88</v>
      </c>
      <c r="H5" s="57">
        <f>Pipeline!R7</f>
        <v>89.784</v>
      </c>
      <c r="I5" s="57">
        <f>Pipeline!S7</f>
        <v>141.08800000000002</v>
      </c>
      <c r="J5" s="57">
        <f>Pipeline!T7</f>
        <v>197.792</v>
      </c>
      <c r="K5" s="57">
        <f>Pipeline!U7</f>
        <v>245.72000000000003</v>
      </c>
      <c r="L5" s="57">
        <f>Pipeline!V7</f>
        <v>267.32000000000005</v>
      </c>
      <c r="M5" s="57">
        <f>Pipeline!W7</f>
        <v>283.52</v>
      </c>
      <c r="N5" s="57">
        <f>Pipeline!X7</f>
        <v>283.52</v>
      </c>
      <c r="O5" s="57">
        <f>Pipeline!Y7</f>
        <v>283.52</v>
      </c>
      <c r="P5" s="57">
        <f>Pipeline!Z7</f>
        <v>283.52</v>
      </c>
      <c r="Q5" s="57">
        <f>Pipeline!AA7</f>
        <v>283.52</v>
      </c>
      <c r="R5" s="57">
        <f>Pipeline!AB7</f>
        <v>283.52</v>
      </c>
      <c r="S5" s="57">
        <f>Pipeline!AC7</f>
        <v>195.76</v>
      </c>
      <c r="T5" s="57">
        <f>Pipeline!AD7</f>
        <v>151.88</v>
      </c>
      <c r="U5" s="57">
        <f>Pipeline!AE7</f>
        <v>75.94</v>
      </c>
      <c r="V5" s="57">
        <f>Pipeline!AF7</f>
        <v>37.97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-50.315</v>
      </c>
      <c r="D6" s="23">
        <f>-IF(D3-2026&lt;Assumptions!$B$19,Assumptions!$B$18,Assumptions!$B$18*Assumptions!$B$20*Assumptions!$B$16)</f>
        <v>-50.315</v>
      </c>
      <c r="E6" s="23">
        <f>-IF(E3-2026&lt;Assumptions!$B$19,Assumptions!$B$18,Assumptions!$B$18*Assumptions!$B$20*Assumptions!$B$16)</f>
        <v>-50.315</v>
      </c>
      <c r="F6" s="23">
        <f>-IF(F3-2026&lt;Assumptions!$B$19,Assumptions!$B$18,Assumptions!$B$18*Assumptions!$B$20*Assumptions!$B$16)</f>
        <v>-7.538338207199999</v>
      </c>
      <c r="G6" s="23">
        <f>-IF(G3-2026&lt;Assumptions!$B$19,Assumptions!$B$18,Assumptions!$B$18*Assumptions!$B$20*Assumptions!$B$16)</f>
        <v>-7.538338207199999</v>
      </c>
      <c r="H6" s="23">
        <f>-IF(H3-2026&lt;Assumptions!$B$19,Assumptions!$B$18,Assumptions!$B$18*Assumptions!$B$20*Assumptions!$B$16)</f>
        <v>-7.538338207199999</v>
      </c>
      <c r="I6" s="23">
        <f>-IF(I3-2026&lt;Assumptions!$B$19,Assumptions!$B$18,Assumptions!$B$18*Assumptions!$B$20*Assumptions!$B$16)</f>
        <v>-7.538338207199999</v>
      </c>
      <c r="J6" s="23">
        <f>-IF(J3-2026&lt;Assumptions!$B$19,Assumptions!$B$18,Assumptions!$B$18*Assumptions!$B$20*Assumptions!$B$16)</f>
        <v>-7.538338207199999</v>
      </c>
      <c r="K6" s="23">
        <f>-IF(K3-2026&lt;Assumptions!$B$19,Assumptions!$B$18,Assumptions!$B$18*Assumptions!$B$20*Assumptions!$B$16)</f>
        <v>-7.538338207199999</v>
      </c>
      <c r="L6" s="23">
        <f>-IF(L3-2026&lt;Assumptions!$B$19,Assumptions!$B$18,Assumptions!$B$18*Assumptions!$B$20*Assumptions!$B$16)</f>
        <v>-7.538338207199999</v>
      </c>
      <c r="M6" s="23">
        <f>-IF(M3-2026&lt;Assumptions!$B$19,Assumptions!$B$18,Assumptions!$B$18*Assumptions!$B$20*Assumptions!$B$16)</f>
        <v>-7.538338207199999</v>
      </c>
      <c r="N6" s="23">
        <f>-IF(N3-2026&lt;Assumptions!$B$19,Assumptions!$B$18,Assumptions!$B$18*Assumptions!$B$20*Assumptions!$B$16)</f>
        <v>-7.538338207199999</v>
      </c>
      <c r="O6" s="23">
        <f>-IF(O3-2026&lt;Assumptions!$B$19,Assumptions!$B$18,Assumptions!$B$18*Assumptions!$B$20*Assumptions!$B$16)</f>
        <v>-7.538338207199999</v>
      </c>
      <c r="P6" s="23">
        <f>-IF(P3-2026&lt;Assumptions!$B$19,Assumptions!$B$18,Assumptions!$B$18*Assumptions!$B$20*Assumptions!$B$16)</f>
        <v>-7.538338207199999</v>
      </c>
      <c r="Q6" s="23">
        <f>-IF(Q3-2026&lt;Assumptions!$B$19,Assumptions!$B$18,Assumptions!$B$18*Assumptions!$B$20*Assumptions!$B$16)</f>
        <v>-7.538338207199999</v>
      </c>
      <c r="R6" s="23">
        <f>-IF(R3-2026&lt;Assumptions!$B$19,Assumptions!$B$18,Assumptions!$B$18*Assumptions!$B$20*Assumptions!$B$16)</f>
        <v>-7.538338207199999</v>
      </c>
      <c r="S6" s="23">
        <f>-IF(S3-2026&lt;Assumptions!$B$19,Assumptions!$B$18,Assumptions!$B$18*Assumptions!$B$20*Assumptions!$B$16)</f>
        <v>-7.538338207199999</v>
      </c>
      <c r="T6" s="23">
        <f>-IF(T3-2026&lt;Assumptions!$B$19,Assumptions!$B$18,Assumptions!$B$18*Assumptions!$B$20*Assumptions!$B$16)</f>
        <v>-7.538338207199999</v>
      </c>
      <c r="U6" s="23">
        <f>-IF(U3-2026&lt;Assumptions!$B$19,Assumptions!$B$18,Assumptions!$B$18*Assumptions!$B$20*Assumptions!$B$16)</f>
        <v>-7.538338207199999</v>
      </c>
      <c r="V6" s="23">
        <f>-IF(V3-2026&lt;Assumptions!$B$19,Assumptions!$B$18,Assumptions!$B$18*Assumptions!$B$20*Assumptions!$B$16)</f>
        <v>-7.538338207199999</v>
      </c>
    </row>
    <row r="7">
      <c r="A7" s="14" t="inlineStr">
        <is>
          <t>Pre-tax cash flow</t>
        </is>
      </c>
      <c r="C7" s="23">
        <f>C5+C6</f>
        <v>-50.315</v>
      </c>
      <c r="D7" s="23">
        <f>D5+D6</f>
        <v>-50.315</v>
      </c>
      <c r="E7" s="23">
        <f>E5+E6</f>
        <v>-50.315</v>
      </c>
      <c r="F7" s="23">
        <f>F5+F6</f>
        <v>10.013661792800004</v>
      </c>
      <c r="G7" s="23">
        <f>G5+G6</f>
        <v>36.341661792800004</v>
      </c>
      <c r="H7" s="23">
        <f>H5+H6</f>
        <v>82.24566179280001</v>
      </c>
      <c r="I7" s="23">
        <f>I5+I6</f>
        <v>133.5496617928</v>
      </c>
      <c r="J7" s="23">
        <f>J5+J6</f>
        <v>190.25366179280002</v>
      </c>
      <c r="K7" s="23">
        <f>K5+K6</f>
        <v>238.1816617928</v>
      </c>
      <c r="L7" s="23">
        <f>L5+L6</f>
        <v>259.78166179280004</v>
      </c>
      <c r="M7" s="23">
        <f>M5+M6</f>
        <v>275.98166179279997</v>
      </c>
      <c r="N7" s="23">
        <f>N5+N6</f>
        <v>275.98166179279997</v>
      </c>
      <c r="O7" s="23">
        <f>O5+O6</f>
        <v>275.98166179279997</v>
      </c>
      <c r="P7" s="23">
        <f>P5+P6</f>
        <v>275.98166179279997</v>
      </c>
      <c r="Q7" s="23">
        <f>Q5+Q6</f>
        <v>275.98166179279997</v>
      </c>
      <c r="R7" s="23">
        <f>R5+R6</f>
        <v>275.98166179279997</v>
      </c>
      <c r="S7" s="23">
        <f>S5+S6</f>
        <v>188.22166179279998</v>
      </c>
      <c r="T7" s="23">
        <f>T5+T6</f>
        <v>144.34166179279998</v>
      </c>
      <c r="U7" s="23">
        <f>U5+U6</f>
        <v>68.4016617928</v>
      </c>
      <c r="V7" s="23">
        <f>V5+V6</f>
        <v>30.4316617928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10.013661792800004</v>
      </c>
      <c r="G8" s="23">
        <f>MIN(F17,MAX(0,G7))</f>
        <v>36.341661792800004</v>
      </c>
      <c r="H8" s="23">
        <f>MIN(G17,MAX(0,H7))</f>
        <v>82.24566179280001</v>
      </c>
      <c r="I8" s="23">
        <f>MIN(H17,MAX(0,I7))</f>
        <v>133.5496617928</v>
      </c>
      <c r="J8" s="23">
        <f>MIN(I17,MAX(0,J7))</f>
        <v>190.25366179280002</v>
      </c>
      <c r="K8" s="23">
        <f>MIN(J17,MAX(0,K7))</f>
        <v>238.1816617928</v>
      </c>
      <c r="L8" s="23">
        <f>MIN(K17,MAX(0,L7))</f>
        <v>259.78166179280004</v>
      </c>
      <c r="M8" s="23">
        <f>MIN(L17,MAX(0,M7))</f>
        <v>275.98166179279997</v>
      </c>
      <c r="N8" s="23">
        <f>MIN(M17,MAX(0,N7))</f>
        <v>275.98166179279997</v>
      </c>
      <c r="O8" s="23">
        <f>MIN(N17,MAX(0,O7))</f>
        <v>255.91404386479996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20.067617928000004</v>
      </c>
      <c r="P9" s="23">
        <f>MAX(0,P7)-P8</f>
        <v>275.98166179279997</v>
      </c>
      <c r="Q9" s="23">
        <f>MAX(0,Q7)-Q8</f>
        <v>275.98166179279997</v>
      </c>
      <c r="R9" s="23">
        <f>MAX(0,R7)-R8</f>
        <v>275.98166179279997</v>
      </c>
      <c r="S9" s="23">
        <f>MAX(0,S7)-S8</f>
        <v>188.22166179279998</v>
      </c>
      <c r="T9" s="23">
        <f>MAX(0,T7)-T8</f>
        <v>144.34166179279998</v>
      </c>
      <c r="U9" s="23">
        <f>MAX(0,U7)-U8</f>
        <v>68.4016617928</v>
      </c>
      <c r="V9" s="23">
        <f>MAX(0,V7)-V8</f>
        <v>30.4316617928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4.214199764880001</v>
      </c>
      <c r="P10" s="23">
        <f>P9*Assumptions!$E$15</f>
        <v>57.95614897648799</v>
      </c>
      <c r="Q10" s="23">
        <f>Q9*Assumptions!$E$15</f>
        <v>57.95614897648799</v>
      </c>
      <c r="R10" s="23">
        <f>R9*Assumptions!$E$15</f>
        <v>57.95614897648799</v>
      </c>
      <c r="S10" s="23">
        <f>S9*Assumptions!$E$15</f>
        <v>39.526548976487994</v>
      </c>
      <c r="T10" s="23">
        <f>T9*Assumptions!$E$15</f>
        <v>30.311748976487994</v>
      </c>
      <c r="U10" s="23">
        <f>U9*Assumptions!$E$15</f>
        <v>14.364348976488</v>
      </c>
      <c r="V10" s="23">
        <f>V9*Assumptions!$E$15</f>
        <v>6.3906489764879995</v>
      </c>
    </row>
    <row r="11">
      <c r="A11" s="24" t="inlineStr">
        <is>
          <t>Free cash flow</t>
        </is>
      </c>
      <c r="C11" s="55">
        <f>C7-C10</f>
        <v>-50.315</v>
      </c>
      <c r="D11" s="55">
        <f>D7-D10</f>
        <v>-50.315</v>
      </c>
      <c r="E11" s="55">
        <f>E7-E10</f>
        <v>-50.315</v>
      </c>
      <c r="F11" s="55">
        <f>F7-F10</f>
        <v>10.013661792800004</v>
      </c>
      <c r="G11" s="55">
        <f>G7-G10</f>
        <v>36.341661792800004</v>
      </c>
      <c r="H11" s="55">
        <f>H7-H10</f>
        <v>82.24566179280001</v>
      </c>
      <c r="I11" s="55">
        <f>I7-I10</f>
        <v>133.5496617928</v>
      </c>
      <c r="J11" s="55">
        <f>J7-J10</f>
        <v>190.25366179280002</v>
      </c>
      <c r="K11" s="55">
        <f>K7-K10</f>
        <v>238.1816617928</v>
      </c>
      <c r="L11" s="55">
        <f>L7-L10</f>
        <v>259.78166179280004</v>
      </c>
      <c r="M11" s="55">
        <f>M7-M10</f>
        <v>275.98166179279997</v>
      </c>
      <c r="N11" s="55">
        <f>N7-N10</f>
        <v>275.98166179279997</v>
      </c>
      <c r="O11" s="55">
        <f>O7-O10</f>
        <v>271.76746202792</v>
      </c>
      <c r="P11" s="55">
        <f>P7-P10</f>
        <v>218.025512816312</v>
      </c>
      <c r="Q11" s="55">
        <f>Q7-Q10</f>
        <v>218.025512816312</v>
      </c>
      <c r="R11" s="55">
        <f>R7-R10</f>
        <v>218.025512816312</v>
      </c>
      <c r="S11" s="55">
        <f>S7-S10</f>
        <v>148.695112816312</v>
      </c>
      <c r="T11" s="55">
        <f>T7-T10</f>
        <v>114.02991281631199</v>
      </c>
      <c r="U11" s="55">
        <f>U7-U10</f>
        <v>54.037312816311996</v>
      </c>
      <c r="V11" s="55">
        <f>V7-V10</f>
        <v>24.041012816312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-24.649537320672678</v>
      </c>
      <c r="D16" s="55">
        <f>D11*D15</f>
        <v>-44.90323811260065</v>
      </c>
      <c r="E16" s="55">
        <f>E11*E15</f>
        <v>-40.09217688625056</v>
      </c>
      <c r="F16" s="55">
        <f>F11*F15</f>
        <v>7.124215653455138</v>
      </c>
      <c r="G16" s="55">
        <f>G11*G15</f>
        <v>23.085054160973865</v>
      </c>
      <c r="H16" s="55">
        <f>H11*H15</f>
        <v>46.646717945354844</v>
      </c>
      <c r="I16" s="55">
        <f>I11*I15</f>
        <v>67.6289839396085</v>
      </c>
      <c r="J16" s="55">
        <f>J11*J15</f>
        <v>86.02111583377678</v>
      </c>
      <c r="K16" s="55">
        <f>K11*K15</f>
        <v>96.15289081828887</v>
      </c>
      <c r="L16" s="55">
        <f>L11*L15</f>
        <v>93.63635353151447</v>
      </c>
      <c r="M16" s="55">
        <f>M11*M15</f>
        <v>88.81743049111263</v>
      </c>
      <c r="N16" s="55">
        <f>N11*N15</f>
        <v>79.3012772242077</v>
      </c>
      <c r="O16" s="55">
        <f>O11*O15</f>
        <v>69.72353417431998</v>
      </c>
      <c r="P16" s="55">
        <f>P11*P15</f>
        <v>49.94260922124049</v>
      </c>
      <c r="Q16" s="55">
        <f>Q11*Q15</f>
        <v>44.591615376107576</v>
      </c>
      <c r="R16" s="55">
        <f>R11*R15</f>
        <v>39.81394230009605</v>
      </c>
      <c r="S16" s="55">
        <f>S11*S15</f>
        <v>24.24412631766286</v>
      </c>
      <c r="T16" s="55">
        <f>T11*T15</f>
        <v>16.600096511181107</v>
      </c>
      <c r="U16" s="55">
        <f>U11*U15</f>
        <v>7.023725693994137</v>
      </c>
      <c r="V16" s="55">
        <f>V11*V15</f>
        <v>2.7900278302930452</v>
      </c>
    </row>
    <row r="17">
      <c r="A17" s="14" t="inlineStr">
        <is>
          <t>Tax-loss carryforward, end of year</t>
        </is>
      </c>
      <c r="C17" s="23">
        <f>Assumptions!$B$21-C8+MAX(0,-C7)</f>
        <v>1657.615</v>
      </c>
      <c r="D17" s="23">
        <f>C17-D8+MAX(0,-D7)</f>
        <v>1707.93</v>
      </c>
      <c r="E17" s="23">
        <f>D17-E8+MAX(0,-E7)</f>
        <v>1758.2450000000001</v>
      </c>
      <c r="F17" s="23">
        <f>E17-F8+MAX(0,-F7)</f>
        <v>1748.2313382072002</v>
      </c>
      <c r="G17" s="23">
        <f>F17-G8+MAX(0,-G7)</f>
        <v>1711.8896764144001</v>
      </c>
      <c r="H17" s="23">
        <f>G17-H8+MAX(0,-H7)</f>
        <v>1629.6440146216</v>
      </c>
      <c r="I17" s="23">
        <f>H17-I8+MAX(0,-I7)</f>
        <v>1496.0943528288</v>
      </c>
      <c r="J17" s="23">
        <f>I17-J8+MAX(0,-J7)</f>
        <v>1305.840691036</v>
      </c>
      <c r="K17" s="23">
        <f>J17-K8+MAX(0,-K7)</f>
        <v>1067.6590292432</v>
      </c>
      <c r="L17" s="23">
        <f>K17-L8+MAX(0,-L7)</f>
        <v>807.8773674503999</v>
      </c>
      <c r="M17" s="23">
        <f>L17-M8+MAX(0,-M7)</f>
        <v>531.8957056575999</v>
      </c>
      <c r="N17" s="23">
        <f>M17-N8+MAX(0,-N7)</f>
        <v>255.91404386479996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936.169408225152</v>
      </c>
    </row>
    <row r="20">
      <c r="A20" s="14" t="inlineStr">
        <is>
          <t>PV of corporate burn</t>
        </is>
      </c>
      <c r="B20" s="23">
        <f>SUMPRODUCT(C6:V6,C15:V15)</f>
        <v>-152.4106176826304</v>
      </c>
    </row>
    <row r="21">
      <c r="A21" s="14" t="inlineStr">
        <is>
          <t>PV of taxes</t>
        </is>
      </c>
      <c r="B21" s="23">
        <f>-SUMPRODUCT(C10:V10,C15:V15)</f>
        <v>-50.26002583885742</v>
      </c>
    </row>
    <row r="22">
      <c r="A22" s="24" t="inlineStr">
        <is>
          <t>Pipeline rNPV (operations)</t>
        </is>
      </c>
      <c r="B22" s="54">
        <f>SUM(C16:V16)</f>
        <v>733.4987647036642</v>
      </c>
    </row>
    <row r="23">
      <c r="A23" s="14" t="inlineStr">
        <is>
          <t>Cash &amp; investments</t>
        </is>
      </c>
      <c r="B23" s="57">
        <f>Main!C7</f>
        <v>91.318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824.8167647036641</v>
      </c>
    </row>
    <row r="26">
      <c r="A26" s="14" t="inlineStr">
        <is>
          <t>Shares (mm)</t>
        </is>
      </c>
      <c r="B26" s="57">
        <f>Main!C4</f>
        <v>4.049124</v>
      </c>
    </row>
    <row r="27">
      <c r="A27" s="24" t="inlineStr">
        <is>
          <t>rNPV / share</t>
        </is>
      </c>
      <c r="B27" s="60">
        <f>B25/B26</f>
        <v>203.7025205213928</v>
      </c>
    </row>
    <row r="28">
      <c r="A28" s="14" t="inlineStr">
        <is>
          <t>Price</t>
        </is>
      </c>
      <c r="B28" s="61">
        <f>Main!C3</f>
        <v>5.28</v>
      </c>
    </row>
    <row r="29">
      <c r="A29" s="14" t="inlineStr">
        <is>
          <t>Upside</t>
        </is>
      </c>
      <c r="B29" s="62">
        <f>B27/B28-1</f>
        <v>37.58002282602136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2026-10-21T06:30:05Z</dcterms:modified>
  <cp:lastModifiedBy>Wang, Eric</cp:lastModifiedBy>
</cp:coreProperties>
</file>