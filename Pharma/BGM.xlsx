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BGM Group Ltd</t>
        </is>
      </c>
      <c r="C2" s="10" t="n"/>
    </row>
    <row r="3">
      <c r="B3" t="inlineStr">
        <is>
          <t>Price</t>
        </is>
      </c>
      <c r="C3" s="11">
        <f>INDEX([1]Pharma!$F$1:$F$1000,MATCH("BGM",[1]Pharma!$B$1:$B$1000,0))</f>
        <v>8.97</v>
      </c>
      <c r="F3" s="1" t="n"/>
    </row>
    <row r="4">
      <c r="B4" t="inlineStr">
        <is>
          <t>Shares</t>
        </is>
      </c>
      <c r="C4" s="21" t="n">
        <v>200.623358</v>
      </c>
      <c r="F4" s="1" t="n"/>
    </row>
    <row r="5">
      <c r="B5" t="inlineStr">
        <is>
          <t>Market Cap.</t>
        </is>
      </c>
      <c r="C5" s="13">
        <f>C3*C4</f>
        <v>1799.59152126</v>
      </c>
      <c r="F5" s="1" t="n"/>
    </row>
    <row r="6"/>
    <row r="7">
      <c r="B7" t="inlineStr">
        <is>
          <t>Cash</t>
        </is>
      </c>
      <c r="C7" s="21" t="n">
        <v>9.819570000000001</v>
      </c>
    </row>
    <row r="8">
      <c r="B8" t="inlineStr">
        <is>
          <t>Debt</t>
        </is>
      </c>
      <c r="C8" s="21" t="n">
        <v>1.618465</v>
      </c>
    </row>
    <row r="9">
      <c r="B9" t="inlineStr">
        <is>
          <t>Enterprise V.</t>
        </is>
      </c>
      <c r="C9" s="13">
        <f>C5-C7+C8</f>
        <v>1791.39041626</v>
      </c>
    </row>
    <row r="10"/>
    <row r="11">
      <c r="B11" s="14" t="inlineStr">
        <is>
          <t>Net Cash / Share</t>
        </is>
      </c>
      <c r="C11" s="11">
        <f>(C7-C8)/C4</f>
        <v>0.04087811649528865</v>
      </c>
    </row>
    <row r="12">
      <c r="B12" s="14" t="inlineStr">
        <is>
          <t>Upside</t>
        </is>
      </c>
      <c r="C12" s="15">
        <f>IFERROR(C11/C3-1,"")</f>
        <v>-0.9954427963773368</v>
      </c>
    </row>
    <row r="13">
      <c r="B13" s="14" t="inlineStr">
        <is>
          <t>Cash / Share</t>
        </is>
      </c>
      <c r="C13" s="11">
        <f>IFERROR((C7-C8)/C4,"")</f>
        <v>0.04087811649528865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-2.372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3.457464165261383</v>
      </c>
    </row>
    <row r="19">
      <c r="B19" s="14" t="inlineStr">
        <is>
          <t>Implied Pipeline Value</t>
        </is>
      </c>
      <c r="C19" s="13">
        <f>C9</f>
        <v>1791.39041626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50.369</v>
      </c>
      <c r="C2" s="23" t="n">
        <v>46.097</v>
      </c>
      <c r="D2" s="23" t="n">
        <v>50.033</v>
      </c>
      <c r="E2" s="23" t="n">
        <v>57.1</v>
      </c>
      <c r="F2" s="23" t="n">
        <v>64.855</v>
      </c>
      <c r="G2" s="23" t="n">
        <v>46.471</v>
      </c>
      <c r="H2" s="23" t="n">
        <v>25.098</v>
      </c>
      <c r="I2" s="23" t="n">
        <v>37.919</v>
      </c>
      <c r="J2" s="1" t="n"/>
      <c r="K2" s="1" t="n"/>
    </row>
    <row r="3" customFormat="1" s="1">
      <c r="A3" s="5" t="inlineStr">
        <is>
          <t>Cost of Sales</t>
        </is>
      </c>
      <c r="B3" s="23" t="n">
        <v>42.237</v>
      </c>
      <c r="C3" s="23" t="n">
        <v>36.417</v>
      </c>
      <c r="D3" s="23" t="n">
        <v>42.494</v>
      </c>
      <c r="E3" s="23" t="n">
        <v>51.461</v>
      </c>
      <c r="F3" s="23" t="n">
        <v>58.628</v>
      </c>
      <c r="G3" s="23" t="n">
        <v>44.72</v>
      </c>
      <c r="H3" s="23" t="n">
        <v>20.983</v>
      </c>
      <c r="I3" s="23" t="n">
        <v>31.608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8.131999999999998</v>
      </c>
      <c r="C4" s="23">
        <f>C2-C3</f>
        <v>9.68</v>
      </c>
      <c r="D4" s="23">
        <f>D2-D3</f>
        <v>7.5390000000000015</v>
      </c>
      <c r="E4" s="23">
        <f>E2-E3</f>
        <v>5.639000000000003</v>
      </c>
      <c r="F4" s="23">
        <f>F2-F3</f>
        <v>6.227000000000004</v>
      </c>
      <c r="G4" s="23">
        <f>G2-G3</f>
        <v>1.7509999999999977</v>
      </c>
      <c r="H4" s="23">
        <f>H2-H3</f>
        <v>4.114999999999998</v>
      </c>
      <c r="I4" s="23">
        <f>I2-I3</f>
        <v>6.310999999999996</v>
      </c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0.044</v>
      </c>
      <c r="D5" s="23" t="n">
        <v>0.054</v>
      </c>
      <c r="E5" s="23" t="n">
        <v>0.008</v>
      </c>
      <c r="F5" s="23" t="n">
        <v>1.224</v>
      </c>
      <c r="G5" s="23" t="n">
        <v>0.5679999999999999</v>
      </c>
      <c r="H5" s="23" t="n">
        <v>1.361</v>
      </c>
      <c r="I5" s="23" t="n">
        <v>0.673</v>
      </c>
      <c r="J5" s="1" t="n"/>
      <c r="K5" s="1" t="n"/>
    </row>
    <row r="6">
      <c r="A6" s="19" t="inlineStr">
        <is>
          <t>SG&amp;A &amp; Other</t>
        </is>
      </c>
      <c r="B6" s="23" t="n">
        <v>2.161</v>
      </c>
      <c r="C6" s="23" t="n">
        <v>3.457</v>
      </c>
      <c r="D6" s="23" t="n">
        <v>2.674</v>
      </c>
      <c r="E6" s="23" t="n">
        <v>3.242</v>
      </c>
      <c r="F6" s="23" t="n">
        <v>2.901</v>
      </c>
      <c r="G6" s="23" t="n">
        <v>3.793</v>
      </c>
      <c r="H6" s="23" t="n">
        <v>3.317</v>
      </c>
      <c r="I6" s="23" t="n">
        <v>18.22</v>
      </c>
      <c r="J6" s="1" t="n"/>
      <c r="K6" s="1" t="n"/>
    </row>
    <row r="7">
      <c r="A7" s="2" t="inlineStr">
        <is>
          <t>Operating Expense</t>
        </is>
      </c>
      <c r="B7" s="23">
        <f>SUM(B5:B6)</f>
        <v>2.161</v>
      </c>
      <c r="C7" s="23">
        <f>SUM(C5:C6)</f>
        <v>3.501</v>
      </c>
      <c r="D7" s="23">
        <f>SUM(D5:D6)</f>
        <v>2.7279999999999998</v>
      </c>
      <c r="E7" s="23">
        <f>SUM(E5:E6)</f>
        <v>3.25</v>
      </c>
      <c r="F7" s="23">
        <f>SUM(F5:F6)</f>
        <v>4.125</v>
      </c>
      <c r="G7" s="23">
        <f>SUM(G5:G6)</f>
        <v>4.361</v>
      </c>
      <c r="H7" s="23">
        <f>SUM(H5:H6)</f>
        <v>4.678</v>
      </c>
      <c r="I7" s="23">
        <f>SUM(I5:I6)</f>
        <v>18.893</v>
      </c>
      <c r="J7" s="1" t="n"/>
      <c r="K7" s="1" t="n"/>
    </row>
    <row r="8">
      <c r="A8" s="2" t="inlineStr">
        <is>
          <t>Operating Income</t>
        </is>
      </c>
      <c r="B8" s="23">
        <f>B4-B7</f>
        <v>5.970999999999998</v>
      </c>
      <c r="C8" s="23">
        <f>C4-C7</f>
        <v>6.179</v>
      </c>
      <c r="D8" s="23">
        <f>D4-D7</f>
        <v>4.811000000000002</v>
      </c>
      <c r="E8" s="23">
        <f>E4-E7</f>
        <v>2.389000000000003</v>
      </c>
      <c r="F8" s="23">
        <f>F4-F7</f>
        <v>2.102000000000004</v>
      </c>
      <c r="G8" s="23">
        <f>G4-G7</f>
        <v>-2.610000000000002</v>
      </c>
      <c r="H8" s="23">
        <f>H4-H7</f>
        <v>-0.5630000000000015</v>
      </c>
      <c r="I8" s="23">
        <f>I4-I7</f>
        <v>-12.582000000000004</v>
      </c>
      <c r="J8" s="1" t="n"/>
      <c r="K8" s="1" t="n"/>
    </row>
    <row r="9">
      <c r="A9" s="19" t="inlineStr">
        <is>
          <t>Interest &amp; Other</t>
        </is>
      </c>
      <c r="B9" s="23" t="n">
        <v>0.175</v>
      </c>
      <c r="C9" s="23" t="n">
        <v>0.763</v>
      </c>
      <c r="D9" s="23" t="n">
        <v>1.117</v>
      </c>
      <c r="E9" s="23" t="n">
        <v>1.02</v>
      </c>
      <c r="F9" s="23" t="n">
        <v>-0.831</v>
      </c>
      <c r="G9" s="23" t="n">
        <v>-4.951</v>
      </c>
      <c r="H9" s="23" t="n">
        <v>-1.499</v>
      </c>
      <c r="I9" s="23" t="n">
        <v>-7.082</v>
      </c>
    </row>
    <row r="10">
      <c r="A10" s="2" t="inlineStr">
        <is>
          <t>Pretax</t>
        </is>
      </c>
      <c r="B10" s="23">
        <f>B8+B9</f>
        <v>6.145999999999998</v>
      </c>
      <c r="C10" s="23">
        <f>C8+C9</f>
        <v>6.942</v>
      </c>
      <c r="D10" s="23">
        <f>D8+D9</f>
        <v>5.928000000000002</v>
      </c>
      <c r="E10" s="23">
        <f>E8+E9</f>
        <v>3.409000000000003</v>
      </c>
      <c r="F10" s="23">
        <f>F8+F9</f>
        <v>1.271000000000004</v>
      </c>
      <c r="G10" s="23">
        <f>G8+G9</f>
        <v>-7.561000000000002</v>
      </c>
      <c r="H10" s="23">
        <f>H8+H9</f>
        <v>-2.0620000000000016</v>
      </c>
      <c r="I10" s="23">
        <f>I8+I9</f>
        <v>-19.664000000000005</v>
      </c>
      <c r="J10" s="1" t="n"/>
      <c r="K10" s="1" t="n"/>
    </row>
    <row r="11">
      <c r="A11" s="2" t="inlineStr">
        <is>
          <t>Taxes</t>
        </is>
      </c>
      <c r="B11" s="23" t="n">
        <v>0.9429999999999999</v>
      </c>
      <c r="C11" s="23" t="n">
        <v>1.033</v>
      </c>
      <c r="D11" s="23" t="n">
        <v>0.865</v>
      </c>
      <c r="E11" s="23" t="n">
        <v>0.255</v>
      </c>
      <c r="F11" s="23" t="n">
        <v>0.194</v>
      </c>
      <c r="G11" s="23" t="n">
        <v>0.219</v>
      </c>
      <c r="H11" s="23" t="n">
        <v>-0.62</v>
      </c>
      <c r="I11" s="23" t="n">
        <v>0.278</v>
      </c>
    </row>
    <row r="12">
      <c r="A12" s="2" t="inlineStr">
        <is>
          <t>Net Income</t>
        </is>
      </c>
      <c r="B12" s="23" t="n">
        <v>5.203</v>
      </c>
      <c r="C12" s="23" t="n">
        <v>5.908</v>
      </c>
      <c r="D12" s="23" t="n">
        <v>5.064</v>
      </c>
      <c r="E12" s="23" t="n">
        <v>3.153</v>
      </c>
      <c r="F12" s="23" t="n">
        <v>1.077</v>
      </c>
      <c r="G12" s="23" t="n">
        <v>-7.781</v>
      </c>
      <c r="H12" s="23" t="n">
        <v>-1.443</v>
      </c>
      <c r="I12" s="23" t="n">
        <v>-19.941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0.17343333333333336</v>
      </c>
      <c r="C13" s="11">
        <f>IFERROR(C12/C14,0)</f>
        <v>0.19693333333333335</v>
      </c>
      <c r="D13" s="11">
        <f>IFERROR(D12/D14,0)</f>
        <v>0.1688</v>
      </c>
      <c r="E13" s="11">
        <f>IFERROR(E12/E14,0)</f>
        <v>0.09249317961805861</v>
      </c>
      <c r="F13" s="11">
        <f>IFERROR(F12/F14,0)</f>
        <v>0.14904511486299474</v>
      </c>
      <c r="G13" s="11">
        <f>IFERROR(G12/G14,0)</f>
        <v>-1.0768059784112924</v>
      </c>
      <c r="H13" s="11">
        <f>IFERROR(H12/H14,0)</f>
        <v>-0.19969554386936064</v>
      </c>
      <c r="I13" s="11">
        <f>IFERROR(I12/I14,0)</f>
        <v>-0.1760623692180009</v>
      </c>
    </row>
    <row r="14">
      <c r="A14" s="2" t="inlineStr">
        <is>
          <t>Shares</t>
        </is>
      </c>
      <c r="B14" s="23" t="n">
        <v>30</v>
      </c>
      <c r="C14" s="23" t="n">
        <v>30</v>
      </c>
      <c r="D14" s="23" t="n">
        <v>30</v>
      </c>
      <c r="E14" s="23" t="n">
        <v>34.089</v>
      </c>
      <c r="F14" s="23" t="n">
        <v>7.226</v>
      </c>
      <c r="G14" s="23" t="n">
        <v>7.226</v>
      </c>
      <c r="H14" s="23" t="n">
        <v>7.226</v>
      </c>
      <c r="I14" s="23" t="n">
        <v>113.261</v>
      </c>
    </row>
    <row r="15"/>
    <row r="16" customFormat="1" s="4">
      <c r="A16" s="3" t="inlineStr">
        <is>
          <t>Revenue Change</t>
        </is>
      </c>
      <c r="C16" s="15">
        <f>IFERROR(C2/B2-1,"")</f>
        <v>-0.08481407214755099</v>
      </c>
      <c r="D16" s="15">
        <f>IFERROR(D2/C2-1,"")</f>
        <v>0.0853851660628675</v>
      </c>
      <c r="E16" s="15">
        <f>IFERROR(E2/D2-1,"")</f>
        <v>0.1412467771270962</v>
      </c>
      <c r="F16" s="15">
        <f>IFERROR(F2/E2-1,"")</f>
        <v>0.13581436077057796</v>
      </c>
      <c r="G16" s="15">
        <f>IFERROR(G2/F2-1,"")</f>
        <v>-0.2834631100146482</v>
      </c>
      <c r="H16" s="15">
        <f>IFERROR(H2/G2-1,"")</f>
        <v>-0.45992124120419187</v>
      </c>
      <c r="I16" s="15">
        <f>IFERROR(I2/H2-1,"")</f>
        <v>0.5108375169336201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0.16144850999622778</v>
      </c>
      <c r="C17" s="15">
        <f>IFERROR(C4/C2,"")</f>
        <v>0.20999197344729592</v>
      </c>
      <c r="D17" s="15">
        <f>IFERROR(D4/D2,"")</f>
        <v>0.15068055083644796</v>
      </c>
      <c r="E17" s="15">
        <f>IFERROR(E4/E2,"")</f>
        <v>0.09875656742556922</v>
      </c>
      <c r="F17" s="15">
        <f>IFERROR(F4/F2,"")</f>
        <v>0.0960141854907101</v>
      </c>
      <c r="G17" s="15">
        <f>IFERROR(G4/G2,"")</f>
        <v>0.03767941296722682</v>
      </c>
      <c r="H17" s="15">
        <f>IFERROR(H4/H2,"")</f>
        <v>0.16395728743326157</v>
      </c>
      <c r="I17" s="15">
        <f>IFERROR(I4/I2,"")</f>
        <v>0.16643371396925016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0.11854513688975359</v>
      </c>
      <c r="C18" s="15">
        <f>IFERROR(C8/C2,"")</f>
        <v>0.1340434301581448</v>
      </c>
      <c r="D18" s="15">
        <f>IFERROR(D8/D2,"")</f>
        <v>0.09615653668578741</v>
      </c>
      <c r="E18" s="15">
        <f>IFERROR(E8/E2,"")</f>
        <v>0.041838879159369576</v>
      </c>
      <c r="F18" s="15">
        <f>IFERROR(F8/F2,"")</f>
        <v>0.032410762470125726</v>
      </c>
      <c r="G18" s="15">
        <f>IFERROR(G8/G2,"")</f>
        <v>-0.05616405930580367</v>
      </c>
      <c r="H18" s="15">
        <f>IFERROR(H8/H2,"")</f>
        <v>-0.022432066300103654</v>
      </c>
      <c r="I18" s="15">
        <f>IFERROR(I8/I2,"")</f>
        <v>-0.33181254779925645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2026-10-21T01:04:29Z</dcterms:modified>
  <cp:lastModifiedBy>Wang, Eric</cp:lastModifiedBy>
</cp:coreProperties>
</file>