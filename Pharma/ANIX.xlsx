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Anixa Biosciences Inc</t>
        </is>
      </c>
      <c r="C2" s="10" t="n"/>
    </row>
    <row r="3">
      <c r="B3" t="inlineStr">
        <is>
          <t>Price</t>
        </is>
      </c>
      <c r="C3" s="11">
        <f>INDEX([1]Pharma!$F$1:$F$1000,MATCH("ANIX",[1]Pharma!$B$1:$B$1000,0))</f>
        <v>2.68</v>
      </c>
      <c r="F3" s="1" t="n"/>
    </row>
    <row r="4">
      <c r="B4" t="inlineStr">
        <is>
          <t>Shares</t>
        </is>
      </c>
      <c r="C4" s="21" t="n">
        <v>34.763802</v>
      </c>
      <c r="F4" s="1" t="n"/>
    </row>
    <row r="5">
      <c r="B5" t="inlineStr">
        <is>
          <t>Market Cap.</t>
        </is>
      </c>
      <c r="C5" s="13">
        <f>C3*C4</f>
        <v>93.16698936</v>
      </c>
      <c r="F5" s="1" t="n"/>
    </row>
    <row r="6"/>
    <row r="7">
      <c r="B7" t="inlineStr">
        <is>
          <t>Cash</t>
        </is>
      </c>
      <c r="C7" s="21">
        <f>1.398+12.466</f>
        <v>13.863999999999999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79.30298936</v>
      </c>
    </row>
    <row r="10"/>
    <row r="11">
      <c r="B11" s="14" t="inlineStr">
        <is>
          <t>Net Cash / Share</t>
        </is>
      </c>
      <c r="C11" s="11">
        <f>(C7-C8)/C4</f>
        <v>0.398805631213755</v>
      </c>
    </row>
    <row r="12">
      <c r="B12" s="14" t="inlineStr">
        <is>
          <t>Upside</t>
        </is>
      </c>
      <c r="C12" s="15">
        <f>IFERROR(C11/C3-1,"")</f>
        <v>-0.851191928651584</v>
      </c>
    </row>
    <row r="13">
      <c r="B13" s="14" t="inlineStr">
        <is>
          <t>Cash / Share</t>
        </is>
      </c>
      <c r="C13" s="11">
        <f>IFERROR((C7-C8)/C4,"")</f>
        <v>0.398805631213755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-7.376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1.8796095444685463</v>
      </c>
    </row>
    <row r="19">
      <c r="B19" s="14" t="inlineStr">
        <is>
          <t>Implied Pipeline Value</t>
        </is>
      </c>
      <c r="C19" s="13">
        <f>C9</f>
        <v>79.30298936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0.731</v>
      </c>
      <c r="C2" s="23" t="n">
        <v>1.003</v>
      </c>
      <c r="D2" s="23" t="n">
        <v>0.9399999999999999</v>
      </c>
      <c r="E2" s="23" t="n">
        <v>0.389</v>
      </c>
      <c r="F2" s="23" t="n">
        <v>3.667</v>
      </c>
      <c r="G2" s="23" t="n">
        <v>9.255000000000001</v>
      </c>
      <c r="H2" s="23" t="n">
        <v>0.3</v>
      </c>
      <c r="I2" s="23" t="n">
        <v>0.362</v>
      </c>
      <c r="J2" s="23" t="n">
        <v>1.113</v>
      </c>
      <c r="K2" s="23" t="n">
        <v>0.25</v>
      </c>
      <c r="L2" s="23" t="n">
        <v>0</v>
      </c>
      <c r="M2" s="23" t="n">
        <v>0.512</v>
      </c>
      <c r="N2" s="23" t="n">
        <v>0</v>
      </c>
      <c r="O2" s="23" t="n">
        <v>0.21</v>
      </c>
      <c r="P2" s="23" t="n">
        <v>0.21</v>
      </c>
      <c r="Q2" s="23" t="n">
        <v>0</v>
      </c>
    </row>
    <row r="3" customFormat="1" s="1">
      <c r="A3" s="5" t="inlineStr">
        <is>
          <t>Cost of Sales</t>
        </is>
      </c>
      <c r="B3" s="23" t="n">
        <v>0.082</v>
      </c>
      <c r="C3" s="23" t="n">
        <v>0.034</v>
      </c>
      <c r="D3" s="23" t="n">
        <v>0.004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0.649</v>
      </c>
      <c r="C4" s="23">
        <f>C2-C3</f>
        <v>0.9689999999999999</v>
      </c>
      <c r="D4" s="23">
        <f>D2-D3</f>
        <v>0.9359999999999999</v>
      </c>
      <c r="E4" s="23">
        <f>E2-E3</f>
        <v>0.389</v>
      </c>
      <c r="F4" s="23">
        <f>F2-F3</f>
        <v>3.667</v>
      </c>
      <c r="G4" s="23">
        <f>G2-G3</f>
        <v>9.255</v>
      </c>
      <c r="H4" s="23">
        <f>H2-H3</f>
        <v>0.3</v>
      </c>
      <c r="I4" s="23">
        <f>I2-I3</f>
        <v>0.362</v>
      </c>
      <c r="J4" s="23">
        <f>J2-J3</f>
        <v>1.113</v>
      </c>
      <c r="K4" s="23">
        <f>K2-K3</f>
        <v>0.25</v>
      </c>
      <c r="L4" s="23">
        <f>L2-L3</f>
        <v>0.0</v>
      </c>
      <c r="M4" s="23">
        <f>M2-M3</f>
        <v>0.512</v>
      </c>
      <c r="N4" s="23">
        <f>N2-N3</f>
        <v>0.0</v>
      </c>
      <c r="O4" s="23">
        <f>O2-O3</f>
        <v>0.21</v>
      </c>
      <c r="P4" s="23">
        <f>P2-P3</f>
        <v>0.21</v>
      </c>
      <c r="Q4" s="23">
        <f>Q2-Q3</f>
        <v>0.0</v>
      </c>
    </row>
    <row r="5">
      <c r="A5" s="2" t="inlineStr">
        <is>
          <t>Research &amp; Dev.</t>
        </is>
      </c>
      <c r="B5" s="23" t="n">
        <v>3.007</v>
      </c>
      <c r="C5" s="23" t="n">
        <v>3.125</v>
      </c>
      <c r="D5" s="23" t="n">
        <v>2.212</v>
      </c>
      <c r="E5" s="23" t="n">
        <v>0</v>
      </c>
      <c r="F5" s="23" t="n">
        <v>0</v>
      </c>
      <c r="G5" s="23" t="n">
        <v>0.711</v>
      </c>
      <c r="H5" s="23" t="n">
        <v>1.556</v>
      </c>
      <c r="I5" s="23" t="n">
        <v>1.598</v>
      </c>
      <c r="J5" s="23" t="n">
        <v>6.813</v>
      </c>
      <c r="K5" s="23" t="n">
        <v>5.473</v>
      </c>
      <c r="L5" s="23" t="n">
        <v>4.381</v>
      </c>
      <c r="M5" s="23" t="n">
        <v>6.19</v>
      </c>
      <c r="N5" s="23" t="n">
        <v>6.703</v>
      </c>
      <c r="O5" s="23" t="n">
        <v>4.769</v>
      </c>
      <c r="P5" s="23" t="n">
        <v>6.396</v>
      </c>
      <c r="Q5" s="23" t="n">
        <v>5.071</v>
      </c>
    </row>
    <row r="6">
      <c r="A6" s="19" t="inlineStr">
        <is>
          <t>SG&amp;A &amp; Other</t>
        </is>
      </c>
      <c r="B6" s="23" t="n">
        <v>2.889</v>
      </c>
      <c r="C6" s="23" t="n">
        <v>2.873</v>
      </c>
      <c r="D6" s="23" t="n">
        <v>2.859</v>
      </c>
      <c r="E6" s="23" t="n">
        <v>8.307</v>
      </c>
      <c r="F6" s="23" t="n">
        <v>8.711</v>
      </c>
      <c r="G6" s="23" t="n">
        <v>9.488</v>
      </c>
      <c r="H6" s="23" t="n">
        <v>3.253</v>
      </c>
      <c r="I6" s="23" t="n">
        <v>4.841</v>
      </c>
      <c r="J6" s="23" t="n">
        <v>8.589</v>
      </c>
      <c r="K6" s="23" t="n">
        <v>6.667</v>
      </c>
      <c r="L6" s="23" t="n">
        <v>5.597</v>
      </c>
      <c r="M6" s="23" t="n">
        <v>7.458</v>
      </c>
      <c r="N6" s="23" t="n">
        <v>7.172</v>
      </c>
      <c r="O6" s="23" t="n">
        <v>6.452</v>
      </c>
      <c r="P6" s="23" t="n">
        <v>7.645</v>
      </c>
      <c r="Q6" s="23" t="n">
        <v>6.63</v>
      </c>
    </row>
    <row r="7">
      <c r="A7" s="2" t="inlineStr">
        <is>
          <t>Operating Expense</t>
        </is>
      </c>
      <c r="B7" s="23">
        <f>SUM(B5:B6)</f>
        <v>5.896</v>
      </c>
      <c r="C7" s="23">
        <f>SUM(C5:C6)</f>
        <v>5.998</v>
      </c>
      <c r="D7" s="23">
        <f>SUM(D5:D6)</f>
        <v>5.071</v>
      </c>
      <c r="E7" s="23">
        <f>SUM(E5:E6)</f>
        <v>8.307</v>
      </c>
      <c r="F7" s="23">
        <f>SUM(F5:F6)</f>
        <v>8.711</v>
      </c>
      <c r="G7" s="23">
        <f>SUM(G5:G6)</f>
        <v>10.199</v>
      </c>
      <c r="H7" s="23">
        <f>SUM(H5:H6)</f>
        <v>4.809</v>
      </c>
      <c r="I7" s="23">
        <f>SUM(I5:I6)</f>
        <v>6.439</v>
      </c>
      <c r="J7" s="23">
        <f>SUM(J5:J6)</f>
        <v>15.402000000000001</v>
      </c>
      <c r="K7" s="23">
        <f>SUM(K5:K6)</f>
        <v>12.14</v>
      </c>
      <c r="L7" s="23">
        <f>SUM(L5:L6)</f>
        <v>9.978000000000002</v>
      </c>
      <c r="M7" s="23">
        <f>SUM(M5:M6)</f>
        <v>13.648</v>
      </c>
      <c r="N7" s="23">
        <f>SUM(N5:N6)</f>
        <v>13.875</v>
      </c>
      <c r="O7" s="23">
        <f>SUM(O5:O6)</f>
        <v>11.221</v>
      </c>
      <c r="P7" s="23">
        <f>SUM(P5:P6)</f>
        <v>14.041</v>
      </c>
      <c r="Q7" s="23">
        <f>SUM(Q5:Q6)</f>
        <v>11.701</v>
      </c>
    </row>
    <row r="8">
      <c r="A8" s="2" t="inlineStr">
        <is>
          <t>Operating Income</t>
        </is>
      </c>
      <c r="B8" s="23">
        <f>B4-B7</f>
        <v>-5.247</v>
      </c>
      <c r="C8" s="23">
        <f>C4-C7</f>
        <v>-5.029</v>
      </c>
      <c r="D8" s="23">
        <f>D4-D7</f>
        <v>-4.135</v>
      </c>
      <c r="E8" s="23">
        <f>E4-E7</f>
        <v>-7.918</v>
      </c>
      <c r="F8" s="23">
        <f>F4-F7</f>
        <v>-5.0440000000000005</v>
      </c>
      <c r="G8" s="23">
        <f>G4-G7</f>
        <v>-0.9439999999999991</v>
      </c>
      <c r="H8" s="23">
        <f>H4-H7</f>
        <v>-4.509</v>
      </c>
      <c r="I8" s="23">
        <f>I4-I7</f>
        <v>-6.077</v>
      </c>
      <c r="J8" s="23">
        <f>J4-J7</f>
        <v>-14.289000000000001</v>
      </c>
      <c r="K8" s="23">
        <f>K4-K7</f>
        <v>-11.89</v>
      </c>
      <c r="L8" s="23">
        <f>L4-L7</f>
        <v>-9.978000000000002</v>
      </c>
      <c r="M8" s="23">
        <f>M4-M7</f>
        <v>-13.136</v>
      </c>
      <c r="N8" s="23">
        <f>N4-N7</f>
        <v>-13.875</v>
      </c>
      <c r="O8" s="23">
        <f>O4-O7</f>
        <v>-11.011</v>
      </c>
      <c r="P8" s="23">
        <f>P4-P7</f>
        <v>-13.831</v>
      </c>
      <c r="Q8" s="23">
        <f>Q4-Q7</f>
        <v>-11.701</v>
      </c>
    </row>
    <row r="9">
      <c r="A9" s="19" t="inlineStr">
        <is>
          <t>Interest &amp; Other</t>
        </is>
      </c>
      <c r="B9" s="23" t="n">
        <v>0.073</v>
      </c>
      <c r="C9" s="23" t="n">
        <v>-1.75</v>
      </c>
      <c r="D9" s="23" t="n">
        <v>-0.118</v>
      </c>
      <c r="E9" s="23" t="n">
        <v>-2.162</v>
      </c>
      <c r="F9" s="23" t="n">
        <v>-4.562</v>
      </c>
      <c r="G9" s="23" t="n">
        <v>-0.434</v>
      </c>
      <c r="H9" s="23" t="n">
        <v>-0.507</v>
      </c>
      <c r="I9" s="23" t="n">
        <v>1.067</v>
      </c>
      <c r="J9" s="23" t="n">
        <v>0.293</v>
      </c>
      <c r="K9" s="23" t="n">
        <v>0.243</v>
      </c>
      <c r="L9" s="23" t="n">
        <v>-0.04</v>
      </c>
      <c r="M9" s="23" t="n">
        <v>0.182</v>
      </c>
      <c r="N9" s="23" t="n">
        <v>0.28</v>
      </c>
      <c r="O9" s="23" t="n">
        <v>1.2</v>
      </c>
      <c r="P9" s="23" t="n">
        <v>1.277</v>
      </c>
      <c r="Q9" s="23" t="n">
        <v>0.774</v>
      </c>
    </row>
    <row r="10">
      <c r="A10" s="2" t="inlineStr">
        <is>
          <t>Pretax</t>
        </is>
      </c>
      <c r="B10" s="23">
        <f>B8+B9</f>
        <v>-5.1739999999999995</v>
      </c>
      <c r="C10" s="23">
        <f>C8+C9</f>
        <v>-6.779</v>
      </c>
      <c r="D10" s="23">
        <f>D8+D9</f>
        <v>-4.253</v>
      </c>
      <c r="E10" s="23">
        <f>E8+E9</f>
        <v>-10.08</v>
      </c>
      <c r="F10" s="23">
        <f>F8+F9</f>
        <v>-9.606000000000002</v>
      </c>
      <c r="G10" s="23">
        <f>G8+G9</f>
        <v>-1.377999999999999</v>
      </c>
      <c r="H10" s="23">
        <f>H8+H9</f>
        <v>-5.016</v>
      </c>
      <c r="I10" s="23">
        <f>I8+I9</f>
        <v>-5.01</v>
      </c>
      <c r="J10" s="23">
        <f>J8+J9</f>
        <v>-13.996000000000002</v>
      </c>
      <c r="K10" s="23">
        <f>K8+K9</f>
        <v>-11.647</v>
      </c>
      <c r="L10" s="23">
        <f>L8+L9</f>
        <v>-10.018</v>
      </c>
      <c r="M10" s="23">
        <f>M8+M9</f>
        <v>-12.953999999999999</v>
      </c>
      <c r="N10" s="23">
        <f>N8+N9</f>
        <v>-13.595</v>
      </c>
      <c r="O10" s="23">
        <f>O8+O9</f>
        <v>-9.811</v>
      </c>
      <c r="P10" s="23">
        <f>P8+P9</f>
        <v>-12.554</v>
      </c>
      <c r="Q10" s="23">
        <f>Q8+Q9</f>
        <v>-10.927</v>
      </c>
    </row>
    <row r="11">
      <c r="A11" s="2" t="inlineStr">
        <is>
          <t>Taxes</t>
        </is>
      </c>
      <c r="B11" s="23" t="n">
        <v>0</v>
      </c>
      <c r="C11" s="23" t="n">
        <v>0.6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-5.175</v>
      </c>
      <c r="C12" s="23" t="n">
        <v>-7.378</v>
      </c>
      <c r="D12" s="23" t="n">
        <v>-4.253</v>
      </c>
      <c r="E12" s="23" t="n">
        <v>-10.08</v>
      </c>
      <c r="F12" s="23" t="n">
        <v>-9.606</v>
      </c>
      <c r="G12" s="23" t="n">
        <v>-1.379</v>
      </c>
      <c r="H12" s="23" t="n">
        <v>-5.016</v>
      </c>
      <c r="I12" s="23" t="n">
        <v>-5.009</v>
      </c>
      <c r="J12" s="23" t="n">
        <v>-13.996</v>
      </c>
      <c r="K12" s="23" t="n">
        <v>-11.647</v>
      </c>
      <c r="L12" s="23" t="n">
        <v>-10.018</v>
      </c>
      <c r="M12" s="23" t="n">
        <v>-12.954</v>
      </c>
      <c r="N12" s="23" t="n">
        <v>-13.595</v>
      </c>
      <c r="O12" s="23" t="n">
        <v>-9.811</v>
      </c>
      <c r="P12" s="23" t="n">
        <v>-12.554</v>
      </c>
      <c r="Q12" s="23" t="n">
        <v>-10.927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-1.0169538249483114</v>
      </c>
      <c r="D13" s="11">
        <f>IFERROR(D12/D14,0)</f>
        <v>-0.5384225851373592</v>
      </c>
      <c r="E13" s="11">
        <f>IFERROR(E12/E14,0)</f>
        <v>-1.1789473684210525</v>
      </c>
      <c r="F13" s="11">
        <f>IFERROR(F12/F14,0)</f>
        <v>-1.1027436574446101</v>
      </c>
      <c r="G13" s="11">
        <f>IFERROR(G12/G14,0)</f>
        <v>-0.15742009132420093</v>
      </c>
      <c r="H13" s="11">
        <f>IFERROR(H12/H14,0)</f>
        <v>-0.5739787161002402</v>
      </c>
      <c r="I13" s="11">
        <f>IFERROR(I12/I14,0)</f>
        <v>-0.4106747560875626</v>
      </c>
      <c r="J13" s="11">
        <f>IFERROR(J12/J14,0)</f>
        <v>-0.7941443486155244</v>
      </c>
      <c r="K13" s="11">
        <f>IFERROR(K12/K14,0)</f>
        <v>-0.5885295603840324</v>
      </c>
      <c r="L13" s="11">
        <f>IFERROR(L12/L14,0)</f>
        <v>-0.45067254487381353</v>
      </c>
      <c r="M13" s="11">
        <f>IFERROR(M12/M14,0)</f>
        <v>-0.4532698834808776</v>
      </c>
      <c r="N13" s="11">
        <f>IFERROR(N12/N14,0)</f>
        <v>-0.4475867518272207</v>
      </c>
      <c r="O13" s="11">
        <f>IFERROR(O12/O14,0)</f>
        <v>-0.31668818592640413</v>
      </c>
      <c r="P13" s="11">
        <f>IFERROR(P12/P14,0)</f>
        <v>-0.393566994795912</v>
      </c>
      <c r="Q13" s="11">
        <f>IFERROR(Q12/Q14,0)</f>
        <v>-0.3366919331977568</v>
      </c>
    </row>
    <row r="14">
      <c r="A14" s="2" t="inlineStr">
        <is>
          <t>Shares</t>
        </is>
      </c>
      <c r="B14" s="23" t="n"/>
      <c r="C14" s="23" t="n">
        <v>7.255</v>
      </c>
      <c r="D14" s="23" t="n">
        <v>7.899</v>
      </c>
      <c r="E14" s="23" t="n">
        <v>8.550000000000001</v>
      </c>
      <c r="F14" s="23" t="n">
        <v>8.711</v>
      </c>
      <c r="G14" s="23" t="n">
        <v>8.76</v>
      </c>
      <c r="H14" s="23" t="n">
        <v>8.739000000000001</v>
      </c>
      <c r="I14" s="23" t="n">
        <v>12.197</v>
      </c>
      <c r="J14" s="23" t="n">
        <v>17.624</v>
      </c>
      <c r="K14" s="23" t="n">
        <v>19.79</v>
      </c>
      <c r="L14" s="23" t="n">
        <v>22.229</v>
      </c>
      <c r="M14" s="23" t="n">
        <v>28.579</v>
      </c>
      <c r="N14" s="23" t="n">
        <v>30.374</v>
      </c>
      <c r="O14" s="23" t="n">
        <v>30.98</v>
      </c>
      <c r="P14" s="23" t="n">
        <v>31.898</v>
      </c>
      <c r="Q14" s="23" t="n">
        <v>32.454</v>
      </c>
    </row>
    <row r="15"/>
    <row r="16" customFormat="1" s="4">
      <c r="A16" s="3" t="inlineStr">
        <is>
          <t>Revenue Change</t>
        </is>
      </c>
      <c r="C16" s="15">
        <f>IFERROR(C2/B2-1,"")</f>
        <v>0.3720930232558137</v>
      </c>
      <c r="D16" s="15">
        <f>IFERROR(D2/C2-1,"")</f>
        <v>-0.06281156530408771</v>
      </c>
      <c r="E16" s="15">
        <f>IFERROR(E2/D2-1,"")</f>
        <v>-0.5861702127659574</v>
      </c>
      <c r="F16" s="15">
        <f>IFERROR(F2/E2-1,"")</f>
        <v>8.426735218508997</v>
      </c>
      <c r="G16" s="15">
        <f>IFERROR(G2/F2-1,"")</f>
        <v>1.5238614671393513</v>
      </c>
      <c r="H16" s="15">
        <f>IFERROR(H2/G2-1,"")</f>
        <v>-0.9675850891410048</v>
      </c>
      <c r="I16" s="15">
        <f>IFERROR(I2/H2-1,"")</f>
        <v>0.20666666666666678</v>
      </c>
      <c r="J16" s="15">
        <f>IFERROR(J2/I2-1,"")</f>
        <v>2.074585635359116</v>
      </c>
      <c r="K16" s="15">
        <f>IFERROR(K2/J2-1,"")</f>
        <v>-0.7753818508535489</v>
      </c>
      <c r="L16" s="15">
        <f>IFERROR(L2/K2-1,"")</f>
        <v>-1.0</v>
      </c>
      <c r="M16" s="15">
        <f>IFERROR(M2/L2-1,"")</f>
        <v/>
      </c>
      <c r="N16" s="15">
        <f>IFERROR(N2/M2-1,"")</f>
        <v>-1.0</v>
      </c>
      <c r="O16" s="15">
        <f>IFERROR(O2/N2-1,"")</f>
        <v/>
      </c>
      <c r="P16" s="15">
        <f>IFERROR(P2/O2-1,"")</f>
        <v>0.0</v>
      </c>
      <c r="Q16" s="15">
        <f>IFERROR(Q2/P2-1,"")</f>
        <v>-1.0</v>
      </c>
    </row>
    <row r="17" customFormat="1" s="4">
      <c r="A17" s="3" t="inlineStr">
        <is>
          <t>Gross Margin</t>
        </is>
      </c>
      <c r="B17" s="15">
        <f>IFERROR(B4/B2,"")</f>
        <v>0.8878248974008208</v>
      </c>
      <c r="C17" s="15">
        <f>IFERROR(C4/C2,"")</f>
        <v>0.9661016949152542</v>
      </c>
      <c r="D17" s="15">
        <f>IFERROR(D4/D2,"")</f>
        <v>0.9957446808510638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/>
      </c>
      <c r="M17" s="15">
        <f>IFERROR(M4/M2,"")</f>
        <v>1.0</v>
      </c>
      <c r="N17" s="15">
        <f>IFERROR(N4/N2,"")</f>
        <v/>
      </c>
      <c r="O17" s="15">
        <f>IFERROR(O4/O2,"")</f>
        <v>1.0</v>
      </c>
      <c r="P17" s="15">
        <f>IFERROR(P4/P2,"")</f>
        <v>1.0</v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>-7.177838577291381</v>
      </c>
      <c r="C18" s="15">
        <f>IFERROR(C8/C2,"")</f>
        <v>-5.013958125623131</v>
      </c>
      <c r="D18" s="15">
        <f>IFERROR(D8/D2,"")</f>
        <v>-4.398936170212766</v>
      </c>
      <c r="E18" s="15">
        <f>IFERROR(E8/E2,"")</f>
        <v>-20.354755784061698</v>
      </c>
      <c r="F18" s="15">
        <f>IFERROR(F8/F2,"")</f>
        <v>-1.3755113171529862</v>
      </c>
      <c r="G18" s="15">
        <f>IFERROR(G8/G2,"")</f>
        <v>-0.10199891950297126</v>
      </c>
      <c r="H18" s="15">
        <f>IFERROR(H8/H2,"")</f>
        <v>-15.030000000000001</v>
      </c>
      <c r="I18" s="15">
        <f>IFERROR(I8/I2,"")</f>
        <v>-16.787292817679557</v>
      </c>
      <c r="J18" s="15">
        <f>IFERROR(J8/J2,"")</f>
        <v>-12.838274932614556</v>
      </c>
      <c r="K18" s="15">
        <f>IFERROR(K8/K2,"")</f>
        <v>-47.56</v>
      </c>
      <c r="L18" s="15">
        <f>IFERROR(L8/L2,"")</f>
        <v/>
      </c>
      <c r="M18" s="15">
        <f>IFERROR(M8/M2,"")</f>
        <v>-25.656249999999996</v>
      </c>
      <c r="N18" s="15">
        <f>IFERROR(N8/N2,"")</f>
        <v/>
      </c>
      <c r="O18" s="15">
        <f>IFERROR(O8/O2,"")</f>
        <v>-52.43333333333333</v>
      </c>
      <c r="P18" s="15">
        <f>IFERROR(P8/P2,"")</f>
        <v>-65.86190476190477</v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2026-10-21T06:28:19Z</dcterms:modified>
  <cp:lastModifiedBy>Wang, Eric</cp:lastModifiedBy>
</cp:coreProperties>
</file>