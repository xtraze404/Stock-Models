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Immuron Ltd</t>
        </is>
      </c>
      <c r="C2" s="10" t="n"/>
    </row>
    <row r="3">
      <c r="B3" t="inlineStr">
        <is>
          <t>Price</t>
        </is>
      </c>
      <c r="C3" s="11">
        <f>INDEX([1]Pharma!$F$1:$F$1000,MATCH("IMRN",[1]Pharma!$B$1:$B$1000,0))</f>
        <v>0.9564</v>
      </c>
      <c r="F3" s="1" t="n"/>
    </row>
    <row r="4">
      <c r="B4" t="inlineStr">
        <is>
          <t>Shares</t>
        </is>
      </c>
      <c r="C4" s="21">
        <f>322.848081/40</f>
        <v>8.071202025</v>
      </c>
      <c r="F4" s="1" t="n"/>
    </row>
    <row r="5">
      <c r="B5" t="inlineStr">
        <is>
          <t>Market Cap.</t>
        </is>
      </c>
      <c r="C5" s="13">
        <f>C3*C4</f>
        <v>7.7192976167100005</v>
      </c>
      <c r="F5" s="1" t="n"/>
    </row>
    <row r="6"/>
    <row r="7">
      <c r="B7" t="inlineStr">
        <is>
          <t>Cash</t>
        </is>
      </c>
      <c r="C7" s="21">
        <f>(2.831+3.487)/1.437</f>
        <v>4.396659707724425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3.322637908985575</v>
      </c>
    </row>
    <row r="10"/>
    <row r="11">
      <c r="B11" s="14" t="inlineStr">
        <is>
          <t>Net Cash / Share</t>
        </is>
      </c>
      <c r="C11" s="11">
        <f>(C7-C8)/C4</f>
        <v>0.5447341912773427</v>
      </c>
    </row>
    <row r="12">
      <c r="B12" s="14" t="inlineStr">
        <is>
          <t>Upside</t>
        </is>
      </c>
      <c r="C12" s="15">
        <f>IFERROR(C11/C3-1,"")</f>
        <v>-0.43043267327755885</v>
      </c>
    </row>
    <row r="13">
      <c r="B13" s="14" t="inlineStr">
        <is>
          <t>Cash / Share</t>
        </is>
      </c>
      <c r="C13" s="11">
        <f>IFERROR((C7-C8)/C4,"")</f>
        <v>0.5447341912773427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-4.271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1.0294216126725417</v>
      </c>
    </row>
    <row r="19">
      <c r="B19" s="14" t="inlineStr">
        <is>
          <t>Implied Pipeline Value</t>
        </is>
      </c>
      <c r="C19" s="13">
        <f>C9</f>
        <v>3.322637908985575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0.697</v>
      </c>
      <c r="C2" s="23" t="n">
        <v>0.972</v>
      </c>
      <c r="D2" s="23" t="n">
        <v>1.282</v>
      </c>
      <c r="E2" s="23" t="n">
        <v>1.661</v>
      </c>
      <c r="F2" s="23" t="n">
        <v>1.753</v>
      </c>
      <c r="G2" s="23" t="n">
        <v>0.101</v>
      </c>
      <c r="H2" s="23" t="n">
        <v>0.532</v>
      </c>
      <c r="I2" s="23" t="n">
        <v>1.256</v>
      </c>
      <c r="J2" s="23" t="n">
        <v>3.412</v>
      </c>
      <c r="K2" s="23" t="n">
        <v>5.071</v>
      </c>
    </row>
    <row r="3" customFormat="1" s="1">
      <c r="A3" s="5" t="inlineStr">
        <is>
          <t>Cost of Sales</t>
        </is>
      </c>
      <c r="B3" s="23" t="n">
        <v>0.21</v>
      </c>
      <c r="C3" s="23" t="n">
        <v>0.235</v>
      </c>
      <c r="D3" s="23" t="n">
        <v>0.291</v>
      </c>
      <c r="E3" s="23" t="n">
        <v>0.464</v>
      </c>
      <c r="F3" s="23" t="n">
        <v>0.479</v>
      </c>
      <c r="G3" s="23" t="n">
        <v>0.036</v>
      </c>
      <c r="H3" s="23" t="n">
        <v>0.168</v>
      </c>
      <c r="I3" s="23" t="n">
        <v>0.345</v>
      </c>
      <c r="J3" s="23" t="n">
        <v>1.09</v>
      </c>
      <c r="K3" s="23" t="n">
        <v>1.755</v>
      </c>
    </row>
    <row r="4" customFormat="1" s="1">
      <c r="A4" s="5" t="inlineStr">
        <is>
          <t>Gross Margin</t>
        </is>
      </c>
      <c r="B4" s="23">
        <f>B2-B3</f>
        <v>0.487</v>
      </c>
      <c r="C4" s="23">
        <f>C2-C3</f>
        <v>0.737</v>
      </c>
      <c r="D4" s="23">
        <f>D2-D3</f>
        <v>0.9910000000000001</v>
      </c>
      <c r="E4" s="23">
        <f>E2-E3</f>
        <v>1.197</v>
      </c>
      <c r="F4" s="23">
        <f>F2-F3</f>
        <v>1.274</v>
      </c>
      <c r="G4" s="23">
        <f>G2-G3</f>
        <v>0.065</v>
      </c>
      <c r="H4" s="23">
        <f>H2-H3</f>
        <v>0.364</v>
      </c>
      <c r="I4" s="23">
        <f>I2-I3</f>
        <v>0.911</v>
      </c>
      <c r="J4" s="23">
        <f>J2-J3</f>
        <v>2.322</v>
      </c>
      <c r="K4" s="23">
        <f>K2-K3</f>
        <v>3.316</v>
      </c>
    </row>
    <row r="5">
      <c r="A5" s="2" t="inlineStr">
        <is>
          <t>Research &amp; Dev.</t>
        </is>
      </c>
      <c r="B5" s="23" t="n">
        <v>2.522</v>
      </c>
      <c r="C5" s="23" t="n">
        <v>3.222</v>
      </c>
      <c r="D5" s="23" t="n">
        <v>1.571</v>
      </c>
      <c r="E5" s="23" t="n">
        <v>0.727</v>
      </c>
      <c r="F5" s="23" t="n">
        <v>0.82</v>
      </c>
      <c r="G5" s="23" t="n">
        <v>0.951</v>
      </c>
      <c r="H5" s="23" t="n">
        <v>0.458</v>
      </c>
      <c r="I5" s="23" t="n">
        <v>1.804</v>
      </c>
      <c r="J5" s="23" t="n">
        <v>3.741</v>
      </c>
      <c r="K5" s="23" t="n">
        <v>2.503</v>
      </c>
    </row>
    <row r="6">
      <c r="A6" s="19" t="inlineStr">
        <is>
          <t>SG&amp;A &amp; Other</t>
        </is>
      </c>
      <c r="B6" s="23" t="n">
        <v>0.919</v>
      </c>
      <c r="C6" s="23" t="n">
        <v>2.193</v>
      </c>
      <c r="D6" s="23" t="n">
        <v>1.54</v>
      </c>
      <c r="E6" s="23" t="n">
        <v>3.71</v>
      </c>
      <c r="F6" s="23" t="n">
        <v>2.475</v>
      </c>
      <c r="G6" s="23" t="n">
        <v>4.946</v>
      </c>
      <c r="H6" s="23" t="n">
        <v>1.904</v>
      </c>
      <c r="I6" s="23" t="n">
        <v>1.591</v>
      </c>
      <c r="J6" s="23" t="n">
        <v>2.618</v>
      </c>
      <c r="K6" s="23" t="n">
        <v>4.532</v>
      </c>
    </row>
    <row r="7">
      <c r="A7" s="2" t="inlineStr">
        <is>
          <t>Operating Expense</t>
        </is>
      </c>
      <c r="B7" s="23">
        <f>SUM(B5:B6)</f>
        <v>3.441</v>
      </c>
      <c r="C7" s="23">
        <f>SUM(C5:C6)</f>
        <v>5.415</v>
      </c>
      <c r="D7" s="23">
        <f>SUM(D5:D6)</f>
        <v>3.1109999999999998</v>
      </c>
      <c r="E7" s="23">
        <f>SUM(E5:E6)</f>
        <v>4.437</v>
      </c>
      <c r="F7" s="23">
        <f>SUM(F5:F6)</f>
        <v>3.295</v>
      </c>
      <c r="G7" s="23">
        <f>SUM(G5:G6)</f>
        <v>5.896999999999999</v>
      </c>
      <c r="H7" s="23">
        <f>SUM(H5:H6)</f>
        <v>2.362</v>
      </c>
      <c r="I7" s="23">
        <f>SUM(I5:I6)</f>
        <v>3.395</v>
      </c>
      <c r="J7" s="23">
        <f>SUM(J5:J6)</f>
        <v>6.359</v>
      </c>
      <c r="K7" s="23">
        <f>SUM(K5:K6)</f>
        <v>7.035</v>
      </c>
    </row>
    <row r="8">
      <c r="A8" s="2" t="inlineStr">
        <is>
          <t>Operating Income</t>
        </is>
      </c>
      <c r="B8" s="23">
        <f>B4-B7</f>
        <v>-2.9539999999999997</v>
      </c>
      <c r="C8" s="23">
        <f>C4-C7</f>
        <v>-4.678</v>
      </c>
      <c r="D8" s="23">
        <f>D4-D7</f>
        <v>-2.1199999999999997</v>
      </c>
      <c r="E8" s="23">
        <f>E4-E7</f>
        <v>-3.24</v>
      </c>
      <c r="F8" s="23">
        <f>F4-F7</f>
        <v>-2.021</v>
      </c>
      <c r="G8" s="23">
        <f>G4-G7</f>
        <v>-5.831999999999999</v>
      </c>
      <c r="H8" s="23">
        <f>H4-H7</f>
        <v>-1.9980000000000002</v>
      </c>
      <c r="I8" s="23">
        <f>I4-I7</f>
        <v>-2.484</v>
      </c>
      <c r="J8" s="23">
        <f>J4-J7</f>
        <v>-4.037</v>
      </c>
      <c r="K8" s="23">
        <f>K4-K7</f>
        <v>-3.7190000000000003</v>
      </c>
    </row>
    <row r="9">
      <c r="A9" s="19" t="inlineStr">
        <is>
          <t>Interest &amp; Other</t>
        </is>
      </c>
      <c r="B9" s="23" t="n">
        <v>-1.965</v>
      </c>
      <c r="C9" s="23" t="n">
        <v>-0.057</v>
      </c>
      <c r="D9" s="23" t="n">
        <v>-0.016</v>
      </c>
      <c r="E9" s="23" t="n">
        <v>0</v>
      </c>
      <c r="F9" s="23" t="n">
        <v>-0.015</v>
      </c>
      <c r="G9" s="23" t="n">
        <v>-0.003</v>
      </c>
      <c r="H9" s="23" t="n">
        <v>0.011</v>
      </c>
      <c r="I9" s="23" t="n">
        <v>-0.151</v>
      </c>
      <c r="J9" s="23" t="n">
        <v>-0.79</v>
      </c>
      <c r="K9" s="23" t="n">
        <v>0.089</v>
      </c>
    </row>
    <row r="10">
      <c r="A10" s="2" t="inlineStr">
        <is>
          <t>Pretax</t>
        </is>
      </c>
      <c r="B10" s="23">
        <f>B8+B9</f>
        <v>-4.919</v>
      </c>
      <c r="C10" s="23">
        <f>C8+C9</f>
        <v>-4.735</v>
      </c>
      <c r="D10" s="23">
        <f>D8+D9</f>
        <v>-2.1359999999999997</v>
      </c>
      <c r="E10" s="23">
        <f>E8+E9</f>
        <v>-3.24</v>
      </c>
      <c r="F10" s="23">
        <f>F8+F9</f>
        <v>-2.036</v>
      </c>
      <c r="G10" s="23">
        <f>G8+G9</f>
        <v>-5.834999999999999</v>
      </c>
      <c r="H10" s="23">
        <f>H8+H9</f>
        <v>-1.9870000000000003</v>
      </c>
      <c r="I10" s="23">
        <f>I8+I9</f>
        <v>-2.635</v>
      </c>
      <c r="J10" s="23">
        <f>J8+J9</f>
        <v>-4.827</v>
      </c>
      <c r="K10" s="23">
        <f>K8+K9</f>
        <v>-3.6300000000000003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-4.919</v>
      </c>
      <c r="C12" s="23" t="n">
        <v>-4.735</v>
      </c>
      <c r="D12" s="23" t="n">
        <v>-2.135</v>
      </c>
      <c r="E12" s="23" t="n">
        <v>-3.24</v>
      </c>
      <c r="F12" s="23" t="n">
        <v>-2.037</v>
      </c>
      <c r="G12" s="23" t="n">
        <v>-5.835</v>
      </c>
      <c r="H12" s="23" t="n">
        <v>-1.986</v>
      </c>
      <c r="I12" s="23" t="n">
        <v>-2.635</v>
      </c>
      <c r="J12" s="23" t="n">
        <v>-4.827</v>
      </c>
      <c r="K12" s="23" t="n">
        <v>-3.63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-0.008726601634590034</v>
      </c>
      <c r="I13" s="11">
        <f>IFERROR(I12/I14,0)</f>
        <v>-0.011567265735432267</v>
      </c>
      <c r="J13" s="11">
        <f>IFERROR(J12/J14,0)</f>
        <v>-0.02118396741873335</v>
      </c>
      <c r="K13" s="11">
        <f>IFERROR(K12/K14,0)</f>
        <v>-0.015718572597721456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>
        <v>227.58</v>
      </c>
      <c r="I14" s="23" t="n">
        <v>227.798</v>
      </c>
      <c r="J14" s="23" t="n">
        <v>227.861</v>
      </c>
      <c r="K14" s="23" t="n">
        <v>230.937</v>
      </c>
    </row>
    <row r="15"/>
    <row r="16" customFormat="1" s="4">
      <c r="A16" s="3" t="inlineStr">
        <is>
          <t>Revenue Change</t>
        </is>
      </c>
      <c r="C16" s="15">
        <f>IFERROR(C2/B2-1,"")</f>
        <v>0.3945480631276901</v>
      </c>
      <c r="D16" s="15">
        <f>IFERROR(D2/C2-1,"")</f>
        <v>0.31893004115226353</v>
      </c>
      <c r="E16" s="15">
        <f>IFERROR(E2/D2-1,"")</f>
        <v>0.295631825273011</v>
      </c>
      <c r="F16" s="15">
        <f>IFERROR(F2/E2-1,"")</f>
        <v>0.05538832028898244</v>
      </c>
      <c r="G16" s="15">
        <f>IFERROR(G2/F2-1,"")</f>
        <v>-0.9423844837421563</v>
      </c>
      <c r="H16" s="15">
        <f>IFERROR(H2/G2-1,"")</f>
        <v>4.267326732673268</v>
      </c>
      <c r="I16" s="15">
        <f>IFERROR(I2/H2-1,"")</f>
        <v>1.3609022556390977</v>
      </c>
      <c r="J16" s="15">
        <f>IFERROR(J2/I2-1,"")</f>
        <v>1.71656050955414</v>
      </c>
      <c r="K16" s="15">
        <f>IFERROR(K2/J2-1,"")</f>
        <v>0.48622508792497054</v>
      </c>
    </row>
    <row r="17" customFormat="1" s="4">
      <c r="A17" s="3" t="inlineStr">
        <is>
          <t>Gross Margin</t>
        </is>
      </c>
      <c r="B17" s="15">
        <f>IFERROR(B4/B2,"")</f>
        <v>0.6987087517934003</v>
      </c>
      <c r="C17" s="15">
        <f>IFERROR(C4/C2,"")</f>
        <v>0.7582304526748971</v>
      </c>
      <c r="D17" s="15">
        <f>IFERROR(D4/D2,"")</f>
        <v>0.7730109204368175</v>
      </c>
      <c r="E17" s="15">
        <f>IFERROR(E4/E2,"")</f>
        <v>0.7206502107164359</v>
      </c>
      <c r="F17" s="15">
        <f>IFERROR(F4/F2,"")</f>
        <v>0.7267541357672562</v>
      </c>
      <c r="G17" s="15">
        <f>IFERROR(G4/G2,"")</f>
        <v>0.6435643564356436</v>
      </c>
      <c r="H17" s="15">
        <f>IFERROR(H4/H2,"")</f>
        <v>0.6842105263157894</v>
      </c>
      <c r="I17" s="15">
        <f>IFERROR(I4/I2,"")</f>
        <v>0.7253184713375797</v>
      </c>
      <c r="J17" s="15">
        <f>IFERROR(J4/J2,"")</f>
        <v>0.6805392731535757</v>
      </c>
      <c r="K17" s="15">
        <f>IFERROR(K4/K2,"")</f>
        <v>0.6539144153027017</v>
      </c>
    </row>
    <row r="18">
      <c r="A18" s="14" t="inlineStr">
        <is>
          <t>Operating Margin</t>
        </is>
      </c>
      <c r="B18" s="15">
        <f>IFERROR(B8/B2,"")</f>
        <v>-4.238163558106169</v>
      </c>
      <c r="C18" s="15">
        <f>IFERROR(C8/C2,"")</f>
        <v>-4.81275720164609</v>
      </c>
      <c r="D18" s="15">
        <f>IFERROR(D8/D2,"")</f>
        <v>-1.6536661466458655</v>
      </c>
      <c r="E18" s="15">
        <f>IFERROR(E8/E2,"")</f>
        <v>-1.9506321493076462</v>
      </c>
      <c r="F18" s="15">
        <f>IFERROR(F8/F2,"")</f>
        <v>-1.1528807758128923</v>
      </c>
      <c r="G18" s="15">
        <f>IFERROR(G8/G2,"")</f>
        <v>-57.74257425742573</v>
      </c>
      <c r="H18" s="15">
        <f>IFERROR(H8/H2,"")</f>
        <v>-3.755639097744361</v>
      </c>
      <c r="I18" s="15">
        <f>IFERROR(I8/I2,"")</f>
        <v>-1.9777070063694266</v>
      </c>
      <c r="J18" s="15">
        <f>IFERROR(J8/J2,"")</f>
        <v>-1.1831770222743259</v>
      </c>
      <c r="K18" s="15">
        <f>IFERROR(K8/K2,"")</f>
        <v>-0.7333859199368962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2026-10-21T06:31:07Z</dcterms:modified>
  <cp:lastModifiedBy>Wang, Eric</cp:lastModifiedBy>
</cp:coreProperties>
</file>