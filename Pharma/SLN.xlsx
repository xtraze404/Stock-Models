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Silence Therapeutics PLC</t>
        </is>
      </c>
      <c r="C2" s="10" t="n"/>
    </row>
    <row r="3">
      <c r="B3" t="inlineStr">
        <is>
          <t>Price</t>
        </is>
      </c>
      <c r="C3" s="11">
        <f>INDEX([1]Pharma!$F$1:$F$1000,MATCH("SLN",[1]Pharma!$B$1:$B$1000,0))</f>
        <v>19.61</v>
      </c>
      <c r="F3" s="1" t="n"/>
    </row>
    <row r="4">
      <c r="B4" t="inlineStr">
        <is>
          <t>Shares</t>
        </is>
      </c>
      <c r="C4" s="21">
        <f>141.740037/3</f>
        <v>47.246679</v>
      </c>
      <c r="F4" s="1" t="n"/>
    </row>
    <row r="5">
      <c r="B5" t="inlineStr">
        <is>
          <t>Market Cap.</t>
        </is>
      </c>
      <c r="C5" s="13">
        <f>C3*C4</f>
        <v>926.50737519</v>
      </c>
      <c r="F5" s="1" t="n"/>
    </row>
    <row r="6"/>
    <row r="7">
      <c r="B7" t="inlineStr">
        <is>
          <t>Cash</t>
        </is>
      </c>
      <c r="C7" s="21" t="n">
        <v>72.09999999999999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854.4073751899999</v>
      </c>
    </row>
    <row r="10"/>
    <row r="11">
      <c r="B11" s="14" t="inlineStr">
        <is>
          <t>Net Cash / Share</t>
        </is>
      </c>
      <c r="C11" s="11">
        <f>(C7-C8)/C4</f>
        <v>1.526033184258305</v>
      </c>
    </row>
    <row r="12">
      <c r="B12" s="14" t="inlineStr">
        <is>
          <t>Upside</t>
        </is>
      </c>
      <c r="C12" s="15">
        <f>IFERROR(C11/C3-1,"")</f>
        <v>-0.9221808677073786</v>
      </c>
    </row>
    <row r="13">
      <c r="B13" s="14" t="inlineStr">
        <is>
          <t>Cash / Share</t>
        </is>
      </c>
      <c r="C13" s="11">
        <f>IFERROR((C7-C8)/C4,"")</f>
        <v>1.526033184258305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-42.263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1.7059839575988454</v>
      </c>
    </row>
    <row r="19">
      <c r="B19" s="14" t="inlineStr">
        <is>
          <t>Implied Pipeline Value</t>
        </is>
      </c>
      <c r="C19" s="13">
        <f>C9</f>
        <v>854.4073751899999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0.325</v>
      </c>
      <c r="D2" s="23" t="n">
        <v>7.306</v>
      </c>
      <c r="E2" s="23" t="n">
        <v>16.556</v>
      </c>
      <c r="F2" s="23" t="n">
        <v>23.338</v>
      </c>
      <c r="G2" s="23" t="n">
        <v>33.838</v>
      </c>
      <c r="H2" s="23" t="n">
        <v>43.258</v>
      </c>
      <c r="I2" s="23" t="n">
        <v>0.5590000000000001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5.017</v>
      </c>
      <c r="E3" s="23" t="n">
        <v>9.943</v>
      </c>
      <c r="F3" s="23" t="n">
        <v>14.509</v>
      </c>
      <c r="G3" s="23" t="n">
        <v>13.759</v>
      </c>
      <c r="H3" s="23" t="n">
        <v>11.81</v>
      </c>
      <c r="I3" s="23" t="n">
        <v>0.215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0.325</v>
      </c>
      <c r="D4" s="23">
        <f>D2-D3</f>
        <v>2.2889999999999997</v>
      </c>
      <c r="E4" s="23">
        <f>E2-E3</f>
        <v>6.613000000000001</v>
      </c>
      <c r="F4" s="23">
        <f>F2-F3</f>
        <v>8.829</v>
      </c>
      <c r="G4" s="23">
        <f>G2-G3</f>
        <v>20.079</v>
      </c>
      <c r="H4" s="23">
        <f>H2-H3</f>
        <v>31.448</v>
      </c>
      <c r="I4" s="23">
        <f>I2-I3</f>
        <v>0.3440000000000001</v>
      </c>
      <c r="J4" s="1" t="n"/>
      <c r="K4" s="1" t="n"/>
    </row>
    <row r="5">
      <c r="A5" s="2" t="inlineStr">
        <is>
          <t>Research &amp; Dev.</t>
        </is>
      </c>
      <c r="B5" s="23" t="n">
        <v>12.993</v>
      </c>
      <c r="C5" s="23" t="n">
        <v>17.784</v>
      </c>
      <c r="D5" s="23" t="n">
        <v>26.949</v>
      </c>
      <c r="E5" s="23" t="n">
        <v>41.026</v>
      </c>
      <c r="F5" s="23" t="n">
        <v>47.48</v>
      </c>
      <c r="G5" s="23" t="n">
        <v>58.709</v>
      </c>
      <c r="H5" s="23" t="n">
        <v>67.883</v>
      </c>
      <c r="I5" s="23" t="n">
        <v>67.753</v>
      </c>
      <c r="J5" s="1" t="n"/>
      <c r="K5" s="1" t="n"/>
    </row>
    <row r="6">
      <c r="A6" s="19" t="inlineStr">
        <is>
          <t>SG&amp;A &amp; Other</t>
        </is>
      </c>
      <c r="B6" s="23" t="n">
        <v>14.431</v>
      </c>
      <c r="C6" s="23" t="n">
        <v>12.858</v>
      </c>
      <c r="D6" s="23" t="n">
        <v>23.143</v>
      </c>
      <c r="E6" s="23" t="n">
        <v>26.681</v>
      </c>
      <c r="F6" s="23" t="n">
        <v>22.389</v>
      </c>
      <c r="G6" s="23" t="n">
        <v>25.753</v>
      </c>
      <c r="H6" s="23" t="n">
        <v>26.884</v>
      </c>
      <c r="I6" s="23" t="n">
        <v>23.668</v>
      </c>
      <c r="J6" s="1" t="n"/>
      <c r="K6" s="1" t="n"/>
    </row>
    <row r="7">
      <c r="A7" s="2" t="inlineStr">
        <is>
          <t>Operating Expense</t>
        </is>
      </c>
      <c r="B7" s="23">
        <f>SUM(B5:B6)</f>
        <v>27.424</v>
      </c>
      <c r="C7" s="23">
        <f>SUM(C5:C6)</f>
        <v>30.642</v>
      </c>
      <c r="D7" s="23">
        <f>SUM(D5:D6)</f>
        <v>50.092</v>
      </c>
      <c r="E7" s="23">
        <f>SUM(E5:E6)</f>
        <v>67.70700000000001</v>
      </c>
      <c r="F7" s="23">
        <f>SUM(F5:F6)</f>
        <v>69.869</v>
      </c>
      <c r="G7" s="23">
        <f>SUM(G5:G6)</f>
        <v>84.462</v>
      </c>
      <c r="H7" s="23">
        <f>SUM(H5:H6)</f>
        <v>94.767</v>
      </c>
      <c r="I7" s="23">
        <f>SUM(I5:I6)</f>
        <v>91.42099999999999</v>
      </c>
      <c r="J7" s="1" t="n"/>
      <c r="K7" s="1" t="n"/>
    </row>
    <row r="8">
      <c r="A8" s="2" t="inlineStr">
        <is>
          <t>Operating Income</t>
        </is>
      </c>
      <c r="B8" s="23">
        <f>B4-B7</f>
        <v>-27.424</v>
      </c>
      <c r="C8" s="23">
        <f>C4-C7</f>
        <v>-30.317</v>
      </c>
      <c r="D8" s="23">
        <f>D4-D7</f>
        <v>-47.803</v>
      </c>
      <c r="E8" s="23">
        <f>E4-E7</f>
        <v>-61.09400000000001</v>
      </c>
      <c r="F8" s="23">
        <f>F4-F7</f>
        <v>-61.04</v>
      </c>
      <c r="G8" s="23">
        <f>G4-G7</f>
        <v>-64.38300000000001</v>
      </c>
      <c r="H8" s="23">
        <f>H4-H7</f>
        <v>-63.318999999999996</v>
      </c>
      <c r="I8" s="23">
        <f>I4-I7</f>
        <v>-91.077</v>
      </c>
      <c r="J8" s="1" t="n"/>
      <c r="K8" s="1" t="n"/>
    </row>
    <row r="9">
      <c r="A9" s="19" t="inlineStr">
        <is>
          <t>Interest &amp; Other</t>
        </is>
      </c>
      <c r="B9" s="23" t="n">
        <v>0.052</v>
      </c>
      <c r="C9" s="23" t="n">
        <v>-0.181</v>
      </c>
      <c r="D9" s="23" t="n">
        <v>-0.259</v>
      </c>
      <c r="E9" s="23" t="n">
        <v>-0.056</v>
      </c>
      <c r="F9" s="23" t="n">
        <v>11.394</v>
      </c>
      <c r="G9" s="23" t="n">
        <v>11.109</v>
      </c>
      <c r="H9" s="23" t="n">
        <v>18.854</v>
      </c>
      <c r="I9" s="23" t="n">
        <v>2.478</v>
      </c>
    </row>
    <row r="10">
      <c r="A10" s="2" t="inlineStr">
        <is>
          <t>Pretax</t>
        </is>
      </c>
      <c r="B10" s="23">
        <f>B8+B9</f>
        <v>-27.372</v>
      </c>
      <c r="C10" s="23">
        <f>C8+C9</f>
        <v>-30.498</v>
      </c>
      <c r="D10" s="23">
        <f>D8+D9</f>
        <v>-48.062</v>
      </c>
      <c r="E10" s="23">
        <f>E8+E9</f>
        <v>-61.150000000000006</v>
      </c>
      <c r="F10" s="23">
        <f>F8+F9</f>
        <v>-49.646</v>
      </c>
      <c r="G10" s="23">
        <f>G8+G9</f>
        <v>-53.27400000000001</v>
      </c>
      <c r="H10" s="23">
        <f>H8+H9</f>
        <v>-44.464999999999996</v>
      </c>
      <c r="I10" s="23">
        <f>I8+I9</f>
        <v>-88.599</v>
      </c>
      <c r="J10" s="1" t="n"/>
      <c r="K10" s="1" t="n"/>
    </row>
    <row r="11">
      <c r="A11" s="2" t="inlineStr">
        <is>
          <t>Taxes</t>
        </is>
      </c>
      <c r="B11" s="23" t="n">
        <v>-2.82</v>
      </c>
      <c r="C11" s="23" t="n">
        <v>-4.385</v>
      </c>
      <c r="D11" s="23" t="n">
        <v>-4.659</v>
      </c>
      <c r="E11" s="23" t="n">
        <v>-8.596</v>
      </c>
      <c r="F11" s="23" t="n">
        <v>0.6879999999999999</v>
      </c>
      <c r="G11" s="23" t="n">
        <v>0.956</v>
      </c>
      <c r="H11" s="23" t="n">
        <v>0.845</v>
      </c>
      <c r="I11" s="23" t="n">
        <v>0.011</v>
      </c>
    </row>
    <row r="12">
      <c r="A12" s="2" t="inlineStr">
        <is>
          <t>Net Income</t>
        </is>
      </c>
      <c r="B12" s="23" t="n">
        <v>-24.552</v>
      </c>
      <c r="C12" s="23" t="n">
        <v>-26.113</v>
      </c>
      <c r="D12" s="23" t="n">
        <v>-43.402</v>
      </c>
      <c r="E12" s="23" t="n">
        <v>-52.554</v>
      </c>
      <c r="F12" s="23" t="n">
        <v>-50.334</v>
      </c>
      <c r="G12" s="23" t="n">
        <v>-54.23</v>
      </c>
      <c r="H12" s="23" t="n">
        <v>-45.31</v>
      </c>
      <c r="I12" s="23" t="n">
        <v>-88.61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-0.3491815169314351</v>
      </c>
      <c r="C13" s="11">
        <f>IFERROR(C12/C14,0)</f>
        <v>-0.34758475647902887</v>
      </c>
      <c r="D13" s="11">
        <f>IFERROR(D12/D14,0)</f>
        <v>-0.5307684782076995</v>
      </c>
      <c r="E13" s="11">
        <f>IFERROR(E12/E14,0)</f>
        <v>-0.5908263069139966</v>
      </c>
      <c r="F13" s="11">
        <f>IFERROR(F12/F14,0)</f>
        <v>-0.521136822487964</v>
      </c>
      <c r="G13" s="11">
        <f>IFERROR(G12/G14,0)</f>
        <v>-0.4873423978000844</v>
      </c>
      <c r="H13" s="11">
        <f>IFERROR(H12/H14,0)</f>
        <v>-0.32655385147601473</v>
      </c>
      <c r="I13" s="11">
        <f>IFERROR(I12/I14,0)</f>
        <v>-0.6253572814848796</v>
      </c>
    </row>
    <row r="14">
      <c r="A14" s="2" t="inlineStr">
        <is>
          <t>Shares</t>
        </is>
      </c>
      <c r="B14" s="23" t="n">
        <v>70.313</v>
      </c>
      <c r="C14" s="23" t="n">
        <v>75.127</v>
      </c>
      <c r="D14" s="23" t="n">
        <v>81.77200000000001</v>
      </c>
      <c r="E14" s="23" t="n">
        <v>88.95</v>
      </c>
      <c r="F14" s="23" t="n">
        <v>96.58499999999999</v>
      </c>
      <c r="G14" s="23" t="n">
        <v>111.277</v>
      </c>
      <c r="H14" s="23" t="n">
        <v>138.752</v>
      </c>
      <c r="I14" s="23" t="n">
        <v>141.695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21.48</v>
      </c>
      <c r="E16" s="15">
        <f>IFERROR(E2/D2-1,"")</f>
        <v>1.2660826717766223</v>
      </c>
      <c r="F16" s="15">
        <f>IFERROR(F2/E2-1,"")</f>
        <v>0.40964000966417013</v>
      </c>
      <c r="G16" s="15">
        <f>IFERROR(G2/F2-1,"")</f>
        <v>0.4499100179964006</v>
      </c>
      <c r="H16" s="15">
        <f>IFERROR(H2/G2-1,"")</f>
        <v>0.2783852473550448</v>
      </c>
      <c r="I16" s="15">
        <f>IFERROR(I2/H2-1,"")</f>
        <v>-0.9870775347912525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0.3133041335888311</v>
      </c>
      <c r="E17" s="15">
        <f>IFERROR(E4/E2,"")</f>
        <v>0.3994322300072482</v>
      </c>
      <c r="F17" s="15">
        <f>IFERROR(F4/F2,"")</f>
        <v>0.37831005227525927</v>
      </c>
      <c r="G17" s="15">
        <f>IFERROR(G4/G2,"")</f>
        <v>0.5933861339322655</v>
      </c>
      <c r="H17" s="15">
        <f>IFERROR(H4/H2,"")</f>
        <v>0.7269869157150122</v>
      </c>
      <c r="I17" s="15">
        <f>IFERROR(I4/I2,"")</f>
        <v>0.6153846153846155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-93.28307692307692</v>
      </c>
      <c r="D18" s="15">
        <f>IFERROR(D8/D2,"")</f>
        <v>-6.542978373939228</v>
      </c>
      <c r="E18" s="15">
        <f>IFERROR(E8/E2,"")</f>
        <v>-3.690142546508819</v>
      </c>
      <c r="F18" s="15">
        <f>IFERROR(F8/F2,"")</f>
        <v>-2.6154769046190762</v>
      </c>
      <c r="G18" s="15">
        <f>IFERROR(G8/G2,"")</f>
        <v>-1.9026833737218514</v>
      </c>
      <c r="H18" s="15">
        <f>IFERROR(H8/H2,"")</f>
        <v>-1.4637523695039065</v>
      </c>
      <c r="I18" s="15">
        <f>IFERROR(I8/I2,"")</f>
        <v>-162.92844364937386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2026-10-21T01:05:12Z</dcterms:modified>
  <cp:lastModifiedBy>Wang, Eric</cp:lastModifiedBy>
</cp:coreProperties>
</file>