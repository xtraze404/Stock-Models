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Silence Therapeutics PLC</t>
        </is>
      </c>
      <c r="C2" s="10" t="n"/>
    </row>
    <row r="3">
      <c r="B3" t="inlineStr">
        <is>
          <t>Price</t>
        </is>
      </c>
      <c r="C3" s="11">
        <f>INDEX([1]Pharma!$F$1:$F$1000,MATCH("SLN",[1]Pharma!$B$1:$B$1000,0))</f>
        <v>19.61</v>
      </c>
      <c r="F3" s="1" t="n"/>
    </row>
    <row r="4">
      <c r="B4" t="inlineStr">
        <is>
          <t>Shares</t>
        </is>
      </c>
      <c r="C4" s="21">
        <f>141.740037/3</f>
        <v>47.246679</v>
      </c>
      <c r="F4" s="1" t="n"/>
    </row>
    <row r="5">
      <c r="B5" t="inlineStr">
        <is>
          <t>Market Cap.</t>
        </is>
      </c>
      <c r="C5" s="13">
        <f>C3*C4</f>
        <v>926.50737519</v>
      </c>
      <c r="F5" s="1" t="n"/>
    </row>
    <row r="6"/>
    <row r="7">
      <c r="B7" t="inlineStr">
        <is>
          <t>Cash</t>
        </is>
      </c>
      <c r="C7" s="21" t="n">
        <v>72.09999999999999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854.4073751899999</v>
      </c>
    </row>
    <row r="10"/>
    <row r="11">
      <c r="B11" s="14" t="inlineStr">
        <is>
          <t>rNPV / Share</t>
        </is>
      </c>
      <c r="C11" s="11">
        <f>NPV!B27</f>
        <v>-1.2131449499259845</v>
      </c>
    </row>
    <row r="12">
      <c r="B12" s="14" t="inlineStr">
        <is>
          <t>Upside</t>
        </is>
      </c>
      <c r="C12" s="15">
        <f>IFERROR(C11/C3-1,"")</f>
        <v>-1.0618635874516056</v>
      </c>
    </row>
    <row r="13">
      <c r="B13" s="14" t="inlineStr">
        <is>
          <t>Cash / Share</t>
        </is>
      </c>
      <c r="C13" s="11">
        <f>IFERROR((C7-C8)/C4,"")</f>
        <v>1.526033184258305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-42.263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1.7059839575988454</v>
      </c>
    </row>
    <row r="19">
      <c r="B19" s="14" t="inlineStr">
        <is>
          <t>Implied Pipeline Value</t>
        </is>
      </c>
      <c r="C19" s="13">
        <f>C9</f>
        <v>854.4073751899999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0.325</v>
      </c>
      <c r="D2" s="23" t="n">
        <v>7.306</v>
      </c>
      <c r="E2" s="23" t="n">
        <v>16.556</v>
      </c>
      <c r="F2" s="23" t="n">
        <v>23.338</v>
      </c>
      <c r="G2" s="23" t="n">
        <v>33.838</v>
      </c>
      <c r="H2" s="23" t="n">
        <v>43.258</v>
      </c>
      <c r="I2" s="23" t="n">
        <v>0.5590000000000001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5.017</v>
      </c>
      <c r="E3" s="23" t="n">
        <v>9.943</v>
      </c>
      <c r="F3" s="23" t="n">
        <v>14.509</v>
      </c>
      <c r="G3" s="23" t="n">
        <v>13.759</v>
      </c>
      <c r="H3" s="23" t="n">
        <v>11.81</v>
      </c>
      <c r="I3" s="23" t="n">
        <v>0.215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0.325</v>
      </c>
      <c r="D4" s="23">
        <f>D2-D3</f>
        <v>2.2889999999999997</v>
      </c>
      <c r="E4" s="23">
        <f>E2-E3</f>
        <v>6.613000000000001</v>
      </c>
      <c r="F4" s="23">
        <f>F2-F3</f>
        <v>8.829</v>
      </c>
      <c r="G4" s="23">
        <f>G2-G3</f>
        <v>20.079</v>
      </c>
      <c r="H4" s="23">
        <f>H2-H3</f>
        <v>31.448</v>
      </c>
      <c r="I4" s="23">
        <f>I2-I3</f>
        <v>0.3440000000000001</v>
      </c>
      <c r="J4" s="1" t="n"/>
      <c r="K4" s="1" t="n"/>
    </row>
    <row r="5">
      <c r="A5" s="2" t="inlineStr">
        <is>
          <t>Research &amp; Dev.</t>
        </is>
      </c>
      <c r="B5" s="23" t="n">
        <v>12.993</v>
      </c>
      <c r="C5" s="23" t="n">
        <v>17.784</v>
      </c>
      <c r="D5" s="23" t="n">
        <v>26.949</v>
      </c>
      <c r="E5" s="23" t="n">
        <v>41.026</v>
      </c>
      <c r="F5" s="23" t="n">
        <v>47.48</v>
      </c>
      <c r="G5" s="23" t="n">
        <v>58.709</v>
      </c>
      <c r="H5" s="23" t="n">
        <v>67.883</v>
      </c>
      <c r="I5" s="23" t="n">
        <v>67.753</v>
      </c>
      <c r="J5" s="1" t="n"/>
      <c r="K5" s="1" t="n"/>
    </row>
    <row r="6">
      <c r="A6" s="19" t="inlineStr">
        <is>
          <t>SG&amp;A &amp; Other</t>
        </is>
      </c>
      <c r="B6" s="23" t="n">
        <v>14.431</v>
      </c>
      <c r="C6" s="23" t="n">
        <v>12.858</v>
      </c>
      <c r="D6" s="23" t="n">
        <v>23.143</v>
      </c>
      <c r="E6" s="23" t="n">
        <v>26.681</v>
      </c>
      <c r="F6" s="23" t="n">
        <v>22.389</v>
      </c>
      <c r="G6" s="23" t="n">
        <v>25.753</v>
      </c>
      <c r="H6" s="23" t="n">
        <v>26.884</v>
      </c>
      <c r="I6" s="23" t="n">
        <v>23.668</v>
      </c>
      <c r="J6" s="1" t="n"/>
      <c r="K6" s="1" t="n"/>
    </row>
    <row r="7">
      <c r="A7" s="2" t="inlineStr">
        <is>
          <t>Operating Expense</t>
        </is>
      </c>
      <c r="B7" s="23">
        <f>SUM(B5:B6)</f>
        <v>27.424</v>
      </c>
      <c r="C7" s="23">
        <f>SUM(C5:C6)</f>
        <v>30.642</v>
      </c>
      <c r="D7" s="23">
        <f>SUM(D5:D6)</f>
        <v>50.092</v>
      </c>
      <c r="E7" s="23">
        <f>SUM(E5:E6)</f>
        <v>67.70700000000001</v>
      </c>
      <c r="F7" s="23">
        <f>SUM(F5:F6)</f>
        <v>69.869</v>
      </c>
      <c r="G7" s="23">
        <f>SUM(G5:G6)</f>
        <v>84.462</v>
      </c>
      <c r="H7" s="23">
        <f>SUM(H5:H6)</f>
        <v>94.767</v>
      </c>
      <c r="I7" s="23">
        <f>SUM(I5:I6)</f>
        <v>91.42099999999999</v>
      </c>
      <c r="J7" s="1" t="n"/>
      <c r="K7" s="1" t="n"/>
    </row>
    <row r="8">
      <c r="A8" s="2" t="inlineStr">
        <is>
          <t>Operating Income</t>
        </is>
      </c>
      <c r="B8" s="23">
        <f>B4-B7</f>
        <v>-27.424</v>
      </c>
      <c r="C8" s="23">
        <f>C4-C7</f>
        <v>-30.317</v>
      </c>
      <c r="D8" s="23">
        <f>D4-D7</f>
        <v>-47.803</v>
      </c>
      <c r="E8" s="23">
        <f>E4-E7</f>
        <v>-61.09400000000001</v>
      </c>
      <c r="F8" s="23">
        <f>F4-F7</f>
        <v>-61.04</v>
      </c>
      <c r="G8" s="23">
        <f>G4-G7</f>
        <v>-64.38300000000001</v>
      </c>
      <c r="H8" s="23">
        <f>H4-H7</f>
        <v>-63.318999999999996</v>
      </c>
      <c r="I8" s="23">
        <f>I4-I7</f>
        <v>-91.077</v>
      </c>
      <c r="J8" s="1" t="n"/>
      <c r="K8" s="1" t="n"/>
    </row>
    <row r="9">
      <c r="A9" s="19" t="inlineStr">
        <is>
          <t>Interest &amp; Other</t>
        </is>
      </c>
      <c r="B9" s="23" t="n">
        <v>0.052</v>
      </c>
      <c r="C9" s="23" t="n">
        <v>-0.181</v>
      </c>
      <c r="D9" s="23" t="n">
        <v>-0.259</v>
      </c>
      <c r="E9" s="23" t="n">
        <v>-0.056</v>
      </c>
      <c r="F9" s="23" t="n">
        <v>11.394</v>
      </c>
      <c r="G9" s="23" t="n">
        <v>11.109</v>
      </c>
      <c r="H9" s="23" t="n">
        <v>18.854</v>
      </c>
      <c r="I9" s="23" t="n">
        <v>2.478</v>
      </c>
    </row>
    <row r="10">
      <c r="A10" s="2" t="inlineStr">
        <is>
          <t>Pretax</t>
        </is>
      </c>
      <c r="B10" s="23">
        <f>B8+B9</f>
        <v>-27.372</v>
      </c>
      <c r="C10" s="23">
        <f>C8+C9</f>
        <v>-30.498</v>
      </c>
      <c r="D10" s="23">
        <f>D8+D9</f>
        <v>-48.062</v>
      </c>
      <c r="E10" s="23">
        <f>E8+E9</f>
        <v>-61.150000000000006</v>
      </c>
      <c r="F10" s="23">
        <f>F8+F9</f>
        <v>-49.646</v>
      </c>
      <c r="G10" s="23">
        <f>G8+G9</f>
        <v>-53.27400000000001</v>
      </c>
      <c r="H10" s="23">
        <f>H8+H9</f>
        <v>-44.464999999999996</v>
      </c>
      <c r="I10" s="23">
        <f>I8+I9</f>
        <v>-88.599</v>
      </c>
      <c r="J10" s="1" t="n"/>
      <c r="K10" s="1" t="n"/>
    </row>
    <row r="11">
      <c r="A11" s="2" t="inlineStr">
        <is>
          <t>Taxes</t>
        </is>
      </c>
      <c r="B11" s="23" t="n">
        <v>-2.82</v>
      </c>
      <c r="C11" s="23" t="n">
        <v>-4.385</v>
      </c>
      <c r="D11" s="23" t="n">
        <v>-4.659</v>
      </c>
      <c r="E11" s="23" t="n">
        <v>-8.596</v>
      </c>
      <c r="F11" s="23" t="n">
        <v>0.6879999999999999</v>
      </c>
      <c r="G11" s="23" t="n">
        <v>0.956</v>
      </c>
      <c r="H11" s="23" t="n">
        <v>0.845</v>
      </c>
      <c r="I11" s="23" t="n">
        <v>0.011</v>
      </c>
    </row>
    <row r="12">
      <c r="A12" s="2" t="inlineStr">
        <is>
          <t>Net Income</t>
        </is>
      </c>
      <c r="B12" s="23" t="n">
        <v>-24.552</v>
      </c>
      <c r="C12" s="23" t="n">
        <v>-26.113</v>
      </c>
      <c r="D12" s="23" t="n">
        <v>-43.402</v>
      </c>
      <c r="E12" s="23" t="n">
        <v>-52.554</v>
      </c>
      <c r="F12" s="23" t="n">
        <v>-50.334</v>
      </c>
      <c r="G12" s="23" t="n">
        <v>-54.23</v>
      </c>
      <c r="H12" s="23" t="n">
        <v>-45.31</v>
      </c>
      <c r="I12" s="23" t="n">
        <v>-88.61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-0.3491815169314351</v>
      </c>
      <c r="C13" s="11">
        <f>IFERROR(C12/C14,0)</f>
        <v>-0.34758475647902887</v>
      </c>
      <c r="D13" s="11">
        <f>IFERROR(D12/D14,0)</f>
        <v>-0.5307684782076995</v>
      </c>
      <c r="E13" s="11">
        <f>IFERROR(E12/E14,0)</f>
        <v>-0.5908263069139966</v>
      </c>
      <c r="F13" s="11">
        <f>IFERROR(F12/F14,0)</f>
        <v>-0.521136822487964</v>
      </c>
      <c r="G13" s="11">
        <f>IFERROR(G12/G14,0)</f>
        <v>-0.4873423978000844</v>
      </c>
      <c r="H13" s="11">
        <f>IFERROR(H12/H14,0)</f>
        <v>-0.32655385147601473</v>
      </c>
      <c r="I13" s="11">
        <f>IFERROR(I12/I14,0)</f>
        <v>-0.6253572814848796</v>
      </c>
    </row>
    <row r="14">
      <c r="A14" s="2" t="inlineStr">
        <is>
          <t>Shares</t>
        </is>
      </c>
      <c r="B14" s="23" t="n">
        <v>70.313</v>
      </c>
      <c r="C14" s="23" t="n">
        <v>75.127</v>
      </c>
      <c r="D14" s="23" t="n">
        <v>81.77200000000001</v>
      </c>
      <c r="E14" s="23" t="n">
        <v>88.95</v>
      </c>
      <c r="F14" s="23" t="n">
        <v>96.58499999999999</v>
      </c>
      <c r="G14" s="23" t="n">
        <v>111.277</v>
      </c>
      <c r="H14" s="23" t="n">
        <v>138.752</v>
      </c>
      <c r="I14" s="23" t="n">
        <v>141.695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21.48</v>
      </c>
      <c r="E16" s="15">
        <f>IFERROR(E2/D2-1,"")</f>
        <v>1.2660826717766223</v>
      </c>
      <c r="F16" s="15">
        <f>IFERROR(F2/E2-1,"")</f>
        <v>0.40964000966417013</v>
      </c>
      <c r="G16" s="15">
        <f>IFERROR(G2/F2-1,"")</f>
        <v>0.4499100179964006</v>
      </c>
      <c r="H16" s="15">
        <f>IFERROR(H2/G2-1,"")</f>
        <v>0.2783852473550448</v>
      </c>
      <c r="I16" s="15">
        <f>IFERROR(I2/H2-1,"")</f>
        <v>-0.9870775347912525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0.3133041335888311</v>
      </c>
      <c r="E17" s="15">
        <f>IFERROR(E4/E2,"")</f>
        <v>0.3994322300072482</v>
      </c>
      <c r="F17" s="15">
        <f>IFERROR(F4/F2,"")</f>
        <v>0.37831005227525927</v>
      </c>
      <c r="G17" s="15">
        <f>IFERROR(G4/G2,"")</f>
        <v>0.5933861339322655</v>
      </c>
      <c r="H17" s="15">
        <f>IFERROR(H4/H2,"")</f>
        <v>0.7269869157150122</v>
      </c>
      <c r="I17" s="15">
        <f>IFERROR(I4/I2,"")</f>
        <v>0.6153846153846155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-93.28307692307692</v>
      </c>
      <c r="D18" s="15">
        <f>IFERROR(D8/D2,"")</f>
        <v>-6.542978373939228</v>
      </c>
      <c r="E18" s="15">
        <f>IFERROR(E8/E2,"")</f>
        <v>-3.690142546508819</v>
      </c>
      <c r="F18" s="15">
        <f>IFERROR(F8/F2,"")</f>
        <v>-2.6154769046190762</v>
      </c>
      <c r="G18" s="15">
        <f>IFERROR(G8/G2,"")</f>
        <v>-1.9026833737218514</v>
      </c>
      <c r="H18" s="15">
        <f>IFERROR(H8/H2,"")</f>
        <v>-1.4637523695039065</v>
      </c>
      <c r="I18" s="15">
        <f>IFERROR(I8/I2,"")</f>
        <v>-162.92844364937386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Silence Therapeutics PLC: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68.307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385.1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-129.41707002962406</v>
      </c>
      <c r="C29" s="42">
        <f>NPV!B25</f>
        <v>-57.31707002962406</v>
      </c>
      <c r="D29" s="43">
        <f>NPV!B27</f>
        <v>-1.2131449499259845</v>
      </c>
      <c r="E29" s="44">
        <f>NPV!B29</f>
        <v>-1.0618635874516056</v>
      </c>
    </row>
    <row r="30">
      <c r="A30" s="45" t="n">
        <v>1</v>
      </c>
      <c r="B30" s="46">
        <f t="dataTable" ref="B30:E32" r1="B4"/>
        <v>-167.73564846014733</v>
      </c>
      <c r="C30" s="46">
        <v>-95.63564846014734</v>
      </c>
      <c r="D30" s="47">
        <v>-2.024177158782892</v>
      </c>
      <c r="E30" s="48">
        <v>-1.103221680713049</v>
      </c>
    </row>
    <row r="31">
      <c r="A31" s="45" t="n">
        <v>2</v>
      </c>
      <c r="B31" s="46">
        <v>-129.41707002962406</v>
      </c>
      <c r="C31" s="46">
        <v>-57.31707002962406</v>
      </c>
      <c r="D31" s="47">
        <v>-1.2131449499259845</v>
      </c>
      <c r="E31" s="48">
        <v>-1.0618635874516056</v>
      </c>
    </row>
    <row r="32">
      <c r="A32" s="45" t="n">
        <v>3</v>
      </c>
      <c r="B32" s="46">
        <v>-61.611554954384154</v>
      </c>
      <c r="C32" s="46">
        <v>10.48844504561584</v>
      </c>
      <c r="D32" s="47">
        <v>0.22199327587904835</v>
      </c>
      <c r="E32" s="48">
        <v>-0.9886795881754692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-1.2131449499259845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-2.2697827370412194</v>
      </c>
      <c r="C37" s="47">
        <v>-2.0294523453638753</v>
      </c>
      <c r="D37" s="47">
        <v>-1.7891219536865324</v>
      </c>
      <c r="E37" s="47">
        <v>-1.3084611703318452</v>
      </c>
      <c r="F37" s="47">
        <v>-0.8278003869771582</v>
      </c>
    </row>
    <row r="38">
      <c r="A38" s="50" t="n">
        <v>0.8</v>
      </c>
      <c r="B38" s="47">
        <v>-2.142014496279174</v>
      </c>
      <c r="C38" s="47">
        <v>-1.8215739740427168</v>
      </c>
      <c r="D38" s="47">
        <v>-1.5011334518062578</v>
      </c>
      <c r="E38" s="47">
        <v>-0.8602524073333426</v>
      </c>
      <c r="F38" s="47">
        <v>-0.2193713628604261</v>
      </c>
    </row>
    <row r="39">
      <c r="A39" s="50" t="n">
        <v>1</v>
      </c>
      <c r="B39" s="47">
        <v>-2.01424625551713</v>
      </c>
      <c r="C39" s="47">
        <v>-1.6136956027215563</v>
      </c>
      <c r="D39" s="47">
        <v>-1.2131449499259845</v>
      </c>
      <c r="E39" s="47">
        <v>-0.4120436443348394</v>
      </c>
      <c r="F39" s="47">
        <v>0.3890576612563057</v>
      </c>
    </row>
    <row r="40">
      <c r="A40" s="50" t="n">
        <v>1.2</v>
      </c>
      <c r="B40" s="47">
        <v>-1.886478014755084</v>
      </c>
      <c r="C40" s="47">
        <v>-1.4058172314003972</v>
      </c>
      <c r="D40" s="47">
        <v>-0.9251564480457098</v>
      </c>
      <c r="E40" s="47">
        <v>0.0361651186636644</v>
      </c>
      <c r="F40" s="47">
        <v>0.945448526397079</v>
      </c>
    </row>
    <row r="41">
      <c r="A41" s="50" t="n">
        <v>1.4</v>
      </c>
      <c r="B41" s="47">
        <v>-1.7587097739930406</v>
      </c>
      <c r="C41" s="47">
        <v>-1.1979388600792373</v>
      </c>
      <c r="D41" s="47">
        <v>-0.6371679461654358</v>
      </c>
      <c r="E41" s="47">
        <v>0.484373881662167</v>
      </c>
      <c r="F41" s="47">
        <v>1.4739844695214552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Silence Therapeutics PLC: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Myelofibrosis / MDS / MPN</t>
        </is>
      </c>
      <c r="C4" s="14" t="inlineStr">
        <is>
          <t>SLN124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1000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75.6987524634915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7.539999999999999</v>
      </c>
      <c r="T4" s="23">
        <f>IF(T$3&lt;$I4,0,$G4*Assumptions!$E$11*INDEX(Assumptions!$B$24:$G$24,MIN(6,T$3-$I4+1))*IF(T$3&gt;$J4,(1-Assumptions!$B$26)^(T$3-$J4),1)*IF($H4&gt;=1,1,MIN(0.97,$H4*Assumptions!$E$12)))</f>
        <v>18.849999999999998</v>
      </c>
      <c r="U4" s="23">
        <f>IF(U$3&lt;$I4,0,$G4*Assumptions!$E$11*INDEX(Assumptions!$B$24:$G$24,MIN(6,U$3-$I4+1))*IF(U$3&gt;$J4,(1-Assumptions!$B$26)^(U$3-$J4),1)*IF($H4&gt;=1,1,MIN(0.97,$H4*Assumptions!$E$12)))</f>
        <v>33.93</v>
      </c>
      <c r="V4" s="23">
        <f>IF(V$3&lt;$I4,0,$G4*Assumptions!$E$11*INDEX(Assumptions!$B$24:$G$24,MIN(6,V$3-$I4+1))*IF(V$3&gt;$J4,(1-Assumptions!$B$26)^(V$3-$J4),1)*IF($H4&gt;=1,1,MIN(0.97,$H4*Assumptions!$E$12)))</f>
        <v>49.01</v>
      </c>
      <c r="W4" s="23">
        <f>IF(W$3&lt;$I4,0,$G4*Assumptions!$E$11*INDEX(Assumptions!$B$24:$G$24,MIN(6,W$3-$I4+1))*IF(W$3&gt;$J4,(1-Assumptions!$B$26)^(W$3-$J4),1)*IF($H4&gt;=1,1,MIN(0.97,$H4*Assumptions!$E$12)))</f>
        <v>64.08999999999999</v>
      </c>
      <c r="X4" s="23">
        <f>IF(X$3&lt;$I4,0,$G4*Assumptions!$E$11*INDEX(Assumptions!$B$24:$G$24,MIN(6,X$3-$I4+1))*IF(X$3&gt;$J4,(1-Assumptions!$B$26)^(X$3-$J4),1)*IF($H4&gt;=1,1,MIN(0.97,$H4*Assumptions!$E$12)))</f>
        <v>75.39999999999999</v>
      </c>
      <c r="Y4" s="23">
        <f>IF(Y$3&lt;$I4,0,$G4*Assumptions!$E$11*INDEX(Assumptions!$B$24:$G$24,MIN(6,Y$3-$I4+1))*IF(Y$3&gt;$J4,(1-Assumptions!$B$26)^(Y$3-$J4),1)*IF($H4&gt;=1,1,MIN(0.97,$H4*Assumptions!$E$12)))</f>
        <v>75.39999999999999</v>
      </c>
      <c r="Z4" s="23">
        <f>IF(Z$3&lt;$I4,0,$G4*Assumptions!$E$11*INDEX(Assumptions!$B$24:$G$24,MIN(6,Z$3-$I4+1))*IF(Z$3&gt;$J4,(1-Assumptions!$B$26)^(Z$3-$J4),1)*IF($H4&gt;=1,1,MIN(0.97,$H4*Assumptions!$E$12)))</f>
        <v>75.39999999999999</v>
      </c>
      <c r="AA4" s="23">
        <f>IF(AA$3&lt;$I4,0,$G4*Assumptions!$E$11*INDEX(Assumptions!$B$24:$G$24,MIN(6,AA$3-$I4+1))*IF(AA$3&gt;$J4,(1-Assumptions!$B$26)^(AA$3-$J4),1)*IF($H4&gt;=1,1,MIN(0.97,$H4*Assumptions!$E$12)))</f>
        <v>75.39999999999999</v>
      </c>
      <c r="AB4" s="23">
        <f>IF(AB$3&lt;$I4,0,$G4*Assumptions!$E$11*INDEX(Assumptions!$B$24:$G$24,MIN(6,AB$3-$I4+1))*IF(AB$3&gt;$J4,(1-Assumptions!$B$26)^(AB$3-$J4),1)*IF($H4&gt;=1,1,MIN(0.97,$H4*Assumptions!$E$12)))</f>
        <v>75.39999999999999</v>
      </c>
      <c r="AC4" s="23">
        <f>IF(AC$3&lt;$I4,0,$G4*Assumptions!$E$11*INDEX(Assumptions!$B$24:$G$24,MIN(6,AC$3-$I4+1))*IF(AC$3&gt;$J4,(1-Assumptions!$B$26)^(AC$3-$J4),1)*IF($H4&gt;=1,1,MIN(0.97,$H4*Assumptions!$E$12)))</f>
        <v>75.39999999999999</v>
      </c>
      <c r="AD4" s="23">
        <f>IF(AD$3&lt;$I4,0,$G4*Assumptions!$E$11*INDEX(Assumptions!$B$24:$G$24,MIN(6,AD$3-$I4+1))*IF(AD$3&gt;$J4,(1-Assumptions!$B$26)^(AD$3-$J4),1)*IF($H4&gt;=1,1,MIN(0.97,$H4*Assumptions!$E$12)))</f>
        <v>75.39999999999999</v>
      </c>
      <c r="AE4" s="23">
        <f>IF(AE$3&lt;$I4,0,$G4*Assumptions!$E$11*INDEX(Assumptions!$B$24:$G$24,MIN(6,AE$3-$I4+1))*IF(AE$3&gt;$J4,(1-Assumptions!$B$26)^(AE$3-$J4),1)*IF($H4&gt;=1,1,MIN(0.97,$H4*Assumptions!$E$12)))</f>
        <v>75.39999999999999</v>
      </c>
      <c r="AF4" s="23">
        <f>IF(AF$3&lt;$I4,0,$G4*Assumptions!$E$11*INDEX(Assumptions!$B$24:$G$24,MIN(6,AF$3-$I4+1))*IF(AF$3&gt;$J4,(1-Assumptions!$B$26)^(AF$3-$J4),1)*IF($H4&gt;=1,1,MIN(0.97,$H4*Assumptions!$E$12)))</f>
        <v>37.699999999999996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75.6987524634915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7.539999999999999</v>
      </c>
      <c r="T5" s="54">
        <f>SUM(T4:T4)</f>
        <v>18.849999999999998</v>
      </c>
      <c r="U5" s="54">
        <f>SUM(U4:U4)</f>
        <v>33.93</v>
      </c>
      <c r="V5" s="54">
        <f>SUM(V4:V4)</f>
        <v>49.01</v>
      </c>
      <c r="W5" s="54">
        <f>SUM(W4:W4)</f>
        <v>64.08999999999999</v>
      </c>
      <c r="X5" s="54">
        <f>SUM(X4:X4)</f>
        <v>75.39999999999999</v>
      </c>
      <c r="Y5" s="54">
        <f>SUM(Y4:Y4)</f>
        <v>75.39999999999999</v>
      </c>
      <c r="Z5" s="54">
        <f>SUM(Z4:Z4)</f>
        <v>75.39999999999999</v>
      </c>
      <c r="AA5" s="54">
        <f>SUM(AA4:AA4)</f>
        <v>75.39999999999999</v>
      </c>
      <c r="AB5" s="54">
        <f>SUM(AB4:AB4)</f>
        <v>75.39999999999999</v>
      </c>
      <c r="AC5" s="54">
        <f>SUM(AC4:AC4)</f>
        <v>75.39999999999999</v>
      </c>
      <c r="AD5" s="54">
        <f>SUM(AD4:AD4)</f>
        <v>75.39999999999999</v>
      </c>
      <c r="AE5" s="54">
        <f>SUM(AE4:AE4)</f>
        <v>75.39999999999999</v>
      </c>
      <c r="AF5" s="54">
        <f>SUM(AF4:AF4)</f>
        <v>37.699999999999996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3.016</v>
      </c>
      <c r="T6" s="55">
        <f>SUMPRODUCT(T4:T4,$K$4:$K$4)</f>
        <v>7.539999999999999</v>
      </c>
      <c r="U6" s="55">
        <f>SUMPRODUCT(U4:U4,$K$4:$K$4)</f>
        <v>13.572000000000001</v>
      </c>
      <c r="V6" s="55">
        <f>SUMPRODUCT(V4:V4,$K$4:$K$4)</f>
        <v>19.604</v>
      </c>
      <c r="W6" s="55">
        <f>SUMPRODUCT(W4:W4,$K$4:$K$4)</f>
        <v>25.635999999999996</v>
      </c>
      <c r="X6" s="55">
        <f>SUMPRODUCT(X4:X4,$K$4:$K$4)</f>
        <v>30.159999999999997</v>
      </c>
      <c r="Y6" s="55">
        <f>SUMPRODUCT(Y4:Y4,$K$4:$K$4)</f>
        <v>30.159999999999997</v>
      </c>
      <c r="Z6" s="55">
        <f>SUMPRODUCT(Z4:Z4,$K$4:$K$4)</f>
        <v>30.159999999999997</v>
      </c>
      <c r="AA6" s="55">
        <f>SUMPRODUCT(AA4:AA4,$K$4:$K$4)</f>
        <v>30.159999999999997</v>
      </c>
      <c r="AB6" s="55">
        <f>SUMPRODUCT(AB4:AB4,$K$4:$K$4)</f>
        <v>30.159999999999997</v>
      </c>
      <c r="AC6" s="55">
        <f>SUMPRODUCT(AC4:AC4,$K$4:$K$4)</f>
        <v>30.159999999999997</v>
      </c>
      <c r="AD6" s="55">
        <f>SUMPRODUCT(AD4:AD4,$K$4:$K$4)</f>
        <v>30.159999999999997</v>
      </c>
      <c r="AE6" s="55">
        <f>SUMPRODUCT(AE4:AE4,$K$4:$K$4)</f>
        <v>30.159999999999997</v>
      </c>
      <c r="AF6" s="55">
        <f>SUMPRODUCT(AF4:AF4,$K$4:$K$4)</f>
        <v>15.079999999999998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Silence Therapeutics PLC: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7.539999999999999</v>
      </c>
      <c r="J4" s="57">
        <f>Pipeline!T5</f>
        <v>18.849999999999998</v>
      </c>
      <c r="K4" s="57">
        <f>Pipeline!U5</f>
        <v>33.93</v>
      </c>
      <c r="L4" s="57">
        <f>Pipeline!V5</f>
        <v>49.01</v>
      </c>
      <c r="M4" s="57">
        <f>Pipeline!W5</f>
        <v>64.08999999999999</v>
      </c>
      <c r="N4" s="57">
        <f>Pipeline!X5</f>
        <v>75.39999999999999</v>
      </c>
      <c r="O4" s="57">
        <f>Pipeline!Y5</f>
        <v>75.39999999999999</v>
      </c>
      <c r="P4" s="57">
        <f>Pipeline!Z5</f>
        <v>75.39999999999999</v>
      </c>
      <c r="Q4" s="57">
        <f>Pipeline!AA5</f>
        <v>75.39999999999999</v>
      </c>
      <c r="R4" s="57">
        <f>Pipeline!AB5</f>
        <v>75.39999999999999</v>
      </c>
      <c r="S4" s="57">
        <f>Pipeline!AC5</f>
        <v>75.39999999999999</v>
      </c>
      <c r="T4" s="57">
        <f>Pipeline!AD5</f>
        <v>75.39999999999999</v>
      </c>
      <c r="U4" s="57">
        <f>Pipeline!AE5</f>
        <v>75.39999999999999</v>
      </c>
      <c r="V4" s="57">
        <f>Pipeline!AF5</f>
        <v>37.699999999999996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3.016</v>
      </c>
      <c r="J5" s="57">
        <f>Pipeline!T6</f>
        <v>7.539999999999999</v>
      </c>
      <c r="K5" s="57">
        <f>Pipeline!U6</f>
        <v>13.572000000000001</v>
      </c>
      <c r="L5" s="57">
        <f>Pipeline!V6</f>
        <v>19.604</v>
      </c>
      <c r="M5" s="57">
        <f>Pipeline!W6</f>
        <v>25.635999999999996</v>
      </c>
      <c r="N5" s="57">
        <f>Pipeline!X6</f>
        <v>30.159999999999997</v>
      </c>
      <c r="O5" s="57">
        <f>Pipeline!Y6</f>
        <v>30.159999999999997</v>
      </c>
      <c r="P5" s="57">
        <f>Pipeline!Z6</f>
        <v>30.159999999999997</v>
      </c>
      <c r="Q5" s="57">
        <f>Pipeline!AA6</f>
        <v>30.159999999999997</v>
      </c>
      <c r="R5" s="57">
        <f>Pipeline!AB6</f>
        <v>30.159999999999997</v>
      </c>
      <c r="S5" s="57">
        <f>Pipeline!AC6</f>
        <v>30.159999999999997</v>
      </c>
      <c r="T5" s="57">
        <f>Pipeline!AD6</f>
        <v>30.159999999999997</v>
      </c>
      <c r="U5" s="57">
        <f>Pipeline!AE6</f>
        <v>30.159999999999997</v>
      </c>
      <c r="V5" s="57">
        <f>Pipeline!AF6</f>
        <v>15.079999999999998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-68.307</v>
      </c>
      <c r="D6" s="23">
        <f>-IF(D3-2026&lt;Assumptions!$B$19,Assumptions!$B$18,Assumptions!$B$18*Assumptions!$B$20*Assumptions!$B$16)</f>
        <v>-68.307</v>
      </c>
      <c r="E6" s="23">
        <f>-IF(E3-2026&lt;Assumptions!$B$19,Assumptions!$B$18,Assumptions!$B$18*Assumptions!$B$20*Assumptions!$B$16)</f>
        <v>-68.307</v>
      </c>
      <c r="F6" s="23">
        <f>-IF(F3-2026&lt;Assumptions!$B$19,Assumptions!$B$18,Assumptions!$B$18*Assumptions!$B$20*Assumptions!$B$16)</f>
        <v>-68.307</v>
      </c>
      <c r="G6" s="23">
        <f>-IF(G3-2026&lt;Assumptions!$B$19,Assumptions!$B$18,Assumptions!$B$18*Assumptions!$B$20*Assumptions!$B$16)</f>
        <v>-1.5451043400000004</v>
      </c>
      <c r="H6" s="23">
        <f>-IF(H3-2026&lt;Assumptions!$B$19,Assumptions!$B$18,Assumptions!$B$18*Assumptions!$B$20*Assumptions!$B$16)</f>
        <v>-1.5451043400000004</v>
      </c>
      <c r="I6" s="23">
        <f>-IF(I3-2026&lt;Assumptions!$B$19,Assumptions!$B$18,Assumptions!$B$18*Assumptions!$B$20*Assumptions!$B$16)</f>
        <v>-1.5451043400000004</v>
      </c>
      <c r="J6" s="23">
        <f>-IF(J3-2026&lt;Assumptions!$B$19,Assumptions!$B$18,Assumptions!$B$18*Assumptions!$B$20*Assumptions!$B$16)</f>
        <v>-1.5451043400000004</v>
      </c>
      <c r="K6" s="23">
        <f>-IF(K3-2026&lt;Assumptions!$B$19,Assumptions!$B$18,Assumptions!$B$18*Assumptions!$B$20*Assumptions!$B$16)</f>
        <v>-1.5451043400000004</v>
      </c>
      <c r="L6" s="23">
        <f>-IF(L3-2026&lt;Assumptions!$B$19,Assumptions!$B$18,Assumptions!$B$18*Assumptions!$B$20*Assumptions!$B$16)</f>
        <v>-1.5451043400000004</v>
      </c>
      <c r="M6" s="23">
        <f>-IF(M3-2026&lt;Assumptions!$B$19,Assumptions!$B$18,Assumptions!$B$18*Assumptions!$B$20*Assumptions!$B$16)</f>
        <v>-1.5451043400000004</v>
      </c>
      <c r="N6" s="23">
        <f>-IF(N3-2026&lt;Assumptions!$B$19,Assumptions!$B$18,Assumptions!$B$18*Assumptions!$B$20*Assumptions!$B$16)</f>
        <v>-1.5451043400000004</v>
      </c>
      <c r="O6" s="23">
        <f>-IF(O3-2026&lt;Assumptions!$B$19,Assumptions!$B$18,Assumptions!$B$18*Assumptions!$B$20*Assumptions!$B$16)</f>
        <v>-1.5451043400000004</v>
      </c>
      <c r="P6" s="23">
        <f>-IF(P3-2026&lt;Assumptions!$B$19,Assumptions!$B$18,Assumptions!$B$18*Assumptions!$B$20*Assumptions!$B$16)</f>
        <v>-1.5451043400000004</v>
      </c>
      <c r="Q6" s="23">
        <f>-IF(Q3-2026&lt;Assumptions!$B$19,Assumptions!$B$18,Assumptions!$B$18*Assumptions!$B$20*Assumptions!$B$16)</f>
        <v>-1.5451043400000004</v>
      </c>
      <c r="R6" s="23">
        <f>-IF(R3-2026&lt;Assumptions!$B$19,Assumptions!$B$18,Assumptions!$B$18*Assumptions!$B$20*Assumptions!$B$16)</f>
        <v>-1.5451043400000004</v>
      </c>
      <c r="S6" s="23">
        <f>-IF(S3-2026&lt;Assumptions!$B$19,Assumptions!$B$18,Assumptions!$B$18*Assumptions!$B$20*Assumptions!$B$16)</f>
        <v>-1.5451043400000004</v>
      </c>
      <c r="T6" s="23">
        <f>-IF(T3-2026&lt;Assumptions!$B$19,Assumptions!$B$18,Assumptions!$B$18*Assumptions!$B$20*Assumptions!$B$16)</f>
        <v>-1.5451043400000004</v>
      </c>
      <c r="U6" s="23">
        <f>-IF(U3-2026&lt;Assumptions!$B$19,Assumptions!$B$18,Assumptions!$B$18*Assumptions!$B$20*Assumptions!$B$16)</f>
        <v>-1.5451043400000004</v>
      </c>
      <c r="V6" s="23">
        <f>-IF(V3-2026&lt;Assumptions!$B$19,Assumptions!$B$18,Assumptions!$B$18*Assumptions!$B$20*Assumptions!$B$16)</f>
        <v>-1.5451043400000004</v>
      </c>
    </row>
    <row r="7">
      <c r="A7" s="14" t="inlineStr">
        <is>
          <t>Pre-tax cash flow</t>
        </is>
      </c>
      <c r="C7" s="23">
        <f>C5+C6</f>
        <v>-68.307</v>
      </c>
      <c r="D7" s="23">
        <f>D5+D6</f>
        <v>-68.307</v>
      </c>
      <c r="E7" s="23">
        <f>E5+E6</f>
        <v>-68.307</v>
      </c>
      <c r="F7" s="23">
        <f>F5+F6</f>
        <v>-68.307</v>
      </c>
      <c r="G7" s="23">
        <f>G5+G6</f>
        <v>-1.5451043400000004</v>
      </c>
      <c r="H7" s="23">
        <f>H5+H6</f>
        <v>-1.5451043400000004</v>
      </c>
      <c r="I7" s="23">
        <f>I5+I6</f>
        <v>1.4708956599999996</v>
      </c>
      <c r="J7" s="23">
        <f>J5+J6</f>
        <v>5.994895659999999</v>
      </c>
      <c r="K7" s="23">
        <f>K5+K6</f>
        <v>12.026895660000001</v>
      </c>
      <c r="L7" s="23">
        <f>L5+L6</f>
        <v>18.058895659999997</v>
      </c>
      <c r="M7" s="23">
        <f>M5+M6</f>
        <v>24.090895659999994</v>
      </c>
      <c r="N7" s="23">
        <f>N5+N6</f>
        <v>28.614895659999995</v>
      </c>
      <c r="O7" s="23">
        <f>O5+O6</f>
        <v>28.614895659999995</v>
      </c>
      <c r="P7" s="23">
        <f>P5+P6</f>
        <v>28.614895659999995</v>
      </c>
      <c r="Q7" s="23">
        <f>Q5+Q6</f>
        <v>28.614895659999995</v>
      </c>
      <c r="R7" s="23">
        <f>R5+R6</f>
        <v>28.614895659999995</v>
      </c>
      <c r="S7" s="23">
        <f>S5+S6</f>
        <v>28.614895659999995</v>
      </c>
      <c r="T7" s="23">
        <f>T5+T6</f>
        <v>28.614895659999995</v>
      </c>
      <c r="U7" s="23">
        <f>U5+U6</f>
        <v>28.614895659999995</v>
      </c>
      <c r="V7" s="23">
        <f>V5+V6</f>
        <v>13.534895659999998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1.4708956599999996</v>
      </c>
      <c r="J8" s="23">
        <f>MIN(I17,MAX(0,J7))</f>
        <v>5.994895659999999</v>
      </c>
      <c r="K8" s="23">
        <f>MIN(J17,MAX(0,K7))</f>
        <v>12.026895660000001</v>
      </c>
      <c r="L8" s="23">
        <f>MIN(K17,MAX(0,L7))</f>
        <v>18.058895659999997</v>
      </c>
      <c r="M8" s="23">
        <f>MIN(L17,MAX(0,M7))</f>
        <v>24.090895659999994</v>
      </c>
      <c r="N8" s="23">
        <f>MIN(M17,MAX(0,N7))</f>
        <v>28.614895659999995</v>
      </c>
      <c r="O8" s="23">
        <f>MIN(N17,MAX(0,O7))</f>
        <v>28.614895659999995</v>
      </c>
      <c r="P8" s="23">
        <f>MIN(O17,MAX(0,P7))</f>
        <v>28.614895659999995</v>
      </c>
      <c r="Q8" s="23">
        <f>MIN(P17,MAX(0,Q7))</f>
        <v>28.614895659999995</v>
      </c>
      <c r="R8" s="23">
        <f>MIN(Q17,MAX(0,R7))</f>
        <v>28.614895659999995</v>
      </c>
      <c r="S8" s="23">
        <f>MIN(R17,MAX(0,S7))</f>
        <v>28.614895659999995</v>
      </c>
      <c r="T8" s="23">
        <f>MIN(S17,MAX(0,T7))</f>
        <v>28.614895659999995</v>
      </c>
      <c r="U8" s="23">
        <f>MIN(T17,MAX(0,U7))</f>
        <v>28.614895659999995</v>
      </c>
      <c r="V8" s="23">
        <f>MIN(U17,MAX(0,V7))</f>
        <v>13.534895659999998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-68.307</v>
      </c>
      <c r="D11" s="55">
        <f>D7-D10</f>
        <v>-68.307</v>
      </c>
      <c r="E11" s="55">
        <f>E7-E10</f>
        <v>-68.307</v>
      </c>
      <c r="F11" s="55">
        <f>F7-F10</f>
        <v>-68.307</v>
      </c>
      <c r="G11" s="55">
        <f>G7-G10</f>
        <v>-1.5451043400000004</v>
      </c>
      <c r="H11" s="55">
        <f>H7-H10</f>
        <v>-1.5451043400000004</v>
      </c>
      <c r="I11" s="55">
        <f>I7-I10</f>
        <v>1.4708956599999996</v>
      </c>
      <c r="J11" s="55">
        <f>J7-J10</f>
        <v>5.994895659999999</v>
      </c>
      <c r="K11" s="55">
        <f>K7-K10</f>
        <v>12.026895660000001</v>
      </c>
      <c r="L11" s="55">
        <f>L7-L10</f>
        <v>18.058895659999997</v>
      </c>
      <c r="M11" s="55">
        <f>M7-M10</f>
        <v>24.090895659999994</v>
      </c>
      <c r="N11" s="55">
        <f>N7-N10</f>
        <v>28.614895659999995</v>
      </c>
      <c r="O11" s="55">
        <f>O7-O10</f>
        <v>28.614895659999995</v>
      </c>
      <c r="P11" s="55">
        <f>P7-P10</f>
        <v>28.614895659999995</v>
      </c>
      <c r="Q11" s="55">
        <f>Q7-Q10</f>
        <v>28.614895659999995</v>
      </c>
      <c r="R11" s="55">
        <f>R7-R10</f>
        <v>28.614895659999995</v>
      </c>
      <c r="S11" s="55">
        <f>S7-S10</f>
        <v>28.614895659999995</v>
      </c>
      <c r="T11" s="55">
        <f>T7-T10</f>
        <v>28.614895659999995</v>
      </c>
      <c r="U11" s="55">
        <f>U7-U10</f>
        <v>28.614895659999995</v>
      </c>
      <c r="V11" s="55">
        <f>V7-V10</f>
        <v>13.534895659999998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-33.46389636814447</v>
      </c>
      <c r="D16" s="55">
        <f>D11*D15</f>
        <v>-60.96006132877695</v>
      </c>
      <c r="E16" s="55">
        <f>E11*E15</f>
        <v>-54.42862618640798</v>
      </c>
      <c r="F16" s="55">
        <f>F11*F15</f>
        <v>-48.596987666435695</v>
      </c>
      <c r="G16" s="55">
        <f>G11*G15</f>
        <v>-0.981485590191764</v>
      </c>
      <c r="H16" s="55">
        <f>H11*H15</f>
        <v>-0.8763264198140749</v>
      </c>
      <c r="I16" s="55">
        <f>I11*I15</f>
        <v>0.7448553416879021</v>
      </c>
      <c r="J16" s="55">
        <f>J11*J15</f>
        <v>2.7105266154713314</v>
      </c>
      <c r="K16" s="55">
        <f>K11*K15</f>
        <v>4.8552049581589145</v>
      </c>
      <c r="L16" s="55">
        <f>L11*L15</f>
        <v>6.509193631062368</v>
      </c>
      <c r="M16" s="55">
        <f>M11*M15</f>
        <v>7.75302038856887</v>
      </c>
      <c r="N16" s="55">
        <f>N11*N15</f>
        <v>8.222277374281097</v>
      </c>
      <c r="O16" s="55">
        <f>O11*O15</f>
        <v>7.341319084179551</v>
      </c>
      <c r="P16" s="55">
        <f>P11*P15</f>
        <v>6.554749182303169</v>
      </c>
      <c r="Q16" s="55">
        <f>Q11*Q15</f>
        <v>5.852454627056401</v>
      </c>
      <c r="R16" s="55">
        <f>R11*R15</f>
        <v>5.225405917014643</v>
      </c>
      <c r="S16" s="55">
        <f>S11*S15</f>
        <v>4.665540997334502</v>
      </c>
      <c r="T16" s="55">
        <f>T11*T15</f>
        <v>4.165661604762948</v>
      </c>
      <c r="U16" s="55">
        <f>U11*U15</f>
        <v>3.7193407185383465</v>
      </c>
      <c r="V16" s="55">
        <f>V11*V15</f>
        <v>1.5707630897268297</v>
      </c>
    </row>
    <row r="17">
      <c r="A17" s="14" t="inlineStr">
        <is>
          <t>Tax-loss carryforward, end of year</t>
        </is>
      </c>
      <c r="C17" s="23">
        <f>Assumptions!$B$21-C8+MAX(0,-C7)</f>
        <v>453.40700000000004</v>
      </c>
      <c r="D17" s="23">
        <f>C17-D8+MAX(0,-D7)</f>
        <v>521.714</v>
      </c>
      <c r="E17" s="23">
        <f>D17-E8+MAX(0,-E7)</f>
        <v>590.0210000000001</v>
      </c>
      <c r="F17" s="23">
        <f>E17-F8+MAX(0,-F7)</f>
        <v>658.3280000000001</v>
      </c>
      <c r="G17" s="23">
        <f>F17-G8+MAX(0,-G7)</f>
        <v>659.87310434</v>
      </c>
      <c r="H17" s="23">
        <f>G17-H8+MAX(0,-H7)</f>
        <v>661.41820868</v>
      </c>
      <c r="I17" s="23">
        <f>H17-I8+MAX(0,-I7)</f>
        <v>659.94731302</v>
      </c>
      <c r="J17" s="23">
        <f>I17-J8+MAX(0,-J7)</f>
        <v>653.95241736</v>
      </c>
      <c r="K17" s="23">
        <f>J17-K8+MAX(0,-K7)</f>
        <v>641.9255217</v>
      </c>
      <c r="L17" s="23">
        <f>K17-L8+MAX(0,-L7)</f>
        <v>623.86662604</v>
      </c>
      <c r="M17" s="23">
        <f>L17-M8+MAX(0,-M7)</f>
        <v>599.77573038</v>
      </c>
      <c r="N17" s="23">
        <f>M17-N8+MAX(0,-N7)</f>
        <v>571.16083472</v>
      </c>
      <c r="O17" s="23">
        <f>N17-O8+MAX(0,-O7)</f>
        <v>542.54593906</v>
      </c>
      <c r="P17" s="23">
        <f>O17-P8+MAX(0,-P7)</f>
        <v>513.9310434</v>
      </c>
      <c r="Q17" s="23">
        <f>P17-Q8+MAX(0,-Q7)</f>
        <v>485.31614774</v>
      </c>
      <c r="R17" s="23">
        <f>Q17-R8+MAX(0,-R7)</f>
        <v>456.70125208</v>
      </c>
      <c r="S17" s="23">
        <f>R17-S8+MAX(0,-S7)</f>
        <v>428.08635642</v>
      </c>
      <c r="T17" s="23">
        <f>S17-T8+MAX(0,-T7)</f>
        <v>399.47146076</v>
      </c>
      <c r="U17" s="23">
        <f>T17-U8+MAX(0,-U7)</f>
        <v>370.8565651</v>
      </c>
      <c r="V17" s="23">
        <f>U17-V8+MAX(0,-V7)</f>
        <v>357.32166944</v>
      </c>
    </row>
    <row r="19">
      <c r="A19" s="14" t="inlineStr">
        <is>
          <t>PV of risked pipeline contribution</t>
        </is>
      </c>
      <c r="B19" s="23">
        <f>SUMPRODUCT(C5:V5,C15:V15)</f>
        <v>75.69875246349149</v>
      </c>
    </row>
    <row r="20">
      <c r="A20" s="14" t="inlineStr">
        <is>
          <t>PV of corporate burn</t>
        </is>
      </c>
      <c r="B20" s="23">
        <f>SUMPRODUCT(C6:V6,C15:V15)</f>
        <v>-205.11582249311556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-129.41707002962406</v>
      </c>
    </row>
    <row r="23">
      <c r="A23" s="14" t="inlineStr">
        <is>
          <t>Cash &amp; investments</t>
        </is>
      </c>
      <c r="B23" s="57">
        <f>Main!C7</f>
        <v>72.1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-57.31707002962406</v>
      </c>
    </row>
    <row r="26">
      <c r="A26" s="14" t="inlineStr">
        <is>
          <t>Shares (mm)</t>
        </is>
      </c>
      <c r="B26" s="57">
        <f>Main!C4</f>
        <v>47.246679</v>
      </c>
    </row>
    <row r="27">
      <c r="A27" s="24" t="inlineStr">
        <is>
          <t>rNPV / share</t>
        </is>
      </c>
      <c r="B27" s="60">
        <f>B25/B26</f>
        <v>-1.2131449499259845</v>
      </c>
    </row>
    <row r="28">
      <c r="A28" s="14" t="inlineStr">
        <is>
          <t>Price</t>
        </is>
      </c>
      <c r="B28" s="61">
        <f>Main!C3</f>
        <v>19.61</v>
      </c>
    </row>
    <row r="29">
      <c r="A29" s="14" t="inlineStr">
        <is>
          <t>Upside</t>
        </is>
      </c>
      <c r="B29" s="62">
        <f>B27/B28-1</f>
        <v>-1.0618635874516056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2026-10-21T06:25:22Z</dcterms:modified>
  <cp:lastModifiedBy>Wang, Eric</cp:lastModifiedBy>
</cp:coreProperties>
</file>