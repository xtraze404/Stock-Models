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Tyra Biosciences, Inc.</t>
        </is>
      </c>
      <c r="C2" s="10" t="n"/>
    </row>
    <row r="3">
      <c r="B3" t="inlineStr">
        <is>
          <t>Price</t>
        </is>
      </c>
      <c r="C3" s="11">
        <f>INDEX([1]Pharma!$F$1:$F$1000,MATCH("TYRA",[1]Pharma!$B$1:$B$1000,0))</f>
        <v>20.47</v>
      </c>
      <c r="F3" s="1" t="n"/>
    </row>
    <row r="4">
      <c r="B4" t="inlineStr">
        <is>
          <t>Shares</t>
        </is>
      </c>
      <c r="C4" s="21" t="n">
        <v>59.676939</v>
      </c>
      <c r="F4" s="1" t="n"/>
    </row>
    <row r="5">
      <c r="B5" t="inlineStr">
        <is>
          <t>Market Cap.</t>
        </is>
      </c>
      <c r="C5" s="13">
        <f>C3*C4</f>
        <v>1221.58694133</v>
      </c>
      <c r="F5" s="1" t="n"/>
    </row>
    <row r="6"/>
    <row r="7">
      <c r="B7" t="inlineStr">
        <is>
          <t>Cash</t>
        </is>
      </c>
      <c r="C7" s="21" t="n">
        <v>73.83499999999999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1147.75194133</v>
      </c>
    </row>
    <row r="10"/>
    <row r="11">
      <c r="B11" s="14" t="inlineStr">
        <is>
          <t>Net Cash / Share</t>
        </is>
      </c>
      <c r="C11" s="11">
        <f>(C7-C8)/C4</f>
        <v>1.2372450939549697</v>
      </c>
    </row>
    <row r="12">
      <c r="B12" s="14" t="inlineStr">
        <is>
          <t>Upside</t>
        </is>
      </c>
      <c r="C12" s="15">
        <f>IFERROR(C11/C3-1,"")</f>
        <v>-0.939558129264535</v>
      </c>
    </row>
    <row r="13">
      <c r="B13" s="14" t="inlineStr">
        <is>
          <t>Cash / Share</t>
        </is>
      </c>
      <c r="C13" s="11">
        <f>IFERROR((C7-C8)/C4,"")</f>
        <v>1.2372450939549697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-109.651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0.6733636720139351</v>
      </c>
    </row>
    <row r="19">
      <c r="B19" s="14" t="inlineStr">
        <is>
          <t>Implied Pipeline Value</t>
        </is>
      </c>
      <c r="C19" s="13">
        <f>C9</f>
        <v>1147.75194133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7.203</v>
      </c>
      <c r="C5" s="23" t="n">
        <v>20.636</v>
      </c>
      <c r="D5" s="23" t="n">
        <v>43.008</v>
      </c>
      <c r="E5" s="23" t="n">
        <v>62.518</v>
      </c>
      <c r="F5" s="23" t="n">
        <v>80.077</v>
      </c>
      <c r="G5" s="23" t="n">
        <v>102.928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2.094</v>
      </c>
      <c r="C6" s="23" t="n">
        <v>5.652</v>
      </c>
      <c r="D6" s="23" t="n">
        <v>15.919</v>
      </c>
      <c r="E6" s="23" t="n">
        <v>17.427</v>
      </c>
      <c r="F6" s="23" t="n">
        <v>24.1</v>
      </c>
      <c r="G6" s="23" t="n">
        <v>29.834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9.297</v>
      </c>
      <c r="C7" s="23">
        <f>SUM(C5:C6)</f>
        <v>26.288</v>
      </c>
      <c r="D7" s="23">
        <f>SUM(D5:D6)</f>
        <v>58.92700000000001</v>
      </c>
      <c r="E7" s="23">
        <f>SUM(E5:E6)</f>
        <v>79.945</v>
      </c>
      <c r="F7" s="23">
        <f>SUM(F5:F6)</f>
        <v>104.17699999999999</v>
      </c>
      <c r="G7" s="23">
        <f>SUM(G5:G6)</f>
        <v>132.762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-9.297</v>
      </c>
      <c r="C8" s="23">
        <f>C4-C7</f>
        <v>-26.288</v>
      </c>
      <c r="D8" s="23">
        <f>D4-D7</f>
        <v>-58.92700000000001</v>
      </c>
      <c r="E8" s="23">
        <f>E4-E7</f>
        <v>-79.945</v>
      </c>
      <c r="F8" s="23">
        <f>F4-F7</f>
        <v>-104.17699999999999</v>
      </c>
      <c r="G8" s="23">
        <f>G4-G7</f>
        <v>-132.762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-0.038</v>
      </c>
      <c r="C9" s="23" t="n">
        <v>-0.005</v>
      </c>
      <c r="D9" s="23" t="n">
        <v>3.604</v>
      </c>
      <c r="E9" s="23" t="n">
        <v>10.811</v>
      </c>
      <c r="F9" s="23" t="n">
        <v>17.696</v>
      </c>
      <c r="G9" s="23" t="n">
        <v>12.815</v>
      </c>
    </row>
    <row r="10">
      <c r="A10" s="2" t="inlineStr">
        <is>
          <t>Pretax</t>
        </is>
      </c>
      <c r="B10" s="23">
        <f>B8+B9</f>
        <v>-9.335</v>
      </c>
      <c r="C10" s="23">
        <f>C8+C9</f>
        <v>-26.293</v>
      </c>
      <c r="D10" s="23">
        <f>D8+D9</f>
        <v>-55.32300000000001</v>
      </c>
      <c r="E10" s="23">
        <f>E8+E9</f>
        <v>-69.13399999999999</v>
      </c>
      <c r="F10" s="23">
        <f>F8+F9</f>
        <v>-86.481</v>
      </c>
      <c r="G10" s="23">
        <f>G8+G9</f>
        <v>-119.947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0.001</v>
      </c>
      <c r="C11" s="23" t="n">
        <v>0.001</v>
      </c>
      <c r="D11" s="23" t="n">
        <v>0.002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-9.336</v>
      </c>
      <c r="C12" s="23" t="n">
        <v>-26.294</v>
      </c>
      <c r="D12" s="23" t="n">
        <v>-55.325</v>
      </c>
      <c r="E12" s="23" t="n">
        <v>-69.134</v>
      </c>
      <c r="F12" s="23" t="n">
        <v>-86.48099999999999</v>
      </c>
      <c r="G12" s="23" t="n">
        <v>-119.947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-0.22421287735056075</v>
      </c>
      <c r="C13" s="11">
        <f>IFERROR(C12/C14,0)</f>
        <v>-0.6360118039765856</v>
      </c>
      <c r="D13" s="11">
        <f>IFERROR(D12/D14,0)</f>
        <v>-1.3209101327475887</v>
      </c>
      <c r="E13" s="11">
        <f>IFERROR(E12/E14,0)</f>
        <v>-1.6188736681887368</v>
      </c>
      <c r="F13" s="11">
        <f>IFERROR(F12/F14,0)</f>
        <v>-1.5114299695899889</v>
      </c>
      <c r="G13" s="11">
        <f>IFERROR(G12/G14,0)</f>
        <v>-2.0124660246300463</v>
      </c>
    </row>
    <row r="14">
      <c r="A14" s="2" t="inlineStr">
        <is>
          <t>Shares</t>
        </is>
      </c>
      <c r="B14" s="23" t="n">
        <v>41.639</v>
      </c>
      <c r="C14" s="23" t="n">
        <v>41.342</v>
      </c>
      <c r="D14" s="23" t="n">
        <v>41.884</v>
      </c>
      <c r="E14" s="23" t="n">
        <v>42.705</v>
      </c>
      <c r="F14" s="23" t="n">
        <v>57.218</v>
      </c>
      <c r="G14" s="23" t="n">
        <v>59.602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2026-10-21T01:04:48Z</dcterms:modified>
  <cp:lastModifiedBy>Wang, Eric</cp:lastModifiedBy>
</cp:coreProperties>
</file>