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Tyra Biosciences, Inc.</t>
        </is>
      </c>
      <c r="C2" s="10" t="n"/>
    </row>
    <row r="3">
      <c r="B3" t="inlineStr">
        <is>
          <t>Price</t>
        </is>
      </c>
      <c r="C3" s="11">
        <f>INDEX([1]Pharma!$F$1:$F$1000,MATCH("TYRA",[1]Pharma!$B$1:$B$1000,0))</f>
        <v>20.47</v>
      </c>
      <c r="F3" s="1" t="n"/>
    </row>
    <row r="4">
      <c r="B4" t="inlineStr">
        <is>
          <t>Shares</t>
        </is>
      </c>
      <c r="C4" s="21" t="n">
        <v>59.676939</v>
      </c>
      <c r="F4" s="1" t="n"/>
    </row>
    <row r="5">
      <c r="B5" t="inlineStr">
        <is>
          <t>Market Cap.</t>
        </is>
      </c>
      <c r="C5" s="13">
        <f>C3*C4</f>
        <v>1221.58694133</v>
      </c>
      <c r="F5" s="1" t="n"/>
    </row>
    <row r="6"/>
    <row r="7">
      <c r="B7" t="inlineStr">
        <is>
          <t>Cash</t>
        </is>
      </c>
      <c r="C7" s="21" t="n">
        <v>73.83499999999999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1147.75194133</v>
      </c>
    </row>
    <row r="10"/>
    <row r="11">
      <c r="B11" s="14" t="inlineStr">
        <is>
          <t>rNPV / Share</t>
        </is>
      </c>
      <c r="C11" s="11">
        <f>NPV!B27</f>
        <v>-2.9600049294562436</v>
      </c>
    </row>
    <row r="12">
      <c r="B12" s="14" t="inlineStr">
        <is>
          <t>Upside</t>
        </is>
      </c>
      <c r="C12" s="15">
        <f>IFERROR(C11/C3-1,"")</f>
        <v>-1.1446020971888737</v>
      </c>
    </row>
    <row r="13">
      <c r="B13" s="14" t="inlineStr">
        <is>
          <t>Cash / Share</t>
        </is>
      </c>
      <c r="C13" s="11">
        <f>IFERROR((C7-C8)/C4,"")</f>
        <v>1.2372450939549697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-109.651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0.6733636720139351</v>
      </c>
    </row>
    <row r="19">
      <c r="B19" s="14" t="inlineStr">
        <is>
          <t>Implied Pipeline Value</t>
        </is>
      </c>
      <c r="C19" s="13">
        <f>C9</f>
        <v>1147.75194133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7.203</v>
      </c>
      <c r="C5" s="23" t="n">
        <v>20.636</v>
      </c>
      <c r="D5" s="23" t="n">
        <v>43.008</v>
      </c>
      <c r="E5" s="23" t="n">
        <v>62.518</v>
      </c>
      <c r="F5" s="23" t="n">
        <v>80.077</v>
      </c>
      <c r="G5" s="23" t="n">
        <v>102.928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2.094</v>
      </c>
      <c r="C6" s="23" t="n">
        <v>5.652</v>
      </c>
      <c r="D6" s="23" t="n">
        <v>15.919</v>
      </c>
      <c r="E6" s="23" t="n">
        <v>17.427</v>
      </c>
      <c r="F6" s="23" t="n">
        <v>24.1</v>
      </c>
      <c r="G6" s="23" t="n">
        <v>29.834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9.297</v>
      </c>
      <c r="C7" s="23">
        <f>SUM(C5:C6)</f>
        <v>26.288</v>
      </c>
      <c r="D7" s="23">
        <f>SUM(D5:D6)</f>
        <v>58.92700000000001</v>
      </c>
      <c r="E7" s="23">
        <f>SUM(E5:E6)</f>
        <v>79.945</v>
      </c>
      <c r="F7" s="23">
        <f>SUM(F5:F6)</f>
        <v>104.17699999999999</v>
      </c>
      <c r="G7" s="23">
        <f>SUM(G5:G6)</f>
        <v>132.762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-9.297</v>
      </c>
      <c r="C8" s="23">
        <f>C4-C7</f>
        <v>-26.288</v>
      </c>
      <c r="D8" s="23">
        <f>D4-D7</f>
        <v>-58.92700000000001</v>
      </c>
      <c r="E8" s="23">
        <f>E4-E7</f>
        <v>-79.945</v>
      </c>
      <c r="F8" s="23">
        <f>F4-F7</f>
        <v>-104.17699999999999</v>
      </c>
      <c r="G8" s="23">
        <f>G4-G7</f>
        <v>-132.762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-0.038</v>
      </c>
      <c r="C9" s="23" t="n">
        <v>-0.005</v>
      </c>
      <c r="D9" s="23" t="n">
        <v>3.604</v>
      </c>
      <c r="E9" s="23" t="n">
        <v>10.811</v>
      </c>
      <c r="F9" s="23" t="n">
        <v>17.696</v>
      </c>
      <c r="G9" s="23" t="n">
        <v>12.815</v>
      </c>
    </row>
    <row r="10">
      <c r="A10" s="2" t="inlineStr">
        <is>
          <t>Pretax</t>
        </is>
      </c>
      <c r="B10" s="23">
        <f>B8+B9</f>
        <v>-9.335</v>
      </c>
      <c r="C10" s="23">
        <f>C8+C9</f>
        <v>-26.293</v>
      </c>
      <c r="D10" s="23">
        <f>D8+D9</f>
        <v>-55.32300000000001</v>
      </c>
      <c r="E10" s="23">
        <f>E8+E9</f>
        <v>-69.13399999999999</v>
      </c>
      <c r="F10" s="23">
        <f>F8+F9</f>
        <v>-86.481</v>
      </c>
      <c r="G10" s="23">
        <f>G8+G9</f>
        <v>-119.947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0.001</v>
      </c>
      <c r="C11" s="23" t="n">
        <v>0.001</v>
      </c>
      <c r="D11" s="23" t="n">
        <v>0.002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-9.336</v>
      </c>
      <c r="C12" s="23" t="n">
        <v>-26.294</v>
      </c>
      <c r="D12" s="23" t="n">
        <v>-55.325</v>
      </c>
      <c r="E12" s="23" t="n">
        <v>-69.134</v>
      </c>
      <c r="F12" s="23" t="n">
        <v>-86.48099999999999</v>
      </c>
      <c r="G12" s="23" t="n">
        <v>-119.947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-0.22421287735056075</v>
      </c>
      <c r="C13" s="11">
        <f>IFERROR(C12/C14,0)</f>
        <v>-0.6360118039765856</v>
      </c>
      <c r="D13" s="11">
        <f>IFERROR(D12/D14,0)</f>
        <v>-1.3209101327475887</v>
      </c>
      <c r="E13" s="11">
        <f>IFERROR(E12/E14,0)</f>
        <v>-1.6188736681887368</v>
      </c>
      <c r="F13" s="11">
        <f>IFERROR(F12/F14,0)</f>
        <v>-1.5114299695899889</v>
      </c>
      <c r="G13" s="11">
        <f>IFERROR(G12/G14,0)</f>
        <v>-2.0124660246300463</v>
      </c>
    </row>
    <row r="14">
      <c r="A14" s="2" t="inlineStr">
        <is>
          <t>Shares</t>
        </is>
      </c>
      <c r="B14" s="23" t="n">
        <v>41.639</v>
      </c>
      <c r="C14" s="23" t="n">
        <v>41.342</v>
      </c>
      <c r="D14" s="23" t="n">
        <v>41.884</v>
      </c>
      <c r="E14" s="23" t="n">
        <v>42.705</v>
      </c>
      <c r="F14" s="23" t="n">
        <v>57.218</v>
      </c>
      <c r="G14" s="23" t="n">
        <v>59.602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Tyra Biosciences,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1-PRODUCT(Pipeline!AG4:AG7)</f>
        <v>0.401335560129628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160.461</v>
      </c>
    </row>
    <row r="19">
      <c r="A19" s="14" t="inlineStr">
        <is>
          <t>Years of full burn (until the first launch, max 4)</t>
        </is>
      </c>
      <c r="B19" s="39">
        <f>MIN(4,MAX(1,MIN(Pipeline!I4:I7)-2026))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366.5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-250.47903361485953</v>
      </c>
      <c r="C29" s="42">
        <f>NPV!B25</f>
        <v>-176.64403361485955</v>
      </c>
      <c r="D29" s="43">
        <f>NPV!B27</f>
        <v>-2.9600049294562436</v>
      </c>
      <c r="E29" s="44">
        <f>NPV!B29</f>
        <v>-1.1446020971888737</v>
      </c>
    </row>
    <row r="30">
      <c r="A30" s="45" t="n">
        <v>1</v>
      </c>
      <c r="B30" s="46">
        <f t="dataTable" ref="B30:E32" r1="B4"/>
        <v>-396.8447468805937</v>
      </c>
      <c r="C30" s="46">
        <v>-323.0097468805937</v>
      </c>
      <c r="D30" s="47">
        <v>-5.412639325897626</v>
      </c>
      <c r="E30" s="48">
        <v>-1.2644181400047692</v>
      </c>
    </row>
    <row r="31">
      <c r="A31" s="45" t="n">
        <v>2</v>
      </c>
      <c r="B31" s="46">
        <v>-250.47903361485953</v>
      </c>
      <c r="C31" s="46">
        <v>-176.64403361485955</v>
      </c>
      <c r="D31" s="47">
        <v>-2.9600049294562436</v>
      </c>
      <c r="E31" s="48">
        <v>-1.1446020971888737</v>
      </c>
    </row>
    <row r="32">
      <c r="A32" s="45" t="n">
        <v>3</v>
      </c>
      <c r="B32" s="46">
        <v>-19.112714047282342</v>
      </c>
      <c r="C32" s="46">
        <v>54.722285952717655</v>
      </c>
      <c r="D32" s="47">
        <v>0.9169754157919805</v>
      </c>
      <c r="E32" s="48">
        <v>-0.955203936697998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-2.9600049294562436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-6.003946885392798</v>
      </c>
      <c r="C37" s="47">
        <v>-5.226737939663655</v>
      </c>
      <c r="D37" s="47">
        <v>-4.4495289939345115</v>
      </c>
      <c r="E37" s="47">
        <v>-2.8951111024762244</v>
      </c>
      <c r="F37" s="47">
        <v>-1.4826164461476945</v>
      </c>
    </row>
    <row r="38">
      <c r="A38" s="50" t="n">
        <v>0.8</v>
      </c>
      <c r="B38" s="47">
        <v>-5.786763888307143</v>
      </c>
      <c r="C38" s="47">
        <v>-4.750485294001619</v>
      </c>
      <c r="D38" s="47">
        <v>-3.7142066996960934</v>
      </c>
      <c r="E38" s="47">
        <v>-1.7515852888750467</v>
      </c>
      <c r="F38" s="47">
        <v>0.021975121573884822</v>
      </c>
    </row>
    <row r="39">
      <c r="A39" s="50" t="n">
        <v>1</v>
      </c>
      <c r="B39" s="47">
        <v>-5.550701415220055</v>
      </c>
      <c r="C39" s="47">
        <v>-4.2553531723381495</v>
      </c>
      <c r="D39" s="47">
        <v>-2.9600049294562436</v>
      </c>
      <c r="E39" s="47">
        <v>-0.6642748595663214</v>
      </c>
      <c r="F39" s="47">
        <v>1.510084769321773</v>
      </c>
    </row>
    <row r="40">
      <c r="A40" s="50" t="n">
        <v>1.2</v>
      </c>
      <c r="B40" s="47">
        <v>-5.296450599609711</v>
      </c>
      <c r="C40" s="47">
        <v>-3.7420327081514255</v>
      </c>
      <c r="D40" s="47">
        <v>-2.2445721790791335</v>
      </c>
      <c r="E40" s="47">
        <v>0.4185547731196491</v>
      </c>
      <c r="F40" s="47">
        <v>2.993396477502195</v>
      </c>
    </row>
    <row r="41">
      <c r="A41" s="50" t="n">
        <v>1.4</v>
      </c>
      <c r="B41" s="47">
        <v>-5.02469095355335</v>
      </c>
      <c r="C41" s="47">
        <v>-3.211203413518683</v>
      </c>
      <c r="D41" s="47">
        <v>-1.5616390498767783</v>
      </c>
      <c r="E41" s="47">
        <v>1.5005741610738472</v>
      </c>
      <c r="F41" s="47">
        <v>4.481754086699646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9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Tyra Biosciences,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Endocrine (rare)</t>
        </is>
      </c>
      <c r="C4" s="14" t="inlineStr">
        <is>
          <t>TYRA-300 0.125 mg/kg, TYRA-300 0.25 mg/kg</t>
        </is>
      </c>
      <c r="D4" s="14" t="inlineStr">
        <is>
          <t>Phase 2</t>
        </is>
      </c>
      <c r="E4" s="14" t="inlineStr">
        <is>
          <t>Endocrine / rare</t>
        </is>
      </c>
      <c r="F4" s="14" t="inlineStr">
        <is>
          <t>Owned</t>
        </is>
      </c>
      <c r="G4" s="40" t="n">
        <v>700</v>
      </c>
      <c r="H4" s="27" t="n">
        <v>0.2521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200.47750581777888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17.647</v>
      </c>
      <c r="S4" s="23">
        <f>IF(S$3&lt;$I4,0,$G4*Assumptions!$E$11*INDEX(Assumptions!$B$24:$G$24,MIN(6,S$3-$I4+1))*IF(S$3&gt;$J4,(1-Assumptions!$B$26)^(S$3-$J4),1)*IF($H4&gt;=1,1,MIN(0.97,$H4*Assumptions!$E$12)))</f>
        <v>44.1175</v>
      </c>
      <c r="T4" s="23">
        <f>IF(T$3&lt;$I4,0,$G4*Assumptions!$E$11*INDEX(Assumptions!$B$24:$G$24,MIN(6,T$3-$I4+1))*IF(T$3&gt;$J4,(1-Assumptions!$B$26)^(T$3-$J4),1)*IF($H4&gt;=1,1,MIN(0.97,$H4*Assumptions!$E$12)))</f>
        <v>79.4115</v>
      </c>
      <c r="U4" s="23">
        <f>IF(U$3&lt;$I4,0,$G4*Assumptions!$E$11*INDEX(Assumptions!$B$24:$G$24,MIN(6,U$3-$I4+1))*IF(U$3&gt;$J4,(1-Assumptions!$B$26)^(U$3-$J4),1)*IF($H4&gt;=1,1,MIN(0.97,$H4*Assumptions!$E$12)))</f>
        <v>114.7055</v>
      </c>
      <c r="V4" s="23">
        <f>IF(V$3&lt;$I4,0,$G4*Assumptions!$E$11*INDEX(Assumptions!$B$24:$G$24,MIN(6,V$3-$I4+1))*IF(V$3&gt;$J4,(1-Assumptions!$B$26)^(V$3-$J4),1)*IF($H4&gt;=1,1,MIN(0.97,$H4*Assumptions!$E$12)))</f>
        <v>149.99949999999998</v>
      </c>
      <c r="W4" s="23">
        <f>IF(W$3&lt;$I4,0,$G4*Assumptions!$E$11*INDEX(Assumptions!$B$24:$G$24,MIN(6,W$3-$I4+1))*IF(W$3&gt;$J4,(1-Assumptions!$B$26)^(W$3-$J4),1)*IF($H4&gt;=1,1,MIN(0.97,$H4*Assumptions!$E$12)))</f>
        <v>176.47</v>
      </c>
      <c r="X4" s="23">
        <f>IF(X$3&lt;$I4,0,$G4*Assumptions!$E$11*INDEX(Assumptions!$B$24:$G$24,MIN(6,X$3-$I4+1))*IF(X$3&gt;$J4,(1-Assumptions!$B$26)^(X$3-$J4),1)*IF($H4&gt;=1,1,MIN(0.97,$H4*Assumptions!$E$12)))</f>
        <v>176.47</v>
      </c>
      <c r="Y4" s="23">
        <f>IF(Y$3&lt;$I4,0,$G4*Assumptions!$E$11*INDEX(Assumptions!$B$24:$G$24,MIN(6,Y$3-$I4+1))*IF(Y$3&gt;$J4,(1-Assumptions!$B$26)^(Y$3-$J4),1)*IF($H4&gt;=1,1,MIN(0.97,$H4*Assumptions!$E$12)))</f>
        <v>176.47</v>
      </c>
      <c r="Z4" s="23">
        <f>IF(Z$3&lt;$I4,0,$G4*Assumptions!$E$11*INDEX(Assumptions!$B$24:$G$24,MIN(6,Z$3-$I4+1))*IF(Z$3&gt;$J4,(1-Assumptions!$B$26)^(Z$3-$J4),1)*IF($H4&gt;=1,1,MIN(0.97,$H4*Assumptions!$E$12)))</f>
        <v>176.47</v>
      </c>
      <c r="AA4" s="23">
        <f>IF(AA$3&lt;$I4,0,$G4*Assumptions!$E$11*INDEX(Assumptions!$B$24:$G$24,MIN(6,AA$3-$I4+1))*IF(AA$3&gt;$J4,(1-Assumptions!$B$26)^(AA$3-$J4),1)*IF($H4&gt;=1,1,MIN(0.97,$H4*Assumptions!$E$12)))</f>
        <v>176.47</v>
      </c>
      <c r="AB4" s="23">
        <f>IF(AB$3&lt;$I4,0,$G4*Assumptions!$E$11*INDEX(Assumptions!$B$24:$G$24,MIN(6,AB$3-$I4+1))*IF(AB$3&gt;$J4,(1-Assumptions!$B$26)^(AB$3-$J4),1)*IF($H4&gt;=1,1,MIN(0.97,$H4*Assumptions!$E$12)))</f>
        <v>176.47</v>
      </c>
      <c r="AC4" s="23">
        <f>IF(AC$3&lt;$I4,0,$G4*Assumptions!$E$11*INDEX(Assumptions!$B$24:$G$24,MIN(6,AC$3-$I4+1))*IF(AC$3&gt;$J4,(1-Assumptions!$B$26)^(AC$3-$J4),1)*IF($H4&gt;=1,1,MIN(0.97,$H4*Assumptions!$E$12)))</f>
        <v>176.47</v>
      </c>
      <c r="AD4" s="23">
        <f>IF(AD$3&lt;$I4,0,$G4*Assumptions!$E$11*INDEX(Assumptions!$B$24:$G$24,MIN(6,AD$3-$I4+1))*IF(AD$3&gt;$J4,(1-Assumptions!$B$26)^(AD$3-$J4),1)*IF($H4&gt;=1,1,MIN(0.97,$H4*Assumptions!$E$12)))</f>
        <v>176.47</v>
      </c>
      <c r="AE4" s="23">
        <f>IF(AE$3&lt;$I4,0,$G4*Assumptions!$E$11*INDEX(Assumptions!$B$24:$G$24,MIN(6,AE$3-$I4+1))*IF(AE$3&gt;$J4,(1-Assumptions!$B$26)^(AE$3-$J4),1)*IF($H4&gt;=1,1,MIN(0.97,$H4*Assumptions!$E$12)))</f>
        <v>88.235</v>
      </c>
      <c r="AF4" s="23">
        <f>IF(AF$3&lt;$I4,0,$G4*Assumptions!$E$11*INDEX(Assumptions!$B$24:$G$24,MIN(6,AF$3-$I4+1))*IF(AF$3&gt;$J4,(1-Assumptions!$B$26)^(AF$3-$J4),1)*IF($H4&gt;=1,1,MIN(0.97,$H4*Assumptions!$E$12)))</f>
        <v>44.1175</v>
      </c>
      <c r="AG4" s="35">
        <f>IF(F4="Owned",1-IF(H4&gt;=1,1,MIN(0.97,H4*Assumptions!$E$12)),1)</f>
        <v>0.7479</v>
      </c>
    </row>
    <row r="5">
      <c r="A5" s="39" t="n">
        <v>2</v>
      </c>
      <c r="B5" s="14" t="inlineStr">
        <is>
          <t>Bladder / urothelial cancer</t>
        </is>
      </c>
      <c r="C5" s="14" t="inlineStr">
        <is>
          <t>TYRA-300 60mg, TYRA-300 50mg</t>
        </is>
      </c>
      <c r="D5" s="14" t="inlineStr">
        <is>
          <t>Phase 2</t>
        </is>
      </c>
      <c r="E5" s="14" t="inlineStr">
        <is>
          <t>Oncology / area</t>
        </is>
      </c>
      <c r="F5" s="14" t="inlineStr">
        <is>
          <t>Owned</t>
        </is>
      </c>
      <c r="G5" s="40" t="n">
        <v>480</v>
      </c>
      <c r="H5" s="27" t="n">
        <v>0.108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58.89246841725878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5.184</v>
      </c>
      <c r="S5" s="23">
        <f>IF(S$3&lt;$I5,0,$G5*Assumptions!$E$11*INDEX(Assumptions!$B$24:$G$24,MIN(6,S$3-$I5+1))*IF(S$3&gt;$J5,(1-Assumptions!$B$26)^(S$3-$J5),1)*IF($H5&gt;=1,1,MIN(0.97,$H5*Assumptions!$E$12)))</f>
        <v>12.959999999999999</v>
      </c>
      <c r="T5" s="23">
        <f>IF(T$3&lt;$I5,0,$G5*Assumptions!$E$11*INDEX(Assumptions!$B$24:$G$24,MIN(6,T$3-$I5+1))*IF(T$3&gt;$J5,(1-Assumptions!$B$26)^(T$3-$J5),1)*IF($H5&gt;=1,1,MIN(0.97,$H5*Assumptions!$E$12)))</f>
        <v>23.328</v>
      </c>
      <c r="U5" s="23">
        <f>IF(U$3&lt;$I5,0,$G5*Assumptions!$E$11*INDEX(Assumptions!$B$24:$G$24,MIN(6,U$3-$I5+1))*IF(U$3&gt;$J5,(1-Assumptions!$B$26)^(U$3-$J5),1)*IF($H5&gt;=1,1,MIN(0.97,$H5*Assumptions!$E$12)))</f>
        <v>33.696</v>
      </c>
      <c r="V5" s="23">
        <f>IF(V$3&lt;$I5,0,$G5*Assumptions!$E$11*INDEX(Assumptions!$B$24:$G$24,MIN(6,V$3-$I5+1))*IF(V$3&gt;$J5,(1-Assumptions!$B$26)^(V$3-$J5),1)*IF($H5&gt;=1,1,MIN(0.97,$H5*Assumptions!$E$12)))</f>
        <v>44.064</v>
      </c>
      <c r="W5" s="23">
        <f>IF(W$3&lt;$I5,0,$G5*Assumptions!$E$11*INDEX(Assumptions!$B$24:$G$24,MIN(6,W$3-$I5+1))*IF(W$3&gt;$J5,(1-Assumptions!$B$26)^(W$3-$J5),1)*IF($H5&gt;=1,1,MIN(0.97,$H5*Assumptions!$E$12)))</f>
        <v>51.839999999999996</v>
      </c>
      <c r="X5" s="23">
        <f>IF(X$3&lt;$I5,0,$G5*Assumptions!$E$11*INDEX(Assumptions!$B$24:$G$24,MIN(6,X$3-$I5+1))*IF(X$3&gt;$J5,(1-Assumptions!$B$26)^(X$3-$J5),1)*IF($H5&gt;=1,1,MIN(0.97,$H5*Assumptions!$E$12)))</f>
        <v>51.839999999999996</v>
      </c>
      <c r="Y5" s="23">
        <f>IF(Y$3&lt;$I5,0,$G5*Assumptions!$E$11*INDEX(Assumptions!$B$24:$G$24,MIN(6,Y$3-$I5+1))*IF(Y$3&gt;$J5,(1-Assumptions!$B$26)^(Y$3-$J5),1)*IF($H5&gt;=1,1,MIN(0.97,$H5*Assumptions!$E$12)))</f>
        <v>51.839999999999996</v>
      </c>
      <c r="Z5" s="23">
        <f>IF(Z$3&lt;$I5,0,$G5*Assumptions!$E$11*INDEX(Assumptions!$B$24:$G$24,MIN(6,Z$3-$I5+1))*IF(Z$3&gt;$J5,(1-Assumptions!$B$26)^(Z$3-$J5),1)*IF($H5&gt;=1,1,MIN(0.97,$H5*Assumptions!$E$12)))</f>
        <v>51.839999999999996</v>
      </c>
      <c r="AA5" s="23">
        <f>IF(AA$3&lt;$I5,0,$G5*Assumptions!$E$11*INDEX(Assumptions!$B$24:$G$24,MIN(6,AA$3-$I5+1))*IF(AA$3&gt;$J5,(1-Assumptions!$B$26)^(AA$3-$J5),1)*IF($H5&gt;=1,1,MIN(0.97,$H5*Assumptions!$E$12)))</f>
        <v>51.839999999999996</v>
      </c>
      <c r="AB5" s="23">
        <f>IF(AB$3&lt;$I5,0,$G5*Assumptions!$E$11*INDEX(Assumptions!$B$24:$G$24,MIN(6,AB$3-$I5+1))*IF(AB$3&gt;$J5,(1-Assumptions!$B$26)^(AB$3-$J5),1)*IF($H5&gt;=1,1,MIN(0.97,$H5*Assumptions!$E$12)))</f>
        <v>51.839999999999996</v>
      </c>
      <c r="AC5" s="23">
        <f>IF(AC$3&lt;$I5,0,$G5*Assumptions!$E$11*INDEX(Assumptions!$B$24:$G$24,MIN(6,AC$3-$I5+1))*IF(AC$3&gt;$J5,(1-Assumptions!$B$26)^(AC$3-$J5),1)*IF($H5&gt;=1,1,MIN(0.97,$H5*Assumptions!$E$12)))</f>
        <v>51.839999999999996</v>
      </c>
      <c r="AD5" s="23">
        <f>IF(AD$3&lt;$I5,0,$G5*Assumptions!$E$11*INDEX(Assumptions!$B$24:$G$24,MIN(6,AD$3-$I5+1))*IF(AD$3&gt;$J5,(1-Assumptions!$B$26)^(AD$3-$J5),1)*IF($H5&gt;=1,1,MIN(0.97,$H5*Assumptions!$E$12)))</f>
        <v>51.839999999999996</v>
      </c>
      <c r="AE5" s="23">
        <f>IF(AE$3&lt;$I5,0,$G5*Assumptions!$E$11*INDEX(Assumptions!$B$24:$G$24,MIN(6,AE$3-$I5+1))*IF(AE$3&gt;$J5,(1-Assumptions!$B$26)^(AE$3-$J5),1)*IF($H5&gt;=1,1,MIN(0.97,$H5*Assumptions!$E$12)))</f>
        <v>25.919999999999998</v>
      </c>
      <c r="AF5" s="23">
        <f>IF(AF$3&lt;$I5,0,$G5*Assumptions!$E$11*INDEX(Assumptions!$B$24:$G$24,MIN(6,AF$3-$I5+1))*IF(AF$3&gt;$J5,(1-Assumptions!$B$26)^(AF$3-$J5),1)*IF($H5&gt;=1,1,MIN(0.97,$H5*Assumptions!$E$12)))</f>
        <v>12.959999999999999</v>
      </c>
      <c r="AG5" s="35">
        <f>IF(F5="Owned",1-IF(H5&gt;=1,1,MIN(0.97,H5*Assumptions!$E$12)),1)</f>
        <v>0.892</v>
      </c>
    </row>
    <row r="6">
      <c r="A6" s="39" t="n">
        <v>3</v>
      </c>
      <c r="B6" s="14" t="inlineStr">
        <is>
          <t>Solid tumors (basket)</t>
        </is>
      </c>
      <c r="C6" s="14" t="inlineStr">
        <is>
          <t>TYRA-430</t>
        </is>
      </c>
      <c r="D6" s="14" t="inlineStr">
        <is>
          <t>Phase 1</t>
        </is>
      </c>
      <c r="E6" s="14" t="inlineStr">
        <is>
          <t>Oncology / area</t>
        </is>
      </c>
      <c r="F6" s="14" t="inlineStr">
        <is>
          <t>Owned</t>
        </is>
      </c>
      <c r="G6" s="40" t="n">
        <v>600</v>
      </c>
      <c r="H6" s="27" t="n">
        <v>0.0527</v>
      </c>
      <c r="I6" s="26" t="n">
        <v>2033</v>
      </c>
      <c r="J6" s="39">
        <f>I6+Assumptions!$B$25</f>
        <v>2045.0</v>
      </c>
      <c r="K6" s="53">
        <f>Assumptions!$E$13</f>
        <v>0.4</v>
      </c>
      <c r="L6" s="23">
        <f>K6*SUMPRODUCT(M6:AF6,NPV!$C$15:$V$15)</f>
        <v>27.6887211454694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0</v>
      </c>
      <c r="T6" s="23">
        <f>IF(T$3&lt;$I6,0,$G6*Assumptions!$E$11*INDEX(Assumptions!$B$24:$G$24,MIN(6,T$3-$I6+1))*IF(T$3&gt;$J6,(1-Assumptions!$B$26)^(T$3-$J6),1)*IF($H6&gt;=1,1,MIN(0.97,$H6*Assumptions!$E$12)))</f>
        <v>3.162</v>
      </c>
      <c r="U6" s="23">
        <f>IF(U$3&lt;$I6,0,$G6*Assumptions!$E$11*INDEX(Assumptions!$B$24:$G$24,MIN(6,U$3-$I6+1))*IF(U$3&gt;$J6,(1-Assumptions!$B$26)^(U$3-$J6),1)*IF($H6&gt;=1,1,MIN(0.97,$H6*Assumptions!$E$12)))</f>
        <v>7.904999999999999</v>
      </c>
      <c r="V6" s="23">
        <f>IF(V$3&lt;$I6,0,$G6*Assumptions!$E$11*INDEX(Assumptions!$B$24:$G$24,MIN(6,V$3-$I6+1))*IF(V$3&gt;$J6,(1-Assumptions!$B$26)^(V$3-$J6),1)*IF($H6&gt;=1,1,MIN(0.97,$H6*Assumptions!$E$12)))</f>
        <v>14.229</v>
      </c>
      <c r="W6" s="23">
        <f>IF(W$3&lt;$I6,0,$G6*Assumptions!$E$11*INDEX(Assumptions!$B$24:$G$24,MIN(6,W$3-$I6+1))*IF(W$3&gt;$J6,(1-Assumptions!$B$26)^(W$3-$J6),1)*IF($H6&gt;=1,1,MIN(0.97,$H6*Assumptions!$E$12)))</f>
        <v>20.552999999999997</v>
      </c>
      <c r="X6" s="23">
        <f>IF(X$3&lt;$I6,0,$G6*Assumptions!$E$11*INDEX(Assumptions!$B$24:$G$24,MIN(6,X$3-$I6+1))*IF(X$3&gt;$J6,(1-Assumptions!$B$26)^(X$3-$J6),1)*IF($H6&gt;=1,1,MIN(0.97,$H6*Assumptions!$E$12)))</f>
        <v>26.877</v>
      </c>
      <c r="Y6" s="23">
        <f>IF(Y$3&lt;$I6,0,$G6*Assumptions!$E$11*INDEX(Assumptions!$B$24:$G$24,MIN(6,Y$3-$I6+1))*IF(Y$3&gt;$J6,(1-Assumptions!$B$26)^(Y$3-$J6),1)*IF($H6&gt;=1,1,MIN(0.97,$H6*Assumptions!$E$12)))</f>
        <v>31.619999999999997</v>
      </c>
      <c r="Z6" s="23">
        <f>IF(Z$3&lt;$I6,0,$G6*Assumptions!$E$11*INDEX(Assumptions!$B$24:$G$24,MIN(6,Z$3-$I6+1))*IF(Z$3&gt;$J6,(1-Assumptions!$B$26)^(Z$3-$J6),1)*IF($H6&gt;=1,1,MIN(0.97,$H6*Assumptions!$E$12)))</f>
        <v>31.619999999999997</v>
      </c>
      <c r="AA6" s="23">
        <f>IF(AA$3&lt;$I6,0,$G6*Assumptions!$E$11*INDEX(Assumptions!$B$24:$G$24,MIN(6,AA$3-$I6+1))*IF(AA$3&gt;$J6,(1-Assumptions!$B$26)^(AA$3-$J6),1)*IF($H6&gt;=1,1,MIN(0.97,$H6*Assumptions!$E$12)))</f>
        <v>31.619999999999997</v>
      </c>
      <c r="AB6" s="23">
        <f>IF(AB$3&lt;$I6,0,$G6*Assumptions!$E$11*INDEX(Assumptions!$B$24:$G$24,MIN(6,AB$3-$I6+1))*IF(AB$3&gt;$J6,(1-Assumptions!$B$26)^(AB$3-$J6),1)*IF($H6&gt;=1,1,MIN(0.97,$H6*Assumptions!$E$12)))</f>
        <v>31.619999999999997</v>
      </c>
      <c r="AC6" s="23">
        <f>IF(AC$3&lt;$I6,0,$G6*Assumptions!$E$11*INDEX(Assumptions!$B$24:$G$24,MIN(6,AC$3-$I6+1))*IF(AC$3&gt;$J6,(1-Assumptions!$B$26)^(AC$3-$J6),1)*IF($H6&gt;=1,1,MIN(0.97,$H6*Assumptions!$E$12)))</f>
        <v>31.619999999999997</v>
      </c>
      <c r="AD6" s="23">
        <f>IF(AD$3&lt;$I6,0,$G6*Assumptions!$E$11*INDEX(Assumptions!$B$24:$G$24,MIN(6,AD$3-$I6+1))*IF(AD$3&gt;$J6,(1-Assumptions!$B$26)^(AD$3-$J6),1)*IF($H6&gt;=1,1,MIN(0.97,$H6*Assumptions!$E$12)))</f>
        <v>31.619999999999997</v>
      </c>
      <c r="AE6" s="23">
        <f>IF(AE$3&lt;$I6,0,$G6*Assumptions!$E$11*INDEX(Assumptions!$B$24:$G$24,MIN(6,AE$3-$I6+1))*IF(AE$3&gt;$J6,(1-Assumptions!$B$26)^(AE$3-$J6),1)*IF($H6&gt;=1,1,MIN(0.97,$H6*Assumptions!$E$12)))</f>
        <v>31.619999999999997</v>
      </c>
      <c r="AF6" s="23">
        <f>IF(AF$3&lt;$I6,0,$G6*Assumptions!$E$11*INDEX(Assumptions!$B$24:$G$24,MIN(6,AF$3-$I6+1))*IF(AF$3&gt;$J6,(1-Assumptions!$B$26)^(AF$3-$J6),1)*IF($H6&gt;=1,1,MIN(0.97,$H6*Assumptions!$E$12)))</f>
        <v>31.619999999999997</v>
      </c>
      <c r="AG6" s="35">
        <f>IF(F6="Owned",1-IF(H6&gt;=1,1,MIN(0.97,H6*Assumptions!$E$12)),1)</f>
        <v>0.9473</v>
      </c>
    </row>
    <row r="7">
      <c r="A7" s="39" t="n">
        <v>4</v>
      </c>
      <c r="B7" s="14" t="inlineStr">
        <is>
          <t>Liver cancer</t>
        </is>
      </c>
      <c r="C7" s="14" t="inlineStr">
        <is>
          <t>Phase 1 Part A - dose escalation TYRA-200 taken once daily b</t>
        </is>
      </c>
      <c r="D7" s="14" t="inlineStr">
        <is>
          <t>Phase 1</t>
        </is>
      </c>
      <c r="E7" s="14" t="inlineStr">
        <is>
          <t>Oncology / area</t>
        </is>
      </c>
      <c r="F7" s="14" t="inlineStr">
        <is>
          <t>Owned</t>
        </is>
      </c>
      <c r="G7" s="40" t="n">
        <v>480</v>
      </c>
      <c r="H7" s="27" t="n">
        <v>0.0527</v>
      </c>
      <c r="I7" s="26" t="n">
        <v>2033</v>
      </c>
      <c r="J7" s="39">
        <f>I7+Assumptions!$B$25</f>
        <v>2045.0</v>
      </c>
      <c r="K7" s="53">
        <f>Assumptions!$E$13</f>
        <v>0.4</v>
      </c>
      <c r="L7" s="23">
        <f>K7*SUMPRODUCT(M7:AF7,NPV!$C$15:$V$15)</f>
        <v>22.150976916375523</v>
      </c>
      <c r="M7" s="23">
        <f>IF(M$3&lt;$I7,0,$G7*Assumptions!$E$11*INDEX(Assumptions!$B$24:$G$24,MIN(6,M$3-$I7+1))*IF(M$3&gt;$J7,(1-Assumptions!$B$26)^(M$3-$J7),1)*IF($H7&gt;=1,1,MIN(0.97,$H7*Assumptions!$E$12)))</f>
        <v>0</v>
      </c>
      <c r="N7" s="23">
        <f>IF(N$3&lt;$I7,0,$G7*Assumptions!$E$11*INDEX(Assumptions!$B$24:$G$24,MIN(6,N$3-$I7+1))*IF(N$3&gt;$J7,(1-Assumptions!$B$26)^(N$3-$J7),1)*IF($H7&gt;=1,1,MIN(0.97,$H7*Assumptions!$E$12)))</f>
        <v>0</v>
      </c>
      <c r="O7" s="23">
        <f>IF(O$3&lt;$I7,0,$G7*Assumptions!$E$11*INDEX(Assumptions!$B$24:$G$24,MIN(6,O$3-$I7+1))*IF(O$3&gt;$J7,(1-Assumptions!$B$26)^(O$3-$J7),1)*IF($H7&gt;=1,1,MIN(0.97,$H7*Assumptions!$E$12)))</f>
        <v>0</v>
      </c>
      <c r="P7" s="23">
        <f>IF(P$3&lt;$I7,0,$G7*Assumptions!$E$11*INDEX(Assumptions!$B$24:$G$24,MIN(6,P$3-$I7+1))*IF(P$3&gt;$J7,(1-Assumptions!$B$26)^(P$3-$J7),1)*IF($H7&gt;=1,1,MIN(0.97,$H7*Assumptions!$E$12)))</f>
        <v>0</v>
      </c>
      <c r="Q7" s="23">
        <f>IF(Q$3&lt;$I7,0,$G7*Assumptions!$E$11*INDEX(Assumptions!$B$24:$G$24,MIN(6,Q$3-$I7+1))*IF(Q$3&gt;$J7,(1-Assumptions!$B$26)^(Q$3-$J7),1)*IF($H7&gt;=1,1,MIN(0.97,$H7*Assumptions!$E$12)))</f>
        <v>0</v>
      </c>
      <c r="R7" s="23">
        <f>IF(R$3&lt;$I7,0,$G7*Assumptions!$E$11*INDEX(Assumptions!$B$24:$G$24,MIN(6,R$3-$I7+1))*IF(R$3&gt;$J7,(1-Assumptions!$B$26)^(R$3-$J7),1)*IF($H7&gt;=1,1,MIN(0.97,$H7*Assumptions!$E$12)))</f>
        <v>0</v>
      </c>
      <c r="S7" s="23">
        <f>IF(S$3&lt;$I7,0,$G7*Assumptions!$E$11*INDEX(Assumptions!$B$24:$G$24,MIN(6,S$3-$I7+1))*IF(S$3&gt;$J7,(1-Assumptions!$B$26)^(S$3-$J7),1)*IF($H7&gt;=1,1,MIN(0.97,$H7*Assumptions!$E$12)))</f>
        <v>0</v>
      </c>
      <c r="T7" s="23">
        <f>IF(T$3&lt;$I7,0,$G7*Assumptions!$E$11*INDEX(Assumptions!$B$24:$G$24,MIN(6,T$3-$I7+1))*IF(T$3&gt;$J7,(1-Assumptions!$B$26)^(T$3-$J7),1)*IF($H7&gt;=1,1,MIN(0.97,$H7*Assumptions!$E$12)))</f>
        <v>2.5296</v>
      </c>
      <c r="U7" s="23">
        <f>IF(U$3&lt;$I7,0,$G7*Assumptions!$E$11*INDEX(Assumptions!$B$24:$G$24,MIN(6,U$3-$I7+1))*IF(U$3&gt;$J7,(1-Assumptions!$B$26)^(U$3-$J7),1)*IF($H7&gt;=1,1,MIN(0.97,$H7*Assumptions!$E$12)))</f>
        <v>6.324</v>
      </c>
      <c r="V7" s="23">
        <f>IF(V$3&lt;$I7,0,$G7*Assumptions!$E$11*INDEX(Assumptions!$B$24:$G$24,MIN(6,V$3-$I7+1))*IF(V$3&gt;$J7,(1-Assumptions!$B$26)^(V$3-$J7),1)*IF($H7&gt;=1,1,MIN(0.97,$H7*Assumptions!$E$12)))</f>
        <v>11.383199999999999</v>
      </c>
      <c r="W7" s="23">
        <f>IF(W$3&lt;$I7,0,$G7*Assumptions!$E$11*INDEX(Assumptions!$B$24:$G$24,MIN(6,W$3-$I7+1))*IF(W$3&gt;$J7,(1-Assumptions!$B$26)^(W$3-$J7),1)*IF($H7&gt;=1,1,MIN(0.97,$H7*Assumptions!$E$12)))</f>
        <v>16.4424</v>
      </c>
      <c r="X7" s="23">
        <f>IF(X$3&lt;$I7,0,$G7*Assumptions!$E$11*INDEX(Assumptions!$B$24:$G$24,MIN(6,X$3-$I7+1))*IF(X$3&gt;$J7,(1-Assumptions!$B$26)^(X$3-$J7),1)*IF($H7&gt;=1,1,MIN(0.97,$H7*Assumptions!$E$12)))</f>
        <v>21.5016</v>
      </c>
      <c r="Y7" s="23">
        <f>IF(Y$3&lt;$I7,0,$G7*Assumptions!$E$11*INDEX(Assumptions!$B$24:$G$24,MIN(6,Y$3-$I7+1))*IF(Y$3&gt;$J7,(1-Assumptions!$B$26)^(Y$3-$J7),1)*IF($H7&gt;=1,1,MIN(0.97,$H7*Assumptions!$E$12)))</f>
        <v>25.296</v>
      </c>
      <c r="Z7" s="23">
        <f>IF(Z$3&lt;$I7,0,$G7*Assumptions!$E$11*INDEX(Assumptions!$B$24:$G$24,MIN(6,Z$3-$I7+1))*IF(Z$3&gt;$J7,(1-Assumptions!$B$26)^(Z$3-$J7),1)*IF($H7&gt;=1,1,MIN(0.97,$H7*Assumptions!$E$12)))</f>
        <v>25.296</v>
      </c>
      <c r="AA7" s="23">
        <f>IF(AA$3&lt;$I7,0,$G7*Assumptions!$E$11*INDEX(Assumptions!$B$24:$G$24,MIN(6,AA$3-$I7+1))*IF(AA$3&gt;$J7,(1-Assumptions!$B$26)^(AA$3-$J7),1)*IF($H7&gt;=1,1,MIN(0.97,$H7*Assumptions!$E$12)))</f>
        <v>25.296</v>
      </c>
      <c r="AB7" s="23">
        <f>IF(AB$3&lt;$I7,0,$G7*Assumptions!$E$11*INDEX(Assumptions!$B$24:$G$24,MIN(6,AB$3-$I7+1))*IF(AB$3&gt;$J7,(1-Assumptions!$B$26)^(AB$3-$J7),1)*IF($H7&gt;=1,1,MIN(0.97,$H7*Assumptions!$E$12)))</f>
        <v>25.296</v>
      </c>
      <c r="AC7" s="23">
        <f>IF(AC$3&lt;$I7,0,$G7*Assumptions!$E$11*INDEX(Assumptions!$B$24:$G$24,MIN(6,AC$3-$I7+1))*IF(AC$3&gt;$J7,(1-Assumptions!$B$26)^(AC$3-$J7),1)*IF($H7&gt;=1,1,MIN(0.97,$H7*Assumptions!$E$12)))</f>
        <v>25.296</v>
      </c>
      <c r="AD7" s="23">
        <f>IF(AD$3&lt;$I7,0,$G7*Assumptions!$E$11*INDEX(Assumptions!$B$24:$G$24,MIN(6,AD$3-$I7+1))*IF(AD$3&gt;$J7,(1-Assumptions!$B$26)^(AD$3-$J7),1)*IF($H7&gt;=1,1,MIN(0.97,$H7*Assumptions!$E$12)))</f>
        <v>25.296</v>
      </c>
      <c r="AE7" s="23">
        <f>IF(AE$3&lt;$I7,0,$G7*Assumptions!$E$11*INDEX(Assumptions!$B$24:$G$24,MIN(6,AE$3-$I7+1))*IF(AE$3&gt;$J7,(1-Assumptions!$B$26)^(AE$3-$J7),1)*IF($H7&gt;=1,1,MIN(0.97,$H7*Assumptions!$E$12)))</f>
        <v>25.296</v>
      </c>
      <c r="AF7" s="23">
        <f>IF(AF$3&lt;$I7,0,$G7*Assumptions!$E$11*INDEX(Assumptions!$B$24:$G$24,MIN(6,AF$3-$I7+1))*IF(AF$3&gt;$J7,(1-Assumptions!$B$26)^(AF$3-$J7),1)*IF($H7&gt;=1,1,MIN(0.97,$H7*Assumptions!$E$12)))</f>
        <v>25.296</v>
      </c>
      <c r="AG7" s="35">
        <f>IF(F7="Owned",1-IF(H7&gt;=1,1,MIN(0.97,H7*Assumptions!$E$12)),1)</f>
        <v>0.9473</v>
      </c>
    </row>
    <row r="8">
      <c r="B8" s="24" t="inlineStr">
        <is>
          <t>Risked revenue</t>
        </is>
      </c>
      <c r="L8" s="54">
        <f>SUM(L4:L7)</f>
        <v>309.20967229688256</v>
      </c>
      <c r="M8" s="54">
        <f>SUM(M4:M7)</f>
        <v>0.0</v>
      </c>
      <c r="N8" s="54">
        <f>SUM(N4:N7)</f>
        <v>0.0</v>
      </c>
      <c r="O8" s="54">
        <f>SUM(O4:O7)</f>
        <v>0.0</v>
      </c>
      <c r="P8" s="54">
        <f>SUM(P4:P7)</f>
        <v>0.0</v>
      </c>
      <c r="Q8" s="54">
        <f>SUM(Q4:Q7)</f>
        <v>0.0</v>
      </c>
      <c r="R8" s="54">
        <f>SUM(R4:R7)</f>
        <v>22.831</v>
      </c>
      <c r="S8" s="54">
        <f>SUM(S4:S7)</f>
        <v>57.0775</v>
      </c>
      <c r="T8" s="54">
        <f>SUM(T4:T7)</f>
        <v>108.43110000000001</v>
      </c>
      <c r="U8" s="54">
        <f>SUM(U4:U7)</f>
        <v>162.6305</v>
      </c>
      <c r="V8" s="54">
        <f>SUM(V4:V7)</f>
        <v>219.67569999999995</v>
      </c>
      <c r="W8" s="54">
        <f>SUM(W4:W7)</f>
        <v>265.3054</v>
      </c>
      <c r="X8" s="54">
        <f>SUM(X4:X7)</f>
        <v>276.6886</v>
      </c>
      <c r="Y8" s="54">
        <f>SUM(Y4:Y7)</f>
        <v>285.226</v>
      </c>
      <c r="Z8" s="54">
        <f>SUM(Z4:Z7)</f>
        <v>285.226</v>
      </c>
      <c r="AA8" s="54">
        <f>SUM(AA4:AA7)</f>
        <v>285.226</v>
      </c>
      <c r="AB8" s="54">
        <f>SUM(AB4:AB7)</f>
        <v>285.226</v>
      </c>
      <c r="AC8" s="54">
        <f>SUM(AC4:AC7)</f>
        <v>285.226</v>
      </c>
      <c r="AD8" s="54">
        <f>SUM(AD4:AD7)</f>
        <v>285.226</v>
      </c>
      <c r="AE8" s="54">
        <f>SUM(AE4:AE7)</f>
        <v>171.071</v>
      </c>
      <c r="AF8" s="54">
        <f>SUM(AF4:AF7)</f>
        <v>113.99349999999998</v>
      </c>
    </row>
    <row r="9">
      <c r="B9" s="24" t="inlineStr">
        <is>
          <t>Risked contribution (revenue x share)</t>
        </is>
      </c>
      <c r="M9" s="55">
        <f>SUMPRODUCT(M4:M7,$K$4:$K$7)</f>
        <v>0.0</v>
      </c>
      <c r="N9" s="55">
        <f>SUMPRODUCT(N4:N7,$K$4:$K$7)</f>
        <v>0.0</v>
      </c>
      <c r="O9" s="55">
        <f>SUMPRODUCT(O4:O7,$K$4:$K$7)</f>
        <v>0.0</v>
      </c>
      <c r="P9" s="55">
        <f>SUMPRODUCT(P4:P7,$K$4:$K$7)</f>
        <v>0.0</v>
      </c>
      <c r="Q9" s="55">
        <f>SUMPRODUCT(Q4:Q7,$K$4:$K$7)</f>
        <v>0.0</v>
      </c>
      <c r="R9" s="55">
        <f>SUMPRODUCT(R4:R7,$K$4:$K$7)</f>
        <v>9.1324</v>
      </c>
      <c r="S9" s="55">
        <f>SUMPRODUCT(S4:S7,$K$4:$K$7)</f>
        <v>22.831000000000003</v>
      </c>
      <c r="T9" s="55">
        <f>SUMPRODUCT(T4:T7,$K$4:$K$7)</f>
        <v>43.372440000000005</v>
      </c>
      <c r="U9" s="55">
        <f>SUMPRODUCT(U4:U7,$K$4:$K$7)</f>
        <v>65.0522</v>
      </c>
      <c r="V9" s="55">
        <f>SUMPRODUCT(V4:V7,$K$4:$K$7)</f>
        <v>87.87028</v>
      </c>
      <c r="W9" s="55">
        <f>SUMPRODUCT(W4:W7,$K$4:$K$7)</f>
        <v>106.12216000000001</v>
      </c>
      <c r="X9" s="55">
        <f>SUMPRODUCT(X4:X7,$K$4:$K$7)</f>
        <v>110.67544000000001</v>
      </c>
      <c r="Y9" s="55">
        <f>SUMPRODUCT(Y4:Y7,$K$4:$K$7)</f>
        <v>114.09040000000002</v>
      </c>
      <c r="Z9" s="55">
        <f>SUMPRODUCT(Z4:Z7,$K$4:$K$7)</f>
        <v>114.09040000000002</v>
      </c>
      <c r="AA9" s="55">
        <f>SUMPRODUCT(AA4:AA7,$K$4:$K$7)</f>
        <v>114.09040000000002</v>
      </c>
      <c r="AB9" s="55">
        <f>SUMPRODUCT(AB4:AB7,$K$4:$K$7)</f>
        <v>114.09040000000002</v>
      </c>
      <c r="AC9" s="55">
        <f>SUMPRODUCT(AC4:AC7,$K$4:$K$7)</f>
        <v>114.09040000000002</v>
      </c>
      <c r="AD9" s="55">
        <f>SUMPRODUCT(AD4:AD7,$K$4:$K$7)</f>
        <v>114.09040000000002</v>
      </c>
      <c r="AE9" s="55">
        <f>SUMPRODUCT(AE4:AE7,$K$4:$K$7)</f>
        <v>68.42840000000001</v>
      </c>
      <c r="AF9" s="55">
        <f>SUMPRODUCT(AF4:AF7,$K$4:$K$7)</f>
        <v>45.5974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Tyra Biosciences,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Pipeline!M8</f>
        <v>0.0</v>
      </c>
      <c r="D4" s="57">
        <f>Pipeline!N8</f>
        <v>0.0</v>
      </c>
      <c r="E4" s="57">
        <f>Pipeline!O8</f>
        <v>0.0</v>
      </c>
      <c r="F4" s="57">
        <f>Pipeline!P8</f>
        <v>0.0</v>
      </c>
      <c r="G4" s="57">
        <f>Pipeline!Q8</f>
        <v>0.0</v>
      </c>
      <c r="H4" s="57">
        <f>Pipeline!R8</f>
        <v>22.831</v>
      </c>
      <c r="I4" s="57">
        <f>Pipeline!S8</f>
        <v>57.0775</v>
      </c>
      <c r="J4" s="57">
        <f>Pipeline!T8</f>
        <v>108.43110000000001</v>
      </c>
      <c r="K4" s="57">
        <f>Pipeline!U8</f>
        <v>162.6305</v>
      </c>
      <c r="L4" s="57">
        <f>Pipeline!V8</f>
        <v>219.67569999999995</v>
      </c>
      <c r="M4" s="57">
        <f>Pipeline!W8</f>
        <v>265.3054</v>
      </c>
      <c r="N4" s="57">
        <f>Pipeline!X8</f>
        <v>276.6886</v>
      </c>
      <c r="O4" s="57">
        <f>Pipeline!Y8</f>
        <v>285.226</v>
      </c>
      <c r="P4" s="57">
        <f>Pipeline!Z8</f>
        <v>285.226</v>
      </c>
      <c r="Q4" s="57">
        <f>Pipeline!AA8</f>
        <v>285.226</v>
      </c>
      <c r="R4" s="57">
        <f>Pipeline!AB8</f>
        <v>285.226</v>
      </c>
      <c r="S4" s="57">
        <f>Pipeline!AC8</f>
        <v>285.226</v>
      </c>
      <c r="T4" s="57">
        <f>Pipeline!AD8</f>
        <v>285.226</v>
      </c>
      <c r="U4" s="57">
        <f>Pipeline!AE8</f>
        <v>171.071</v>
      </c>
      <c r="V4" s="57">
        <f>Pipeline!AF8</f>
        <v>113.99349999999998</v>
      </c>
    </row>
    <row r="5">
      <c r="A5" s="14" t="inlineStr">
        <is>
          <t>Risked contribution</t>
        </is>
      </c>
      <c r="C5" s="57">
        <f>Pipeline!M9</f>
        <v>0.0</v>
      </c>
      <c r="D5" s="57">
        <f>Pipeline!N9</f>
        <v>0.0</v>
      </c>
      <c r="E5" s="57">
        <f>Pipeline!O9</f>
        <v>0.0</v>
      </c>
      <c r="F5" s="57">
        <f>Pipeline!P9</f>
        <v>0.0</v>
      </c>
      <c r="G5" s="57">
        <f>Pipeline!Q9</f>
        <v>0.0</v>
      </c>
      <c r="H5" s="57">
        <f>Pipeline!R9</f>
        <v>9.1324</v>
      </c>
      <c r="I5" s="57">
        <f>Pipeline!S9</f>
        <v>22.831000000000003</v>
      </c>
      <c r="J5" s="57">
        <f>Pipeline!T9</f>
        <v>43.372440000000005</v>
      </c>
      <c r="K5" s="57">
        <f>Pipeline!U9</f>
        <v>65.0522</v>
      </c>
      <c r="L5" s="57">
        <f>Pipeline!V9</f>
        <v>87.87028</v>
      </c>
      <c r="M5" s="57">
        <f>Pipeline!W9</f>
        <v>106.12216000000001</v>
      </c>
      <c r="N5" s="57">
        <f>Pipeline!X9</f>
        <v>110.67544000000001</v>
      </c>
      <c r="O5" s="57">
        <f>Pipeline!Y9</f>
        <v>114.09040000000002</v>
      </c>
      <c r="P5" s="57">
        <f>Pipeline!Z9</f>
        <v>114.09040000000002</v>
      </c>
      <c r="Q5" s="57">
        <f>Pipeline!AA9</f>
        <v>114.09040000000002</v>
      </c>
      <c r="R5" s="57">
        <f>Pipeline!AB9</f>
        <v>114.09040000000002</v>
      </c>
      <c r="S5" s="57">
        <f>Pipeline!AC9</f>
        <v>114.09040000000002</v>
      </c>
      <c r="T5" s="57">
        <f>Pipeline!AD9</f>
        <v>114.09040000000002</v>
      </c>
      <c r="U5" s="57">
        <f>Pipeline!AE9</f>
        <v>68.42840000000001</v>
      </c>
      <c r="V5" s="57">
        <f>Pipeline!AF9</f>
        <v>45.5974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-160.461</v>
      </c>
      <c r="D6" s="23">
        <f>-IF(D3-2026&lt;Assumptions!$B$19,Assumptions!$B$18,Assumptions!$B$18*Assumptions!$B$20*Assumptions!$B$16)</f>
        <v>-160.461</v>
      </c>
      <c r="E6" s="23">
        <f>-IF(E3-2026&lt;Assumptions!$B$19,Assumptions!$B$18,Assumptions!$B$18*Assumptions!$B$20*Assumptions!$B$16)</f>
        <v>-160.461</v>
      </c>
      <c r="F6" s="23">
        <f>-IF(F3-2026&lt;Assumptions!$B$19,Assumptions!$B$18,Assumptions!$B$18*Assumptions!$B$20*Assumptions!$B$16)</f>
        <v>-160.461</v>
      </c>
      <c r="G6" s="23">
        <f>-IF(G3-2026&lt;Assumptions!$B$19,Assumptions!$B$18,Assumptions!$B$18*Assumptions!$B$20*Assumptions!$B$16)</f>
        <v>-19.31961159418807</v>
      </c>
      <c r="H6" s="23">
        <f>-IF(H3-2026&lt;Assumptions!$B$19,Assumptions!$B$18,Assumptions!$B$18*Assumptions!$B$20*Assumptions!$B$16)</f>
        <v>-19.31961159418807</v>
      </c>
      <c r="I6" s="23">
        <f>-IF(I3-2026&lt;Assumptions!$B$19,Assumptions!$B$18,Assumptions!$B$18*Assumptions!$B$20*Assumptions!$B$16)</f>
        <v>-19.31961159418807</v>
      </c>
      <c r="J6" s="23">
        <f>-IF(J3-2026&lt;Assumptions!$B$19,Assumptions!$B$18,Assumptions!$B$18*Assumptions!$B$20*Assumptions!$B$16)</f>
        <v>-19.31961159418807</v>
      </c>
      <c r="K6" s="23">
        <f>-IF(K3-2026&lt;Assumptions!$B$19,Assumptions!$B$18,Assumptions!$B$18*Assumptions!$B$20*Assumptions!$B$16)</f>
        <v>-19.31961159418807</v>
      </c>
      <c r="L6" s="23">
        <f>-IF(L3-2026&lt;Assumptions!$B$19,Assumptions!$B$18,Assumptions!$B$18*Assumptions!$B$20*Assumptions!$B$16)</f>
        <v>-19.31961159418807</v>
      </c>
      <c r="M6" s="23">
        <f>-IF(M3-2026&lt;Assumptions!$B$19,Assumptions!$B$18,Assumptions!$B$18*Assumptions!$B$20*Assumptions!$B$16)</f>
        <v>-19.31961159418807</v>
      </c>
      <c r="N6" s="23">
        <f>-IF(N3-2026&lt;Assumptions!$B$19,Assumptions!$B$18,Assumptions!$B$18*Assumptions!$B$20*Assumptions!$B$16)</f>
        <v>-19.31961159418807</v>
      </c>
      <c r="O6" s="23">
        <f>-IF(O3-2026&lt;Assumptions!$B$19,Assumptions!$B$18,Assumptions!$B$18*Assumptions!$B$20*Assumptions!$B$16)</f>
        <v>-19.31961159418807</v>
      </c>
      <c r="P6" s="23">
        <f>-IF(P3-2026&lt;Assumptions!$B$19,Assumptions!$B$18,Assumptions!$B$18*Assumptions!$B$20*Assumptions!$B$16)</f>
        <v>-19.31961159418807</v>
      </c>
      <c r="Q6" s="23">
        <f>-IF(Q3-2026&lt;Assumptions!$B$19,Assumptions!$B$18,Assumptions!$B$18*Assumptions!$B$20*Assumptions!$B$16)</f>
        <v>-19.31961159418807</v>
      </c>
      <c r="R6" s="23">
        <f>-IF(R3-2026&lt;Assumptions!$B$19,Assumptions!$B$18,Assumptions!$B$18*Assumptions!$B$20*Assumptions!$B$16)</f>
        <v>-19.31961159418807</v>
      </c>
      <c r="S6" s="23">
        <f>-IF(S3-2026&lt;Assumptions!$B$19,Assumptions!$B$18,Assumptions!$B$18*Assumptions!$B$20*Assumptions!$B$16)</f>
        <v>-19.31961159418807</v>
      </c>
      <c r="T6" s="23">
        <f>-IF(T3-2026&lt;Assumptions!$B$19,Assumptions!$B$18,Assumptions!$B$18*Assumptions!$B$20*Assumptions!$B$16)</f>
        <v>-19.31961159418807</v>
      </c>
      <c r="U6" s="23">
        <f>-IF(U3-2026&lt;Assumptions!$B$19,Assumptions!$B$18,Assumptions!$B$18*Assumptions!$B$20*Assumptions!$B$16)</f>
        <v>-19.31961159418807</v>
      </c>
      <c r="V6" s="23">
        <f>-IF(V3-2026&lt;Assumptions!$B$19,Assumptions!$B$18,Assumptions!$B$18*Assumptions!$B$20*Assumptions!$B$16)</f>
        <v>-19.31961159418807</v>
      </c>
    </row>
    <row r="7">
      <c r="A7" s="14" t="inlineStr">
        <is>
          <t>Pre-tax cash flow</t>
        </is>
      </c>
      <c r="C7" s="23">
        <f>C5+C6</f>
        <v>-160.461</v>
      </c>
      <c r="D7" s="23">
        <f>D5+D6</f>
        <v>-160.461</v>
      </c>
      <c r="E7" s="23">
        <f>E5+E6</f>
        <v>-160.461</v>
      </c>
      <c r="F7" s="23">
        <f>F5+F6</f>
        <v>-160.461</v>
      </c>
      <c r="G7" s="23">
        <f>G5+G6</f>
        <v>-19.31961159418807</v>
      </c>
      <c r="H7" s="23">
        <f>H5+H6</f>
        <v>-10.18721159418807</v>
      </c>
      <c r="I7" s="23">
        <f>I5+I6</f>
        <v>3.511388405811932</v>
      </c>
      <c r="J7" s="23">
        <f>J5+J6</f>
        <v>24.052828405811933</v>
      </c>
      <c r="K7" s="23">
        <f>K5+K6</f>
        <v>45.732588405811924</v>
      </c>
      <c r="L7" s="23">
        <f>L5+L6</f>
        <v>68.55066840581192</v>
      </c>
      <c r="M7" s="23">
        <f>M5+M6</f>
        <v>86.80254840581193</v>
      </c>
      <c r="N7" s="23">
        <f>N5+N6</f>
        <v>91.35582840581193</v>
      </c>
      <c r="O7" s="23">
        <f>O5+O6</f>
        <v>94.77078840581194</v>
      </c>
      <c r="P7" s="23">
        <f>P5+P6</f>
        <v>94.77078840581194</v>
      </c>
      <c r="Q7" s="23">
        <f>Q5+Q6</f>
        <v>94.77078840581194</v>
      </c>
      <c r="R7" s="23">
        <f>R5+R6</f>
        <v>94.77078840581194</v>
      </c>
      <c r="S7" s="23">
        <f>S5+S6</f>
        <v>94.77078840581194</v>
      </c>
      <c r="T7" s="23">
        <f>T5+T6</f>
        <v>94.77078840581194</v>
      </c>
      <c r="U7" s="23">
        <f>U5+U6</f>
        <v>49.108788405811936</v>
      </c>
      <c r="V7" s="23">
        <f>V5+V6</f>
        <v>26.27778840581193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3.511388405811932</v>
      </c>
      <c r="J8" s="23">
        <f>MIN(I17,MAX(0,J7))</f>
        <v>24.052828405811933</v>
      </c>
      <c r="K8" s="23">
        <f>MIN(J17,MAX(0,K7))</f>
        <v>45.732588405811924</v>
      </c>
      <c r="L8" s="23">
        <f>MIN(K17,MAX(0,L7))</f>
        <v>68.55066840581192</v>
      </c>
      <c r="M8" s="23">
        <f>MIN(L17,MAX(0,M7))</f>
        <v>86.80254840581193</v>
      </c>
      <c r="N8" s="23">
        <f>MIN(M17,MAX(0,N7))</f>
        <v>91.35582840581193</v>
      </c>
      <c r="O8" s="23">
        <f>MIN(N17,MAX(0,O7))</f>
        <v>94.77078840581194</v>
      </c>
      <c r="P8" s="23">
        <f>MIN(O17,MAX(0,P7))</f>
        <v>94.77078840581194</v>
      </c>
      <c r="Q8" s="23">
        <f>MIN(P17,MAX(0,Q7))</f>
        <v>94.77078840581194</v>
      </c>
      <c r="R8" s="23">
        <f>MIN(Q17,MAX(0,R7))</f>
        <v>94.77078840581194</v>
      </c>
      <c r="S8" s="23">
        <f>MIN(R17,MAX(0,S7))</f>
        <v>94.77078840581194</v>
      </c>
      <c r="T8" s="23">
        <f>MIN(S17,MAX(0,T7))</f>
        <v>94.77078840581194</v>
      </c>
      <c r="U8" s="23">
        <f>MIN(T17,MAX(0,U7))</f>
        <v>49.108788405811936</v>
      </c>
      <c r="V8" s="23">
        <f>MIN(U17,MAX(0,V7))</f>
        <v>26.27778840581193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-160.461</v>
      </c>
      <c r="D11" s="55">
        <f>D7-D10</f>
        <v>-160.461</v>
      </c>
      <c r="E11" s="55">
        <f>E7-E10</f>
        <v>-160.461</v>
      </c>
      <c r="F11" s="55">
        <f>F7-F10</f>
        <v>-160.461</v>
      </c>
      <c r="G11" s="55">
        <f>G7-G10</f>
        <v>-19.31961159418807</v>
      </c>
      <c r="H11" s="55">
        <f>H7-H10</f>
        <v>-10.18721159418807</v>
      </c>
      <c r="I11" s="55">
        <f>I7-I10</f>
        <v>3.511388405811932</v>
      </c>
      <c r="J11" s="55">
        <f>J7-J10</f>
        <v>24.052828405811933</v>
      </c>
      <c r="K11" s="55">
        <f>K7-K10</f>
        <v>45.732588405811924</v>
      </c>
      <c r="L11" s="55">
        <f>L7-L10</f>
        <v>68.55066840581192</v>
      </c>
      <c r="M11" s="55">
        <f>M7-M10</f>
        <v>86.80254840581193</v>
      </c>
      <c r="N11" s="55">
        <f>N7-N10</f>
        <v>91.35582840581193</v>
      </c>
      <c r="O11" s="55">
        <f>O7-O10</f>
        <v>94.77078840581194</v>
      </c>
      <c r="P11" s="55">
        <f>P7-P10</f>
        <v>94.77078840581194</v>
      </c>
      <c r="Q11" s="55">
        <f>Q7-Q10</f>
        <v>94.77078840581194</v>
      </c>
      <c r="R11" s="55">
        <f>R7-R10</f>
        <v>94.77078840581194</v>
      </c>
      <c r="S11" s="55">
        <f>S7-S10</f>
        <v>94.77078840581194</v>
      </c>
      <c r="T11" s="55">
        <f>T7-T10</f>
        <v>94.77078840581194</v>
      </c>
      <c r="U11" s="55">
        <f>U7-U10</f>
        <v>49.108788405811936</v>
      </c>
      <c r="V11" s="55">
        <f>V7-V10</f>
        <v>26.27778840581193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-78.61054174724157</v>
      </c>
      <c r="D16" s="55">
        <f>D11*D15</f>
        <v>-143.20219598103972</v>
      </c>
      <c r="E16" s="55">
        <f>E11*E15</f>
        <v>-127.8591035544997</v>
      </c>
      <c r="F16" s="55">
        <f>F11*F15</f>
        <v>-114.15991388794616</v>
      </c>
      <c r="G16" s="55">
        <f>G11*G15</f>
        <v>-12.272258835152401</v>
      </c>
      <c r="H16" s="55">
        <f>H11*H15</f>
        <v>-5.7778121730104415</v>
      </c>
      <c r="I16" s="55">
        <f>I11*I15</f>
        <v>1.77815223875906</v>
      </c>
      <c r="J16" s="55">
        <f>J11*J15</f>
        <v>10.875223735139725</v>
      </c>
      <c r="K16" s="55">
        <f>K11*K15</f>
        <v>18.462045090805994</v>
      </c>
      <c r="L16" s="55">
        <f>L11*L15</f>
        <v>24.708574798431464</v>
      </c>
      <c r="M16" s="55">
        <f>M11*M15</f>
        <v>27.935114454353847</v>
      </c>
      <c r="N16" s="55">
        <f>N11*N15</f>
        <v>26.250417608889997</v>
      </c>
      <c r="O16" s="55">
        <f>O11*O15</f>
        <v>24.3140008551172</v>
      </c>
      <c r="P16" s="55">
        <f>P11*P15</f>
        <v>21.70892933492607</v>
      </c>
      <c r="Q16" s="55">
        <f>Q11*Q15</f>
        <v>19.3829726204697</v>
      </c>
      <c r="R16" s="55">
        <f>R11*R15</f>
        <v>17.306225553990807</v>
      </c>
      <c r="S16" s="55">
        <f>S11*S15</f>
        <v>15.451987101777503</v>
      </c>
      <c r="T16" s="55">
        <f>T11*T15</f>
        <v>13.796417055158484</v>
      </c>
      <c r="U16" s="55">
        <f>U11*U15</f>
        <v>6.383120124779802</v>
      </c>
      <c r="V16" s="55">
        <f>V11*V15</f>
        <v>3.0496119914308233</v>
      </c>
    </row>
    <row r="17">
      <c r="A17" s="14" t="inlineStr">
        <is>
          <t>Tax-loss carryforward, end of year</t>
        </is>
      </c>
      <c r="C17" s="23">
        <f>Assumptions!$B$21-C8+MAX(0,-C7)</f>
        <v>526.961</v>
      </c>
      <c r="D17" s="23">
        <f>C17-D8+MAX(0,-D7)</f>
        <v>687.422</v>
      </c>
      <c r="E17" s="23">
        <f>D17-E8+MAX(0,-E7)</f>
        <v>847.883</v>
      </c>
      <c r="F17" s="23">
        <f>E17-F8+MAX(0,-F7)</f>
        <v>1008.344</v>
      </c>
      <c r="G17" s="23">
        <f>F17-G8+MAX(0,-G7)</f>
        <v>1027.663611594188</v>
      </c>
      <c r="H17" s="23">
        <f>G17-H8+MAX(0,-H7)</f>
        <v>1037.8508231883761</v>
      </c>
      <c r="I17" s="23">
        <f>H17-I8+MAX(0,-I7)</f>
        <v>1034.3394347825642</v>
      </c>
      <c r="J17" s="23">
        <f>I17-J8+MAX(0,-J7)</f>
        <v>1010.2866063767523</v>
      </c>
      <c r="K17" s="23">
        <f>J17-K8+MAX(0,-K7)</f>
        <v>964.5540179709403</v>
      </c>
      <c r="L17" s="23">
        <f>K17-L8+MAX(0,-L7)</f>
        <v>896.0033495651284</v>
      </c>
      <c r="M17" s="23">
        <f>L17-M8+MAX(0,-M7)</f>
        <v>809.2008011593164</v>
      </c>
      <c r="N17" s="23">
        <f>M17-N8+MAX(0,-N7)</f>
        <v>717.8449727535044</v>
      </c>
      <c r="O17" s="23">
        <f>N17-O8+MAX(0,-O7)</f>
        <v>623.0741843476925</v>
      </c>
      <c r="P17" s="23">
        <f>O17-P8+MAX(0,-P7)</f>
        <v>528.3033959418806</v>
      </c>
      <c r="Q17" s="23">
        <f>P17-Q8+MAX(0,-Q7)</f>
        <v>433.53260753606867</v>
      </c>
      <c r="R17" s="23">
        <f>Q17-R8+MAX(0,-R7)</f>
        <v>338.76181913025675</v>
      </c>
      <c r="S17" s="23">
        <f>R17-S8+MAX(0,-S7)</f>
        <v>243.9910307244448</v>
      </c>
      <c r="T17" s="23">
        <f>S17-T8+MAX(0,-T7)</f>
        <v>149.22024231863287</v>
      </c>
      <c r="U17" s="23">
        <f>T17-U8+MAX(0,-U7)</f>
        <v>100.11145391282093</v>
      </c>
      <c r="V17" s="23">
        <f>U17-V8+MAX(0,-V7)</f>
        <v>73.833665507009</v>
      </c>
    </row>
    <row r="19">
      <c r="A19" s="14" t="inlineStr">
        <is>
          <t>PV of risked pipeline contribution</t>
        </is>
      </c>
      <c r="B19" s="23">
        <f>SUMPRODUCT(C5:V5,C15:V15)</f>
        <v>309.2096722968827</v>
      </c>
    </row>
    <row r="20">
      <c r="A20" s="14" t="inlineStr">
        <is>
          <t>PV of corporate burn</t>
        </is>
      </c>
      <c r="B20" s="23">
        <f>SUMPRODUCT(C6:V6,C15:V15)</f>
        <v>-559.6887059117423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-250.47903361485953</v>
      </c>
    </row>
    <row r="23">
      <c r="A23" s="14" t="inlineStr">
        <is>
          <t>Cash &amp; investments</t>
        </is>
      </c>
      <c r="B23" s="57">
        <f>Main!C7</f>
        <v>73.835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-176.64403361485955</v>
      </c>
    </row>
    <row r="26">
      <c r="A26" s="14" t="inlineStr">
        <is>
          <t>Shares (mm)</t>
        </is>
      </c>
      <c r="B26" s="57">
        <f>Main!C4</f>
        <v>59.676939</v>
      </c>
    </row>
    <row r="27">
      <c r="A27" s="24" t="inlineStr">
        <is>
          <t>rNPV / share</t>
        </is>
      </c>
      <c r="B27" s="60">
        <f>B25/B26</f>
        <v>-2.9600049294562436</v>
      </c>
    </row>
    <row r="28">
      <c r="A28" s="14" t="inlineStr">
        <is>
          <t>Price</t>
        </is>
      </c>
      <c r="B28" s="61">
        <f>Main!C3</f>
        <v>20.47</v>
      </c>
    </row>
    <row r="29">
      <c r="A29" s="14" t="inlineStr">
        <is>
          <t>Upside</t>
        </is>
      </c>
      <c r="B29" s="62">
        <f>B27/B28-1</f>
        <v>-1.1446020971888737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2026-10-21T06:23:45Z</dcterms:modified>
  <cp:lastModifiedBy>Wang, Eric</cp:lastModifiedBy>
</cp:coreProperties>
</file>