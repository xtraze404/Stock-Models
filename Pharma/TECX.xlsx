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Tectonic Therapeutic, Inc.</t>
        </is>
      </c>
      <c r="C2" s="10" t="n"/>
    </row>
    <row r="3">
      <c r="B3" t="inlineStr">
        <is>
          <t>Price</t>
        </is>
      </c>
      <c r="C3" s="11">
        <f>INDEX([1]Pharma!$F$1:$F$1000,MATCH("TECX",[1]Pharma!$B$1:$B$1000,0))</f>
        <v>21.825</v>
      </c>
      <c r="F3" s="1" t="n"/>
    </row>
    <row r="4">
      <c r="B4" t="inlineStr">
        <is>
          <t>Shares</t>
        </is>
      </c>
      <c r="C4" s="21" t="n">
        <v>19.549366</v>
      </c>
      <c r="F4" s="1" t="n"/>
    </row>
    <row r="5">
      <c r="B5" t="inlineStr">
        <is>
          <t>Market Cap.</t>
        </is>
      </c>
      <c r="C5" s="13">
        <f>C3*C4</f>
        <v>426.66491295</v>
      </c>
      <c r="F5" s="1" t="n"/>
    </row>
    <row r="6"/>
    <row r="7">
      <c r="B7" t="inlineStr">
        <is>
          <t>Cash</t>
        </is>
      </c>
      <c r="C7" s="21" t="n">
        <v>227.068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199.59691294999996</v>
      </c>
    </row>
    <row r="10"/>
    <row r="11">
      <c r="B11" s="14" t="inlineStr">
        <is>
          <t>Net Cash / Share</t>
        </is>
      </c>
      <c r="C11" s="11">
        <f>(C7-C8)/C4</f>
        <v>11.615108131895429</v>
      </c>
    </row>
    <row r="12">
      <c r="B12" s="14" t="inlineStr">
        <is>
          <t>Upside</t>
        </is>
      </c>
      <c r="C12" s="15">
        <f>IFERROR(C11/C3-1,"")</f>
        <v>-0.4678071875420192</v>
      </c>
    </row>
    <row r="13">
      <c r="B13" s="14" t="inlineStr">
        <is>
          <t>Cash / Share</t>
        </is>
      </c>
      <c r="C13" s="11">
        <f>IFERROR((C7-C8)/C4,"")</f>
        <v>11.615108131895429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-72.14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3.1476018852231773</v>
      </c>
    </row>
    <row r="19">
      <c r="B19" s="14" t="inlineStr">
        <is>
          <t>Implied Pipeline Value</t>
        </is>
      </c>
      <c r="C19" s="13">
        <f>C9</f>
        <v>199.59691294999996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1" t="n"/>
    </row>
    <row r="5">
      <c r="A5" s="2" t="inlineStr">
        <is>
          <t>Research &amp; Dev.</t>
        </is>
      </c>
      <c r="B5" s="23" t="n">
        <v>15.191</v>
      </c>
      <c r="C5" s="23" t="n">
        <v>35.095</v>
      </c>
      <c r="D5" s="23" t="n">
        <v>54.974</v>
      </c>
      <c r="E5" s="23" t="n">
        <v>87.236</v>
      </c>
      <c r="F5" s="23" t="n">
        <v>83.114</v>
      </c>
      <c r="G5" s="23" t="n">
        <v>72.18600000000001</v>
      </c>
      <c r="H5" s="23" t="n">
        <v>36.966</v>
      </c>
      <c r="I5" s="23" t="n">
        <v>41.364</v>
      </c>
      <c r="J5" s="23" t="n">
        <v>63.489</v>
      </c>
      <c r="K5" s="1" t="n"/>
    </row>
    <row r="6">
      <c r="A6" s="19" t="inlineStr">
        <is>
          <t>SG&amp;A &amp; Other</t>
        </is>
      </c>
      <c r="B6" s="23" t="n">
        <v>3.195</v>
      </c>
      <c r="C6" s="23" t="n">
        <v>11.148</v>
      </c>
      <c r="D6" s="23" t="n">
        <v>20.835</v>
      </c>
      <c r="E6" s="23" t="n">
        <v>32.992</v>
      </c>
      <c r="F6" s="23" t="n">
        <v>35.727</v>
      </c>
      <c r="G6" s="23" t="n">
        <v>33.248</v>
      </c>
      <c r="H6" s="23" t="n">
        <v>7.682</v>
      </c>
      <c r="I6" s="23" t="n">
        <v>16.651</v>
      </c>
      <c r="J6" s="23" t="n">
        <v>20.547</v>
      </c>
      <c r="K6" s="1" t="n"/>
    </row>
    <row r="7">
      <c r="A7" s="2" t="inlineStr">
        <is>
          <t>Operating Expense</t>
        </is>
      </c>
      <c r="B7" s="23">
        <f>SUM(B5:B6)</f>
        <v>18.386</v>
      </c>
      <c r="C7" s="23">
        <f>SUM(C5:C6)</f>
        <v>46.242999999999995</v>
      </c>
      <c r="D7" s="23">
        <f>SUM(D5:D6)</f>
        <v>75.809</v>
      </c>
      <c r="E7" s="23">
        <f>SUM(E5:E6)</f>
        <v>120.22800000000001</v>
      </c>
      <c r="F7" s="23">
        <f>SUM(F5:F6)</f>
        <v>118.84100000000001</v>
      </c>
      <c r="G7" s="23">
        <f>SUM(G5:G6)</f>
        <v>105.434</v>
      </c>
      <c r="H7" s="23">
        <f>SUM(H5:H6)</f>
        <v>44.648</v>
      </c>
      <c r="I7" s="23">
        <f>SUM(I5:I6)</f>
        <v>58.015</v>
      </c>
      <c r="J7" s="23">
        <f>SUM(J5:J6)</f>
        <v>84.036</v>
      </c>
      <c r="K7" s="1" t="n"/>
    </row>
    <row r="8">
      <c r="A8" s="2" t="inlineStr">
        <is>
          <t>Operating Income</t>
        </is>
      </c>
      <c r="B8" s="23">
        <f>B4-B7</f>
        <v>-18.386</v>
      </c>
      <c r="C8" s="23">
        <f>C4-C7</f>
        <v>-46.242999999999995</v>
      </c>
      <c r="D8" s="23">
        <f>D4-D7</f>
        <v>-75.809</v>
      </c>
      <c r="E8" s="23">
        <f>E4-E7</f>
        <v>-120.22800000000001</v>
      </c>
      <c r="F8" s="23">
        <f>F4-F7</f>
        <v>-118.84100000000001</v>
      </c>
      <c r="G8" s="23">
        <f>G4-G7</f>
        <v>-105.434</v>
      </c>
      <c r="H8" s="23">
        <f>H4-H7</f>
        <v>-44.648</v>
      </c>
      <c r="I8" s="23">
        <f>I4-I7</f>
        <v>-58.015</v>
      </c>
      <c r="J8" s="23">
        <f>J4-J7</f>
        <v>-84.036</v>
      </c>
      <c r="K8" s="1" t="n"/>
    </row>
    <row r="9">
      <c r="A9" s="19" t="inlineStr">
        <is>
          <t>Interest &amp; Other</t>
        </is>
      </c>
      <c r="B9" s="23" t="n">
        <v>-0.262</v>
      </c>
      <c r="C9" s="23" t="n">
        <v>-0.118</v>
      </c>
      <c r="D9" s="23" t="n">
        <v>2.844</v>
      </c>
      <c r="E9" s="23" t="n">
        <v>0.516</v>
      </c>
      <c r="F9" s="23" t="n">
        <v>-0.285</v>
      </c>
      <c r="G9" s="23" t="n">
        <v>-0.456</v>
      </c>
      <c r="H9" s="23" t="n">
        <v>-42778.352</v>
      </c>
      <c r="I9" s="23" t="n">
        <v>-57923.985</v>
      </c>
      <c r="J9" s="23" t="n">
        <v>-74065.734</v>
      </c>
    </row>
    <row r="10">
      <c r="A10" s="2" t="inlineStr">
        <is>
          <t>Pretax</t>
        </is>
      </c>
      <c r="B10" s="23">
        <f>B8+B9</f>
        <v>-18.648</v>
      </c>
      <c r="C10" s="23">
        <f>C8+C9</f>
        <v>-46.361</v>
      </c>
      <c r="D10" s="23">
        <f>D8+D9</f>
        <v>-72.965</v>
      </c>
      <c r="E10" s="23">
        <f>E8+E9</f>
        <v>-119.712</v>
      </c>
      <c r="F10" s="23">
        <f>F8+F9</f>
        <v>-119.126</v>
      </c>
      <c r="G10" s="23">
        <f>G8+G9</f>
        <v>-105.89</v>
      </c>
      <c r="H10" s="23">
        <f>H8+H9</f>
        <v>-42823.0</v>
      </c>
      <c r="I10" s="23">
        <f>I8+I9</f>
        <v>-57982.0</v>
      </c>
      <c r="J10" s="23">
        <f>J8+J9</f>
        <v>-74149.76999999999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1.23</v>
      </c>
    </row>
    <row r="12">
      <c r="A12" s="2" t="inlineStr">
        <is>
          <t>Net Income</t>
        </is>
      </c>
      <c r="B12" s="23" t="n">
        <v>-18.648</v>
      </c>
      <c r="C12" s="23" t="n">
        <v>-46.361</v>
      </c>
      <c r="D12" s="23" t="n">
        <v>-72.965</v>
      </c>
      <c r="E12" s="23" t="n">
        <v>-119.712</v>
      </c>
      <c r="F12" s="23" t="n">
        <v>-119.126</v>
      </c>
      <c r="G12" s="23" t="n">
        <v>-105.89</v>
      </c>
      <c r="H12" s="23" t="n">
        <v>-42823</v>
      </c>
      <c r="I12" s="23" t="n">
        <v>-57982</v>
      </c>
      <c r="J12" s="23" t="n">
        <v>-74151</v>
      </c>
      <c r="K12" s="1" t="n"/>
    </row>
    <row r="13">
      <c r="A13" s="2" t="inlineStr">
        <is>
          <t>Earnings per Share</t>
        </is>
      </c>
      <c r="B13" s="11">
        <f>IFERROR(B12/B14,0)</f>
        <v>-47.21012658227848</v>
      </c>
      <c r="C13" s="11">
        <f>IFERROR(C12/C14,0)</f>
        <v>-117.36962025316454</v>
      </c>
      <c r="D13" s="11">
        <f>IFERROR(D12/D14,0)</f>
        <v>-90.41511771995043</v>
      </c>
      <c r="E13" s="11">
        <f>IFERROR(E12/E14,0)</f>
        <v>-112.40563380281691</v>
      </c>
      <c r="F13" s="11">
        <f>IFERROR(F12/F14,0)</f>
        <v>-94.54444444444445</v>
      </c>
      <c r="G13" s="11">
        <f>IFERROR(G12/G14,0)</f>
        <v>-82.34059097978226</v>
      </c>
      <c r="H13" s="11">
        <f>IFERROR(H12/H14,0)</f>
        <v>-33745.46887312845</v>
      </c>
      <c r="I13" s="11">
        <f>IFERROR(I12/I14,0)</f>
        <v>-6829.44640753828</v>
      </c>
      <c r="J13" s="11">
        <f>IFERROR(J12/J14,0)</f>
        <v>-4046.8809692735904</v>
      </c>
    </row>
    <row r="14">
      <c r="A14" s="2" t="inlineStr">
        <is>
          <t>Shares</t>
        </is>
      </c>
      <c r="B14" s="23" t="n">
        <v>0.395</v>
      </c>
      <c r="C14" s="23" t="n">
        <v>0.395</v>
      </c>
      <c r="D14" s="23" t="n">
        <v>0.8070000000000001</v>
      </c>
      <c r="E14" s="23" t="n">
        <v>1.065</v>
      </c>
      <c r="F14" s="23" t="n">
        <v>1.26</v>
      </c>
      <c r="G14" s="23" t="n">
        <v>1.286</v>
      </c>
      <c r="H14" s="23" t="n">
        <v>1.269</v>
      </c>
      <c r="I14" s="23" t="n">
        <v>8.49</v>
      </c>
      <c r="J14" s="23" t="n">
        <v>18.323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2026-10-21T01:05:16Z</dcterms:modified>
  <cp:lastModifiedBy>Wang, Eric</cp:lastModifiedBy>
</cp:coreProperties>
</file>