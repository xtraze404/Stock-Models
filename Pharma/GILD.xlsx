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Gilead Sciences, Inc.</t>
        </is>
      </c>
      <c r="C2" s="10" t="n"/>
    </row>
    <row r="3">
      <c r="B3" t="inlineStr">
        <is>
          <t>Price</t>
        </is>
      </c>
      <c r="C3" s="11">
        <f>INDEX([1]Pharma!$F$1:$F$1000,MATCH("GILD",[1]Pharma!$B$1:$B$1000,0))</f>
        <v>156.51</v>
      </c>
      <c r="F3" s="1" t="n"/>
    </row>
    <row r="4">
      <c r="B4" t="inlineStr">
        <is>
          <t>Shares</t>
        </is>
      </c>
      <c r="C4" s="51" t="n">
        <v>1239.955155</v>
      </c>
      <c r="F4" s="1" t="n"/>
    </row>
    <row r="5">
      <c r="B5" t="inlineStr">
        <is>
          <t>Market Cap.</t>
        </is>
      </c>
      <c r="C5" s="13">
        <f>C3*C4</f>
        <v>194065.38130905002</v>
      </c>
      <c r="F5" s="1" t="n"/>
    </row>
    <row r="6"/>
    <row r="7">
      <c r="B7" t="inlineStr">
        <is>
          <t>Cash</t>
        </is>
      </c>
      <c r="C7" s="51" t="n">
        <v>3179</v>
      </c>
    </row>
    <row r="8">
      <c r="B8" t="inlineStr">
        <is>
          <t>Debt</t>
        </is>
      </c>
      <c r="C8" s="51">
        <f>2414+23832</f>
        <v>26246.0</v>
      </c>
    </row>
    <row r="9">
      <c r="B9" t="inlineStr">
        <is>
          <t>Enterprise V.</t>
        </is>
      </c>
      <c r="C9" s="13">
        <f>C5-C7+C8</f>
        <v>217132.38130905002</v>
      </c>
    </row>
    <row r="10"/>
    <row r="11">
      <c r="B11" s="14" t="inlineStr">
        <is>
          <t>NPV / Share</t>
        </is>
      </c>
      <c r="C11" s="11">
        <f>NPV!B28</f>
        <v>71.51196925752382</v>
      </c>
    </row>
    <row r="12">
      <c r="B12" s="14" t="inlineStr">
        <is>
          <t>Upside</t>
        </is>
      </c>
      <c r="C12" s="15">
        <f>IFERROR(C11/C3-1,"")</f>
        <v>-0.5430837054659522</v>
      </c>
    </row>
    <row r="13">
      <c r="B13" s="14" t="inlineStr">
        <is>
          <t>Cash / Share</t>
        </is>
      </c>
      <c r="C13" s="11">
        <f>IFERROR((C7-C8)/C4,"")</f>
        <v>-18.60309214166701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2007</v>
      </c>
      <c r="C1" s="16" t="n">
        <v>2008</v>
      </c>
      <c r="D1" s="16" t="n">
        <v>2009</v>
      </c>
      <c r="E1" s="16" t="n">
        <v>2010</v>
      </c>
      <c r="F1" s="16" t="n">
        <v>2011</v>
      </c>
      <c r="G1" s="16" t="n">
        <v>2012</v>
      </c>
      <c r="H1" s="16" t="n">
        <v>2013</v>
      </c>
      <c r="I1" s="16" t="n">
        <v>2014</v>
      </c>
      <c r="J1" s="16" t="n">
        <v>2015</v>
      </c>
      <c r="K1" s="16" t="n">
        <v>2016</v>
      </c>
      <c r="L1" s="16" t="n">
        <v>2017</v>
      </c>
      <c r="M1" s="16" t="n">
        <v>2018</v>
      </c>
      <c r="N1" s="16" t="n">
        <v>2019</v>
      </c>
      <c r="O1" s="16" t="n">
        <v>2020</v>
      </c>
      <c r="P1" s="16" t="n">
        <v>2021</v>
      </c>
      <c r="Q1" s="16" t="n">
        <v>2022</v>
      </c>
      <c r="R1" s="16" t="n">
        <v>2023</v>
      </c>
      <c r="S1" s="16" t="n">
        <v>2024</v>
      </c>
      <c r="T1" s="16" t="n">
        <v>2025</v>
      </c>
      <c r="U1" s="16" t="n">
        <v>2026</v>
      </c>
      <c r="V1" s="16" t="n">
        <v>2027</v>
      </c>
      <c r="W1" s="16" t="n">
        <v>2028</v>
      </c>
      <c r="X1" s="16" t="n">
        <v>2029</v>
      </c>
      <c r="Y1" s="16" t="n">
        <v>2030</v>
      </c>
      <c r="Z1" s="16" t="n">
        <v>2031</v>
      </c>
      <c r="AA1" s="16" t="n">
        <v>2032</v>
      </c>
      <c r="AB1" s="16" t="n">
        <v>2033</v>
      </c>
      <c r="AC1" s="16" t="n">
        <v>2034</v>
      </c>
      <c r="AD1" s="16" t="n">
        <v>2035</v>
      </c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4230.045</v>
      </c>
      <c r="C2" s="52" t="n">
        <v>5335.75</v>
      </c>
      <c r="D2" s="52" t="n">
        <v>7011.383</v>
      </c>
      <c r="E2" s="52" t="n">
        <v>7949.42</v>
      </c>
      <c r="F2" s="52" t="n">
        <v>8385.385</v>
      </c>
      <c r="G2" s="52" t="n">
        <v>9702.517</v>
      </c>
      <c r="H2" s="52" t="n">
        <v>11202</v>
      </c>
      <c r="I2" s="52" t="n">
        <v>24890</v>
      </c>
      <c r="J2" s="52" t="n">
        <v>32639</v>
      </c>
      <c r="K2" s="52" t="n">
        <v>30390</v>
      </c>
      <c r="L2" s="52" t="n">
        <v>26107</v>
      </c>
      <c r="M2" s="52" t="n">
        <v>22127</v>
      </c>
      <c r="N2" s="52" t="n">
        <v>22449</v>
      </c>
      <c r="O2" s="52" t="n">
        <v>24689</v>
      </c>
      <c r="P2" s="52" t="n">
        <v>27305</v>
      </c>
      <c r="Q2" s="52" t="n">
        <v>27281</v>
      </c>
      <c r="R2" s="52" t="n">
        <v>27116</v>
      </c>
      <c r="S2" s="52" t="n">
        <v>28754</v>
      </c>
      <c r="T2" s="52" t="n">
        <v>29443</v>
      </c>
      <c r="U2" s="52">
        <f>T2*(1+NPV!C5)</f>
        <v>31221.3572</v>
      </c>
      <c r="V2" s="52">
        <f>U2*(1+NPV!D5)</f>
        <v>32984.32316989333</v>
      </c>
      <c r="W2" s="52">
        <f>V2*(1+NPV!E5)</f>
        <v>34717.09961375173</v>
      </c>
      <c r="X2" s="52">
        <f>W2*(1+NPV!F5)</f>
        <v>36404.35065498006</v>
      </c>
      <c r="Y2" s="52">
        <f>X2*(1+NPV!G5)</f>
        <v>38030.4116509025</v>
      </c>
      <c r="Z2" s="52">
        <f>Y2*(1+NPV!H5)</f>
        <v>39579.51708548259</v>
      </c>
      <c r="AA2" s="52">
        <f>Z2*(1+NPV!I5)</f>
        <v>41036.04331422835</v>
      </c>
      <c r="AB2" s="52">
        <f>AA2*(1+NPV!J5)</f>
        <v>42384.761271155985</v>
      </c>
      <c r="AC2" s="52">
        <f>AB2*(1+NPV!K5)</f>
        <v>43611.093697268094</v>
      </c>
      <c r="AD2" s="52">
        <f>AC2*(1+NPV!L5)</f>
        <v>44701.37103969979</v>
      </c>
    </row>
    <row r="3" customFormat="1" s="1">
      <c r="A3" s="5" t="inlineStr">
        <is>
          <t>Cost of Sales</t>
        </is>
      </c>
      <c r="B3" s="52" t="n">
        <v>768.771</v>
      </c>
      <c r="C3" s="52" t="n">
        <v>1127.246</v>
      </c>
      <c r="D3" s="52" t="n">
        <v>1595.558</v>
      </c>
      <c r="E3" s="52" t="n">
        <v>1869.876</v>
      </c>
      <c r="F3" s="52" t="n">
        <v>2124.41</v>
      </c>
      <c r="G3" s="52" t="n">
        <v>2471</v>
      </c>
      <c r="H3" s="52" t="n">
        <v>2859</v>
      </c>
      <c r="I3" s="52" t="n">
        <v>3788</v>
      </c>
      <c r="J3" s="52" t="n">
        <v>4006</v>
      </c>
      <c r="K3" s="52" t="n">
        <v>4261</v>
      </c>
      <c r="L3" s="52" t="n">
        <v>4371</v>
      </c>
      <c r="M3" s="52" t="n">
        <v>4853</v>
      </c>
      <c r="N3" s="52" t="n">
        <v>4675</v>
      </c>
      <c r="O3" s="52" t="n">
        <v>4572</v>
      </c>
      <c r="P3" s="52" t="n">
        <v>6601</v>
      </c>
      <c r="Q3" s="52" t="n">
        <v>5657</v>
      </c>
      <c r="R3" s="52" t="n">
        <v>6498</v>
      </c>
      <c r="S3" s="52" t="n">
        <v>6251</v>
      </c>
      <c r="T3" s="52" t="n">
        <v>6234</v>
      </c>
      <c r="U3" s="52">
        <f>U2*(1-Assumptions!$B$19)</f>
        <v>6609.56131924</v>
      </c>
      <c r="V3" s="52">
        <f>V2*(1-Assumptions!$B$19)</f>
        <v>6982.781215066418</v>
      </c>
      <c r="W3" s="52">
        <f>W2*(1-Assumptions!$B$19)</f>
        <v>7349.609988231241</v>
      </c>
      <c r="X3" s="52">
        <f>X2*(1-Assumptions!$B$19)</f>
        <v>7706.801033659279</v>
      </c>
      <c r="Y3" s="52">
        <f>Y2*(1-Assumptions!$B$19)</f>
        <v>8051.038146496058</v>
      </c>
      <c r="Z3" s="52">
        <f>Z2*(1-Assumptions!$B$19)</f>
        <v>8378.983766996666</v>
      </c>
      <c r="AA3" s="52">
        <f>AA2*(1-Assumptions!$B$19)</f>
        <v>8687.330369622141</v>
      </c>
      <c r="AB3" s="52">
        <f>AB2*(1-Assumptions!$B$19)</f>
        <v>8972.853961103721</v>
      </c>
      <c r="AC3" s="52">
        <f>AC2*(1-Assumptions!$B$19)</f>
        <v>9232.468535711656</v>
      </c>
      <c r="AD3" s="52">
        <f>AD2*(1-Assumptions!$B$19)</f>
        <v>9463.280249104446</v>
      </c>
    </row>
    <row r="4" customFormat="1" s="1">
      <c r="A4" s="5" t="inlineStr">
        <is>
          <t>Gross Margin</t>
        </is>
      </c>
      <c r="B4" s="52">
        <f>B2-B3</f>
        <v>3461.2740000000003</v>
      </c>
      <c r="C4" s="52">
        <f>C2-C3</f>
        <v>4208.504</v>
      </c>
      <c r="D4" s="52">
        <f>D2-D3</f>
        <v>5415.825</v>
      </c>
      <c r="E4" s="52">
        <f>E2-E3</f>
        <v>6079.544</v>
      </c>
      <c r="F4" s="52">
        <f>F2-F3</f>
        <v>6260.975</v>
      </c>
      <c r="G4" s="52">
        <f>G2-G3</f>
        <v>7231.517</v>
      </c>
      <c r="H4" s="52">
        <f>H2-H3</f>
        <v>8343.0</v>
      </c>
      <c r="I4" s="52">
        <f>I2-I3</f>
        <v>21102.0</v>
      </c>
      <c r="J4" s="52">
        <f>J2-J3</f>
        <v>28633.0</v>
      </c>
      <c r="K4" s="52">
        <f>K2-K3</f>
        <v>26129.0</v>
      </c>
      <c r="L4" s="52">
        <f>L2-L3</f>
        <v>21736.0</v>
      </c>
      <c r="M4" s="52">
        <f>M2-M3</f>
        <v>17274.0</v>
      </c>
      <c r="N4" s="52">
        <f>N2-N3</f>
        <v>17774.0</v>
      </c>
      <c r="O4" s="52">
        <f>O2-O3</f>
        <v>20117.0</v>
      </c>
      <c r="P4" s="52">
        <f>P2-P3</f>
        <v>20704.0</v>
      </c>
      <c r="Q4" s="52">
        <f>Q2-Q3</f>
        <v>21624.0</v>
      </c>
      <c r="R4" s="52">
        <f>R2-R3</f>
        <v>20618.0</v>
      </c>
      <c r="S4" s="52">
        <f>S2-S3</f>
        <v>22503.0</v>
      </c>
      <c r="T4" s="52">
        <f>T2-T3</f>
        <v>23209.0</v>
      </c>
      <c r="U4" s="52">
        <f>U2-U3</f>
        <v>24611.79588076</v>
      </c>
      <c r="V4" s="52">
        <f>V2-V3</f>
        <v>26001.541954826913</v>
      </c>
      <c r="W4" s="52">
        <f>W2-W3</f>
        <v>27367.489625520488</v>
      </c>
      <c r="X4" s="52">
        <f>X2-X3</f>
        <v>28697.54962132078</v>
      </c>
      <c r="Y4" s="52">
        <f>Y2-Y3</f>
        <v>29979.373504406438</v>
      </c>
      <c r="Z4" s="52">
        <f>Z2-Z3</f>
        <v>31200.533318485926</v>
      </c>
      <c r="AA4" s="52">
        <f>AA2-AA3</f>
        <v>32348.71294460621</v>
      </c>
      <c r="AB4" s="52">
        <f>AB2-AB3</f>
        <v>33411.907310052266</v>
      </c>
      <c r="AC4" s="52">
        <f>AC2-AC3</f>
        <v>34378.62516155644</v>
      </c>
      <c r="AD4" s="52">
        <f>AD2-AD3</f>
        <v>35238.09079059535</v>
      </c>
    </row>
    <row r="5">
      <c r="A5" s="2" t="inlineStr">
        <is>
          <t>Research &amp; Dev.</t>
        </is>
      </c>
      <c r="B5" s="52" t="n">
        <v>591.026</v>
      </c>
      <c r="C5" s="52" t="n">
        <v>721.768</v>
      </c>
      <c r="D5" s="52" t="n">
        <v>939.918</v>
      </c>
      <c r="E5" s="52" t="n">
        <v>1072.93</v>
      </c>
      <c r="F5" s="52" t="n">
        <v>1229.151</v>
      </c>
      <c r="G5" s="52" t="n">
        <v>1760</v>
      </c>
      <c r="H5" s="52" t="n">
        <v>2120</v>
      </c>
      <c r="I5" s="52" t="n">
        <v>2854</v>
      </c>
      <c r="J5" s="52" t="n">
        <v>3014</v>
      </c>
      <c r="K5" s="52" t="n">
        <v>5098</v>
      </c>
      <c r="L5" s="52" t="n">
        <v>3734</v>
      </c>
      <c r="M5" s="52" t="n">
        <v>5018</v>
      </c>
      <c r="N5" s="52" t="n">
        <v>9106</v>
      </c>
      <c r="O5" s="52" t="n">
        <v>4927</v>
      </c>
      <c r="P5" s="52" t="n">
        <v>4601</v>
      </c>
      <c r="Q5" s="52" t="n">
        <v>4977</v>
      </c>
      <c r="R5" s="52" t="n">
        <v>5718</v>
      </c>
      <c r="S5" s="52" t="n">
        <v>5907</v>
      </c>
      <c r="T5" s="52" t="n">
        <v>5799</v>
      </c>
      <c r="U5" s="52">
        <f>U7*Assumptions!$B$20</f>
        <v>7083.215221690477</v>
      </c>
      <c r="V5" s="52">
        <f>V7*Assumptions!$B$20</f>
        <v>7599.958142449389</v>
      </c>
      <c r="W5" s="52">
        <f>W7*Assumptions!$B$20</f>
        <v>8122.121349167594</v>
      </c>
      <c r="X5" s="52">
        <f>X7*Assumptions!$B$20</f>
        <v>8645.742045752524</v>
      </c>
      <c r="Y5" s="52">
        <f>Y7*Assumptions!$B$20</f>
        <v>9166.561012900875</v>
      </c>
      <c r="Z5" s="52">
        <f>Z7*Assumptions!$B$20</f>
        <v>9680.072524653977</v>
      </c>
      <c r="AA5" s="52">
        <f>AA7*Assumptions!$B$20</f>
        <v>10181.582790950504</v>
      </c>
      <c r="AB5" s="52">
        <f>AB7*Assumptions!$B$20</f>
        <v>10666.27606363653</v>
      </c>
      <c r="AC5" s="52">
        <f>AC7*Assumptions!$B$20</f>
        <v>11129.28726442595</v>
      </c>
      <c r="AD5" s="52">
        <f>AD7*Assumptions!$B$20</f>
        <v>11565.77973305184</v>
      </c>
    </row>
    <row r="6">
      <c r="A6" s="18" t="inlineStr">
        <is>
          <t>SG&amp;A &amp; Other</t>
        </is>
      </c>
      <c r="B6" s="52" t="n">
        <v>705.741</v>
      </c>
      <c r="C6" s="52" t="n">
        <v>808.1950000000001</v>
      </c>
      <c r="D6" s="52" t="n">
        <v>946.686</v>
      </c>
      <c r="E6" s="52" t="n">
        <v>1044.392</v>
      </c>
      <c r="F6" s="52" t="n">
        <v>1241.983</v>
      </c>
      <c r="G6" s="52" t="n">
        <v>1461.517</v>
      </c>
      <c r="H6" s="52" t="n">
        <v>1699</v>
      </c>
      <c r="I6" s="52" t="n">
        <v>2983</v>
      </c>
      <c r="J6" s="52" t="n">
        <v>3426</v>
      </c>
      <c r="K6" s="52" t="n">
        <v>3398</v>
      </c>
      <c r="L6" s="52" t="n">
        <v>3878</v>
      </c>
      <c r="M6" s="52" t="n">
        <v>4056</v>
      </c>
      <c r="N6" s="52" t="n">
        <v>4381</v>
      </c>
      <c r="O6" s="52" t="n">
        <v>11119</v>
      </c>
      <c r="P6" s="52" t="n">
        <v>6185</v>
      </c>
      <c r="Q6" s="52" t="n">
        <v>9317</v>
      </c>
      <c r="R6" s="52" t="n">
        <v>7295</v>
      </c>
      <c r="S6" s="52" t="n">
        <v>14934</v>
      </c>
      <c r="T6" s="52" t="n">
        <v>7388</v>
      </c>
      <c r="U6" s="52">
        <f>U7-U5</f>
        <v>9022.321889929524</v>
      </c>
      <c r="V6" s="52">
        <f>V7-V5</f>
        <v>9680.528766257725</v>
      </c>
      <c r="W6" s="52">
        <f>W7-W5</f>
        <v>10345.639790367633</v>
      </c>
      <c r="X6" s="52">
        <f>X7-X5</f>
        <v>11012.607307936707</v>
      </c>
      <c r="Y6" s="52">
        <f>Y7-Y5</f>
        <v>11676.00609237624</v>
      </c>
      <c r="Z6" s="52">
        <f>Z7-Z5</f>
        <v>12330.096926582894</v>
      </c>
      <c r="AA6" s="52">
        <f>AA7-AA5</f>
        <v>12968.901044771423</v>
      </c>
      <c r="AB6" s="52">
        <f>AB7-AB5</f>
        <v>13586.284335718925</v>
      </c>
      <c r="AC6" s="52">
        <f>AC7-AC5</f>
        <v>14176.049853413862</v>
      </c>
      <c r="AD6" s="52">
        <f>AD7-AD5</f>
        <v>14732.036849603548</v>
      </c>
    </row>
    <row r="7">
      <c r="A7" s="2" t="inlineStr">
        <is>
          <t>Operating Expense</t>
        </is>
      </c>
      <c r="B7" s="52">
        <f>SUM(B5:B6)</f>
        <v>1296.7669999999998</v>
      </c>
      <c r="C7" s="52">
        <f>SUM(C5:C6)</f>
        <v>1529.9630000000002</v>
      </c>
      <c r="D7" s="52">
        <f>SUM(D5:D6)</f>
        <v>1886.604</v>
      </c>
      <c r="E7" s="52">
        <f>SUM(E5:E6)</f>
        <v>2117.322</v>
      </c>
      <c r="F7" s="52">
        <f>SUM(F5:F6)</f>
        <v>2471.134</v>
      </c>
      <c r="G7" s="52">
        <f>SUM(G5:G6)</f>
        <v>3221.517</v>
      </c>
      <c r="H7" s="52">
        <f>SUM(H5:H6)</f>
        <v>3819.0</v>
      </c>
      <c r="I7" s="52">
        <f>SUM(I5:I6)</f>
        <v>5837.0</v>
      </c>
      <c r="J7" s="52">
        <f>SUM(J5:J6)</f>
        <v>6440.0</v>
      </c>
      <c r="K7" s="52">
        <f>SUM(K5:K6)</f>
        <v>8496.0</v>
      </c>
      <c r="L7" s="52">
        <f>SUM(L5:L6)</f>
        <v>7612.0</v>
      </c>
      <c r="M7" s="52">
        <f>SUM(M5:M6)</f>
        <v>9074.0</v>
      </c>
      <c r="N7" s="52">
        <f>SUM(N5:N6)</f>
        <v>13487.0</v>
      </c>
      <c r="O7" s="52">
        <f>SUM(O5:O6)</f>
        <v>16046.0</v>
      </c>
      <c r="P7" s="52">
        <f>SUM(P5:P6)</f>
        <v>10786.0</v>
      </c>
      <c r="Q7" s="52">
        <f>SUM(Q5:Q6)</f>
        <v>14294.0</v>
      </c>
      <c r="R7" s="52">
        <f>SUM(R5:R6)</f>
        <v>13013.0</v>
      </c>
      <c r="S7" s="52">
        <f>SUM(S5:S6)</f>
        <v>20841.0</v>
      </c>
      <c r="T7" s="52">
        <f>SUM(T5:T6)</f>
        <v>13187.0</v>
      </c>
      <c r="U7" s="52">
        <f>U4-U2*NPV!C6</f>
        <v>16105.53711162</v>
      </c>
      <c r="V7" s="52">
        <f>V4-V2*NPV!D6</f>
        <v>17280.486908707113</v>
      </c>
      <c r="W7" s="52">
        <f>W4-W2*NPV!E6</f>
        <v>18467.76113953523</v>
      </c>
      <c r="X7" s="52">
        <f>X4-X2*NPV!F6</f>
        <v>19658.34935368923</v>
      </c>
      <c r="Y7" s="52">
        <f>Y4-Y2*NPV!G6</f>
        <v>20842.567105277114</v>
      </c>
      <c r="Z7" s="52">
        <f>Z4-Z2*NPV!H6</f>
        <v>22010.16945123687</v>
      </c>
      <c r="AA7" s="52">
        <f>AA4-AA2*NPV!I6</f>
        <v>23150.483835721927</v>
      </c>
      <c r="AB7" s="52">
        <f>AB4-AB2*NPV!J6</f>
        <v>24252.560399355454</v>
      </c>
      <c r="AC7" s="52">
        <f>AC4-AC2*NPV!K6</f>
        <v>25305.337117839812</v>
      </c>
      <c r="AD7" s="52">
        <f>AD4-AD2*NPV!L6</f>
        <v>26297.81658265539</v>
      </c>
    </row>
    <row r="8">
      <c r="A8" s="2" t="inlineStr">
        <is>
          <t>Operating Income</t>
        </is>
      </c>
      <c r="B8" s="52">
        <f>B4-B7</f>
        <v>2164.5070000000005</v>
      </c>
      <c r="C8" s="52">
        <f>C4-C7</f>
        <v>2678.5409999999997</v>
      </c>
      <c r="D8" s="52">
        <f>D4-D7</f>
        <v>3529.2209999999995</v>
      </c>
      <c r="E8" s="52">
        <f>E4-E7</f>
        <v>3962.2219999999998</v>
      </c>
      <c r="F8" s="52">
        <f>F4-F7</f>
        <v>3789.8410000000003</v>
      </c>
      <c r="G8" s="52">
        <f>G4-G7</f>
        <v>4010.0</v>
      </c>
      <c r="H8" s="52">
        <f>H4-H7</f>
        <v>4524.0</v>
      </c>
      <c r="I8" s="52">
        <f>I4-I7</f>
        <v>15265.0</v>
      </c>
      <c r="J8" s="52">
        <f>J4-J7</f>
        <v>22193.0</v>
      </c>
      <c r="K8" s="52">
        <f>K4-K7</f>
        <v>17633.0</v>
      </c>
      <c r="L8" s="52">
        <f>L4-L7</f>
        <v>14124.0</v>
      </c>
      <c r="M8" s="52">
        <f>M4-M7</f>
        <v>8200.0</v>
      </c>
      <c r="N8" s="52">
        <f>N4-N7</f>
        <v>4287.0</v>
      </c>
      <c r="O8" s="52">
        <f>O4-O7</f>
        <v>4071.0</v>
      </c>
      <c r="P8" s="52">
        <f>P4-P7</f>
        <v>9918.0</v>
      </c>
      <c r="Q8" s="52">
        <f>Q4-Q7</f>
        <v>7330.0</v>
      </c>
      <c r="R8" s="52">
        <f>R4-R7</f>
        <v>7605.0</v>
      </c>
      <c r="S8" s="52">
        <f>S4-S7</f>
        <v>1662.0</v>
      </c>
      <c r="T8" s="52">
        <f>T4-T7</f>
        <v>10022.0</v>
      </c>
      <c r="U8" s="52">
        <f>U4-U7</f>
        <v>8506.25876914</v>
      </c>
      <c r="V8" s="52">
        <f>V4-V7</f>
        <v>8721.0550461198</v>
      </c>
      <c r="W8" s="52">
        <f>W4-W7</f>
        <v>8899.728485985259</v>
      </c>
      <c r="X8" s="52">
        <f>X4-X7</f>
        <v>9039.20026763155</v>
      </c>
      <c r="Y8" s="52">
        <f>Y4-Y7</f>
        <v>9136.806399129324</v>
      </c>
      <c r="Z8" s="52">
        <f>Z4-Z7</f>
        <v>9190.363867249056</v>
      </c>
      <c r="AA8" s="52">
        <f>AA4-AA7</f>
        <v>9198.229108884283</v>
      </c>
      <c r="AB8" s="52">
        <f>AB4-AB7</f>
        <v>9159.346910696811</v>
      </c>
      <c r="AC8" s="52">
        <f>AC4-AC7</f>
        <v>9073.288043716628</v>
      </c>
      <c r="AD8" s="52">
        <f>AD4-AD7</f>
        <v>8940.274207939961</v>
      </c>
    </row>
    <row r="9">
      <c r="A9" s="18" t="inlineStr">
        <is>
          <t>Interest &amp; Other</t>
        </is>
      </c>
      <c r="B9" s="52" t="n">
        <v>55.75</v>
      </c>
      <c r="C9" s="52" t="n">
        <v>2.721</v>
      </c>
      <c r="D9" s="52" t="n">
        <v>-17.102</v>
      </c>
      <c r="E9" s="52" t="n">
        <v>-37.166</v>
      </c>
      <c r="F9" s="52" t="n">
        <v>-124.259</v>
      </c>
      <c r="G9" s="52" t="n">
        <v>-380</v>
      </c>
      <c r="H9" s="52" t="n">
        <v>-298</v>
      </c>
      <c r="I9" s="52" t="n">
        <v>-367</v>
      </c>
      <c r="J9" s="52" t="n">
        <v>-532</v>
      </c>
      <c r="K9" s="52" t="n">
        <v>-523</v>
      </c>
      <c r="L9" s="52" t="n">
        <v>-611</v>
      </c>
      <c r="M9" s="52" t="n">
        <v>-406</v>
      </c>
      <c r="N9" s="52" t="n">
        <v>895</v>
      </c>
      <c r="O9" s="52" t="n">
        <v>-2368</v>
      </c>
      <c r="P9" s="52" t="n">
        <v>-1616</v>
      </c>
      <c r="Q9" s="52" t="n">
        <v>-1490</v>
      </c>
      <c r="R9" s="52" t="n">
        <v>-693</v>
      </c>
      <c r="S9" s="52" t="n">
        <v>-971</v>
      </c>
      <c r="T9" s="52" t="n">
        <v>-226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  <c r="AD9" s="52" t="n">
        <v>0</v>
      </c>
    </row>
    <row r="10">
      <c r="A10" s="2" t="inlineStr">
        <is>
          <t>Pretax</t>
        </is>
      </c>
      <c r="B10" s="52">
        <f>B8+B9</f>
        <v>2220.2570000000005</v>
      </c>
      <c r="C10" s="52">
        <f>C8+C9</f>
        <v>2681.2619999999997</v>
      </c>
      <c r="D10" s="52">
        <f>D8+D9</f>
        <v>3512.1189999999997</v>
      </c>
      <c r="E10" s="52">
        <f>E8+E9</f>
        <v>3925.0559999999996</v>
      </c>
      <c r="F10" s="52">
        <f>F8+F9</f>
        <v>3665.5820000000003</v>
      </c>
      <c r="G10" s="52">
        <f>G8+G9</f>
        <v>3630.0</v>
      </c>
      <c r="H10" s="52">
        <f>H8+H9</f>
        <v>4226.0</v>
      </c>
      <c r="I10" s="52">
        <f>I8+I9</f>
        <v>14898.0</v>
      </c>
      <c r="J10" s="52">
        <f>J8+J9</f>
        <v>21661.0</v>
      </c>
      <c r="K10" s="52">
        <f>K8+K9</f>
        <v>17110.0</v>
      </c>
      <c r="L10" s="52">
        <f>L8+L9</f>
        <v>13513.0</v>
      </c>
      <c r="M10" s="52">
        <f>M8+M9</f>
        <v>7794.0</v>
      </c>
      <c r="N10" s="52">
        <f>N8+N9</f>
        <v>5182.0</v>
      </c>
      <c r="O10" s="52">
        <f>O8+O9</f>
        <v>1703.0</v>
      </c>
      <c r="P10" s="52">
        <f>P8+P9</f>
        <v>8302.0</v>
      </c>
      <c r="Q10" s="52">
        <f>Q8+Q9</f>
        <v>5840.0</v>
      </c>
      <c r="R10" s="52">
        <f>R8+R9</f>
        <v>6912.0</v>
      </c>
      <c r="S10" s="52">
        <f>S8+S9</f>
        <v>691.0</v>
      </c>
      <c r="T10" s="52">
        <f>T8+T9</f>
        <v>9796.0</v>
      </c>
      <c r="U10" s="52">
        <f>U8+U9</f>
        <v>8506.25876914</v>
      </c>
      <c r="V10" s="52">
        <f>V8+V9</f>
        <v>8721.0550461198</v>
      </c>
      <c r="W10" s="52">
        <f>W8+W9</f>
        <v>8899.728485985259</v>
      </c>
      <c r="X10" s="52">
        <f>X8+X9</f>
        <v>9039.20026763155</v>
      </c>
      <c r="Y10" s="52">
        <f>Y8+Y9</f>
        <v>9136.806399129324</v>
      </c>
      <c r="Z10" s="52">
        <f>Z8+Z9</f>
        <v>9190.363867249056</v>
      </c>
      <c r="AA10" s="52">
        <f>AA8+AA9</f>
        <v>9198.229108884283</v>
      </c>
      <c r="AB10" s="52">
        <f>AB8+AB9</f>
        <v>9159.346910696811</v>
      </c>
      <c r="AC10" s="52">
        <f>AC8+AC9</f>
        <v>9073.288043716628</v>
      </c>
      <c r="AD10" s="52">
        <f>AD8+AD9</f>
        <v>8940.274207939961</v>
      </c>
    </row>
    <row r="11">
      <c r="A11" s="2" t="inlineStr">
        <is>
          <t>Taxes</t>
        </is>
      </c>
      <c r="B11" s="52" t="n">
        <v>635.355</v>
      </c>
      <c r="C11" s="52" t="n">
        <v>702.3630000000001</v>
      </c>
      <c r="D11" s="52" t="n">
        <v>876.364</v>
      </c>
      <c r="E11" s="52" t="n">
        <v>1023.799</v>
      </c>
      <c r="F11" s="52" t="n">
        <v>861.9450000000001</v>
      </c>
      <c r="G11" s="52" t="n">
        <v>1038</v>
      </c>
      <c r="H11" s="52" t="n">
        <v>1151</v>
      </c>
      <c r="I11" s="52" t="n">
        <v>2797</v>
      </c>
      <c r="J11" s="52" t="n">
        <v>3553</v>
      </c>
      <c r="K11" s="52" t="n">
        <v>3609</v>
      </c>
      <c r="L11" s="52" t="n">
        <v>8885</v>
      </c>
      <c r="M11" s="52" t="n">
        <v>2339</v>
      </c>
      <c r="N11" s="52" t="n">
        <v>-204</v>
      </c>
      <c r="O11" s="52" t="n">
        <v>1580</v>
      </c>
      <c r="P11" s="52" t="n">
        <v>2077</v>
      </c>
      <c r="Q11" s="52" t="n">
        <v>1248</v>
      </c>
      <c r="R11" s="52" t="n">
        <v>1247</v>
      </c>
      <c r="S11" s="52" t="n">
        <v>211</v>
      </c>
      <c r="T11" s="52" t="n">
        <v>1286</v>
      </c>
      <c r="U11" s="52">
        <f>MAX(0,U10)*Assumptions!$E$14</f>
        <v>1446.0639907538002</v>
      </c>
      <c r="V11" s="52">
        <f>MAX(0,V10)*Assumptions!$E$14</f>
        <v>1482.5793578403661</v>
      </c>
      <c r="W11" s="52">
        <f>MAX(0,W10)*Assumptions!$E$14</f>
        <v>1512.953842617494</v>
      </c>
      <c r="X11" s="52">
        <f>MAX(0,X10)*Assumptions!$E$14</f>
        <v>1536.6640454973635</v>
      </c>
      <c r="Y11" s="52">
        <f>MAX(0,Y10)*Assumptions!$E$14</f>
        <v>1553.2570878519853</v>
      </c>
      <c r="Z11" s="52">
        <f>MAX(0,Z10)*Assumptions!$E$14</f>
        <v>1562.3618574323395</v>
      </c>
      <c r="AA11" s="52">
        <f>MAX(0,AA10)*Assumptions!$E$14</f>
        <v>1563.6989485103281</v>
      </c>
      <c r="AB11" s="52">
        <f>MAX(0,AB10)*Assumptions!$E$14</f>
        <v>1557.0889748184582</v>
      </c>
      <c r="AC11" s="52">
        <f>MAX(0,AC10)*Assumptions!$E$14</f>
        <v>1542.4589674318267</v>
      </c>
      <c r="AD11" s="52">
        <f>MAX(0,AD10)*Assumptions!$E$14</f>
        <v>1519.8466153497936</v>
      </c>
    </row>
    <row r="12">
      <c r="A12" s="2" t="inlineStr">
        <is>
          <t>Net Income</t>
        </is>
      </c>
      <c r="B12" s="52" t="n">
        <v>1584.902</v>
      </c>
      <c r="C12" s="52" t="n">
        <v>1978.899</v>
      </c>
      <c r="D12" s="52" t="n">
        <v>2635.755</v>
      </c>
      <c r="E12" s="52" t="n">
        <v>2901.257</v>
      </c>
      <c r="F12" s="52" t="n">
        <v>2803.637</v>
      </c>
      <c r="G12" s="52" t="n">
        <v>2592</v>
      </c>
      <c r="H12" s="52" t="n">
        <v>3075</v>
      </c>
      <c r="I12" s="52" t="n">
        <v>12101</v>
      </c>
      <c r="J12" s="52" t="n">
        <v>18108</v>
      </c>
      <c r="K12" s="52" t="n">
        <v>13501</v>
      </c>
      <c r="L12" s="52" t="n">
        <v>4628</v>
      </c>
      <c r="M12" s="52" t="n">
        <v>5455</v>
      </c>
      <c r="N12" s="52" t="n">
        <v>5386</v>
      </c>
      <c r="O12" s="52" t="n">
        <v>123</v>
      </c>
      <c r="P12" s="52" t="n">
        <v>6225</v>
      </c>
      <c r="Q12" s="52" t="n">
        <v>4592</v>
      </c>
      <c r="R12" s="52" t="n">
        <v>5665</v>
      </c>
      <c r="S12" s="52" t="n">
        <v>480</v>
      </c>
      <c r="T12" s="52" t="n">
        <v>8510</v>
      </c>
      <c r="U12" s="52">
        <f>U10-U11</f>
        <v>7060.1947783862</v>
      </c>
      <c r="V12" s="52">
        <f>V10-V11</f>
        <v>7238.475688279434</v>
      </c>
      <c r="W12" s="52">
        <f>W10-W11</f>
        <v>7386.774643367765</v>
      </c>
      <c r="X12" s="52">
        <f>X10-X11</f>
        <v>7502.536222134186</v>
      </c>
      <c r="Y12" s="52">
        <f>Y10-Y11</f>
        <v>7583.549311277338</v>
      </c>
      <c r="Z12" s="52">
        <f>Z10-Z11</f>
        <v>7628.002009816717</v>
      </c>
      <c r="AA12" s="52">
        <f>AA10-AA11</f>
        <v>7634.530160373955</v>
      </c>
      <c r="AB12" s="52">
        <f>AB10-AB11</f>
        <v>7602.257935878353</v>
      </c>
      <c r="AC12" s="52">
        <f>AC10-AC11</f>
        <v>7530.829076284801</v>
      </c>
      <c r="AD12" s="52">
        <f>AD10-AD11</f>
        <v>7420.4275925901675</v>
      </c>
    </row>
    <row r="13">
      <c r="A13" s="2" t="inlineStr">
        <is>
          <t>Earnings per Share</t>
        </is>
      </c>
      <c r="B13" s="11">
        <f>IFERROR(B12/B14,0)</f>
        <v>1.6434822824765958</v>
      </c>
      <c r="C13" s="11">
        <f>IFERROR(C12/C14,0)</f>
        <v>2.063879227179099</v>
      </c>
      <c r="D13" s="11">
        <f>IFERROR(D12/D14,0)</f>
        <v>2.821678198154605</v>
      </c>
      <c r="E13" s="11">
        <f>IFERROR(E12/E14,0)</f>
        <v>1.6609058204983767</v>
      </c>
      <c r="F13" s="11">
        <f>IFERROR(F12/F14,0)</f>
        <v>1.774188792053845</v>
      </c>
      <c r="G13" s="11">
        <f>IFERROR(G12/G14,0)</f>
        <v>1.6373973468098546</v>
      </c>
      <c r="H13" s="11">
        <f>IFERROR(H12/H14,0)</f>
        <v>1.8141592920353982</v>
      </c>
      <c r="I13" s="11">
        <f>IFERROR(I12/I14,0)</f>
        <v>7.347298117789921</v>
      </c>
      <c r="J13" s="11">
        <f>IFERROR(J12/J14,0)</f>
        <v>11.905325443786982</v>
      </c>
      <c r="K13" s="11">
        <f>IFERROR(K12/K14,0)</f>
        <v>9.941826215022092</v>
      </c>
      <c r="L13" s="11">
        <f>IFERROR(L12/L14,0)</f>
        <v>3.508718726307809</v>
      </c>
      <c r="M13" s="11">
        <f>IFERROR(M12/M14,0)</f>
        <v>4.170489296636085</v>
      </c>
      <c r="N13" s="11">
        <f>IFERROR(N12/N14,0)</f>
        <v>4.217697729052467</v>
      </c>
      <c r="O13" s="11">
        <f>IFERROR(O12/O14,0)</f>
        <v>0.09738717339667459</v>
      </c>
      <c r="P13" s="11">
        <f>IFERROR(P12/P14,0)</f>
        <v>4.932646592709984</v>
      </c>
      <c r="Q13" s="11">
        <f>IFERROR(Q12/Q14,0)</f>
        <v>3.6386687797147386</v>
      </c>
      <c r="R13" s="11">
        <f>IFERROR(R12/R14,0)</f>
        <v>4.503179650238474</v>
      </c>
      <c r="S13" s="11">
        <f>IFERROR(S12/S14,0)</f>
        <v>0.38247011952191234</v>
      </c>
      <c r="T13" s="11">
        <f>IFERROR(T12/T14,0)</f>
        <v>6.780876494023905</v>
      </c>
      <c r="U13" s="11">
        <f>IFERROR(U12/U14,0)</f>
        <v>5.693911388582597</v>
      </c>
      <c r="V13" s="11">
        <f>IFERROR(V12/V14,0)</f>
        <v>5.837691515770531</v>
      </c>
      <c r="W13" s="11">
        <f>IFERROR(W12/W14,0)</f>
        <v>5.95729177267525</v>
      </c>
      <c r="X13" s="11">
        <f>IFERROR(X12/X14,0)</f>
        <v>6.050651260959664</v>
      </c>
      <c r="Y13" s="11">
        <f>IFERROR(Y12/Y14,0)</f>
        <v>6.115986760244839</v>
      </c>
      <c r="Z13" s="11">
        <f>IFERROR(Z12/Z14,0)</f>
        <v>6.151837007215568</v>
      </c>
      <c r="AA13" s="11">
        <f>IFERROR(AA12/AA14,0)</f>
        <v>6.157101835165929</v>
      </c>
      <c r="AB13" s="11">
        <f>IFERROR(AB12/AB14,0)</f>
        <v>6.131074906397202</v>
      </c>
      <c r="AC13" s="11">
        <f>IFERROR(AC12/AC14,0)</f>
        <v>6.073468904030485</v>
      </c>
      <c r="AD13" s="11">
        <f>IFERROR(AD12/AD14,0)</f>
        <v>5.984432229397979</v>
      </c>
    </row>
    <row r="14">
      <c r="A14" s="2" t="inlineStr">
        <is>
          <t>Shares</t>
        </is>
      </c>
      <c r="B14" s="52" t="n">
        <v>964.356</v>
      </c>
      <c r="C14" s="52" t="n">
        <v>958.825</v>
      </c>
      <c r="D14" s="52" t="n">
        <v>934.109</v>
      </c>
      <c r="E14" s="52" t="n">
        <v>1746.792</v>
      </c>
      <c r="F14" s="52" t="n">
        <v>1580.236</v>
      </c>
      <c r="G14" s="52" t="n">
        <v>1583</v>
      </c>
      <c r="H14" s="52" t="n">
        <v>1695</v>
      </c>
      <c r="I14" s="52" t="n">
        <v>1647</v>
      </c>
      <c r="J14" s="52" t="n">
        <v>1521</v>
      </c>
      <c r="K14" s="52" t="n">
        <v>1358</v>
      </c>
      <c r="L14" s="52" t="n">
        <v>1319</v>
      </c>
      <c r="M14" s="52" t="n">
        <v>1308</v>
      </c>
      <c r="N14" s="52" t="n">
        <v>1277</v>
      </c>
      <c r="O14" s="52" t="n">
        <v>1263</v>
      </c>
      <c r="P14" s="52" t="n">
        <v>1262</v>
      </c>
      <c r="Q14" s="52" t="n">
        <v>1262</v>
      </c>
      <c r="R14" s="52" t="n">
        <v>1258</v>
      </c>
      <c r="S14" s="52" t="n">
        <v>1255</v>
      </c>
      <c r="T14" s="52" t="n">
        <v>1255</v>
      </c>
      <c r="U14" s="52">
        <f>Main!$C$4</f>
        <v>1239.955155</v>
      </c>
      <c r="V14" s="52">
        <f>Main!$C$4</f>
        <v>1239.955155</v>
      </c>
      <c r="W14" s="52">
        <f>Main!$C$4</f>
        <v>1239.955155</v>
      </c>
      <c r="X14" s="52">
        <f>Main!$C$4</f>
        <v>1239.955155</v>
      </c>
      <c r="Y14" s="52">
        <f>Main!$C$4</f>
        <v>1239.955155</v>
      </c>
      <c r="Z14" s="52">
        <f>Main!$C$4</f>
        <v>1239.955155</v>
      </c>
      <c r="AA14" s="52">
        <f>Main!$C$4</f>
        <v>1239.955155</v>
      </c>
      <c r="AB14" s="52">
        <f>Main!$C$4</f>
        <v>1239.955155</v>
      </c>
      <c r="AC14" s="52">
        <f>Main!$C$4</f>
        <v>1239.955155</v>
      </c>
      <c r="AD14" s="52">
        <f>Main!$C$4</f>
        <v>1239.955155</v>
      </c>
    </row>
    <row r="15"/>
    <row r="16" customFormat="1" s="4">
      <c r="A16" s="3" t="inlineStr">
        <is>
          <t>Revenue Change</t>
        </is>
      </c>
      <c r="C16" s="15">
        <f>IFERROR(C2/B2-1,"")</f>
        <v>0.2613932003087438</v>
      </c>
      <c r="D16" s="15">
        <f>IFERROR(D2/C2-1,"")</f>
        <v>0.3140388886285901</v>
      </c>
      <c r="E16" s="15">
        <f>IFERROR(E2/D2-1,"")</f>
        <v>0.13378772775642123</v>
      </c>
      <c r="F16" s="15">
        <f>IFERROR(F2/E2-1,"")</f>
        <v>0.054842365858138065</v>
      </c>
      <c r="G16" s="15">
        <f>IFERROR(G2/F2-1,"")</f>
        <v>0.1570747198846565</v>
      </c>
      <c r="H16" s="15">
        <f>IFERROR(H2/G2-1,"")</f>
        <v>0.154545774050177</v>
      </c>
      <c r="I16" s="15">
        <f>IFERROR(I2/H2-1,"")</f>
        <v>1.2219246563113728</v>
      </c>
      <c r="J16" s="15">
        <f>IFERROR(J2/I2-1,"")</f>
        <v>0.31132985134592195</v>
      </c>
      <c r="K16" s="15">
        <f>IFERROR(K2/J2-1,"")</f>
        <v>-0.06890529734366857</v>
      </c>
      <c r="L16" s="15">
        <f>IFERROR(L2/K2-1,"")</f>
        <v>-0.14093451793353073</v>
      </c>
      <c r="M16" s="15">
        <f>IFERROR(M2/L2-1,"")</f>
        <v>-0.1524495346075765</v>
      </c>
      <c r="N16" s="15">
        <f>IFERROR(N2/M2-1,"")</f>
        <v>0.014552356849098391</v>
      </c>
      <c r="O16" s="15">
        <f>IFERROR(O2/N2-1,"")</f>
        <v>0.09978172747115677</v>
      </c>
      <c r="P16" s="15">
        <f>IFERROR(P2/O2-1,"")</f>
        <v>0.10595811900036445</v>
      </c>
      <c r="Q16" s="15">
        <f>IFERROR(Q2/P2-1,"")</f>
        <v>-0.0008789598974546786</v>
      </c>
      <c r="R16" s="15">
        <f>IFERROR(R2/Q2-1,"")</f>
        <v>-0.006048165389831772</v>
      </c>
      <c r="S16" s="15">
        <f>IFERROR(S2/R2-1,"")</f>
        <v>0.06040713969612033</v>
      </c>
      <c r="T16" s="15">
        <f>IFERROR(T2/S2-1,"")</f>
        <v>0.023961883564025843</v>
      </c>
      <c r="U16" s="15">
        <f>IFERROR(U2/T2-1,"")</f>
        <v>0.06040000000000001</v>
      </c>
      <c r="V16" s="15">
        <f>IFERROR(V2/U2-1,"")</f>
        <v>0.056466666666666665</v>
      </c>
      <c r="W16" s="15">
        <f>IFERROR(W2/V2-1,"")</f>
        <v>0.05253333333333332</v>
      </c>
      <c r="X16" s="15">
        <f>IFERROR(X2/W2-1,"")</f>
        <v>0.04859999999999998</v>
      </c>
      <c r="Y16" s="15">
        <f>IFERROR(Y2/X2-1,"")</f>
        <v>0.04466666666666663</v>
      </c>
      <c r="Z16" s="15">
        <f>IFERROR(Z2/Y2-1,"")</f>
        <v>0.04073333333333329</v>
      </c>
      <c r="AA16" s="15">
        <f>IFERROR(AA2/Z2-1,"")</f>
        <v>0.036799999999999944</v>
      </c>
      <c r="AB16" s="15">
        <f>IFERROR(AB2/AA2-1,"")</f>
        <v>0.0328666666666666</v>
      </c>
      <c r="AC16" s="15">
        <f>IFERROR(AC2/AB2-1,"")</f>
        <v>0.028933333333333255</v>
      </c>
      <c r="AD16" s="15">
        <f>IFERROR(AD2/AC2-1,"")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0.8182593802193594</v>
      </c>
      <c r="C17" s="15">
        <f>IFERROR(C4/C2,"")</f>
        <v>0.7887371034999766</v>
      </c>
      <c r="D17" s="15">
        <f>IFERROR(D4/D2,"")</f>
        <v>0.7724331989851361</v>
      </c>
      <c r="E17" s="15">
        <f>IFERROR(E4/E2,"")</f>
        <v>0.7647783108704785</v>
      </c>
      <c r="F17" s="15">
        <f>IFERROR(F4/F2,"")</f>
        <v>0.7466532544421037</v>
      </c>
      <c r="G17" s="15">
        <f>IFERROR(G4/G2,"")</f>
        <v>0.7453238164900922</v>
      </c>
      <c r="H17" s="15">
        <f>IFERROR(H4/H2,"")</f>
        <v>0.7447777182645956</v>
      </c>
      <c r="I17" s="15">
        <f>IFERROR(I4/I2,"")</f>
        <v>0.8478103656086782</v>
      </c>
      <c r="J17" s="15">
        <f>IFERROR(J4/J2,"")</f>
        <v>0.8772633965501394</v>
      </c>
      <c r="K17" s="15">
        <f>IFERROR(K4/K2,"")</f>
        <v>0.8597894044093451</v>
      </c>
      <c r="L17" s="15">
        <f>IFERROR(L4/L2,"")</f>
        <v>0.83257363925384</v>
      </c>
      <c r="M17" s="15">
        <f>IFERROR(M4/M2,"")</f>
        <v>0.7806751932028743</v>
      </c>
      <c r="N17" s="15">
        <f>IFERROR(N4/N2,"")</f>
        <v>0.7917501893180097</v>
      </c>
      <c r="O17" s="15">
        <f>IFERROR(O4/O2,"")</f>
        <v>0.8148163149580785</v>
      </c>
      <c r="P17" s="15">
        <f>IFERROR(P4/P2,"")</f>
        <v>0.7582494048709028</v>
      </c>
      <c r="Q17" s="15">
        <f>IFERROR(Q4/Q2,"")</f>
        <v>0.7926395659983139</v>
      </c>
      <c r="R17" s="15">
        <f>IFERROR(R4/R2,"")</f>
        <v>0.7603628853813247</v>
      </c>
      <c r="S17" s="15">
        <f>IFERROR(S4/S2,"")</f>
        <v>0.7826041594212979</v>
      </c>
      <c r="T17" s="15">
        <f>IFERROR(T4/T2,"")</f>
        <v>0.7882688584723024</v>
      </c>
      <c r="U17" s="15">
        <f>IFERROR(U4/U2,"")</f>
        <v>0.7883000000000001</v>
      </c>
      <c r="V17" s="15">
        <f>IFERROR(V4/V2,"")</f>
        <v>0.7883</v>
      </c>
      <c r="W17" s="15">
        <f>IFERROR(W4/W2,"")</f>
        <v>0.7883</v>
      </c>
      <c r="X17" s="15">
        <f>IFERROR(X4/X2,"")</f>
        <v>0.7883</v>
      </c>
      <c r="Y17" s="15">
        <f>IFERROR(Y4/Y2,"")</f>
        <v>0.7883</v>
      </c>
      <c r="Z17" s="15">
        <f>IFERROR(Z4/Z2,"")</f>
        <v>0.7883</v>
      </c>
      <c r="AA17" s="15">
        <f>IFERROR(AA4/AA2,"")</f>
        <v>0.7883</v>
      </c>
      <c r="AB17" s="15">
        <f>IFERROR(AB4/AB2,"")</f>
        <v>0.7883000000000001</v>
      </c>
      <c r="AC17" s="15">
        <f>IFERROR(AC4/AC2,"")</f>
        <v>0.7883</v>
      </c>
      <c r="AD17" s="15">
        <f>IFERROR(AD4/AD2,"")</f>
        <v>0.7883000000000001</v>
      </c>
    </row>
    <row r="18">
      <c r="A18" s="14" t="inlineStr">
        <is>
          <t>Operating Margin</t>
        </is>
      </c>
      <c r="B18" s="15">
        <f>IFERROR(B8/B2,"")</f>
        <v>0.5116983389065602</v>
      </c>
      <c r="C18" s="15">
        <f>IFERROR(C8/C2,"")</f>
        <v>0.5019989692170734</v>
      </c>
      <c r="D18" s="15">
        <f>IFERROR(D8/D2,"")</f>
        <v>0.5033558999700914</v>
      </c>
      <c r="E18" s="15">
        <f>IFERROR(E8/E2,"")</f>
        <v>0.4984290677810456</v>
      </c>
      <c r="F18" s="15">
        <f>IFERROR(F8/F2,"")</f>
        <v>0.4519579005615127</v>
      </c>
      <c r="G18" s="15">
        <f>IFERROR(G8/G2,"")</f>
        <v>0.41329481824149344</v>
      </c>
      <c r="H18" s="15">
        <f>IFERROR(H8/H2,"")</f>
        <v>0.4038564542046063</v>
      </c>
      <c r="I18" s="15">
        <f>IFERROR(I8/I2,"")</f>
        <v>0.6132985134592206</v>
      </c>
      <c r="J18" s="15">
        <f>IFERROR(J8/J2,"")</f>
        <v>0.6799534299457703</v>
      </c>
      <c r="K18" s="15">
        <f>IFERROR(K8/K2,"")</f>
        <v>0.5802237578150707</v>
      </c>
      <c r="L18" s="15">
        <f>IFERROR(L8/L2,"")</f>
        <v>0.5410043283410579</v>
      </c>
      <c r="M18" s="15">
        <f>IFERROR(M8/M2,"")</f>
        <v>0.37058796944908934</v>
      </c>
      <c r="N18" s="15">
        <f>IFERROR(N8/N2,"")</f>
        <v>0.19096619003073634</v>
      </c>
      <c r="O18" s="15">
        <f>IFERROR(O8/O2,"")</f>
        <v>0.1648912471140994</v>
      </c>
      <c r="P18" s="15">
        <f>IFERROR(P8/P2,"")</f>
        <v>0.36323017762314597</v>
      </c>
      <c r="Q18" s="15">
        <f>IFERROR(Q8/Q2,"")</f>
        <v>0.2686851654997984</v>
      </c>
      <c r="R18" s="15">
        <f>IFERROR(R8/R2,"")</f>
        <v>0.2804617200177017</v>
      </c>
      <c r="S18" s="15">
        <f>IFERROR(S8/S2,"")</f>
        <v>0.05780065382207693</v>
      </c>
      <c r="T18" s="15">
        <f>IFERROR(T8/T2,"")</f>
        <v>0.34038650952688243</v>
      </c>
      <c r="U18" s="15">
        <f>IFERROR(U8/U2,"")</f>
        <v>0.27245</v>
      </c>
      <c r="V18" s="15">
        <f>IFERROR(V8/V2,"")</f>
        <v>0.2644000000000001</v>
      </c>
      <c r="W18" s="15">
        <f>IFERROR(W8/W2,"")</f>
        <v>0.2563500000000001</v>
      </c>
      <c r="X18" s="15">
        <f>IFERROR(X8/X2,"")</f>
        <v>0.24830000000000002</v>
      </c>
      <c r="Y18" s="15">
        <f>IFERROR(Y8/Y2,"")</f>
        <v>0.24024999999999996</v>
      </c>
      <c r="Z18" s="15">
        <f>IFERROR(Z8/Z2,"")</f>
        <v>0.23219999999999996</v>
      </c>
      <c r="AA18" s="15">
        <f>IFERROR(AA8/AA2,"")</f>
        <v>0.22414999999999996</v>
      </c>
      <c r="AB18" s="15">
        <f>IFERROR(AB8/AB2,"")</f>
        <v>0.21610000000000007</v>
      </c>
      <c r="AC18" s="15">
        <f>IFERROR(AC8/AC2,"")</f>
        <v>0.20805</v>
      </c>
      <c r="AD18" s="15">
        <f>IFERROR(AD8/AD2,"")</f>
        <v>0.20000000000000007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A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  <c r="AD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Gilead Sciences,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0.09</v>
      </c>
      <c r="C10" s="53" t="n">
        <v>0.08</v>
      </c>
      <c r="D10" s="53" t="n">
        <v>0.07000000000000001</v>
      </c>
      <c r="E10" s="54">
        <f>IF(ISNUMBER($B$6),$B$6,CHOOSE($B$4,B10,C10,D10))</f>
        <v>0.08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0.0104</v>
      </c>
      <c r="C12" s="53" t="n">
        <v>0.0604</v>
      </c>
      <c r="D12" s="53" t="n">
        <v>0.1104</v>
      </c>
      <c r="E12" s="54">
        <f>CHOOSE($B$4,B12,C12,D12)</f>
        <v>0.0604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0.2805</v>
      </c>
    </row>
    <row r="19">
      <c r="A19" s="14" t="inlineStr">
        <is>
          <t>Gross margin (forecast)</t>
        </is>
      </c>
      <c r="B19" s="53" t="n">
        <v>0.7883</v>
      </c>
    </row>
    <row r="20">
      <c r="A20" s="14" t="inlineStr">
        <is>
          <t>R&amp;D share of operating expense (forecast)</t>
        </is>
      </c>
      <c r="B20" s="53" t="n">
        <v>0.4398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Model'!T2</f>
        <v>29443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111738.63492506818</v>
      </c>
      <c r="C29" s="56">
        <f>NPV!B26</f>
        <v>88671.63492506818</v>
      </c>
      <c r="D29" s="35">
        <f>NPV!B28</f>
        <v>71.51196925752382</v>
      </c>
      <c r="E29" s="57">
        <f>NPV!B30</f>
        <v>-0.5430837054659522</v>
      </c>
    </row>
    <row r="30">
      <c r="A30" s="58" t="n">
        <v>1</v>
      </c>
      <c r="B30" s="59">
        <f t="dataTable" ref="B30:E32" r1="B4"/>
        <v>61626.37475321759</v>
      </c>
      <c r="C30" s="59">
        <v>38559.37475321759</v>
      </c>
      <c r="D30" s="39">
        <v>31.097394609579723</v>
      </c>
      <c r="E30" s="60">
        <v>-0.8013072991528993</v>
      </c>
    </row>
    <row r="31">
      <c r="A31" s="58" t="n">
        <v>2</v>
      </c>
      <c r="B31" s="59">
        <v>111738.63492506818</v>
      </c>
      <c r="C31" s="59">
        <v>88671.63492506818</v>
      </c>
      <c r="D31" s="39">
        <v>71.51196925752382</v>
      </c>
      <c r="E31" s="60">
        <v>-0.5430837054659522</v>
      </c>
    </row>
    <row r="32">
      <c r="A32" s="58" t="n">
        <v>3</v>
      </c>
      <c r="B32" s="59">
        <v>221805.8331292227</v>
      </c>
      <c r="C32" s="59">
        <v>198738.8331292227</v>
      </c>
      <c r="D32" s="39">
        <v>160.27904906707911</v>
      </c>
      <c r="E32" s="60">
        <v>0.02408184184447726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71.51196925752382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0.06</v>
      </c>
      <c r="B37" s="39">
        <f t="dataTable" ref="B37:F41" dt2D="1" r1="B7" r2="B6"/>
        <v>94.89630374916902</v>
      </c>
      <c r="C37" s="39">
        <v>105.92073769425367</v>
      </c>
      <c r="D37" s="39">
        <v>120.07383904294073</v>
      </c>
      <c r="E37" s="39">
        <v>138.91970205682378</v>
      </c>
      <c r="F37" s="39">
        <v>165.27369375781882</v>
      </c>
    </row>
    <row r="38">
      <c r="A38" s="62" t="n">
        <v>0.07000000000000001</v>
      </c>
      <c r="B38" s="39">
        <v>75.0691097474523</v>
      </c>
      <c r="C38" s="39">
        <v>81.97584299842445</v>
      </c>
      <c r="D38" s="39">
        <v>90.40174312883423</v>
      </c>
      <c r="E38" s="39">
        <v>100.9163280319801</v>
      </c>
      <c r="F38" s="39">
        <v>114.41455262083309</v>
      </c>
    </row>
    <row r="39">
      <c r="A39" s="62" t="n">
        <v>0.08</v>
      </c>
      <c r="B39" s="39">
        <v>61.34091973039187</v>
      </c>
      <c r="C39" s="39">
        <v>66.00823891426383</v>
      </c>
      <c r="D39" s="39">
        <v>71.51196925752382</v>
      </c>
      <c r="E39" s="39">
        <v>78.1029058205343</v>
      </c>
      <c r="F39" s="39">
        <v>86.14330683722551</v>
      </c>
    </row>
    <row r="40">
      <c r="A40" s="62" t="n">
        <v>0.09</v>
      </c>
      <c r="B40" s="39">
        <v>51.27028150962696</v>
      </c>
      <c r="C40" s="39">
        <v>54.5971999588206</v>
      </c>
      <c r="D40" s="39">
        <v>58.42613428600625</v>
      </c>
      <c r="E40" s="39">
        <v>62.882487414894825</v>
      </c>
      <c r="F40" s="39">
        <v>68.1372623348446</v>
      </c>
    </row>
    <row r="41">
      <c r="A41" s="62" t="n">
        <v>0.1</v>
      </c>
      <c r="B41" s="39">
        <v>43.5649900660563</v>
      </c>
      <c r="C41" s="39">
        <v>46.032710607405996</v>
      </c>
      <c r="D41" s="39">
        <v>48.8213611581633</v>
      </c>
      <c r="E41" s="39">
        <v>51.999630557194976</v>
      </c>
      <c r="F41" s="39">
        <v>55.657341877459984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Gilead Sciences, Inc.: free-cash-flow DCF ($mm)</t>
        </is>
      </c>
    </row>
    <row r="3">
      <c r="A3" s="20" t="inlineStr">
        <is>
          <t>Fiscal year</t>
        </is>
      </c>
      <c r="B3" s="43">
        <f>'Yearly Model'!T1</f>
        <v>2025</v>
      </c>
      <c r="C3" s="43">
        <f>'Yearly Model'!U1</f>
        <v>2026</v>
      </c>
      <c r="D3" s="43">
        <f>'Yearly Model'!V1</f>
        <v>2027</v>
      </c>
      <c r="E3" s="43">
        <f>'Yearly Model'!W1</f>
        <v>2028</v>
      </c>
      <c r="F3" s="43">
        <f>'Yearly Model'!X1</f>
        <v>2029</v>
      </c>
      <c r="G3" s="43">
        <f>'Yearly Model'!Y1</f>
        <v>2030</v>
      </c>
      <c r="H3" s="43">
        <f>'Yearly Model'!Z1</f>
        <v>2031</v>
      </c>
      <c r="I3" s="43">
        <f>'Yearly Model'!AA1</f>
        <v>2032</v>
      </c>
      <c r="J3" s="43">
        <f>'Yearly Model'!AB1</f>
        <v>2033</v>
      </c>
      <c r="K3" s="43">
        <f>'Yearly Model'!AC1</f>
        <v>2034</v>
      </c>
      <c r="L3" s="43">
        <f>'Yearly Model'!AD1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0.0604</v>
      </c>
      <c r="D5" s="63">
        <f>Assumptions!$E$12+(Assumptions!$E$11-Assumptions!$E$12)*(D4-1)/(Assumptions!$B$21-1)</f>
        <v>0.056466666666666665</v>
      </c>
      <c r="E5" s="63">
        <f>Assumptions!$E$12+(Assumptions!$E$11-Assumptions!$E$12)*(E4-1)/(Assumptions!$B$21-1)</f>
        <v>0.052533333333333335</v>
      </c>
      <c r="F5" s="63">
        <f>Assumptions!$E$12+(Assumptions!$E$11-Assumptions!$E$12)*(F4-1)/(Assumptions!$B$21-1)</f>
        <v>0.048600000000000004</v>
      </c>
      <c r="G5" s="63">
        <f>Assumptions!$E$12+(Assumptions!$E$11-Assumptions!$E$12)*(G4-1)/(Assumptions!$B$21-1)</f>
        <v>0.04466666666666667</v>
      </c>
      <c r="H5" s="63">
        <f>Assumptions!$E$12+(Assumptions!$E$11-Assumptions!$E$12)*(H4-1)/(Assumptions!$B$21-1)</f>
        <v>0.04073333333333334</v>
      </c>
      <c r="I5" s="63">
        <f>Assumptions!$E$12+(Assumptions!$E$11-Assumptions!$E$12)*(I4-1)/(Assumptions!$B$21-1)</f>
        <v>0.0368</v>
      </c>
      <c r="J5" s="63">
        <f>Assumptions!$E$12+(Assumptions!$E$11-Assumptions!$E$12)*(J4-1)/(Assumptions!$B$21-1)</f>
        <v>0.03286666666666667</v>
      </c>
      <c r="K5" s="63">
        <f>Assumptions!$E$12+(Assumptions!$E$11-Assumptions!$E$12)*(K4-1)/(Assumptions!$B$21-1)</f>
        <v>0.028933333333333332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0.34038650952688243</v>
      </c>
      <c r="C6" s="63">
        <f>Assumptions!$B$18+(Assumptions!$E$13-Assumptions!$B$18)*C4/Assumptions!$B$21</f>
        <v>0.27245</v>
      </c>
      <c r="D6" s="63">
        <f>Assumptions!$B$18+(Assumptions!$E$13-Assumptions!$B$18)*D4/Assumptions!$B$21</f>
        <v>0.2644</v>
      </c>
      <c r="E6" s="63">
        <f>Assumptions!$B$18+(Assumptions!$E$13-Assumptions!$B$18)*E4/Assumptions!$B$21</f>
        <v>0.25635</v>
      </c>
      <c r="F6" s="63">
        <f>Assumptions!$B$18+(Assumptions!$E$13-Assumptions!$B$18)*F4/Assumptions!$B$21</f>
        <v>0.24830000000000002</v>
      </c>
      <c r="G6" s="63">
        <f>Assumptions!$B$18+(Assumptions!$E$13-Assumptions!$B$18)*G4/Assumptions!$B$21</f>
        <v>0.24025000000000002</v>
      </c>
      <c r="H6" s="63">
        <f>Assumptions!$B$18+(Assumptions!$E$13-Assumptions!$B$18)*H4/Assumptions!$B$21</f>
        <v>0.23220000000000002</v>
      </c>
      <c r="I6" s="63">
        <f>Assumptions!$B$18+(Assumptions!$E$13-Assumptions!$B$18)*I4/Assumptions!$B$21</f>
        <v>0.22415000000000002</v>
      </c>
      <c r="J6" s="63">
        <f>Assumptions!$B$18+(Assumptions!$E$13-Assumptions!$B$18)*J4/Assumptions!$B$21</f>
        <v>0.21610000000000001</v>
      </c>
      <c r="K6" s="63">
        <f>Assumptions!$B$18+(Assumptions!$E$13-Assumptions!$B$18)*K4/Assumptions!$B$21</f>
        <v>0.20805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Model'!T2</f>
        <v>29443</v>
      </c>
      <c r="C7" s="55">
        <f>'Yearly Model'!U2</f>
        <v>31221.3572</v>
      </c>
      <c r="D7" s="55">
        <f>'Yearly Model'!V2</f>
        <v>32984.32316989333</v>
      </c>
      <c r="E7" s="55">
        <f>'Yearly Model'!W2</f>
        <v>34717.09961375173</v>
      </c>
      <c r="F7" s="55">
        <f>'Yearly Model'!X2</f>
        <v>36404.35065498006</v>
      </c>
      <c r="G7" s="55">
        <f>'Yearly Model'!Y2</f>
        <v>38030.4116509025</v>
      </c>
      <c r="H7" s="55">
        <f>'Yearly Model'!Z2</f>
        <v>39579.51708548259</v>
      </c>
      <c r="I7" s="55">
        <f>'Yearly Model'!AA2</f>
        <v>41036.04331422835</v>
      </c>
      <c r="J7" s="55">
        <f>'Yearly Model'!AB2</f>
        <v>42384.761271155985</v>
      </c>
      <c r="K7" s="55">
        <f>'Yearly Model'!AC2</f>
        <v>43611.093697268094</v>
      </c>
      <c r="L7" s="55">
        <f>'Yearly Model'!AD2</f>
        <v>44701.37103969979</v>
      </c>
    </row>
    <row r="8">
      <c r="A8" s="14" t="inlineStr">
        <is>
          <t>Operating income</t>
        </is>
      </c>
      <c r="B8" s="55">
        <f>'Yearly Model'!T8</f>
        <v>10022.0</v>
      </c>
      <c r="C8" s="55">
        <f>'Yearly Model'!U8</f>
        <v>8506.25876914</v>
      </c>
      <c r="D8" s="55">
        <f>'Yearly Model'!V8</f>
        <v>8721.0550461198</v>
      </c>
      <c r="E8" s="55">
        <f>'Yearly Model'!W8</f>
        <v>8899.728485985259</v>
      </c>
      <c r="F8" s="55">
        <f>'Yearly Model'!X8</f>
        <v>9039.20026763155</v>
      </c>
      <c r="G8" s="55">
        <f>'Yearly Model'!Y8</f>
        <v>9136.806399129324</v>
      </c>
      <c r="H8" s="55">
        <f>'Yearly Model'!Z8</f>
        <v>9190.363867249056</v>
      </c>
      <c r="I8" s="55">
        <f>'Yearly Model'!AA8</f>
        <v>9198.229108884283</v>
      </c>
      <c r="J8" s="55">
        <f>'Yearly Model'!AB8</f>
        <v>9159.346910696811</v>
      </c>
      <c r="K8" s="55">
        <f>'Yearly Model'!AC8</f>
        <v>9073.288043716628</v>
      </c>
      <c r="L8" s="55">
        <f>'Yearly Model'!AD8</f>
        <v>8940.274207939961</v>
      </c>
    </row>
    <row r="9">
      <c r="A9" s="14" t="inlineStr">
        <is>
          <t>Tax on operating income</t>
        </is>
      </c>
      <c r="C9" s="52">
        <f>MAX(0,C8)*Assumptions!$E$14</f>
        <v>1446.0639907538002</v>
      </c>
      <c r="D9" s="52">
        <f>MAX(0,D8)*Assumptions!$E$14</f>
        <v>1482.5793578403661</v>
      </c>
      <c r="E9" s="52">
        <f>MAX(0,E8)*Assumptions!$E$14</f>
        <v>1512.953842617494</v>
      </c>
      <c r="F9" s="52">
        <f>MAX(0,F8)*Assumptions!$E$14</f>
        <v>1536.6640454973635</v>
      </c>
      <c r="G9" s="52">
        <f>MAX(0,G8)*Assumptions!$E$14</f>
        <v>1553.2570878519853</v>
      </c>
      <c r="H9" s="52">
        <f>MAX(0,H8)*Assumptions!$E$14</f>
        <v>1562.3618574323395</v>
      </c>
      <c r="I9" s="52">
        <f>MAX(0,I8)*Assumptions!$E$14</f>
        <v>1563.6989485103281</v>
      </c>
      <c r="J9" s="52">
        <f>MAX(0,J8)*Assumptions!$E$14</f>
        <v>1557.0889748184582</v>
      </c>
      <c r="K9" s="52">
        <f>MAX(0,K8)*Assumptions!$E$14</f>
        <v>1542.4589674318267</v>
      </c>
      <c r="L9" s="52">
        <f>MAX(0,L8)*Assumptions!$E$14</f>
        <v>1519.8466153497936</v>
      </c>
    </row>
    <row r="10">
      <c r="A10" s="14" t="inlineStr">
        <is>
          <t>NOPAT</t>
        </is>
      </c>
      <c r="C10" s="52">
        <f>C8-C9</f>
        <v>7060.1947783862</v>
      </c>
      <c r="D10" s="52">
        <f>D8-D9</f>
        <v>7238.475688279434</v>
      </c>
      <c r="E10" s="52">
        <f>E8-E9</f>
        <v>7386.774643367765</v>
      </c>
      <c r="F10" s="52">
        <f>F8-F9</f>
        <v>7502.536222134186</v>
      </c>
      <c r="G10" s="52">
        <f>G8-G9</f>
        <v>7583.549311277338</v>
      </c>
      <c r="H10" s="52">
        <f>H8-H9</f>
        <v>7628.002009816717</v>
      </c>
      <c r="I10" s="52">
        <f>I8-I9</f>
        <v>7634.530160373955</v>
      </c>
      <c r="J10" s="52">
        <f>J8-J9</f>
        <v>7602.257935878353</v>
      </c>
      <c r="K10" s="52">
        <f>K8-K9</f>
        <v>7530.829076284801</v>
      </c>
      <c r="L10" s="52">
        <f>L8-L9</f>
        <v>7420.4275925901675</v>
      </c>
    </row>
    <row r="11">
      <c r="A11" s="14" t="inlineStr">
        <is>
          <t>Reinvestment</t>
        </is>
      </c>
      <c r="C11" s="52">
        <f>(C7-B7)*Assumptions!$E$15</f>
        <v>444.58929999999964</v>
      </c>
      <c r="D11" s="52">
        <f>(D7-C7)*Assumptions!$E$15</f>
        <v>440.741492473333</v>
      </c>
      <c r="E11" s="52">
        <f>(E7-D7)*Assumptions!$E$15</f>
        <v>433.19411096459953</v>
      </c>
      <c r="F11" s="52">
        <f>(F7-E7)*Assumptions!$E$15</f>
        <v>421.8127603070825</v>
      </c>
      <c r="G11" s="52">
        <f>(G7-F7)*Assumptions!$E$15</f>
        <v>406.5152489806096</v>
      </c>
      <c r="H11" s="52">
        <f>(H7-G7)*Assumptions!$E$15</f>
        <v>387.2763586450237</v>
      </c>
      <c r="I11" s="52">
        <f>(I7-H7)*Assumptions!$E$15</f>
        <v>364.13155718643975</v>
      </c>
      <c r="J11" s="52">
        <f>(J7-I7)*Assumptions!$E$15</f>
        <v>337.1794892319085</v>
      </c>
      <c r="K11" s="52">
        <f>(K7-J7)*Assumptions!$E$15</f>
        <v>306.5831065280272</v>
      </c>
      <c r="L11" s="52">
        <f>(L7-K7)*Assumptions!$E$15</f>
        <v>272.5693356079246</v>
      </c>
    </row>
    <row r="12">
      <c r="A12" s="20" t="inlineStr">
        <is>
          <t>Free cash flow</t>
        </is>
      </c>
      <c r="C12" s="64">
        <f>C10-C11</f>
        <v>6615.6054783862</v>
      </c>
      <c r="D12" s="64">
        <f>D10-D11</f>
        <v>6797.734195806101</v>
      </c>
      <c r="E12" s="64">
        <f>E10-E11</f>
        <v>6953.580532403165</v>
      </c>
      <c r="F12" s="64">
        <f>F10-F11</f>
        <v>7080.723461827103</v>
      </c>
      <c r="G12" s="64">
        <f>G10-G11</f>
        <v>7177.034062296729</v>
      </c>
      <c r="H12" s="64">
        <f>H10-H11</f>
        <v>7240.725651171693</v>
      </c>
      <c r="I12" s="64">
        <f>I10-I11</f>
        <v>7270.398603187516</v>
      </c>
      <c r="J12" s="64">
        <f>J10-J11</f>
        <v>7265.078446646445</v>
      </c>
      <c r="K12" s="64">
        <f>K10-K11</f>
        <v>7224.245969756774</v>
      </c>
      <c r="L12" s="64">
        <f>L10-L11</f>
        <v>7147.858256982243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0.9807889007237011</v>
      </c>
      <c r="D15" s="65">
        <f>1/(1+Assumptions!$E$10)^D14</f>
        <v>0.9256338051008673</v>
      </c>
      <c r="E15" s="65">
        <f>1/(1+Assumptions!$E$10)^E14</f>
        <v>0.8570683380563585</v>
      </c>
      <c r="F15" s="65">
        <f>1/(1+Assumptions!$E$10)^F14</f>
        <v>0.7935817944966281</v>
      </c>
      <c r="G15" s="65">
        <f>1/(1+Assumptions!$E$10)^G14</f>
        <v>0.7347979578672482</v>
      </c>
      <c r="H15" s="65">
        <f>1/(1+Assumptions!$E$10)^H14</f>
        <v>0.6803684795067113</v>
      </c>
      <c r="I15" s="65">
        <f>1/(1+Assumptions!$E$10)^I14</f>
        <v>0.629970814358066</v>
      </c>
      <c r="J15" s="65">
        <f>1/(1+Assumptions!$E$10)^J14</f>
        <v>0.5833063095908019</v>
      </c>
      <c r="K15" s="65">
        <f>1/(1+Assumptions!$E$10)^K14</f>
        <v>0.5400984348062979</v>
      </c>
      <c r="L15" s="65">
        <f>1/(1+Assumptions!$E$10)^L14</f>
        <v>0.5000911433391647</v>
      </c>
    </row>
    <row r="16">
      <c r="A16" s="20" t="inlineStr">
        <is>
          <t>PV of free cash flow</t>
        </is>
      </c>
      <c r="C16" s="64">
        <f>C12*C13*C15</f>
        <v>3270.8591133255973</v>
      </c>
      <c r="D16" s="64">
        <f>D12*D13*D15</f>
        <v>6292.212569728285</v>
      </c>
      <c r="E16" s="64">
        <f>E12*E13*E15</f>
        <v>5959.693710447829</v>
      </c>
      <c r="F16" s="64">
        <f>F12*F13*F15</f>
        <v>5619.133231171129</v>
      </c>
      <c r="G16" s="64">
        <f>G12*G13*G15</f>
        <v>5273.669972519317</v>
      </c>
      <c r="H16" s="64">
        <f>H12*H13*H15</f>
        <v>4926.361501812927</v>
      </c>
      <c r="I16" s="64">
        <f>I12*I13*I15</f>
        <v>4580.138928757785</v>
      </c>
      <c r="J16" s="64">
        <f>J12*J13*J15</f>
        <v>4237.766097601013</v>
      </c>
      <c r="K16" s="64">
        <f>K12*K13*K15</f>
        <v>3901.8039409213393</v>
      </c>
      <c r="L16" s="64">
        <f>L12*L13*L15</f>
        <v>3574.5806081605388</v>
      </c>
    </row>
    <row r="19">
      <c r="A19" s="14" t="inlineStr">
        <is>
          <t>PV of forecast free cash flow</t>
        </is>
      </c>
      <c r="B19" s="52">
        <f>SUM(C16:L16)</f>
        <v>47636.21967444576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7326.554713406797</v>
      </c>
    </row>
    <row r="21">
      <c r="A21" s="14" t="inlineStr">
        <is>
          <t>Terminal value</t>
        </is>
      </c>
      <c r="B21" s="52">
        <f>B20/(Assumptions!$E$10-Assumptions!$E$11)</f>
        <v>133210.0856983054</v>
      </c>
    </row>
    <row r="22">
      <c r="A22" s="14" t="inlineStr">
        <is>
          <t>PV of terminal value</t>
        </is>
      </c>
      <c r="B22" s="52">
        <f>B21/(1+Assumptions!$E$10)^(L14+0.5)</f>
        <v>64102.41525062242</v>
      </c>
    </row>
    <row r="23">
      <c r="A23" s="20" t="inlineStr">
        <is>
          <t>Enterprise value</t>
        </is>
      </c>
      <c r="B23" s="66">
        <f>B19+B22</f>
        <v>111738.63492506818</v>
      </c>
    </row>
    <row r="24">
      <c r="A24" s="14" t="inlineStr">
        <is>
          <t>Cash &amp; investments</t>
        </is>
      </c>
      <c r="B24" s="55">
        <f>Main!C7</f>
        <v>3179</v>
      </c>
    </row>
    <row r="25">
      <c r="A25" s="14" t="inlineStr">
        <is>
          <t>Debt</t>
        </is>
      </c>
      <c r="B25" s="55">
        <f>Main!C8</f>
        <v>26246.0</v>
      </c>
    </row>
    <row r="26">
      <c r="A26" s="20" t="inlineStr">
        <is>
          <t>Equity value</t>
        </is>
      </c>
      <c r="B26" s="66">
        <f>B23+B24-B25</f>
        <v>88671.63492506818</v>
      </c>
    </row>
    <row r="27">
      <c r="A27" s="14" t="inlineStr">
        <is>
          <t>Shares (mm)</t>
        </is>
      </c>
      <c r="B27" s="55">
        <f>Main!C4</f>
        <v>1239.955155</v>
      </c>
    </row>
    <row r="28">
      <c r="A28" s="20" t="inlineStr">
        <is>
          <t>NPV / share</t>
        </is>
      </c>
      <c r="B28" s="49">
        <f>B26/B27</f>
        <v>71.51196925752382</v>
      </c>
    </row>
    <row r="29">
      <c r="A29" s="14" t="inlineStr">
        <is>
          <t>Price</t>
        </is>
      </c>
      <c r="B29" s="50">
        <f>Main!C3</f>
        <v>156.51</v>
      </c>
    </row>
    <row r="30">
      <c r="A30" s="14" t="inlineStr">
        <is>
          <t>Upside</t>
        </is>
      </c>
      <c r="B30" s="63">
        <f>B28/B29-1</f>
        <v>-0.5430837054659522</v>
      </c>
    </row>
    <row r="31">
      <c r="A31" s="14" t="inlineStr">
        <is>
          <t>Terminal value, % of EV</t>
        </is>
      </c>
      <c r="B31" s="63">
        <f>IFERROR(B22/B23,0)</f>
        <v>0.5736817466367782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2026-10-21T01:03:34Z</dcterms:modified>
  <cp:lastModifiedBy>Wang, Eric</cp:lastModifiedBy>
</cp:coreProperties>
</file>