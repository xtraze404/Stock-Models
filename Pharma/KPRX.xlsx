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Kiora Pharmaceuticals, Inc.</t>
        </is>
      </c>
      <c r="C2" s="10" t="n"/>
    </row>
    <row r="3">
      <c r="B3" t="inlineStr">
        <is>
          <t>Price</t>
        </is>
      </c>
      <c r="C3" s="11">
        <f>INDEX([1]Pharma!$F$1:$F$1000,MATCH("KPRX",[1]Pharma!$B$1:$B$1000,0))</f>
        <v>2.33</v>
      </c>
      <c r="F3" s="1" t="n"/>
    </row>
    <row r="4">
      <c r="B4" t="inlineStr">
        <is>
          <t>Shares</t>
        </is>
      </c>
      <c r="C4" s="21" t="n">
        <v>4.424387</v>
      </c>
      <c r="F4" s="1" t="n"/>
    </row>
    <row r="5">
      <c r="B5" t="inlineStr">
        <is>
          <t>Market Cap.</t>
        </is>
      </c>
      <c r="C5" s="13">
        <f>C3*C4</f>
        <v>10.30882171</v>
      </c>
      <c r="F5" s="1" t="n"/>
    </row>
    <row r="6"/>
    <row r="7">
      <c r="B7" t="inlineStr">
        <is>
          <t>Cash</t>
        </is>
      </c>
      <c r="C7" s="21">
        <f>7.076533+9.761994</f>
        <v>16.838527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-6.529705289999999</v>
      </c>
    </row>
    <row r="10"/>
    <row r="11">
      <c r="B11" s="14" t="inlineStr">
        <is>
          <t>rNPV / Share</t>
        </is>
      </c>
      <c r="C11" s="11">
        <f>NPV!B27</f>
        <v>107.10841136067567</v>
      </c>
    </row>
    <row r="12">
      <c r="B12" s="14" t="inlineStr">
        <is>
          <t>Upside</t>
        </is>
      </c>
      <c r="C12" s="15">
        <f>IFERROR(C11/C3-1,"")</f>
        <v>44.969275262092566</v>
      </c>
    </row>
    <row r="13">
      <c r="B13" s="14" t="inlineStr">
        <is>
          <t>Cash / Share</t>
        </is>
      </c>
      <c r="C13" s="11">
        <f>IFERROR((C7-C8)/C4,"")</f>
        <v>3.805844063821722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-8.507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1.9793731045021747</v>
      </c>
    </row>
    <row r="19">
      <c r="B19" s="14" t="inlineStr">
        <is>
          <t>Implied Pipeline Value</t>
        </is>
      </c>
      <c r="C19" s="13">
        <f>C9</f>
        <v>-6.529705289999999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0.669</v>
      </c>
      <c r="E2" s="23" t="n">
        <v>0.408</v>
      </c>
      <c r="F2" s="23" t="n">
        <v>1.653</v>
      </c>
      <c r="G2" s="23" t="n">
        <v>2.686</v>
      </c>
      <c r="H2" s="23" t="n">
        <v>0.012</v>
      </c>
      <c r="I2" s="23" t="n">
        <v>0</v>
      </c>
      <c r="J2" s="23" t="n">
        <v>0</v>
      </c>
      <c r="K2" s="23" t="n">
        <v>0</v>
      </c>
      <c r="L2" s="23" t="n">
        <v>16.02</v>
      </c>
      <c r="M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0.669</v>
      </c>
      <c r="E4" s="23">
        <f>E2-E3</f>
        <v>0.408</v>
      </c>
      <c r="F4" s="23">
        <f>F2-F3</f>
        <v>1.653</v>
      </c>
      <c r="G4" s="23">
        <f>G2-G3</f>
        <v>2.686</v>
      </c>
      <c r="H4" s="23">
        <f>H2-H3</f>
        <v>0.012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16.02</v>
      </c>
      <c r="M4" s="23">
        <f>M2-M3</f>
        <v>0.0</v>
      </c>
    </row>
    <row r="5">
      <c r="A5" s="2" t="inlineStr">
        <is>
          <t>Research &amp; Dev.</t>
        </is>
      </c>
      <c r="B5" s="23" t="n">
        <v>0.531</v>
      </c>
      <c r="C5" s="23" t="n">
        <v>2.717</v>
      </c>
      <c r="D5" s="23" t="n">
        <v>8.423</v>
      </c>
      <c r="E5" s="23" t="n">
        <v>10.33</v>
      </c>
      <c r="F5" s="23" t="n">
        <v>8.055999999999999</v>
      </c>
      <c r="G5" s="23" t="n">
        <v>5.389</v>
      </c>
      <c r="H5" s="23" t="n">
        <v>3.566</v>
      </c>
      <c r="I5" s="23" t="n">
        <v>5.35</v>
      </c>
      <c r="J5" s="23" t="n">
        <v>3.449</v>
      </c>
      <c r="K5" s="23" t="n">
        <v>4.027</v>
      </c>
      <c r="L5" s="23" t="n">
        <v>7.842</v>
      </c>
      <c r="M5" s="23" t="n">
        <v>10.78</v>
      </c>
    </row>
    <row r="6">
      <c r="A6" s="19" t="inlineStr">
        <is>
          <t>SG&amp;A &amp; Other</t>
        </is>
      </c>
      <c r="B6" s="23" t="n">
        <v>1.931</v>
      </c>
      <c r="C6" s="23" t="n">
        <v>3.96</v>
      </c>
      <c r="D6" s="23" t="n">
        <v>5.594</v>
      </c>
      <c r="E6" s="23" t="n">
        <v>4.636</v>
      </c>
      <c r="F6" s="23" t="n">
        <v>4.441</v>
      </c>
      <c r="G6" s="23" t="n">
        <v>4.406</v>
      </c>
      <c r="H6" s="23" t="n">
        <v>3.315</v>
      </c>
      <c r="I6" s="23" t="n">
        <v>8.885999999999999</v>
      </c>
      <c r="J6" s="23" t="n">
        <v>8.861000000000001</v>
      </c>
      <c r="K6" s="23" t="n">
        <v>8.56</v>
      </c>
      <c r="L6" s="23" t="n">
        <v>3.668</v>
      </c>
      <c r="M6" s="23" t="n">
        <v>2.051</v>
      </c>
    </row>
    <row r="7">
      <c r="A7" s="2" t="inlineStr">
        <is>
          <t>Operating Expense</t>
        </is>
      </c>
      <c r="B7" s="23">
        <f>SUM(B5:B6)</f>
        <v>2.462</v>
      </c>
      <c r="C7" s="23">
        <f>SUM(C5:C6)</f>
        <v>6.677</v>
      </c>
      <c r="D7" s="23">
        <f>SUM(D5:D6)</f>
        <v>14.017</v>
      </c>
      <c r="E7" s="23">
        <f>SUM(E5:E6)</f>
        <v>14.966000000000001</v>
      </c>
      <c r="F7" s="23">
        <f>SUM(F5:F6)</f>
        <v>12.497</v>
      </c>
      <c r="G7" s="23">
        <f>SUM(G5:G6)</f>
        <v>9.795</v>
      </c>
      <c r="H7" s="23">
        <f>SUM(H5:H6)</f>
        <v>6.881</v>
      </c>
      <c r="I7" s="23">
        <f>SUM(I5:I6)</f>
        <v>14.235999999999999</v>
      </c>
      <c r="J7" s="23">
        <f>SUM(J5:J6)</f>
        <v>12.31</v>
      </c>
      <c r="K7" s="23">
        <f>SUM(K5:K6)</f>
        <v>12.587</v>
      </c>
      <c r="L7" s="23">
        <f>SUM(L5:L6)</f>
        <v>11.51</v>
      </c>
      <c r="M7" s="23">
        <f>SUM(M5:M6)</f>
        <v>12.831</v>
      </c>
    </row>
    <row r="8">
      <c r="A8" s="2" t="inlineStr">
        <is>
          <t>Operating Income</t>
        </is>
      </c>
      <c r="B8" s="23">
        <f>B4-B7</f>
        <v>-2.462</v>
      </c>
      <c r="C8" s="23">
        <f>C4-C7</f>
        <v>-6.677</v>
      </c>
      <c r="D8" s="23">
        <f>D4-D7</f>
        <v>-13.347999999999999</v>
      </c>
      <c r="E8" s="23">
        <f>E4-E7</f>
        <v>-14.558000000000002</v>
      </c>
      <c r="F8" s="23">
        <f>F4-F7</f>
        <v>-10.844</v>
      </c>
      <c r="G8" s="23">
        <f>G4-G7</f>
        <v>-7.109</v>
      </c>
      <c r="H8" s="23">
        <f>H4-H7</f>
        <v>-6.869000000000001</v>
      </c>
      <c r="I8" s="23">
        <f>I4-I7</f>
        <v>-14.235999999999999</v>
      </c>
      <c r="J8" s="23">
        <f>J4-J7</f>
        <v>-12.31</v>
      </c>
      <c r="K8" s="23">
        <f>K4-K7</f>
        <v>-12.587</v>
      </c>
      <c r="L8" s="23">
        <f>L4-L7</f>
        <v>4.51</v>
      </c>
      <c r="M8" s="23">
        <f>M4-M7</f>
        <v>-12.831</v>
      </c>
    </row>
    <row r="9">
      <c r="A9" s="19" t="inlineStr">
        <is>
          <t>Interest &amp; Other</t>
        </is>
      </c>
      <c r="B9" s="23" t="n">
        <v>0.6879999999999999</v>
      </c>
      <c r="C9" s="23" t="n">
        <v>-9.938000000000001</v>
      </c>
      <c r="D9" s="23" t="n">
        <v>0.003</v>
      </c>
      <c r="E9" s="23" t="n">
        <v>-0.001</v>
      </c>
      <c r="F9" s="23" t="n">
        <v>0.119</v>
      </c>
      <c r="G9" s="23" t="n">
        <v>0.108</v>
      </c>
      <c r="H9" s="23" t="n">
        <v>0.019</v>
      </c>
      <c r="I9" s="23" t="n">
        <v>0.272</v>
      </c>
      <c r="J9" s="23" t="n">
        <v>-1.387</v>
      </c>
      <c r="K9" s="23" t="n">
        <v>12.665</v>
      </c>
      <c r="L9" s="23" t="n">
        <v>-2.442</v>
      </c>
      <c r="M9" s="23" t="n">
        <v>11.538</v>
      </c>
    </row>
    <row r="10">
      <c r="A10" s="2" t="inlineStr">
        <is>
          <t>Pretax</t>
        </is>
      </c>
      <c r="B10" s="23">
        <f>B8+B9</f>
        <v>-1.7740000000000002</v>
      </c>
      <c r="C10" s="23">
        <f>C8+C9</f>
        <v>-16.615000000000002</v>
      </c>
      <c r="D10" s="23">
        <f>D8+D9</f>
        <v>-13.344999999999999</v>
      </c>
      <c r="E10" s="23">
        <f>E8+E9</f>
        <v>-14.559000000000001</v>
      </c>
      <c r="F10" s="23">
        <f>F8+F9</f>
        <v>-10.725</v>
      </c>
      <c r="G10" s="23">
        <f>G8+G9</f>
        <v>-7.001</v>
      </c>
      <c r="H10" s="23">
        <f>H8+H9</f>
        <v>-6.8500000000000005</v>
      </c>
      <c r="I10" s="23">
        <f>I8+I9</f>
        <v>-13.963999999999999</v>
      </c>
      <c r="J10" s="23">
        <f>J8+J9</f>
        <v>-13.697000000000001</v>
      </c>
      <c r="K10" s="23">
        <f>K8+K9</f>
        <v>0.0779999999999994</v>
      </c>
      <c r="L10" s="23">
        <f>L8+L9</f>
        <v>2.0679999999999996</v>
      </c>
      <c r="M10" s="23">
        <f>M8+M9</f>
        <v>-1.2929999999999993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-1.342</v>
      </c>
      <c r="F11" s="23" t="n">
        <v>0.08599999999999999</v>
      </c>
      <c r="G11" s="23" t="n">
        <v>0.095</v>
      </c>
      <c r="H11" s="23" t="n">
        <v>0.012</v>
      </c>
      <c r="I11" s="23" t="n">
        <v>-0.193</v>
      </c>
      <c r="J11" s="23" t="n">
        <v>-0.113</v>
      </c>
      <c r="K11" s="23" t="n">
        <v>0.09</v>
      </c>
      <c r="L11" s="23" t="n">
        <v>2.065</v>
      </c>
      <c r="M11" s="23" t="n">
        <v>-1.282</v>
      </c>
    </row>
    <row r="12">
      <c r="A12" s="2" t="inlineStr">
        <is>
          <t>Net Income</t>
        </is>
      </c>
      <c r="B12" s="23" t="n">
        <v>-1.774</v>
      </c>
      <c r="C12" s="23" t="n">
        <v>-16.615</v>
      </c>
      <c r="D12" s="23" t="n">
        <v>-13.343</v>
      </c>
      <c r="E12" s="23" t="n">
        <v>-13.218</v>
      </c>
      <c r="F12" s="23" t="n">
        <v>-10.811</v>
      </c>
      <c r="G12" s="23" t="n">
        <v>-7.097</v>
      </c>
      <c r="H12" s="23" t="n">
        <v>-6.862</v>
      </c>
      <c r="I12" s="23" t="n">
        <v>-13.771</v>
      </c>
      <c r="J12" s="23" t="n">
        <v>-13.584</v>
      </c>
      <c r="K12" s="23" t="n">
        <v>-0.013</v>
      </c>
      <c r="L12" s="23" t="n">
        <v>0.004</v>
      </c>
      <c r="M12" s="23" t="n">
        <v>-0.011</v>
      </c>
    </row>
    <row r="13">
      <c r="A13" s="2" t="inlineStr">
        <is>
          <t>Earnings per Share</t>
        </is>
      </c>
      <c r="B13" s="11">
        <f>IFERROR(B12/B14,0)</f>
        <v>-10.950617283950617</v>
      </c>
      <c r="C13" s="11">
        <f>IFERROR(C12/C14,0)</f>
        <v>-102.56172839506172</v>
      </c>
      <c r="D13" s="11">
        <f>IFERROR(D12/D14,0)</f>
        <v>-57.512931034482754</v>
      </c>
      <c r="E13" s="11">
        <f>IFERROR(E12/E14,0)</f>
        <v>-35.248</v>
      </c>
      <c r="F13" s="11">
        <f>IFERROR(F12/F14,0)</f>
        <v>-28.906417112299465</v>
      </c>
      <c r="G13" s="11">
        <f>IFERROR(G12/G14,0)</f>
        <v>-14.137450199203188</v>
      </c>
      <c r="H13" s="11">
        <f>IFERROR(H12/H14,0)</f>
        <v>-9.464827586206898</v>
      </c>
      <c r="I13" s="11">
        <f>IFERROR(I12/I14,0)</f>
        <v>-19.047026279391428</v>
      </c>
      <c r="J13" s="11">
        <f>IFERROR(J12/J14,0)</f>
        <v>-18.557377049180328</v>
      </c>
      <c r="K13" s="11">
        <f>IFERROR(K12/K14,0)</f>
        <v>-0.0241635687732342</v>
      </c>
      <c r="L13" s="11">
        <f>IFERROR(L12/L14,0)</f>
        <v>0.0009696969696969697</v>
      </c>
      <c r="M13" s="11">
        <f>IFERROR(M12/M14,0)</f>
        <v>-0.0026803118908382065</v>
      </c>
    </row>
    <row r="14">
      <c r="A14" s="2" t="inlineStr">
        <is>
          <t>Shares</t>
        </is>
      </c>
      <c r="B14" s="23" t="n">
        <v>0.162</v>
      </c>
      <c r="C14" s="23" t="n">
        <v>0.162</v>
      </c>
      <c r="D14" s="23" t="n">
        <v>0.232</v>
      </c>
      <c r="E14" s="23" t="n">
        <v>0.375</v>
      </c>
      <c r="F14" s="23" t="n">
        <v>0.374</v>
      </c>
      <c r="G14" s="23" t="n">
        <v>0.502</v>
      </c>
      <c r="H14" s="23" t="n">
        <v>0.725</v>
      </c>
      <c r="I14" s="23" t="n">
        <v>0.723</v>
      </c>
      <c r="J14" s="23" t="n">
        <v>0.732</v>
      </c>
      <c r="K14" s="23" t="n">
        <v>0.538</v>
      </c>
      <c r="L14" s="23" t="n">
        <v>4.125</v>
      </c>
      <c r="M14" s="23" t="n">
        <v>4.104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-0.3901345291479822</v>
      </c>
      <c r="F16" s="15">
        <f>IFERROR(F2/E2-1,"")</f>
        <v>3.0514705882352944</v>
      </c>
      <c r="G16" s="15">
        <f>IFERROR(G2/F2-1,"")</f>
        <v>0.6249243799153055</v>
      </c>
      <c r="H16" s="15">
        <f>IFERROR(H2/G2-1,"")</f>
        <v>-0.9955323901712584</v>
      </c>
      <c r="I16" s="15">
        <f>IFERROR(I2/H2-1,"")</f>
        <v>-1.0</v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>-1.0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>1.0</v>
      </c>
      <c r="M17" s="15">
        <f>IFERROR(M4/M2,"")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-19.95216741405082</v>
      </c>
      <c r="E18" s="15">
        <f>IFERROR(E8/E2,"")</f>
        <v>-35.68137254901961</v>
      </c>
      <c r="F18" s="15">
        <f>IFERROR(F8/F2,"")</f>
        <v>-6.560193587416817</v>
      </c>
      <c r="G18" s="15">
        <f>IFERROR(G8/G2,"")</f>
        <v>-2.64668652271035</v>
      </c>
      <c r="H18" s="15">
        <f>IFERROR(H8/H2,"")</f>
        <v>-572.4166666666667</v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>0.2815230961298377</v>
      </c>
      <c r="M18" s="15">
        <f>IFERROR(M8/M2,"")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Kiora Pharmaceuticals,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0.37595223999999994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12.828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97.09999999999999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457.0505358148258</v>
      </c>
      <c r="C29" s="42">
        <f>NPV!B25</f>
        <v>473.8890628148258</v>
      </c>
      <c r="D29" s="43">
        <f>NPV!B27</f>
        <v>107.10841136067567</v>
      </c>
      <c r="E29" s="44">
        <f>NPV!B29</f>
        <v>44.969275262092566</v>
      </c>
    </row>
    <row r="30">
      <c r="A30" s="45" t="n">
        <v>1</v>
      </c>
      <c r="B30" s="46">
        <f t="dataTable" ref="B30:E32" r1="B4"/>
        <v>162.90181466310386</v>
      </c>
      <c r="C30" s="46">
        <v>179.74034166310386</v>
      </c>
      <c r="D30" s="47">
        <v>40.62491406450291</v>
      </c>
      <c r="E30" s="48">
        <v>16.435585435408974</v>
      </c>
    </row>
    <row r="31">
      <c r="A31" s="45" t="n">
        <v>2</v>
      </c>
      <c r="B31" s="46">
        <v>457.0505358148258</v>
      </c>
      <c r="C31" s="46">
        <v>473.8890628148258</v>
      </c>
      <c r="D31" s="47">
        <v>107.10841136067567</v>
      </c>
      <c r="E31" s="48">
        <v>44.969275262092566</v>
      </c>
    </row>
    <row r="32">
      <c r="A32" s="45" t="n">
        <v>3</v>
      </c>
      <c r="B32" s="46">
        <v>930.6483172235113</v>
      </c>
      <c r="C32" s="46">
        <v>947.4868442235113</v>
      </c>
      <c r="D32" s="47">
        <v>214.15098729462662</v>
      </c>
      <c r="E32" s="48">
        <v>90.9102949762346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107.10841136067567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30.372541414979302</v>
      </c>
      <c r="C37" s="47">
        <v>47.00808454943743</v>
      </c>
      <c r="D37" s="47">
        <v>63.56299473677845</v>
      </c>
      <c r="E37" s="47">
        <v>96.61553778933464</v>
      </c>
      <c r="F37" s="47">
        <v>129.55691051828208</v>
      </c>
    </row>
    <row r="38">
      <c r="A38" s="50" t="n">
        <v>0.8</v>
      </c>
      <c r="B38" s="47">
        <v>41.210860769896414</v>
      </c>
      <c r="C38" s="47">
        <v>63.31085869027723</v>
      </c>
      <c r="D38" s="47">
        <v>85.3512460734208</v>
      </c>
      <c r="E38" s="47">
        <v>129.3073176231998</v>
      </c>
      <c r="F38" s="47">
        <v>173.22914792846305</v>
      </c>
    </row>
    <row r="39">
      <c r="A39" s="50" t="n">
        <v>1</v>
      </c>
      <c r="B39" s="47">
        <v>52.05024895028009</v>
      </c>
      <c r="C39" s="47">
        <v>79.60073317920953</v>
      </c>
      <c r="D39" s="47">
        <v>107.10841136067567</v>
      </c>
      <c r="E39" s="47">
        <v>162.01069924225467</v>
      </c>
      <c r="F39" s="47">
        <v>216.91298712383377</v>
      </c>
    </row>
    <row r="40">
      <c r="A40" s="50" t="n">
        <v>1.2</v>
      </c>
      <c r="B40" s="47">
        <v>62.841746591502385</v>
      </c>
      <c r="C40" s="47">
        <v>95.90156445965715</v>
      </c>
      <c r="D40" s="47">
        <v>128.8429371886046</v>
      </c>
      <c r="E40" s="47">
        <v>194.72568264649942</v>
      </c>
      <c r="F40" s="47">
        <v>260.53644484620844</v>
      </c>
    </row>
    <row r="41">
      <c r="A41" s="50" t="n">
        <v>1.4</v>
      </c>
      <c r="B41" s="47">
        <v>73.64496423080058</v>
      </c>
      <c r="C41" s="47">
        <v>112.15746328461802</v>
      </c>
      <c r="D41" s="47">
        <v>150.5890648017234</v>
      </c>
      <c r="E41" s="47">
        <v>227.44053501789338</v>
      </c>
      <c r="F41" s="47">
        <v>304.16744317677626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Kiora Pharmaceuticals,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Retinal disease (AMD / DME)</t>
        </is>
      </c>
      <c r="C4" s="14" t="inlineStr">
        <is>
          <t>KIO-104</t>
        </is>
      </c>
      <c r="D4" s="14" t="inlineStr">
        <is>
          <t>Phase 2</t>
        </is>
      </c>
      <c r="E4" s="14" t="inlineStr">
        <is>
          <t>Ophthalmology / area</t>
        </is>
      </c>
      <c r="F4" s="14" t="inlineStr">
        <is>
          <t>Owned</t>
        </is>
      </c>
      <c r="G4" s="40" t="n">
        <v>2500</v>
      </c>
      <c r="H4" s="27" t="n">
        <v>0.1656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470.32179638783055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41.4</v>
      </c>
      <c r="S4" s="23">
        <f>IF(S$3&lt;$I4,0,$G4*Assumptions!$E$11*INDEX(Assumptions!$B$24:$G$24,MIN(6,S$3-$I4+1))*IF(S$3&gt;$J4,(1-Assumptions!$B$26)^(S$3-$J4),1)*IF($H4&gt;=1,1,MIN(0.97,$H4*Assumptions!$E$12)))</f>
        <v>103.5</v>
      </c>
      <c r="T4" s="23">
        <f>IF(T$3&lt;$I4,0,$G4*Assumptions!$E$11*INDEX(Assumptions!$B$24:$G$24,MIN(6,T$3-$I4+1))*IF(T$3&gt;$J4,(1-Assumptions!$B$26)^(T$3-$J4),1)*IF($H4&gt;=1,1,MIN(0.97,$H4*Assumptions!$E$12)))</f>
        <v>186.29999999999998</v>
      </c>
      <c r="U4" s="23">
        <f>IF(U$3&lt;$I4,0,$G4*Assumptions!$E$11*INDEX(Assumptions!$B$24:$G$24,MIN(6,U$3-$I4+1))*IF(U$3&gt;$J4,(1-Assumptions!$B$26)^(U$3-$J4),1)*IF($H4&gt;=1,1,MIN(0.97,$H4*Assumptions!$E$12)))</f>
        <v>269.1</v>
      </c>
      <c r="V4" s="23">
        <f>IF(V$3&lt;$I4,0,$G4*Assumptions!$E$11*INDEX(Assumptions!$B$24:$G$24,MIN(6,V$3-$I4+1))*IF(V$3&gt;$J4,(1-Assumptions!$B$26)^(V$3-$J4),1)*IF($H4&gt;=1,1,MIN(0.97,$H4*Assumptions!$E$12)))</f>
        <v>351.9</v>
      </c>
      <c r="W4" s="23">
        <f>IF(W$3&lt;$I4,0,$G4*Assumptions!$E$11*INDEX(Assumptions!$B$24:$G$24,MIN(6,W$3-$I4+1))*IF(W$3&gt;$J4,(1-Assumptions!$B$26)^(W$3-$J4),1)*IF($H4&gt;=1,1,MIN(0.97,$H4*Assumptions!$E$12)))</f>
        <v>414.0</v>
      </c>
      <c r="X4" s="23">
        <f>IF(X$3&lt;$I4,0,$G4*Assumptions!$E$11*INDEX(Assumptions!$B$24:$G$24,MIN(6,X$3-$I4+1))*IF(X$3&gt;$J4,(1-Assumptions!$B$26)^(X$3-$J4),1)*IF($H4&gt;=1,1,MIN(0.97,$H4*Assumptions!$E$12)))</f>
        <v>414.0</v>
      </c>
      <c r="Y4" s="23">
        <f>IF(Y$3&lt;$I4,0,$G4*Assumptions!$E$11*INDEX(Assumptions!$B$24:$G$24,MIN(6,Y$3-$I4+1))*IF(Y$3&gt;$J4,(1-Assumptions!$B$26)^(Y$3-$J4),1)*IF($H4&gt;=1,1,MIN(0.97,$H4*Assumptions!$E$12)))</f>
        <v>414.0</v>
      </c>
      <c r="Z4" s="23">
        <f>IF(Z$3&lt;$I4,0,$G4*Assumptions!$E$11*INDEX(Assumptions!$B$24:$G$24,MIN(6,Z$3-$I4+1))*IF(Z$3&gt;$J4,(1-Assumptions!$B$26)^(Z$3-$J4),1)*IF($H4&gt;=1,1,MIN(0.97,$H4*Assumptions!$E$12)))</f>
        <v>414.0</v>
      </c>
      <c r="AA4" s="23">
        <f>IF(AA$3&lt;$I4,0,$G4*Assumptions!$E$11*INDEX(Assumptions!$B$24:$G$24,MIN(6,AA$3-$I4+1))*IF(AA$3&gt;$J4,(1-Assumptions!$B$26)^(AA$3-$J4),1)*IF($H4&gt;=1,1,MIN(0.97,$H4*Assumptions!$E$12)))</f>
        <v>414.0</v>
      </c>
      <c r="AB4" s="23">
        <f>IF(AB$3&lt;$I4,0,$G4*Assumptions!$E$11*INDEX(Assumptions!$B$24:$G$24,MIN(6,AB$3-$I4+1))*IF(AB$3&gt;$J4,(1-Assumptions!$B$26)^(AB$3-$J4),1)*IF($H4&gt;=1,1,MIN(0.97,$H4*Assumptions!$E$12)))</f>
        <v>414.0</v>
      </c>
      <c r="AC4" s="23">
        <f>IF(AC$3&lt;$I4,0,$G4*Assumptions!$E$11*INDEX(Assumptions!$B$24:$G$24,MIN(6,AC$3-$I4+1))*IF(AC$3&gt;$J4,(1-Assumptions!$B$26)^(AC$3-$J4),1)*IF($H4&gt;=1,1,MIN(0.97,$H4*Assumptions!$E$12)))</f>
        <v>414.0</v>
      </c>
      <c r="AD4" s="23">
        <f>IF(AD$3&lt;$I4,0,$G4*Assumptions!$E$11*INDEX(Assumptions!$B$24:$G$24,MIN(6,AD$3-$I4+1))*IF(AD$3&gt;$J4,(1-Assumptions!$B$26)^(AD$3-$J4),1)*IF($H4&gt;=1,1,MIN(0.97,$H4*Assumptions!$E$12)))</f>
        <v>414.0</v>
      </c>
      <c r="AE4" s="23">
        <f>IF(AE$3&lt;$I4,0,$G4*Assumptions!$E$11*INDEX(Assumptions!$B$24:$G$24,MIN(6,AE$3-$I4+1))*IF(AE$3&gt;$J4,(1-Assumptions!$B$26)^(AE$3-$J4),1)*IF($H4&gt;=1,1,MIN(0.97,$H4*Assumptions!$E$12)))</f>
        <v>207.0</v>
      </c>
      <c r="AF4" s="23">
        <f>IF(AF$3&lt;$I4,0,$G4*Assumptions!$E$11*INDEX(Assumptions!$B$24:$G$24,MIN(6,AF$3-$I4+1))*IF(AF$3&gt;$J4,(1-Assumptions!$B$26)^(AF$3-$J4),1)*IF($H4&gt;=1,1,MIN(0.97,$H4*Assumptions!$E$12)))</f>
        <v>103.5</v>
      </c>
      <c r="AG4" s="35">
        <f>IF(F4="Owned",1-IF(H4&gt;=1,1,MIN(0.97,H4*Assumptions!$E$12)),1)</f>
        <v>0.8344</v>
      </c>
    </row>
    <row r="5">
      <c r="A5" s="39" t="n">
        <v>2</v>
      </c>
      <c r="B5" s="14" t="inlineStr">
        <is>
          <t>Inherited retinal disease</t>
        </is>
      </c>
      <c r="C5" s="14" t="inlineStr">
        <is>
          <t>KIO-301, 100 μg KIO-301</t>
        </is>
      </c>
      <c r="D5" s="14" t="inlineStr">
        <is>
          <t>Phase 2</t>
        </is>
      </c>
      <c r="E5" s="14" t="inlineStr">
        <is>
          <t>Ophthalmology / rare</t>
        </is>
      </c>
      <c r="F5" s="14" t="inlineStr">
        <is>
          <t>Owned</t>
        </is>
      </c>
      <c r="G5" s="40" t="n">
        <v>500</v>
      </c>
      <c r="H5" s="27" t="n">
        <v>0.2521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143.19821844127065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12.605</v>
      </c>
      <c r="S5" s="23">
        <f>IF(S$3&lt;$I5,0,$G5*Assumptions!$E$11*INDEX(Assumptions!$B$24:$G$24,MIN(6,S$3-$I5+1))*IF(S$3&gt;$J5,(1-Assumptions!$B$26)^(S$3-$J5),1)*IF($H5&gt;=1,1,MIN(0.97,$H5*Assumptions!$E$12)))</f>
        <v>31.5125</v>
      </c>
      <c r="T5" s="23">
        <f>IF(T$3&lt;$I5,0,$G5*Assumptions!$E$11*INDEX(Assumptions!$B$24:$G$24,MIN(6,T$3-$I5+1))*IF(T$3&gt;$J5,(1-Assumptions!$B$26)^(T$3-$J5),1)*IF($H5&gt;=1,1,MIN(0.97,$H5*Assumptions!$E$12)))</f>
        <v>56.7225</v>
      </c>
      <c r="U5" s="23">
        <f>IF(U$3&lt;$I5,0,$G5*Assumptions!$E$11*INDEX(Assumptions!$B$24:$G$24,MIN(6,U$3-$I5+1))*IF(U$3&gt;$J5,(1-Assumptions!$B$26)^(U$3-$J5),1)*IF($H5&gt;=1,1,MIN(0.97,$H5*Assumptions!$E$12)))</f>
        <v>81.93249999999999</v>
      </c>
      <c r="V5" s="23">
        <f>IF(V$3&lt;$I5,0,$G5*Assumptions!$E$11*INDEX(Assumptions!$B$24:$G$24,MIN(6,V$3-$I5+1))*IF(V$3&gt;$J5,(1-Assumptions!$B$26)^(V$3-$J5),1)*IF($H5&gt;=1,1,MIN(0.97,$H5*Assumptions!$E$12)))</f>
        <v>107.1425</v>
      </c>
      <c r="W5" s="23">
        <f>IF(W$3&lt;$I5,0,$G5*Assumptions!$E$11*INDEX(Assumptions!$B$24:$G$24,MIN(6,W$3-$I5+1))*IF(W$3&gt;$J5,(1-Assumptions!$B$26)^(W$3-$J5),1)*IF($H5&gt;=1,1,MIN(0.97,$H5*Assumptions!$E$12)))</f>
        <v>126.05</v>
      </c>
      <c r="X5" s="23">
        <f>IF(X$3&lt;$I5,0,$G5*Assumptions!$E$11*INDEX(Assumptions!$B$24:$G$24,MIN(6,X$3-$I5+1))*IF(X$3&gt;$J5,(1-Assumptions!$B$26)^(X$3-$J5),1)*IF($H5&gt;=1,1,MIN(0.97,$H5*Assumptions!$E$12)))</f>
        <v>126.05</v>
      </c>
      <c r="Y5" s="23">
        <f>IF(Y$3&lt;$I5,0,$G5*Assumptions!$E$11*INDEX(Assumptions!$B$24:$G$24,MIN(6,Y$3-$I5+1))*IF(Y$3&gt;$J5,(1-Assumptions!$B$26)^(Y$3-$J5),1)*IF($H5&gt;=1,1,MIN(0.97,$H5*Assumptions!$E$12)))</f>
        <v>126.05</v>
      </c>
      <c r="Z5" s="23">
        <f>IF(Z$3&lt;$I5,0,$G5*Assumptions!$E$11*INDEX(Assumptions!$B$24:$G$24,MIN(6,Z$3-$I5+1))*IF(Z$3&gt;$J5,(1-Assumptions!$B$26)^(Z$3-$J5),1)*IF($H5&gt;=1,1,MIN(0.97,$H5*Assumptions!$E$12)))</f>
        <v>126.05</v>
      </c>
      <c r="AA5" s="23">
        <f>IF(AA$3&lt;$I5,0,$G5*Assumptions!$E$11*INDEX(Assumptions!$B$24:$G$24,MIN(6,AA$3-$I5+1))*IF(AA$3&gt;$J5,(1-Assumptions!$B$26)^(AA$3-$J5),1)*IF($H5&gt;=1,1,MIN(0.97,$H5*Assumptions!$E$12)))</f>
        <v>126.05</v>
      </c>
      <c r="AB5" s="23">
        <f>IF(AB$3&lt;$I5,0,$G5*Assumptions!$E$11*INDEX(Assumptions!$B$24:$G$24,MIN(6,AB$3-$I5+1))*IF(AB$3&gt;$J5,(1-Assumptions!$B$26)^(AB$3-$J5),1)*IF($H5&gt;=1,1,MIN(0.97,$H5*Assumptions!$E$12)))</f>
        <v>126.05</v>
      </c>
      <c r="AC5" s="23">
        <f>IF(AC$3&lt;$I5,0,$G5*Assumptions!$E$11*INDEX(Assumptions!$B$24:$G$24,MIN(6,AC$3-$I5+1))*IF(AC$3&gt;$J5,(1-Assumptions!$B$26)^(AC$3-$J5),1)*IF($H5&gt;=1,1,MIN(0.97,$H5*Assumptions!$E$12)))</f>
        <v>126.05</v>
      </c>
      <c r="AD5" s="23">
        <f>IF(AD$3&lt;$I5,0,$G5*Assumptions!$E$11*INDEX(Assumptions!$B$24:$G$24,MIN(6,AD$3-$I5+1))*IF(AD$3&gt;$J5,(1-Assumptions!$B$26)^(AD$3-$J5),1)*IF($H5&gt;=1,1,MIN(0.97,$H5*Assumptions!$E$12)))</f>
        <v>126.05</v>
      </c>
      <c r="AE5" s="23">
        <f>IF(AE$3&lt;$I5,0,$G5*Assumptions!$E$11*INDEX(Assumptions!$B$24:$G$24,MIN(6,AE$3-$I5+1))*IF(AE$3&gt;$J5,(1-Assumptions!$B$26)^(AE$3-$J5),1)*IF($H5&gt;=1,1,MIN(0.97,$H5*Assumptions!$E$12)))</f>
        <v>63.025</v>
      </c>
      <c r="AF5" s="23">
        <f>IF(AF$3&lt;$I5,0,$G5*Assumptions!$E$11*INDEX(Assumptions!$B$24:$G$24,MIN(6,AF$3-$I5+1))*IF(AF$3&gt;$J5,(1-Assumptions!$B$26)^(AF$3-$J5),1)*IF($H5&gt;=1,1,MIN(0.97,$H5*Assumptions!$E$12)))</f>
        <v>31.5125</v>
      </c>
      <c r="AG5" s="35">
        <f>IF(F5="Owned",1-IF(H5&gt;=1,1,MIN(0.97,H5*Assumptions!$E$12)),1)</f>
        <v>0.7479</v>
      </c>
    </row>
    <row r="6">
      <c r="B6" s="24" t="inlineStr">
        <is>
          <t>Risked revenue</t>
        </is>
      </c>
      <c r="L6" s="54">
        <f>SUM(L4:L5)</f>
        <v>613.5200148291012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54.004999999999995</v>
      </c>
      <c r="S6" s="54">
        <f>SUM(S4:S5)</f>
        <v>135.0125</v>
      </c>
      <c r="T6" s="54">
        <f>SUM(T4:T5)</f>
        <v>243.02249999999998</v>
      </c>
      <c r="U6" s="54">
        <f>SUM(U4:U5)</f>
        <v>351.0325</v>
      </c>
      <c r="V6" s="54">
        <f>SUM(V4:V5)</f>
        <v>459.04249999999996</v>
      </c>
      <c r="W6" s="54">
        <f>SUM(W4:W5)</f>
        <v>540.05</v>
      </c>
      <c r="X6" s="54">
        <f>SUM(X4:X5)</f>
        <v>540.05</v>
      </c>
      <c r="Y6" s="54">
        <f>SUM(Y4:Y5)</f>
        <v>540.05</v>
      </c>
      <c r="Z6" s="54">
        <f>SUM(Z4:Z5)</f>
        <v>540.05</v>
      </c>
      <c r="AA6" s="54">
        <f>SUM(AA4:AA5)</f>
        <v>540.05</v>
      </c>
      <c r="AB6" s="54">
        <f>SUM(AB4:AB5)</f>
        <v>540.05</v>
      </c>
      <c r="AC6" s="54">
        <f>SUM(AC4:AC5)</f>
        <v>540.05</v>
      </c>
      <c r="AD6" s="54">
        <f>SUM(AD4:AD5)</f>
        <v>540.05</v>
      </c>
      <c r="AE6" s="54">
        <f>SUM(AE4:AE5)</f>
        <v>270.025</v>
      </c>
      <c r="AF6" s="54">
        <f>SUM(AF4:AF5)</f>
        <v>135.0125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21.602</v>
      </c>
      <c r="S7" s="55">
        <f>SUMPRODUCT(S4:S5,$K$4:$K$5)</f>
        <v>54.00500000000001</v>
      </c>
      <c r="T7" s="55">
        <f>SUMPRODUCT(T4:T5,$K$4:$K$5)</f>
        <v>97.209</v>
      </c>
      <c r="U7" s="55">
        <f>SUMPRODUCT(U4:U5,$K$4:$K$5)</f>
        <v>140.413</v>
      </c>
      <c r="V7" s="55">
        <f>SUMPRODUCT(V4:V5,$K$4:$K$5)</f>
        <v>183.617</v>
      </c>
      <c r="W7" s="55">
        <f>SUMPRODUCT(W4:W5,$K$4:$K$5)</f>
        <v>216.02000000000004</v>
      </c>
      <c r="X7" s="55">
        <f>SUMPRODUCT(X4:X5,$K$4:$K$5)</f>
        <v>216.02000000000004</v>
      </c>
      <c r="Y7" s="55">
        <f>SUMPRODUCT(Y4:Y5,$K$4:$K$5)</f>
        <v>216.02000000000004</v>
      </c>
      <c r="Z7" s="55">
        <f>SUMPRODUCT(Z4:Z5,$K$4:$K$5)</f>
        <v>216.02000000000004</v>
      </c>
      <c r="AA7" s="55">
        <f>SUMPRODUCT(AA4:AA5,$K$4:$K$5)</f>
        <v>216.02000000000004</v>
      </c>
      <c r="AB7" s="55">
        <f>SUMPRODUCT(AB4:AB5,$K$4:$K$5)</f>
        <v>216.02000000000004</v>
      </c>
      <c r="AC7" s="55">
        <f>SUMPRODUCT(AC4:AC5,$K$4:$K$5)</f>
        <v>216.02000000000004</v>
      </c>
      <c r="AD7" s="55">
        <f>SUMPRODUCT(AD4:AD5,$K$4:$K$5)</f>
        <v>216.02000000000004</v>
      </c>
      <c r="AE7" s="55">
        <f>SUMPRODUCT(AE4:AE5,$K$4:$K$5)</f>
        <v>108.01000000000002</v>
      </c>
      <c r="AF7" s="55">
        <f>SUMPRODUCT(AF4:AF5,$K$4:$K$5)</f>
        <v>54.00500000000001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Kiora Pharmaceuticals,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54.004999999999995</v>
      </c>
      <c r="I4" s="57">
        <f>Pipeline!S6</f>
        <v>135.0125</v>
      </c>
      <c r="J4" s="57">
        <f>Pipeline!T6</f>
        <v>243.02249999999998</v>
      </c>
      <c r="K4" s="57">
        <f>Pipeline!U6</f>
        <v>351.0325</v>
      </c>
      <c r="L4" s="57">
        <f>Pipeline!V6</f>
        <v>459.04249999999996</v>
      </c>
      <c r="M4" s="57">
        <f>Pipeline!W6</f>
        <v>540.05</v>
      </c>
      <c r="N4" s="57">
        <f>Pipeline!X6</f>
        <v>540.05</v>
      </c>
      <c r="O4" s="57">
        <f>Pipeline!Y6</f>
        <v>540.05</v>
      </c>
      <c r="P4" s="57">
        <f>Pipeline!Z6</f>
        <v>540.05</v>
      </c>
      <c r="Q4" s="57">
        <f>Pipeline!AA6</f>
        <v>540.05</v>
      </c>
      <c r="R4" s="57">
        <f>Pipeline!AB6</f>
        <v>540.05</v>
      </c>
      <c r="S4" s="57">
        <f>Pipeline!AC6</f>
        <v>540.05</v>
      </c>
      <c r="T4" s="57">
        <f>Pipeline!AD6</f>
        <v>540.05</v>
      </c>
      <c r="U4" s="57">
        <f>Pipeline!AE6</f>
        <v>270.025</v>
      </c>
      <c r="V4" s="57">
        <f>Pipeline!AF6</f>
        <v>135.0125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21.602</v>
      </c>
      <c r="I5" s="57">
        <f>Pipeline!S7</f>
        <v>54.00500000000001</v>
      </c>
      <c r="J5" s="57">
        <f>Pipeline!T7</f>
        <v>97.209</v>
      </c>
      <c r="K5" s="57">
        <f>Pipeline!U7</f>
        <v>140.413</v>
      </c>
      <c r="L5" s="57">
        <f>Pipeline!V7</f>
        <v>183.617</v>
      </c>
      <c r="M5" s="57">
        <f>Pipeline!W7</f>
        <v>216.02000000000004</v>
      </c>
      <c r="N5" s="57">
        <f>Pipeline!X7</f>
        <v>216.02000000000004</v>
      </c>
      <c r="O5" s="57">
        <f>Pipeline!Y7</f>
        <v>216.02000000000004</v>
      </c>
      <c r="P5" s="57">
        <f>Pipeline!Z7</f>
        <v>216.02000000000004</v>
      </c>
      <c r="Q5" s="57">
        <f>Pipeline!AA7</f>
        <v>216.02000000000004</v>
      </c>
      <c r="R5" s="57">
        <f>Pipeline!AB7</f>
        <v>216.02000000000004</v>
      </c>
      <c r="S5" s="57">
        <f>Pipeline!AC7</f>
        <v>216.02000000000004</v>
      </c>
      <c r="T5" s="57">
        <f>Pipeline!AD7</f>
        <v>216.02000000000004</v>
      </c>
      <c r="U5" s="57">
        <f>Pipeline!AE7</f>
        <v>108.01000000000002</v>
      </c>
      <c r="V5" s="57">
        <f>Pipeline!AF7</f>
        <v>54.00500000000001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-12.828</v>
      </c>
      <c r="D6" s="23">
        <f>-IF(D3-2026&lt;Assumptions!$B$19,Assumptions!$B$18,Assumptions!$B$18*Assumptions!$B$20*Assumptions!$B$16)</f>
        <v>-12.828</v>
      </c>
      <c r="E6" s="23">
        <f>-IF(E3-2026&lt;Assumptions!$B$19,Assumptions!$B$18,Assumptions!$B$18*Assumptions!$B$20*Assumptions!$B$16)</f>
        <v>-12.828</v>
      </c>
      <c r="F6" s="23">
        <f>-IF(F3-2026&lt;Assumptions!$B$19,Assumptions!$B$18,Assumptions!$B$18*Assumptions!$B$20*Assumptions!$B$16)</f>
        <v>-12.828</v>
      </c>
      <c r="G6" s="23">
        <f>-IF(G3-2026&lt;Assumptions!$B$19,Assumptions!$B$18,Assumptions!$B$18*Assumptions!$B$20*Assumptions!$B$16)</f>
        <v>-1.4468146004159996</v>
      </c>
      <c r="H6" s="23">
        <f>-IF(H3-2026&lt;Assumptions!$B$19,Assumptions!$B$18,Assumptions!$B$18*Assumptions!$B$20*Assumptions!$B$16)</f>
        <v>-1.4468146004159996</v>
      </c>
      <c r="I6" s="23">
        <f>-IF(I3-2026&lt;Assumptions!$B$19,Assumptions!$B$18,Assumptions!$B$18*Assumptions!$B$20*Assumptions!$B$16)</f>
        <v>-1.4468146004159996</v>
      </c>
      <c r="J6" s="23">
        <f>-IF(J3-2026&lt;Assumptions!$B$19,Assumptions!$B$18,Assumptions!$B$18*Assumptions!$B$20*Assumptions!$B$16)</f>
        <v>-1.4468146004159996</v>
      </c>
      <c r="K6" s="23">
        <f>-IF(K3-2026&lt;Assumptions!$B$19,Assumptions!$B$18,Assumptions!$B$18*Assumptions!$B$20*Assumptions!$B$16)</f>
        <v>-1.4468146004159996</v>
      </c>
      <c r="L6" s="23">
        <f>-IF(L3-2026&lt;Assumptions!$B$19,Assumptions!$B$18,Assumptions!$B$18*Assumptions!$B$20*Assumptions!$B$16)</f>
        <v>-1.4468146004159996</v>
      </c>
      <c r="M6" s="23">
        <f>-IF(M3-2026&lt;Assumptions!$B$19,Assumptions!$B$18,Assumptions!$B$18*Assumptions!$B$20*Assumptions!$B$16)</f>
        <v>-1.4468146004159996</v>
      </c>
      <c r="N6" s="23">
        <f>-IF(N3-2026&lt;Assumptions!$B$19,Assumptions!$B$18,Assumptions!$B$18*Assumptions!$B$20*Assumptions!$B$16)</f>
        <v>-1.4468146004159996</v>
      </c>
      <c r="O6" s="23">
        <f>-IF(O3-2026&lt;Assumptions!$B$19,Assumptions!$B$18,Assumptions!$B$18*Assumptions!$B$20*Assumptions!$B$16)</f>
        <v>-1.4468146004159996</v>
      </c>
      <c r="P6" s="23">
        <f>-IF(P3-2026&lt;Assumptions!$B$19,Assumptions!$B$18,Assumptions!$B$18*Assumptions!$B$20*Assumptions!$B$16)</f>
        <v>-1.4468146004159996</v>
      </c>
      <c r="Q6" s="23">
        <f>-IF(Q3-2026&lt;Assumptions!$B$19,Assumptions!$B$18,Assumptions!$B$18*Assumptions!$B$20*Assumptions!$B$16)</f>
        <v>-1.4468146004159996</v>
      </c>
      <c r="R6" s="23">
        <f>-IF(R3-2026&lt;Assumptions!$B$19,Assumptions!$B$18,Assumptions!$B$18*Assumptions!$B$20*Assumptions!$B$16)</f>
        <v>-1.4468146004159996</v>
      </c>
      <c r="S6" s="23">
        <f>-IF(S3-2026&lt;Assumptions!$B$19,Assumptions!$B$18,Assumptions!$B$18*Assumptions!$B$20*Assumptions!$B$16)</f>
        <v>-1.4468146004159996</v>
      </c>
      <c r="T6" s="23">
        <f>-IF(T3-2026&lt;Assumptions!$B$19,Assumptions!$B$18,Assumptions!$B$18*Assumptions!$B$20*Assumptions!$B$16)</f>
        <v>-1.4468146004159996</v>
      </c>
      <c r="U6" s="23">
        <f>-IF(U3-2026&lt;Assumptions!$B$19,Assumptions!$B$18,Assumptions!$B$18*Assumptions!$B$20*Assumptions!$B$16)</f>
        <v>-1.4468146004159996</v>
      </c>
      <c r="V6" s="23">
        <f>-IF(V3-2026&lt;Assumptions!$B$19,Assumptions!$B$18,Assumptions!$B$18*Assumptions!$B$20*Assumptions!$B$16)</f>
        <v>-1.4468146004159996</v>
      </c>
    </row>
    <row r="7">
      <c r="A7" s="14" t="inlineStr">
        <is>
          <t>Pre-tax cash flow</t>
        </is>
      </c>
      <c r="C7" s="23">
        <f>C5+C6</f>
        <v>-12.828</v>
      </c>
      <c r="D7" s="23">
        <f>D5+D6</f>
        <v>-12.828</v>
      </c>
      <c r="E7" s="23">
        <f>E5+E6</f>
        <v>-12.828</v>
      </c>
      <c r="F7" s="23">
        <f>F5+F6</f>
        <v>-12.828</v>
      </c>
      <c r="G7" s="23">
        <f>G5+G6</f>
        <v>-1.4468146004159996</v>
      </c>
      <c r="H7" s="23">
        <f>H5+H6</f>
        <v>20.155185399584</v>
      </c>
      <c r="I7" s="23">
        <f>I5+I6</f>
        <v>52.55818539958401</v>
      </c>
      <c r="J7" s="23">
        <f>J5+J6</f>
        <v>95.762185399584</v>
      </c>
      <c r="K7" s="23">
        <f>K5+K6</f>
        <v>138.96618539958402</v>
      </c>
      <c r="L7" s="23">
        <f>L5+L6</f>
        <v>182.170185399584</v>
      </c>
      <c r="M7" s="23">
        <f>M5+M6</f>
        <v>214.57318539958405</v>
      </c>
      <c r="N7" s="23">
        <f>N5+N6</f>
        <v>214.57318539958405</v>
      </c>
      <c r="O7" s="23">
        <f>O5+O6</f>
        <v>214.57318539958405</v>
      </c>
      <c r="P7" s="23">
        <f>P5+P6</f>
        <v>214.57318539958405</v>
      </c>
      <c r="Q7" s="23">
        <f>Q5+Q6</f>
        <v>214.57318539958405</v>
      </c>
      <c r="R7" s="23">
        <f>R5+R6</f>
        <v>214.57318539958405</v>
      </c>
      <c r="S7" s="23">
        <f>S5+S6</f>
        <v>214.57318539958405</v>
      </c>
      <c r="T7" s="23">
        <f>T5+T6</f>
        <v>214.57318539958405</v>
      </c>
      <c r="U7" s="23">
        <f>U5+U6</f>
        <v>106.56318539958401</v>
      </c>
      <c r="V7" s="23">
        <f>V5+V6</f>
        <v>52.55818539958401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20.155185399584</v>
      </c>
      <c r="I8" s="23">
        <f>MIN(H17,MAX(0,I7))</f>
        <v>52.55818539958401</v>
      </c>
      <c r="J8" s="23">
        <f>MIN(I17,MAX(0,J7))</f>
        <v>77.14544380124798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18.61674159833602</v>
      </c>
      <c r="K9" s="23">
        <f>MAX(0,K7)-K8</f>
        <v>138.96618539958402</v>
      </c>
      <c r="L9" s="23">
        <f>MAX(0,L7)-L8</f>
        <v>182.170185399584</v>
      </c>
      <c r="M9" s="23">
        <f>MAX(0,M7)-M8</f>
        <v>214.57318539958405</v>
      </c>
      <c r="N9" s="23">
        <f>MAX(0,N7)-N8</f>
        <v>214.57318539958405</v>
      </c>
      <c r="O9" s="23">
        <f>MAX(0,O7)-O8</f>
        <v>214.57318539958405</v>
      </c>
      <c r="P9" s="23">
        <f>MAX(0,P7)-P8</f>
        <v>214.57318539958405</v>
      </c>
      <c r="Q9" s="23">
        <f>MAX(0,Q7)-Q8</f>
        <v>214.57318539958405</v>
      </c>
      <c r="R9" s="23">
        <f>MAX(0,R7)-R8</f>
        <v>214.57318539958405</v>
      </c>
      <c r="S9" s="23">
        <f>MAX(0,S7)-S8</f>
        <v>214.57318539958405</v>
      </c>
      <c r="T9" s="23">
        <f>MAX(0,T7)-T8</f>
        <v>214.57318539958405</v>
      </c>
      <c r="U9" s="23">
        <f>MAX(0,U7)-U8</f>
        <v>106.56318539958401</v>
      </c>
      <c r="V9" s="23">
        <f>MAX(0,V7)-V8</f>
        <v>52.55818539958401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3.909515735650564</v>
      </c>
      <c r="K10" s="23">
        <f>K9*Assumptions!$E$15</f>
        <v>29.182898933912643</v>
      </c>
      <c r="L10" s="23">
        <f>L9*Assumptions!$E$15</f>
        <v>38.25573893391264</v>
      </c>
      <c r="M10" s="23">
        <f>M9*Assumptions!$E$15</f>
        <v>45.06036893391265</v>
      </c>
      <c r="N10" s="23">
        <f>N9*Assumptions!$E$15</f>
        <v>45.06036893391265</v>
      </c>
      <c r="O10" s="23">
        <f>O9*Assumptions!$E$15</f>
        <v>45.06036893391265</v>
      </c>
      <c r="P10" s="23">
        <f>P9*Assumptions!$E$15</f>
        <v>45.06036893391265</v>
      </c>
      <c r="Q10" s="23">
        <f>Q9*Assumptions!$E$15</f>
        <v>45.06036893391265</v>
      </c>
      <c r="R10" s="23">
        <f>R9*Assumptions!$E$15</f>
        <v>45.06036893391265</v>
      </c>
      <c r="S10" s="23">
        <f>S9*Assumptions!$E$15</f>
        <v>45.06036893391265</v>
      </c>
      <c r="T10" s="23">
        <f>T9*Assumptions!$E$15</f>
        <v>45.06036893391265</v>
      </c>
      <c r="U10" s="23">
        <f>U9*Assumptions!$E$15</f>
        <v>22.378268933912643</v>
      </c>
      <c r="V10" s="23">
        <f>V9*Assumptions!$E$15</f>
        <v>11.037218933912643</v>
      </c>
    </row>
    <row r="11">
      <c r="A11" s="24" t="inlineStr">
        <is>
          <t>Free cash flow</t>
        </is>
      </c>
      <c r="C11" s="55">
        <f>C7-C10</f>
        <v>-12.828</v>
      </c>
      <c r="D11" s="55">
        <f>D7-D10</f>
        <v>-12.828</v>
      </c>
      <c r="E11" s="55">
        <f>E7-E10</f>
        <v>-12.828</v>
      </c>
      <c r="F11" s="55">
        <f>F7-F10</f>
        <v>-12.828</v>
      </c>
      <c r="G11" s="55">
        <f>G7-G10</f>
        <v>-1.4468146004159996</v>
      </c>
      <c r="H11" s="55">
        <f>H7-H10</f>
        <v>20.155185399584</v>
      </c>
      <c r="I11" s="55">
        <f>I7-I10</f>
        <v>52.55818539958401</v>
      </c>
      <c r="J11" s="55">
        <f>J7-J10</f>
        <v>91.85266966393344</v>
      </c>
      <c r="K11" s="55">
        <f>K7-K10</f>
        <v>109.78328646567138</v>
      </c>
      <c r="L11" s="55">
        <f>L7-L10</f>
        <v>143.91444646567135</v>
      </c>
      <c r="M11" s="55">
        <f>M7-M10</f>
        <v>169.5128164656714</v>
      </c>
      <c r="N11" s="55">
        <f>N7-N10</f>
        <v>169.5128164656714</v>
      </c>
      <c r="O11" s="55">
        <f>O7-O10</f>
        <v>169.5128164656714</v>
      </c>
      <c r="P11" s="55">
        <f>P7-P10</f>
        <v>169.5128164656714</v>
      </c>
      <c r="Q11" s="55">
        <f>Q7-Q10</f>
        <v>169.5128164656714</v>
      </c>
      <c r="R11" s="55">
        <f>R7-R10</f>
        <v>169.5128164656714</v>
      </c>
      <c r="S11" s="55">
        <f>S7-S10</f>
        <v>169.5128164656714</v>
      </c>
      <c r="T11" s="55">
        <f>T7-T10</f>
        <v>169.5128164656714</v>
      </c>
      <c r="U11" s="55">
        <f>U7-U10</f>
        <v>84.18491646567136</v>
      </c>
      <c r="V11" s="55">
        <f>V7-V10</f>
        <v>41.52096646567137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-6.284492989160074</v>
      </c>
      <c r="D16" s="55">
        <f>D11*D15</f>
        <v>-11.44825079019062</v>
      </c>
      <c r="E16" s="55">
        <f>E11*E15</f>
        <v>-10.221652491241622</v>
      </c>
      <c r="F16" s="55">
        <f>F11*F15</f>
        <v>-9.126475438608592</v>
      </c>
      <c r="G16" s="55">
        <f>G11*G15</f>
        <v>-0.9190497011919325</v>
      </c>
      <c r="H16" s="55">
        <f>H11*H15</f>
        <v>11.43128072626238</v>
      </c>
      <c r="I16" s="55">
        <f>I11*I15</f>
        <v>26.615242813554342</v>
      </c>
      <c r="J16" s="55">
        <f>J11*J15</f>
        <v>41.5301816656118</v>
      </c>
      <c r="K16" s="55">
        <f>K11*K15</f>
        <v>44.31903059938146</v>
      </c>
      <c r="L16" s="55">
        <f>L11*L15</f>
        <v>51.872883923191914</v>
      </c>
      <c r="M16" s="55">
        <f>M11*M15</f>
        <v>54.55323624036996</v>
      </c>
      <c r="N16" s="55">
        <f>N11*N15</f>
        <v>48.70824664318746</v>
      </c>
      <c r="O16" s="55">
        <f>O11*O15</f>
        <v>43.48950593141737</v>
      </c>
      <c r="P16" s="55">
        <f>P11*P15</f>
        <v>38.829916010194076</v>
      </c>
      <c r="Q16" s="55">
        <f>Q11*Q15</f>
        <v>34.66956786624471</v>
      </c>
      <c r="R16" s="55">
        <f>R11*R15</f>
        <v>30.954971309147062</v>
      </c>
      <c r="S16" s="55">
        <f>S11*S15</f>
        <v>27.638367240309872</v>
      </c>
      <c r="T16" s="55">
        <f>T11*T15</f>
        <v>24.67711360741953</v>
      </c>
      <c r="U16" s="55">
        <f>U11*U15</f>
        <v>10.942286542572033</v>
      </c>
      <c r="V16" s="55">
        <f>V11*V15</f>
        <v>4.818626106354635</v>
      </c>
    </row>
    <row r="17">
      <c r="A17" s="14" t="inlineStr">
        <is>
          <t>Tax-loss carryforward, end of year</t>
        </is>
      </c>
      <c r="C17" s="23">
        <f>Assumptions!$B$21-C8+MAX(0,-C7)</f>
        <v>109.928</v>
      </c>
      <c r="D17" s="23">
        <f>C17-D8+MAX(0,-D7)</f>
        <v>122.756</v>
      </c>
      <c r="E17" s="23">
        <f>D17-E8+MAX(0,-E7)</f>
        <v>135.584</v>
      </c>
      <c r="F17" s="23">
        <f>E17-F8+MAX(0,-F7)</f>
        <v>148.412</v>
      </c>
      <c r="G17" s="23">
        <f>F17-G8+MAX(0,-G7)</f>
        <v>149.858814600416</v>
      </c>
      <c r="H17" s="23">
        <f>G17-H8+MAX(0,-H7)</f>
        <v>129.70362920083198</v>
      </c>
      <c r="I17" s="23">
        <f>H17-I8+MAX(0,-I7)</f>
        <v>77.14544380124798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613.5200148291012</v>
      </c>
    </row>
    <row r="20">
      <c r="A20" s="14" t="inlineStr">
        <is>
          <t>PV of corporate burn</t>
        </is>
      </c>
      <c r="B20" s="23">
        <f>SUMPRODUCT(C6:V6,C15:V15)</f>
        <v>-44.259444384294405</v>
      </c>
    </row>
    <row r="21">
      <c r="A21" s="14" t="inlineStr">
        <is>
          <t>PV of taxes</t>
        </is>
      </c>
      <c r="B21" s="23">
        <f>-SUMPRODUCT(C10:V10,C15:V15)</f>
        <v>-112.21003462998115</v>
      </c>
    </row>
    <row r="22">
      <c r="A22" s="24" t="inlineStr">
        <is>
          <t>Pipeline rNPV (operations)</t>
        </is>
      </c>
      <c r="B22" s="54">
        <f>SUM(C16:V16)</f>
        <v>457.0505358148258</v>
      </c>
    </row>
    <row r="23">
      <c r="A23" s="14" t="inlineStr">
        <is>
          <t>Cash &amp; investments</t>
        </is>
      </c>
      <c r="B23" s="57">
        <f>Main!C7</f>
        <v>16.838527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473.8890628148258</v>
      </c>
    </row>
    <row r="26">
      <c r="A26" s="14" t="inlineStr">
        <is>
          <t>Shares (mm)</t>
        </is>
      </c>
      <c r="B26" s="57">
        <f>Main!C4</f>
        <v>4.424387</v>
      </c>
    </row>
    <row r="27">
      <c r="A27" s="24" t="inlineStr">
        <is>
          <t>rNPV / share</t>
        </is>
      </c>
      <c r="B27" s="60">
        <f>B25/B26</f>
        <v>107.10841136067567</v>
      </c>
    </row>
    <row r="28">
      <c r="A28" s="14" t="inlineStr">
        <is>
          <t>Price</t>
        </is>
      </c>
      <c r="B28" s="61">
        <f>Main!C3</f>
        <v>2.33</v>
      </c>
    </row>
    <row r="29">
      <c r="A29" s="14" t="inlineStr">
        <is>
          <t>Upside</t>
        </is>
      </c>
      <c r="B29" s="62">
        <f>B27/B28-1</f>
        <v>44.969275262092566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2026-10-21T06:30:44Z</dcterms:modified>
  <cp:lastModifiedBy>Wang, Eric</cp:lastModifiedBy>
</cp:coreProperties>
</file>