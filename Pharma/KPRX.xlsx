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Kiora Pharmaceuticals, Inc.</t>
        </is>
      </c>
      <c r="C2" s="10" t="n"/>
    </row>
    <row r="3">
      <c r="B3" t="inlineStr">
        <is>
          <t>Price</t>
        </is>
      </c>
      <c r="C3" s="11">
        <f>INDEX([1]Pharma!$F$1:$F$1000,MATCH("KPRX",[1]Pharma!$B$1:$B$1000,0))</f>
        <v>2.33</v>
      </c>
      <c r="F3" s="1" t="n"/>
    </row>
    <row r="4">
      <c r="B4" t="inlineStr">
        <is>
          <t>Shares</t>
        </is>
      </c>
      <c r="C4" s="21" t="n">
        <v>4.424387</v>
      </c>
      <c r="F4" s="1" t="n"/>
    </row>
    <row r="5">
      <c r="B5" t="inlineStr">
        <is>
          <t>Market Cap.</t>
        </is>
      </c>
      <c r="C5" s="13">
        <f>C3*C4</f>
        <v>10.30882171</v>
      </c>
      <c r="F5" s="1" t="n"/>
    </row>
    <row r="6"/>
    <row r="7">
      <c r="B7" t="inlineStr">
        <is>
          <t>Cash</t>
        </is>
      </c>
      <c r="C7" s="21">
        <f>7.076533+9.761994</f>
        <v>16.838527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-6.529705289999999</v>
      </c>
    </row>
    <row r="10"/>
    <row r="11">
      <c r="B11" s="14" t="inlineStr">
        <is>
          <t>Net Cash / Share</t>
        </is>
      </c>
      <c r="C11" s="11">
        <f>(C7-C8)/C4</f>
        <v>3.805844063821722</v>
      </c>
    </row>
    <row r="12">
      <c r="B12" s="14" t="inlineStr">
        <is>
          <t>Upside</t>
        </is>
      </c>
      <c r="C12" s="15">
        <f>IFERROR(C11/C3-1,"")</f>
        <v>0.6334094694513828</v>
      </c>
    </row>
    <row r="13">
      <c r="B13" s="14" t="inlineStr">
        <is>
          <t>Cash / Share</t>
        </is>
      </c>
      <c r="C13" s="11">
        <f>IFERROR((C7-C8)/C4,"")</f>
        <v>3.805844063821722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-8.507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1.9793731045021747</v>
      </c>
    </row>
    <row r="19">
      <c r="B19" s="14" t="inlineStr">
        <is>
          <t>Implied Pipeline Value</t>
        </is>
      </c>
      <c r="C19" s="13">
        <f>C9</f>
        <v>-6.529705289999999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0.669</v>
      </c>
      <c r="E2" s="23" t="n">
        <v>0.408</v>
      </c>
      <c r="F2" s="23" t="n">
        <v>1.653</v>
      </c>
      <c r="G2" s="23" t="n">
        <v>2.686</v>
      </c>
      <c r="H2" s="23" t="n">
        <v>0.012</v>
      </c>
      <c r="I2" s="23" t="n">
        <v>0</v>
      </c>
      <c r="J2" s="23" t="n">
        <v>0</v>
      </c>
      <c r="K2" s="23" t="n">
        <v>0</v>
      </c>
      <c r="L2" s="23" t="n">
        <v>16.02</v>
      </c>
      <c r="M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0.669</v>
      </c>
      <c r="E4" s="23">
        <f>E2-E3</f>
        <v>0.408</v>
      </c>
      <c r="F4" s="23">
        <f>F2-F3</f>
        <v>1.653</v>
      </c>
      <c r="G4" s="23">
        <f>G2-G3</f>
        <v>2.686</v>
      </c>
      <c r="H4" s="23">
        <f>H2-H3</f>
        <v>0.012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16.02</v>
      </c>
      <c r="M4" s="23">
        <f>M2-M3</f>
        <v>0.0</v>
      </c>
    </row>
    <row r="5">
      <c r="A5" s="2" t="inlineStr">
        <is>
          <t>Research &amp; Dev.</t>
        </is>
      </c>
      <c r="B5" s="23" t="n">
        <v>0.531</v>
      </c>
      <c r="C5" s="23" t="n">
        <v>2.717</v>
      </c>
      <c r="D5" s="23" t="n">
        <v>8.423</v>
      </c>
      <c r="E5" s="23" t="n">
        <v>10.33</v>
      </c>
      <c r="F5" s="23" t="n">
        <v>8.055999999999999</v>
      </c>
      <c r="G5" s="23" t="n">
        <v>5.389</v>
      </c>
      <c r="H5" s="23" t="n">
        <v>3.566</v>
      </c>
      <c r="I5" s="23" t="n">
        <v>5.35</v>
      </c>
      <c r="J5" s="23" t="n">
        <v>3.449</v>
      </c>
      <c r="K5" s="23" t="n">
        <v>4.027</v>
      </c>
      <c r="L5" s="23" t="n">
        <v>7.842</v>
      </c>
      <c r="M5" s="23" t="n">
        <v>10.78</v>
      </c>
    </row>
    <row r="6">
      <c r="A6" s="19" t="inlineStr">
        <is>
          <t>SG&amp;A &amp; Other</t>
        </is>
      </c>
      <c r="B6" s="23" t="n">
        <v>1.931</v>
      </c>
      <c r="C6" s="23" t="n">
        <v>3.96</v>
      </c>
      <c r="D6" s="23" t="n">
        <v>5.594</v>
      </c>
      <c r="E6" s="23" t="n">
        <v>4.636</v>
      </c>
      <c r="F6" s="23" t="n">
        <v>4.441</v>
      </c>
      <c r="G6" s="23" t="n">
        <v>4.406</v>
      </c>
      <c r="H6" s="23" t="n">
        <v>3.315</v>
      </c>
      <c r="I6" s="23" t="n">
        <v>8.885999999999999</v>
      </c>
      <c r="J6" s="23" t="n">
        <v>8.861000000000001</v>
      </c>
      <c r="K6" s="23" t="n">
        <v>8.56</v>
      </c>
      <c r="L6" s="23" t="n">
        <v>3.668</v>
      </c>
      <c r="M6" s="23" t="n">
        <v>2.051</v>
      </c>
    </row>
    <row r="7">
      <c r="A7" s="2" t="inlineStr">
        <is>
          <t>Operating Expense</t>
        </is>
      </c>
      <c r="B7" s="23">
        <f>SUM(B5:B6)</f>
        <v>2.462</v>
      </c>
      <c r="C7" s="23">
        <f>SUM(C5:C6)</f>
        <v>6.677</v>
      </c>
      <c r="D7" s="23">
        <f>SUM(D5:D6)</f>
        <v>14.017</v>
      </c>
      <c r="E7" s="23">
        <f>SUM(E5:E6)</f>
        <v>14.966000000000001</v>
      </c>
      <c r="F7" s="23">
        <f>SUM(F5:F6)</f>
        <v>12.497</v>
      </c>
      <c r="G7" s="23">
        <f>SUM(G5:G6)</f>
        <v>9.795</v>
      </c>
      <c r="H7" s="23">
        <f>SUM(H5:H6)</f>
        <v>6.881</v>
      </c>
      <c r="I7" s="23">
        <f>SUM(I5:I6)</f>
        <v>14.235999999999999</v>
      </c>
      <c r="J7" s="23">
        <f>SUM(J5:J6)</f>
        <v>12.31</v>
      </c>
      <c r="K7" s="23">
        <f>SUM(K5:K6)</f>
        <v>12.587</v>
      </c>
      <c r="L7" s="23">
        <f>SUM(L5:L6)</f>
        <v>11.51</v>
      </c>
      <c r="M7" s="23">
        <f>SUM(M5:M6)</f>
        <v>12.831</v>
      </c>
    </row>
    <row r="8">
      <c r="A8" s="2" t="inlineStr">
        <is>
          <t>Operating Income</t>
        </is>
      </c>
      <c r="B8" s="23">
        <f>B4-B7</f>
        <v>-2.462</v>
      </c>
      <c r="C8" s="23">
        <f>C4-C7</f>
        <v>-6.677</v>
      </c>
      <c r="D8" s="23">
        <f>D4-D7</f>
        <v>-13.347999999999999</v>
      </c>
      <c r="E8" s="23">
        <f>E4-E7</f>
        <v>-14.558000000000002</v>
      </c>
      <c r="F8" s="23">
        <f>F4-F7</f>
        <v>-10.844</v>
      </c>
      <c r="G8" s="23">
        <f>G4-G7</f>
        <v>-7.109</v>
      </c>
      <c r="H8" s="23">
        <f>H4-H7</f>
        <v>-6.869000000000001</v>
      </c>
      <c r="I8" s="23">
        <f>I4-I7</f>
        <v>-14.235999999999999</v>
      </c>
      <c r="J8" s="23">
        <f>J4-J7</f>
        <v>-12.31</v>
      </c>
      <c r="K8" s="23">
        <f>K4-K7</f>
        <v>-12.587</v>
      </c>
      <c r="L8" s="23">
        <f>L4-L7</f>
        <v>4.51</v>
      </c>
      <c r="M8" s="23">
        <f>M4-M7</f>
        <v>-12.831</v>
      </c>
    </row>
    <row r="9">
      <c r="A9" s="19" t="inlineStr">
        <is>
          <t>Interest &amp; Other</t>
        </is>
      </c>
      <c r="B9" s="23" t="n">
        <v>0.6879999999999999</v>
      </c>
      <c r="C9" s="23" t="n">
        <v>-9.938000000000001</v>
      </c>
      <c r="D9" s="23" t="n">
        <v>0.003</v>
      </c>
      <c r="E9" s="23" t="n">
        <v>-0.001</v>
      </c>
      <c r="F9" s="23" t="n">
        <v>0.119</v>
      </c>
      <c r="G9" s="23" t="n">
        <v>0.108</v>
      </c>
      <c r="H9" s="23" t="n">
        <v>0.019</v>
      </c>
      <c r="I9" s="23" t="n">
        <v>0.272</v>
      </c>
      <c r="J9" s="23" t="n">
        <v>-1.387</v>
      </c>
      <c r="K9" s="23" t="n">
        <v>12.665</v>
      </c>
      <c r="L9" s="23" t="n">
        <v>-2.442</v>
      </c>
      <c r="M9" s="23" t="n">
        <v>11.538</v>
      </c>
    </row>
    <row r="10">
      <c r="A10" s="2" t="inlineStr">
        <is>
          <t>Pretax</t>
        </is>
      </c>
      <c r="B10" s="23">
        <f>B8+B9</f>
        <v>-1.7740000000000002</v>
      </c>
      <c r="C10" s="23">
        <f>C8+C9</f>
        <v>-16.615000000000002</v>
      </c>
      <c r="D10" s="23">
        <f>D8+D9</f>
        <v>-13.344999999999999</v>
      </c>
      <c r="E10" s="23">
        <f>E8+E9</f>
        <v>-14.559000000000001</v>
      </c>
      <c r="F10" s="23">
        <f>F8+F9</f>
        <v>-10.725</v>
      </c>
      <c r="G10" s="23">
        <f>G8+G9</f>
        <v>-7.001</v>
      </c>
      <c r="H10" s="23">
        <f>H8+H9</f>
        <v>-6.8500000000000005</v>
      </c>
      <c r="I10" s="23">
        <f>I8+I9</f>
        <v>-13.963999999999999</v>
      </c>
      <c r="J10" s="23">
        <f>J8+J9</f>
        <v>-13.697000000000001</v>
      </c>
      <c r="K10" s="23">
        <f>K8+K9</f>
        <v>0.0779999999999994</v>
      </c>
      <c r="L10" s="23">
        <f>L8+L9</f>
        <v>2.0679999999999996</v>
      </c>
      <c r="M10" s="23">
        <f>M8+M9</f>
        <v>-1.2929999999999993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-1.342</v>
      </c>
      <c r="F11" s="23" t="n">
        <v>0.08599999999999999</v>
      </c>
      <c r="G11" s="23" t="n">
        <v>0.095</v>
      </c>
      <c r="H11" s="23" t="n">
        <v>0.012</v>
      </c>
      <c r="I11" s="23" t="n">
        <v>-0.193</v>
      </c>
      <c r="J11" s="23" t="n">
        <v>-0.113</v>
      </c>
      <c r="K11" s="23" t="n">
        <v>0.09</v>
      </c>
      <c r="L11" s="23" t="n">
        <v>2.065</v>
      </c>
      <c r="M11" s="23" t="n">
        <v>-1.282</v>
      </c>
    </row>
    <row r="12">
      <c r="A12" s="2" t="inlineStr">
        <is>
          <t>Net Income</t>
        </is>
      </c>
      <c r="B12" s="23" t="n">
        <v>-1.774</v>
      </c>
      <c r="C12" s="23" t="n">
        <v>-16.615</v>
      </c>
      <c r="D12" s="23" t="n">
        <v>-13.343</v>
      </c>
      <c r="E12" s="23" t="n">
        <v>-13.218</v>
      </c>
      <c r="F12" s="23" t="n">
        <v>-10.811</v>
      </c>
      <c r="G12" s="23" t="n">
        <v>-7.097</v>
      </c>
      <c r="H12" s="23" t="n">
        <v>-6.862</v>
      </c>
      <c r="I12" s="23" t="n">
        <v>-13.771</v>
      </c>
      <c r="J12" s="23" t="n">
        <v>-13.584</v>
      </c>
      <c r="K12" s="23" t="n">
        <v>-0.013</v>
      </c>
      <c r="L12" s="23" t="n">
        <v>0.004</v>
      </c>
      <c r="M12" s="23" t="n">
        <v>-0.011</v>
      </c>
    </row>
    <row r="13">
      <c r="A13" s="2" t="inlineStr">
        <is>
          <t>Earnings per Share</t>
        </is>
      </c>
      <c r="B13" s="11">
        <f>IFERROR(B12/B14,0)</f>
        <v>-10.950617283950617</v>
      </c>
      <c r="C13" s="11">
        <f>IFERROR(C12/C14,0)</f>
        <v>-102.56172839506172</v>
      </c>
      <c r="D13" s="11">
        <f>IFERROR(D12/D14,0)</f>
        <v>-57.512931034482754</v>
      </c>
      <c r="E13" s="11">
        <f>IFERROR(E12/E14,0)</f>
        <v>-35.248</v>
      </c>
      <c r="F13" s="11">
        <f>IFERROR(F12/F14,0)</f>
        <v>-28.906417112299465</v>
      </c>
      <c r="G13" s="11">
        <f>IFERROR(G12/G14,0)</f>
        <v>-14.137450199203188</v>
      </c>
      <c r="H13" s="11">
        <f>IFERROR(H12/H14,0)</f>
        <v>-9.464827586206898</v>
      </c>
      <c r="I13" s="11">
        <f>IFERROR(I12/I14,0)</f>
        <v>-19.047026279391428</v>
      </c>
      <c r="J13" s="11">
        <f>IFERROR(J12/J14,0)</f>
        <v>-18.557377049180328</v>
      </c>
      <c r="K13" s="11">
        <f>IFERROR(K12/K14,0)</f>
        <v>-0.0241635687732342</v>
      </c>
      <c r="L13" s="11">
        <f>IFERROR(L12/L14,0)</f>
        <v>0.0009696969696969697</v>
      </c>
      <c r="M13" s="11">
        <f>IFERROR(M12/M14,0)</f>
        <v>-0.0026803118908382065</v>
      </c>
    </row>
    <row r="14">
      <c r="A14" s="2" t="inlineStr">
        <is>
          <t>Shares</t>
        </is>
      </c>
      <c r="B14" s="23" t="n">
        <v>0.162</v>
      </c>
      <c r="C14" s="23" t="n">
        <v>0.162</v>
      </c>
      <c r="D14" s="23" t="n">
        <v>0.232</v>
      </c>
      <c r="E14" s="23" t="n">
        <v>0.375</v>
      </c>
      <c r="F14" s="23" t="n">
        <v>0.374</v>
      </c>
      <c r="G14" s="23" t="n">
        <v>0.502</v>
      </c>
      <c r="H14" s="23" t="n">
        <v>0.725</v>
      </c>
      <c r="I14" s="23" t="n">
        <v>0.723</v>
      </c>
      <c r="J14" s="23" t="n">
        <v>0.732</v>
      </c>
      <c r="K14" s="23" t="n">
        <v>0.538</v>
      </c>
      <c r="L14" s="23" t="n">
        <v>4.125</v>
      </c>
      <c r="M14" s="23" t="n">
        <v>4.104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-0.3901345291479822</v>
      </c>
      <c r="F16" s="15">
        <f>IFERROR(F2/E2-1,"")</f>
        <v>3.0514705882352944</v>
      </c>
      <c r="G16" s="15">
        <f>IFERROR(G2/F2-1,"")</f>
        <v>0.6249243799153055</v>
      </c>
      <c r="H16" s="15">
        <f>IFERROR(H2/G2-1,"")</f>
        <v>-0.9955323901712584</v>
      </c>
      <c r="I16" s="15">
        <f>IFERROR(I2/H2-1,"")</f>
        <v>-1.0</v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>-1.0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>1.0</v>
      </c>
      <c r="M17" s="15">
        <f>IFERROR(M4/M2,"")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-19.95216741405082</v>
      </c>
      <c r="E18" s="15">
        <f>IFERROR(E8/E2,"")</f>
        <v>-35.68137254901961</v>
      </c>
      <c r="F18" s="15">
        <f>IFERROR(F8/F2,"")</f>
        <v>-6.560193587416817</v>
      </c>
      <c r="G18" s="15">
        <f>IFERROR(G8/G2,"")</f>
        <v>-2.64668652271035</v>
      </c>
      <c r="H18" s="15">
        <f>IFERROR(H8/H2,"")</f>
        <v>-572.4166666666667</v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>0.2815230961298377</v>
      </c>
      <c r="M18" s="15">
        <f>IFERROR(M8/M2,"")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2026-10-21T01:06:36Z</dcterms:modified>
  <cp:lastModifiedBy>Wang, Eric</cp:lastModifiedBy>
</cp:coreProperties>
</file>