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Immunome, Inc.</t>
        </is>
      </c>
      <c r="C2" s="10" t="n"/>
    </row>
    <row r="3">
      <c r="B3" t="inlineStr">
        <is>
          <t>Price</t>
        </is>
      </c>
      <c r="C3" s="11">
        <f>INDEX([1]Pharma!$F$1:$F$1000,MATCH("IMNM",[1]Pharma!$B$1:$B$1000,0))</f>
        <v>17.92</v>
      </c>
      <c r="F3" s="1" t="n"/>
    </row>
    <row r="4">
      <c r="B4" t="inlineStr">
        <is>
          <t>Shares</t>
        </is>
      </c>
      <c r="C4" s="21" t="n">
        <v>113.577629</v>
      </c>
      <c r="F4" s="1" t="n"/>
    </row>
    <row r="5">
      <c r="B5" t="inlineStr">
        <is>
          <t>Market Cap.</t>
        </is>
      </c>
      <c r="C5" s="13">
        <f>C3*C4</f>
        <v>2035.3111116800003</v>
      </c>
      <c r="F5" s="1" t="n"/>
    </row>
    <row r="6"/>
    <row r="7">
      <c r="B7" t="inlineStr">
        <is>
          <t>Cash</t>
        </is>
      </c>
      <c r="C7" s="21">
        <f>217.706+302.29</f>
        <v>519.996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1515.3151116800004</v>
      </c>
    </row>
    <row r="10"/>
    <row r="11">
      <c r="B11" s="14" t="inlineStr">
        <is>
          <t>Net Cash / Share</t>
        </is>
      </c>
      <c r="C11" s="11">
        <f>(C7-C8)/C4</f>
        <v>4.578331178228769</v>
      </c>
    </row>
    <row r="12">
      <c r="B12" s="14" t="inlineStr">
        <is>
          <t>Upside</t>
        </is>
      </c>
      <c r="C12" s="15">
        <f>IFERROR(C11/C3-1,"")</f>
        <v>-0.7445127690720553</v>
      </c>
    </row>
    <row r="13">
      <c r="B13" s="14" t="inlineStr">
        <is>
          <t>Cash / Share</t>
        </is>
      </c>
      <c r="C13" s="11">
        <f>IFERROR((C7-C8)/C4,"")</f>
        <v>4.578331178228769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-208.793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2.490485792148204</v>
      </c>
    </row>
    <row r="19">
      <c r="B19" s="14" t="inlineStr">
        <is>
          <t>Implied Pipeline Value</t>
        </is>
      </c>
      <c r="C19" s="13">
        <f>C9</f>
        <v>1515.3151116800004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14.018</v>
      </c>
      <c r="G2" s="23" t="n">
        <v>9.041</v>
      </c>
      <c r="H2" s="23" t="n">
        <v>6.941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14.018</v>
      </c>
      <c r="G4" s="23">
        <f>G2-G3</f>
        <v>9.041</v>
      </c>
      <c r="H4" s="23">
        <f>H2-H3</f>
        <v>6.941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8.823</v>
      </c>
      <c r="C5" s="23" t="n">
        <v>7.486</v>
      </c>
      <c r="D5" s="23" t="n">
        <v>14.11</v>
      </c>
      <c r="E5" s="23" t="n">
        <v>23.272</v>
      </c>
      <c r="F5" s="23" t="n">
        <v>23.089</v>
      </c>
      <c r="G5" s="23" t="n">
        <v>129.542</v>
      </c>
      <c r="H5" s="23" t="n">
        <v>177.286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1.525</v>
      </c>
      <c r="C6" s="23" t="n">
        <v>4.775</v>
      </c>
      <c r="D6" s="23" t="n">
        <v>11.094</v>
      </c>
      <c r="E6" s="23" t="n">
        <v>13.629</v>
      </c>
      <c r="F6" s="23" t="n">
        <v>100.459</v>
      </c>
      <c r="G6" s="23" t="n">
        <v>185.299</v>
      </c>
      <c r="H6" s="23" t="n">
        <v>53.768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10.348</v>
      </c>
      <c r="C7" s="23">
        <f>SUM(C5:C6)</f>
        <v>12.261</v>
      </c>
      <c r="D7" s="23">
        <f>SUM(D5:D6)</f>
        <v>25.204</v>
      </c>
      <c r="E7" s="23">
        <f>SUM(E5:E6)</f>
        <v>36.900999999999996</v>
      </c>
      <c r="F7" s="23">
        <f>SUM(F5:F6)</f>
        <v>123.548</v>
      </c>
      <c r="G7" s="23">
        <f>SUM(G5:G6)</f>
        <v>314.841</v>
      </c>
      <c r="H7" s="23">
        <f>SUM(H5:H6)</f>
        <v>231.054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-10.348</v>
      </c>
      <c r="C8" s="23">
        <f>C4-C7</f>
        <v>-12.261</v>
      </c>
      <c r="D8" s="23">
        <f>D4-D7</f>
        <v>-25.204</v>
      </c>
      <c r="E8" s="23">
        <f>E4-E7</f>
        <v>-36.900999999999996</v>
      </c>
      <c r="F8" s="23">
        <f>F4-F7</f>
        <v>-109.53</v>
      </c>
      <c r="G8" s="23">
        <f>G4-G7</f>
        <v>-305.8</v>
      </c>
      <c r="H8" s="23">
        <f>H4-H7</f>
        <v>-224.113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-0.096</v>
      </c>
      <c r="C9" s="23" t="n">
        <v>-5.576</v>
      </c>
      <c r="D9" s="23" t="n">
        <v>0.493</v>
      </c>
      <c r="E9" s="23" t="n">
        <v>0.005</v>
      </c>
      <c r="F9" s="23" t="n">
        <v>2.724</v>
      </c>
      <c r="G9" s="23" t="n">
        <v>12.837</v>
      </c>
      <c r="H9" s="23" t="n">
        <v>11.719</v>
      </c>
    </row>
    <row r="10">
      <c r="A10" s="2" t="inlineStr">
        <is>
          <t>Pretax</t>
        </is>
      </c>
      <c r="B10" s="23">
        <f>B8+B9</f>
        <v>-10.444</v>
      </c>
      <c r="C10" s="23">
        <f>C8+C9</f>
        <v>-17.837</v>
      </c>
      <c r="D10" s="23">
        <f>D8+D9</f>
        <v>-24.711000000000002</v>
      </c>
      <c r="E10" s="23">
        <f>E8+E9</f>
        <v>-36.895999999999994</v>
      </c>
      <c r="F10" s="23">
        <f>F8+F9</f>
        <v>-106.806</v>
      </c>
      <c r="G10" s="23">
        <f>G8+G9</f>
        <v>-292.963</v>
      </c>
      <c r="H10" s="23">
        <f>H8+H9</f>
        <v>-212.394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-10.444</v>
      </c>
      <c r="C12" s="23" t="n">
        <v>-17.837</v>
      </c>
      <c r="D12" s="23" t="n">
        <v>-24.711</v>
      </c>
      <c r="E12" s="23" t="n">
        <v>-36.896</v>
      </c>
      <c r="F12" s="23" t="n">
        <v>-106.806</v>
      </c>
      <c r="G12" s="23" t="n">
        <v>-292.963</v>
      </c>
      <c r="H12" s="23" t="n">
        <v>-212.394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-3.1822059719683122</v>
      </c>
      <c r="C13" s="11">
        <f>IFERROR(C12/C14,0)</f>
        <v>-1.7540564460615595</v>
      </c>
      <c r="D13" s="11">
        <f>IFERROR(D12/D14,0)</f>
        <v>-0.7138606424774671</v>
      </c>
      <c r="E13" s="11">
        <f>IFERROR(E12/E14,0)</f>
        <v>-1.0141836173721825</v>
      </c>
      <c r="F13" s="11">
        <f>IFERROR(F12/F14,0)</f>
        <v>-1.7941240698123666</v>
      </c>
      <c r="G13" s="11">
        <f>IFERROR(G12/G14,0)</f>
        <v>-4.996043588737871</v>
      </c>
      <c r="H13" s="11">
        <f>IFERROR(H12/H14,0)</f>
        <v>-2.4315004979908643</v>
      </c>
    </row>
    <row r="14">
      <c r="A14" s="2" t="inlineStr">
        <is>
          <t>Shares</t>
        </is>
      </c>
      <c r="B14" s="23" t="n">
        <v>3.282</v>
      </c>
      <c r="C14" s="23" t="n">
        <v>10.169</v>
      </c>
      <c r="D14" s="23" t="n">
        <v>34.616</v>
      </c>
      <c r="E14" s="23" t="n">
        <v>36.38</v>
      </c>
      <c r="F14" s="23" t="n">
        <v>59.531</v>
      </c>
      <c r="G14" s="23" t="n">
        <v>58.639</v>
      </c>
      <c r="H14" s="23" t="n">
        <v>87.351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-0.35504351548009705</v>
      </c>
      <c r="H16" s="15">
        <f>IFERROR(H2/G2-1,"")</f>
        <v>-0.23227519079747816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-7.813525467256384</v>
      </c>
      <c r="G18" s="15">
        <f>IFERROR(G8/G2,"")</f>
        <v>-33.823692069461345</v>
      </c>
      <c r="H18" s="15">
        <f>IFERROR(H8/H2,"")</f>
        <v>-32.28828699034721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2026-10-21T01:04:29Z</dcterms:modified>
  <cp:lastModifiedBy>Wang, Eric</cp:lastModifiedBy>
</cp:coreProperties>
</file>