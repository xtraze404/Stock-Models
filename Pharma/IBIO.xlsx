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iBio Inc</t>
        </is>
      </c>
      <c r="C2" s="10" t="n"/>
    </row>
    <row r="3">
      <c r="B3" t="inlineStr">
        <is>
          <t>Price</t>
        </is>
      </c>
      <c r="C3" s="11">
        <f>INDEX([1]Pharma!$F$1:$F$1000,MATCH("IBIO",[1]Pharma!$B$1:$B$1000,0))</f>
        <v>0.821</v>
      </c>
      <c r="F3" s="1" t="n"/>
    </row>
    <row r="4">
      <c r="B4" t="inlineStr">
        <is>
          <t>Shares</t>
        </is>
      </c>
      <c r="C4" s="21" t="n">
        <v>64.307256</v>
      </c>
      <c r="F4" s="1" t="n"/>
    </row>
    <row r="5">
      <c r="B5" t="inlineStr">
        <is>
          <t>Market Cap.</t>
        </is>
      </c>
      <c r="C5" s="13">
        <f>C3*C4</f>
        <v>52.79625717599999</v>
      </c>
      <c r="F5" s="1" t="n"/>
    </row>
    <row r="6"/>
    <row r="7">
      <c r="B7" t="inlineStr">
        <is>
          <t>Cash</t>
        </is>
      </c>
      <c r="C7" s="21">
        <f>56.395+31.644</f>
        <v>88.039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-35.24274282400001</v>
      </c>
    </row>
    <row r="10"/>
    <row r="11">
      <c r="B11" s="14" t="inlineStr">
        <is>
          <t>Net Cash / Share</t>
        </is>
      </c>
      <c r="C11" s="11">
        <f>(C7-C8)/C4</f>
        <v>1.3690368004506366</v>
      </c>
    </row>
    <row r="12">
      <c r="B12" s="14" t="inlineStr">
        <is>
          <t>Upside</t>
        </is>
      </c>
      <c r="C12" s="15">
        <f>IFERROR(C11/C3-1,"")</f>
        <v>0.6675235084660618</v>
      </c>
    </row>
    <row r="13">
      <c r="B13" s="14" t="inlineStr">
        <is>
          <t>Cash / Share</t>
        </is>
      </c>
      <c r="C13" s="11">
        <f>IFERROR((C7-C8)/C4,"")</f>
        <v>1.3690368004506366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-23.218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3.7918425359634766</v>
      </c>
    </row>
    <row r="19">
      <c r="B19" s="14" t="inlineStr">
        <is>
          <t>Implied Pipeline Value</t>
        </is>
      </c>
      <c r="C19" s="13">
        <f>C9</f>
        <v>-35.24274282400001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17" t="n">
        <v>2026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0.52</v>
      </c>
      <c r="C2" s="23" t="n">
        <v>1.277</v>
      </c>
      <c r="D2" s="23" t="n">
        <v>1.007</v>
      </c>
      <c r="E2" s="23" t="n">
        <v>0.205</v>
      </c>
      <c r="F2" s="23" t="n">
        <v>1.851</v>
      </c>
      <c r="G2" s="23" t="n">
        <v>0.948</v>
      </c>
      <c r="H2" s="23" t="n">
        <v>0.394</v>
      </c>
      <c r="I2" s="23" t="n">
        <v>0.444</v>
      </c>
      <c r="J2" s="23" t="n">
        <v>2.018</v>
      </c>
      <c r="K2" s="23" t="n">
        <v>1.638</v>
      </c>
      <c r="L2" s="23" t="n">
        <v>2.371</v>
      </c>
      <c r="M2" s="23" t="n">
        <v>1.884</v>
      </c>
      <c r="N2" s="23" t="n">
        <v>0</v>
      </c>
      <c r="O2" s="23" t="n">
        <v>0.225</v>
      </c>
      <c r="P2" s="23" t="n">
        <v>0.4</v>
      </c>
      <c r="Q2" s="23" t="n">
        <v>0.1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0.703</v>
      </c>
      <c r="L3" s="23" t="n">
        <v>1.462</v>
      </c>
      <c r="M3" s="23" t="n">
        <v>0.216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0.52</v>
      </c>
      <c r="C4" s="23">
        <f>C2-C3</f>
        <v>1.277</v>
      </c>
      <c r="D4" s="23">
        <f>D2-D3</f>
        <v>1.007</v>
      </c>
      <c r="E4" s="23">
        <f>E2-E3</f>
        <v>0.205</v>
      </c>
      <c r="F4" s="23">
        <f>F2-F3</f>
        <v>1.851</v>
      </c>
      <c r="G4" s="23">
        <f>G2-G3</f>
        <v>0.948</v>
      </c>
      <c r="H4" s="23">
        <f>H2-H3</f>
        <v>0.394</v>
      </c>
      <c r="I4" s="23">
        <f>I2-I3</f>
        <v>0.444</v>
      </c>
      <c r="J4" s="23">
        <f>J2-J3</f>
        <v>2.018</v>
      </c>
      <c r="K4" s="23">
        <f>K2-K3</f>
        <v>0.9349999999999999</v>
      </c>
      <c r="L4" s="23">
        <f>L2-L3</f>
        <v>0.909</v>
      </c>
      <c r="M4" s="23">
        <f>M2-M3</f>
        <v>1.668</v>
      </c>
      <c r="N4" s="23">
        <f>N2-N3</f>
        <v>0.0</v>
      </c>
      <c r="O4" s="23">
        <f>O2-O3</f>
        <v>0.225</v>
      </c>
      <c r="P4" s="23">
        <f>P2-P3</f>
        <v>0.4</v>
      </c>
      <c r="Q4" s="23">
        <f>Q2-Q3</f>
        <v>0.1</v>
      </c>
    </row>
    <row r="5">
      <c r="A5" s="2" t="inlineStr">
        <is>
          <t>Research &amp; Dev.</t>
        </is>
      </c>
      <c r="B5" s="23" t="n">
        <v>3.084</v>
      </c>
      <c r="C5" s="23" t="n">
        <v>4.981</v>
      </c>
      <c r="D5" s="23" t="n">
        <v>3.431</v>
      </c>
      <c r="E5" s="23" t="n">
        <v>1.898</v>
      </c>
      <c r="F5" s="23" t="n">
        <v>3.495</v>
      </c>
      <c r="G5" s="23" t="n">
        <v>3.156</v>
      </c>
      <c r="H5" s="23" t="n">
        <v>4.117</v>
      </c>
      <c r="I5" s="23" t="n">
        <v>3.986</v>
      </c>
      <c r="J5" s="23" t="n">
        <v>5.474</v>
      </c>
      <c r="K5" s="23" t="n">
        <v>3.573</v>
      </c>
      <c r="L5" s="23" t="n">
        <v>9.989000000000001</v>
      </c>
      <c r="M5" s="23" t="n">
        <v>9.827</v>
      </c>
      <c r="N5" s="23" t="n">
        <v>10.327</v>
      </c>
      <c r="O5" s="23" t="n">
        <v>5.185</v>
      </c>
      <c r="P5" s="23" t="n">
        <v>8.311999999999999</v>
      </c>
      <c r="Q5" s="23" t="n">
        <v>19.643</v>
      </c>
    </row>
    <row r="6">
      <c r="A6" s="19" t="inlineStr">
        <is>
          <t>SG&amp;A &amp; Other</t>
        </is>
      </c>
      <c r="B6" s="23" t="n">
        <v>7.091</v>
      </c>
      <c r="C6" s="23" t="n">
        <v>5.623</v>
      </c>
      <c r="D6" s="23" t="n">
        <v>4.243</v>
      </c>
      <c r="E6" s="23" t="n">
        <v>2.147</v>
      </c>
      <c r="F6" s="23" t="n">
        <v>5.022</v>
      </c>
      <c r="G6" s="23" t="n">
        <v>7.685</v>
      </c>
      <c r="H6" s="23" t="n">
        <v>10.551</v>
      </c>
      <c r="I6" s="23" t="n">
        <v>10.685</v>
      </c>
      <c r="J6" s="23" t="n">
        <v>12.332</v>
      </c>
      <c r="K6" s="23" t="n">
        <v>11.365</v>
      </c>
      <c r="L6" s="23" t="n">
        <v>22.031</v>
      </c>
      <c r="M6" s="23" t="n">
        <v>21.538</v>
      </c>
      <c r="N6" s="23" t="n">
        <v>19.016</v>
      </c>
      <c r="O6" s="23" t="n">
        <v>11.674</v>
      </c>
      <c r="P6" s="23" t="n">
        <v>10.69</v>
      </c>
      <c r="Q6" s="23" t="n">
        <v>15.598</v>
      </c>
    </row>
    <row r="7">
      <c r="A7" s="2" t="inlineStr">
        <is>
          <t>Operating Expense</t>
        </is>
      </c>
      <c r="B7" s="23">
        <f>SUM(B5:B6)</f>
        <v>10.175</v>
      </c>
      <c r="C7" s="23">
        <f>SUM(C5:C6)</f>
        <v>10.604</v>
      </c>
      <c r="D7" s="23">
        <f>SUM(D5:D6)</f>
        <v>7.674</v>
      </c>
      <c r="E7" s="23">
        <f>SUM(E5:E6)</f>
        <v>4.045</v>
      </c>
      <c r="F7" s="23">
        <f>SUM(F5:F6)</f>
        <v>8.517</v>
      </c>
      <c r="G7" s="23">
        <f>SUM(G5:G6)</f>
        <v>10.841</v>
      </c>
      <c r="H7" s="23">
        <f>SUM(H5:H6)</f>
        <v>14.668</v>
      </c>
      <c r="I7" s="23">
        <f>SUM(I5:I6)</f>
        <v>14.671000000000001</v>
      </c>
      <c r="J7" s="23">
        <f>SUM(J5:J6)</f>
        <v>17.806</v>
      </c>
      <c r="K7" s="23">
        <f>SUM(K5:K6)</f>
        <v>14.938</v>
      </c>
      <c r="L7" s="23">
        <f>SUM(L5:L6)</f>
        <v>32.019999999999996</v>
      </c>
      <c r="M7" s="23">
        <f>SUM(M5:M6)</f>
        <v>31.365000000000002</v>
      </c>
      <c r="N7" s="23">
        <f>SUM(N5:N6)</f>
        <v>29.342999999999996</v>
      </c>
      <c r="O7" s="23">
        <f>SUM(O5:O6)</f>
        <v>16.858999999999998</v>
      </c>
      <c r="P7" s="23">
        <f>SUM(P5:P6)</f>
        <v>19.002</v>
      </c>
      <c r="Q7" s="23">
        <f>SUM(Q5:Q6)</f>
        <v>35.241</v>
      </c>
    </row>
    <row r="8">
      <c r="A8" s="2" t="inlineStr">
        <is>
          <t>Operating Income</t>
        </is>
      </c>
      <c r="B8" s="23">
        <f>B4-B7</f>
        <v>-9.655000000000001</v>
      </c>
      <c r="C8" s="23">
        <f>C4-C7</f>
        <v>-9.327</v>
      </c>
      <c r="D8" s="23">
        <f>D4-D7</f>
        <v>-6.667000000000001</v>
      </c>
      <c r="E8" s="23">
        <f>E4-E7</f>
        <v>-3.84</v>
      </c>
      <c r="F8" s="23">
        <f>F4-F7</f>
        <v>-6.6659999999999995</v>
      </c>
      <c r="G8" s="23">
        <f>G4-G7</f>
        <v>-9.892999999999999</v>
      </c>
      <c r="H8" s="23">
        <f>H4-H7</f>
        <v>-14.274</v>
      </c>
      <c r="I8" s="23">
        <f>I4-I7</f>
        <v>-14.227</v>
      </c>
      <c r="J8" s="23">
        <f>J4-J7</f>
        <v>-15.788</v>
      </c>
      <c r="K8" s="23">
        <f>K4-K7</f>
        <v>-14.003</v>
      </c>
      <c r="L8" s="23">
        <f>L4-L7</f>
        <v>-31.110999999999997</v>
      </c>
      <c r="M8" s="23">
        <f>M4-M7</f>
        <v>-29.697000000000003</v>
      </c>
      <c r="N8" s="23">
        <f>N4-N7</f>
        <v>-29.342999999999996</v>
      </c>
      <c r="O8" s="23">
        <f>O4-O7</f>
        <v>-16.633999999999997</v>
      </c>
      <c r="P8" s="23">
        <f>P4-P7</f>
        <v>-18.602</v>
      </c>
      <c r="Q8" s="23">
        <f>Q4-Q7</f>
        <v>-35.141</v>
      </c>
    </row>
    <row r="9">
      <c r="A9" s="19" t="inlineStr">
        <is>
          <t>Interest &amp; Other</t>
        </is>
      </c>
      <c r="B9" s="23" t="n">
        <v>-2.488</v>
      </c>
      <c r="C9" s="23" t="n">
        <v>3.651</v>
      </c>
      <c r="D9" s="23" t="n">
        <v>0.469</v>
      </c>
      <c r="E9" s="23" t="n">
        <v>0.174</v>
      </c>
      <c r="F9" s="23" t="n">
        <v>0.041</v>
      </c>
      <c r="G9" s="23" t="n">
        <v>0.129</v>
      </c>
      <c r="H9" s="23" t="n">
        <v>-0.258</v>
      </c>
      <c r="I9" s="23" t="n">
        <v>-1.878</v>
      </c>
      <c r="J9" s="23" t="n">
        <v>-1.805</v>
      </c>
      <c r="K9" s="23" t="n">
        <v>-2.436</v>
      </c>
      <c r="L9" s="23" t="n">
        <v>7.904</v>
      </c>
      <c r="M9" s="23" t="n">
        <v>-20.606</v>
      </c>
      <c r="N9" s="23" t="n">
        <v>-35.667</v>
      </c>
      <c r="O9" s="23" t="n">
        <v>-8.276</v>
      </c>
      <c r="P9" s="23" t="n">
        <v>0.222</v>
      </c>
      <c r="Q9" s="23" t="n">
        <v>2.301</v>
      </c>
    </row>
    <row r="10">
      <c r="A10" s="2" t="inlineStr">
        <is>
          <t>Pretax</t>
        </is>
      </c>
      <c r="B10" s="23">
        <f>B8+B9</f>
        <v>-12.143</v>
      </c>
      <c r="C10" s="23">
        <f>C8+C9</f>
        <v>-5.676</v>
      </c>
      <c r="D10" s="23">
        <f>D8+D9</f>
        <v>-6.198</v>
      </c>
      <c r="E10" s="23">
        <f>E8+E9</f>
        <v>-3.666</v>
      </c>
      <c r="F10" s="23">
        <f>F8+F9</f>
        <v>-6.624999999999999</v>
      </c>
      <c r="G10" s="23">
        <f>G8+G9</f>
        <v>-9.764</v>
      </c>
      <c r="H10" s="23">
        <f>H8+H9</f>
        <v>-14.532</v>
      </c>
      <c r="I10" s="23">
        <f>I8+I9</f>
        <v>-16.105</v>
      </c>
      <c r="J10" s="23">
        <f>J8+J9</f>
        <v>-17.593</v>
      </c>
      <c r="K10" s="23">
        <f>K8+K9</f>
        <v>-16.439</v>
      </c>
      <c r="L10" s="23">
        <f>L8+L9</f>
        <v>-23.206999999999997</v>
      </c>
      <c r="M10" s="23">
        <f>M8+M9</f>
        <v>-50.303000000000004</v>
      </c>
      <c r="N10" s="23">
        <f>N8+N9</f>
        <v>-65.00999999999999</v>
      </c>
      <c r="O10" s="23">
        <f>O8+O9</f>
        <v>-24.909999999999997</v>
      </c>
      <c r="P10" s="23">
        <f>P8+P9</f>
        <v>-18.38</v>
      </c>
      <c r="Q10" s="23">
        <f>Q8+Q9</f>
        <v>-32.839999999999996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-12.142</v>
      </c>
      <c r="C12" s="23" t="n">
        <v>-5.676</v>
      </c>
      <c r="D12" s="23" t="n">
        <v>-6.198</v>
      </c>
      <c r="E12" s="23" t="n">
        <v>-3.666</v>
      </c>
      <c r="F12" s="23" t="n">
        <v>-6.625</v>
      </c>
      <c r="G12" s="23" t="n">
        <v>-9.763999999999999</v>
      </c>
      <c r="H12" s="23" t="n">
        <v>-14.532</v>
      </c>
      <c r="I12" s="23" t="n">
        <v>-16.105</v>
      </c>
      <c r="J12" s="23" t="n">
        <v>-17.593</v>
      </c>
      <c r="K12" s="23" t="n">
        <v>-16.439</v>
      </c>
      <c r="L12" s="23" t="n">
        <v>-23.207</v>
      </c>
      <c r="M12" s="23" t="n">
        <v>-50.303</v>
      </c>
      <c r="N12" s="23" t="n">
        <v>-65.01000000000001</v>
      </c>
      <c r="O12" s="23" t="n">
        <v>-24.91</v>
      </c>
      <c r="P12" s="23" t="n">
        <v>-18.38</v>
      </c>
      <c r="Q12" s="23" t="n">
        <v>-32.84</v>
      </c>
    </row>
    <row r="13">
      <c r="A13" s="2" t="inlineStr">
        <is>
          <t>Earnings per Share</t>
        </is>
      </c>
      <c r="B13" s="11">
        <f>IFERROR(B12/B14,0)</f>
        <v>-39.55048859934853</v>
      </c>
      <c r="C13" s="11">
        <f>IFERROR(C12/C14,0)</f>
        <v>-14.479591836734693</v>
      </c>
      <c r="D13" s="11">
        <f>IFERROR(D12/D14,0)</f>
        <v>-12.648979591836735</v>
      </c>
      <c r="E13" s="11">
        <f>IFERROR(E12/E14,0)</f>
        <v>-5.8656</v>
      </c>
      <c r="F13" s="11">
        <f>IFERROR(F12/F14,0)</f>
        <v>-9.344146685472497</v>
      </c>
      <c r="G13" s="11">
        <f>IFERROR(G12/G14,0)</f>
        <v>-12.159402241594021</v>
      </c>
      <c r="H13" s="11">
        <f>IFERROR(H12/H14,0)</f>
        <v>-18.256281407035175</v>
      </c>
      <c r="I13" s="11">
        <f>IFERROR(I12/I14,0)</f>
        <v>-16.970495258166494</v>
      </c>
      <c r="J13" s="11">
        <f>IFERROR(J12/J14,0)</f>
        <v>-10.410059171597634</v>
      </c>
      <c r="K13" s="11">
        <f>IFERROR(K12/K14,0)</f>
        <v>-2.9318708756911005</v>
      </c>
      <c r="L13" s="11">
        <f>IFERROR(L12/L14,0)</f>
        <v>-4.152263374485597</v>
      </c>
      <c r="M13" s="11">
        <f>IFERROR(M12/M14,0)</f>
        <v>-8.075614063252528</v>
      </c>
      <c r="N13" s="11">
        <f>IFERROR(N12/N14,0)</f>
        <v>-10.622549019607844</v>
      </c>
      <c r="O13" s="11">
        <f>IFERROR(O12/O14,0)</f>
        <v>-0.650221874184286</v>
      </c>
      <c r="P13" s="11">
        <f>IFERROR(P12/P14,0)</f>
        <v>-0.17506429183731784</v>
      </c>
      <c r="Q13" s="11">
        <f>IFERROR(Q12/Q14,0)</f>
        <v>-0.31558716125312325</v>
      </c>
    </row>
    <row r="14">
      <c r="A14" s="2" t="inlineStr">
        <is>
          <t>Shares</t>
        </is>
      </c>
      <c r="B14" s="23" t="n">
        <v>0.307</v>
      </c>
      <c r="C14" s="23" t="n">
        <v>0.392</v>
      </c>
      <c r="D14" s="23" t="n">
        <v>0.49</v>
      </c>
      <c r="E14" s="23" t="n">
        <v>0.625</v>
      </c>
      <c r="F14" s="23" t="n">
        <v>0.709</v>
      </c>
      <c r="G14" s="23" t="n">
        <v>0.803</v>
      </c>
      <c r="H14" s="23" t="n">
        <v>0.796</v>
      </c>
      <c r="I14" s="23" t="n">
        <v>0.949</v>
      </c>
      <c r="J14" s="23" t="n">
        <v>1.69</v>
      </c>
      <c r="K14" s="23" t="n">
        <v>5.607</v>
      </c>
      <c r="L14" s="23" t="n">
        <v>5.589</v>
      </c>
      <c r="M14" s="23" t="n">
        <v>6.229</v>
      </c>
      <c r="N14" s="23" t="n">
        <v>6.12</v>
      </c>
      <c r="O14" s="23" t="n">
        <v>38.31</v>
      </c>
      <c r="P14" s="23" t="n">
        <v>104.99</v>
      </c>
      <c r="Q14" s="23" t="n">
        <v>104.06</v>
      </c>
    </row>
    <row r="15"/>
    <row r="16" customFormat="1" s="4">
      <c r="A16" s="3" t="inlineStr">
        <is>
          <t>Revenue Change</t>
        </is>
      </c>
      <c r="C16" s="15">
        <f>IFERROR(C2/B2-1,"")</f>
        <v>1.4557692307692305</v>
      </c>
      <c r="D16" s="15">
        <f>IFERROR(D2/C2-1,"")</f>
        <v>-0.21143304620203607</v>
      </c>
      <c r="E16" s="15">
        <f>IFERROR(E2/D2-1,"")</f>
        <v>-0.7964250248262165</v>
      </c>
      <c r="F16" s="15">
        <f>IFERROR(F2/E2-1,"")</f>
        <v>8.029268292682927</v>
      </c>
      <c r="G16" s="15">
        <f>IFERROR(G2/F2-1,"")</f>
        <v>-0.4878444084278768</v>
      </c>
      <c r="H16" s="15">
        <f>IFERROR(H2/G2-1,"")</f>
        <v>-0.5843881856540084</v>
      </c>
      <c r="I16" s="15">
        <f>IFERROR(I2/H2-1,"")</f>
        <v>0.12690355329949243</v>
      </c>
      <c r="J16" s="15">
        <f>IFERROR(J2/I2-1,"")</f>
        <v>3.545045045045044</v>
      </c>
      <c r="K16" s="15">
        <f>IFERROR(K2/J2-1,"")</f>
        <v>-0.18830525272547072</v>
      </c>
      <c r="L16" s="15">
        <f>IFERROR(L2/K2-1,"")</f>
        <v>0.4474969474969477</v>
      </c>
      <c r="M16" s="15">
        <f>IFERROR(M2/L2-1,"")</f>
        <v>-0.20539856600590467</v>
      </c>
      <c r="N16" s="15">
        <f>IFERROR(N2/M2-1,"")</f>
        <v>-1.0</v>
      </c>
      <c r="O16" s="15">
        <f>IFERROR(O2/N2-1,"")</f>
        <v/>
      </c>
      <c r="P16" s="15">
        <f>IFERROR(P2/O2-1,"")</f>
        <v>0.7777777777777779</v>
      </c>
      <c r="Q16" s="15">
        <f>IFERROR(Q2/P2-1,"")</f>
        <v>-0.75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0.5708180708180708</v>
      </c>
      <c r="L17" s="15">
        <f>IFERROR(L4/L2,"")</f>
        <v>0.3833825390130747</v>
      </c>
      <c r="M17" s="15">
        <f>IFERROR(M4/M2,"")</f>
        <v>0.8853503184713376</v>
      </c>
      <c r="N17" s="15">
        <f>IFERROR(N4/N2,"")</f>
        <v/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</row>
    <row r="18">
      <c r="A18" s="14" t="inlineStr">
        <is>
          <t>Operating Margin</t>
        </is>
      </c>
      <c r="B18" s="15">
        <f>IFERROR(B8/B2,"")</f>
        <v>-18.567307692307693</v>
      </c>
      <c r="C18" s="15">
        <f>IFERROR(C8/C2,"")</f>
        <v>-7.303837118245889</v>
      </c>
      <c r="D18" s="15">
        <f>IFERROR(D8/D2,"")</f>
        <v>-6.620655412115195</v>
      </c>
      <c r="E18" s="15">
        <f>IFERROR(E8/E2,"")</f>
        <v>-18.73170731707317</v>
      </c>
      <c r="F18" s="15">
        <f>IFERROR(F8/F2,"")</f>
        <v>-3.6012965964343597</v>
      </c>
      <c r="G18" s="15">
        <f>IFERROR(G8/G2,"")</f>
        <v>-10.435654008438817</v>
      </c>
      <c r="H18" s="15">
        <f>IFERROR(H8/H2,"")</f>
        <v>-36.22842639593908</v>
      </c>
      <c r="I18" s="15">
        <f>IFERROR(I8/I2,"")</f>
        <v>-32.042792792792795</v>
      </c>
      <c r="J18" s="15">
        <f>IFERROR(J8/J2,"")</f>
        <v>-7.82358771060456</v>
      </c>
      <c r="K18" s="15">
        <f>IFERROR(K8/K2,"")</f>
        <v>-8.548840048840049</v>
      </c>
      <c r="L18" s="15">
        <f>IFERROR(L8/L2,"")</f>
        <v>-13.121467735132853</v>
      </c>
      <c r="M18" s="15">
        <f>IFERROR(M8/M2,"")</f>
        <v>-15.762738853503187</v>
      </c>
      <c r="N18" s="15">
        <f>IFERROR(N8/N2,"")</f>
        <v/>
      </c>
      <c r="O18" s="15">
        <f>IFERROR(O8/O2,"")</f>
        <v>-73.92888888888888</v>
      </c>
      <c r="P18" s="15">
        <f>IFERROR(P8/P2,"")</f>
        <v>-46.504999999999995</v>
      </c>
      <c r="Q18" s="15">
        <f>IFERROR(Q8/Q2,"")</f>
        <v>-351.40999999999997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2026-10-21T01:06:12Z</dcterms:modified>
  <cp:lastModifiedBy>Wang, Eric</cp:lastModifiedBy>
</cp:coreProperties>
</file>