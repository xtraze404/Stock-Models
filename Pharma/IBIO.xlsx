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iBio Inc</t>
        </is>
      </c>
      <c r="C2" s="10" t="n"/>
    </row>
    <row r="3">
      <c r="B3" t="inlineStr">
        <is>
          <t>Price</t>
        </is>
      </c>
      <c r="C3" s="11">
        <f>INDEX([1]Pharma!$F$1:$F$1000,MATCH("IBIO",[1]Pharma!$B$1:$B$1000,0))</f>
        <v>0.821</v>
      </c>
      <c r="F3" s="1" t="n"/>
    </row>
    <row r="4">
      <c r="B4" t="inlineStr">
        <is>
          <t>Shares</t>
        </is>
      </c>
      <c r="C4" s="21" t="n">
        <v>64.307256</v>
      </c>
      <c r="F4" s="1" t="n"/>
    </row>
    <row r="5">
      <c r="B5" t="inlineStr">
        <is>
          <t>Market Cap.</t>
        </is>
      </c>
      <c r="C5" s="13">
        <f>C3*C4</f>
        <v>52.79625717599999</v>
      </c>
      <c r="F5" s="1" t="n"/>
    </row>
    <row r="6"/>
    <row r="7">
      <c r="B7" t="inlineStr">
        <is>
          <t>Cash</t>
        </is>
      </c>
      <c r="C7" s="21">
        <f>56.395+31.644</f>
        <v>88.039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-35.24274282400001</v>
      </c>
    </row>
    <row r="10"/>
    <row r="11">
      <c r="B11" s="14" t="inlineStr">
        <is>
          <t>rNPV / Share</t>
        </is>
      </c>
      <c r="C11" s="11">
        <f>NPV!B27</f>
        <v>3.9915925007325344</v>
      </c>
    </row>
    <row r="12">
      <c r="B12" s="14" t="inlineStr">
        <is>
          <t>Upside</t>
        </is>
      </c>
      <c r="C12" s="15">
        <f>IFERROR(C11/C3-1,"")</f>
        <v>3.8618666269580206</v>
      </c>
    </row>
    <row r="13">
      <c r="B13" s="14" t="inlineStr">
        <is>
          <t>Cash / Share</t>
        </is>
      </c>
      <c r="C13" s="11">
        <f>IFERROR((C7-C8)/C4,"")</f>
        <v>1.3690368004506366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-23.218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3.7918425359634766</v>
      </c>
    </row>
    <row r="19">
      <c r="B19" s="14" t="inlineStr">
        <is>
          <t>Implied Pipeline Value</t>
        </is>
      </c>
      <c r="C19" s="13">
        <f>C9</f>
        <v>-35.24274282400001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17" t="n">
        <v>2026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0.52</v>
      </c>
      <c r="C2" s="23" t="n">
        <v>1.277</v>
      </c>
      <c r="D2" s="23" t="n">
        <v>1.007</v>
      </c>
      <c r="E2" s="23" t="n">
        <v>0.205</v>
      </c>
      <c r="F2" s="23" t="n">
        <v>1.851</v>
      </c>
      <c r="G2" s="23" t="n">
        <v>0.948</v>
      </c>
      <c r="H2" s="23" t="n">
        <v>0.394</v>
      </c>
      <c r="I2" s="23" t="n">
        <v>0.444</v>
      </c>
      <c r="J2" s="23" t="n">
        <v>2.018</v>
      </c>
      <c r="K2" s="23" t="n">
        <v>1.638</v>
      </c>
      <c r="L2" s="23" t="n">
        <v>2.371</v>
      </c>
      <c r="M2" s="23" t="n">
        <v>1.884</v>
      </c>
      <c r="N2" s="23" t="n">
        <v>0</v>
      </c>
      <c r="O2" s="23" t="n">
        <v>0.225</v>
      </c>
      <c r="P2" s="23" t="n">
        <v>0.4</v>
      </c>
      <c r="Q2" s="23" t="n">
        <v>0.1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0.703</v>
      </c>
      <c r="L3" s="23" t="n">
        <v>1.462</v>
      </c>
      <c r="M3" s="23" t="n">
        <v>0.216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0.52</v>
      </c>
      <c r="C4" s="23">
        <f>C2-C3</f>
        <v>1.277</v>
      </c>
      <c r="D4" s="23">
        <f>D2-D3</f>
        <v>1.007</v>
      </c>
      <c r="E4" s="23">
        <f>E2-E3</f>
        <v>0.205</v>
      </c>
      <c r="F4" s="23">
        <f>F2-F3</f>
        <v>1.851</v>
      </c>
      <c r="G4" s="23">
        <f>G2-G3</f>
        <v>0.948</v>
      </c>
      <c r="H4" s="23">
        <f>H2-H3</f>
        <v>0.394</v>
      </c>
      <c r="I4" s="23">
        <f>I2-I3</f>
        <v>0.444</v>
      </c>
      <c r="J4" s="23">
        <f>J2-J3</f>
        <v>2.018</v>
      </c>
      <c r="K4" s="23">
        <f>K2-K3</f>
        <v>0.9349999999999999</v>
      </c>
      <c r="L4" s="23">
        <f>L2-L3</f>
        <v>0.909</v>
      </c>
      <c r="M4" s="23">
        <f>M2-M3</f>
        <v>1.668</v>
      </c>
      <c r="N4" s="23">
        <f>N2-N3</f>
        <v>0.0</v>
      </c>
      <c r="O4" s="23">
        <f>O2-O3</f>
        <v>0.225</v>
      </c>
      <c r="P4" s="23">
        <f>P2-P3</f>
        <v>0.4</v>
      </c>
      <c r="Q4" s="23">
        <f>Q2-Q3</f>
        <v>0.1</v>
      </c>
    </row>
    <row r="5">
      <c r="A5" s="2" t="inlineStr">
        <is>
          <t>Research &amp; Dev.</t>
        </is>
      </c>
      <c r="B5" s="23" t="n">
        <v>3.084</v>
      </c>
      <c r="C5" s="23" t="n">
        <v>4.981</v>
      </c>
      <c r="D5" s="23" t="n">
        <v>3.431</v>
      </c>
      <c r="E5" s="23" t="n">
        <v>1.898</v>
      </c>
      <c r="F5" s="23" t="n">
        <v>3.495</v>
      </c>
      <c r="G5" s="23" t="n">
        <v>3.156</v>
      </c>
      <c r="H5" s="23" t="n">
        <v>4.117</v>
      </c>
      <c r="I5" s="23" t="n">
        <v>3.986</v>
      </c>
      <c r="J5" s="23" t="n">
        <v>5.474</v>
      </c>
      <c r="K5" s="23" t="n">
        <v>3.573</v>
      </c>
      <c r="L5" s="23" t="n">
        <v>9.989000000000001</v>
      </c>
      <c r="M5" s="23" t="n">
        <v>9.827</v>
      </c>
      <c r="N5" s="23" t="n">
        <v>10.327</v>
      </c>
      <c r="O5" s="23" t="n">
        <v>5.185</v>
      </c>
      <c r="P5" s="23" t="n">
        <v>8.311999999999999</v>
      </c>
      <c r="Q5" s="23" t="n">
        <v>19.643</v>
      </c>
    </row>
    <row r="6">
      <c r="A6" s="19" t="inlineStr">
        <is>
          <t>SG&amp;A &amp; Other</t>
        </is>
      </c>
      <c r="B6" s="23" t="n">
        <v>7.091</v>
      </c>
      <c r="C6" s="23" t="n">
        <v>5.623</v>
      </c>
      <c r="D6" s="23" t="n">
        <v>4.243</v>
      </c>
      <c r="E6" s="23" t="n">
        <v>2.147</v>
      </c>
      <c r="F6" s="23" t="n">
        <v>5.022</v>
      </c>
      <c r="G6" s="23" t="n">
        <v>7.685</v>
      </c>
      <c r="H6" s="23" t="n">
        <v>10.551</v>
      </c>
      <c r="I6" s="23" t="n">
        <v>10.685</v>
      </c>
      <c r="J6" s="23" t="n">
        <v>12.332</v>
      </c>
      <c r="K6" s="23" t="n">
        <v>11.365</v>
      </c>
      <c r="L6" s="23" t="n">
        <v>22.031</v>
      </c>
      <c r="M6" s="23" t="n">
        <v>21.538</v>
      </c>
      <c r="N6" s="23" t="n">
        <v>19.016</v>
      </c>
      <c r="O6" s="23" t="n">
        <v>11.674</v>
      </c>
      <c r="P6" s="23" t="n">
        <v>10.69</v>
      </c>
      <c r="Q6" s="23" t="n">
        <v>15.598</v>
      </c>
    </row>
    <row r="7">
      <c r="A7" s="2" t="inlineStr">
        <is>
          <t>Operating Expense</t>
        </is>
      </c>
      <c r="B7" s="23">
        <f>SUM(B5:B6)</f>
        <v>10.175</v>
      </c>
      <c r="C7" s="23">
        <f>SUM(C5:C6)</f>
        <v>10.604</v>
      </c>
      <c r="D7" s="23">
        <f>SUM(D5:D6)</f>
        <v>7.674</v>
      </c>
      <c r="E7" s="23">
        <f>SUM(E5:E6)</f>
        <v>4.045</v>
      </c>
      <c r="F7" s="23">
        <f>SUM(F5:F6)</f>
        <v>8.517</v>
      </c>
      <c r="G7" s="23">
        <f>SUM(G5:G6)</f>
        <v>10.841</v>
      </c>
      <c r="H7" s="23">
        <f>SUM(H5:H6)</f>
        <v>14.668</v>
      </c>
      <c r="I7" s="23">
        <f>SUM(I5:I6)</f>
        <v>14.671000000000001</v>
      </c>
      <c r="J7" s="23">
        <f>SUM(J5:J6)</f>
        <v>17.806</v>
      </c>
      <c r="K7" s="23">
        <f>SUM(K5:K6)</f>
        <v>14.938</v>
      </c>
      <c r="L7" s="23">
        <f>SUM(L5:L6)</f>
        <v>32.019999999999996</v>
      </c>
      <c r="M7" s="23">
        <f>SUM(M5:M6)</f>
        <v>31.365000000000002</v>
      </c>
      <c r="N7" s="23">
        <f>SUM(N5:N6)</f>
        <v>29.342999999999996</v>
      </c>
      <c r="O7" s="23">
        <f>SUM(O5:O6)</f>
        <v>16.858999999999998</v>
      </c>
      <c r="P7" s="23">
        <f>SUM(P5:P6)</f>
        <v>19.002</v>
      </c>
      <c r="Q7" s="23">
        <f>SUM(Q5:Q6)</f>
        <v>35.241</v>
      </c>
    </row>
    <row r="8">
      <c r="A8" s="2" t="inlineStr">
        <is>
          <t>Operating Income</t>
        </is>
      </c>
      <c r="B8" s="23">
        <f>B4-B7</f>
        <v>-9.655000000000001</v>
      </c>
      <c r="C8" s="23">
        <f>C4-C7</f>
        <v>-9.327</v>
      </c>
      <c r="D8" s="23">
        <f>D4-D7</f>
        <v>-6.667000000000001</v>
      </c>
      <c r="E8" s="23">
        <f>E4-E7</f>
        <v>-3.84</v>
      </c>
      <c r="F8" s="23">
        <f>F4-F7</f>
        <v>-6.6659999999999995</v>
      </c>
      <c r="G8" s="23">
        <f>G4-G7</f>
        <v>-9.892999999999999</v>
      </c>
      <c r="H8" s="23">
        <f>H4-H7</f>
        <v>-14.274</v>
      </c>
      <c r="I8" s="23">
        <f>I4-I7</f>
        <v>-14.227</v>
      </c>
      <c r="J8" s="23">
        <f>J4-J7</f>
        <v>-15.788</v>
      </c>
      <c r="K8" s="23">
        <f>K4-K7</f>
        <v>-14.003</v>
      </c>
      <c r="L8" s="23">
        <f>L4-L7</f>
        <v>-31.110999999999997</v>
      </c>
      <c r="M8" s="23">
        <f>M4-M7</f>
        <v>-29.697000000000003</v>
      </c>
      <c r="N8" s="23">
        <f>N4-N7</f>
        <v>-29.342999999999996</v>
      </c>
      <c r="O8" s="23">
        <f>O4-O7</f>
        <v>-16.633999999999997</v>
      </c>
      <c r="P8" s="23">
        <f>P4-P7</f>
        <v>-18.602</v>
      </c>
      <c r="Q8" s="23">
        <f>Q4-Q7</f>
        <v>-35.141</v>
      </c>
    </row>
    <row r="9">
      <c r="A9" s="19" t="inlineStr">
        <is>
          <t>Interest &amp; Other</t>
        </is>
      </c>
      <c r="B9" s="23" t="n">
        <v>-2.488</v>
      </c>
      <c r="C9" s="23" t="n">
        <v>3.651</v>
      </c>
      <c r="D9" s="23" t="n">
        <v>0.469</v>
      </c>
      <c r="E9" s="23" t="n">
        <v>0.174</v>
      </c>
      <c r="F9" s="23" t="n">
        <v>0.041</v>
      </c>
      <c r="G9" s="23" t="n">
        <v>0.129</v>
      </c>
      <c r="H9" s="23" t="n">
        <v>-0.258</v>
      </c>
      <c r="I9" s="23" t="n">
        <v>-1.878</v>
      </c>
      <c r="J9" s="23" t="n">
        <v>-1.805</v>
      </c>
      <c r="K9" s="23" t="n">
        <v>-2.436</v>
      </c>
      <c r="L9" s="23" t="n">
        <v>7.904</v>
      </c>
      <c r="M9" s="23" t="n">
        <v>-20.606</v>
      </c>
      <c r="N9" s="23" t="n">
        <v>-35.667</v>
      </c>
      <c r="O9" s="23" t="n">
        <v>-8.276</v>
      </c>
      <c r="P9" s="23" t="n">
        <v>0.222</v>
      </c>
      <c r="Q9" s="23" t="n">
        <v>2.301</v>
      </c>
    </row>
    <row r="10">
      <c r="A10" s="2" t="inlineStr">
        <is>
          <t>Pretax</t>
        </is>
      </c>
      <c r="B10" s="23">
        <f>B8+B9</f>
        <v>-12.143</v>
      </c>
      <c r="C10" s="23">
        <f>C8+C9</f>
        <v>-5.676</v>
      </c>
      <c r="D10" s="23">
        <f>D8+D9</f>
        <v>-6.198</v>
      </c>
      <c r="E10" s="23">
        <f>E8+E9</f>
        <v>-3.666</v>
      </c>
      <c r="F10" s="23">
        <f>F8+F9</f>
        <v>-6.624999999999999</v>
      </c>
      <c r="G10" s="23">
        <f>G8+G9</f>
        <v>-9.764</v>
      </c>
      <c r="H10" s="23">
        <f>H8+H9</f>
        <v>-14.532</v>
      </c>
      <c r="I10" s="23">
        <f>I8+I9</f>
        <v>-16.105</v>
      </c>
      <c r="J10" s="23">
        <f>J8+J9</f>
        <v>-17.593</v>
      </c>
      <c r="K10" s="23">
        <f>K8+K9</f>
        <v>-16.439</v>
      </c>
      <c r="L10" s="23">
        <f>L8+L9</f>
        <v>-23.206999999999997</v>
      </c>
      <c r="M10" s="23">
        <f>M8+M9</f>
        <v>-50.303000000000004</v>
      </c>
      <c r="N10" s="23">
        <f>N8+N9</f>
        <v>-65.00999999999999</v>
      </c>
      <c r="O10" s="23">
        <f>O8+O9</f>
        <v>-24.909999999999997</v>
      </c>
      <c r="P10" s="23">
        <f>P8+P9</f>
        <v>-18.38</v>
      </c>
      <c r="Q10" s="23">
        <f>Q8+Q9</f>
        <v>-32.839999999999996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-12.142</v>
      </c>
      <c r="C12" s="23" t="n">
        <v>-5.676</v>
      </c>
      <c r="D12" s="23" t="n">
        <v>-6.198</v>
      </c>
      <c r="E12" s="23" t="n">
        <v>-3.666</v>
      </c>
      <c r="F12" s="23" t="n">
        <v>-6.625</v>
      </c>
      <c r="G12" s="23" t="n">
        <v>-9.763999999999999</v>
      </c>
      <c r="H12" s="23" t="n">
        <v>-14.532</v>
      </c>
      <c r="I12" s="23" t="n">
        <v>-16.105</v>
      </c>
      <c r="J12" s="23" t="n">
        <v>-17.593</v>
      </c>
      <c r="K12" s="23" t="n">
        <v>-16.439</v>
      </c>
      <c r="L12" s="23" t="n">
        <v>-23.207</v>
      </c>
      <c r="M12" s="23" t="n">
        <v>-50.303</v>
      </c>
      <c r="N12" s="23" t="n">
        <v>-65.01000000000001</v>
      </c>
      <c r="O12" s="23" t="n">
        <v>-24.91</v>
      </c>
      <c r="P12" s="23" t="n">
        <v>-18.38</v>
      </c>
      <c r="Q12" s="23" t="n">
        <v>-32.84</v>
      </c>
    </row>
    <row r="13">
      <c r="A13" s="2" t="inlineStr">
        <is>
          <t>Earnings per Share</t>
        </is>
      </c>
      <c r="B13" s="11">
        <f>IFERROR(B12/B14,0)</f>
        <v>-39.55048859934853</v>
      </c>
      <c r="C13" s="11">
        <f>IFERROR(C12/C14,0)</f>
        <v>-14.479591836734693</v>
      </c>
      <c r="D13" s="11">
        <f>IFERROR(D12/D14,0)</f>
        <v>-12.648979591836735</v>
      </c>
      <c r="E13" s="11">
        <f>IFERROR(E12/E14,0)</f>
        <v>-5.8656</v>
      </c>
      <c r="F13" s="11">
        <f>IFERROR(F12/F14,0)</f>
        <v>-9.344146685472497</v>
      </c>
      <c r="G13" s="11">
        <f>IFERROR(G12/G14,0)</f>
        <v>-12.159402241594021</v>
      </c>
      <c r="H13" s="11">
        <f>IFERROR(H12/H14,0)</f>
        <v>-18.256281407035175</v>
      </c>
      <c r="I13" s="11">
        <f>IFERROR(I12/I14,0)</f>
        <v>-16.970495258166494</v>
      </c>
      <c r="J13" s="11">
        <f>IFERROR(J12/J14,0)</f>
        <v>-10.410059171597634</v>
      </c>
      <c r="K13" s="11">
        <f>IFERROR(K12/K14,0)</f>
        <v>-2.9318708756911005</v>
      </c>
      <c r="L13" s="11">
        <f>IFERROR(L12/L14,0)</f>
        <v>-4.152263374485597</v>
      </c>
      <c r="M13" s="11">
        <f>IFERROR(M12/M14,0)</f>
        <v>-8.075614063252528</v>
      </c>
      <c r="N13" s="11">
        <f>IFERROR(N12/N14,0)</f>
        <v>-10.622549019607844</v>
      </c>
      <c r="O13" s="11">
        <f>IFERROR(O12/O14,0)</f>
        <v>-0.650221874184286</v>
      </c>
      <c r="P13" s="11">
        <f>IFERROR(P12/P14,0)</f>
        <v>-0.17506429183731784</v>
      </c>
      <c r="Q13" s="11">
        <f>IFERROR(Q12/Q14,0)</f>
        <v>-0.31558716125312325</v>
      </c>
    </row>
    <row r="14">
      <c r="A14" s="2" t="inlineStr">
        <is>
          <t>Shares</t>
        </is>
      </c>
      <c r="B14" s="23" t="n">
        <v>0.307</v>
      </c>
      <c r="C14" s="23" t="n">
        <v>0.392</v>
      </c>
      <c r="D14" s="23" t="n">
        <v>0.49</v>
      </c>
      <c r="E14" s="23" t="n">
        <v>0.625</v>
      </c>
      <c r="F14" s="23" t="n">
        <v>0.709</v>
      </c>
      <c r="G14" s="23" t="n">
        <v>0.803</v>
      </c>
      <c r="H14" s="23" t="n">
        <v>0.796</v>
      </c>
      <c r="I14" s="23" t="n">
        <v>0.949</v>
      </c>
      <c r="J14" s="23" t="n">
        <v>1.69</v>
      </c>
      <c r="K14" s="23" t="n">
        <v>5.607</v>
      </c>
      <c r="L14" s="23" t="n">
        <v>5.589</v>
      </c>
      <c r="M14" s="23" t="n">
        <v>6.229</v>
      </c>
      <c r="N14" s="23" t="n">
        <v>6.12</v>
      </c>
      <c r="O14" s="23" t="n">
        <v>38.31</v>
      </c>
      <c r="P14" s="23" t="n">
        <v>104.99</v>
      </c>
      <c r="Q14" s="23" t="n">
        <v>104.06</v>
      </c>
    </row>
    <row r="15"/>
    <row r="16" customFormat="1" s="4">
      <c r="A16" s="3" t="inlineStr">
        <is>
          <t>Revenue Change</t>
        </is>
      </c>
      <c r="C16" s="15">
        <f>IFERROR(C2/B2-1,"")</f>
        <v>1.4557692307692305</v>
      </c>
      <c r="D16" s="15">
        <f>IFERROR(D2/C2-1,"")</f>
        <v>-0.21143304620203607</v>
      </c>
      <c r="E16" s="15">
        <f>IFERROR(E2/D2-1,"")</f>
        <v>-0.7964250248262165</v>
      </c>
      <c r="F16" s="15">
        <f>IFERROR(F2/E2-1,"")</f>
        <v>8.029268292682927</v>
      </c>
      <c r="G16" s="15">
        <f>IFERROR(G2/F2-1,"")</f>
        <v>-0.4878444084278768</v>
      </c>
      <c r="H16" s="15">
        <f>IFERROR(H2/G2-1,"")</f>
        <v>-0.5843881856540084</v>
      </c>
      <c r="I16" s="15">
        <f>IFERROR(I2/H2-1,"")</f>
        <v>0.12690355329949243</v>
      </c>
      <c r="J16" s="15">
        <f>IFERROR(J2/I2-1,"")</f>
        <v>3.545045045045044</v>
      </c>
      <c r="K16" s="15">
        <f>IFERROR(K2/J2-1,"")</f>
        <v>-0.18830525272547072</v>
      </c>
      <c r="L16" s="15">
        <f>IFERROR(L2/K2-1,"")</f>
        <v>0.4474969474969477</v>
      </c>
      <c r="M16" s="15">
        <f>IFERROR(M2/L2-1,"")</f>
        <v>-0.20539856600590467</v>
      </c>
      <c r="N16" s="15">
        <f>IFERROR(N2/M2-1,"")</f>
        <v>-1.0</v>
      </c>
      <c r="O16" s="15">
        <f>IFERROR(O2/N2-1,"")</f>
        <v/>
      </c>
      <c r="P16" s="15">
        <f>IFERROR(P2/O2-1,"")</f>
        <v>0.7777777777777779</v>
      </c>
      <c r="Q16" s="15">
        <f>IFERROR(Q2/P2-1,"")</f>
        <v>-0.75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0.5708180708180708</v>
      </c>
      <c r="L17" s="15">
        <f>IFERROR(L4/L2,"")</f>
        <v>0.3833825390130747</v>
      </c>
      <c r="M17" s="15">
        <f>IFERROR(M4/M2,"")</f>
        <v>0.8853503184713376</v>
      </c>
      <c r="N17" s="15">
        <f>IFERROR(N4/N2,"")</f>
        <v/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-18.567307692307693</v>
      </c>
      <c r="C18" s="15">
        <f>IFERROR(C8/C2,"")</f>
        <v>-7.303837118245889</v>
      </c>
      <c r="D18" s="15">
        <f>IFERROR(D8/D2,"")</f>
        <v>-6.620655412115195</v>
      </c>
      <c r="E18" s="15">
        <f>IFERROR(E8/E2,"")</f>
        <v>-18.73170731707317</v>
      </c>
      <c r="F18" s="15">
        <f>IFERROR(F8/F2,"")</f>
        <v>-3.6012965964343597</v>
      </c>
      <c r="G18" s="15">
        <f>IFERROR(G8/G2,"")</f>
        <v>-10.435654008438817</v>
      </c>
      <c r="H18" s="15">
        <f>IFERROR(H8/H2,"")</f>
        <v>-36.22842639593908</v>
      </c>
      <c r="I18" s="15">
        <f>IFERROR(I8/I2,"")</f>
        <v>-32.042792792792795</v>
      </c>
      <c r="J18" s="15">
        <f>IFERROR(J8/J2,"")</f>
        <v>-7.82358771060456</v>
      </c>
      <c r="K18" s="15">
        <f>IFERROR(K8/K2,"")</f>
        <v>-8.548840048840049</v>
      </c>
      <c r="L18" s="15">
        <f>IFERROR(L8/L2,"")</f>
        <v>-13.121467735132853</v>
      </c>
      <c r="M18" s="15">
        <f>IFERROR(M8/M2,"")</f>
        <v>-15.762738853503187</v>
      </c>
      <c r="N18" s="15">
        <f>IFERROR(N8/N2,"")</f>
        <v/>
      </c>
      <c r="O18" s="15">
        <f>IFERROR(O8/O2,"")</f>
        <v>-73.92888888888888</v>
      </c>
      <c r="P18" s="15">
        <f>IFERROR(P8/P2,"")</f>
        <v>-46.504999999999995</v>
      </c>
      <c r="Q18" s="15">
        <f>IFERROR(Q8/Q2,"")</f>
        <v>-351.40999999999997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iBio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0.058499999999999996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35.141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323.4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168.64936079228724</v>
      </c>
      <c r="C29" s="42">
        <f>NPV!B25</f>
        <v>256.68836079228726</v>
      </c>
      <c r="D29" s="43">
        <f>NPV!B27</f>
        <v>3.9915925007325344</v>
      </c>
      <c r="E29" s="44">
        <f>NPV!B29</f>
        <v>3.8618666269580206</v>
      </c>
    </row>
    <row r="30">
      <c r="A30" s="45" t="n">
        <v>1</v>
      </c>
      <c r="B30" s="46">
        <f t="dataTable" ref="B30:E32" r1="B4"/>
        <v>11.876436048675183</v>
      </c>
      <c r="C30" s="46">
        <v>99.91543604867519</v>
      </c>
      <c r="D30" s="47">
        <v>1.5537194752746906</v>
      </c>
      <c r="E30" s="48">
        <v>0.892471955267589</v>
      </c>
    </row>
    <row r="31">
      <c r="A31" s="45" t="n">
        <v>2</v>
      </c>
      <c r="B31" s="46">
        <v>168.64936079228724</v>
      </c>
      <c r="C31" s="46">
        <v>256.68836079228726</v>
      </c>
      <c r="D31" s="47">
        <v>3.9915925007325344</v>
      </c>
      <c r="E31" s="48">
        <v>3.8618666269580206</v>
      </c>
    </row>
    <row r="32">
      <c r="A32" s="45" t="n">
        <v>3</v>
      </c>
      <c r="B32" s="46">
        <v>426.55348445223706</v>
      </c>
      <c r="C32" s="46">
        <v>514.592484452237</v>
      </c>
      <c r="D32" s="47">
        <v>8.002090533177734</v>
      </c>
      <c r="E32" s="48">
        <v>8.74676069814584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3.9915925007325344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1.1947628142564999</v>
      </c>
      <c r="C37" s="47">
        <v>1.8349683492673612</v>
      </c>
      <c r="D37" s="47">
        <v>2.439565010886393</v>
      </c>
      <c r="E37" s="47">
        <v>3.6184059311616585</v>
      </c>
      <c r="F37" s="47">
        <v>4.7792926009214245</v>
      </c>
    </row>
    <row r="38">
      <c r="A38" s="50" t="n">
        <v>0.8</v>
      </c>
      <c r="B38" s="47">
        <v>1.6204911877095682</v>
      </c>
      <c r="C38" s="47">
        <v>2.431154371427323</v>
      </c>
      <c r="D38" s="47">
        <v>3.2205752896500695</v>
      </c>
      <c r="E38" s="47">
        <v>4.771177558189377</v>
      </c>
      <c r="F38" s="47">
        <v>6.308103249594623</v>
      </c>
    </row>
    <row r="39">
      <c r="A39" s="50" t="n">
        <v>1</v>
      </c>
      <c r="B39" s="47">
        <v>2.0211046822314698</v>
      </c>
      <c r="C39" s="47">
        <v>3.0161627773915636</v>
      </c>
      <c r="D39" s="47">
        <v>3.9915925007325344</v>
      </c>
      <c r="E39" s="47">
        <v>5.917876943678577</v>
      </c>
      <c r="F39" s="47">
        <v>7.828929284774742</v>
      </c>
    </row>
    <row r="40">
      <c r="A40" s="50" t="n">
        <v>1.2</v>
      </c>
      <c r="B40" s="47">
        <v>2.4143330925091813</v>
      </c>
      <c r="C40" s="47">
        <v>3.5937618592209426</v>
      </c>
      <c r="D40" s="47">
        <v>4.754947472725279</v>
      </c>
      <c r="E40" s="47">
        <v>7.056492510639463</v>
      </c>
      <c r="F40" s="47">
        <v>9.347565519171276</v>
      </c>
    </row>
    <row r="41">
      <c r="A41" s="50" t="n">
        <v>1.4</v>
      </c>
      <c r="B41" s="47">
        <v>2.8023083937739472</v>
      </c>
      <c r="C41" s="47">
        <v>4.168646954869619</v>
      </c>
      <c r="D41" s="47">
        <v>5.517746396824714</v>
      </c>
      <c r="E41" s="47">
        <v>8.19510807760035</v>
      </c>
      <c r="F41" s="47">
        <v>10.859319487148309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iBio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Obesity</t>
        </is>
      </c>
      <c r="C4" s="14" t="inlineStr">
        <is>
          <t>IBIO-600</t>
        </is>
      </c>
      <c r="D4" s="14" t="inlineStr">
        <is>
          <t>Phase 1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6000</v>
      </c>
      <c r="H4" s="27" t="n">
        <v>0.0585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307.36056679505884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35.1</v>
      </c>
      <c r="U4" s="23">
        <f>IF(U$3&lt;$I4,0,$G4*Assumptions!$E$11*INDEX(Assumptions!$B$24:$G$24,MIN(6,U$3-$I4+1))*IF(U$3&gt;$J4,(1-Assumptions!$B$26)^(U$3-$J4),1)*IF($H4&gt;=1,1,MIN(0.97,$H4*Assumptions!$E$12)))</f>
        <v>87.75</v>
      </c>
      <c r="V4" s="23">
        <f>IF(V$3&lt;$I4,0,$G4*Assumptions!$E$11*INDEX(Assumptions!$B$24:$G$24,MIN(6,V$3-$I4+1))*IF(V$3&gt;$J4,(1-Assumptions!$B$26)^(V$3-$J4),1)*IF($H4&gt;=1,1,MIN(0.97,$H4*Assumptions!$E$12)))</f>
        <v>157.95000000000002</v>
      </c>
      <c r="W4" s="23">
        <f>IF(W$3&lt;$I4,0,$G4*Assumptions!$E$11*INDEX(Assumptions!$B$24:$G$24,MIN(6,W$3-$I4+1))*IF(W$3&gt;$J4,(1-Assumptions!$B$26)^(W$3-$J4),1)*IF($H4&gt;=1,1,MIN(0.97,$H4*Assumptions!$E$12)))</f>
        <v>228.15</v>
      </c>
      <c r="X4" s="23">
        <f>IF(X$3&lt;$I4,0,$G4*Assumptions!$E$11*INDEX(Assumptions!$B$24:$G$24,MIN(6,X$3-$I4+1))*IF(X$3&gt;$J4,(1-Assumptions!$B$26)^(X$3-$J4),1)*IF($H4&gt;=1,1,MIN(0.97,$H4*Assumptions!$E$12)))</f>
        <v>298.35</v>
      </c>
      <c r="Y4" s="23">
        <f>IF(Y$3&lt;$I4,0,$G4*Assumptions!$E$11*INDEX(Assumptions!$B$24:$G$24,MIN(6,Y$3-$I4+1))*IF(Y$3&gt;$J4,(1-Assumptions!$B$26)^(Y$3-$J4),1)*IF($H4&gt;=1,1,MIN(0.97,$H4*Assumptions!$E$12)))</f>
        <v>351.0</v>
      </c>
      <c r="Z4" s="23">
        <f>IF(Z$3&lt;$I4,0,$G4*Assumptions!$E$11*INDEX(Assumptions!$B$24:$G$24,MIN(6,Z$3-$I4+1))*IF(Z$3&gt;$J4,(1-Assumptions!$B$26)^(Z$3-$J4),1)*IF($H4&gt;=1,1,MIN(0.97,$H4*Assumptions!$E$12)))</f>
        <v>351.0</v>
      </c>
      <c r="AA4" s="23">
        <f>IF(AA$3&lt;$I4,0,$G4*Assumptions!$E$11*INDEX(Assumptions!$B$24:$G$24,MIN(6,AA$3-$I4+1))*IF(AA$3&gt;$J4,(1-Assumptions!$B$26)^(AA$3-$J4),1)*IF($H4&gt;=1,1,MIN(0.97,$H4*Assumptions!$E$12)))</f>
        <v>351.0</v>
      </c>
      <c r="AB4" s="23">
        <f>IF(AB$3&lt;$I4,0,$G4*Assumptions!$E$11*INDEX(Assumptions!$B$24:$G$24,MIN(6,AB$3-$I4+1))*IF(AB$3&gt;$J4,(1-Assumptions!$B$26)^(AB$3-$J4),1)*IF($H4&gt;=1,1,MIN(0.97,$H4*Assumptions!$E$12)))</f>
        <v>351.0</v>
      </c>
      <c r="AC4" s="23">
        <f>IF(AC$3&lt;$I4,0,$G4*Assumptions!$E$11*INDEX(Assumptions!$B$24:$G$24,MIN(6,AC$3-$I4+1))*IF(AC$3&gt;$J4,(1-Assumptions!$B$26)^(AC$3-$J4),1)*IF($H4&gt;=1,1,MIN(0.97,$H4*Assumptions!$E$12)))</f>
        <v>351.0</v>
      </c>
      <c r="AD4" s="23">
        <f>IF(AD$3&lt;$I4,0,$G4*Assumptions!$E$11*INDEX(Assumptions!$B$24:$G$24,MIN(6,AD$3-$I4+1))*IF(AD$3&gt;$J4,(1-Assumptions!$B$26)^(AD$3-$J4),1)*IF($H4&gt;=1,1,MIN(0.97,$H4*Assumptions!$E$12)))</f>
        <v>351.0</v>
      </c>
      <c r="AE4" s="23">
        <f>IF(AE$3&lt;$I4,0,$G4*Assumptions!$E$11*INDEX(Assumptions!$B$24:$G$24,MIN(6,AE$3-$I4+1))*IF(AE$3&gt;$J4,(1-Assumptions!$B$26)^(AE$3-$J4),1)*IF($H4&gt;=1,1,MIN(0.97,$H4*Assumptions!$E$12)))</f>
        <v>351.0</v>
      </c>
      <c r="AF4" s="23">
        <f>IF(AF$3&lt;$I4,0,$G4*Assumptions!$E$11*INDEX(Assumptions!$B$24:$G$24,MIN(6,AF$3-$I4+1))*IF(AF$3&gt;$J4,(1-Assumptions!$B$26)^(AF$3-$J4),1)*IF($H4&gt;=1,1,MIN(0.97,$H4*Assumptions!$E$12)))</f>
        <v>351.0</v>
      </c>
      <c r="AG4" s="35">
        <f>IF(F4="Owned",1-IF(H4&gt;=1,1,MIN(0.97,H4*Assumptions!$E$12)),1)</f>
        <v>0.9415</v>
      </c>
    </row>
    <row r="5">
      <c r="B5" s="24" t="inlineStr">
        <is>
          <t>Risked revenue</t>
        </is>
      </c>
      <c r="L5" s="54">
        <f>SUM(L4:L4)</f>
        <v>307.36056679505884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35.1</v>
      </c>
      <c r="U5" s="54">
        <f>SUM(U4:U4)</f>
        <v>87.75</v>
      </c>
      <c r="V5" s="54">
        <f>SUM(V4:V4)</f>
        <v>157.95000000000002</v>
      </c>
      <c r="W5" s="54">
        <f>SUM(W4:W4)</f>
        <v>228.15</v>
      </c>
      <c r="X5" s="54">
        <f>SUM(X4:X4)</f>
        <v>298.35</v>
      </c>
      <c r="Y5" s="54">
        <f>SUM(Y4:Y4)</f>
        <v>351.0</v>
      </c>
      <c r="Z5" s="54">
        <f>SUM(Z4:Z4)</f>
        <v>351.0</v>
      </c>
      <c r="AA5" s="54">
        <f>SUM(AA4:AA4)</f>
        <v>351.0</v>
      </c>
      <c r="AB5" s="54">
        <f>SUM(AB4:AB4)</f>
        <v>351.0</v>
      </c>
      <c r="AC5" s="54">
        <f>SUM(AC4:AC4)</f>
        <v>351.0</v>
      </c>
      <c r="AD5" s="54">
        <f>SUM(AD4:AD4)</f>
        <v>351.0</v>
      </c>
      <c r="AE5" s="54">
        <f>SUM(AE4:AE4)</f>
        <v>351.0</v>
      </c>
      <c r="AF5" s="54">
        <f>SUM(AF4:AF4)</f>
        <v>351.0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14.040000000000001</v>
      </c>
      <c r="U6" s="55">
        <f>SUMPRODUCT(U4:U4,$K$4:$K$4)</f>
        <v>35.1</v>
      </c>
      <c r="V6" s="55">
        <f>SUMPRODUCT(V4:V4,$K$4:$K$4)</f>
        <v>63.18000000000001</v>
      </c>
      <c r="W6" s="55">
        <f>SUMPRODUCT(W4:W4,$K$4:$K$4)</f>
        <v>91.26</v>
      </c>
      <c r="X6" s="55">
        <f>SUMPRODUCT(X4:X4,$K$4:$K$4)</f>
        <v>119.34000000000002</v>
      </c>
      <c r="Y6" s="55">
        <f>SUMPRODUCT(Y4:Y4,$K$4:$K$4)</f>
        <v>140.4</v>
      </c>
      <c r="Z6" s="55">
        <f>SUMPRODUCT(Z4:Z4,$K$4:$K$4)</f>
        <v>140.4</v>
      </c>
      <c r="AA6" s="55">
        <f>SUMPRODUCT(AA4:AA4,$K$4:$K$4)</f>
        <v>140.4</v>
      </c>
      <c r="AB6" s="55">
        <f>SUMPRODUCT(AB4:AB4,$K$4:$K$4)</f>
        <v>140.4</v>
      </c>
      <c r="AC6" s="55">
        <f>SUMPRODUCT(AC4:AC4,$K$4:$K$4)</f>
        <v>140.4</v>
      </c>
      <c r="AD6" s="55">
        <f>SUMPRODUCT(AD4:AD4,$K$4:$K$4)</f>
        <v>140.4</v>
      </c>
      <c r="AE6" s="55">
        <f>SUMPRODUCT(AE4:AE4,$K$4:$K$4)</f>
        <v>140.4</v>
      </c>
      <c r="AF6" s="55">
        <f>SUMPRODUCT(AF4:AF4,$K$4:$K$4)</f>
        <v>140.4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iBio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35.1</v>
      </c>
      <c r="K4" s="57">
        <f>Pipeline!U5</f>
        <v>87.75</v>
      </c>
      <c r="L4" s="57">
        <f>Pipeline!V5</f>
        <v>157.95000000000002</v>
      </c>
      <c r="M4" s="57">
        <f>Pipeline!W5</f>
        <v>228.15</v>
      </c>
      <c r="N4" s="57">
        <f>Pipeline!X5</f>
        <v>298.35</v>
      </c>
      <c r="O4" s="57">
        <f>Pipeline!Y5</f>
        <v>351.0</v>
      </c>
      <c r="P4" s="57">
        <f>Pipeline!Z5</f>
        <v>351.0</v>
      </c>
      <c r="Q4" s="57">
        <f>Pipeline!AA5</f>
        <v>351.0</v>
      </c>
      <c r="R4" s="57">
        <f>Pipeline!AB5</f>
        <v>351.0</v>
      </c>
      <c r="S4" s="57">
        <f>Pipeline!AC5</f>
        <v>351.0</v>
      </c>
      <c r="T4" s="57">
        <f>Pipeline!AD5</f>
        <v>351.0</v>
      </c>
      <c r="U4" s="57">
        <f>Pipeline!AE5</f>
        <v>351.0</v>
      </c>
      <c r="V4" s="57">
        <f>Pipeline!AF5</f>
        <v>351.0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14.040000000000001</v>
      </c>
      <c r="K5" s="57">
        <f>Pipeline!U6</f>
        <v>35.1</v>
      </c>
      <c r="L5" s="57">
        <f>Pipeline!V6</f>
        <v>63.18000000000001</v>
      </c>
      <c r="M5" s="57">
        <f>Pipeline!W6</f>
        <v>91.26</v>
      </c>
      <c r="N5" s="57">
        <f>Pipeline!X6</f>
        <v>119.34000000000002</v>
      </c>
      <c r="O5" s="57">
        <f>Pipeline!Y6</f>
        <v>140.4</v>
      </c>
      <c r="P5" s="57">
        <f>Pipeline!Z6</f>
        <v>140.4</v>
      </c>
      <c r="Q5" s="57">
        <f>Pipeline!AA6</f>
        <v>140.4</v>
      </c>
      <c r="R5" s="57">
        <f>Pipeline!AB6</f>
        <v>140.4</v>
      </c>
      <c r="S5" s="57">
        <f>Pipeline!AC6</f>
        <v>140.4</v>
      </c>
      <c r="T5" s="57">
        <f>Pipeline!AD6</f>
        <v>140.4</v>
      </c>
      <c r="U5" s="57">
        <f>Pipeline!AE6</f>
        <v>140.4</v>
      </c>
      <c r="V5" s="57">
        <f>Pipeline!AF6</f>
        <v>140.4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-35.141</v>
      </c>
      <c r="D6" s="23">
        <f>-IF(D3-2026&lt;Assumptions!$B$19,Assumptions!$B$18,Assumptions!$B$18*Assumptions!$B$20*Assumptions!$B$16)</f>
        <v>-35.141</v>
      </c>
      <c r="E6" s="23">
        <f>-IF(E3-2026&lt;Assumptions!$B$19,Assumptions!$B$18,Assumptions!$B$18*Assumptions!$B$20*Assumptions!$B$16)</f>
        <v>-35.141</v>
      </c>
      <c r="F6" s="23">
        <f>-IF(F3-2026&lt;Assumptions!$B$19,Assumptions!$B$18,Assumptions!$B$18*Assumptions!$B$20*Assumptions!$B$16)</f>
        <v>-35.141</v>
      </c>
      <c r="G6" s="23">
        <f>-IF(G3-2026&lt;Assumptions!$B$19,Assumptions!$B$18,Assumptions!$B$18*Assumptions!$B$20*Assumptions!$B$16)</f>
        <v>-0.6167245499999999</v>
      </c>
      <c r="H6" s="23">
        <f>-IF(H3-2026&lt;Assumptions!$B$19,Assumptions!$B$18,Assumptions!$B$18*Assumptions!$B$20*Assumptions!$B$16)</f>
        <v>-0.6167245499999999</v>
      </c>
      <c r="I6" s="23">
        <f>-IF(I3-2026&lt;Assumptions!$B$19,Assumptions!$B$18,Assumptions!$B$18*Assumptions!$B$20*Assumptions!$B$16)</f>
        <v>-0.6167245499999999</v>
      </c>
      <c r="J6" s="23">
        <f>-IF(J3-2026&lt;Assumptions!$B$19,Assumptions!$B$18,Assumptions!$B$18*Assumptions!$B$20*Assumptions!$B$16)</f>
        <v>-0.6167245499999999</v>
      </c>
      <c r="K6" s="23">
        <f>-IF(K3-2026&lt;Assumptions!$B$19,Assumptions!$B$18,Assumptions!$B$18*Assumptions!$B$20*Assumptions!$B$16)</f>
        <v>-0.6167245499999999</v>
      </c>
      <c r="L6" s="23">
        <f>-IF(L3-2026&lt;Assumptions!$B$19,Assumptions!$B$18,Assumptions!$B$18*Assumptions!$B$20*Assumptions!$B$16)</f>
        <v>-0.6167245499999999</v>
      </c>
      <c r="M6" s="23">
        <f>-IF(M3-2026&lt;Assumptions!$B$19,Assumptions!$B$18,Assumptions!$B$18*Assumptions!$B$20*Assumptions!$B$16)</f>
        <v>-0.6167245499999999</v>
      </c>
      <c r="N6" s="23">
        <f>-IF(N3-2026&lt;Assumptions!$B$19,Assumptions!$B$18,Assumptions!$B$18*Assumptions!$B$20*Assumptions!$B$16)</f>
        <v>-0.6167245499999999</v>
      </c>
      <c r="O6" s="23">
        <f>-IF(O3-2026&lt;Assumptions!$B$19,Assumptions!$B$18,Assumptions!$B$18*Assumptions!$B$20*Assumptions!$B$16)</f>
        <v>-0.6167245499999999</v>
      </c>
      <c r="P6" s="23">
        <f>-IF(P3-2026&lt;Assumptions!$B$19,Assumptions!$B$18,Assumptions!$B$18*Assumptions!$B$20*Assumptions!$B$16)</f>
        <v>-0.6167245499999999</v>
      </c>
      <c r="Q6" s="23">
        <f>-IF(Q3-2026&lt;Assumptions!$B$19,Assumptions!$B$18,Assumptions!$B$18*Assumptions!$B$20*Assumptions!$B$16)</f>
        <v>-0.6167245499999999</v>
      </c>
      <c r="R6" s="23">
        <f>-IF(R3-2026&lt;Assumptions!$B$19,Assumptions!$B$18,Assumptions!$B$18*Assumptions!$B$20*Assumptions!$B$16)</f>
        <v>-0.6167245499999999</v>
      </c>
      <c r="S6" s="23">
        <f>-IF(S3-2026&lt;Assumptions!$B$19,Assumptions!$B$18,Assumptions!$B$18*Assumptions!$B$20*Assumptions!$B$16)</f>
        <v>-0.6167245499999999</v>
      </c>
      <c r="T6" s="23">
        <f>-IF(T3-2026&lt;Assumptions!$B$19,Assumptions!$B$18,Assumptions!$B$18*Assumptions!$B$20*Assumptions!$B$16)</f>
        <v>-0.6167245499999999</v>
      </c>
      <c r="U6" s="23">
        <f>-IF(U3-2026&lt;Assumptions!$B$19,Assumptions!$B$18,Assumptions!$B$18*Assumptions!$B$20*Assumptions!$B$16)</f>
        <v>-0.6167245499999999</v>
      </c>
      <c r="V6" s="23">
        <f>-IF(V3-2026&lt;Assumptions!$B$19,Assumptions!$B$18,Assumptions!$B$18*Assumptions!$B$20*Assumptions!$B$16)</f>
        <v>-0.6167245499999999</v>
      </c>
    </row>
    <row r="7">
      <c r="A7" s="14" t="inlineStr">
        <is>
          <t>Pre-tax cash flow</t>
        </is>
      </c>
      <c r="C7" s="23">
        <f>C5+C6</f>
        <v>-35.141</v>
      </c>
      <c r="D7" s="23">
        <f>D5+D6</f>
        <v>-35.141</v>
      </c>
      <c r="E7" s="23">
        <f>E5+E6</f>
        <v>-35.141</v>
      </c>
      <c r="F7" s="23">
        <f>F5+F6</f>
        <v>-35.141</v>
      </c>
      <c r="G7" s="23">
        <f>G5+G6</f>
        <v>-0.6167245499999999</v>
      </c>
      <c r="H7" s="23">
        <f>H5+H6</f>
        <v>-0.6167245499999999</v>
      </c>
      <c r="I7" s="23">
        <f>I5+I6</f>
        <v>-0.6167245499999999</v>
      </c>
      <c r="J7" s="23">
        <f>J5+J6</f>
        <v>13.42327545</v>
      </c>
      <c r="K7" s="23">
        <f>K5+K6</f>
        <v>34.48327545</v>
      </c>
      <c r="L7" s="23">
        <f>L5+L6</f>
        <v>62.563275450000006</v>
      </c>
      <c r="M7" s="23">
        <f>M5+M6</f>
        <v>90.64327545</v>
      </c>
      <c r="N7" s="23">
        <f>N5+N6</f>
        <v>118.72327545000002</v>
      </c>
      <c r="O7" s="23">
        <f>O5+O6</f>
        <v>139.78327545000002</v>
      </c>
      <c r="P7" s="23">
        <f>P5+P6</f>
        <v>139.78327545000002</v>
      </c>
      <c r="Q7" s="23">
        <f>Q5+Q6</f>
        <v>139.78327545000002</v>
      </c>
      <c r="R7" s="23">
        <f>R5+R6</f>
        <v>139.78327545000002</v>
      </c>
      <c r="S7" s="23">
        <f>S5+S6</f>
        <v>139.78327545000002</v>
      </c>
      <c r="T7" s="23">
        <f>T5+T6</f>
        <v>139.78327545000002</v>
      </c>
      <c r="U7" s="23">
        <f>U5+U6</f>
        <v>139.78327545000002</v>
      </c>
      <c r="V7" s="23">
        <f>V5+V6</f>
        <v>139.78327545000002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13.42327545</v>
      </c>
      <c r="K8" s="23">
        <f>MIN(J17,MAX(0,K7))</f>
        <v>34.48327545</v>
      </c>
      <c r="L8" s="23">
        <f>MIN(K17,MAX(0,L7))</f>
        <v>62.563275450000006</v>
      </c>
      <c r="M8" s="23">
        <f>MIN(L17,MAX(0,M7))</f>
        <v>90.64327545</v>
      </c>
      <c r="N8" s="23">
        <f>MIN(M17,MAX(0,N7))</f>
        <v>118.72327545000002</v>
      </c>
      <c r="O8" s="23">
        <f>MIN(N17,MAX(0,O7))</f>
        <v>139.78327545000002</v>
      </c>
      <c r="P8" s="23">
        <f>MIN(O17,MAX(0,P7))</f>
        <v>6.194520950000026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133.5887545</v>
      </c>
      <c r="Q9" s="23">
        <f>MAX(0,Q7)-Q8</f>
        <v>139.78327545000002</v>
      </c>
      <c r="R9" s="23">
        <f>MAX(0,R7)-R8</f>
        <v>139.78327545000002</v>
      </c>
      <c r="S9" s="23">
        <f>MAX(0,S7)-S8</f>
        <v>139.78327545000002</v>
      </c>
      <c r="T9" s="23">
        <f>MAX(0,T7)-T8</f>
        <v>139.78327545000002</v>
      </c>
      <c r="U9" s="23">
        <f>MAX(0,U7)-U8</f>
        <v>139.78327545000002</v>
      </c>
      <c r="V9" s="23">
        <f>MAX(0,V7)-V8</f>
        <v>139.78327545000002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28.053638444999997</v>
      </c>
      <c r="Q10" s="23">
        <f>Q9*Assumptions!$E$15</f>
        <v>29.354487844500003</v>
      </c>
      <c r="R10" s="23">
        <f>R9*Assumptions!$E$15</f>
        <v>29.354487844500003</v>
      </c>
      <c r="S10" s="23">
        <f>S9*Assumptions!$E$15</f>
        <v>29.354487844500003</v>
      </c>
      <c r="T10" s="23">
        <f>T9*Assumptions!$E$15</f>
        <v>29.354487844500003</v>
      </c>
      <c r="U10" s="23">
        <f>U9*Assumptions!$E$15</f>
        <v>29.354487844500003</v>
      </c>
      <c r="V10" s="23">
        <f>V9*Assumptions!$E$15</f>
        <v>29.354487844500003</v>
      </c>
    </row>
    <row r="11">
      <c r="A11" s="24" t="inlineStr">
        <is>
          <t>Free cash flow</t>
        </is>
      </c>
      <c r="C11" s="55">
        <f>C7-C10</f>
        <v>-35.141</v>
      </c>
      <c r="D11" s="55">
        <f>D7-D10</f>
        <v>-35.141</v>
      </c>
      <c r="E11" s="55">
        <f>E7-E10</f>
        <v>-35.141</v>
      </c>
      <c r="F11" s="55">
        <f>F7-F10</f>
        <v>-35.141</v>
      </c>
      <c r="G11" s="55">
        <f>G7-G10</f>
        <v>-0.6167245499999999</v>
      </c>
      <c r="H11" s="55">
        <f>H7-H10</f>
        <v>-0.6167245499999999</v>
      </c>
      <c r="I11" s="55">
        <f>I7-I10</f>
        <v>-0.6167245499999999</v>
      </c>
      <c r="J11" s="55">
        <f>J7-J10</f>
        <v>13.42327545</v>
      </c>
      <c r="K11" s="55">
        <f>K7-K10</f>
        <v>34.48327545</v>
      </c>
      <c r="L11" s="55">
        <f>L7-L10</f>
        <v>62.563275450000006</v>
      </c>
      <c r="M11" s="55">
        <f>M7-M10</f>
        <v>90.64327545</v>
      </c>
      <c r="N11" s="55">
        <f>N7-N10</f>
        <v>118.72327545000002</v>
      </c>
      <c r="O11" s="55">
        <f>O7-O10</f>
        <v>139.78327545000002</v>
      </c>
      <c r="P11" s="55">
        <f>P7-P10</f>
        <v>111.72963700500003</v>
      </c>
      <c r="Q11" s="55">
        <f>Q7-Q10</f>
        <v>110.42878760550002</v>
      </c>
      <c r="R11" s="55">
        <f>R7-R10</f>
        <v>110.42878760550002</v>
      </c>
      <c r="S11" s="55">
        <f>S7-S10</f>
        <v>110.42878760550002</v>
      </c>
      <c r="T11" s="55">
        <f>T7-T10</f>
        <v>110.42878760550002</v>
      </c>
      <c r="U11" s="55">
        <f>U7-U10</f>
        <v>110.42878760550002</v>
      </c>
      <c r="V11" s="55">
        <f>V7-V10</f>
        <v>110.42878760550002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-17.21572872872421</v>
      </c>
      <c r="D16" s="55">
        <f>D11*D15</f>
        <v>-31.361317509985078</v>
      </c>
      <c r="E16" s="55">
        <f>E11*E15</f>
        <v>-28.001176348200953</v>
      </c>
      <c r="F16" s="55">
        <f>F11*F15</f>
        <v>-25.00105031089371</v>
      </c>
      <c r="G16" s="55">
        <f>G11*G15</f>
        <v>-0.3917575294251648</v>
      </c>
      <c r="H16" s="55">
        <f>H11*H15</f>
        <v>-0.3497835084153257</v>
      </c>
      <c r="I16" s="55">
        <f>I11*I15</f>
        <v>-0.312306703942255</v>
      </c>
      <c r="J16" s="55">
        <f>J11*J15</f>
        <v>6.0691874283643354</v>
      </c>
      <c r="K16" s="55">
        <f>K11*K15</f>
        <v>13.920746855336033</v>
      </c>
      <c r="L16" s="55">
        <f>L11*L15</f>
        <v>22.55046386914784</v>
      </c>
      <c r="M16" s="55">
        <f>M11*M15</f>
        <v>29.171151316609635</v>
      </c>
      <c r="N16" s="55">
        <f>N11*N15</f>
        <v>34.11424990438277</v>
      </c>
      <c r="O16" s="55">
        <f>O11*O15</f>
        <v>35.862218052561374</v>
      </c>
      <c r="P16" s="55">
        <f>P11*P15</f>
        <v>25.59365428060254</v>
      </c>
      <c r="Q16" s="55">
        <f>Q11*Q15</f>
        <v>22.585421126852268</v>
      </c>
      <c r="R16" s="55">
        <f>R11*R15</f>
        <v>20.165554577546665</v>
      </c>
      <c r="S16" s="55">
        <f>S11*S15</f>
        <v>18.004959444238093</v>
      </c>
      <c r="T16" s="55">
        <f>T11*T15</f>
        <v>16.075856646641153</v>
      </c>
      <c r="U16" s="55">
        <f>U11*U15</f>
        <v>14.353443434501028</v>
      </c>
      <c r="V16" s="55">
        <f>V11*V15</f>
        <v>12.815574495090202</v>
      </c>
    </row>
    <row r="17">
      <c r="A17" s="14" t="inlineStr">
        <is>
          <t>Tax-loss carryforward, end of year</t>
        </is>
      </c>
      <c r="C17" s="23">
        <f>Assumptions!$B$21-C8+MAX(0,-C7)</f>
        <v>358.541</v>
      </c>
      <c r="D17" s="23">
        <f>C17-D8+MAX(0,-D7)</f>
        <v>393.682</v>
      </c>
      <c r="E17" s="23">
        <f>D17-E8+MAX(0,-E7)</f>
        <v>428.82300000000004</v>
      </c>
      <c r="F17" s="23">
        <f>E17-F8+MAX(0,-F7)</f>
        <v>463.96400000000006</v>
      </c>
      <c r="G17" s="23">
        <f>F17-G8+MAX(0,-G7)</f>
        <v>464.58072455000007</v>
      </c>
      <c r="H17" s="23">
        <f>G17-H8+MAX(0,-H7)</f>
        <v>465.1974491000001</v>
      </c>
      <c r="I17" s="23">
        <f>H17-I8+MAX(0,-I7)</f>
        <v>465.8141736500001</v>
      </c>
      <c r="J17" s="23">
        <f>I17-J8+MAX(0,-J7)</f>
        <v>452.3908982000001</v>
      </c>
      <c r="K17" s="23">
        <f>J17-K8+MAX(0,-K7)</f>
        <v>417.9076227500001</v>
      </c>
      <c r="L17" s="23">
        <f>K17-L8+MAX(0,-L7)</f>
        <v>355.3443473000001</v>
      </c>
      <c r="M17" s="23">
        <f>L17-M8+MAX(0,-M7)</f>
        <v>264.70107185000006</v>
      </c>
      <c r="N17" s="23">
        <f>M17-N8+MAX(0,-N7)</f>
        <v>145.97779640000005</v>
      </c>
      <c r="O17" s="23">
        <f>N17-O8+MAX(0,-O7)</f>
        <v>6.194520950000026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307.36056679505884</v>
      </c>
    </row>
    <row r="20">
      <c r="A20" s="14" t="inlineStr">
        <is>
          <t>PV of corporate burn</t>
        </is>
      </c>
      <c r="B20" s="23">
        <f>SUMPRODUCT(C6:V6,C15:V15)</f>
        <v>-104.6392378728715</v>
      </c>
    </row>
    <row r="21">
      <c r="A21" s="14" t="inlineStr">
        <is>
          <t>PV of taxes</t>
        </is>
      </c>
      <c r="B21" s="23">
        <f>-SUMPRODUCT(C10:V10,C15:V15)</f>
        <v>-34.071968129900135</v>
      </c>
    </row>
    <row r="22">
      <c r="A22" s="24" t="inlineStr">
        <is>
          <t>Pipeline rNPV (operations)</t>
        </is>
      </c>
      <c r="B22" s="54">
        <f>SUM(C16:V16)</f>
        <v>168.64936079228724</v>
      </c>
    </row>
    <row r="23">
      <c r="A23" s="14" t="inlineStr">
        <is>
          <t>Cash &amp; investments</t>
        </is>
      </c>
      <c r="B23" s="57">
        <f>Main!C7</f>
        <v>88.039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256.68836079228726</v>
      </c>
    </row>
    <row r="26">
      <c r="A26" s="14" t="inlineStr">
        <is>
          <t>Shares (mm)</t>
        </is>
      </c>
      <c r="B26" s="57">
        <f>Main!C4</f>
        <v>64.307256</v>
      </c>
    </row>
    <row r="27">
      <c r="A27" s="24" t="inlineStr">
        <is>
          <t>rNPV / share</t>
        </is>
      </c>
      <c r="B27" s="60">
        <f>B25/B26</f>
        <v>3.9915925007325344</v>
      </c>
    </row>
    <row r="28">
      <c r="A28" s="14" t="inlineStr">
        <is>
          <t>Price</t>
        </is>
      </c>
      <c r="B28" s="61">
        <f>Main!C3</f>
        <v>0.821</v>
      </c>
    </row>
    <row r="29">
      <c r="A29" s="14" t="inlineStr">
        <is>
          <t>Upside</t>
        </is>
      </c>
      <c r="B29" s="62">
        <f>B27/B28-1</f>
        <v>3.8618666269580206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2026-10-21T06:29:18Z</dcterms:modified>
  <cp:lastModifiedBy>Wang, Eric</cp:lastModifiedBy>
</cp:coreProperties>
</file>