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Amylyx Pharmaceuticals, Inc.</t>
        </is>
      </c>
      <c r="C2" s="10" t="n"/>
    </row>
    <row r="3">
      <c r="B3" t="inlineStr">
        <is>
          <t>Price</t>
        </is>
      </c>
      <c r="C3" s="11">
        <f>INDEX([1]Pharma!$F$1:$F$1000,MATCH("AMLX",[1]Pharma!$B$1:$B$1000,0))</f>
        <v>28.77</v>
      </c>
      <c r="F3" s="1" t="n"/>
    </row>
    <row r="4">
      <c r="B4" t="inlineStr">
        <is>
          <t>Shares</t>
        </is>
      </c>
      <c r="C4" s="21" t="n">
        <v>111.423048</v>
      </c>
      <c r="F4" s="1" t="n"/>
    </row>
    <row r="5">
      <c r="B5" t="inlineStr">
        <is>
          <t>Market Cap.</t>
        </is>
      </c>
      <c r="C5" s="13">
        <f>C3*C4</f>
        <v>3205.64109096</v>
      </c>
      <c r="F5" s="1" t="n"/>
    </row>
    <row r="6"/>
    <row r="7">
      <c r="B7" t="inlineStr">
        <is>
          <t>Cash</t>
        </is>
      </c>
      <c r="C7" s="21">
        <f>49.326+201.434</f>
        <v>250.76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2954.8810909599997</v>
      </c>
    </row>
    <row r="10"/>
    <row r="11">
      <c r="B11" s="14" t="inlineStr">
        <is>
          <t>Net Cash / Share</t>
        </is>
      </c>
      <c r="C11" s="11">
        <f>(C7-C8)/C4</f>
        <v>2.2505218130453586</v>
      </c>
    </row>
    <row r="12">
      <c r="B12" s="14" t="inlineStr">
        <is>
          <t>Upside</t>
        </is>
      </c>
      <c r="C12" s="15">
        <f>IFERROR(C11/C3-1,"")</f>
        <v>-0.9217753975305749</v>
      </c>
    </row>
    <row r="13">
      <c r="B13" s="14" t="inlineStr">
        <is>
          <t>Cash / Share</t>
        </is>
      </c>
      <c r="C13" s="11">
        <f>IFERROR((C7-C8)/C4,"")</f>
        <v>2.2505218130453586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-126.577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1.9810866113116916</v>
      </c>
    </row>
    <row r="19">
      <c r="B19" s="14" t="inlineStr">
        <is>
          <t>Implied Pipeline Value</t>
        </is>
      </c>
      <c r="C19" s="13">
        <f>C9</f>
        <v>2954.8810909599997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0.285</v>
      </c>
      <c r="C2" s="23" t="n">
        <v>22.23</v>
      </c>
      <c r="D2" s="23" t="n">
        <v>380.786</v>
      </c>
      <c r="E2" s="23" t="n">
        <v>87.371</v>
      </c>
      <c r="F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2.993</v>
      </c>
      <c r="D3" s="23" t="n">
        <v>25.441</v>
      </c>
      <c r="E3" s="23" t="n">
        <v>5.953</v>
      </c>
      <c r="F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0.285</v>
      </c>
      <c r="C4" s="23">
        <f>C2-C3</f>
        <v>19.237000000000002</v>
      </c>
      <c r="D4" s="23">
        <f>D2-D3</f>
        <v>355.345</v>
      </c>
      <c r="E4" s="23">
        <f>E2-E3</f>
        <v>81.41799999999999</v>
      </c>
      <c r="F4" s="23">
        <f>F2-F3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44.04</v>
      </c>
      <c r="C5" s="23" t="n">
        <v>93.45</v>
      </c>
      <c r="D5" s="23" t="n">
        <v>128.187</v>
      </c>
      <c r="E5" s="23" t="n">
        <v>104.084</v>
      </c>
      <c r="F5" s="23" t="n">
        <v>90.404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38.933</v>
      </c>
      <c r="C6" s="23" t="n">
        <v>127.128</v>
      </c>
      <c r="D6" s="23" t="n">
        <v>188.356</v>
      </c>
      <c r="E6" s="23" t="n">
        <v>292.065</v>
      </c>
      <c r="F6" s="23" t="n">
        <v>62.887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82.973</v>
      </c>
      <c r="C7" s="23">
        <f>SUM(C5:C6)</f>
        <v>220.578</v>
      </c>
      <c r="D7" s="23">
        <f>SUM(D5:D6)</f>
        <v>316.543</v>
      </c>
      <c r="E7" s="23">
        <f>SUM(E5:E6)</f>
        <v>396.149</v>
      </c>
      <c r="F7" s="23">
        <f>SUM(F5:F6)</f>
        <v>153.291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-82.688</v>
      </c>
      <c r="C8" s="23">
        <f>C4-C7</f>
        <v>-201.341</v>
      </c>
      <c r="D8" s="23">
        <f>D4-D7</f>
        <v>38.80200000000002</v>
      </c>
      <c r="E8" s="23">
        <f>E4-E7</f>
        <v>-314.731</v>
      </c>
      <c r="F8" s="23">
        <f>F4-F7</f>
        <v>-153.291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-5.243</v>
      </c>
      <c r="C9" s="23" t="n">
        <v>3.74</v>
      </c>
      <c r="D9" s="23" t="n">
        <v>15.495</v>
      </c>
      <c r="E9" s="23" t="n">
        <v>12.595</v>
      </c>
      <c r="F9" s="23" t="n">
        <v>8.602</v>
      </c>
    </row>
    <row r="10">
      <c r="A10" s="2" t="inlineStr">
        <is>
          <t>Pretax</t>
        </is>
      </c>
      <c r="B10" s="23">
        <f>B8+B9</f>
        <v>-87.931</v>
      </c>
      <c r="C10" s="23">
        <f>C8+C9</f>
        <v>-197.601</v>
      </c>
      <c r="D10" s="23">
        <f>D8+D9</f>
        <v>54.29700000000002</v>
      </c>
      <c r="E10" s="23">
        <f>E8+E9</f>
        <v>-302.13599999999997</v>
      </c>
      <c r="F10" s="23">
        <f>F8+F9</f>
        <v>-144.689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0.774</v>
      </c>
      <c r="D11" s="23" t="n">
        <v>5.026</v>
      </c>
      <c r="E11" s="23" t="n">
        <v>-0.393</v>
      </c>
      <c r="F11" s="23" t="n">
        <v>0.046</v>
      </c>
    </row>
    <row r="12">
      <c r="A12" s="2" t="inlineStr">
        <is>
          <t>Net Income</t>
        </is>
      </c>
      <c r="B12" s="23" t="n">
        <v>-87.931</v>
      </c>
      <c r="C12" s="23" t="n">
        <v>-198.375</v>
      </c>
      <c r="D12" s="23" t="n">
        <v>49.271</v>
      </c>
      <c r="E12" s="23" t="n">
        <v>-301.743</v>
      </c>
      <c r="F12" s="23" t="n">
        <v>-144.735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-1.4833915346593114</v>
      </c>
      <c r="C13" s="11">
        <f>IFERROR(C12/C14,0)</f>
        <v>-3.391257521881838</v>
      </c>
      <c r="D13" s="11">
        <f>IFERROR(D12/D14,0)</f>
        <v>0.7039619379634524</v>
      </c>
      <c r="E13" s="11">
        <f>IFERROR(E12/E14,0)</f>
        <v>-4.42815003962314</v>
      </c>
      <c r="F13" s="11">
        <f>IFERROR(F12/F14,0)</f>
        <v>-1.5305183681238501</v>
      </c>
    </row>
    <row r="14">
      <c r="A14" s="2" t="inlineStr">
        <is>
          <t>Shares</t>
        </is>
      </c>
      <c r="B14" s="23" t="n">
        <v>59.277</v>
      </c>
      <c r="C14" s="23" t="n">
        <v>58.496</v>
      </c>
      <c r="D14" s="23" t="n">
        <v>69.991</v>
      </c>
      <c r="E14" s="23" t="n">
        <v>68.142</v>
      </c>
      <c r="F14" s="23" t="n">
        <v>94.566</v>
      </c>
    </row>
    <row r="15"/>
    <row r="16" customFormat="1" s="4">
      <c r="A16" s="3" t="inlineStr">
        <is>
          <t>Revenue Change</t>
        </is>
      </c>
      <c r="C16" s="15">
        <f>IFERROR(C2/B2-1,"")</f>
        <v>77.00000000000001</v>
      </c>
      <c r="D16" s="15">
        <f>IFERROR(D2/C2-1,"")</f>
        <v>16.129374718848403</v>
      </c>
      <c r="E16" s="15">
        <f>IFERROR(E2/D2-1,"")</f>
        <v>-0.7705509131113013</v>
      </c>
      <c r="F16" s="15">
        <f>IFERROR(F2/E2-1,"")</f>
        <v>-1.0</v>
      </c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0.8653621232568601</v>
      </c>
      <c r="D17" s="15">
        <f>IFERROR(D4/D2,"")</f>
        <v>0.933188194944142</v>
      </c>
      <c r="E17" s="15">
        <f>IFERROR(E4/E2,"")</f>
        <v>0.9318652642181043</v>
      </c>
      <c r="F17" s="15">
        <f>IFERROR(F4/F2,"")</f>
        <v/>
      </c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-290.1333333333334</v>
      </c>
      <c r="C18" s="15">
        <f>IFERROR(C8/C2,"")</f>
        <v>-9.057174988753935</v>
      </c>
      <c r="D18" s="15">
        <f>IFERROR(D8/D2,"")</f>
        <v>0.10189975471787309</v>
      </c>
      <c r="E18" s="15">
        <f>IFERROR(E8/E2,"")</f>
        <v>-3.602236440008699</v>
      </c>
      <c r="F18" s="15">
        <f>IFERROR(F8/F2,"")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2026-10-21T01:04:16Z</dcterms:modified>
  <cp:lastModifiedBy>Wang, Eric</cp:lastModifiedBy>
</cp:coreProperties>
</file>