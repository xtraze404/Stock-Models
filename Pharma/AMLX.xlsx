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Amylyx Pharmaceuticals, Inc.</t>
        </is>
      </c>
      <c r="C2" s="10" t="n"/>
    </row>
    <row r="3">
      <c r="B3" t="inlineStr">
        <is>
          <t>Price</t>
        </is>
      </c>
      <c r="C3" s="11">
        <f>INDEX([1]Pharma!$F$1:$F$1000,MATCH("AMLX",[1]Pharma!$B$1:$B$1000,0))</f>
        <v>28.77</v>
      </c>
      <c r="F3" s="1" t="n"/>
    </row>
    <row r="4">
      <c r="B4" t="inlineStr">
        <is>
          <t>Shares</t>
        </is>
      </c>
      <c r="C4" s="21" t="n">
        <v>111.423048</v>
      </c>
      <c r="F4" s="1" t="n"/>
    </row>
    <row r="5">
      <c r="B5" t="inlineStr">
        <is>
          <t>Market Cap.</t>
        </is>
      </c>
      <c r="C5" s="13">
        <f>C3*C4</f>
        <v>3205.64109096</v>
      </c>
      <c r="F5" s="1" t="n"/>
    </row>
    <row r="6"/>
    <row r="7">
      <c r="B7" t="inlineStr">
        <is>
          <t>Cash</t>
        </is>
      </c>
      <c r="C7" s="21">
        <f>49.326+201.434</f>
        <v>250.76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2954.8810909599997</v>
      </c>
    </row>
    <row r="10"/>
    <row r="11">
      <c r="B11" s="14" t="inlineStr">
        <is>
          <t>rNPV / Share</t>
        </is>
      </c>
      <c r="C11" s="11">
        <f>NPV!B27</f>
        <v>6.561183727238602</v>
      </c>
    </row>
    <row r="12">
      <c r="B12" s="14" t="inlineStr">
        <is>
          <t>Upside</t>
        </is>
      </c>
      <c r="C12" s="15">
        <f>IFERROR(C11/C3-1,"")</f>
        <v>-0.7719435617921931</v>
      </c>
    </row>
    <row r="13">
      <c r="B13" s="14" t="inlineStr">
        <is>
          <t>Cash / Share</t>
        </is>
      </c>
      <c r="C13" s="11">
        <f>IFERROR((C7-C8)/C4,"")</f>
        <v>2.2505218130453586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-126.577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1.9810866113116916</v>
      </c>
    </row>
    <row r="19">
      <c r="B19" s="14" t="inlineStr">
        <is>
          <t>Implied Pipeline Value</t>
        </is>
      </c>
      <c r="C19" s="13">
        <f>C9</f>
        <v>2954.8810909599997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0.285</v>
      </c>
      <c r="C2" s="23" t="n">
        <v>22.23</v>
      </c>
      <c r="D2" s="23" t="n">
        <v>380.786</v>
      </c>
      <c r="E2" s="23" t="n">
        <v>87.371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2.993</v>
      </c>
      <c r="D3" s="23" t="n">
        <v>25.441</v>
      </c>
      <c r="E3" s="23" t="n">
        <v>5.953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0.285</v>
      </c>
      <c r="C4" s="23">
        <f>C2-C3</f>
        <v>19.237000000000002</v>
      </c>
      <c r="D4" s="23">
        <f>D2-D3</f>
        <v>355.345</v>
      </c>
      <c r="E4" s="23">
        <f>E2-E3</f>
        <v>81.41799999999999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44.04</v>
      </c>
      <c r="C5" s="23" t="n">
        <v>93.45</v>
      </c>
      <c r="D5" s="23" t="n">
        <v>128.187</v>
      </c>
      <c r="E5" s="23" t="n">
        <v>104.084</v>
      </c>
      <c r="F5" s="23" t="n">
        <v>90.404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38.933</v>
      </c>
      <c r="C6" s="23" t="n">
        <v>127.128</v>
      </c>
      <c r="D6" s="23" t="n">
        <v>188.356</v>
      </c>
      <c r="E6" s="23" t="n">
        <v>292.065</v>
      </c>
      <c r="F6" s="23" t="n">
        <v>62.887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82.973</v>
      </c>
      <c r="C7" s="23">
        <f>SUM(C5:C6)</f>
        <v>220.578</v>
      </c>
      <c r="D7" s="23">
        <f>SUM(D5:D6)</f>
        <v>316.543</v>
      </c>
      <c r="E7" s="23">
        <f>SUM(E5:E6)</f>
        <v>396.149</v>
      </c>
      <c r="F7" s="23">
        <f>SUM(F5:F6)</f>
        <v>153.291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-82.688</v>
      </c>
      <c r="C8" s="23">
        <f>C4-C7</f>
        <v>-201.341</v>
      </c>
      <c r="D8" s="23">
        <f>D4-D7</f>
        <v>38.80200000000002</v>
      </c>
      <c r="E8" s="23">
        <f>E4-E7</f>
        <v>-314.731</v>
      </c>
      <c r="F8" s="23">
        <f>F4-F7</f>
        <v>-153.291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-5.243</v>
      </c>
      <c r="C9" s="23" t="n">
        <v>3.74</v>
      </c>
      <c r="D9" s="23" t="n">
        <v>15.495</v>
      </c>
      <c r="E9" s="23" t="n">
        <v>12.595</v>
      </c>
      <c r="F9" s="23" t="n">
        <v>8.602</v>
      </c>
    </row>
    <row r="10">
      <c r="A10" s="2" t="inlineStr">
        <is>
          <t>Pretax</t>
        </is>
      </c>
      <c r="B10" s="23">
        <f>B8+B9</f>
        <v>-87.931</v>
      </c>
      <c r="C10" s="23">
        <f>C8+C9</f>
        <v>-197.601</v>
      </c>
      <c r="D10" s="23">
        <f>D8+D9</f>
        <v>54.29700000000002</v>
      </c>
      <c r="E10" s="23">
        <f>E8+E9</f>
        <v>-302.13599999999997</v>
      </c>
      <c r="F10" s="23">
        <f>F8+F9</f>
        <v>-144.689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0.774</v>
      </c>
      <c r="D11" s="23" t="n">
        <v>5.026</v>
      </c>
      <c r="E11" s="23" t="n">
        <v>-0.393</v>
      </c>
      <c r="F11" s="23" t="n">
        <v>0.046</v>
      </c>
    </row>
    <row r="12">
      <c r="A12" s="2" t="inlineStr">
        <is>
          <t>Net Income</t>
        </is>
      </c>
      <c r="B12" s="23" t="n">
        <v>-87.931</v>
      </c>
      <c r="C12" s="23" t="n">
        <v>-198.375</v>
      </c>
      <c r="D12" s="23" t="n">
        <v>49.271</v>
      </c>
      <c r="E12" s="23" t="n">
        <v>-301.743</v>
      </c>
      <c r="F12" s="23" t="n">
        <v>-144.735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-1.4833915346593114</v>
      </c>
      <c r="C13" s="11">
        <f>IFERROR(C12/C14,0)</f>
        <v>-3.391257521881838</v>
      </c>
      <c r="D13" s="11">
        <f>IFERROR(D12/D14,0)</f>
        <v>0.7039619379634524</v>
      </c>
      <c r="E13" s="11">
        <f>IFERROR(E12/E14,0)</f>
        <v>-4.42815003962314</v>
      </c>
      <c r="F13" s="11">
        <f>IFERROR(F12/F14,0)</f>
        <v>-1.5305183681238501</v>
      </c>
    </row>
    <row r="14">
      <c r="A14" s="2" t="inlineStr">
        <is>
          <t>Shares</t>
        </is>
      </c>
      <c r="B14" s="23" t="n">
        <v>59.277</v>
      </c>
      <c r="C14" s="23" t="n">
        <v>58.496</v>
      </c>
      <c r="D14" s="23" t="n">
        <v>69.991</v>
      </c>
      <c r="E14" s="23" t="n">
        <v>68.142</v>
      </c>
      <c r="F14" s="23" t="n">
        <v>94.566</v>
      </c>
    </row>
    <row r="15"/>
    <row r="16" customFormat="1" s="4">
      <c r="A16" s="3" t="inlineStr">
        <is>
          <t>Revenue Change</t>
        </is>
      </c>
      <c r="C16" s="15">
        <f>IFERROR(C2/B2-1,"")</f>
        <v>77.00000000000001</v>
      </c>
      <c r="D16" s="15">
        <f>IFERROR(D2/C2-1,"")</f>
        <v>16.129374718848403</v>
      </c>
      <c r="E16" s="15">
        <f>IFERROR(E2/D2-1,"")</f>
        <v>-0.7705509131113013</v>
      </c>
      <c r="F16" s="15">
        <f>IFERROR(F2/E2-1,"")</f>
        <v>-1.0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0.8653621232568601</v>
      </c>
      <c r="D17" s="15">
        <f>IFERROR(D4/D2,"")</f>
        <v>0.933188194944142</v>
      </c>
      <c r="E17" s="15">
        <f>IFERROR(E4/E2,"")</f>
        <v>0.9318652642181043</v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-290.1333333333334</v>
      </c>
      <c r="C18" s="15">
        <f>IFERROR(C8/C2,"")</f>
        <v>-9.057174988753935</v>
      </c>
      <c r="D18" s="15">
        <f>IFERROR(D8/D2,"")</f>
        <v>0.10189975471787309</v>
      </c>
      <c r="E18" s="15">
        <f>IFERROR(E8/E2,"")</f>
        <v>-3.602236440008699</v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Amylyx Pharmaceuticals,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0.66888901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162.103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732.8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480.3070893769257</v>
      </c>
      <c r="C29" s="42">
        <f>NPV!B25</f>
        <v>731.0670893769257</v>
      </c>
      <c r="D29" s="43">
        <f>NPV!B27</f>
        <v>6.561183727238602</v>
      </c>
      <c r="E29" s="44">
        <f>NPV!B29</f>
        <v>-0.7719435617921931</v>
      </c>
    </row>
    <row r="30">
      <c r="A30" s="45" t="n">
        <v>1</v>
      </c>
      <c r="B30" s="46">
        <f t="dataTable" ref="B30:E32" r1="B4"/>
        <v>-33.338173741418245</v>
      </c>
      <c r="C30" s="46">
        <v>217.42182625858175</v>
      </c>
      <c r="D30" s="47">
        <v>1.9513182430495148</v>
      </c>
      <c r="E30" s="48">
        <v>-0.9321752435505903</v>
      </c>
    </row>
    <row r="31">
      <c r="A31" s="45" t="n">
        <v>2</v>
      </c>
      <c r="B31" s="46">
        <v>480.3070893769257</v>
      </c>
      <c r="C31" s="46">
        <v>731.0670893769257</v>
      </c>
      <c r="D31" s="47">
        <v>6.561183727238602</v>
      </c>
      <c r="E31" s="48">
        <v>-0.7719435617921931</v>
      </c>
    </row>
    <row r="32">
      <c r="A32" s="45" t="n">
        <v>3</v>
      </c>
      <c r="B32" s="46">
        <v>1265.3968179963638</v>
      </c>
      <c r="C32" s="46">
        <v>1516.1568179963638</v>
      </c>
      <c r="D32" s="47">
        <v>13.607210045056062</v>
      </c>
      <c r="E32" s="48">
        <v>-0.5270347568628411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6.561183727238602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0.9831646148163803</v>
      </c>
      <c r="C37" s="47">
        <v>2.4532017947014424</v>
      </c>
      <c r="D37" s="47">
        <v>3.7473081774496393</v>
      </c>
      <c r="E37" s="47">
        <v>6.238312746792712</v>
      </c>
      <c r="F37" s="47">
        <v>8.669298522413671</v>
      </c>
    </row>
    <row r="38">
      <c r="A38" s="50" t="n">
        <v>0.8</v>
      </c>
      <c r="B38" s="47">
        <v>1.6708633583474912</v>
      </c>
      <c r="C38" s="47">
        <v>3.4804693489971568</v>
      </c>
      <c r="D38" s="47">
        <v>5.156255049155551</v>
      </c>
      <c r="E38" s="47">
        <v>8.41614811772374</v>
      </c>
      <c r="F38" s="47">
        <v>11.6258429239044</v>
      </c>
    </row>
    <row r="39">
      <c r="A39" s="50" t="n">
        <v>1</v>
      </c>
      <c r="B39" s="47">
        <v>2.3662749471987405</v>
      </c>
      <c r="C39" s="47">
        <v>4.501112727848969</v>
      </c>
      <c r="D39" s="47">
        <v>6.561183727238602</v>
      </c>
      <c r="E39" s="47">
        <v>10.598548290987814</v>
      </c>
      <c r="F39" s="47">
        <v>14.585180657110094</v>
      </c>
    </row>
    <row r="40">
      <c r="A40" s="50" t="n">
        <v>1.2</v>
      </c>
      <c r="B40" s="47">
        <v>3.011515990345825</v>
      </c>
      <c r="C40" s="47">
        <v>5.5279422935827</v>
      </c>
      <c r="D40" s="47">
        <v>7.97585214531278</v>
      </c>
      <c r="E40" s="47">
        <v>12.784984138575718</v>
      </c>
      <c r="F40" s="47">
        <v>17.558252671828697</v>
      </c>
    </row>
    <row r="41">
      <c r="A41" s="50" t="n">
        <v>1.4</v>
      </c>
      <c r="B41" s="47">
        <v>3.6669137852942644</v>
      </c>
      <c r="C41" s="47">
        <v>6.566075147057857</v>
      </c>
      <c r="D41" s="47">
        <v>9.398467638861588</v>
      </c>
      <c r="E41" s="47">
        <v>14.991259699898977</v>
      </c>
      <c r="F41" s="47">
        <v>20.54068445889154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Amylyx Pharmaceuticals,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ALS</t>
        </is>
      </c>
      <c r="C4" s="14" t="inlineStr">
        <is>
          <t>AMX0035, AMX0114</t>
        </is>
      </c>
      <c r="D4" s="14" t="inlineStr">
        <is>
          <t>Phase 3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800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648.7168448600528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45.224000000000004</v>
      </c>
      <c r="Q4" s="23">
        <f>IF(Q$3&lt;$I4,0,$G4*Assumptions!$E$11*INDEX(Assumptions!$B$24:$G$24,MIN(6,Q$3-$I4+1))*IF(Q$3&gt;$J4,(1-Assumptions!$B$26)^(Q$3-$J4),1)*IF($H4&gt;=1,1,MIN(0.97,$H4*Assumptions!$E$12)))</f>
        <v>113.06</v>
      </c>
      <c r="R4" s="23">
        <f>IF(R$3&lt;$I4,0,$G4*Assumptions!$E$11*INDEX(Assumptions!$B$24:$G$24,MIN(6,R$3-$I4+1))*IF(R$3&gt;$J4,(1-Assumptions!$B$26)^(R$3-$J4),1)*IF($H4&gt;=1,1,MIN(0.97,$H4*Assumptions!$E$12)))</f>
        <v>203.508</v>
      </c>
      <c r="S4" s="23">
        <f>IF(S$3&lt;$I4,0,$G4*Assumptions!$E$11*INDEX(Assumptions!$B$24:$G$24,MIN(6,S$3-$I4+1))*IF(S$3&gt;$J4,(1-Assumptions!$B$26)^(S$3-$J4),1)*IF($H4&gt;=1,1,MIN(0.97,$H4*Assumptions!$E$12)))</f>
        <v>293.956</v>
      </c>
      <c r="T4" s="23">
        <f>IF(T$3&lt;$I4,0,$G4*Assumptions!$E$11*INDEX(Assumptions!$B$24:$G$24,MIN(6,T$3-$I4+1))*IF(T$3&gt;$J4,(1-Assumptions!$B$26)^(T$3-$J4),1)*IF($H4&gt;=1,1,MIN(0.97,$H4*Assumptions!$E$12)))</f>
        <v>384.404</v>
      </c>
      <c r="U4" s="23">
        <f>IF(U$3&lt;$I4,0,$G4*Assumptions!$E$11*INDEX(Assumptions!$B$24:$G$24,MIN(6,U$3-$I4+1))*IF(U$3&gt;$J4,(1-Assumptions!$B$26)^(U$3-$J4),1)*IF($H4&gt;=1,1,MIN(0.97,$H4*Assumptions!$E$12)))</f>
        <v>452.24</v>
      </c>
      <c r="V4" s="23">
        <f>IF(V$3&lt;$I4,0,$G4*Assumptions!$E$11*INDEX(Assumptions!$B$24:$G$24,MIN(6,V$3-$I4+1))*IF(V$3&gt;$J4,(1-Assumptions!$B$26)^(V$3-$J4),1)*IF($H4&gt;=1,1,MIN(0.97,$H4*Assumptions!$E$12)))</f>
        <v>452.24</v>
      </c>
      <c r="W4" s="23">
        <f>IF(W$3&lt;$I4,0,$G4*Assumptions!$E$11*INDEX(Assumptions!$B$24:$G$24,MIN(6,W$3-$I4+1))*IF(W$3&gt;$J4,(1-Assumptions!$B$26)^(W$3-$J4),1)*IF($H4&gt;=1,1,MIN(0.97,$H4*Assumptions!$E$12)))</f>
        <v>452.24</v>
      </c>
      <c r="X4" s="23">
        <f>IF(X$3&lt;$I4,0,$G4*Assumptions!$E$11*INDEX(Assumptions!$B$24:$G$24,MIN(6,X$3-$I4+1))*IF(X$3&gt;$J4,(1-Assumptions!$B$26)^(X$3-$J4),1)*IF($H4&gt;=1,1,MIN(0.97,$H4*Assumptions!$E$12)))</f>
        <v>452.24</v>
      </c>
      <c r="Y4" s="23">
        <f>IF(Y$3&lt;$I4,0,$G4*Assumptions!$E$11*INDEX(Assumptions!$B$24:$G$24,MIN(6,Y$3-$I4+1))*IF(Y$3&gt;$J4,(1-Assumptions!$B$26)^(Y$3-$J4),1)*IF($H4&gt;=1,1,MIN(0.97,$H4*Assumptions!$E$12)))</f>
        <v>452.24</v>
      </c>
      <c r="Z4" s="23">
        <f>IF(Z$3&lt;$I4,0,$G4*Assumptions!$E$11*INDEX(Assumptions!$B$24:$G$24,MIN(6,Z$3-$I4+1))*IF(Z$3&gt;$J4,(1-Assumptions!$B$26)^(Z$3-$J4),1)*IF($H4&gt;=1,1,MIN(0.97,$H4*Assumptions!$E$12)))</f>
        <v>452.24</v>
      </c>
      <c r="AA4" s="23">
        <f>IF(AA$3&lt;$I4,0,$G4*Assumptions!$E$11*INDEX(Assumptions!$B$24:$G$24,MIN(6,AA$3-$I4+1))*IF(AA$3&gt;$J4,(1-Assumptions!$B$26)^(AA$3-$J4),1)*IF($H4&gt;=1,1,MIN(0.97,$H4*Assumptions!$E$12)))</f>
        <v>452.24</v>
      </c>
      <c r="AB4" s="23">
        <f>IF(AB$3&lt;$I4,0,$G4*Assumptions!$E$11*INDEX(Assumptions!$B$24:$G$24,MIN(6,AB$3-$I4+1))*IF(AB$3&gt;$J4,(1-Assumptions!$B$26)^(AB$3-$J4),1)*IF($H4&gt;=1,1,MIN(0.97,$H4*Assumptions!$E$12)))</f>
        <v>452.24</v>
      </c>
      <c r="AC4" s="23">
        <f>IF(AC$3&lt;$I4,0,$G4*Assumptions!$E$11*INDEX(Assumptions!$B$24:$G$24,MIN(6,AC$3-$I4+1))*IF(AC$3&gt;$J4,(1-Assumptions!$B$26)^(AC$3-$J4),1)*IF($H4&gt;=1,1,MIN(0.97,$H4*Assumptions!$E$12)))</f>
        <v>226.12</v>
      </c>
      <c r="AD4" s="23">
        <f>IF(AD$3&lt;$I4,0,$G4*Assumptions!$E$11*INDEX(Assumptions!$B$24:$G$24,MIN(6,AD$3-$I4+1))*IF(AD$3&gt;$J4,(1-Assumptions!$B$26)^(AD$3-$J4),1)*IF($H4&gt;=1,1,MIN(0.97,$H4*Assumptions!$E$12)))</f>
        <v>113.06</v>
      </c>
      <c r="AE4" s="23">
        <f>IF(AE$3&lt;$I4,0,$G4*Assumptions!$E$11*INDEX(Assumptions!$B$24:$G$24,MIN(6,AE$3-$I4+1))*IF(AE$3&gt;$J4,(1-Assumptions!$B$26)^(AE$3-$J4),1)*IF($H4&gt;=1,1,MIN(0.97,$H4*Assumptions!$E$12)))</f>
        <v>56.53</v>
      </c>
      <c r="AF4" s="23">
        <f>IF(AF$3&lt;$I4,0,$G4*Assumptions!$E$11*INDEX(Assumptions!$B$24:$G$24,MIN(6,AF$3-$I4+1))*IF(AF$3&gt;$J4,(1-Assumptions!$B$26)^(AF$3-$J4),1)*IF($H4&gt;=1,1,MIN(0.97,$H4*Assumptions!$E$12)))</f>
        <v>28.265</v>
      </c>
      <c r="AG4" s="35">
        <f>IF(F4="Owned",1-IF(H4&gt;=1,1,MIN(0.97,H4*Assumptions!$E$12)),1)</f>
        <v>0.4347</v>
      </c>
    </row>
    <row r="5">
      <c r="A5" s="39" t="n">
        <v>2</v>
      </c>
      <c r="B5" s="14" t="inlineStr">
        <is>
          <t>Parkinson's disease</t>
        </is>
      </c>
      <c r="C5" s="14" t="inlineStr">
        <is>
          <t>AMX0035</t>
        </is>
      </c>
      <c r="D5" s="14" t="inlineStr">
        <is>
          <t>Phase 2/3</t>
        </is>
      </c>
      <c r="E5" s="14" t="inlineStr">
        <is>
          <t>Neurology / area</t>
        </is>
      </c>
      <c r="F5" s="14" t="inlineStr">
        <is>
          <t>Owned</t>
        </is>
      </c>
      <c r="G5" s="40" t="n">
        <v>1500</v>
      </c>
      <c r="H5" s="27" t="n">
        <v>0.2383</v>
      </c>
      <c r="I5" s="26" t="n">
        <v>2030</v>
      </c>
      <c r="J5" s="39">
        <f>I5+Assumptions!$B$25</f>
        <v>2042.0</v>
      </c>
      <c r="K5" s="53">
        <f>Assumptions!$E$13</f>
        <v>0.4</v>
      </c>
      <c r="L5" s="23">
        <f>K5*SUMPRODUCT(M5:AF5,NPV!$C$15:$V$15)</f>
        <v>456.8821477601053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35.745000000000005</v>
      </c>
      <c r="R5" s="23">
        <f>IF(R$3&lt;$I5,0,$G5*Assumptions!$E$11*INDEX(Assumptions!$B$24:$G$24,MIN(6,R$3-$I5+1))*IF(R$3&gt;$J5,(1-Assumptions!$B$26)^(R$3-$J5),1)*IF($H5&gt;=1,1,MIN(0.97,$H5*Assumptions!$E$12)))</f>
        <v>89.36250000000001</v>
      </c>
      <c r="S5" s="23">
        <f>IF(S$3&lt;$I5,0,$G5*Assumptions!$E$11*INDEX(Assumptions!$B$24:$G$24,MIN(6,S$3-$I5+1))*IF(S$3&gt;$J5,(1-Assumptions!$B$26)^(S$3-$J5),1)*IF($H5&gt;=1,1,MIN(0.97,$H5*Assumptions!$E$12)))</f>
        <v>160.85250000000002</v>
      </c>
      <c r="T5" s="23">
        <f>IF(T$3&lt;$I5,0,$G5*Assumptions!$E$11*INDEX(Assumptions!$B$24:$G$24,MIN(6,T$3-$I5+1))*IF(T$3&gt;$J5,(1-Assumptions!$B$26)^(T$3-$J5),1)*IF($H5&gt;=1,1,MIN(0.97,$H5*Assumptions!$E$12)))</f>
        <v>232.3425</v>
      </c>
      <c r="U5" s="23">
        <f>IF(U$3&lt;$I5,0,$G5*Assumptions!$E$11*INDEX(Assumptions!$B$24:$G$24,MIN(6,U$3-$I5+1))*IF(U$3&gt;$J5,(1-Assumptions!$B$26)^(U$3-$J5),1)*IF($H5&gt;=1,1,MIN(0.97,$H5*Assumptions!$E$12)))</f>
        <v>303.83250000000004</v>
      </c>
      <c r="V5" s="23">
        <f>IF(V$3&lt;$I5,0,$G5*Assumptions!$E$11*INDEX(Assumptions!$B$24:$G$24,MIN(6,V$3-$I5+1))*IF(V$3&gt;$J5,(1-Assumptions!$B$26)^(V$3-$J5),1)*IF($H5&gt;=1,1,MIN(0.97,$H5*Assumptions!$E$12)))</f>
        <v>357.45000000000005</v>
      </c>
      <c r="W5" s="23">
        <f>IF(W$3&lt;$I5,0,$G5*Assumptions!$E$11*INDEX(Assumptions!$B$24:$G$24,MIN(6,W$3-$I5+1))*IF(W$3&gt;$J5,(1-Assumptions!$B$26)^(W$3-$J5),1)*IF($H5&gt;=1,1,MIN(0.97,$H5*Assumptions!$E$12)))</f>
        <v>357.45000000000005</v>
      </c>
      <c r="X5" s="23">
        <f>IF(X$3&lt;$I5,0,$G5*Assumptions!$E$11*INDEX(Assumptions!$B$24:$G$24,MIN(6,X$3-$I5+1))*IF(X$3&gt;$J5,(1-Assumptions!$B$26)^(X$3-$J5),1)*IF($H5&gt;=1,1,MIN(0.97,$H5*Assumptions!$E$12)))</f>
        <v>357.45000000000005</v>
      </c>
      <c r="Y5" s="23">
        <f>IF(Y$3&lt;$I5,0,$G5*Assumptions!$E$11*INDEX(Assumptions!$B$24:$G$24,MIN(6,Y$3-$I5+1))*IF(Y$3&gt;$J5,(1-Assumptions!$B$26)^(Y$3-$J5),1)*IF($H5&gt;=1,1,MIN(0.97,$H5*Assumptions!$E$12)))</f>
        <v>357.45000000000005</v>
      </c>
      <c r="Z5" s="23">
        <f>IF(Z$3&lt;$I5,0,$G5*Assumptions!$E$11*INDEX(Assumptions!$B$24:$G$24,MIN(6,Z$3-$I5+1))*IF(Z$3&gt;$J5,(1-Assumptions!$B$26)^(Z$3-$J5),1)*IF($H5&gt;=1,1,MIN(0.97,$H5*Assumptions!$E$12)))</f>
        <v>357.45000000000005</v>
      </c>
      <c r="AA5" s="23">
        <f>IF(AA$3&lt;$I5,0,$G5*Assumptions!$E$11*INDEX(Assumptions!$B$24:$G$24,MIN(6,AA$3-$I5+1))*IF(AA$3&gt;$J5,(1-Assumptions!$B$26)^(AA$3-$J5),1)*IF($H5&gt;=1,1,MIN(0.97,$H5*Assumptions!$E$12)))</f>
        <v>357.45000000000005</v>
      </c>
      <c r="AB5" s="23">
        <f>IF(AB$3&lt;$I5,0,$G5*Assumptions!$E$11*INDEX(Assumptions!$B$24:$G$24,MIN(6,AB$3-$I5+1))*IF(AB$3&gt;$J5,(1-Assumptions!$B$26)^(AB$3-$J5),1)*IF($H5&gt;=1,1,MIN(0.97,$H5*Assumptions!$E$12)))</f>
        <v>357.45000000000005</v>
      </c>
      <c r="AC5" s="23">
        <f>IF(AC$3&lt;$I5,0,$G5*Assumptions!$E$11*INDEX(Assumptions!$B$24:$G$24,MIN(6,AC$3-$I5+1))*IF(AC$3&gt;$J5,(1-Assumptions!$B$26)^(AC$3-$J5),1)*IF($H5&gt;=1,1,MIN(0.97,$H5*Assumptions!$E$12)))</f>
        <v>357.45000000000005</v>
      </c>
      <c r="AD5" s="23">
        <f>IF(AD$3&lt;$I5,0,$G5*Assumptions!$E$11*INDEX(Assumptions!$B$24:$G$24,MIN(6,AD$3-$I5+1))*IF(AD$3&gt;$J5,(1-Assumptions!$B$26)^(AD$3-$J5),1)*IF($H5&gt;=1,1,MIN(0.97,$H5*Assumptions!$E$12)))</f>
        <v>178.72500000000002</v>
      </c>
      <c r="AE5" s="23">
        <f>IF(AE$3&lt;$I5,0,$G5*Assumptions!$E$11*INDEX(Assumptions!$B$24:$G$24,MIN(6,AE$3-$I5+1))*IF(AE$3&gt;$J5,(1-Assumptions!$B$26)^(AE$3-$J5),1)*IF($H5&gt;=1,1,MIN(0.97,$H5*Assumptions!$E$12)))</f>
        <v>89.36250000000001</v>
      </c>
      <c r="AF5" s="23">
        <f>IF(AF$3&lt;$I5,0,$G5*Assumptions!$E$11*INDEX(Assumptions!$B$24:$G$24,MIN(6,AF$3-$I5+1))*IF(AF$3&gt;$J5,(1-Assumptions!$B$26)^(AF$3-$J5),1)*IF($H5&gt;=1,1,MIN(0.97,$H5*Assumptions!$E$12)))</f>
        <v>44.681250000000006</v>
      </c>
      <c r="AG5" s="35">
        <f>IF(F5="Owned",1-IF(H5&gt;=1,1,MIN(0.97,H5*Assumptions!$E$12)),1)</f>
        <v>0.7617</v>
      </c>
    </row>
    <row r="6">
      <c r="B6" s="24" t="inlineStr">
        <is>
          <t>Risked revenue</t>
        </is>
      </c>
      <c r="L6" s="54">
        <f>SUM(L4:L5)</f>
        <v>1105.598992620158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45.224000000000004</v>
      </c>
      <c r="Q6" s="54">
        <f>SUM(Q4:Q5)</f>
        <v>148.805</v>
      </c>
      <c r="R6" s="54">
        <f>SUM(R4:R5)</f>
        <v>292.8705</v>
      </c>
      <c r="S6" s="54">
        <f>SUM(S4:S5)</f>
        <v>454.80850000000004</v>
      </c>
      <c r="T6" s="54">
        <f>SUM(T4:T5)</f>
        <v>616.7465</v>
      </c>
      <c r="U6" s="54">
        <f>SUM(U4:U5)</f>
        <v>756.0725</v>
      </c>
      <c r="V6" s="54">
        <f>SUM(V4:V5)</f>
        <v>809.69</v>
      </c>
      <c r="W6" s="54">
        <f>SUM(W4:W5)</f>
        <v>809.69</v>
      </c>
      <c r="X6" s="54">
        <f>SUM(X4:X5)</f>
        <v>809.69</v>
      </c>
      <c r="Y6" s="54">
        <f>SUM(Y4:Y5)</f>
        <v>809.69</v>
      </c>
      <c r="Z6" s="54">
        <f>SUM(Z4:Z5)</f>
        <v>809.69</v>
      </c>
      <c r="AA6" s="54">
        <f>SUM(AA4:AA5)</f>
        <v>809.69</v>
      </c>
      <c r="AB6" s="54">
        <f>SUM(AB4:AB5)</f>
        <v>809.69</v>
      </c>
      <c r="AC6" s="54">
        <f>SUM(AC4:AC5)</f>
        <v>583.57</v>
      </c>
      <c r="AD6" s="54">
        <f>SUM(AD4:AD5)</f>
        <v>291.785</v>
      </c>
      <c r="AE6" s="54">
        <f>SUM(AE4:AE5)</f>
        <v>145.8925</v>
      </c>
      <c r="AF6" s="54">
        <f>SUM(AF4:AF5)</f>
        <v>72.94625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18.0896</v>
      </c>
      <c r="Q7" s="55">
        <f>SUMPRODUCT(Q4:Q5,$K$4:$K$5)</f>
        <v>59.522000000000006</v>
      </c>
      <c r="R7" s="55">
        <f>SUMPRODUCT(R4:R5,$K$4:$K$5)</f>
        <v>117.14820000000002</v>
      </c>
      <c r="S7" s="55">
        <f>SUMPRODUCT(S4:S5,$K$4:$K$5)</f>
        <v>181.92340000000002</v>
      </c>
      <c r="T7" s="55">
        <f>SUMPRODUCT(T4:T5,$K$4:$K$5)</f>
        <v>246.69860000000003</v>
      </c>
      <c r="U7" s="55">
        <f>SUMPRODUCT(U4:U5,$K$4:$K$5)</f>
        <v>302.42900000000003</v>
      </c>
      <c r="V7" s="55">
        <f>SUMPRODUCT(V4:V5,$K$4:$K$5)</f>
        <v>323.87600000000003</v>
      </c>
      <c r="W7" s="55">
        <f>SUMPRODUCT(W4:W5,$K$4:$K$5)</f>
        <v>323.87600000000003</v>
      </c>
      <c r="X7" s="55">
        <f>SUMPRODUCT(X4:X5,$K$4:$K$5)</f>
        <v>323.87600000000003</v>
      </c>
      <c r="Y7" s="55">
        <f>SUMPRODUCT(Y4:Y5,$K$4:$K$5)</f>
        <v>323.87600000000003</v>
      </c>
      <c r="Z7" s="55">
        <f>SUMPRODUCT(Z4:Z5,$K$4:$K$5)</f>
        <v>323.87600000000003</v>
      </c>
      <c r="AA7" s="55">
        <f>SUMPRODUCT(AA4:AA5,$K$4:$K$5)</f>
        <v>323.87600000000003</v>
      </c>
      <c r="AB7" s="55">
        <f>SUMPRODUCT(AB4:AB5,$K$4:$K$5)</f>
        <v>323.87600000000003</v>
      </c>
      <c r="AC7" s="55">
        <f>SUMPRODUCT(AC4:AC5,$K$4:$K$5)</f>
        <v>233.42800000000003</v>
      </c>
      <c r="AD7" s="55">
        <f>SUMPRODUCT(AD4:AD5,$K$4:$K$5)</f>
        <v>116.71400000000001</v>
      </c>
      <c r="AE7" s="55">
        <f>SUMPRODUCT(AE4:AE5,$K$4:$K$5)</f>
        <v>58.357000000000006</v>
      </c>
      <c r="AF7" s="55">
        <f>SUMPRODUCT(AF4:AF5,$K$4:$K$5)</f>
        <v>29.178500000000003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Amylyx Pharmaceuticals,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45.224000000000004</v>
      </c>
      <c r="G4" s="57">
        <f>Pipeline!Q6</f>
        <v>148.805</v>
      </c>
      <c r="H4" s="57">
        <f>Pipeline!R6</f>
        <v>292.8705</v>
      </c>
      <c r="I4" s="57">
        <f>Pipeline!S6</f>
        <v>454.80850000000004</v>
      </c>
      <c r="J4" s="57">
        <f>Pipeline!T6</f>
        <v>616.7465</v>
      </c>
      <c r="K4" s="57">
        <f>Pipeline!U6</f>
        <v>756.0725</v>
      </c>
      <c r="L4" s="57">
        <f>Pipeline!V6</f>
        <v>809.69</v>
      </c>
      <c r="M4" s="57">
        <f>Pipeline!W6</f>
        <v>809.69</v>
      </c>
      <c r="N4" s="57">
        <f>Pipeline!X6</f>
        <v>809.69</v>
      </c>
      <c r="O4" s="57">
        <f>Pipeline!Y6</f>
        <v>809.69</v>
      </c>
      <c r="P4" s="57">
        <f>Pipeline!Z6</f>
        <v>809.69</v>
      </c>
      <c r="Q4" s="57">
        <f>Pipeline!AA6</f>
        <v>809.69</v>
      </c>
      <c r="R4" s="57">
        <f>Pipeline!AB6</f>
        <v>809.69</v>
      </c>
      <c r="S4" s="57">
        <f>Pipeline!AC6</f>
        <v>583.57</v>
      </c>
      <c r="T4" s="57">
        <f>Pipeline!AD6</f>
        <v>291.785</v>
      </c>
      <c r="U4" s="57">
        <f>Pipeline!AE6</f>
        <v>145.8925</v>
      </c>
      <c r="V4" s="57">
        <f>Pipeline!AF6</f>
        <v>72.94625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18.0896</v>
      </c>
      <c r="G5" s="57">
        <f>Pipeline!Q7</f>
        <v>59.522000000000006</v>
      </c>
      <c r="H5" s="57">
        <f>Pipeline!R7</f>
        <v>117.14820000000002</v>
      </c>
      <c r="I5" s="57">
        <f>Pipeline!S7</f>
        <v>181.92340000000002</v>
      </c>
      <c r="J5" s="57">
        <f>Pipeline!T7</f>
        <v>246.69860000000003</v>
      </c>
      <c r="K5" s="57">
        <f>Pipeline!U7</f>
        <v>302.42900000000003</v>
      </c>
      <c r="L5" s="57">
        <f>Pipeline!V7</f>
        <v>323.87600000000003</v>
      </c>
      <c r="M5" s="57">
        <f>Pipeline!W7</f>
        <v>323.87600000000003</v>
      </c>
      <c r="N5" s="57">
        <f>Pipeline!X7</f>
        <v>323.87600000000003</v>
      </c>
      <c r="O5" s="57">
        <f>Pipeline!Y7</f>
        <v>323.87600000000003</v>
      </c>
      <c r="P5" s="57">
        <f>Pipeline!Z7</f>
        <v>323.87600000000003</v>
      </c>
      <c r="Q5" s="57">
        <f>Pipeline!AA7</f>
        <v>323.87600000000003</v>
      </c>
      <c r="R5" s="57">
        <f>Pipeline!AB7</f>
        <v>323.87600000000003</v>
      </c>
      <c r="S5" s="57">
        <f>Pipeline!AC7</f>
        <v>233.42800000000003</v>
      </c>
      <c r="T5" s="57">
        <f>Pipeline!AD7</f>
        <v>116.71400000000001</v>
      </c>
      <c r="U5" s="57">
        <f>Pipeline!AE7</f>
        <v>58.357000000000006</v>
      </c>
      <c r="V5" s="57">
        <f>Pipeline!AF7</f>
        <v>29.178500000000003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-162.103</v>
      </c>
      <c r="D6" s="23">
        <f>-IF(D3-2026&lt;Assumptions!$B$19,Assumptions!$B$18,Assumptions!$B$18*Assumptions!$B$20*Assumptions!$B$16)</f>
        <v>-162.103</v>
      </c>
      <c r="E6" s="23">
        <f>-IF(E3-2026&lt;Assumptions!$B$19,Assumptions!$B$18,Assumptions!$B$18*Assumptions!$B$20*Assumptions!$B$16)</f>
        <v>-162.103</v>
      </c>
      <c r="F6" s="23">
        <f>-IF(F3-2026&lt;Assumptions!$B$19,Assumptions!$B$18,Assumptions!$B$18*Assumptions!$B$20*Assumptions!$B$16)</f>
        <v>-32.528674556409</v>
      </c>
      <c r="G6" s="23">
        <f>-IF(G3-2026&lt;Assumptions!$B$19,Assumptions!$B$18,Assumptions!$B$18*Assumptions!$B$20*Assumptions!$B$16)</f>
        <v>-32.528674556409</v>
      </c>
      <c r="H6" s="23">
        <f>-IF(H3-2026&lt;Assumptions!$B$19,Assumptions!$B$18,Assumptions!$B$18*Assumptions!$B$20*Assumptions!$B$16)</f>
        <v>-32.528674556409</v>
      </c>
      <c r="I6" s="23">
        <f>-IF(I3-2026&lt;Assumptions!$B$19,Assumptions!$B$18,Assumptions!$B$18*Assumptions!$B$20*Assumptions!$B$16)</f>
        <v>-32.528674556409</v>
      </c>
      <c r="J6" s="23">
        <f>-IF(J3-2026&lt;Assumptions!$B$19,Assumptions!$B$18,Assumptions!$B$18*Assumptions!$B$20*Assumptions!$B$16)</f>
        <v>-32.528674556409</v>
      </c>
      <c r="K6" s="23">
        <f>-IF(K3-2026&lt;Assumptions!$B$19,Assumptions!$B$18,Assumptions!$B$18*Assumptions!$B$20*Assumptions!$B$16)</f>
        <v>-32.528674556409</v>
      </c>
      <c r="L6" s="23">
        <f>-IF(L3-2026&lt;Assumptions!$B$19,Assumptions!$B$18,Assumptions!$B$18*Assumptions!$B$20*Assumptions!$B$16)</f>
        <v>-32.528674556409</v>
      </c>
      <c r="M6" s="23">
        <f>-IF(M3-2026&lt;Assumptions!$B$19,Assumptions!$B$18,Assumptions!$B$18*Assumptions!$B$20*Assumptions!$B$16)</f>
        <v>-32.528674556409</v>
      </c>
      <c r="N6" s="23">
        <f>-IF(N3-2026&lt;Assumptions!$B$19,Assumptions!$B$18,Assumptions!$B$18*Assumptions!$B$20*Assumptions!$B$16)</f>
        <v>-32.528674556409</v>
      </c>
      <c r="O6" s="23">
        <f>-IF(O3-2026&lt;Assumptions!$B$19,Assumptions!$B$18,Assumptions!$B$18*Assumptions!$B$20*Assumptions!$B$16)</f>
        <v>-32.528674556409</v>
      </c>
      <c r="P6" s="23">
        <f>-IF(P3-2026&lt;Assumptions!$B$19,Assumptions!$B$18,Assumptions!$B$18*Assumptions!$B$20*Assumptions!$B$16)</f>
        <v>-32.528674556409</v>
      </c>
      <c r="Q6" s="23">
        <f>-IF(Q3-2026&lt;Assumptions!$B$19,Assumptions!$B$18,Assumptions!$B$18*Assumptions!$B$20*Assumptions!$B$16)</f>
        <v>-32.528674556409</v>
      </c>
      <c r="R6" s="23">
        <f>-IF(R3-2026&lt;Assumptions!$B$19,Assumptions!$B$18,Assumptions!$B$18*Assumptions!$B$20*Assumptions!$B$16)</f>
        <v>-32.528674556409</v>
      </c>
      <c r="S6" s="23">
        <f>-IF(S3-2026&lt;Assumptions!$B$19,Assumptions!$B$18,Assumptions!$B$18*Assumptions!$B$20*Assumptions!$B$16)</f>
        <v>-32.528674556409</v>
      </c>
      <c r="T6" s="23">
        <f>-IF(T3-2026&lt;Assumptions!$B$19,Assumptions!$B$18,Assumptions!$B$18*Assumptions!$B$20*Assumptions!$B$16)</f>
        <v>-32.528674556409</v>
      </c>
      <c r="U6" s="23">
        <f>-IF(U3-2026&lt;Assumptions!$B$19,Assumptions!$B$18,Assumptions!$B$18*Assumptions!$B$20*Assumptions!$B$16)</f>
        <v>-32.528674556409</v>
      </c>
      <c r="V6" s="23">
        <f>-IF(V3-2026&lt;Assumptions!$B$19,Assumptions!$B$18,Assumptions!$B$18*Assumptions!$B$20*Assumptions!$B$16)</f>
        <v>-32.528674556409</v>
      </c>
    </row>
    <row r="7">
      <c r="A7" s="14" t="inlineStr">
        <is>
          <t>Pre-tax cash flow</t>
        </is>
      </c>
      <c r="C7" s="23">
        <f>C5+C6</f>
        <v>-162.103</v>
      </c>
      <c r="D7" s="23">
        <f>D5+D6</f>
        <v>-162.103</v>
      </c>
      <c r="E7" s="23">
        <f>E5+E6</f>
        <v>-162.103</v>
      </c>
      <c r="F7" s="23">
        <f>F5+F6</f>
        <v>-14.439074556409</v>
      </c>
      <c r="G7" s="23">
        <f>G5+G6</f>
        <v>26.993325443591004</v>
      </c>
      <c r="H7" s="23">
        <f>H5+H6</f>
        <v>84.61952544359102</v>
      </c>
      <c r="I7" s="23">
        <f>I5+I6</f>
        <v>149.39472544359103</v>
      </c>
      <c r="J7" s="23">
        <f>J5+J6</f>
        <v>214.169925443591</v>
      </c>
      <c r="K7" s="23">
        <f>K5+K6</f>
        <v>269.90032544359104</v>
      </c>
      <c r="L7" s="23">
        <f>L5+L6</f>
        <v>291.34732544359105</v>
      </c>
      <c r="M7" s="23">
        <f>M5+M6</f>
        <v>291.34732544359105</v>
      </c>
      <c r="N7" s="23">
        <f>N5+N6</f>
        <v>291.34732544359105</v>
      </c>
      <c r="O7" s="23">
        <f>O5+O6</f>
        <v>291.34732544359105</v>
      </c>
      <c r="P7" s="23">
        <f>P5+P6</f>
        <v>291.34732544359105</v>
      </c>
      <c r="Q7" s="23">
        <f>Q5+Q6</f>
        <v>291.34732544359105</v>
      </c>
      <c r="R7" s="23">
        <f>R5+R6</f>
        <v>291.34732544359105</v>
      </c>
      <c r="S7" s="23">
        <f>S5+S6</f>
        <v>200.899325443591</v>
      </c>
      <c r="T7" s="23">
        <f>T5+T6</f>
        <v>84.18532544359101</v>
      </c>
      <c r="U7" s="23">
        <f>U5+U6</f>
        <v>25.828325443591005</v>
      </c>
      <c r="V7" s="23">
        <f>V5+V6</f>
        <v>-3.350174556408998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26.993325443591004</v>
      </c>
      <c r="H8" s="23">
        <f>MIN(G17,MAX(0,H7))</f>
        <v>84.61952544359102</v>
      </c>
      <c r="I8" s="23">
        <f>MIN(H17,MAX(0,I7))</f>
        <v>149.39472544359103</v>
      </c>
      <c r="J8" s="23">
        <f>MIN(I17,MAX(0,J7))</f>
        <v>214.169925443591</v>
      </c>
      <c r="K8" s="23">
        <f>MIN(J17,MAX(0,K7))</f>
        <v>269.90032544359104</v>
      </c>
      <c r="L8" s="23">
        <f>MIN(K17,MAX(0,L7))</f>
        <v>291.34732544359105</v>
      </c>
      <c r="M8" s="23">
        <f>MIN(L17,MAX(0,M7))</f>
        <v>197.12292189486288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94.22440354872816</v>
      </c>
      <c r="N9" s="23">
        <f>MAX(0,N7)-N8</f>
        <v>291.34732544359105</v>
      </c>
      <c r="O9" s="23">
        <f>MAX(0,O7)-O8</f>
        <v>291.34732544359105</v>
      </c>
      <c r="P9" s="23">
        <f>MAX(0,P7)-P8</f>
        <v>291.34732544359105</v>
      </c>
      <c r="Q9" s="23">
        <f>MAX(0,Q7)-Q8</f>
        <v>291.34732544359105</v>
      </c>
      <c r="R9" s="23">
        <f>MAX(0,R7)-R8</f>
        <v>291.34732544359105</v>
      </c>
      <c r="S9" s="23">
        <f>MAX(0,S7)-S8</f>
        <v>200.899325443591</v>
      </c>
      <c r="T9" s="23">
        <f>MAX(0,T7)-T8</f>
        <v>84.18532544359101</v>
      </c>
      <c r="U9" s="23">
        <f>MAX(0,U7)-U8</f>
        <v>25.828325443591005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19.787124745232912</v>
      </c>
      <c r="N10" s="23">
        <f>N9*Assumptions!$E$15</f>
        <v>61.18293834315412</v>
      </c>
      <c r="O10" s="23">
        <f>O9*Assumptions!$E$15</f>
        <v>61.18293834315412</v>
      </c>
      <c r="P10" s="23">
        <f>P9*Assumptions!$E$15</f>
        <v>61.18293834315412</v>
      </c>
      <c r="Q10" s="23">
        <f>Q9*Assumptions!$E$15</f>
        <v>61.18293834315412</v>
      </c>
      <c r="R10" s="23">
        <f>R9*Assumptions!$E$15</f>
        <v>61.18293834315412</v>
      </c>
      <c r="S10" s="23">
        <f>S9*Assumptions!$E$15</f>
        <v>42.18885834315411</v>
      </c>
      <c r="T10" s="23">
        <f>T9*Assumptions!$E$15</f>
        <v>17.678918343154113</v>
      </c>
      <c r="U10" s="23">
        <f>U9*Assumptions!$E$15</f>
        <v>5.423948343154111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-162.103</v>
      </c>
      <c r="D11" s="55">
        <f>D7-D10</f>
        <v>-162.103</v>
      </c>
      <c r="E11" s="55">
        <f>E7-E10</f>
        <v>-162.103</v>
      </c>
      <c r="F11" s="55">
        <f>F7-F10</f>
        <v>-14.439074556409</v>
      </c>
      <c r="G11" s="55">
        <f>G7-G10</f>
        <v>26.993325443591004</v>
      </c>
      <c r="H11" s="55">
        <f>H7-H10</f>
        <v>84.61952544359102</v>
      </c>
      <c r="I11" s="55">
        <f>I7-I10</f>
        <v>149.39472544359103</v>
      </c>
      <c r="J11" s="55">
        <f>J7-J10</f>
        <v>214.169925443591</v>
      </c>
      <c r="K11" s="55">
        <f>K7-K10</f>
        <v>269.90032544359104</v>
      </c>
      <c r="L11" s="55">
        <f>L7-L10</f>
        <v>291.34732544359105</v>
      </c>
      <c r="M11" s="55">
        <f>M7-M10</f>
        <v>271.56020069835813</v>
      </c>
      <c r="N11" s="55">
        <f>N7-N10</f>
        <v>230.16438710043693</v>
      </c>
      <c r="O11" s="55">
        <f>O7-O10</f>
        <v>230.16438710043693</v>
      </c>
      <c r="P11" s="55">
        <f>P7-P10</f>
        <v>230.16438710043693</v>
      </c>
      <c r="Q11" s="55">
        <f>Q7-Q10</f>
        <v>230.16438710043693</v>
      </c>
      <c r="R11" s="55">
        <f>R7-R10</f>
        <v>230.16438710043693</v>
      </c>
      <c r="S11" s="55">
        <f>S7-S10</f>
        <v>158.71046710043692</v>
      </c>
      <c r="T11" s="55">
        <f>T7-T10</f>
        <v>66.5064071004369</v>
      </c>
      <c r="U11" s="55">
        <f>U7-U10</f>
        <v>20.404377100436896</v>
      </c>
      <c r="V11" s="55">
        <f>V7-V10</f>
        <v>-3.350174556408998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-79.41496468832364</v>
      </c>
      <c r="D16" s="55">
        <f>D11*D15</f>
        <v>-144.66758636126212</v>
      </c>
      <c r="E16" s="55">
        <f>E11*E15</f>
        <v>-129.16748782255542</v>
      </c>
      <c r="F16" s="55">
        <f>F11*F15</f>
        <v>-10.2726737835442</v>
      </c>
      <c r="G16" s="55">
        <f>G11*G15</f>
        <v>17.146777255341387</v>
      </c>
      <c r="H16" s="55">
        <f>H11*H15</f>
        <v>47.99308620047505</v>
      </c>
      <c r="I16" s="55">
        <f>I11*I15</f>
        <v>75.65285716231996</v>
      </c>
      <c r="J16" s="55">
        <f>J11*J15</f>
        <v>96.83459330606</v>
      </c>
      <c r="K16" s="55">
        <f>K11*K15</f>
        <v>108.95757603192075</v>
      </c>
      <c r="L16" s="55">
        <f>L11*L15</f>
        <v>105.01396048292348</v>
      </c>
      <c r="M16" s="55">
        <f>M11*M15</f>
        <v>87.3944996671089</v>
      </c>
      <c r="N16" s="55">
        <f>N11*N15</f>
        <v>66.13602421995338</v>
      </c>
      <c r="O16" s="55">
        <f>O11*O15</f>
        <v>59.05002162495837</v>
      </c>
      <c r="P16" s="55">
        <f>P11*P15</f>
        <v>52.72323359371283</v>
      </c>
      <c r="Q16" s="55">
        <f>Q11*Q15</f>
        <v>47.07431570867217</v>
      </c>
      <c r="R16" s="55">
        <f>R11*R15</f>
        <v>42.030639025600145</v>
      </c>
      <c r="S16" s="55">
        <f>S11*S15</f>
        <v>25.8770886241001</v>
      </c>
      <c r="T16" s="55">
        <f>T11*T15</f>
        <v>9.681782167610532</v>
      </c>
      <c r="U16" s="55">
        <f>U11*U15</f>
        <v>2.6521442359180827</v>
      </c>
      <c r="V16" s="55">
        <f>V11*V15</f>
        <v>-0.38879727406404024</v>
      </c>
    </row>
    <row r="17">
      <c r="A17" s="14" t="inlineStr">
        <is>
          <t>Tax-loss carryforward, end of year</t>
        </is>
      </c>
      <c r="C17" s="23">
        <f>Assumptions!$B$21-C8+MAX(0,-C7)</f>
        <v>894.903</v>
      </c>
      <c r="D17" s="23">
        <f>C17-D8+MAX(0,-D7)</f>
        <v>1057.006</v>
      </c>
      <c r="E17" s="23">
        <f>D17-E8+MAX(0,-E7)</f>
        <v>1219.1090000000002</v>
      </c>
      <c r="F17" s="23">
        <f>E17-F8+MAX(0,-F7)</f>
        <v>1233.5480745564091</v>
      </c>
      <c r="G17" s="23">
        <f>F17-G8+MAX(0,-G7)</f>
        <v>1206.5547491128182</v>
      </c>
      <c r="H17" s="23">
        <f>G17-H8+MAX(0,-H7)</f>
        <v>1121.935223669227</v>
      </c>
      <c r="I17" s="23">
        <f>H17-I8+MAX(0,-I7)</f>
        <v>972.540498225636</v>
      </c>
      <c r="J17" s="23">
        <f>I17-J8+MAX(0,-J7)</f>
        <v>758.370572782045</v>
      </c>
      <c r="K17" s="23">
        <f>J17-K8+MAX(0,-K7)</f>
        <v>488.47024733845393</v>
      </c>
      <c r="L17" s="23">
        <f>K17-L8+MAX(0,-L7)</f>
        <v>197.12292189486288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3.350174556408998</v>
      </c>
    </row>
    <row r="19">
      <c r="A19" s="14" t="inlineStr">
        <is>
          <t>PV of risked pipeline contribution</t>
        </is>
      </c>
      <c r="B19" s="23">
        <f>SUMPRODUCT(C5:V5,C15:V15)</f>
        <v>1105.5989926201578</v>
      </c>
    </row>
    <row r="20">
      <c r="A20" s="14" t="inlineStr">
        <is>
          <t>PV of corporate burn</t>
        </is>
      </c>
      <c r="B20" s="23">
        <f>SUMPRODUCT(C6:V6,C15:V15)</f>
        <v>-537.7881124565967</v>
      </c>
    </row>
    <row r="21">
      <c r="A21" s="14" t="inlineStr">
        <is>
          <t>PV of taxes</t>
        </is>
      </c>
      <c r="B21" s="23">
        <f>-SUMPRODUCT(C10:V10,C15:V15)</f>
        <v>-87.50379078663562</v>
      </c>
    </row>
    <row r="22">
      <c r="A22" s="24" t="inlineStr">
        <is>
          <t>Pipeline rNPV (operations)</t>
        </is>
      </c>
      <c r="B22" s="54">
        <f>SUM(C16:V16)</f>
        <v>480.3070893769257</v>
      </c>
    </row>
    <row r="23">
      <c r="A23" s="14" t="inlineStr">
        <is>
          <t>Cash &amp; investments</t>
        </is>
      </c>
      <c r="B23" s="57">
        <f>Main!C7</f>
        <v>250.76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731.0670893769257</v>
      </c>
    </row>
    <row r="26">
      <c r="A26" s="14" t="inlineStr">
        <is>
          <t>Shares (mm)</t>
        </is>
      </c>
      <c r="B26" s="57">
        <f>Main!C4</f>
        <v>111.423048</v>
      </c>
    </row>
    <row r="27">
      <c r="A27" s="24" t="inlineStr">
        <is>
          <t>rNPV / share</t>
        </is>
      </c>
      <c r="B27" s="60">
        <f>B25/B26</f>
        <v>6.561183727238602</v>
      </c>
    </row>
    <row r="28">
      <c r="A28" s="14" t="inlineStr">
        <is>
          <t>Price</t>
        </is>
      </c>
      <c r="B28" s="61">
        <f>Main!C3</f>
        <v>28.77</v>
      </c>
    </row>
    <row r="29">
      <c r="A29" s="14" t="inlineStr">
        <is>
          <t>Upside</t>
        </is>
      </c>
      <c r="B29" s="62">
        <f>B27/B28-1</f>
        <v>-0.7719435617921931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2026-10-21T06:22:10Z</dcterms:modified>
  <cp:lastModifiedBy>Wang, Eric</cp:lastModifiedBy>
</cp:coreProperties>
</file>