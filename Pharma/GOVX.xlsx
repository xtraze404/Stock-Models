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GeoVax Labs Inc</t>
        </is>
      </c>
      <c r="C2" s="10" t="n"/>
    </row>
    <row r="3">
      <c r="B3" t="inlineStr">
        <is>
          <t>Price</t>
        </is>
      </c>
      <c r="C3" s="11">
        <f>INDEX([1]Pharma!$F$1:$F$1000,MATCH("GOVX",[1]Pharma!$B$1:$B$1000,0))</f>
        <v>0.2271</v>
      </c>
      <c r="F3" s="1" t="n"/>
    </row>
    <row r="4">
      <c r="B4" t="inlineStr">
        <is>
          <t>Shares</t>
        </is>
      </c>
      <c r="C4" s="21" t="n">
        <v>7.369243</v>
      </c>
      <c r="F4" s="1" t="n"/>
    </row>
    <row r="5">
      <c r="B5" t="inlineStr">
        <is>
          <t>Market Cap.</t>
        </is>
      </c>
      <c r="C5" s="13">
        <f>C3*C4</f>
        <v>1.6735550853</v>
      </c>
      <c r="F5" s="1" t="n"/>
    </row>
    <row r="6"/>
    <row r="7">
      <c r="B7" t="inlineStr">
        <is>
          <t>Cash</t>
        </is>
      </c>
      <c r="C7" s="21" t="n">
        <v>3.143422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-1.4698669147</v>
      </c>
    </row>
    <row r="10"/>
    <row r="11">
      <c r="B11" s="14" t="inlineStr">
        <is>
          <t>Net Cash / Share</t>
        </is>
      </c>
      <c r="C11" s="11">
        <f>(C7-C8)/C4</f>
        <v>0.4265596886952975</v>
      </c>
    </row>
    <row r="12">
      <c r="B12" s="14" t="inlineStr">
        <is>
          <t>Upside</t>
        </is>
      </c>
      <c r="C12" s="15">
        <f>IFERROR(C11/C3-1,"")</f>
        <v>0.8782901307586855</v>
      </c>
    </row>
    <row r="13">
      <c r="B13" s="14" t="inlineStr">
        <is>
          <t>Cash / Share</t>
        </is>
      </c>
      <c r="C13" s="11">
        <f>IFERROR((C7-C8)/C4,"")</f>
        <v>0.4265596886952975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-18.37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0.17111714752313556</v>
      </c>
    </row>
    <row r="19">
      <c r="B19" s="14" t="inlineStr">
        <is>
          <t>Implied Pipeline Value</t>
        </is>
      </c>
      <c r="C19" s="13">
        <f>C9</f>
        <v>-1.4698669147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2002</v>
      </c>
      <c r="C1" s="17" t="n">
        <v>2003</v>
      </c>
      <c r="D1" s="17" t="n">
        <v>2004</v>
      </c>
      <c r="E1" s="17" t="n">
        <v>2005</v>
      </c>
      <c r="F1" s="17" t="n">
        <v>2006</v>
      </c>
      <c r="G1" s="17" t="n">
        <v>2007</v>
      </c>
      <c r="H1" s="17" t="n">
        <v>2008</v>
      </c>
      <c r="I1" s="17" t="n">
        <v>2009</v>
      </c>
      <c r="J1" s="17" t="n">
        <v>2010</v>
      </c>
      <c r="K1" s="17" t="n">
        <v>2011</v>
      </c>
      <c r="L1" s="17" t="n">
        <v>2012</v>
      </c>
      <c r="M1" s="17" t="n">
        <v>2013</v>
      </c>
      <c r="N1" s="17" t="n">
        <v>2014</v>
      </c>
      <c r="O1" s="17" t="n">
        <v>2015</v>
      </c>
      <c r="P1" s="17" t="n">
        <v>2016</v>
      </c>
      <c r="Q1" s="17" t="n">
        <v>2017</v>
      </c>
      <c r="R1" s="17" t="n">
        <v>2018</v>
      </c>
      <c r="S1" s="17" t="n">
        <v>2019</v>
      </c>
      <c r="T1" s="17" t="n">
        <v>2020</v>
      </c>
      <c r="U1" s="17" t="n">
        <v>2021</v>
      </c>
      <c r="V1" s="17" t="n">
        <v>2022</v>
      </c>
      <c r="W1" s="17" t="n">
        <v>2023</v>
      </c>
      <c r="X1" s="17" t="n">
        <v>2024</v>
      </c>
      <c r="Y1" s="17" t="n">
        <v>2025</v>
      </c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0.829</v>
      </c>
      <c r="Q2" s="23" t="n">
        <v>1.075</v>
      </c>
      <c r="R2" s="23" t="n">
        <v>0.963</v>
      </c>
      <c r="S2" s="23" t="n">
        <v>1.176</v>
      </c>
      <c r="T2" s="23" t="n">
        <v>1.824</v>
      </c>
      <c r="U2" s="23" t="n">
        <v>0.386</v>
      </c>
      <c r="V2" s="23" t="n">
        <v>0.082</v>
      </c>
      <c r="W2" s="23" t="n">
        <v>0</v>
      </c>
      <c r="X2" s="23" t="n">
        <v>3.955</v>
      </c>
      <c r="Y2" s="23" t="n">
        <v>2.489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  <c r="V3" s="23" t="n">
        <v>0</v>
      </c>
      <c r="W3" s="23" t="n">
        <v>0</v>
      </c>
      <c r="X3" s="23" t="n">
        <v>0</v>
      </c>
      <c r="Y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  <c r="P4" s="23">
        <f>P2-P3</f>
        <v>0.829</v>
      </c>
      <c r="Q4" s="23">
        <f>Q2-Q3</f>
        <v>1.075</v>
      </c>
      <c r="R4" s="23">
        <f>R2-R3</f>
        <v>0.963</v>
      </c>
      <c r="S4" s="23">
        <f>S2-S3</f>
        <v>1.176</v>
      </c>
      <c r="T4" s="23">
        <f>T2-T3</f>
        <v>1.824</v>
      </c>
      <c r="U4" s="23">
        <f>U2-U3</f>
        <v>0.386</v>
      </c>
      <c r="V4" s="23">
        <f>V2-V3</f>
        <v>0.082</v>
      </c>
      <c r="W4" s="23">
        <f>W2-W3</f>
        <v>0.0</v>
      </c>
      <c r="X4" s="23">
        <f>X2-X3</f>
        <v>3.955</v>
      </c>
      <c r="Y4" s="23">
        <f>Y2-Y3</f>
        <v>2.489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4.069</v>
      </c>
      <c r="J5" s="23" t="n">
        <v>4.794</v>
      </c>
      <c r="K5" s="23" t="n">
        <v>4.276</v>
      </c>
      <c r="L5" s="23" t="n">
        <v>3.044</v>
      </c>
      <c r="M5" s="23" t="n">
        <v>2.915</v>
      </c>
      <c r="N5" s="23" t="n">
        <v>1.813</v>
      </c>
      <c r="O5" s="23" t="n">
        <v>1.693</v>
      </c>
      <c r="P5" s="23" t="n">
        <v>1.971</v>
      </c>
      <c r="Q5" s="23" t="n">
        <v>2.017</v>
      </c>
      <c r="R5" s="23" t="n">
        <v>1.879</v>
      </c>
      <c r="S5" s="23" t="n">
        <v>1.911</v>
      </c>
      <c r="T5" s="23" t="n">
        <v>2.444</v>
      </c>
      <c r="U5" s="23" t="n">
        <v>15.554</v>
      </c>
      <c r="V5" s="23" t="n">
        <v>9.122999999999999</v>
      </c>
      <c r="W5" s="23" t="n">
        <v>20.721</v>
      </c>
      <c r="X5" s="23" t="n">
        <v>23.714</v>
      </c>
      <c r="Y5" s="23" t="n">
        <v>18.122</v>
      </c>
    </row>
    <row r="6">
      <c r="A6" s="19" t="inlineStr">
        <is>
          <t>SG&amp;A &amp; Other</t>
        </is>
      </c>
      <c r="B6" s="23" t="n">
        <v>0.618</v>
      </c>
      <c r="C6" s="23" t="n">
        <v>0.948</v>
      </c>
      <c r="D6" s="23" t="n">
        <v>2.352</v>
      </c>
      <c r="E6" s="23" t="n">
        <v>1.611</v>
      </c>
      <c r="F6" s="23" t="n">
        <v>0.584</v>
      </c>
      <c r="G6" s="23" t="n">
        <v>4.242</v>
      </c>
      <c r="H6" s="23" t="n">
        <v>3.728</v>
      </c>
      <c r="I6" s="23" t="n">
        <v>-0.753</v>
      </c>
      <c r="J6" s="23" t="n">
        <v>-2.023</v>
      </c>
      <c r="K6" s="23" t="n">
        <v>-1.927</v>
      </c>
      <c r="L6" s="23" t="n">
        <v>-0.905</v>
      </c>
      <c r="M6" s="23" t="n">
        <v>-0.625</v>
      </c>
      <c r="N6" s="23" t="n">
        <v>0.925</v>
      </c>
      <c r="O6" s="23" t="n">
        <v>1.002</v>
      </c>
      <c r="P6" s="23" t="n">
        <v>2.131</v>
      </c>
      <c r="Q6" s="23" t="n">
        <v>1.232</v>
      </c>
      <c r="R6" s="23" t="n">
        <v>1.647</v>
      </c>
      <c r="S6" s="23" t="n">
        <v>1.638</v>
      </c>
      <c r="T6" s="23" t="n">
        <v>2.196</v>
      </c>
      <c r="U6" s="23" t="n">
        <v>3.577</v>
      </c>
      <c r="V6" s="23" t="n">
        <v>4.987</v>
      </c>
      <c r="W6" s="23" t="n">
        <v>6.022</v>
      </c>
      <c r="X6" s="23" t="n">
        <v>5.385</v>
      </c>
      <c r="Y6" s="23" t="n">
        <v>6.007</v>
      </c>
    </row>
    <row r="7">
      <c r="A7" s="2" t="inlineStr">
        <is>
          <t>Operating Expense</t>
        </is>
      </c>
      <c r="B7" s="23">
        <f>SUM(B5:B6)</f>
        <v>0.618</v>
      </c>
      <c r="C7" s="23">
        <f>SUM(C5:C6)</f>
        <v>0.948</v>
      </c>
      <c r="D7" s="23">
        <f>SUM(D5:D6)</f>
        <v>2.352</v>
      </c>
      <c r="E7" s="23">
        <f>SUM(E5:E6)</f>
        <v>1.611</v>
      </c>
      <c r="F7" s="23">
        <f>SUM(F5:F6)</f>
        <v>0.584</v>
      </c>
      <c r="G7" s="23">
        <f>SUM(G5:G6)</f>
        <v>4.242</v>
      </c>
      <c r="H7" s="23">
        <f>SUM(H5:H6)</f>
        <v>3.728</v>
      </c>
      <c r="I7" s="23">
        <f>SUM(I5:I6)</f>
        <v>3.316</v>
      </c>
      <c r="J7" s="23">
        <f>SUM(J5:J6)</f>
        <v>2.7709999999999995</v>
      </c>
      <c r="K7" s="23">
        <f>SUM(K5:K6)</f>
        <v>2.3489999999999998</v>
      </c>
      <c r="L7" s="23">
        <f>SUM(L5:L6)</f>
        <v>2.1390000000000002</v>
      </c>
      <c r="M7" s="23">
        <f>SUM(M5:M6)</f>
        <v>2.29</v>
      </c>
      <c r="N7" s="23">
        <f>SUM(N5:N6)</f>
        <v>2.738</v>
      </c>
      <c r="O7" s="23">
        <f>SUM(O5:O6)</f>
        <v>2.6950000000000003</v>
      </c>
      <c r="P7" s="23">
        <f>SUM(P5:P6)</f>
        <v>4.102</v>
      </c>
      <c r="Q7" s="23">
        <f>SUM(Q5:Q6)</f>
        <v>3.2489999999999997</v>
      </c>
      <c r="R7" s="23">
        <f>SUM(R5:R6)</f>
        <v>3.526</v>
      </c>
      <c r="S7" s="23">
        <f>SUM(S5:S6)</f>
        <v>3.549</v>
      </c>
      <c r="T7" s="23">
        <f>SUM(T5:T6)</f>
        <v>4.640000000000001</v>
      </c>
      <c r="U7" s="23">
        <f>SUM(U5:U6)</f>
        <v>19.131</v>
      </c>
      <c r="V7" s="23">
        <f>SUM(V5:V6)</f>
        <v>14.11</v>
      </c>
      <c r="W7" s="23">
        <f>SUM(W5:W6)</f>
        <v>26.743000000000002</v>
      </c>
      <c r="X7" s="23">
        <f>SUM(X5:X6)</f>
        <v>29.098999999999997</v>
      </c>
      <c r="Y7" s="23">
        <f>SUM(Y5:Y6)</f>
        <v>24.128999999999998</v>
      </c>
    </row>
    <row r="8">
      <c r="A8" s="2" t="inlineStr">
        <is>
          <t>Operating Income</t>
        </is>
      </c>
      <c r="B8" s="23">
        <f>B4-B7</f>
        <v>-0.618</v>
      </c>
      <c r="C8" s="23">
        <f>C4-C7</f>
        <v>-0.948</v>
      </c>
      <c r="D8" s="23">
        <f>D4-D7</f>
        <v>-2.352</v>
      </c>
      <c r="E8" s="23">
        <f>E4-E7</f>
        <v>-1.611</v>
      </c>
      <c r="F8" s="23">
        <f>F4-F7</f>
        <v>-0.584</v>
      </c>
      <c r="G8" s="23">
        <f>G4-G7</f>
        <v>-4.242</v>
      </c>
      <c r="H8" s="23">
        <f>H4-H7</f>
        <v>-3.728</v>
      </c>
      <c r="I8" s="23">
        <f>I4-I7</f>
        <v>-3.316</v>
      </c>
      <c r="J8" s="23">
        <f>J4-J7</f>
        <v>-2.7709999999999995</v>
      </c>
      <c r="K8" s="23">
        <f>K4-K7</f>
        <v>-2.3489999999999998</v>
      </c>
      <c r="L8" s="23">
        <f>L4-L7</f>
        <v>-2.1390000000000002</v>
      </c>
      <c r="M8" s="23">
        <f>M4-M7</f>
        <v>-2.29</v>
      </c>
      <c r="N8" s="23">
        <f>N4-N7</f>
        <v>-2.738</v>
      </c>
      <c r="O8" s="23">
        <f>O4-O7</f>
        <v>-2.6950000000000003</v>
      </c>
      <c r="P8" s="23">
        <f>P4-P7</f>
        <v>-3.2730000000000006</v>
      </c>
      <c r="Q8" s="23">
        <f>Q4-Q7</f>
        <v>-2.1739999999999995</v>
      </c>
      <c r="R8" s="23">
        <f>R4-R7</f>
        <v>-2.5629999999999997</v>
      </c>
      <c r="S8" s="23">
        <f>S4-S7</f>
        <v>-2.373</v>
      </c>
      <c r="T8" s="23">
        <f>T4-T7</f>
        <v>-2.8160000000000007</v>
      </c>
      <c r="U8" s="23">
        <f>U4-U7</f>
        <v>-18.745</v>
      </c>
      <c r="V8" s="23">
        <f>V4-V7</f>
        <v>-14.027999999999999</v>
      </c>
      <c r="W8" s="23">
        <f>W4-W7</f>
        <v>-26.743000000000002</v>
      </c>
      <c r="X8" s="23">
        <f>X4-X7</f>
        <v>-25.144</v>
      </c>
      <c r="Y8" s="23">
        <f>Y4-Y7</f>
        <v>-21.639999999999997</v>
      </c>
    </row>
    <row r="9">
      <c r="A9" s="19" t="inlineStr">
        <is>
          <t>Interest &amp; Other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0.031</v>
      </c>
      <c r="J9" s="23" t="n">
        <v>0.024</v>
      </c>
      <c r="K9" s="23" t="n">
        <v>0.002</v>
      </c>
      <c r="L9" s="23" t="n">
        <v>0.004</v>
      </c>
      <c r="M9" s="23" t="n">
        <v>0.005</v>
      </c>
      <c r="N9" s="23" t="n">
        <v>0.004</v>
      </c>
      <c r="O9" s="23" t="n">
        <v>0.005</v>
      </c>
      <c r="P9" s="23" t="n">
        <v>0.002</v>
      </c>
      <c r="Q9" s="23" t="n">
        <v>0.004</v>
      </c>
      <c r="R9" s="23" t="n">
        <v>0.003</v>
      </c>
      <c r="S9" s="23" t="n">
        <v>0.002</v>
      </c>
      <c r="T9" s="23" t="n">
        <v>-0.141</v>
      </c>
      <c r="U9" s="23" t="n">
        <v>0.176</v>
      </c>
      <c r="V9" s="23" t="n">
        <v>0.007</v>
      </c>
      <c r="W9" s="23" t="n">
        <v>0.776</v>
      </c>
      <c r="X9" s="23" t="n">
        <v>0.152</v>
      </c>
      <c r="Y9" s="23" t="n">
        <v>0.174</v>
      </c>
    </row>
    <row r="10">
      <c r="A10" s="2" t="inlineStr">
        <is>
          <t>Pretax</t>
        </is>
      </c>
      <c r="B10" s="23">
        <f>B8+B9</f>
        <v>-0.618</v>
      </c>
      <c r="C10" s="23">
        <f>C8+C9</f>
        <v>-0.948</v>
      </c>
      <c r="D10" s="23">
        <f>D8+D9</f>
        <v>-2.352</v>
      </c>
      <c r="E10" s="23">
        <f>E8+E9</f>
        <v>-1.611</v>
      </c>
      <c r="F10" s="23">
        <f>F8+F9</f>
        <v>-0.584</v>
      </c>
      <c r="G10" s="23">
        <f>G8+G9</f>
        <v>-4.242</v>
      </c>
      <c r="H10" s="23">
        <f>H8+H9</f>
        <v>-3.728</v>
      </c>
      <c r="I10" s="23">
        <f>I8+I9</f>
        <v>-3.2849999999999997</v>
      </c>
      <c r="J10" s="23">
        <f>J8+J9</f>
        <v>-2.7469999999999994</v>
      </c>
      <c r="K10" s="23">
        <f>K8+K9</f>
        <v>-2.347</v>
      </c>
      <c r="L10" s="23">
        <f>L8+L9</f>
        <v>-2.1350000000000002</v>
      </c>
      <c r="M10" s="23">
        <f>M8+M9</f>
        <v>-2.285</v>
      </c>
      <c r="N10" s="23">
        <f>N8+N9</f>
        <v>-2.734</v>
      </c>
      <c r="O10" s="23">
        <f>O8+O9</f>
        <v>-2.6900000000000004</v>
      </c>
      <c r="P10" s="23">
        <f>P8+P9</f>
        <v>-3.271000000000001</v>
      </c>
      <c r="Q10" s="23">
        <f>Q8+Q9</f>
        <v>-2.1699999999999995</v>
      </c>
      <c r="R10" s="23">
        <f>R8+R9</f>
        <v>-2.5599999999999996</v>
      </c>
      <c r="S10" s="23">
        <f>S8+S9</f>
        <v>-2.3710000000000004</v>
      </c>
      <c r="T10" s="23">
        <f>T8+T9</f>
        <v>-2.9570000000000007</v>
      </c>
      <c r="U10" s="23">
        <f>U8+U9</f>
        <v>-18.569000000000003</v>
      </c>
      <c r="V10" s="23">
        <f>V8+V9</f>
        <v>-14.020999999999999</v>
      </c>
      <c r="W10" s="23">
        <f>W8+W9</f>
        <v>-25.967000000000002</v>
      </c>
      <c r="X10" s="23">
        <f>X8+X9</f>
        <v>-24.991999999999997</v>
      </c>
      <c r="Y10" s="23">
        <f>Y8+Y9</f>
        <v>-21.465999999999998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0</v>
      </c>
      <c r="T11" s="23" t="n">
        <v>0</v>
      </c>
      <c r="U11" s="23" t="n">
        <v>0</v>
      </c>
      <c r="V11" s="23" t="n">
        <v>0</v>
      </c>
      <c r="W11" s="23" t="n">
        <v>0</v>
      </c>
      <c r="X11" s="23" t="n">
        <v>0</v>
      </c>
      <c r="Y11" s="23" t="n">
        <v>0</v>
      </c>
    </row>
    <row r="12">
      <c r="A12" s="2" t="inlineStr">
        <is>
          <t>Net Income</t>
        </is>
      </c>
      <c r="B12" s="23" t="n">
        <v>-0.618</v>
      </c>
      <c r="C12" s="23" t="n">
        <v>-0.948</v>
      </c>
      <c r="D12" s="23" t="n">
        <v>-2.352</v>
      </c>
      <c r="E12" s="23" t="n">
        <v>-1.611</v>
      </c>
      <c r="F12" s="23" t="n">
        <v>-0.584</v>
      </c>
      <c r="G12" s="23" t="n">
        <v>-4.242</v>
      </c>
      <c r="H12" s="23" t="n">
        <v>-3.728</v>
      </c>
      <c r="I12" s="23" t="n">
        <v>-3.284</v>
      </c>
      <c r="J12" s="23" t="n">
        <v>-2.747</v>
      </c>
      <c r="K12" s="23" t="n">
        <v>-2.347</v>
      </c>
      <c r="L12" s="23" t="n">
        <v>-2.135</v>
      </c>
      <c r="M12" s="23" t="n">
        <v>-2.285</v>
      </c>
      <c r="N12" s="23" t="n">
        <v>-2.734</v>
      </c>
      <c r="O12" s="23" t="n">
        <v>-2.689</v>
      </c>
      <c r="P12" s="23" t="n">
        <v>-3.272</v>
      </c>
      <c r="Q12" s="23" t="n">
        <v>-2.17</v>
      </c>
      <c r="R12" s="23" t="n">
        <v>-2.56</v>
      </c>
      <c r="S12" s="23" t="n">
        <v>-2.371</v>
      </c>
      <c r="T12" s="23" t="n">
        <v>-2.958</v>
      </c>
      <c r="U12" s="23" t="n">
        <v>-18.57</v>
      </c>
      <c r="V12" s="23" t="n">
        <v>-14.021</v>
      </c>
      <c r="W12" s="23" t="n">
        <v>-25.967</v>
      </c>
      <c r="X12" s="23" t="n">
        <v>-24.992</v>
      </c>
      <c r="Y12" s="23" t="n">
        <v>-21.465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0</v>
      </c>
      <c r="F13" s="11">
        <f>IFERROR(F12/F14,0)</f>
        <v>0</v>
      </c>
      <c r="G13" s="11">
        <f>IFERROR(G12/G14,0)</f>
        <v>0</v>
      </c>
      <c r="H13" s="11">
        <f>IFERROR(H12/H14,0)</f>
        <v>0</v>
      </c>
      <c r="I13" s="11">
        <f>IFERROR(I12/I14,0)</f>
        <v>-4.894187779433681</v>
      </c>
      <c r="J13" s="11">
        <f>IFERROR(J12/J14,0)</f>
        <v>-3.9696531791907517</v>
      </c>
      <c r="K13" s="11">
        <f>IFERROR(K12/K14,0)</f>
        <v>-3.376978417266187</v>
      </c>
      <c r="L13" s="11">
        <f>IFERROR(L12/L14,0)</f>
        <v>-2.6390605686032136</v>
      </c>
      <c r="M13" s="11">
        <f>IFERROR(M12/M14,0)</f>
        <v>-2.4386339381003204</v>
      </c>
      <c r="N13" s="11">
        <f>IFERROR(N12/N14,0)</f>
        <v>-2.3208828522920206</v>
      </c>
      <c r="O13" s="11">
        <f>IFERROR(O12/O14,0)</f>
        <v>-1.9043909348441928</v>
      </c>
      <c r="P13" s="11">
        <f>IFERROR(P12/P14,0)</f>
        <v>-1.7831062670299727</v>
      </c>
      <c r="Q13" s="11">
        <f>IFERROR(Q12/Q14,0)</f>
        <v>-0.7156992084432717</v>
      </c>
      <c r="R13" s="11">
        <f>IFERROR(R12/R14,0)</f>
        <v>-0.8443271767810027</v>
      </c>
      <c r="S13" s="11">
        <f>IFERROR(S12/S14,0)</f>
        <v>-0.7819920844327176</v>
      </c>
      <c r="T13" s="11">
        <f>IFERROR(T12/T14,0)</f>
        <v>-2.13728323699422</v>
      </c>
      <c r="U13" s="11">
        <f>IFERROR(U12/U14,0)</f>
        <v>-3.0442622950819676</v>
      </c>
      <c r="V13" s="11">
        <f>IFERROR(V12/V14,0)</f>
        <v>-12.386042402826856</v>
      </c>
      <c r="W13" s="11">
        <f>IFERROR(W12/W14,0)</f>
        <v>-14.291139240506329</v>
      </c>
      <c r="X13" s="11">
        <f>IFERROR(X12/X14,0)</f>
        <v>-120.73429951690822</v>
      </c>
      <c r="Y13" s="11">
        <f>IFERROR(Y12/Y14,0)</f>
        <v>-22.40605427974948</v>
      </c>
    </row>
    <row r="14">
      <c r="A14" s="2" t="inlineStr">
        <is>
          <t>Shares</t>
        </is>
      </c>
      <c r="B14" s="23" t="n"/>
      <c r="C14" s="23" t="n"/>
      <c r="D14" s="23" t="n"/>
      <c r="E14" s="23" t="n"/>
      <c r="F14" s="23" t="n"/>
      <c r="G14" s="23" t="n"/>
      <c r="H14" s="23" t="n"/>
      <c r="I14" s="23" t="n">
        <v>0.671</v>
      </c>
      <c r="J14" s="23" t="n">
        <v>0.6919999999999999</v>
      </c>
      <c r="K14" s="23" t="n">
        <v>0.695</v>
      </c>
      <c r="L14" s="23" t="n">
        <v>0.8090000000000001</v>
      </c>
      <c r="M14" s="23" t="n">
        <v>0.9370000000000001</v>
      </c>
      <c r="N14" s="23" t="n">
        <v>1.178</v>
      </c>
      <c r="O14" s="23" t="n">
        <v>1.412</v>
      </c>
      <c r="P14" s="23" t="n">
        <v>1.835</v>
      </c>
      <c r="Q14" s="23" t="n">
        <v>3.032</v>
      </c>
      <c r="R14" s="23" t="n">
        <v>3.032</v>
      </c>
      <c r="S14" s="23" t="n">
        <v>3.032</v>
      </c>
      <c r="T14" s="23" t="n">
        <v>1.384</v>
      </c>
      <c r="U14" s="23" t="n">
        <v>6.1</v>
      </c>
      <c r="V14" s="23" t="n">
        <v>1.132</v>
      </c>
      <c r="W14" s="23" t="n">
        <v>1.817</v>
      </c>
      <c r="X14" s="23" t="n">
        <v>0.207</v>
      </c>
      <c r="Y14" s="23" t="n">
        <v>0.958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  <c r="P16" s="15">
        <f>IFERROR(P2/O2-1,"")</f>
        <v/>
      </c>
      <c r="Q16" s="15">
        <f>IFERROR(Q2/P2-1,"")</f>
        <v>0.29674306393244865</v>
      </c>
      <c r="R16" s="15">
        <f>IFERROR(R2/Q2-1,"")</f>
        <v>-0.10418604651162788</v>
      </c>
      <c r="S16" s="15">
        <f>IFERROR(S2/R2-1,"")</f>
        <v>0.22118380062305287</v>
      </c>
      <c r="T16" s="15">
        <f>IFERROR(T2/S2-1,"")</f>
        <v>0.5510204081632655</v>
      </c>
      <c r="U16" s="15">
        <f>IFERROR(U2/T2-1,"")</f>
        <v>-0.7883771929824561</v>
      </c>
      <c r="V16" s="15">
        <f>IFERROR(V2/U2-1,"")</f>
        <v>-0.7875647668393783</v>
      </c>
      <c r="W16" s="15">
        <f>IFERROR(W2/V2-1,"")</f>
        <v>-1.0</v>
      </c>
      <c r="X16" s="15">
        <f>IFERROR(X2/W2-1,"")</f>
        <v/>
      </c>
      <c r="Y16" s="15">
        <f>IFERROR(Y2/X2-1,"")</f>
        <v>-0.3706700379266752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  <c r="P17" s="15">
        <f>IFERROR(P4/P2,"")</f>
        <v>1.0</v>
      </c>
      <c r="Q17" s="15">
        <f>IFERROR(Q4/Q2,"")</f>
        <v>1.0</v>
      </c>
      <c r="R17" s="15">
        <f>IFERROR(R4/R2,"")</f>
        <v>1.0</v>
      </c>
      <c r="S17" s="15">
        <f>IFERROR(S4/S2,"")</f>
        <v>1.0</v>
      </c>
      <c r="T17" s="15">
        <f>IFERROR(T4/T2,"")</f>
        <v>1.0</v>
      </c>
      <c r="U17" s="15">
        <f>IFERROR(U4/U2,"")</f>
        <v>1.0</v>
      </c>
      <c r="V17" s="15">
        <f>IFERROR(V4/V2,"")</f>
        <v>1.0</v>
      </c>
      <c r="W17" s="15">
        <f>IFERROR(W4/W2,"")</f>
        <v/>
      </c>
      <c r="X17" s="15">
        <f>IFERROR(X4/X2,"")</f>
        <v>1.0</v>
      </c>
      <c r="Y17" s="15">
        <f>IFERROR(Y4/Y2,"")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  <c r="P18" s="15">
        <f>IFERROR(P8/P2,"")</f>
        <v>-3.948130277442703</v>
      </c>
      <c r="Q18" s="15">
        <f>IFERROR(Q8/Q2,"")</f>
        <v>-2.0223255813953482</v>
      </c>
      <c r="R18" s="15">
        <f>IFERROR(R8/R2,"")</f>
        <v>-2.66147455867082</v>
      </c>
      <c r="S18" s="15">
        <f>IFERROR(S8/S2,"")</f>
        <v>-2.0178571428571432</v>
      </c>
      <c r="T18" s="15">
        <f>IFERROR(T8/T2,"")</f>
        <v>-1.5438596491228074</v>
      </c>
      <c r="U18" s="15">
        <f>IFERROR(U8/U2,"")</f>
        <v>-48.56217616580311</v>
      </c>
      <c r="V18" s="15">
        <f>IFERROR(V8/V2,"")</f>
        <v>-171.0731707317073</v>
      </c>
      <c r="W18" s="15">
        <f>IFERROR(W8/W2,"")</f>
        <v/>
      </c>
      <c r="X18" s="15">
        <f>IFERROR(X8/X2,"")</f>
        <v>-6.357522123893805</v>
      </c>
      <c r="Y18" s="15">
        <f>IFERROR(Y8/Y2,"")</f>
        <v>-8.694254720771394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  <c r="S19" s="20" t="inlineStr">
        <is>
          <t>A</t>
        </is>
      </c>
      <c r="T19" s="20" t="inlineStr">
        <is>
          <t>A</t>
        </is>
      </c>
      <c r="U19" s="20" t="inlineStr">
        <is>
          <t>A</t>
        </is>
      </c>
      <c r="V19" s="20" t="inlineStr">
        <is>
          <t>A</t>
        </is>
      </c>
      <c r="W19" s="20" t="inlineStr">
        <is>
          <t>A</t>
        </is>
      </c>
      <c r="X19" s="20" t="inlineStr">
        <is>
          <t>A</t>
        </is>
      </c>
      <c r="Y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2026-10-21T06:31:42Z</dcterms:modified>
  <cp:lastModifiedBy>Wang, Eric</cp:lastModifiedBy>
</cp:coreProperties>
</file>