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Crescent Biopharma, Inc.</t>
        </is>
      </c>
      <c r="C2" s="10" t="n"/>
    </row>
    <row r="3">
      <c r="B3" t="inlineStr">
        <is>
          <t>Price</t>
        </is>
      </c>
      <c r="C3" s="11">
        <f>INDEX([1]Pharma!$F$1:$F$1000,MATCH("CBIO",[1]Pharma!$B$1:$B$1000,0))</f>
        <v>13.07</v>
      </c>
      <c r="F3" s="1" t="n"/>
    </row>
    <row r="4">
      <c r="B4" t="inlineStr">
        <is>
          <t>Shares</t>
        </is>
      </c>
      <c r="C4" s="21" t="n">
        <v>37.14394</v>
      </c>
      <c r="F4" s="1" t="n"/>
    </row>
    <row r="5">
      <c r="B5" t="inlineStr">
        <is>
          <t>Market Cap.</t>
        </is>
      </c>
      <c r="C5" s="13">
        <f>C3*C4</f>
        <v>485.4712958</v>
      </c>
      <c r="F5" s="1" t="n"/>
    </row>
    <row r="6"/>
    <row r="7">
      <c r="B7" t="inlineStr">
        <is>
          <t>Cash</t>
        </is>
      </c>
      <c r="C7" s="21" t="n">
        <v>171.593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313.87829580000005</v>
      </c>
    </row>
    <row r="10"/>
    <row r="11">
      <c r="B11" s="14" t="inlineStr">
        <is>
          <t>rNPV / Share</t>
        </is>
      </c>
      <c r="C11" s="11">
        <f>NPV!B27</f>
        <v>-5.943079132153236</v>
      </c>
    </row>
    <row r="12">
      <c r="B12" s="14" t="inlineStr">
        <is>
          <t>Upside</t>
        </is>
      </c>
      <c r="C12" s="15">
        <f>IFERROR(C11/C3-1,"")</f>
        <v>-1.454711486775305</v>
      </c>
    </row>
    <row r="13">
      <c r="B13" s="14" t="inlineStr">
        <is>
          <t>Cash / Share</t>
        </is>
      </c>
      <c r="C13" s="11">
        <f>IFERROR((C7-C8)/C4,"")</f>
        <v>4.6196768571131654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-72.679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2.360970844397969</v>
      </c>
    </row>
    <row r="19">
      <c r="B19" s="14" t="inlineStr">
        <is>
          <t>Implied Pipeline Value</t>
        </is>
      </c>
      <c r="C19" s="13">
        <f>C9</f>
        <v>313.87829580000005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15.257</v>
      </c>
      <c r="C2" s="23" t="n">
        <v>3.993</v>
      </c>
      <c r="D2" s="23" t="n">
        <v>15.027</v>
      </c>
      <c r="E2" s="23" t="n">
        <v>20.071</v>
      </c>
      <c r="F2" s="23" t="n">
        <v>0.018</v>
      </c>
      <c r="G2" s="23" t="n">
        <v>0</v>
      </c>
      <c r="H2" s="23" t="n">
        <v>0</v>
      </c>
      <c r="I2" s="23" t="n">
        <v>0</v>
      </c>
      <c r="J2" s="23" t="n">
        <v>10.163</v>
      </c>
      <c r="K2" s="23" t="n">
        <v>1.16</v>
      </c>
      <c r="L2" s="23" t="n">
        <v>0.075</v>
      </c>
      <c r="M2" s="23" t="n">
        <v>0.01</v>
      </c>
      <c r="N2" s="23" t="n">
        <v>0</v>
      </c>
      <c r="O2" s="23" t="n">
        <v>10.844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15.257</v>
      </c>
      <c r="C4" s="23">
        <f>C2-C3</f>
        <v>3.993</v>
      </c>
      <c r="D4" s="23">
        <f>D2-D3</f>
        <v>15.027</v>
      </c>
      <c r="E4" s="23">
        <f>E2-E3</f>
        <v>20.071</v>
      </c>
      <c r="F4" s="23">
        <f>F2-F3</f>
        <v>0.018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10.163</v>
      </c>
      <c r="K4" s="23">
        <f>K2-K3</f>
        <v>1.16</v>
      </c>
      <c r="L4" s="23">
        <f>L2-L3</f>
        <v>0.075</v>
      </c>
      <c r="M4" s="23">
        <f>M2-M3</f>
        <v>0.01</v>
      </c>
      <c r="N4" s="23">
        <f>N2-N3</f>
        <v>0.0</v>
      </c>
      <c r="O4" s="23">
        <f>O2-O3</f>
        <v>10.844</v>
      </c>
    </row>
    <row r="5">
      <c r="A5" s="2" t="inlineStr">
        <is>
          <t>Research &amp; Dev.</t>
        </is>
      </c>
      <c r="B5" s="23" t="n">
        <v>9.438000000000001</v>
      </c>
      <c r="C5" s="23" t="n">
        <v>11.701</v>
      </c>
      <c r="D5" s="23" t="n">
        <v>19.571</v>
      </c>
      <c r="E5" s="23" t="n">
        <v>25.05</v>
      </c>
      <c r="F5" s="23" t="n">
        <v>23.282</v>
      </c>
      <c r="G5" s="23" t="n">
        <v>24.1</v>
      </c>
      <c r="H5" s="23" t="n">
        <v>40.092</v>
      </c>
      <c r="I5" s="23" t="n">
        <v>47.029</v>
      </c>
      <c r="J5" s="23" t="n">
        <v>44.929</v>
      </c>
      <c r="K5" s="23" t="n">
        <v>47.492</v>
      </c>
      <c r="L5" s="23" t="n">
        <v>28.391</v>
      </c>
      <c r="M5" s="23" t="n">
        <v>20.072</v>
      </c>
      <c r="N5" s="23" t="n">
        <v>14.26</v>
      </c>
      <c r="O5" s="23" t="n">
        <v>138.086</v>
      </c>
    </row>
    <row r="6">
      <c r="A6" s="19" t="inlineStr">
        <is>
          <t>SG&amp;A &amp; Other</t>
        </is>
      </c>
      <c r="B6" s="23" t="n">
        <v>2.184</v>
      </c>
      <c r="C6" s="23" t="n">
        <v>2.898</v>
      </c>
      <c r="D6" s="23" t="n">
        <v>6.596</v>
      </c>
      <c r="E6" s="23" t="n">
        <v>7.805</v>
      </c>
      <c r="F6" s="23" t="n">
        <v>8.65</v>
      </c>
      <c r="G6" s="23" t="n">
        <v>9.832000000000001</v>
      </c>
      <c r="H6" s="23" t="n">
        <v>11.413</v>
      </c>
      <c r="I6" s="23" t="n">
        <v>14.36</v>
      </c>
      <c r="J6" s="23" t="n">
        <v>16.743</v>
      </c>
      <c r="K6" s="23" t="n">
        <v>17.115</v>
      </c>
      <c r="L6" s="23" t="n">
        <v>19.087</v>
      </c>
      <c r="M6" s="23" t="n">
        <v>19.214</v>
      </c>
      <c r="N6" s="23" t="n">
        <v>25.78</v>
      </c>
      <c r="O6" s="23" t="n">
        <v>25.39</v>
      </c>
    </row>
    <row r="7">
      <c r="A7" s="2" t="inlineStr">
        <is>
          <t>Operating Expense</t>
        </is>
      </c>
      <c r="B7" s="23">
        <f>SUM(B5:B6)</f>
        <v>11.622</v>
      </c>
      <c r="C7" s="23">
        <f>SUM(C5:C6)</f>
        <v>14.599</v>
      </c>
      <c r="D7" s="23">
        <f>SUM(D5:D6)</f>
        <v>26.167</v>
      </c>
      <c r="E7" s="23">
        <f>SUM(E5:E6)</f>
        <v>32.855000000000004</v>
      </c>
      <c r="F7" s="23">
        <f>SUM(F5:F6)</f>
        <v>31.932000000000002</v>
      </c>
      <c r="G7" s="23">
        <f>SUM(G5:G6)</f>
        <v>33.932</v>
      </c>
      <c r="H7" s="23">
        <f>SUM(H5:H6)</f>
        <v>51.504999999999995</v>
      </c>
      <c r="I7" s="23">
        <f>SUM(I5:I6)</f>
        <v>61.389</v>
      </c>
      <c r="J7" s="23">
        <f>SUM(J5:J6)</f>
        <v>61.672</v>
      </c>
      <c r="K7" s="23">
        <f>SUM(K5:K6)</f>
        <v>64.607</v>
      </c>
      <c r="L7" s="23">
        <f>SUM(L5:L6)</f>
        <v>47.477999999999994</v>
      </c>
      <c r="M7" s="23">
        <f>SUM(M5:M6)</f>
        <v>39.286</v>
      </c>
      <c r="N7" s="23">
        <f>SUM(N5:N6)</f>
        <v>40.04</v>
      </c>
      <c r="O7" s="23">
        <f>SUM(O5:O6)</f>
        <v>163.476</v>
      </c>
    </row>
    <row r="8">
      <c r="A8" s="2" t="inlineStr">
        <is>
          <t>Operating Income</t>
        </is>
      </c>
      <c r="B8" s="23">
        <f>B4-B7</f>
        <v>3.635</v>
      </c>
      <c r="C8" s="23">
        <f>C4-C7</f>
        <v>-10.606</v>
      </c>
      <c r="D8" s="23">
        <f>D4-D7</f>
        <v>-11.140000000000002</v>
      </c>
      <c r="E8" s="23">
        <f>E4-E7</f>
        <v>-12.784000000000002</v>
      </c>
      <c r="F8" s="23">
        <f>F4-F7</f>
        <v>-31.914</v>
      </c>
      <c r="G8" s="23">
        <f>G4-G7</f>
        <v>-33.932</v>
      </c>
      <c r="H8" s="23">
        <f>H4-H7</f>
        <v>-51.504999999999995</v>
      </c>
      <c r="I8" s="23">
        <f>I4-I7</f>
        <v>-61.389</v>
      </c>
      <c r="J8" s="23">
        <f>J4-J7</f>
        <v>-51.509</v>
      </c>
      <c r="K8" s="23">
        <f>K4-K7</f>
        <v>-63.447</v>
      </c>
      <c r="L8" s="23">
        <f>L4-L7</f>
        <v>-47.40299999999999</v>
      </c>
      <c r="M8" s="23">
        <f>M4-M7</f>
        <v>-39.276</v>
      </c>
      <c r="N8" s="23">
        <f>N4-N7</f>
        <v>-40.04</v>
      </c>
      <c r="O8" s="23">
        <f>O4-O7</f>
        <v>-152.632</v>
      </c>
    </row>
    <row r="9">
      <c r="A9" s="19" t="inlineStr">
        <is>
          <t>Interest &amp; Other</t>
        </is>
      </c>
      <c r="B9" s="23" t="n">
        <v>0.021</v>
      </c>
      <c r="C9" s="23" t="n">
        <v>0.001</v>
      </c>
      <c r="D9" s="23" t="n">
        <v>0.018</v>
      </c>
      <c r="E9" s="23" t="n">
        <v>0.015</v>
      </c>
      <c r="F9" s="23" t="n">
        <v>0.104</v>
      </c>
      <c r="G9" s="23" t="n">
        <v>0.651</v>
      </c>
      <c r="H9" s="23" t="n">
        <v>3.231</v>
      </c>
      <c r="I9" s="23" t="n">
        <v>3.497</v>
      </c>
      <c r="J9" s="23" t="n">
        <v>0.482</v>
      </c>
      <c r="K9" s="23" t="n">
        <v>0.02</v>
      </c>
      <c r="L9" s="23" t="n">
        <v>0.715</v>
      </c>
      <c r="M9" s="23" t="n">
        <v>39.312</v>
      </c>
      <c r="N9" s="23" t="n">
        <v>40.077</v>
      </c>
      <c r="O9" s="23" t="n">
        <v>154.786</v>
      </c>
    </row>
    <row r="10">
      <c r="A10" s="2" t="inlineStr">
        <is>
          <t>Pretax</t>
        </is>
      </c>
      <c r="B10" s="23">
        <f>B8+B9</f>
        <v>3.6559999999999997</v>
      </c>
      <c r="C10" s="23">
        <f>C8+C9</f>
        <v>-10.605</v>
      </c>
      <c r="D10" s="23">
        <f>D8+D9</f>
        <v>-11.122000000000002</v>
      </c>
      <c r="E10" s="23">
        <f>E8+E9</f>
        <v>-12.769000000000002</v>
      </c>
      <c r="F10" s="23">
        <f>F8+F9</f>
        <v>-31.810000000000002</v>
      </c>
      <c r="G10" s="23">
        <f>G8+G9</f>
        <v>-33.281</v>
      </c>
      <c r="H10" s="23">
        <f>H8+H9</f>
        <v>-48.273999999999994</v>
      </c>
      <c r="I10" s="23">
        <f>I8+I9</f>
        <v>-57.892</v>
      </c>
      <c r="J10" s="23">
        <f>J8+J9</f>
        <v>-51.027</v>
      </c>
      <c r="K10" s="23">
        <f>K8+K9</f>
        <v>-63.427</v>
      </c>
      <c r="L10" s="23">
        <f>L8+L9</f>
        <v>-46.68799999999999</v>
      </c>
      <c r="M10" s="23">
        <f>M8+M9</f>
        <v>0.03599999999999426</v>
      </c>
      <c r="N10" s="23">
        <f>N8+N9</f>
        <v>0.036999999999999034</v>
      </c>
      <c r="O10" s="23">
        <f>O8+O9</f>
        <v>2.1539999999999964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2</v>
      </c>
    </row>
    <row r="12">
      <c r="A12" s="2" t="inlineStr">
        <is>
          <t>Net Income</t>
        </is>
      </c>
      <c r="B12" s="23" t="n">
        <v>3.656</v>
      </c>
      <c r="C12" s="23" t="n">
        <v>-10.606</v>
      </c>
      <c r="D12" s="23" t="n">
        <v>-11.122</v>
      </c>
      <c r="E12" s="23" t="n">
        <v>-12.769</v>
      </c>
      <c r="F12" s="23" t="n">
        <v>-31.81</v>
      </c>
      <c r="G12" s="23" t="n">
        <v>-33.281</v>
      </c>
      <c r="H12" s="23" t="n">
        <v>-48.274</v>
      </c>
      <c r="I12" s="23" t="n">
        <v>-57.892</v>
      </c>
      <c r="J12" s="23" t="n">
        <v>-51.027</v>
      </c>
      <c r="K12" s="23" t="n">
        <v>-63.427</v>
      </c>
      <c r="L12" s="23" t="n">
        <v>-46.689</v>
      </c>
      <c r="M12" s="23" t="n">
        <v>0.037</v>
      </c>
      <c r="N12" s="23" t="n">
        <v>0.038</v>
      </c>
      <c r="O12" s="23" t="n">
        <v>0.154</v>
      </c>
    </row>
    <row r="13">
      <c r="A13" s="2" t="inlineStr">
        <is>
          <t>Earnings per Share</t>
        </is>
      </c>
      <c r="B13" s="11">
        <f>IFERROR(B12/B14,0)</f>
        <v>0.33185077607334124</v>
      </c>
      <c r="C13" s="11">
        <f>IFERROR(C12/C14,0)</f>
        <v>-8.86789297658863</v>
      </c>
      <c r="D13" s="11">
        <f>IFERROR(D12/D14,0)</f>
        <v>-0.6027530890960329</v>
      </c>
      <c r="E13" s="11">
        <f>IFERROR(E12/E14,0)</f>
        <v>-0.6716637736047552</v>
      </c>
      <c r="F13" s="11">
        <f>IFERROR(F12/F14,0)</f>
        <v>-1.4965186300338726</v>
      </c>
      <c r="G13" s="11">
        <f>IFERROR(G12/G14,0)</f>
        <v>-1.13216083820928</v>
      </c>
      <c r="H13" s="11">
        <f>IFERROR(H12/H14,0)</f>
        <v>-1.1761237665976367</v>
      </c>
      <c r="I13" s="11">
        <f>IFERROR(I12/I14,0)</f>
        <v>-1.3383886255924171</v>
      </c>
      <c r="J13" s="11">
        <f>IFERROR(J12/J14,0)</f>
        <v>-1.116051704905842</v>
      </c>
      <c r="K13" s="11">
        <f>IFERROR(K12/K14,0)</f>
        <v>-1.2327172370901598</v>
      </c>
      <c r="L13" s="11">
        <f>IFERROR(L12/L14,0)</f>
        <v>-0.8887894766899546</v>
      </c>
      <c r="M13" s="11">
        <f>IFERROR(M12/M14,0)</f>
        <v>0.0005841305926557418</v>
      </c>
      <c r="N13" s="11">
        <f>IFERROR(N12/N14,0)</f>
        <v>0.0005893574452905687</v>
      </c>
      <c r="O13" s="11">
        <f>IFERROR(O12/O14,0)</f>
        <v>0</v>
      </c>
    </row>
    <row r="14">
      <c r="A14" s="2" t="inlineStr">
        <is>
          <t>Shares</t>
        </is>
      </c>
      <c r="B14" s="23" t="n">
        <v>11.017</v>
      </c>
      <c r="C14" s="23" t="n">
        <v>1.196</v>
      </c>
      <c r="D14" s="23" t="n">
        <v>18.452</v>
      </c>
      <c r="E14" s="23" t="n">
        <v>19.011</v>
      </c>
      <c r="F14" s="23" t="n">
        <v>21.256</v>
      </c>
      <c r="G14" s="23" t="n">
        <v>29.396</v>
      </c>
      <c r="H14" s="23" t="n">
        <v>41.045</v>
      </c>
      <c r="I14" s="23" t="n">
        <v>43.255</v>
      </c>
      <c r="J14" s="23" t="n">
        <v>45.721</v>
      </c>
      <c r="K14" s="23" t="n">
        <v>51.453</v>
      </c>
      <c r="L14" s="23" t="n">
        <v>52.531</v>
      </c>
      <c r="M14" s="23" t="n">
        <v>63.342</v>
      </c>
      <c r="N14" s="23" t="n">
        <v>64.477</v>
      </c>
      <c r="O14" s="23" t="n"/>
    </row>
    <row r="15"/>
    <row r="16" customFormat="1" s="4">
      <c r="A16" s="3" t="inlineStr">
        <is>
          <t>Revenue Change</t>
        </is>
      </c>
      <c r="C16" s="15">
        <f>IFERROR(C2/B2-1,"")</f>
        <v>-0.738284066330209</v>
      </c>
      <c r="D16" s="15">
        <f>IFERROR(D2/C2-1,"")</f>
        <v>2.763335837716003</v>
      </c>
      <c r="E16" s="15">
        <f>IFERROR(E2/D2-1,"")</f>
        <v>0.3356624742130834</v>
      </c>
      <c r="F16" s="15">
        <f>IFERROR(F2/E2-1,"")</f>
        <v>-0.9991031836978725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-0.8858604742694086</v>
      </c>
      <c r="L16" s="15">
        <f>IFERROR(L2/K2-1,"")</f>
        <v>-0.9353448275862069</v>
      </c>
      <c r="M16" s="15">
        <f>IFERROR(M2/L2-1,"")</f>
        <v>-0.8666666666666667</v>
      </c>
      <c r="N16" s="15">
        <f>IFERROR(N2/M2-1,"")</f>
        <v>-1.0</v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/>
      </c>
      <c r="O17" s="15">
        <f>IFERROR(O4/O2,"")</f>
        <v>1.0</v>
      </c>
    </row>
    <row r="18">
      <c r="A18" s="14" t="inlineStr">
        <is>
          <t>Operating Margin</t>
        </is>
      </c>
      <c r="B18" s="15">
        <f>IFERROR(B8/B2,"")</f>
        <v>0.2382512944877761</v>
      </c>
      <c r="C18" s="15">
        <f>IFERROR(C8/C2,"")</f>
        <v>-2.6561482594540444</v>
      </c>
      <c r="D18" s="15">
        <f>IFERROR(D8/D2,"")</f>
        <v>-0.7413322685832171</v>
      </c>
      <c r="E18" s="15">
        <f>IFERROR(E8/E2,"")</f>
        <v>-0.6369388670220717</v>
      </c>
      <c r="F18" s="15">
        <f>IFERROR(F8/F2,"")</f>
        <v>-1773.0000000000002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-5.068286923152613</v>
      </c>
      <c r="K18" s="15">
        <f>IFERROR(K8/K2,"")</f>
        <v>-54.69568965517242</v>
      </c>
      <c r="L18" s="15">
        <f>IFERROR(L8/L2,"")</f>
        <v>-632.04</v>
      </c>
      <c r="M18" s="15">
        <f>IFERROR(M8/M2,"")</f>
        <v>-3927.6000000000004</v>
      </c>
      <c r="N18" s="15">
        <f>IFERROR(N8/N2,"")</f>
        <v/>
      </c>
      <c r="O18" s="15">
        <f>IFERROR(O8/O2,"")</f>
        <v>-14.075248985614166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Crescent Biopharma,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168.47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366.9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-392.34237469995185</v>
      </c>
      <c r="C29" s="42">
        <f>NPV!B25</f>
        <v>-220.74937469995186</v>
      </c>
      <c r="D29" s="43">
        <f>NPV!B27</f>
        <v>-5.943079132153236</v>
      </c>
      <c r="E29" s="44">
        <f>NPV!B29</f>
        <v>-1.454711486775305</v>
      </c>
    </row>
    <row r="30">
      <c r="A30" s="45" t="n">
        <v>1</v>
      </c>
      <c r="B30" s="46">
        <f t="dataTable" ref="B30:E32" r1="B4"/>
        <v>-442.01387790507414</v>
      </c>
      <c r="C30" s="46">
        <v>-270.4208779050741</v>
      </c>
      <c r="D30" s="47">
        <v>-7.28034984724491</v>
      </c>
      <c r="E30" s="48">
        <v>-1.55702753230642</v>
      </c>
    </row>
    <row r="31">
      <c r="A31" s="45" t="n">
        <v>2</v>
      </c>
      <c r="B31" s="46">
        <v>-392.34237469995185</v>
      </c>
      <c r="C31" s="46">
        <v>-220.74937469995186</v>
      </c>
      <c r="D31" s="47">
        <v>-5.943079132153236</v>
      </c>
      <c r="E31" s="48">
        <v>-1.454711486775305</v>
      </c>
    </row>
    <row r="32">
      <c r="A32" s="45" t="n">
        <v>3</v>
      </c>
      <c r="B32" s="46">
        <v>-299.0839132445259</v>
      </c>
      <c r="C32" s="46">
        <v>-127.4909132445259</v>
      </c>
      <c r="D32" s="47">
        <v>-3.4323475981418743</v>
      </c>
      <c r="E32" s="48">
        <v>-1.262612670095017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-5.943079132153236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-7.8793460068202466</v>
      </c>
      <c r="C37" s="47">
        <v>-7.420799624710928</v>
      </c>
      <c r="D37" s="47">
        <v>-6.9622532426016095</v>
      </c>
      <c r="E37" s="47">
        <v>-6.045160478382973</v>
      </c>
      <c r="F37" s="47">
        <v>-5.128067714164339</v>
      </c>
    </row>
    <row r="38">
      <c r="A38" s="50" t="n">
        <v>0.8</v>
      </c>
      <c r="B38" s="47">
        <v>-7.6754565396689385</v>
      </c>
      <c r="C38" s="47">
        <v>-7.064061363523179</v>
      </c>
      <c r="D38" s="47">
        <v>-6.452666187377421</v>
      </c>
      <c r="E38" s="47">
        <v>-5.229875835085907</v>
      </c>
      <c r="F38" s="47">
        <v>-4.007085482794392</v>
      </c>
    </row>
    <row r="39">
      <c r="A39" s="50" t="n">
        <v>1</v>
      </c>
      <c r="B39" s="47">
        <v>-7.471567072517627</v>
      </c>
      <c r="C39" s="47">
        <v>-6.70732310233543</v>
      </c>
      <c r="D39" s="47">
        <v>-5.943079132153236</v>
      </c>
      <c r="E39" s="47">
        <v>-4.414591191788836</v>
      </c>
      <c r="F39" s="47">
        <v>-2.886103251424446</v>
      </c>
    </row>
    <row r="40">
      <c r="A40" s="50" t="n">
        <v>1.2</v>
      </c>
      <c r="B40" s="47">
        <v>-7.267677605366318</v>
      </c>
      <c r="C40" s="47">
        <v>-6.350584841147682</v>
      </c>
      <c r="D40" s="47">
        <v>-5.433492076929043</v>
      </c>
      <c r="E40" s="47">
        <v>-3.5993065484917715</v>
      </c>
      <c r="F40" s="47">
        <v>-1.80432363753219</v>
      </c>
    </row>
    <row r="41">
      <c r="A41" s="50" t="n">
        <v>1.4</v>
      </c>
      <c r="B41" s="47">
        <v>-7.063788138215006</v>
      </c>
      <c r="C41" s="47">
        <v>-5.993846579959931</v>
      </c>
      <c r="D41" s="47">
        <v>-4.923905021704858</v>
      </c>
      <c r="E41" s="47">
        <v>-2.7840219051947037</v>
      </c>
      <c r="F41" s="47">
        <v>-0.8228649347403415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Crescent Biopharma,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CR-001, trifluridine and tipiracil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113.54812869523724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11.309999999999999</v>
      </c>
      <c r="T5" s="54">
        <f>SUM(T4:T4)</f>
        <v>28.275</v>
      </c>
      <c r="U5" s="54">
        <f>SUM(U4:U4)</f>
        <v>50.894999999999996</v>
      </c>
      <c r="V5" s="54">
        <f>SUM(V4:V4)</f>
        <v>73.515</v>
      </c>
      <c r="W5" s="54">
        <f>SUM(W4:W4)</f>
        <v>96.13499999999999</v>
      </c>
      <c r="X5" s="54">
        <f>SUM(X4:X4)</f>
        <v>113.1</v>
      </c>
      <c r="Y5" s="54">
        <f>SUM(Y4:Y4)</f>
        <v>113.1</v>
      </c>
      <c r="Z5" s="54">
        <f>SUM(Z4:Z4)</f>
        <v>113.1</v>
      </c>
      <c r="AA5" s="54">
        <f>SUM(AA4:AA4)</f>
        <v>113.1</v>
      </c>
      <c r="AB5" s="54">
        <f>SUM(AB4:AB4)</f>
        <v>113.1</v>
      </c>
      <c r="AC5" s="54">
        <f>SUM(AC4:AC4)</f>
        <v>113.1</v>
      </c>
      <c r="AD5" s="54">
        <f>SUM(AD4:AD4)</f>
        <v>113.1</v>
      </c>
      <c r="AE5" s="54">
        <f>SUM(AE4:AE4)</f>
        <v>113.1</v>
      </c>
      <c r="AF5" s="54">
        <f>SUM(AF4:AF4)</f>
        <v>56.55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4.524</v>
      </c>
      <c r="T6" s="55">
        <f>SUMPRODUCT(T4:T4,$K$4:$K$4)</f>
        <v>11.31</v>
      </c>
      <c r="U6" s="55">
        <f>SUMPRODUCT(U4:U4,$K$4:$K$4)</f>
        <v>20.358</v>
      </c>
      <c r="V6" s="55">
        <f>SUMPRODUCT(V4:V4,$K$4:$K$4)</f>
        <v>29.406000000000002</v>
      </c>
      <c r="W6" s="55">
        <f>SUMPRODUCT(W4:W4,$K$4:$K$4)</f>
        <v>38.454</v>
      </c>
      <c r="X6" s="55">
        <f>SUMPRODUCT(X4:X4,$K$4:$K$4)</f>
        <v>45.24</v>
      </c>
      <c r="Y6" s="55">
        <f>SUMPRODUCT(Y4:Y4,$K$4:$K$4)</f>
        <v>45.24</v>
      </c>
      <c r="Z6" s="55">
        <f>SUMPRODUCT(Z4:Z4,$K$4:$K$4)</f>
        <v>45.24</v>
      </c>
      <c r="AA6" s="55">
        <f>SUMPRODUCT(AA4:AA4,$K$4:$K$4)</f>
        <v>45.24</v>
      </c>
      <c r="AB6" s="55">
        <f>SUMPRODUCT(AB4:AB4,$K$4:$K$4)</f>
        <v>45.24</v>
      </c>
      <c r="AC6" s="55">
        <f>SUMPRODUCT(AC4:AC4,$K$4:$K$4)</f>
        <v>45.24</v>
      </c>
      <c r="AD6" s="55">
        <f>SUMPRODUCT(AD4:AD4,$K$4:$K$4)</f>
        <v>45.24</v>
      </c>
      <c r="AE6" s="55">
        <f>SUMPRODUCT(AE4:AE4,$K$4:$K$4)</f>
        <v>45.24</v>
      </c>
      <c r="AF6" s="55">
        <f>SUMPRODUCT(AF4:AF4,$K$4:$K$4)</f>
        <v>22.62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Crescent Biopharma,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11.309999999999999</v>
      </c>
      <c r="J4" s="57">
        <f>Pipeline!T5</f>
        <v>28.275</v>
      </c>
      <c r="K4" s="57">
        <f>Pipeline!U5</f>
        <v>50.894999999999996</v>
      </c>
      <c r="L4" s="57">
        <f>Pipeline!V5</f>
        <v>73.515</v>
      </c>
      <c r="M4" s="57">
        <f>Pipeline!W5</f>
        <v>96.13499999999999</v>
      </c>
      <c r="N4" s="57">
        <f>Pipeline!X5</f>
        <v>113.1</v>
      </c>
      <c r="O4" s="57">
        <f>Pipeline!Y5</f>
        <v>113.1</v>
      </c>
      <c r="P4" s="57">
        <f>Pipeline!Z5</f>
        <v>113.1</v>
      </c>
      <c r="Q4" s="57">
        <f>Pipeline!AA5</f>
        <v>113.1</v>
      </c>
      <c r="R4" s="57">
        <f>Pipeline!AB5</f>
        <v>113.1</v>
      </c>
      <c r="S4" s="57">
        <f>Pipeline!AC5</f>
        <v>113.1</v>
      </c>
      <c r="T4" s="57">
        <f>Pipeline!AD5</f>
        <v>113.1</v>
      </c>
      <c r="U4" s="57">
        <f>Pipeline!AE5</f>
        <v>113.1</v>
      </c>
      <c r="V4" s="57">
        <f>Pipeline!AF5</f>
        <v>56.55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4.524</v>
      </c>
      <c r="J5" s="57">
        <f>Pipeline!T6</f>
        <v>11.31</v>
      </c>
      <c r="K5" s="57">
        <f>Pipeline!U6</f>
        <v>20.358</v>
      </c>
      <c r="L5" s="57">
        <f>Pipeline!V6</f>
        <v>29.406000000000002</v>
      </c>
      <c r="M5" s="57">
        <f>Pipeline!W6</f>
        <v>38.454</v>
      </c>
      <c r="N5" s="57">
        <f>Pipeline!X6</f>
        <v>45.24</v>
      </c>
      <c r="O5" s="57">
        <f>Pipeline!Y6</f>
        <v>45.24</v>
      </c>
      <c r="P5" s="57">
        <f>Pipeline!Z6</f>
        <v>45.24</v>
      </c>
      <c r="Q5" s="57">
        <f>Pipeline!AA6</f>
        <v>45.24</v>
      </c>
      <c r="R5" s="57">
        <f>Pipeline!AB6</f>
        <v>45.24</v>
      </c>
      <c r="S5" s="57">
        <f>Pipeline!AC6</f>
        <v>45.24</v>
      </c>
      <c r="T5" s="57">
        <f>Pipeline!AD6</f>
        <v>45.24</v>
      </c>
      <c r="U5" s="57">
        <f>Pipeline!AE6</f>
        <v>45.24</v>
      </c>
      <c r="V5" s="57">
        <f>Pipeline!AF6</f>
        <v>22.62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-168.47</v>
      </c>
      <c r="D6" s="23">
        <f>-IF(D3-2026&lt;Assumptions!$B$19,Assumptions!$B$18,Assumptions!$B$18*Assumptions!$B$20*Assumptions!$B$16)</f>
        <v>-168.47</v>
      </c>
      <c r="E6" s="23">
        <f>-IF(E3-2026&lt;Assumptions!$B$19,Assumptions!$B$18,Assumptions!$B$18*Assumptions!$B$20*Assumptions!$B$16)</f>
        <v>-168.47</v>
      </c>
      <c r="F6" s="23">
        <f>-IF(F3-2026&lt;Assumptions!$B$19,Assumptions!$B$18,Assumptions!$B$18*Assumptions!$B$20*Assumptions!$B$16)</f>
        <v>-168.47</v>
      </c>
      <c r="G6" s="23">
        <f>-IF(G3-2026&lt;Assumptions!$B$19,Assumptions!$B$18,Assumptions!$B$18*Assumptions!$B$20*Assumptions!$B$16)</f>
        <v>-3.8107914000000007</v>
      </c>
      <c r="H6" s="23">
        <f>-IF(H3-2026&lt;Assumptions!$B$19,Assumptions!$B$18,Assumptions!$B$18*Assumptions!$B$20*Assumptions!$B$16)</f>
        <v>-3.8107914000000007</v>
      </c>
      <c r="I6" s="23">
        <f>-IF(I3-2026&lt;Assumptions!$B$19,Assumptions!$B$18,Assumptions!$B$18*Assumptions!$B$20*Assumptions!$B$16)</f>
        <v>-3.8107914000000007</v>
      </c>
      <c r="J6" s="23">
        <f>-IF(J3-2026&lt;Assumptions!$B$19,Assumptions!$B$18,Assumptions!$B$18*Assumptions!$B$20*Assumptions!$B$16)</f>
        <v>-3.8107914000000007</v>
      </c>
      <c r="K6" s="23">
        <f>-IF(K3-2026&lt;Assumptions!$B$19,Assumptions!$B$18,Assumptions!$B$18*Assumptions!$B$20*Assumptions!$B$16)</f>
        <v>-3.8107914000000007</v>
      </c>
      <c r="L6" s="23">
        <f>-IF(L3-2026&lt;Assumptions!$B$19,Assumptions!$B$18,Assumptions!$B$18*Assumptions!$B$20*Assumptions!$B$16)</f>
        <v>-3.8107914000000007</v>
      </c>
      <c r="M6" s="23">
        <f>-IF(M3-2026&lt;Assumptions!$B$19,Assumptions!$B$18,Assumptions!$B$18*Assumptions!$B$20*Assumptions!$B$16)</f>
        <v>-3.8107914000000007</v>
      </c>
      <c r="N6" s="23">
        <f>-IF(N3-2026&lt;Assumptions!$B$19,Assumptions!$B$18,Assumptions!$B$18*Assumptions!$B$20*Assumptions!$B$16)</f>
        <v>-3.8107914000000007</v>
      </c>
      <c r="O6" s="23">
        <f>-IF(O3-2026&lt;Assumptions!$B$19,Assumptions!$B$18,Assumptions!$B$18*Assumptions!$B$20*Assumptions!$B$16)</f>
        <v>-3.8107914000000007</v>
      </c>
      <c r="P6" s="23">
        <f>-IF(P3-2026&lt;Assumptions!$B$19,Assumptions!$B$18,Assumptions!$B$18*Assumptions!$B$20*Assumptions!$B$16)</f>
        <v>-3.8107914000000007</v>
      </c>
      <c r="Q6" s="23">
        <f>-IF(Q3-2026&lt;Assumptions!$B$19,Assumptions!$B$18,Assumptions!$B$18*Assumptions!$B$20*Assumptions!$B$16)</f>
        <v>-3.8107914000000007</v>
      </c>
      <c r="R6" s="23">
        <f>-IF(R3-2026&lt;Assumptions!$B$19,Assumptions!$B$18,Assumptions!$B$18*Assumptions!$B$20*Assumptions!$B$16)</f>
        <v>-3.8107914000000007</v>
      </c>
      <c r="S6" s="23">
        <f>-IF(S3-2026&lt;Assumptions!$B$19,Assumptions!$B$18,Assumptions!$B$18*Assumptions!$B$20*Assumptions!$B$16)</f>
        <v>-3.8107914000000007</v>
      </c>
      <c r="T6" s="23">
        <f>-IF(T3-2026&lt;Assumptions!$B$19,Assumptions!$B$18,Assumptions!$B$18*Assumptions!$B$20*Assumptions!$B$16)</f>
        <v>-3.8107914000000007</v>
      </c>
      <c r="U6" s="23">
        <f>-IF(U3-2026&lt;Assumptions!$B$19,Assumptions!$B$18,Assumptions!$B$18*Assumptions!$B$20*Assumptions!$B$16)</f>
        <v>-3.8107914000000007</v>
      </c>
      <c r="V6" s="23">
        <f>-IF(V3-2026&lt;Assumptions!$B$19,Assumptions!$B$18,Assumptions!$B$18*Assumptions!$B$20*Assumptions!$B$16)</f>
        <v>-3.8107914000000007</v>
      </c>
    </row>
    <row r="7">
      <c r="A7" s="14" t="inlineStr">
        <is>
          <t>Pre-tax cash flow</t>
        </is>
      </c>
      <c r="C7" s="23">
        <f>C5+C6</f>
        <v>-168.47</v>
      </c>
      <c r="D7" s="23">
        <f>D5+D6</f>
        <v>-168.47</v>
      </c>
      <c r="E7" s="23">
        <f>E5+E6</f>
        <v>-168.47</v>
      </c>
      <c r="F7" s="23">
        <f>F5+F6</f>
        <v>-168.47</v>
      </c>
      <c r="G7" s="23">
        <f>G5+G6</f>
        <v>-3.8107914000000007</v>
      </c>
      <c r="H7" s="23">
        <f>H5+H6</f>
        <v>-3.8107914000000007</v>
      </c>
      <c r="I7" s="23">
        <f>I5+I6</f>
        <v>0.7132085999999993</v>
      </c>
      <c r="J7" s="23">
        <f>J5+J6</f>
        <v>7.499208599999999</v>
      </c>
      <c r="K7" s="23">
        <f>K5+K6</f>
        <v>16.5472086</v>
      </c>
      <c r="L7" s="23">
        <f>L5+L6</f>
        <v>25.595208600000003</v>
      </c>
      <c r="M7" s="23">
        <f>M5+M6</f>
        <v>34.6432086</v>
      </c>
      <c r="N7" s="23">
        <f>N5+N6</f>
        <v>41.4292086</v>
      </c>
      <c r="O7" s="23">
        <f>O5+O6</f>
        <v>41.4292086</v>
      </c>
      <c r="P7" s="23">
        <f>P5+P6</f>
        <v>41.4292086</v>
      </c>
      <c r="Q7" s="23">
        <f>Q5+Q6</f>
        <v>41.4292086</v>
      </c>
      <c r="R7" s="23">
        <f>R5+R6</f>
        <v>41.4292086</v>
      </c>
      <c r="S7" s="23">
        <f>S5+S6</f>
        <v>41.4292086</v>
      </c>
      <c r="T7" s="23">
        <f>T5+T6</f>
        <v>41.4292086</v>
      </c>
      <c r="U7" s="23">
        <f>U5+U6</f>
        <v>41.4292086</v>
      </c>
      <c r="V7" s="23">
        <f>V5+V6</f>
        <v>18.8092086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0.7132085999999993</v>
      </c>
      <c r="J8" s="23">
        <f>MIN(I17,MAX(0,J7))</f>
        <v>7.499208599999999</v>
      </c>
      <c r="K8" s="23">
        <f>MIN(J17,MAX(0,K7))</f>
        <v>16.5472086</v>
      </c>
      <c r="L8" s="23">
        <f>MIN(K17,MAX(0,L7))</f>
        <v>25.595208600000003</v>
      </c>
      <c r="M8" s="23">
        <f>MIN(L17,MAX(0,M7))</f>
        <v>34.6432086</v>
      </c>
      <c r="N8" s="23">
        <f>MIN(M17,MAX(0,N7))</f>
        <v>41.4292086</v>
      </c>
      <c r="O8" s="23">
        <f>MIN(N17,MAX(0,O7))</f>
        <v>41.4292086</v>
      </c>
      <c r="P8" s="23">
        <f>MIN(O17,MAX(0,P7))</f>
        <v>41.4292086</v>
      </c>
      <c r="Q8" s="23">
        <f>MIN(P17,MAX(0,Q7))</f>
        <v>41.4292086</v>
      </c>
      <c r="R8" s="23">
        <f>MIN(Q17,MAX(0,R7))</f>
        <v>41.4292086</v>
      </c>
      <c r="S8" s="23">
        <f>MIN(R17,MAX(0,S7))</f>
        <v>41.4292086</v>
      </c>
      <c r="T8" s="23">
        <f>MIN(S17,MAX(0,T7))</f>
        <v>41.4292086</v>
      </c>
      <c r="U8" s="23">
        <f>MIN(T17,MAX(0,U7))</f>
        <v>41.4292086</v>
      </c>
      <c r="V8" s="23">
        <f>MIN(U17,MAX(0,V7))</f>
        <v>18.8092086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-168.47</v>
      </c>
      <c r="D11" s="55">
        <f>D7-D10</f>
        <v>-168.47</v>
      </c>
      <c r="E11" s="55">
        <f>E7-E10</f>
        <v>-168.47</v>
      </c>
      <c r="F11" s="55">
        <f>F7-F10</f>
        <v>-168.47</v>
      </c>
      <c r="G11" s="55">
        <f>G7-G10</f>
        <v>-3.8107914000000007</v>
      </c>
      <c r="H11" s="55">
        <f>H7-H10</f>
        <v>-3.8107914000000007</v>
      </c>
      <c r="I11" s="55">
        <f>I7-I10</f>
        <v>0.7132085999999993</v>
      </c>
      <c r="J11" s="55">
        <f>J7-J10</f>
        <v>7.499208599999999</v>
      </c>
      <c r="K11" s="55">
        <f>K7-K10</f>
        <v>16.5472086</v>
      </c>
      <c r="L11" s="55">
        <f>L7-L10</f>
        <v>25.595208600000003</v>
      </c>
      <c r="M11" s="55">
        <f>M7-M10</f>
        <v>34.6432086</v>
      </c>
      <c r="N11" s="55">
        <f>N7-N10</f>
        <v>41.4292086</v>
      </c>
      <c r="O11" s="55">
        <f>O7-O10</f>
        <v>41.4292086</v>
      </c>
      <c r="P11" s="55">
        <f>P7-P10</f>
        <v>41.4292086</v>
      </c>
      <c r="Q11" s="55">
        <f>Q7-Q10</f>
        <v>41.4292086</v>
      </c>
      <c r="R11" s="55">
        <f>R7-R10</f>
        <v>41.4292086</v>
      </c>
      <c r="S11" s="55">
        <f>S7-S10</f>
        <v>41.4292086</v>
      </c>
      <c r="T11" s="55">
        <f>T7-T10</f>
        <v>41.4292086</v>
      </c>
      <c r="U11" s="55">
        <f>U7-U10</f>
        <v>41.4292086</v>
      </c>
      <c r="V11" s="55">
        <f>V7-V10</f>
        <v>18.8092086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-82.53418567849998</v>
      </c>
      <c r="D16" s="55">
        <f>D11*D15</f>
        <v>-150.3497669647189</v>
      </c>
      <c r="E16" s="55">
        <f>E11*E15</f>
        <v>-134.2408633613561</v>
      </c>
      <c r="F16" s="55">
        <f>F11*F15</f>
        <v>-119.85791371549654</v>
      </c>
      <c r="G16" s="55">
        <f>G11*G15</f>
        <v>-2.420701793075475</v>
      </c>
      <c r="H16" s="55">
        <f>H11*H15</f>
        <v>-2.1613408866745307</v>
      </c>
      <c r="I16" s="55">
        <f>I11*I15</f>
        <v>0.3611658188234439</v>
      </c>
      <c r="J16" s="55">
        <f>J11*J15</f>
        <v>3.390685285967346</v>
      </c>
      <c r="K16" s="55">
        <f>K11*K15</f>
        <v>6.680035439702969</v>
      </c>
      <c r="L16" s="55">
        <f>L11*L15</f>
        <v>9.225601163079803</v>
      </c>
      <c r="M16" s="55">
        <f>M11*M15</f>
        <v>11.149004436858887</v>
      </c>
      <c r="N16" s="55">
        <f>N11*N15</f>
        <v>11.904374859640916</v>
      </c>
      <c r="O16" s="55">
        <f>O11*O15</f>
        <v>10.628906124679387</v>
      </c>
      <c r="P16" s="55">
        <f>P11*P15</f>
        <v>9.490094754178024</v>
      </c>
      <c r="Q16" s="55">
        <f>Q11*Q15</f>
        <v>8.473298887658949</v>
      </c>
      <c r="R16" s="55">
        <f>R11*R15</f>
        <v>7.565445435409776</v>
      </c>
      <c r="S16" s="55">
        <f>S11*S15</f>
        <v>6.754861995901584</v>
      </c>
      <c r="T16" s="55">
        <f>T11*T15</f>
        <v>6.031126782054986</v>
      </c>
      <c r="U16" s="55">
        <f>U11*U15</f>
        <v>5.384934626834808</v>
      </c>
      <c r="V16" s="55">
        <f>V11*V15</f>
        <v>2.1828620890788946</v>
      </c>
    </row>
    <row r="17">
      <c r="A17" s="14" t="inlineStr">
        <is>
          <t>Tax-loss carryforward, end of year</t>
        </is>
      </c>
      <c r="C17" s="23">
        <f>Assumptions!$B$21-C8+MAX(0,-C7)</f>
        <v>535.37</v>
      </c>
      <c r="D17" s="23">
        <f>C17-D8+MAX(0,-D7)</f>
        <v>703.84</v>
      </c>
      <c r="E17" s="23">
        <f>D17-E8+MAX(0,-E7)</f>
        <v>872.3100000000001</v>
      </c>
      <c r="F17" s="23">
        <f>E17-F8+MAX(0,-F7)</f>
        <v>1040.78</v>
      </c>
      <c r="G17" s="23">
        <f>F17-G8+MAX(0,-G7)</f>
        <v>1044.5907914</v>
      </c>
      <c r="H17" s="23">
        <f>G17-H8+MAX(0,-H7)</f>
        <v>1048.4015828</v>
      </c>
      <c r="I17" s="23">
        <f>H17-I8+MAX(0,-I7)</f>
        <v>1047.6883742</v>
      </c>
      <c r="J17" s="23">
        <f>I17-J8+MAX(0,-J7)</f>
        <v>1040.1891656</v>
      </c>
      <c r="K17" s="23">
        <f>J17-K8+MAX(0,-K7)</f>
        <v>1023.641957</v>
      </c>
      <c r="L17" s="23">
        <f>K17-L8+MAX(0,-L7)</f>
        <v>998.0467484000001</v>
      </c>
      <c r="M17" s="23">
        <f>L17-M8+MAX(0,-M7)</f>
        <v>963.4035398000001</v>
      </c>
      <c r="N17" s="23">
        <f>M17-N8+MAX(0,-N7)</f>
        <v>921.9743312</v>
      </c>
      <c r="O17" s="23">
        <f>N17-O8+MAX(0,-O7)</f>
        <v>880.5451226</v>
      </c>
      <c r="P17" s="23">
        <f>O17-P8+MAX(0,-P7)</f>
        <v>839.115914</v>
      </c>
      <c r="Q17" s="23">
        <f>P17-Q8+MAX(0,-Q7)</f>
        <v>797.6867053999999</v>
      </c>
      <c r="R17" s="23">
        <f>Q17-R8+MAX(0,-R7)</f>
        <v>756.2574967999999</v>
      </c>
      <c r="S17" s="23">
        <f>R17-S8+MAX(0,-S7)</f>
        <v>714.8282881999999</v>
      </c>
      <c r="T17" s="23">
        <f>S17-T8+MAX(0,-T7)</f>
        <v>673.3990795999998</v>
      </c>
      <c r="U17" s="23">
        <f>T17-U8+MAX(0,-U7)</f>
        <v>631.9698709999998</v>
      </c>
      <c r="V17" s="23">
        <f>U17-V8+MAX(0,-V7)</f>
        <v>613.1606623999998</v>
      </c>
    </row>
    <row r="19">
      <c r="A19" s="14" t="inlineStr">
        <is>
          <t>PV of risked pipeline contribution</t>
        </is>
      </c>
      <c r="B19" s="23">
        <f>SUMPRODUCT(C5:V5,C15:V15)</f>
        <v>113.54812869523724</v>
      </c>
    </row>
    <row r="20">
      <c r="A20" s="14" t="inlineStr">
        <is>
          <t>PV of corporate burn</t>
        </is>
      </c>
      <c r="B20" s="23">
        <f>SUMPRODUCT(C6:V6,C15:V15)</f>
        <v>-505.890503395189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-392.34237469995185</v>
      </c>
    </row>
    <row r="23">
      <c r="A23" s="14" t="inlineStr">
        <is>
          <t>Cash &amp; investments</t>
        </is>
      </c>
      <c r="B23" s="57">
        <f>Main!C7</f>
        <v>171.593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-220.74937469995186</v>
      </c>
    </row>
    <row r="26">
      <c r="A26" s="14" t="inlineStr">
        <is>
          <t>Shares (mm)</t>
        </is>
      </c>
      <c r="B26" s="57">
        <f>Main!C4</f>
        <v>37.14394</v>
      </c>
    </row>
    <row r="27">
      <c r="A27" s="24" t="inlineStr">
        <is>
          <t>rNPV / share</t>
        </is>
      </c>
      <c r="B27" s="60">
        <f>B25/B26</f>
        <v>-5.943079132153236</v>
      </c>
    </row>
    <row r="28">
      <c r="A28" s="14" t="inlineStr">
        <is>
          <t>Price</t>
        </is>
      </c>
      <c r="B28" s="61">
        <f>Main!C3</f>
        <v>13.07</v>
      </c>
    </row>
    <row r="29">
      <c r="A29" s="14" t="inlineStr">
        <is>
          <t>Upside</t>
        </is>
      </c>
      <c r="B29" s="62">
        <f>B27/B28-1</f>
        <v>-1.454711486775305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2026-10-21T06:25:23Z</dcterms:modified>
  <cp:lastModifiedBy>Wang, Eric</cp:lastModifiedBy>
</cp:coreProperties>
</file>