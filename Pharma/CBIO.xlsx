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Crescent Biopharma, Inc.</t>
        </is>
      </c>
      <c r="C2" s="10" t="n"/>
    </row>
    <row r="3">
      <c r="B3" t="inlineStr">
        <is>
          <t>Price</t>
        </is>
      </c>
      <c r="C3" s="11">
        <f>INDEX([1]Pharma!$F$1:$F$1000,MATCH("CBIO",[1]Pharma!$B$1:$B$1000,0))</f>
        <v>13.07</v>
      </c>
      <c r="F3" s="1" t="n"/>
    </row>
    <row r="4">
      <c r="B4" t="inlineStr">
        <is>
          <t>Shares</t>
        </is>
      </c>
      <c r="C4" s="21" t="n">
        <v>37.14394</v>
      </c>
      <c r="F4" s="1" t="n"/>
    </row>
    <row r="5">
      <c r="B5" t="inlineStr">
        <is>
          <t>Market Cap.</t>
        </is>
      </c>
      <c r="C5" s="13">
        <f>C3*C4</f>
        <v>485.4712958</v>
      </c>
      <c r="F5" s="1" t="n"/>
    </row>
    <row r="6"/>
    <row r="7">
      <c r="B7" t="inlineStr">
        <is>
          <t>Cash</t>
        </is>
      </c>
      <c r="C7" s="21" t="n">
        <v>171.593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313.87829580000005</v>
      </c>
    </row>
    <row r="10"/>
    <row r="11">
      <c r="B11" s="14" t="inlineStr">
        <is>
          <t>Net Cash / Share</t>
        </is>
      </c>
      <c r="C11" s="11">
        <f>(C7-C8)/C4</f>
        <v>4.6196768571131654</v>
      </c>
    </row>
    <row r="12">
      <c r="B12" s="14" t="inlineStr">
        <is>
          <t>Upside</t>
        </is>
      </c>
      <c r="C12" s="15">
        <f>IFERROR(C11/C3-1,"")</f>
        <v>-0.6465434692338818</v>
      </c>
    </row>
    <row r="13">
      <c r="B13" s="14" t="inlineStr">
        <is>
          <t>Cash / Share</t>
        </is>
      </c>
      <c r="C13" s="11">
        <f>IFERROR((C7-C8)/C4,"")</f>
        <v>4.6196768571131654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-72.679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2.360970844397969</v>
      </c>
    </row>
    <row r="19">
      <c r="B19" s="14" t="inlineStr">
        <is>
          <t>Implied Pipeline Value</t>
        </is>
      </c>
      <c r="C19" s="13">
        <f>C9</f>
        <v>313.87829580000005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15.257</v>
      </c>
      <c r="C2" s="23" t="n">
        <v>3.993</v>
      </c>
      <c r="D2" s="23" t="n">
        <v>15.027</v>
      </c>
      <c r="E2" s="23" t="n">
        <v>20.071</v>
      </c>
      <c r="F2" s="23" t="n">
        <v>0.018</v>
      </c>
      <c r="G2" s="23" t="n">
        <v>0</v>
      </c>
      <c r="H2" s="23" t="n">
        <v>0</v>
      </c>
      <c r="I2" s="23" t="n">
        <v>0</v>
      </c>
      <c r="J2" s="23" t="n">
        <v>10.163</v>
      </c>
      <c r="K2" s="23" t="n">
        <v>1.16</v>
      </c>
      <c r="L2" s="23" t="n">
        <v>0.075</v>
      </c>
      <c r="M2" s="23" t="n">
        <v>0.01</v>
      </c>
      <c r="N2" s="23" t="n">
        <v>0</v>
      </c>
      <c r="O2" s="23" t="n">
        <v>10.844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15.257</v>
      </c>
      <c r="C4" s="23">
        <f>C2-C3</f>
        <v>3.993</v>
      </c>
      <c r="D4" s="23">
        <f>D2-D3</f>
        <v>15.027</v>
      </c>
      <c r="E4" s="23">
        <f>E2-E3</f>
        <v>20.071</v>
      </c>
      <c r="F4" s="23">
        <f>F2-F3</f>
        <v>0.018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10.163</v>
      </c>
      <c r="K4" s="23">
        <f>K2-K3</f>
        <v>1.16</v>
      </c>
      <c r="L4" s="23">
        <f>L2-L3</f>
        <v>0.075</v>
      </c>
      <c r="M4" s="23">
        <f>M2-M3</f>
        <v>0.01</v>
      </c>
      <c r="N4" s="23">
        <f>N2-N3</f>
        <v>0.0</v>
      </c>
      <c r="O4" s="23">
        <f>O2-O3</f>
        <v>10.844</v>
      </c>
    </row>
    <row r="5">
      <c r="A5" s="2" t="inlineStr">
        <is>
          <t>Research &amp; Dev.</t>
        </is>
      </c>
      <c r="B5" s="23" t="n">
        <v>9.438000000000001</v>
      </c>
      <c r="C5" s="23" t="n">
        <v>11.701</v>
      </c>
      <c r="D5" s="23" t="n">
        <v>19.571</v>
      </c>
      <c r="E5" s="23" t="n">
        <v>25.05</v>
      </c>
      <c r="F5" s="23" t="n">
        <v>23.282</v>
      </c>
      <c r="G5" s="23" t="n">
        <v>24.1</v>
      </c>
      <c r="H5" s="23" t="n">
        <v>40.092</v>
      </c>
      <c r="I5" s="23" t="n">
        <v>47.029</v>
      </c>
      <c r="J5" s="23" t="n">
        <v>44.929</v>
      </c>
      <c r="K5" s="23" t="n">
        <v>47.492</v>
      </c>
      <c r="L5" s="23" t="n">
        <v>28.391</v>
      </c>
      <c r="M5" s="23" t="n">
        <v>20.072</v>
      </c>
      <c r="N5" s="23" t="n">
        <v>14.26</v>
      </c>
      <c r="O5" s="23" t="n">
        <v>138.086</v>
      </c>
    </row>
    <row r="6">
      <c r="A6" s="19" t="inlineStr">
        <is>
          <t>SG&amp;A &amp; Other</t>
        </is>
      </c>
      <c r="B6" s="23" t="n">
        <v>2.184</v>
      </c>
      <c r="C6" s="23" t="n">
        <v>2.898</v>
      </c>
      <c r="D6" s="23" t="n">
        <v>6.596</v>
      </c>
      <c r="E6" s="23" t="n">
        <v>7.805</v>
      </c>
      <c r="F6" s="23" t="n">
        <v>8.65</v>
      </c>
      <c r="G6" s="23" t="n">
        <v>9.832000000000001</v>
      </c>
      <c r="H6" s="23" t="n">
        <v>11.413</v>
      </c>
      <c r="I6" s="23" t="n">
        <v>14.36</v>
      </c>
      <c r="J6" s="23" t="n">
        <v>16.743</v>
      </c>
      <c r="K6" s="23" t="n">
        <v>17.115</v>
      </c>
      <c r="L6" s="23" t="n">
        <v>19.087</v>
      </c>
      <c r="M6" s="23" t="n">
        <v>19.214</v>
      </c>
      <c r="N6" s="23" t="n">
        <v>25.78</v>
      </c>
      <c r="O6" s="23" t="n">
        <v>25.39</v>
      </c>
    </row>
    <row r="7">
      <c r="A7" s="2" t="inlineStr">
        <is>
          <t>Operating Expense</t>
        </is>
      </c>
      <c r="B7" s="23">
        <f>SUM(B5:B6)</f>
        <v>11.622</v>
      </c>
      <c r="C7" s="23">
        <f>SUM(C5:C6)</f>
        <v>14.599</v>
      </c>
      <c r="D7" s="23">
        <f>SUM(D5:D6)</f>
        <v>26.167</v>
      </c>
      <c r="E7" s="23">
        <f>SUM(E5:E6)</f>
        <v>32.855000000000004</v>
      </c>
      <c r="F7" s="23">
        <f>SUM(F5:F6)</f>
        <v>31.932000000000002</v>
      </c>
      <c r="G7" s="23">
        <f>SUM(G5:G6)</f>
        <v>33.932</v>
      </c>
      <c r="H7" s="23">
        <f>SUM(H5:H6)</f>
        <v>51.504999999999995</v>
      </c>
      <c r="I7" s="23">
        <f>SUM(I5:I6)</f>
        <v>61.389</v>
      </c>
      <c r="J7" s="23">
        <f>SUM(J5:J6)</f>
        <v>61.672</v>
      </c>
      <c r="K7" s="23">
        <f>SUM(K5:K6)</f>
        <v>64.607</v>
      </c>
      <c r="L7" s="23">
        <f>SUM(L5:L6)</f>
        <v>47.477999999999994</v>
      </c>
      <c r="M7" s="23">
        <f>SUM(M5:M6)</f>
        <v>39.286</v>
      </c>
      <c r="N7" s="23">
        <f>SUM(N5:N6)</f>
        <v>40.04</v>
      </c>
      <c r="O7" s="23">
        <f>SUM(O5:O6)</f>
        <v>163.476</v>
      </c>
    </row>
    <row r="8">
      <c r="A8" s="2" t="inlineStr">
        <is>
          <t>Operating Income</t>
        </is>
      </c>
      <c r="B8" s="23">
        <f>B4-B7</f>
        <v>3.635</v>
      </c>
      <c r="C8" s="23">
        <f>C4-C7</f>
        <v>-10.606</v>
      </c>
      <c r="D8" s="23">
        <f>D4-D7</f>
        <v>-11.140000000000002</v>
      </c>
      <c r="E8" s="23">
        <f>E4-E7</f>
        <v>-12.784000000000002</v>
      </c>
      <c r="F8" s="23">
        <f>F4-F7</f>
        <v>-31.914</v>
      </c>
      <c r="G8" s="23">
        <f>G4-G7</f>
        <v>-33.932</v>
      </c>
      <c r="H8" s="23">
        <f>H4-H7</f>
        <v>-51.504999999999995</v>
      </c>
      <c r="I8" s="23">
        <f>I4-I7</f>
        <v>-61.389</v>
      </c>
      <c r="J8" s="23">
        <f>J4-J7</f>
        <v>-51.509</v>
      </c>
      <c r="K8" s="23">
        <f>K4-K7</f>
        <v>-63.447</v>
      </c>
      <c r="L8" s="23">
        <f>L4-L7</f>
        <v>-47.40299999999999</v>
      </c>
      <c r="M8" s="23">
        <f>M4-M7</f>
        <v>-39.276</v>
      </c>
      <c r="N8" s="23">
        <f>N4-N7</f>
        <v>-40.04</v>
      </c>
      <c r="O8" s="23">
        <f>O4-O7</f>
        <v>-152.632</v>
      </c>
    </row>
    <row r="9">
      <c r="A9" s="19" t="inlineStr">
        <is>
          <t>Interest &amp; Other</t>
        </is>
      </c>
      <c r="B9" s="23" t="n">
        <v>0.021</v>
      </c>
      <c r="C9" s="23" t="n">
        <v>0.001</v>
      </c>
      <c r="D9" s="23" t="n">
        <v>0.018</v>
      </c>
      <c r="E9" s="23" t="n">
        <v>0.015</v>
      </c>
      <c r="F9" s="23" t="n">
        <v>0.104</v>
      </c>
      <c r="G9" s="23" t="n">
        <v>0.651</v>
      </c>
      <c r="H9" s="23" t="n">
        <v>3.231</v>
      </c>
      <c r="I9" s="23" t="n">
        <v>3.497</v>
      </c>
      <c r="J9" s="23" t="n">
        <v>0.482</v>
      </c>
      <c r="K9" s="23" t="n">
        <v>0.02</v>
      </c>
      <c r="L9" s="23" t="n">
        <v>0.715</v>
      </c>
      <c r="M9" s="23" t="n">
        <v>39.312</v>
      </c>
      <c r="N9" s="23" t="n">
        <v>40.077</v>
      </c>
      <c r="O9" s="23" t="n">
        <v>154.786</v>
      </c>
    </row>
    <row r="10">
      <c r="A10" s="2" t="inlineStr">
        <is>
          <t>Pretax</t>
        </is>
      </c>
      <c r="B10" s="23">
        <f>B8+B9</f>
        <v>3.6559999999999997</v>
      </c>
      <c r="C10" s="23">
        <f>C8+C9</f>
        <v>-10.605</v>
      </c>
      <c r="D10" s="23">
        <f>D8+D9</f>
        <v>-11.122000000000002</v>
      </c>
      <c r="E10" s="23">
        <f>E8+E9</f>
        <v>-12.769000000000002</v>
      </c>
      <c r="F10" s="23">
        <f>F8+F9</f>
        <v>-31.810000000000002</v>
      </c>
      <c r="G10" s="23">
        <f>G8+G9</f>
        <v>-33.281</v>
      </c>
      <c r="H10" s="23">
        <f>H8+H9</f>
        <v>-48.273999999999994</v>
      </c>
      <c r="I10" s="23">
        <f>I8+I9</f>
        <v>-57.892</v>
      </c>
      <c r="J10" s="23">
        <f>J8+J9</f>
        <v>-51.027</v>
      </c>
      <c r="K10" s="23">
        <f>K8+K9</f>
        <v>-63.427</v>
      </c>
      <c r="L10" s="23">
        <f>L8+L9</f>
        <v>-46.68799999999999</v>
      </c>
      <c r="M10" s="23">
        <f>M8+M9</f>
        <v>0.03599999999999426</v>
      </c>
      <c r="N10" s="23">
        <f>N8+N9</f>
        <v>0.036999999999999034</v>
      </c>
      <c r="O10" s="23">
        <f>O8+O9</f>
        <v>2.1539999999999964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2</v>
      </c>
    </row>
    <row r="12">
      <c r="A12" s="2" t="inlineStr">
        <is>
          <t>Net Income</t>
        </is>
      </c>
      <c r="B12" s="23" t="n">
        <v>3.656</v>
      </c>
      <c r="C12" s="23" t="n">
        <v>-10.606</v>
      </c>
      <c r="D12" s="23" t="n">
        <v>-11.122</v>
      </c>
      <c r="E12" s="23" t="n">
        <v>-12.769</v>
      </c>
      <c r="F12" s="23" t="n">
        <v>-31.81</v>
      </c>
      <c r="G12" s="23" t="n">
        <v>-33.281</v>
      </c>
      <c r="H12" s="23" t="n">
        <v>-48.274</v>
      </c>
      <c r="I12" s="23" t="n">
        <v>-57.892</v>
      </c>
      <c r="J12" s="23" t="n">
        <v>-51.027</v>
      </c>
      <c r="K12" s="23" t="n">
        <v>-63.427</v>
      </c>
      <c r="L12" s="23" t="n">
        <v>-46.689</v>
      </c>
      <c r="M12" s="23" t="n">
        <v>0.037</v>
      </c>
      <c r="N12" s="23" t="n">
        <v>0.038</v>
      </c>
      <c r="O12" s="23" t="n">
        <v>0.154</v>
      </c>
    </row>
    <row r="13">
      <c r="A13" s="2" t="inlineStr">
        <is>
          <t>Earnings per Share</t>
        </is>
      </c>
      <c r="B13" s="11">
        <f>IFERROR(B12/B14,0)</f>
        <v>0.33185077607334124</v>
      </c>
      <c r="C13" s="11">
        <f>IFERROR(C12/C14,0)</f>
        <v>-8.86789297658863</v>
      </c>
      <c r="D13" s="11">
        <f>IFERROR(D12/D14,0)</f>
        <v>-0.6027530890960329</v>
      </c>
      <c r="E13" s="11">
        <f>IFERROR(E12/E14,0)</f>
        <v>-0.6716637736047552</v>
      </c>
      <c r="F13" s="11">
        <f>IFERROR(F12/F14,0)</f>
        <v>-1.4965186300338726</v>
      </c>
      <c r="G13" s="11">
        <f>IFERROR(G12/G14,0)</f>
        <v>-1.13216083820928</v>
      </c>
      <c r="H13" s="11">
        <f>IFERROR(H12/H14,0)</f>
        <v>-1.1761237665976367</v>
      </c>
      <c r="I13" s="11">
        <f>IFERROR(I12/I14,0)</f>
        <v>-1.3383886255924171</v>
      </c>
      <c r="J13" s="11">
        <f>IFERROR(J12/J14,0)</f>
        <v>-1.116051704905842</v>
      </c>
      <c r="K13" s="11">
        <f>IFERROR(K12/K14,0)</f>
        <v>-1.2327172370901598</v>
      </c>
      <c r="L13" s="11">
        <f>IFERROR(L12/L14,0)</f>
        <v>-0.8887894766899546</v>
      </c>
      <c r="M13" s="11">
        <f>IFERROR(M12/M14,0)</f>
        <v>0.0005841305926557418</v>
      </c>
      <c r="N13" s="11">
        <f>IFERROR(N12/N14,0)</f>
        <v>0.0005893574452905687</v>
      </c>
      <c r="O13" s="11">
        <f>IFERROR(O12/O14,0)</f>
        <v>0</v>
      </c>
    </row>
    <row r="14">
      <c r="A14" s="2" t="inlineStr">
        <is>
          <t>Shares</t>
        </is>
      </c>
      <c r="B14" s="23" t="n">
        <v>11.017</v>
      </c>
      <c r="C14" s="23" t="n">
        <v>1.196</v>
      </c>
      <c r="D14" s="23" t="n">
        <v>18.452</v>
      </c>
      <c r="E14" s="23" t="n">
        <v>19.011</v>
      </c>
      <c r="F14" s="23" t="n">
        <v>21.256</v>
      </c>
      <c r="G14" s="23" t="n">
        <v>29.396</v>
      </c>
      <c r="H14" s="23" t="n">
        <v>41.045</v>
      </c>
      <c r="I14" s="23" t="n">
        <v>43.255</v>
      </c>
      <c r="J14" s="23" t="n">
        <v>45.721</v>
      </c>
      <c r="K14" s="23" t="n">
        <v>51.453</v>
      </c>
      <c r="L14" s="23" t="n">
        <v>52.531</v>
      </c>
      <c r="M14" s="23" t="n">
        <v>63.342</v>
      </c>
      <c r="N14" s="23" t="n">
        <v>64.477</v>
      </c>
      <c r="O14" s="23" t="n"/>
    </row>
    <row r="15"/>
    <row r="16" customFormat="1" s="4">
      <c r="A16" s="3" t="inlineStr">
        <is>
          <t>Revenue Change</t>
        </is>
      </c>
      <c r="C16" s="15">
        <f>IFERROR(C2/B2-1,"")</f>
        <v>-0.738284066330209</v>
      </c>
      <c r="D16" s="15">
        <f>IFERROR(D2/C2-1,"")</f>
        <v>2.763335837716003</v>
      </c>
      <c r="E16" s="15">
        <f>IFERROR(E2/D2-1,"")</f>
        <v>0.3356624742130834</v>
      </c>
      <c r="F16" s="15">
        <f>IFERROR(F2/E2-1,"")</f>
        <v>-0.9991031836978725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-0.8858604742694086</v>
      </c>
      <c r="L16" s="15">
        <f>IFERROR(L2/K2-1,"")</f>
        <v>-0.9353448275862069</v>
      </c>
      <c r="M16" s="15">
        <f>IFERROR(M2/L2-1,"")</f>
        <v>-0.8666666666666667</v>
      </c>
      <c r="N16" s="15">
        <f>IFERROR(N2/M2-1,"")</f>
        <v>-1.0</v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/>
      </c>
      <c r="O17" s="15">
        <f>IFERROR(O4/O2,"")</f>
        <v>1.0</v>
      </c>
    </row>
    <row r="18">
      <c r="A18" s="14" t="inlineStr">
        <is>
          <t>Operating Margin</t>
        </is>
      </c>
      <c r="B18" s="15">
        <f>IFERROR(B8/B2,"")</f>
        <v>0.2382512944877761</v>
      </c>
      <c r="C18" s="15">
        <f>IFERROR(C8/C2,"")</f>
        <v>-2.6561482594540444</v>
      </c>
      <c r="D18" s="15">
        <f>IFERROR(D8/D2,"")</f>
        <v>-0.7413322685832171</v>
      </c>
      <c r="E18" s="15">
        <f>IFERROR(E8/E2,"")</f>
        <v>-0.6369388670220717</v>
      </c>
      <c r="F18" s="15">
        <f>IFERROR(F8/F2,"")</f>
        <v>-1773.0000000000002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-5.068286923152613</v>
      </c>
      <c r="K18" s="15">
        <f>IFERROR(K8/K2,"")</f>
        <v>-54.69568965517242</v>
      </c>
      <c r="L18" s="15">
        <f>IFERROR(L8/L2,"")</f>
        <v>-632.04</v>
      </c>
      <c r="M18" s="15">
        <f>IFERROR(M8/M2,"")</f>
        <v>-3927.6000000000004</v>
      </c>
      <c r="N18" s="15">
        <f>IFERROR(N8/N2,"")</f>
        <v/>
      </c>
      <c r="O18" s="15">
        <f>IFERROR(O8/O2,"")</f>
        <v>-14.075248985614166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2026-10-21T01:05:12Z</dcterms:modified>
  <cp:lastModifiedBy>Wang, Eric</cp:lastModifiedBy>
</cp:coreProperties>
</file>