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Pluri Inc</t>
        </is>
      </c>
      <c r="C2" s="10" t="n"/>
    </row>
    <row r="3">
      <c r="B3" t="inlineStr">
        <is>
          <t>Price</t>
        </is>
      </c>
      <c r="C3" s="11">
        <f>INDEX([1]Pharma!$F$1:$F$1000,MATCH("PLUR",[1]Pharma!$B$1:$B$1000,0))</f>
        <v>0.9</v>
      </c>
      <c r="F3" s="1" t="n"/>
    </row>
    <row r="4">
      <c r="B4" t="inlineStr">
        <is>
          <t>Shares</t>
        </is>
      </c>
      <c r="C4" s="21" t="n">
        <v>12.344736</v>
      </c>
      <c r="F4" s="1" t="n"/>
    </row>
    <row r="5">
      <c r="B5" t="inlineStr">
        <is>
          <t>Market Cap.</t>
        </is>
      </c>
      <c r="C5" s="13">
        <f>C3*C4</f>
        <v>11.1102624</v>
      </c>
      <c r="F5" s="1" t="n"/>
    </row>
    <row r="6"/>
    <row r="7">
      <c r="B7" t="inlineStr">
        <is>
          <t>Cash</t>
        </is>
      </c>
      <c r="C7" s="21" t="n">
        <v>8.851000000000001</v>
      </c>
    </row>
    <row r="8">
      <c r="B8" t="inlineStr">
        <is>
          <t>Debt</t>
        </is>
      </c>
      <c r="C8" s="21" t="n">
        <v>27.431</v>
      </c>
    </row>
    <row r="9">
      <c r="B9" t="inlineStr">
        <is>
          <t>Enterprise V.</t>
        </is>
      </c>
      <c r="C9" s="13">
        <f>C5-C7+C8</f>
        <v>29.6902624</v>
      </c>
    </row>
    <row r="10"/>
    <row r="11">
      <c r="B11" s="14" t="inlineStr">
        <is>
          <t>Net Cash / Share</t>
        </is>
      </c>
      <c r="C11" s="11">
        <f>(C7-C8)/C4</f>
        <v>-1.5050949651738197</v>
      </c>
    </row>
    <row r="12">
      <c r="B12" s="14" t="inlineStr">
        <is>
          <t>Upside</t>
        </is>
      </c>
      <c r="C12" s="15">
        <f>IFERROR(C11/C3-1,"")</f>
        <v>-2.672327739082022</v>
      </c>
    </row>
    <row r="13">
      <c r="B13" s="14" t="inlineStr">
        <is>
          <t>Cash / Share</t>
        </is>
      </c>
      <c r="C13" s="11">
        <f>IFERROR((C7-C8)/C4,"")</f>
        <v>-1.5050949651738197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-19.588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29.6902624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17" t="n">
        <v>2026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0.716</v>
      </c>
      <c r="E2" s="23" t="n">
        <v>0.679</v>
      </c>
      <c r="F2" s="23" t="n">
        <v>0.379</v>
      </c>
      <c r="G2" s="23" t="n">
        <v>0.379</v>
      </c>
      <c r="H2" s="23" t="n">
        <v>2.847</v>
      </c>
      <c r="I2" s="23" t="n">
        <v>0</v>
      </c>
      <c r="J2" s="23" t="n">
        <v>0.05</v>
      </c>
      <c r="K2" s="23" t="n">
        <v>0.054</v>
      </c>
      <c r="L2" s="23" t="n">
        <v>0.023</v>
      </c>
      <c r="M2" s="23" t="n">
        <v>0</v>
      </c>
      <c r="N2" s="23" t="n">
        <v>0.234</v>
      </c>
      <c r="O2" s="23" t="n">
        <v>0.287</v>
      </c>
      <c r="P2" s="23" t="n">
        <v>0.326</v>
      </c>
      <c r="Q2" s="23" t="n">
        <v>1.336</v>
      </c>
      <c r="R2" s="23" t="n">
        <v>1.016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0.021</v>
      </c>
      <c r="E3" s="23" t="n">
        <v>0.02</v>
      </c>
      <c r="F3" s="23" t="n">
        <v>0.011</v>
      </c>
      <c r="G3" s="23" t="n">
        <v>0.013</v>
      </c>
      <c r="H3" s="23" t="n">
        <v>0.1</v>
      </c>
      <c r="I3" s="23" t="n">
        <v>0</v>
      </c>
      <c r="J3" s="23" t="n">
        <v>0.002</v>
      </c>
      <c r="K3" s="23" t="n">
        <v>0.002</v>
      </c>
      <c r="L3" s="23" t="n">
        <v>0</v>
      </c>
      <c r="M3" s="23" t="n">
        <v>0</v>
      </c>
      <c r="N3" s="23" t="n">
        <v>0</v>
      </c>
      <c r="O3" s="23" t="n">
        <v>0.008999999999999999</v>
      </c>
      <c r="P3" s="23" t="n">
        <v>0.004</v>
      </c>
      <c r="Q3" s="23" t="n">
        <v>0.6820000000000001</v>
      </c>
      <c r="R3" s="23" t="n">
        <v>0.5629999999999999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0.695</v>
      </c>
      <c r="E4" s="23">
        <f>E2-E3</f>
        <v>0.659</v>
      </c>
      <c r="F4" s="23">
        <f>F2-F3</f>
        <v>0.368</v>
      </c>
      <c r="G4" s="23">
        <f>G2-G3</f>
        <v>0.366</v>
      </c>
      <c r="H4" s="23">
        <f>H2-H3</f>
        <v>2.747</v>
      </c>
      <c r="I4" s="23">
        <f>I2-I3</f>
        <v>0.0</v>
      </c>
      <c r="J4" s="23">
        <f>J2-J3</f>
        <v>0.048</v>
      </c>
      <c r="K4" s="23">
        <f>K2-K3</f>
        <v>0.052</v>
      </c>
      <c r="L4" s="23">
        <f>L2-L3</f>
        <v>0.023</v>
      </c>
      <c r="M4" s="23">
        <f>M2-M3</f>
        <v>0.0</v>
      </c>
      <c r="N4" s="23">
        <f>N2-N3</f>
        <v>0.234</v>
      </c>
      <c r="O4" s="23">
        <f>O2-O3</f>
        <v>0.27799999999999997</v>
      </c>
      <c r="P4" s="23">
        <f>P2-P3</f>
        <v>0.322</v>
      </c>
      <c r="Q4" s="23">
        <f>Q2-Q3</f>
        <v>0.654</v>
      </c>
      <c r="R4" s="23">
        <f>R2-R3</f>
        <v>0.45300000000000007</v>
      </c>
    </row>
    <row r="5">
      <c r="A5" s="2" t="inlineStr">
        <is>
          <t>Research &amp; Dev.</t>
        </is>
      </c>
      <c r="B5" s="23" t="n">
        <v>6.123</v>
      </c>
      <c r="C5" s="23" t="n">
        <v>8.311</v>
      </c>
      <c r="D5" s="23" t="n">
        <v>12.685</v>
      </c>
      <c r="E5" s="23" t="n">
        <v>19.906</v>
      </c>
      <c r="F5" s="23" t="n">
        <v>24.938</v>
      </c>
      <c r="G5" s="23" t="n">
        <v>23.416</v>
      </c>
      <c r="H5" s="23" t="n">
        <v>22.856</v>
      </c>
      <c r="I5" s="23" t="n">
        <v>24.001</v>
      </c>
      <c r="J5" s="23" t="n">
        <v>26.371</v>
      </c>
      <c r="K5" s="23" t="n">
        <v>29.882</v>
      </c>
      <c r="L5" s="23" t="n">
        <v>23.096</v>
      </c>
      <c r="M5" s="23" t="n">
        <v>30.533</v>
      </c>
      <c r="N5" s="23" t="n">
        <v>24.605</v>
      </c>
      <c r="O5" s="23" t="n">
        <v>15.745</v>
      </c>
      <c r="P5" s="23" t="n">
        <v>12.446</v>
      </c>
      <c r="Q5" s="23" t="n">
        <v>12.851</v>
      </c>
      <c r="R5" s="23" t="n">
        <v>15.092</v>
      </c>
    </row>
    <row r="6">
      <c r="A6" s="19" t="inlineStr">
        <is>
          <t>SG&amp;A &amp; Other</t>
        </is>
      </c>
      <c r="B6" s="23" t="n">
        <v>1.316</v>
      </c>
      <c r="C6" s="23" t="n">
        <v>2.803</v>
      </c>
      <c r="D6" s="23" t="n">
        <v>3.041</v>
      </c>
      <c r="E6" s="23" t="n">
        <v>2.976</v>
      </c>
      <c r="F6" s="23" t="n">
        <v>3.28</v>
      </c>
      <c r="G6" s="23" t="n">
        <v>2.217</v>
      </c>
      <c r="H6" s="23" t="n">
        <v>3.21</v>
      </c>
      <c r="I6" s="23" t="n">
        <v>4.018</v>
      </c>
      <c r="J6" s="23" t="n">
        <v>7.408</v>
      </c>
      <c r="K6" s="23" t="n">
        <v>5.702</v>
      </c>
      <c r="L6" s="23" t="n">
        <v>6.403</v>
      </c>
      <c r="M6" s="23" t="n">
        <v>20.09</v>
      </c>
      <c r="N6" s="23" t="n">
        <v>17.222</v>
      </c>
      <c r="O6" s="23" t="n">
        <v>11.779</v>
      </c>
      <c r="P6" s="23" t="n">
        <v>10.034</v>
      </c>
      <c r="Q6" s="23" t="n">
        <v>9.978999999999999</v>
      </c>
      <c r="R6" s="23" t="n">
        <v>10.299</v>
      </c>
    </row>
    <row r="7">
      <c r="A7" s="2" t="inlineStr">
        <is>
          <t>Operating Expense</t>
        </is>
      </c>
      <c r="B7" s="23">
        <f>SUM(B5:B6)</f>
        <v>7.439</v>
      </c>
      <c r="C7" s="23">
        <f>SUM(C5:C6)</f>
        <v>11.114</v>
      </c>
      <c r="D7" s="23">
        <f>SUM(D5:D6)</f>
        <v>15.726</v>
      </c>
      <c r="E7" s="23">
        <f>SUM(E5:E6)</f>
        <v>22.881999999999998</v>
      </c>
      <c r="F7" s="23">
        <f>SUM(F5:F6)</f>
        <v>28.218</v>
      </c>
      <c r="G7" s="23">
        <f>SUM(G5:G6)</f>
        <v>25.633</v>
      </c>
      <c r="H7" s="23">
        <f>SUM(H5:H6)</f>
        <v>26.066000000000003</v>
      </c>
      <c r="I7" s="23">
        <f>SUM(I5:I6)</f>
        <v>28.019000000000002</v>
      </c>
      <c r="J7" s="23">
        <f>SUM(J5:J6)</f>
        <v>33.778999999999996</v>
      </c>
      <c r="K7" s="23">
        <f>SUM(K5:K6)</f>
        <v>35.584</v>
      </c>
      <c r="L7" s="23">
        <f>SUM(L5:L6)</f>
        <v>29.499</v>
      </c>
      <c r="M7" s="23">
        <f>SUM(M5:M6)</f>
        <v>50.623000000000005</v>
      </c>
      <c r="N7" s="23">
        <f>SUM(N5:N6)</f>
        <v>41.827</v>
      </c>
      <c r="O7" s="23">
        <f>SUM(O5:O6)</f>
        <v>27.524</v>
      </c>
      <c r="P7" s="23">
        <f>SUM(P5:P6)</f>
        <v>22.48</v>
      </c>
      <c r="Q7" s="23">
        <f>SUM(Q5:Q6)</f>
        <v>22.83</v>
      </c>
      <c r="R7" s="23">
        <f>SUM(R5:R6)</f>
        <v>25.391</v>
      </c>
    </row>
    <row r="8">
      <c r="A8" s="2" t="inlineStr">
        <is>
          <t>Operating Income</t>
        </is>
      </c>
      <c r="B8" s="23">
        <f>B4-B7</f>
        <v>-7.439</v>
      </c>
      <c r="C8" s="23">
        <f>C4-C7</f>
        <v>-11.114</v>
      </c>
      <c r="D8" s="23">
        <f>D4-D7</f>
        <v>-15.031</v>
      </c>
      <c r="E8" s="23">
        <f>E4-E7</f>
        <v>-22.223</v>
      </c>
      <c r="F8" s="23">
        <f>F4-F7</f>
        <v>-27.85</v>
      </c>
      <c r="G8" s="23">
        <f>G4-G7</f>
        <v>-25.267</v>
      </c>
      <c r="H8" s="23">
        <f>H4-H7</f>
        <v>-23.319000000000003</v>
      </c>
      <c r="I8" s="23">
        <f>I4-I7</f>
        <v>-28.019000000000002</v>
      </c>
      <c r="J8" s="23">
        <f>J4-J7</f>
        <v>-33.730999999999995</v>
      </c>
      <c r="K8" s="23">
        <f>K4-K7</f>
        <v>-35.532000000000004</v>
      </c>
      <c r="L8" s="23">
        <f>L4-L7</f>
        <v>-29.476</v>
      </c>
      <c r="M8" s="23">
        <f>M4-M7</f>
        <v>-50.623000000000005</v>
      </c>
      <c r="N8" s="23">
        <f>N4-N7</f>
        <v>-41.592999999999996</v>
      </c>
      <c r="O8" s="23">
        <f>O4-O7</f>
        <v>-27.246000000000002</v>
      </c>
      <c r="P8" s="23">
        <f>P4-P7</f>
        <v>-22.158</v>
      </c>
      <c r="Q8" s="23">
        <f>Q4-Q7</f>
        <v>-22.176</v>
      </c>
      <c r="R8" s="23">
        <f>R4-R7</f>
        <v>-24.938</v>
      </c>
    </row>
    <row r="9">
      <c r="A9" s="19" t="inlineStr">
        <is>
          <t>Interest &amp; Other</t>
        </is>
      </c>
      <c r="B9" s="23" t="n">
        <v>-0.014</v>
      </c>
      <c r="C9" s="23" t="n">
        <v>0.266</v>
      </c>
      <c r="D9" s="23" t="n">
        <v>0.237</v>
      </c>
      <c r="E9" s="23" t="n">
        <v>1.068</v>
      </c>
      <c r="F9" s="23" t="n">
        <v>0.918</v>
      </c>
      <c r="G9" s="23" t="n">
        <v>0.59</v>
      </c>
      <c r="H9" s="23" t="n">
        <v>0.073</v>
      </c>
      <c r="I9" s="23" t="n">
        <v>0.205</v>
      </c>
      <c r="J9" s="23" t="n">
        <v>7.605</v>
      </c>
      <c r="K9" s="23" t="n">
        <v>0.225</v>
      </c>
      <c r="L9" s="23" t="n">
        <v>0.324</v>
      </c>
      <c r="M9" s="23" t="n">
        <v>0.758</v>
      </c>
      <c r="N9" s="23" t="n">
        <v>0.351</v>
      </c>
      <c r="O9" s="23" t="n">
        <v>56.133</v>
      </c>
      <c r="P9" s="23" t="n">
        <v>43.502</v>
      </c>
      <c r="Q9" s="23" t="n">
        <v>-0.412</v>
      </c>
      <c r="R9" s="23" t="n">
        <v>1.092</v>
      </c>
    </row>
    <row r="10">
      <c r="A10" s="2" t="inlineStr">
        <is>
          <t>Pretax</t>
        </is>
      </c>
      <c r="B10" s="23">
        <f>B8+B9</f>
        <v>-7.453</v>
      </c>
      <c r="C10" s="23">
        <f>C8+C9</f>
        <v>-10.848</v>
      </c>
      <c r="D10" s="23">
        <f>D8+D9</f>
        <v>-14.794</v>
      </c>
      <c r="E10" s="23">
        <f>E8+E9</f>
        <v>-21.154999999999998</v>
      </c>
      <c r="F10" s="23">
        <f>F8+F9</f>
        <v>-26.932000000000002</v>
      </c>
      <c r="G10" s="23">
        <f>G8+G9</f>
        <v>-24.677</v>
      </c>
      <c r="H10" s="23">
        <f>H8+H9</f>
        <v>-23.246000000000002</v>
      </c>
      <c r="I10" s="23">
        <f>I8+I9</f>
        <v>-27.814000000000004</v>
      </c>
      <c r="J10" s="23">
        <f>J8+J9</f>
        <v>-26.125999999999994</v>
      </c>
      <c r="K10" s="23">
        <f>K8+K9</f>
        <v>-35.307</v>
      </c>
      <c r="L10" s="23">
        <f>L8+L9</f>
        <v>-29.151999999999997</v>
      </c>
      <c r="M10" s="23">
        <f>M8+M9</f>
        <v>-49.865</v>
      </c>
      <c r="N10" s="23">
        <f>N8+N9</f>
        <v>-41.242</v>
      </c>
      <c r="O10" s="23">
        <f>O8+O9</f>
        <v>28.887</v>
      </c>
      <c r="P10" s="23">
        <f>P8+P9</f>
        <v>21.344</v>
      </c>
      <c r="Q10" s="23">
        <f>Q8+Q9</f>
        <v>-22.587999999999997</v>
      </c>
      <c r="R10" s="23">
        <f>R8+R9</f>
        <v>-23.846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-0.005</v>
      </c>
      <c r="R11" s="23" t="n">
        <v>-0.025</v>
      </c>
    </row>
    <row r="12">
      <c r="A12" s="2" t="inlineStr">
        <is>
          <t>Net Income</t>
        </is>
      </c>
      <c r="B12" s="23" t="n">
        <v>-7.453</v>
      </c>
      <c r="C12" s="23" t="n">
        <v>-10.848</v>
      </c>
      <c r="D12" s="23" t="n">
        <v>-14.794</v>
      </c>
      <c r="E12" s="23" t="n">
        <v>-21.155</v>
      </c>
      <c r="F12" s="23" t="n">
        <v>-26.932</v>
      </c>
      <c r="G12" s="23" t="n">
        <v>-24.677</v>
      </c>
      <c r="H12" s="23" t="n">
        <v>-23.246</v>
      </c>
      <c r="I12" s="23" t="n">
        <v>-27.814</v>
      </c>
      <c r="J12" s="23" t="n">
        <v>-26.126</v>
      </c>
      <c r="K12" s="23" t="n">
        <v>-35.307</v>
      </c>
      <c r="L12" s="23" t="n">
        <v>-29.152</v>
      </c>
      <c r="M12" s="23" t="n">
        <v>-49.865</v>
      </c>
      <c r="N12" s="23" t="n">
        <v>-41.242</v>
      </c>
      <c r="O12" s="23" t="n">
        <v>28.887</v>
      </c>
      <c r="P12" s="23" t="n">
        <v>21.344</v>
      </c>
      <c r="Q12" s="23" t="n">
        <v>-22.583</v>
      </c>
      <c r="R12" s="23" t="n">
        <v>-23.821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-21.164520743919887</v>
      </c>
      <c r="E13" s="11">
        <f>IFERROR(E12/E14,0)</f>
        <v>-24.012485811577754</v>
      </c>
      <c r="F13" s="11">
        <f>IFERROR(F12/F14,0)</f>
        <v>-26.71825396825397</v>
      </c>
      <c r="G13" s="11">
        <f>IFERROR(G12/G14,0)</f>
        <v>-22.112007168458778</v>
      </c>
      <c r="H13" s="11">
        <f>IFERROR(H12/H14,0)</f>
        <v>-18.405384006334124</v>
      </c>
      <c r="I13" s="11">
        <f>IFERROR(I12/I14,0)</f>
        <v>-22.269015212169734</v>
      </c>
      <c r="J13" s="11">
        <f>IFERROR(J12/J14,0)</f>
        <v>-17.267680105750166</v>
      </c>
      <c r="K13" s="11">
        <f>IFERROR(K12/K14,0)</f>
        <v>-20.038024971623155</v>
      </c>
      <c r="L13" s="11">
        <f>IFERROR(L12/L14,0)</f>
        <v>-11.212307692307693</v>
      </c>
      <c r="M13" s="11">
        <f>IFERROR(M12/M14,0)</f>
        <v>-12.416583665338646</v>
      </c>
      <c r="N13" s="11">
        <f>IFERROR(N12/N14,0)</f>
        <v>-8.967601652533158</v>
      </c>
      <c r="O13" s="11">
        <f>IFERROR(O12/O14,0)</f>
        <v>6.3044522042776086</v>
      </c>
      <c r="P13" s="11">
        <f>IFERROR(P12/P14,0)</f>
        <v>4.073282442748091</v>
      </c>
      <c r="Q13" s="11">
        <f>IFERROR(Q12/Q14,0)</f>
        <v>-3.56367366261638</v>
      </c>
      <c r="R13" s="11">
        <f>IFERROR(R12/R14,0)</f>
        <v>-2.444683908045977</v>
      </c>
    </row>
    <row r="14">
      <c r="A14" s="2" t="inlineStr">
        <is>
          <t>Shares</t>
        </is>
      </c>
      <c r="B14" s="23" t="n"/>
      <c r="C14" s="23" t="n"/>
      <c r="D14" s="23" t="n">
        <v>0.699</v>
      </c>
      <c r="E14" s="23" t="n">
        <v>0.881</v>
      </c>
      <c r="F14" s="23" t="n">
        <v>1.008</v>
      </c>
      <c r="G14" s="23" t="n">
        <v>1.116</v>
      </c>
      <c r="H14" s="23" t="n">
        <v>1.263</v>
      </c>
      <c r="I14" s="23" t="n">
        <v>1.249</v>
      </c>
      <c r="J14" s="23" t="n">
        <v>1.513</v>
      </c>
      <c r="K14" s="23" t="n">
        <v>1.762</v>
      </c>
      <c r="L14" s="23" t="n">
        <v>2.6</v>
      </c>
      <c r="M14" s="23" t="n">
        <v>4.016</v>
      </c>
      <c r="N14" s="23" t="n">
        <v>4.599</v>
      </c>
      <c r="O14" s="23" t="n">
        <v>4.582</v>
      </c>
      <c r="P14" s="23" t="n">
        <v>5.24</v>
      </c>
      <c r="Q14" s="23" t="n">
        <v>6.337</v>
      </c>
      <c r="R14" s="23" t="n">
        <v>9.744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-0.05167597765363119</v>
      </c>
      <c r="F16" s="15">
        <f>IFERROR(F2/E2-1,"")</f>
        <v>-0.4418262150220913</v>
      </c>
      <c r="G16" s="15">
        <f>IFERROR(G2/F2-1,"")</f>
        <v>0.0</v>
      </c>
      <c r="H16" s="15">
        <f>IFERROR(H2/G2-1,"")</f>
        <v>6.511873350923483</v>
      </c>
      <c r="I16" s="15">
        <f>IFERROR(I2/H2-1,"")</f>
        <v>-1.0</v>
      </c>
      <c r="J16" s="15">
        <f>IFERROR(J2/I2-1,"")</f>
        <v/>
      </c>
      <c r="K16" s="15">
        <f>IFERROR(K2/J2-1,"")</f>
        <v>0.07999999999999985</v>
      </c>
      <c r="L16" s="15">
        <f>IFERROR(L2/K2-1,"")</f>
        <v>-0.5740740740740741</v>
      </c>
      <c r="M16" s="15">
        <f>IFERROR(M2/L2-1,"")</f>
        <v>-1.0</v>
      </c>
      <c r="N16" s="15">
        <f>IFERROR(N2/M2-1,"")</f>
        <v/>
      </c>
      <c r="O16" s="15">
        <f>IFERROR(O2/N2-1,"")</f>
        <v>0.22649572649572636</v>
      </c>
      <c r="P16" s="15">
        <f>IFERROR(P2/O2-1,"")</f>
        <v>0.1358885017421605</v>
      </c>
      <c r="Q16" s="15">
        <f>IFERROR(Q2/P2-1,"")</f>
        <v>3.0981595092024543</v>
      </c>
      <c r="R16" s="15">
        <f>IFERROR(R2/Q2-1,"")</f>
        <v>-0.23952095808383234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0.9706703910614525</v>
      </c>
      <c r="E17" s="15">
        <f>IFERROR(E4/E2,"")</f>
        <v>0.9705449189985272</v>
      </c>
      <c r="F17" s="15">
        <f>IFERROR(F4/F2,"")</f>
        <v>0.970976253298153</v>
      </c>
      <c r="G17" s="15">
        <f>IFERROR(G4/G2,"")</f>
        <v>0.9656992084432717</v>
      </c>
      <c r="H17" s="15">
        <f>IFERROR(H4/H2,"")</f>
        <v>0.9648753073410608</v>
      </c>
      <c r="I17" s="15">
        <f>IFERROR(I4/I2,"")</f>
        <v/>
      </c>
      <c r="J17" s="15">
        <f>IFERROR(J4/J2,"")</f>
        <v>0.96</v>
      </c>
      <c r="K17" s="15">
        <f>IFERROR(K4/K2,"")</f>
        <v>0.9629629629629629</v>
      </c>
      <c r="L17" s="15">
        <f>IFERROR(L4/L2,"")</f>
        <v>1.0</v>
      </c>
      <c r="M17" s="15">
        <f>IFERROR(M4/M2,"")</f>
        <v/>
      </c>
      <c r="N17" s="15">
        <f>IFERROR(N4/N2,"")</f>
        <v>1.0</v>
      </c>
      <c r="O17" s="15">
        <f>IFERROR(O4/O2,"")</f>
        <v>0.9686411149825783</v>
      </c>
      <c r="P17" s="15">
        <f>IFERROR(P4/P2,"")</f>
        <v>0.9877300613496932</v>
      </c>
      <c r="Q17" s="15">
        <f>IFERROR(Q4/Q2,"")</f>
        <v>0.48952095808383234</v>
      </c>
      <c r="R17" s="15">
        <f>IFERROR(R4/R2,"")</f>
        <v>0.4458661417322835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-20.993016759776538</v>
      </c>
      <c r="E18" s="15">
        <f>IFERROR(E8/E2,"")</f>
        <v>-32.729013254786445</v>
      </c>
      <c r="F18" s="15">
        <f>IFERROR(F8/F2,"")</f>
        <v>-73.48284960422164</v>
      </c>
      <c r="G18" s="15">
        <f>IFERROR(G8/G2,"")</f>
        <v>-66.66754617414247</v>
      </c>
      <c r="H18" s="15">
        <f>IFERROR(H8/H2,"")</f>
        <v>-8.190727081138041</v>
      </c>
      <c r="I18" s="15">
        <f>IFERROR(I8/I2,"")</f>
        <v/>
      </c>
      <c r="J18" s="15">
        <f>IFERROR(J8/J2,"")</f>
        <v>-674.6199999999999</v>
      </c>
      <c r="K18" s="15">
        <f>IFERROR(K8/K2,"")</f>
        <v>-658.0000000000001</v>
      </c>
      <c r="L18" s="15">
        <f>IFERROR(L8/L2,"")</f>
        <v>-1281.5652173913043</v>
      </c>
      <c r="M18" s="15">
        <f>IFERROR(M8/M2,"")</f>
        <v/>
      </c>
      <c r="N18" s="15">
        <f>IFERROR(N8/N2,"")</f>
        <v>-177.74786324786322</v>
      </c>
      <c r="O18" s="15">
        <f>IFERROR(O8/O2,"")</f>
        <v>-94.93379790940769</v>
      </c>
      <c r="P18" s="15">
        <f>IFERROR(P8/P2,"")</f>
        <v>-67.96932515337423</v>
      </c>
      <c r="Q18" s="15">
        <f>IFERROR(Q8/Q2,"")</f>
        <v>-16.598802395209578</v>
      </c>
      <c r="R18" s="15">
        <f>IFERROR(R8/R2,"")</f>
        <v>-24.545275590551178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2026-10-21T06:30:42Z</dcterms:modified>
  <cp:lastModifiedBy>Wang, Eric</cp:lastModifiedBy>
</cp:coreProperties>
</file>