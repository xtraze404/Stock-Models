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Neuphoria Therapeutics Inc</t>
        </is>
      </c>
      <c r="C2" s="10" t="n"/>
    </row>
    <row r="3">
      <c r="B3" t="inlineStr">
        <is>
          <t>Price</t>
        </is>
      </c>
      <c r="C3" s="11">
        <f>INDEX([1]Pharma!$F$1:$F$1000,MATCH("NEUP",[1]Pharma!$B$1:$B$1000,0))</f>
        <v>3.39</v>
      </c>
      <c r="F3" s="1" t="n"/>
    </row>
    <row r="4">
      <c r="B4" t="inlineStr">
        <is>
          <t>Shares</t>
        </is>
      </c>
      <c r="C4" s="21" t="n">
        <v>5.411334</v>
      </c>
      <c r="F4" s="1" t="n"/>
    </row>
    <row r="5">
      <c r="B5" t="inlineStr">
        <is>
          <t>Market Cap.</t>
        </is>
      </c>
      <c r="C5" s="13">
        <f>C3*C4</f>
        <v>18.34442226</v>
      </c>
      <c r="F5" s="1" t="n"/>
    </row>
    <row r="6"/>
    <row r="7">
      <c r="B7" t="inlineStr">
        <is>
          <t>Cash</t>
        </is>
      </c>
      <c r="C7" s="21" t="n">
        <v>19.865531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-1.521108739999999</v>
      </c>
    </row>
    <row r="10"/>
    <row r="11">
      <c r="B11" s="14" t="inlineStr">
        <is>
          <t>Net Cash / Share</t>
        </is>
      </c>
      <c r="C11" s="11">
        <f>(C7-C8)/C4</f>
        <v>3.6710968127267694</v>
      </c>
    </row>
    <row r="12">
      <c r="B12" s="14" t="inlineStr">
        <is>
          <t>Upside</t>
        </is>
      </c>
      <c r="C12" s="15">
        <f>IFERROR(C11/C3-1,"")</f>
        <v>0.08291941378370771</v>
      </c>
    </row>
    <row r="13">
      <c r="B13" s="14" t="inlineStr">
        <is>
          <t>Cash / Share</t>
        </is>
      </c>
      <c r="C13" s="11">
        <f>IFERROR((C7-C8)/C4,"")</f>
        <v>3.6710968127267694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-12.353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1.6081543754553551</v>
      </c>
    </row>
    <row r="19">
      <c r="B19" s="14" t="inlineStr">
        <is>
          <t>Implied Pipeline Value</t>
        </is>
      </c>
      <c r="C19" s="13">
        <f>C9</f>
        <v>-1.521108739999999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17" t="n">
        <v>2026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0.032</v>
      </c>
      <c r="C2" s="23" t="n">
        <v>0</v>
      </c>
      <c r="D2" s="23" t="n">
        <v>0.183</v>
      </c>
      <c r="E2" s="23" t="n">
        <v>0.015</v>
      </c>
      <c r="F2" s="23" t="n">
        <v>0</v>
      </c>
      <c r="G2" s="23" t="n">
        <v>15.649</v>
      </c>
      <c r="H2" s="23" t="n">
        <v>1.174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0.032</v>
      </c>
      <c r="C4" s="23">
        <f>C2-C3</f>
        <v>0.0</v>
      </c>
      <c r="D4" s="23">
        <f>D2-D3</f>
        <v>0.183</v>
      </c>
      <c r="E4" s="23">
        <f>E2-E3</f>
        <v>0.015</v>
      </c>
      <c r="F4" s="23">
        <f>F2-F3</f>
        <v>0.0</v>
      </c>
      <c r="G4" s="23">
        <f>G2-G3</f>
        <v>15.649</v>
      </c>
      <c r="H4" s="23">
        <f>H2-H3</f>
        <v>1.174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4.056</v>
      </c>
      <c r="C5" s="23" t="n">
        <v>4.01</v>
      </c>
      <c r="D5" s="23" t="n">
        <v>11.134</v>
      </c>
      <c r="E5" s="23" t="n">
        <v>13.649</v>
      </c>
      <c r="F5" s="23" t="n">
        <v>9.417999999999999</v>
      </c>
      <c r="G5" s="23" t="n">
        <v>9.005000000000001</v>
      </c>
      <c r="H5" s="23" t="n">
        <v>0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2.554</v>
      </c>
      <c r="C6" s="23" t="n">
        <v>3.043</v>
      </c>
      <c r="D6" s="23" t="n">
        <v>5.149</v>
      </c>
      <c r="E6" s="23" t="n">
        <v>8.35</v>
      </c>
      <c r="F6" s="23" t="n">
        <v>8.475</v>
      </c>
      <c r="G6" s="23" t="n">
        <v>7.773</v>
      </c>
      <c r="H6" s="23" t="n">
        <v>17.625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6.609999999999999</v>
      </c>
      <c r="C7" s="23">
        <f>SUM(C5:C6)</f>
        <v>7.053</v>
      </c>
      <c r="D7" s="23">
        <f>SUM(D5:D6)</f>
        <v>16.283</v>
      </c>
      <c r="E7" s="23">
        <f>SUM(E5:E6)</f>
        <v>21.999</v>
      </c>
      <c r="F7" s="23">
        <f>SUM(F5:F6)</f>
        <v>17.893</v>
      </c>
      <c r="G7" s="23">
        <f>SUM(G5:G6)</f>
        <v>16.778</v>
      </c>
      <c r="H7" s="23">
        <f>SUM(H5:H6)</f>
        <v>17.625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-6.577999999999999</v>
      </c>
      <c r="C8" s="23">
        <f>C4-C7</f>
        <v>-7.053</v>
      </c>
      <c r="D8" s="23">
        <f>D4-D7</f>
        <v>-16.1</v>
      </c>
      <c r="E8" s="23">
        <f>E4-E7</f>
        <v>-21.983999999999998</v>
      </c>
      <c r="F8" s="23">
        <f>F4-F7</f>
        <v>-17.893</v>
      </c>
      <c r="G8" s="23">
        <f>G4-G7</f>
        <v>-1.1289999999999996</v>
      </c>
      <c r="H8" s="23">
        <f>H4-H7</f>
        <v>-16.451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7.389</v>
      </c>
      <c r="C9" s="23" t="n">
        <v>7.544</v>
      </c>
      <c r="D9" s="23" t="n">
        <v>16.601</v>
      </c>
      <c r="E9" s="23" t="n">
        <v>0.462</v>
      </c>
      <c r="F9" s="23" t="n">
        <v>2.313</v>
      </c>
      <c r="G9" s="23" t="n">
        <v>0.291</v>
      </c>
      <c r="H9" s="23" t="n">
        <v>2.86</v>
      </c>
    </row>
    <row r="10">
      <c r="A10" s="2" t="inlineStr">
        <is>
          <t>Pretax</t>
        </is>
      </c>
      <c r="B10" s="23">
        <f>B8+B9</f>
        <v>0.8110000000000008</v>
      </c>
      <c r="C10" s="23">
        <f>C8+C9</f>
        <v>0.49099999999999966</v>
      </c>
      <c r="D10" s="23">
        <f>D8+D9</f>
        <v>0.5009999999999977</v>
      </c>
      <c r="E10" s="23">
        <f>E8+E9</f>
        <v>-21.522</v>
      </c>
      <c r="F10" s="23">
        <f>F8+F9</f>
        <v>-15.58</v>
      </c>
      <c r="G10" s="23">
        <f>G8+G9</f>
        <v>-0.8379999999999996</v>
      </c>
      <c r="H10" s="23">
        <f>H8+H9</f>
        <v>-13.591000000000001</v>
      </c>
      <c r="I10" s="1" t="n"/>
      <c r="J10" s="1" t="n"/>
      <c r="K10" s="1" t="n"/>
    </row>
    <row r="11">
      <c r="A11" s="2" t="inlineStr">
        <is>
          <t>Taxes</t>
        </is>
      </c>
      <c r="B11" s="23" t="n">
        <v>-0.144</v>
      </c>
      <c r="C11" s="23" t="n">
        <v>-0.13</v>
      </c>
      <c r="D11" s="23" t="n">
        <v>-0.133</v>
      </c>
      <c r="E11" s="23" t="n">
        <v>-0.139</v>
      </c>
      <c r="F11" s="23" t="n">
        <v>-0.08699999999999999</v>
      </c>
      <c r="G11" s="23" t="n">
        <v>-0.468</v>
      </c>
      <c r="H11" s="23" t="n">
        <v>-0.139</v>
      </c>
    </row>
    <row r="12">
      <c r="A12" s="2" t="inlineStr">
        <is>
          <t>Net Income</t>
        </is>
      </c>
      <c r="B12" s="23" t="n">
        <v>0.956</v>
      </c>
      <c r="C12" s="23" t="n">
        <v>0.621</v>
      </c>
      <c r="D12" s="23" t="n">
        <v>0.636</v>
      </c>
      <c r="E12" s="23" t="n">
        <v>-21.382</v>
      </c>
      <c r="F12" s="23" t="n">
        <v>-15.492</v>
      </c>
      <c r="G12" s="23" t="n">
        <v>-0.37</v>
      </c>
      <c r="H12" s="23" t="n">
        <v>-13.452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3.0938511326860842</v>
      </c>
      <c r="C13" s="11">
        <f>IFERROR(C12/C14,0)</f>
        <v>1.4049773755656108</v>
      </c>
      <c r="D13" s="11">
        <f>IFERROR(D12/D14,0)</f>
        <v>0.8292046936114733</v>
      </c>
      <c r="E13" s="11">
        <f>IFERROR(E12/E14,0)</f>
        <v>-25.699519230769234</v>
      </c>
      <c r="F13" s="11">
        <f>IFERROR(F12/F14,0)</f>
        <v>-18.62019230769231</v>
      </c>
      <c r="G13" s="11">
        <f>IFERROR(G12/G14,0)</f>
        <v>-0.22797288971041282</v>
      </c>
      <c r="H13" s="11">
        <f>IFERROR(H12/H14,0)</f>
        <v>-3.0600545950864424</v>
      </c>
    </row>
    <row r="14">
      <c r="A14" s="2" t="inlineStr">
        <is>
          <t>Shares</t>
        </is>
      </c>
      <c r="B14" s="23" t="n">
        <v>0.309</v>
      </c>
      <c r="C14" s="23" t="n">
        <v>0.442</v>
      </c>
      <c r="D14" s="23" t="n">
        <v>0.767</v>
      </c>
      <c r="E14" s="23" t="n">
        <v>0.832</v>
      </c>
      <c r="F14" s="23" t="n">
        <v>0.832</v>
      </c>
      <c r="G14" s="23" t="n">
        <v>1.623</v>
      </c>
      <c r="H14" s="23" t="n">
        <v>4.396</v>
      </c>
    </row>
    <row r="15"/>
    <row r="16" customFormat="1" s="4">
      <c r="A16" s="3" t="inlineStr">
        <is>
          <t>Revenue Change</t>
        </is>
      </c>
      <c r="C16" s="15">
        <f>IFERROR(C2/B2-1,"")</f>
        <v>-1.0</v>
      </c>
      <c r="D16" s="15">
        <f>IFERROR(D2/C2-1,"")</f>
        <v/>
      </c>
      <c r="E16" s="15">
        <f>IFERROR(E2/D2-1,"")</f>
        <v>-0.9180327868852459</v>
      </c>
      <c r="F16" s="15">
        <f>IFERROR(F2/E2-1,"")</f>
        <v>-1.0</v>
      </c>
      <c r="G16" s="15">
        <f>IFERROR(G2/F2-1,"")</f>
        <v/>
      </c>
      <c r="H16" s="15">
        <f>IFERROR(H2/G2-1,"")</f>
        <v>-0.9249792318998019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/>
      </c>
      <c r="D17" s="15">
        <f>IFERROR(D4/D2,"")</f>
        <v>1.0</v>
      </c>
      <c r="E17" s="15">
        <f>IFERROR(E4/E2,"")</f>
        <v>1.0</v>
      </c>
      <c r="F17" s="15">
        <f>IFERROR(F4/F2,"")</f>
        <v/>
      </c>
      <c r="G17" s="15">
        <f>IFERROR(G4/G2,"")</f>
        <v>1.0</v>
      </c>
      <c r="H17" s="15">
        <f>IFERROR(H4/H2,"")</f>
        <v>1.0</v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-205.56249999999997</v>
      </c>
      <c r="C18" s="15">
        <f>IFERROR(C8/C2,"")</f>
        <v/>
      </c>
      <c r="D18" s="15">
        <f>IFERROR(D8/D2,"")</f>
        <v>-87.97814207650273</v>
      </c>
      <c r="E18" s="15">
        <f>IFERROR(E8/E2,"")</f>
        <v>-1465.6</v>
      </c>
      <c r="F18" s="15">
        <f>IFERROR(F8/F2,"")</f>
        <v/>
      </c>
      <c r="G18" s="15">
        <f>IFERROR(G8/G2,"")</f>
        <v>-0.07214518499584635</v>
      </c>
      <c r="H18" s="15">
        <f>IFERROR(H8/H2,"")</f>
        <v>-14.012776831345828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2026-10-21T01:06:28Z</dcterms:modified>
  <cp:lastModifiedBy>Wang, Eric</cp:lastModifiedBy>
</cp:coreProperties>
</file>