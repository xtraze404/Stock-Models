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Aldeyra Therapeutics Inc</t>
        </is>
      </c>
      <c r="C2" s="10" t="n"/>
    </row>
    <row r="3">
      <c r="B3" t="inlineStr">
        <is>
          <t>Price</t>
        </is>
      </c>
      <c r="C3" s="11">
        <f>INDEX([1]Pharma!$F$1:$F$1000,MATCH("ALDX",[1]Pharma!$B$1:$B$1000,0))</f>
        <v>0.6651</v>
      </c>
      <c r="F3" s="1" t="n"/>
    </row>
    <row r="4">
      <c r="B4" t="inlineStr">
        <is>
          <t>Shares</t>
        </is>
      </c>
      <c r="C4" s="21" t="n">
        <v>60.326421</v>
      </c>
      <c r="F4" s="1" t="n"/>
    </row>
    <row r="5">
      <c r="B5" t="inlineStr">
        <is>
          <t>Market Cap.</t>
        </is>
      </c>
      <c r="C5" s="13">
        <f>C3*C4</f>
        <v>40.1231026071</v>
      </c>
      <c r="F5" s="1" t="n"/>
    </row>
    <row r="6"/>
    <row r="7">
      <c r="B7" t="inlineStr">
        <is>
          <t>Cash</t>
        </is>
      </c>
      <c r="C7" s="21" t="n">
        <v>45.089786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-4.966683392899995</v>
      </c>
    </row>
    <row r="10"/>
    <row r="11">
      <c r="B11" s="14" t="inlineStr">
        <is>
          <t>rNPV / Share</t>
        </is>
      </c>
      <c r="C11" s="11">
        <f>NPV!B27</f>
        <v>19.80874211658307</v>
      </c>
    </row>
    <row r="12">
      <c r="B12" s="14" t="inlineStr">
        <is>
          <t>Upside</t>
        </is>
      </c>
      <c r="C12" s="15">
        <f>IFERROR(C11/C3-1,"")</f>
        <v>28.78310346802446</v>
      </c>
    </row>
    <row r="13">
      <c r="B13" s="14" t="inlineStr">
        <is>
          <t>Cash / Share</t>
        </is>
      </c>
      <c r="C13" s="11">
        <f>IFERROR((C7-C8)/C4,"")</f>
        <v>0.7474301517074914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-22.02</v>
      </c>
    </row>
    <row r="18">
      <c r="B18" s="14" t="inlineStr">
        <is>
          <t>Runway (years)</t>
        </is>
      </c>
      <c r="C18" s="22">
        <f>IF(AND(ISNUMBER(C17),C17&lt;0),IF(C7&gt;C8,(C7-C8)/-C17,"net debt"),"n/a")</f>
        <v>2.047674205267938</v>
      </c>
    </row>
    <row r="19">
      <c r="B19" s="14" t="inlineStr">
        <is>
          <t>Implied Pipeline Value</t>
        </is>
      </c>
      <c r="C19" s="13">
        <f>C9</f>
        <v>-4.966683392899995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2005</v>
      </c>
      <c r="C1" s="17" t="n">
        <v>2006</v>
      </c>
      <c r="D1" s="17" t="n">
        <v>2007</v>
      </c>
      <c r="E1" s="17" t="n">
        <v>2008</v>
      </c>
      <c r="F1" s="17" t="n">
        <v>2009</v>
      </c>
      <c r="G1" s="17" t="n">
        <v>2010</v>
      </c>
      <c r="H1" s="17" t="n">
        <v>2011</v>
      </c>
      <c r="I1" s="17" t="n">
        <v>2012</v>
      </c>
      <c r="J1" s="17" t="n">
        <v>2013</v>
      </c>
      <c r="K1" s="17" t="n">
        <v>2014</v>
      </c>
      <c r="L1" s="17" t="n">
        <v>2015</v>
      </c>
      <c r="M1" s="17" t="n">
        <v>2016</v>
      </c>
      <c r="N1" s="17" t="n">
        <v>2017</v>
      </c>
      <c r="O1" s="17" t="n">
        <v>2018</v>
      </c>
      <c r="P1" s="17" t="n">
        <v>2019</v>
      </c>
      <c r="Q1" s="17" t="n">
        <v>2020</v>
      </c>
      <c r="R1" s="17" t="n">
        <v>2021</v>
      </c>
      <c r="S1" s="17" t="n">
        <v>2022</v>
      </c>
      <c r="T1" s="17" t="n">
        <v>2023</v>
      </c>
      <c r="U1" s="17" t="n">
        <v>2024</v>
      </c>
      <c r="V1" s="17" t="n">
        <v>2025</v>
      </c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</v>
      </c>
      <c r="K2" s="23" t="n">
        <v>0</v>
      </c>
      <c r="L2" s="23" t="n">
        <v>0</v>
      </c>
      <c r="M2" s="23" t="n">
        <v>0</v>
      </c>
      <c r="N2" s="23" t="n">
        <v>0</v>
      </c>
      <c r="O2" s="23" t="n">
        <v>0</v>
      </c>
      <c r="P2" s="23" t="n">
        <v>0</v>
      </c>
      <c r="Q2" s="23" t="n">
        <v>0</v>
      </c>
      <c r="R2" s="23" t="n">
        <v>0</v>
      </c>
      <c r="S2" s="23" t="n">
        <v>0</v>
      </c>
      <c r="T2" s="23" t="n">
        <v>0</v>
      </c>
      <c r="U2" s="23" t="n">
        <v>0</v>
      </c>
      <c r="V2" s="23" t="n">
        <v>0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  <c r="P3" s="23" t="n">
        <v>0</v>
      </c>
      <c r="Q3" s="23" t="n">
        <v>0</v>
      </c>
      <c r="R3" s="23" t="n">
        <v>0</v>
      </c>
      <c r="S3" s="23" t="n">
        <v>0</v>
      </c>
      <c r="T3" s="23" t="n">
        <v>0</v>
      </c>
      <c r="U3" s="23" t="n">
        <v>0</v>
      </c>
      <c r="V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0.0</v>
      </c>
      <c r="J4" s="23">
        <f>J2-J3</f>
        <v>0.0</v>
      </c>
      <c r="K4" s="23">
        <f>K2-K3</f>
        <v>0.0</v>
      </c>
      <c r="L4" s="23">
        <f>L2-L3</f>
        <v>0.0</v>
      </c>
      <c r="M4" s="23">
        <f>M2-M3</f>
        <v>0.0</v>
      </c>
      <c r="N4" s="23">
        <f>N2-N3</f>
        <v>0.0</v>
      </c>
      <c r="O4" s="23">
        <f>O2-O3</f>
        <v>0.0</v>
      </c>
      <c r="P4" s="23">
        <f>P2-P3</f>
        <v>0.0</v>
      </c>
      <c r="Q4" s="23">
        <f>Q2-Q3</f>
        <v>0.0</v>
      </c>
      <c r="R4" s="23">
        <f>R2-R3</f>
        <v>0.0</v>
      </c>
      <c r="S4" s="23">
        <f>S2-S3</f>
        <v>0.0</v>
      </c>
      <c r="T4" s="23">
        <f>T2-T3</f>
        <v>0.0</v>
      </c>
      <c r="U4" s="23">
        <f>U2-U3</f>
        <v>0.0</v>
      </c>
      <c r="V4" s="23">
        <f>V2-V3</f>
        <v>0.0</v>
      </c>
    </row>
    <row r="5">
      <c r="A5" s="2" t="inlineStr">
        <is>
          <t>Research &amp; Dev.</t>
        </is>
      </c>
      <c r="B5" s="23" t="n">
        <v>0</v>
      </c>
      <c r="C5" s="23" t="n">
        <v>0</v>
      </c>
      <c r="D5" s="23" t="n">
        <v>0</v>
      </c>
      <c r="E5" s="23" t="n">
        <v>0</v>
      </c>
      <c r="F5" s="23" t="n">
        <v>0</v>
      </c>
      <c r="G5" s="23" t="n">
        <v>0</v>
      </c>
      <c r="H5" s="23" t="n">
        <v>0</v>
      </c>
      <c r="I5" s="23" t="n">
        <v>0</v>
      </c>
      <c r="J5" s="23" t="n">
        <v>1.542</v>
      </c>
      <c r="K5" s="23" t="n">
        <v>3.708</v>
      </c>
      <c r="L5" s="23" t="n">
        <v>7.574</v>
      </c>
      <c r="M5" s="23" t="n">
        <v>13.176</v>
      </c>
      <c r="N5" s="23" t="n">
        <v>16.303</v>
      </c>
      <c r="O5" s="23" t="n">
        <v>29.823</v>
      </c>
      <c r="P5" s="23" t="n">
        <v>44.352</v>
      </c>
      <c r="Q5" s="23" t="n">
        <v>24.681</v>
      </c>
      <c r="R5" s="23" t="n">
        <v>44.937</v>
      </c>
      <c r="S5" s="23" t="n">
        <v>47.306</v>
      </c>
      <c r="T5" s="23" t="n">
        <v>29.459</v>
      </c>
      <c r="U5" s="23" t="n">
        <v>48.225</v>
      </c>
      <c r="V5" s="23" t="n">
        <v>25.663</v>
      </c>
    </row>
    <row r="6">
      <c r="A6" s="19" t="inlineStr">
        <is>
          <t>SG&amp;A &amp; Other</t>
        </is>
      </c>
      <c r="B6" s="23" t="n">
        <v>0.386</v>
      </c>
      <c r="C6" s="23" t="n">
        <v>0.9389999999999999</v>
      </c>
      <c r="D6" s="23" t="n">
        <v>0.523</v>
      </c>
      <c r="E6" s="23" t="n">
        <v>2.224</v>
      </c>
      <c r="F6" s="23" t="n">
        <v>4.975</v>
      </c>
      <c r="G6" s="23" t="n">
        <v>3.59</v>
      </c>
      <c r="H6" s="23" t="n">
        <v>2.378</v>
      </c>
      <c r="I6" s="23" t="n">
        <v>23.075</v>
      </c>
      <c r="J6" s="23" t="n">
        <v>2.135</v>
      </c>
      <c r="K6" s="23" t="n">
        <v>3.563</v>
      </c>
      <c r="L6" s="23" t="n">
        <v>4.415</v>
      </c>
      <c r="M6" s="23" t="n">
        <v>5.52</v>
      </c>
      <c r="N6" s="23" t="n">
        <v>6.186</v>
      </c>
      <c r="O6" s="23" t="n">
        <v>9.875999999999999</v>
      </c>
      <c r="P6" s="23" t="n">
        <v>18.722</v>
      </c>
      <c r="Q6" s="23" t="n">
        <v>11.74</v>
      </c>
      <c r="R6" s="23" t="n">
        <v>11.283</v>
      </c>
      <c r="S6" s="23" t="n">
        <v>15.374</v>
      </c>
      <c r="T6" s="23" t="n">
        <v>13.335</v>
      </c>
      <c r="U6" s="23" t="n">
        <v>11.892</v>
      </c>
      <c r="V6" s="23" t="n">
        <v>9.602</v>
      </c>
    </row>
    <row r="7">
      <c r="A7" s="2" t="inlineStr">
        <is>
          <t>Operating Expense</t>
        </is>
      </c>
      <c r="B7" s="23">
        <f>SUM(B5:B6)</f>
        <v>0.386</v>
      </c>
      <c r="C7" s="23">
        <f>SUM(C5:C6)</f>
        <v>0.939</v>
      </c>
      <c r="D7" s="23">
        <f>SUM(D5:D6)</f>
        <v>0.523</v>
      </c>
      <c r="E7" s="23">
        <f>SUM(E5:E6)</f>
        <v>2.224</v>
      </c>
      <c r="F7" s="23">
        <f>SUM(F5:F6)</f>
        <v>4.975</v>
      </c>
      <c r="G7" s="23">
        <f>SUM(G5:G6)</f>
        <v>3.59</v>
      </c>
      <c r="H7" s="23">
        <f>SUM(H5:H6)</f>
        <v>2.378</v>
      </c>
      <c r="I7" s="23">
        <f>SUM(I5:I6)</f>
        <v>23.075</v>
      </c>
      <c r="J7" s="23">
        <f>SUM(J5:J6)</f>
        <v>3.6769999999999996</v>
      </c>
      <c r="K7" s="23">
        <f>SUM(K5:K6)</f>
        <v>7.271000000000001</v>
      </c>
      <c r="L7" s="23">
        <f>SUM(L5:L6)</f>
        <v>11.989</v>
      </c>
      <c r="M7" s="23">
        <f>SUM(M5:M6)</f>
        <v>18.695999999999998</v>
      </c>
      <c r="N7" s="23">
        <f>SUM(N5:N6)</f>
        <v>22.489</v>
      </c>
      <c r="O7" s="23">
        <f>SUM(O5:O6)</f>
        <v>39.699</v>
      </c>
      <c r="P7" s="23">
        <f>SUM(P5:P6)</f>
        <v>63.074</v>
      </c>
      <c r="Q7" s="23">
        <f>SUM(Q5:Q6)</f>
        <v>36.421</v>
      </c>
      <c r="R7" s="23">
        <f>SUM(R5:R6)</f>
        <v>56.22</v>
      </c>
      <c r="S7" s="23">
        <f>SUM(S5:S6)</f>
        <v>62.68</v>
      </c>
      <c r="T7" s="23">
        <f>SUM(T5:T6)</f>
        <v>42.794</v>
      </c>
      <c r="U7" s="23">
        <f>SUM(U5:U6)</f>
        <v>60.117000000000004</v>
      </c>
      <c r="V7" s="23">
        <f>SUM(V5:V6)</f>
        <v>35.265</v>
      </c>
    </row>
    <row r="8">
      <c r="A8" s="2" t="inlineStr">
        <is>
          <t>Operating Income</t>
        </is>
      </c>
      <c r="B8" s="23">
        <f>B4-B7</f>
        <v>-0.386</v>
      </c>
      <c r="C8" s="23">
        <f>C4-C7</f>
        <v>-0.939</v>
      </c>
      <c r="D8" s="23">
        <f>D4-D7</f>
        <v>-0.523</v>
      </c>
      <c r="E8" s="23">
        <f>E4-E7</f>
        <v>-2.224</v>
      </c>
      <c r="F8" s="23">
        <f>F4-F7</f>
        <v>-4.975</v>
      </c>
      <c r="G8" s="23">
        <f>G4-G7</f>
        <v>-3.59</v>
      </c>
      <c r="H8" s="23">
        <f>H4-H7</f>
        <v>-2.378</v>
      </c>
      <c r="I8" s="23">
        <f>I4-I7</f>
        <v>-23.075</v>
      </c>
      <c r="J8" s="23">
        <f>J4-J7</f>
        <v>-3.6769999999999996</v>
      </c>
      <c r="K8" s="23">
        <f>K4-K7</f>
        <v>-7.271000000000001</v>
      </c>
      <c r="L8" s="23">
        <f>L4-L7</f>
        <v>-11.989</v>
      </c>
      <c r="M8" s="23">
        <f>M4-M7</f>
        <v>-18.695999999999998</v>
      </c>
      <c r="N8" s="23">
        <f>N4-N7</f>
        <v>-22.489</v>
      </c>
      <c r="O8" s="23">
        <f>O4-O7</f>
        <v>-39.699</v>
      </c>
      <c r="P8" s="23">
        <f>P4-P7</f>
        <v>-63.074</v>
      </c>
      <c r="Q8" s="23">
        <f>Q4-Q7</f>
        <v>-36.421</v>
      </c>
      <c r="R8" s="23">
        <f>R4-R7</f>
        <v>-56.22</v>
      </c>
      <c r="S8" s="23">
        <f>S4-S7</f>
        <v>-62.68</v>
      </c>
      <c r="T8" s="23">
        <f>T4-T7</f>
        <v>-42.794</v>
      </c>
      <c r="U8" s="23">
        <f>U4-U7</f>
        <v>-60.117000000000004</v>
      </c>
      <c r="V8" s="23">
        <f>V4-V7</f>
        <v>-35.265</v>
      </c>
    </row>
    <row r="9">
      <c r="A9" s="19" t="inlineStr">
        <is>
          <t>Interest &amp; Other</t>
        </is>
      </c>
      <c r="B9" s="23" t="n">
        <v>0</v>
      </c>
      <c r="C9" s="23" t="n">
        <v>0</v>
      </c>
      <c r="D9" s="23" t="n">
        <v>0</v>
      </c>
      <c r="E9" s="23" t="n">
        <v>0</v>
      </c>
      <c r="F9" s="23" t="n">
        <v>0</v>
      </c>
      <c r="G9" s="23" t="n">
        <v>0</v>
      </c>
      <c r="H9" s="23" t="n">
        <v>0</v>
      </c>
      <c r="I9" s="23" t="n">
        <v>0</v>
      </c>
      <c r="J9" s="23" t="n">
        <v>16.737</v>
      </c>
      <c r="K9" s="23" t="n">
        <v>2.083</v>
      </c>
      <c r="L9" s="23" t="n">
        <v>-0.101</v>
      </c>
      <c r="M9" s="23" t="n">
        <v>-0.003</v>
      </c>
      <c r="N9" s="23" t="n">
        <v>0.148</v>
      </c>
      <c r="O9" s="23" t="n">
        <v>0.806</v>
      </c>
      <c r="P9" s="23" t="n">
        <v>0.9379999999999999</v>
      </c>
      <c r="Q9" s="23" t="n">
        <v>-1.612</v>
      </c>
      <c r="R9" s="23" t="n">
        <v>-1.557</v>
      </c>
      <c r="S9" s="23" t="n">
        <v>0.655</v>
      </c>
      <c r="T9" s="23" t="n">
        <v>5.251</v>
      </c>
      <c r="U9" s="23" t="n">
        <v>4.267</v>
      </c>
      <c r="V9" s="23" t="n">
        <v>1.418</v>
      </c>
    </row>
    <row r="10">
      <c r="A10" s="2" t="inlineStr">
        <is>
          <t>Pretax</t>
        </is>
      </c>
      <c r="B10" s="23">
        <f>B8+B9</f>
        <v>-0.386</v>
      </c>
      <c r="C10" s="23">
        <f>C8+C9</f>
        <v>-0.939</v>
      </c>
      <c r="D10" s="23">
        <f>D8+D9</f>
        <v>-0.523</v>
      </c>
      <c r="E10" s="23">
        <f>E8+E9</f>
        <v>-2.224</v>
      </c>
      <c r="F10" s="23">
        <f>F8+F9</f>
        <v>-4.975</v>
      </c>
      <c r="G10" s="23">
        <f>G8+G9</f>
        <v>-3.59</v>
      </c>
      <c r="H10" s="23">
        <f>H8+H9</f>
        <v>-2.378</v>
      </c>
      <c r="I10" s="23">
        <f>I8+I9</f>
        <v>-23.075</v>
      </c>
      <c r="J10" s="23">
        <f>J8+J9</f>
        <v>13.059999999999999</v>
      </c>
      <c r="K10" s="23">
        <f>K8+K9</f>
        <v>-5.188000000000001</v>
      </c>
      <c r="L10" s="23">
        <f>L8+L9</f>
        <v>-12.090000000000002</v>
      </c>
      <c r="M10" s="23">
        <f>M8+M9</f>
        <v>-18.698999999999998</v>
      </c>
      <c r="N10" s="23">
        <f>N8+N9</f>
        <v>-22.341</v>
      </c>
      <c r="O10" s="23">
        <f>O8+O9</f>
        <v>-38.893</v>
      </c>
      <c r="P10" s="23">
        <f>P8+P9</f>
        <v>-62.135999999999996</v>
      </c>
      <c r="Q10" s="23">
        <f>Q8+Q9</f>
        <v>-38.033</v>
      </c>
      <c r="R10" s="23">
        <f>R8+R9</f>
        <v>-57.777</v>
      </c>
      <c r="S10" s="23">
        <f>S8+S9</f>
        <v>-62.025</v>
      </c>
      <c r="T10" s="23">
        <f>T8+T9</f>
        <v>-37.543</v>
      </c>
      <c r="U10" s="23">
        <f>U8+U9</f>
        <v>-55.85</v>
      </c>
      <c r="V10" s="23">
        <f>V8+V9</f>
        <v>-33.847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0</v>
      </c>
      <c r="P11" s="23" t="n">
        <v>-1.31</v>
      </c>
      <c r="Q11" s="23" t="n">
        <v>-0.479</v>
      </c>
      <c r="R11" s="23" t="n">
        <v>0</v>
      </c>
      <c r="S11" s="23" t="n">
        <v>0</v>
      </c>
      <c r="T11" s="23" t="n">
        <v>0</v>
      </c>
      <c r="U11" s="23" t="n">
        <v>0.001</v>
      </c>
      <c r="V11" s="23" t="n">
        <v>0</v>
      </c>
    </row>
    <row r="12">
      <c r="A12" s="2" t="inlineStr">
        <is>
          <t>Net Income</t>
        </is>
      </c>
      <c r="B12" s="23" t="n">
        <v>-0.386</v>
      </c>
      <c r="C12" s="23" t="n">
        <v>-0.9389999999999999</v>
      </c>
      <c r="D12" s="23" t="n">
        <v>-0.523</v>
      </c>
      <c r="E12" s="23" t="n">
        <v>-2.224</v>
      </c>
      <c r="F12" s="23" t="n">
        <v>-4.975</v>
      </c>
      <c r="G12" s="23" t="n">
        <v>-3.59</v>
      </c>
      <c r="H12" s="23" t="n">
        <v>-2.378</v>
      </c>
      <c r="I12" s="23" t="n">
        <v>-23.075</v>
      </c>
      <c r="J12" s="23" t="n">
        <v>13.06</v>
      </c>
      <c r="K12" s="23" t="n">
        <v>-5.187</v>
      </c>
      <c r="L12" s="23" t="n">
        <v>-12.09</v>
      </c>
      <c r="M12" s="23" t="n">
        <v>-18.699</v>
      </c>
      <c r="N12" s="23" t="n">
        <v>-22.341</v>
      </c>
      <c r="O12" s="23" t="n">
        <v>-38.893</v>
      </c>
      <c r="P12" s="23" t="n">
        <v>-60.827</v>
      </c>
      <c r="Q12" s="23" t="n">
        <v>-37.554</v>
      </c>
      <c r="R12" s="23" t="n">
        <v>-57.776</v>
      </c>
      <c r="S12" s="23" t="n">
        <v>-62.025</v>
      </c>
      <c r="T12" s="23" t="n">
        <v>-37.543</v>
      </c>
      <c r="U12" s="23" t="n">
        <v>-55.851</v>
      </c>
      <c r="V12" s="23" t="n">
        <v>-33.847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0</v>
      </c>
      <c r="D13" s="11">
        <f>IFERROR(D12/D14,0)</f>
        <v>0</v>
      </c>
      <c r="E13" s="11">
        <f>IFERROR(E12/E14,0)</f>
        <v>0</v>
      </c>
      <c r="F13" s="11">
        <f>IFERROR(F12/F14,0)</f>
        <v>0</v>
      </c>
      <c r="G13" s="11">
        <f>IFERROR(G12/G14,0)</f>
        <v>0</v>
      </c>
      <c r="H13" s="11">
        <f>IFERROR(H12/H14,0)</f>
        <v>0</v>
      </c>
      <c r="I13" s="11">
        <f>IFERROR(I12/I14,0)</f>
        <v>0</v>
      </c>
      <c r="J13" s="11">
        <f>IFERROR(J12/J14,0)</f>
        <v>15.257009345794394</v>
      </c>
      <c r="K13" s="11">
        <f>IFERROR(K12/K14,0)</f>
        <v>-1.34692287717476</v>
      </c>
      <c r="L13" s="11">
        <f>IFERROR(L12/L14,0)</f>
        <v>-1.4002779708130646</v>
      </c>
      <c r="M13" s="11">
        <f>IFERROR(M12/M14,0)</f>
        <v>-1.6471987315010572</v>
      </c>
      <c r="N13" s="11">
        <f>IFERROR(N12/N14,0)</f>
        <v>-1.4031528702424318</v>
      </c>
      <c r="O13" s="11">
        <f>IFERROR(O12/O14,0)</f>
        <v>-1.7934612192197732</v>
      </c>
      <c r="P13" s="11">
        <f>IFERROR(P12/P14,0)</f>
        <v>-2.2435452935969313</v>
      </c>
      <c r="Q13" s="11">
        <f>IFERROR(Q12/Q14,0)</f>
        <v>-1.1056350468115175</v>
      </c>
      <c r="R13" s="11">
        <f>IFERROR(R12/R14,0)</f>
        <v>-1.0690944080529958</v>
      </c>
      <c r="S13" s="11">
        <f>IFERROR(S12/S14,0)</f>
        <v>-1.061962812039859</v>
      </c>
      <c r="T13" s="11">
        <f>IFERROR(T12/T14,0)</f>
        <v>-0.6369373801808527</v>
      </c>
      <c r="U13" s="11">
        <f>IFERROR(U12/U14,0)</f>
        <v>-0.9389089686475582</v>
      </c>
      <c r="V13" s="11">
        <f>IFERROR(V12/V14,0)</f>
        <v>-0.5635812644654246</v>
      </c>
    </row>
    <row r="14">
      <c r="A14" s="2" t="inlineStr">
        <is>
          <t>Shares</t>
        </is>
      </c>
      <c r="B14" s="23" t="n"/>
      <c r="C14" s="23" t="n"/>
      <c r="D14" s="23" t="n"/>
      <c r="E14" s="23" t="n"/>
      <c r="F14" s="23" t="n"/>
      <c r="G14" s="23" t="n"/>
      <c r="H14" s="23" t="n"/>
      <c r="I14" s="23" t="n"/>
      <c r="J14" s="23" t="n">
        <v>0.856</v>
      </c>
      <c r="K14" s="23" t="n">
        <v>3.851</v>
      </c>
      <c r="L14" s="23" t="n">
        <v>8.634</v>
      </c>
      <c r="M14" s="23" t="n">
        <v>11.352</v>
      </c>
      <c r="N14" s="23" t="n">
        <v>15.922</v>
      </c>
      <c r="O14" s="23" t="n">
        <v>21.686</v>
      </c>
      <c r="P14" s="23" t="n">
        <v>27.112</v>
      </c>
      <c r="Q14" s="23" t="n">
        <v>33.966</v>
      </c>
      <c r="R14" s="23" t="n">
        <v>54.042</v>
      </c>
      <c r="S14" s="23" t="n">
        <v>58.406</v>
      </c>
      <c r="T14" s="23" t="n">
        <v>58.943</v>
      </c>
      <c r="U14" s="23" t="n">
        <v>59.485</v>
      </c>
      <c r="V14" s="23" t="n">
        <v>60.057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15">
        <f>IFERROR(K2/J2-1,"")</f>
        <v/>
      </c>
      <c r="L16" s="15">
        <f>IFERROR(L2/K2-1,"")</f>
        <v/>
      </c>
      <c r="M16" s="15">
        <f>IFERROR(M2/L2-1,"")</f>
        <v/>
      </c>
      <c r="N16" s="15">
        <f>IFERROR(N2/M2-1,"")</f>
        <v/>
      </c>
      <c r="O16" s="15">
        <f>IFERROR(O2/N2-1,"")</f>
        <v/>
      </c>
      <c r="P16" s="15">
        <f>IFERROR(P2/O2-1,"")</f>
        <v/>
      </c>
      <c r="Q16" s="15">
        <f>IFERROR(Q2/P2-1,"")</f>
        <v/>
      </c>
      <c r="R16" s="15">
        <f>IFERROR(R2/Q2-1,"")</f>
        <v/>
      </c>
      <c r="S16" s="15">
        <f>IFERROR(S2/R2-1,"")</f>
        <v/>
      </c>
      <c r="T16" s="15">
        <f>IFERROR(T2/S2-1,"")</f>
        <v/>
      </c>
      <c r="U16" s="15">
        <f>IFERROR(U2/T2-1,"")</f>
        <v/>
      </c>
      <c r="V16" s="15">
        <f>IFERROR(V2/U2-1,"")</f>
        <v/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/>
      </c>
      <c r="K17" s="15">
        <f>IFERROR(K4/K2,"")</f>
        <v/>
      </c>
      <c r="L17" s="15">
        <f>IFERROR(L4/L2,"")</f>
        <v/>
      </c>
      <c r="M17" s="15">
        <f>IFERROR(M4/M2,"")</f>
        <v/>
      </c>
      <c r="N17" s="15">
        <f>IFERROR(N4/N2,"")</f>
        <v/>
      </c>
      <c r="O17" s="15">
        <f>IFERROR(O4/O2,"")</f>
        <v/>
      </c>
      <c r="P17" s="15">
        <f>IFERROR(P4/P2,"")</f>
        <v/>
      </c>
      <c r="Q17" s="15">
        <f>IFERROR(Q4/Q2,"")</f>
        <v/>
      </c>
      <c r="R17" s="15">
        <f>IFERROR(R4/R2,"")</f>
        <v/>
      </c>
      <c r="S17" s="15">
        <f>IFERROR(S4/S2,"")</f>
        <v/>
      </c>
      <c r="T17" s="15">
        <f>IFERROR(T4/T2,"")</f>
        <v/>
      </c>
      <c r="U17" s="15">
        <f>IFERROR(U4/U2,"")</f>
        <v/>
      </c>
      <c r="V17" s="15">
        <f>IFERROR(V4/V2,"")</f>
        <v/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/>
      </c>
      <c r="K18" s="15">
        <f>IFERROR(K8/K2,"")</f>
        <v/>
      </c>
      <c r="L18" s="15">
        <f>IFERROR(L8/L2,"")</f>
        <v/>
      </c>
      <c r="M18" s="15">
        <f>IFERROR(M8/M2,"")</f>
        <v/>
      </c>
      <c r="N18" s="15">
        <f>IFERROR(N8/N2,"")</f>
        <v/>
      </c>
      <c r="O18" s="15">
        <f>IFERROR(O8/O2,"")</f>
        <v/>
      </c>
      <c r="P18" s="15">
        <f>IFERROR(P8/P2,"")</f>
        <v/>
      </c>
      <c r="Q18" s="15">
        <f>IFERROR(Q8/Q2,"")</f>
        <v/>
      </c>
      <c r="R18" s="15">
        <f>IFERROR(R8/R2,"")</f>
        <v/>
      </c>
      <c r="S18" s="15">
        <f>IFERROR(S8/S2,"")</f>
        <v/>
      </c>
      <c r="T18" s="15">
        <f>IFERROR(T8/T2,"")</f>
        <v/>
      </c>
      <c r="U18" s="15">
        <f>IFERROR(U8/U2,"")</f>
        <v/>
      </c>
      <c r="V18" s="15">
        <f>IFERROR(V8/V2,"")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  <c r="Q19" s="20" t="inlineStr">
        <is>
          <t>A</t>
        </is>
      </c>
      <c r="R19" s="20" t="inlineStr">
        <is>
          <t>A</t>
        </is>
      </c>
      <c r="S19" s="20" t="inlineStr">
        <is>
          <t>A</t>
        </is>
      </c>
      <c r="T19" s="20" t="inlineStr">
        <is>
          <t>A</t>
        </is>
      </c>
      <c r="U19" s="20" t="inlineStr">
        <is>
          <t>A</t>
        </is>
      </c>
      <c r="V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Aldeyra Therapeutics Inc: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1-PRODUCT(Pipeline!AG4:AG6)</f>
        <v>0.741748869632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24.066</v>
      </c>
    </row>
    <row r="19">
      <c r="A19" s="14" t="inlineStr">
        <is>
          <t>Years of full burn (until the first launch, max 4)</t>
        </is>
      </c>
      <c r="B19" s="39">
        <f>MIN(4,MAX(1,MIN(Pipeline!I4:I6)-2026))</f>
        <v>3.0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480.7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1149.9007304054214</v>
      </c>
      <c r="C29" s="42">
        <f>NPV!B25</f>
        <v>1194.9905164054214</v>
      </c>
      <c r="D29" s="43">
        <f>NPV!B27</f>
        <v>19.80874211658307</v>
      </c>
      <c r="E29" s="44">
        <f>NPV!B29</f>
        <v>28.78310346802446</v>
      </c>
    </row>
    <row r="30">
      <c r="A30" s="45" t="n">
        <v>1</v>
      </c>
      <c r="B30" s="46">
        <f t="dataTable" ref="B30:E32" r1="B4"/>
        <v>453.26286177989454</v>
      </c>
      <c r="C30" s="46">
        <v>498.35264777989454</v>
      </c>
      <c r="D30" s="47">
        <v>8.260935084809597</v>
      </c>
      <c r="E30" s="48">
        <v>11.420591016102236</v>
      </c>
    </row>
    <row r="31">
      <c r="A31" s="45" t="n">
        <v>2</v>
      </c>
      <c r="B31" s="46">
        <v>1149.9007304054214</v>
      </c>
      <c r="C31" s="46">
        <v>1194.9905164054214</v>
      </c>
      <c r="D31" s="47">
        <v>19.80874211658307</v>
      </c>
      <c r="E31" s="48">
        <v>28.78310346802446</v>
      </c>
    </row>
    <row r="32">
      <c r="A32" s="45" t="n">
        <v>3</v>
      </c>
      <c r="B32" s="46">
        <v>2216.684732188572</v>
      </c>
      <c r="C32" s="46">
        <v>2261.774518188572</v>
      </c>
      <c r="D32" s="47">
        <v>37.492270893852165</v>
      </c>
      <c r="E32" s="48">
        <v>55.370877903852296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19.80874211658307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6.218675299590018</v>
      </c>
      <c r="C37" s="47">
        <v>9.198291109534088</v>
      </c>
      <c r="D37" s="47">
        <v>12.141464246894007</v>
      </c>
      <c r="E37" s="47">
        <v>17.98784839630907</v>
      </c>
      <c r="F37" s="47">
        <v>23.809176921151437</v>
      </c>
    </row>
    <row r="38">
      <c r="A38" s="50" t="n">
        <v>0.8</v>
      </c>
      <c r="B38" s="47">
        <v>8.138672536574811</v>
      </c>
      <c r="C38" s="47">
        <v>12.071893739970472</v>
      </c>
      <c r="D38" s="47">
        <v>15.972068828886833</v>
      </c>
      <c r="E38" s="47">
        <v>23.741045887383244</v>
      </c>
      <c r="F38" s="47">
        <v>31.486651621353335</v>
      </c>
    </row>
    <row r="39">
      <c r="A39" s="50" t="n">
        <v>1</v>
      </c>
      <c r="B39" s="47">
        <v>10.051883247233098</v>
      </c>
      <c r="C39" s="47">
        <v>14.941321425838238</v>
      </c>
      <c r="D39" s="47">
        <v>19.80874211658307</v>
      </c>
      <c r="E39" s="47">
        <v>29.493553018387477</v>
      </c>
      <c r="F39" s="47">
        <v>39.167058966503326</v>
      </c>
    </row>
    <row r="40">
      <c r="A40" s="50" t="n">
        <v>1.2</v>
      </c>
      <c r="B40" s="47">
        <v>11.967025016329275</v>
      </c>
      <c r="C40" s="47">
        <v>17.81531280315776</v>
      </c>
      <c r="D40" s="47">
        <v>23.638346987122556</v>
      </c>
      <c r="E40" s="47">
        <v>35.2567555880777</v>
      </c>
      <c r="F40" s="47">
        <v>46.8412773449581</v>
      </c>
    </row>
    <row r="41">
      <c r="A41" s="50" t="n">
        <v>1.4</v>
      </c>
      <c r="B41" s="47">
        <v>13.88497164275435</v>
      </c>
      <c r="C41" s="47">
        <v>20.697700119173508</v>
      </c>
      <c r="D41" s="47">
        <v>27.475105136397342</v>
      </c>
      <c r="E41" s="47">
        <v>41.01565921599218</v>
      </c>
      <c r="F41" s="47">
        <v>54.52536922684608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8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Aldeyra Therapeutics Inc: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Lymphoma</t>
        </is>
      </c>
      <c r="C4" s="14" t="inlineStr">
        <is>
          <t>ICM ADX-2191 injection, Monthly ADX-2191 injection</t>
        </is>
      </c>
      <c r="D4" s="14" t="inlineStr">
        <is>
          <t>Phase 3</t>
        </is>
      </c>
      <c r="E4" s="14" t="inlineStr">
        <is>
          <t>Oncology / area</t>
        </is>
      </c>
      <c r="F4" s="14" t="inlineStr">
        <is>
          <t>Owned</t>
        </is>
      </c>
      <c r="G4" s="40" t="n">
        <v>1500</v>
      </c>
      <c r="H4" s="27" t="n">
        <v>0.4388</v>
      </c>
      <c r="I4" s="26" t="n">
        <v>2029</v>
      </c>
      <c r="J4" s="39">
        <f>I4+Assumptions!$B$25</f>
        <v>2041.0</v>
      </c>
      <c r="K4" s="53">
        <f>Assumptions!$E$13</f>
        <v>0.4</v>
      </c>
      <c r="L4" s="23">
        <f>K4*SUMPRODUCT(M4:AF4,NPV!$C$15:$V$15)</f>
        <v>944.156702827894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65.82000000000001</v>
      </c>
      <c r="Q4" s="23">
        <f>IF(Q$3&lt;$I4,0,$G4*Assumptions!$E$11*INDEX(Assumptions!$B$24:$G$24,MIN(6,Q$3-$I4+1))*IF(Q$3&gt;$J4,(1-Assumptions!$B$26)^(Q$3-$J4),1)*IF($H4&gt;=1,1,MIN(0.97,$H4*Assumptions!$E$12)))</f>
        <v>164.55</v>
      </c>
      <c r="R4" s="23">
        <f>IF(R$3&lt;$I4,0,$G4*Assumptions!$E$11*INDEX(Assumptions!$B$24:$G$24,MIN(6,R$3-$I4+1))*IF(R$3&gt;$J4,(1-Assumptions!$B$26)^(R$3-$J4),1)*IF($H4&gt;=1,1,MIN(0.97,$H4*Assumptions!$E$12)))</f>
        <v>296.19</v>
      </c>
      <c r="S4" s="23">
        <f>IF(S$3&lt;$I4,0,$G4*Assumptions!$E$11*INDEX(Assumptions!$B$24:$G$24,MIN(6,S$3-$I4+1))*IF(S$3&gt;$J4,(1-Assumptions!$B$26)^(S$3-$J4),1)*IF($H4&gt;=1,1,MIN(0.97,$H4*Assumptions!$E$12)))</f>
        <v>427.83000000000004</v>
      </c>
      <c r="T4" s="23">
        <f>IF(T$3&lt;$I4,0,$G4*Assumptions!$E$11*INDEX(Assumptions!$B$24:$G$24,MIN(6,T$3-$I4+1))*IF(T$3&gt;$J4,(1-Assumptions!$B$26)^(T$3-$J4),1)*IF($H4&gt;=1,1,MIN(0.97,$H4*Assumptions!$E$12)))</f>
        <v>559.47</v>
      </c>
      <c r="U4" s="23">
        <f>IF(U$3&lt;$I4,0,$G4*Assumptions!$E$11*INDEX(Assumptions!$B$24:$G$24,MIN(6,U$3-$I4+1))*IF(U$3&gt;$J4,(1-Assumptions!$B$26)^(U$3-$J4),1)*IF($H4&gt;=1,1,MIN(0.97,$H4*Assumptions!$E$12)))</f>
        <v>658.2</v>
      </c>
      <c r="V4" s="23">
        <f>IF(V$3&lt;$I4,0,$G4*Assumptions!$E$11*INDEX(Assumptions!$B$24:$G$24,MIN(6,V$3-$I4+1))*IF(V$3&gt;$J4,(1-Assumptions!$B$26)^(V$3-$J4),1)*IF($H4&gt;=1,1,MIN(0.97,$H4*Assumptions!$E$12)))</f>
        <v>658.2</v>
      </c>
      <c r="W4" s="23">
        <f>IF(W$3&lt;$I4,0,$G4*Assumptions!$E$11*INDEX(Assumptions!$B$24:$G$24,MIN(6,W$3-$I4+1))*IF(W$3&gt;$J4,(1-Assumptions!$B$26)^(W$3-$J4),1)*IF($H4&gt;=1,1,MIN(0.97,$H4*Assumptions!$E$12)))</f>
        <v>658.2</v>
      </c>
      <c r="X4" s="23">
        <f>IF(X$3&lt;$I4,0,$G4*Assumptions!$E$11*INDEX(Assumptions!$B$24:$G$24,MIN(6,X$3-$I4+1))*IF(X$3&gt;$J4,(1-Assumptions!$B$26)^(X$3-$J4),1)*IF($H4&gt;=1,1,MIN(0.97,$H4*Assumptions!$E$12)))</f>
        <v>658.2</v>
      </c>
      <c r="Y4" s="23">
        <f>IF(Y$3&lt;$I4,0,$G4*Assumptions!$E$11*INDEX(Assumptions!$B$24:$G$24,MIN(6,Y$3-$I4+1))*IF(Y$3&gt;$J4,(1-Assumptions!$B$26)^(Y$3-$J4),1)*IF($H4&gt;=1,1,MIN(0.97,$H4*Assumptions!$E$12)))</f>
        <v>658.2</v>
      </c>
      <c r="Z4" s="23">
        <f>IF(Z$3&lt;$I4,0,$G4*Assumptions!$E$11*INDEX(Assumptions!$B$24:$G$24,MIN(6,Z$3-$I4+1))*IF(Z$3&gt;$J4,(1-Assumptions!$B$26)^(Z$3-$J4),1)*IF($H4&gt;=1,1,MIN(0.97,$H4*Assumptions!$E$12)))</f>
        <v>658.2</v>
      </c>
      <c r="AA4" s="23">
        <f>IF(AA$3&lt;$I4,0,$G4*Assumptions!$E$11*INDEX(Assumptions!$B$24:$G$24,MIN(6,AA$3-$I4+1))*IF(AA$3&gt;$J4,(1-Assumptions!$B$26)^(AA$3-$J4),1)*IF($H4&gt;=1,1,MIN(0.97,$H4*Assumptions!$E$12)))</f>
        <v>658.2</v>
      </c>
      <c r="AB4" s="23">
        <f>IF(AB$3&lt;$I4,0,$G4*Assumptions!$E$11*INDEX(Assumptions!$B$24:$G$24,MIN(6,AB$3-$I4+1))*IF(AB$3&gt;$J4,(1-Assumptions!$B$26)^(AB$3-$J4),1)*IF($H4&gt;=1,1,MIN(0.97,$H4*Assumptions!$E$12)))</f>
        <v>658.2</v>
      </c>
      <c r="AC4" s="23">
        <f>IF(AC$3&lt;$I4,0,$G4*Assumptions!$E$11*INDEX(Assumptions!$B$24:$G$24,MIN(6,AC$3-$I4+1))*IF(AC$3&gt;$J4,(1-Assumptions!$B$26)^(AC$3-$J4),1)*IF($H4&gt;=1,1,MIN(0.97,$H4*Assumptions!$E$12)))</f>
        <v>329.1</v>
      </c>
      <c r="AD4" s="23">
        <f>IF(AD$3&lt;$I4,0,$G4*Assumptions!$E$11*INDEX(Assumptions!$B$24:$G$24,MIN(6,AD$3-$I4+1))*IF(AD$3&gt;$J4,(1-Assumptions!$B$26)^(AD$3-$J4),1)*IF($H4&gt;=1,1,MIN(0.97,$H4*Assumptions!$E$12)))</f>
        <v>164.55</v>
      </c>
      <c r="AE4" s="23">
        <f>IF(AE$3&lt;$I4,0,$G4*Assumptions!$E$11*INDEX(Assumptions!$B$24:$G$24,MIN(6,AE$3-$I4+1))*IF(AE$3&gt;$J4,(1-Assumptions!$B$26)^(AE$3-$J4),1)*IF($H4&gt;=1,1,MIN(0.97,$H4*Assumptions!$E$12)))</f>
        <v>82.275</v>
      </c>
      <c r="AF4" s="23">
        <f>IF(AF$3&lt;$I4,0,$G4*Assumptions!$E$11*INDEX(Assumptions!$B$24:$G$24,MIN(6,AF$3-$I4+1))*IF(AF$3&gt;$J4,(1-Assumptions!$B$26)^(AF$3-$J4),1)*IF($H4&gt;=1,1,MIN(0.97,$H4*Assumptions!$E$12)))</f>
        <v>41.1375</v>
      </c>
      <c r="AG4" s="35">
        <f>IF(F4="Owned",1-IF(H4&gt;=1,1,MIN(0.97,H4*Assumptions!$E$12)),1)</f>
        <v>0.5611999999999999</v>
      </c>
    </row>
    <row r="5">
      <c r="A5" s="39" t="n">
        <v>2</v>
      </c>
      <c r="B5" s="14" t="inlineStr">
        <is>
          <t>Eye disease (other)</t>
        </is>
      </c>
      <c r="C5" s="14" t="inlineStr">
        <is>
          <t>Reproxalap Ophthalmic Solution (0.25%), Reproxalap ophthalmi</t>
        </is>
      </c>
      <c r="D5" s="14" t="inlineStr">
        <is>
          <t>Phase 3</t>
        </is>
      </c>
      <c r="E5" s="14" t="inlineStr">
        <is>
          <t>Ophthalmology / area</t>
        </is>
      </c>
      <c r="F5" s="14" t="inlineStr">
        <is>
          <t>Owned</t>
        </is>
      </c>
      <c r="G5" s="40" t="n">
        <v>600</v>
      </c>
      <c r="H5" s="27" t="n">
        <v>0.4664</v>
      </c>
      <c r="I5" s="26" t="n">
        <v>2029</v>
      </c>
      <c r="J5" s="39">
        <f>I5+Assumptions!$B$25</f>
        <v>2041.0</v>
      </c>
      <c r="K5" s="53">
        <f>Assumptions!$E$13</f>
        <v>0.4</v>
      </c>
      <c r="L5" s="23">
        <f>K5*SUMPRODUCT(M5:AF5,NPV!$C$15:$V$15)</f>
        <v>401.41721622509533</v>
      </c>
      <c r="M5" s="23">
        <f>IF(M$3&lt;$I5,0,$G5*Assumptions!$E$11*INDEX(Assumptions!$B$24:$G$24,MIN(6,M$3-$I5+1))*IF(M$3&gt;$J5,(1-Assumptions!$B$26)^(M$3-$J5),1)*IF($H5&gt;=1,1,MIN(0.97,$H5*Assumptions!$E$12)))</f>
        <v>0</v>
      </c>
      <c r="N5" s="23">
        <f>IF(N$3&lt;$I5,0,$G5*Assumptions!$E$11*INDEX(Assumptions!$B$24:$G$24,MIN(6,N$3-$I5+1))*IF(N$3&gt;$J5,(1-Assumptions!$B$26)^(N$3-$J5),1)*IF($H5&gt;=1,1,MIN(0.97,$H5*Assumptions!$E$12)))</f>
        <v>0</v>
      </c>
      <c r="O5" s="23">
        <f>IF(O$3&lt;$I5,0,$G5*Assumptions!$E$11*INDEX(Assumptions!$B$24:$G$24,MIN(6,O$3-$I5+1))*IF(O$3&gt;$J5,(1-Assumptions!$B$26)^(O$3-$J5),1)*IF($H5&gt;=1,1,MIN(0.97,$H5*Assumptions!$E$12)))</f>
        <v>0</v>
      </c>
      <c r="P5" s="23">
        <f>IF(P$3&lt;$I5,0,$G5*Assumptions!$E$11*INDEX(Assumptions!$B$24:$G$24,MIN(6,P$3-$I5+1))*IF(P$3&gt;$J5,(1-Assumptions!$B$26)^(P$3-$J5),1)*IF($H5&gt;=1,1,MIN(0.97,$H5*Assumptions!$E$12)))</f>
        <v>27.983999999999998</v>
      </c>
      <c r="Q5" s="23">
        <f>IF(Q$3&lt;$I5,0,$G5*Assumptions!$E$11*INDEX(Assumptions!$B$24:$G$24,MIN(6,Q$3-$I5+1))*IF(Q$3&gt;$J5,(1-Assumptions!$B$26)^(Q$3-$J5),1)*IF($H5&gt;=1,1,MIN(0.97,$H5*Assumptions!$E$12)))</f>
        <v>69.96</v>
      </c>
      <c r="R5" s="23">
        <f>IF(R$3&lt;$I5,0,$G5*Assumptions!$E$11*INDEX(Assumptions!$B$24:$G$24,MIN(6,R$3-$I5+1))*IF(R$3&gt;$J5,(1-Assumptions!$B$26)^(R$3-$J5),1)*IF($H5&gt;=1,1,MIN(0.97,$H5*Assumptions!$E$12)))</f>
        <v>125.928</v>
      </c>
      <c r="S5" s="23">
        <f>IF(S$3&lt;$I5,0,$G5*Assumptions!$E$11*INDEX(Assumptions!$B$24:$G$24,MIN(6,S$3-$I5+1))*IF(S$3&gt;$J5,(1-Assumptions!$B$26)^(S$3-$J5),1)*IF($H5&gt;=1,1,MIN(0.97,$H5*Assumptions!$E$12)))</f>
        <v>181.896</v>
      </c>
      <c r="T5" s="23">
        <f>IF(T$3&lt;$I5,0,$G5*Assumptions!$E$11*INDEX(Assumptions!$B$24:$G$24,MIN(6,T$3-$I5+1))*IF(T$3&gt;$J5,(1-Assumptions!$B$26)^(T$3-$J5),1)*IF($H5&gt;=1,1,MIN(0.97,$H5*Assumptions!$E$12)))</f>
        <v>237.864</v>
      </c>
      <c r="U5" s="23">
        <f>IF(U$3&lt;$I5,0,$G5*Assumptions!$E$11*INDEX(Assumptions!$B$24:$G$24,MIN(6,U$3-$I5+1))*IF(U$3&gt;$J5,(1-Assumptions!$B$26)^(U$3-$J5),1)*IF($H5&gt;=1,1,MIN(0.97,$H5*Assumptions!$E$12)))</f>
        <v>279.84</v>
      </c>
      <c r="V5" s="23">
        <f>IF(V$3&lt;$I5,0,$G5*Assumptions!$E$11*INDEX(Assumptions!$B$24:$G$24,MIN(6,V$3-$I5+1))*IF(V$3&gt;$J5,(1-Assumptions!$B$26)^(V$3-$J5),1)*IF($H5&gt;=1,1,MIN(0.97,$H5*Assumptions!$E$12)))</f>
        <v>279.84</v>
      </c>
      <c r="W5" s="23">
        <f>IF(W$3&lt;$I5,0,$G5*Assumptions!$E$11*INDEX(Assumptions!$B$24:$G$24,MIN(6,W$3-$I5+1))*IF(W$3&gt;$J5,(1-Assumptions!$B$26)^(W$3-$J5),1)*IF($H5&gt;=1,1,MIN(0.97,$H5*Assumptions!$E$12)))</f>
        <v>279.84</v>
      </c>
      <c r="X5" s="23">
        <f>IF(X$3&lt;$I5,0,$G5*Assumptions!$E$11*INDEX(Assumptions!$B$24:$G$24,MIN(6,X$3-$I5+1))*IF(X$3&gt;$J5,(1-Assumptions!$B$26)^(X$3-$J5),1)*IF($H5&gt;=1,1,MIN(0.97,$H5*Assumptions!$E$12)))</f>
        <v>279.84</v>
      </c>
      <c r="Y5" s="23">
        <f>IF(Y$3&lt;$I5,0,$G5*Assumptions!$E$11*INDEX(Assumptions!$B$24:$G$24,MIN(6,Y$3-$I5+1))*IF(Y$3&gt;$J5,(1-Assumptions!$B$26)^(Y$3-$J5),1)*IF($H5&gt;=1,1,MIN(0.97,$H5*Assumptions!$E$12)))</f>
        <v>279.84</v>
      </c>
      <c r="Z5" s="23">
        <f>IF(Z$3&lt;$I5,0,$G5*Assumptions!$E$11*INDEX(Assumptions!$B$24:$G$24,MIN(6,Z$3-$I5+1))*IF(Z$3&gt;$J5,(1-Assumptions!$B$26)^(Z$3-$J5),1)*IF($H5&gt;=1,1,MIN(0.97,$H5*Assumptions!$E$12)))</f>
        <v>279.84</v>
      </c>
      <c r="AA5" s="23">
        <f>IF(AA$3&lt;$I5,0,$G5*Assumptions!$E$11*INDEX(Assumptions!$B$24:$G$24,MIN(6,AA$3-$I5+1))*IF(AA$3&gt;$J5,(1-Assumptions!$B$26)^(AA$3-$J5),1)*IF($H5&gt;=1,1,MIN(0.97,$H5*Assumptions!$E$12)))</f>
        <v>279.84</v>
      </c>
      <c r="AB5" s="23">
        <f>IF(AB$3&lt;$I5,0,$G5*Assumptions!$E$11*INDEX(Assumptions!$B$24:$G$24,MIN(6,AB$3-$I5+1))*IF(AB$3&gt;$J5,(1-Assumptions!$B$26)^(AB$3-$J5),1)*IF($H5&gt;=1,1,MIN(0.97,$H5*Assumptions!$E$12)))</f>
        <v>279.84</v>
      </c>
      <c r="AC5" s="23">
        <f>IF(AC$3&lt;$I5,0,$G5*Assumptions!$E$11*INDEX(Assumptions!$B$24:$G$24,MIN(6,AC$3-$I5+1))*IF(AC$3&gt;$J5,(1-Assumptions!$B$26)^(AC$3-$J5),1)*IF($H5&gt;=1,1,MIN(0.97,$H5*Assumptions!$E$12)))</f>
        <v>139.92</v>
      </c>
      <c r="AD5" s="23">
        <f>IF(AD$3&lt;$I5,0,$G5*Assumptions!$E$11*INDEX(Assumptions!$B$24:$G$24,MIN(6,AD$3-$I5+1))*IF(AD$3&gt;$J5,(1-Assumptions!$B$26)^(AD$3-$J5),1)*IF($H5&gt;=1,1,MIN(0.97,$H5*Assumptions!$E$12)))</f>
        <v>69.96</v>
      </c>
      <c r="AE5" s="23">
        <f>IF(AE$3&lt;$I5,0,$G5*Assumptions!$E$11*INDEX(Assumptions!$B$24:$G$24,MIN(6,AE$3-$I5+1))*IF(AE$3&gt;$J5,(1-Assumptions!$B$26)^(AE$3-$J5),1)*IF($H5&gt;=1,1,MIN(0.97,$H5*Assumptions!$E$12)))</f>
        <v>34.98</v>
      </c>
      <c r="AF5" s="23">
        <f>IF(AF$3&lt;$I5,0,$G5*Assumptions!$E$11*INDEX(Assumptions!$B$24:$G$24,MIN(6,AF$3-$I5+1))*IF(AF$3&gt;$J5,(1-Assumptions!$B$26)^(AF$3-$J5),1)*IF($H5&gt;=1,1,MIN(0.97,$H5*Assumptions!$E$12)))</f>
        <v>17.49</v>
      </c>
      <c r="AG5" s="35">
        <f>IF(F5="Owned",1-IF(H5&gt;=1,1,MIN(0.97,H5*Assumptions!$E$12)),1)</f>
        <v>0.5336000000000001</v>
      </c>
    </row>
    <row r="6">
      <c r="A6" s="39" t="n">
        <v>3</v>
      </c>
      <c r="B6" s="14" t="inlineStr">
        <is>
          <t>Anxiety / PTSD / addiction</t>
        </is>
      </c>
      <c r="C6" s="14" t="inlineStr">
        <is>
          <t>ADX-629</t>
        </is>
      </c>
      <c r="D6" s="14" t="inlineStr">
        <is>
          <t>Phase 2</t>
        </is>
      </c>
      <c r="E6" s="14" t="inlineStr">
        <is>
          <t>Psychiatry / area</t>
        </is>
      </c>
      <c r="F6" s="14" t="inlineStr">
        <is>
          <t>Owned</t>
        </is>
      </c>
      <c r="G6" s="40" t="n">
        <v>800</v>
      </c>
      <c r="H6" s="27" t="n">
        <v>0.1376</v>
      </c>
      <c r="I6" s="26" t="n">
        <v>2031</v>
      </c>
      <c r="J6" s="39">
        <f>I6+Assumptions!$B$25</f>
        <v>2043.0</v>
      </c>
      <c r="K6" s="53">
        <f>Assumptions!$E$13</f>
        <v>0.4</v>
      </c>
      <c r="L6" s="23">
        <f>K6*SUMPRODUCT(M6:AF6,NPV!$C$15:$V$15)</f>
        <v>125.05561194775942</v>
      </c>
      <c r="M6" s="23">
        <f>IF(M$3&lt;$I6,0,$G6*Assumptions!$E$11*INDEX(Assumptions!$B$24:$G$24,MIN(6,M$3-$I6+1))*IF(M$3&gt;$J6,(1-Assumptions!$B$26)^(M$3-$J6),1)*IF($H6&gt;=1,1,MIN(0.97,$H6*Assumptions!$E$12)))</f>
        <v>0</v>
      </c>
      <c r="N6" s="23">
        <f>IF(N$3&lt;$I6,0,$G6*Assumptions!$E$11*INDEX(Assumptions!$B$24:$G$24,MIN(6,N$3-$I6+1))*IF(N$3&gt;$J6,(1-Assumptions!$B$26)^(N$3-$J6),1)*IF($H6&gt;=1,1,MIN(0.97,$H6*Assumptions!$E$12)))</f>
        <v>0</v>
      </c>
      <c r="O6" s="23">
        <f>IF(O$3&lt;$I6,0,$G6*Assumptions!$E$11*INDEX(Assumptions!$B$24:$G$24,MIN(6,O$3-$I6+1))*IF(O$3&gt;$J6,(1-Assumptions!$B$26)^(O$3-$J6),1)*IF($H6&gt;=1,1,MIN(0.97,$H6*Assumptions!$E$12)))</f>
        <v>0</v>
      </c>
      <c r="P6" s="23">
        <f>IF(P$3&lt;$I6,0,$G6*Assumptions!$E$11*INDEX(Assumptions!$B$24:$G$24,MIN(6,P$3-$I6+1))*IF(P$3&gt;$J6,(1-Assumptions!$B$26)^(P$3-$J6),1)*IF($H6&gt;=1,1,MIN(0.97,$H6*Assumptions!$E$12)))</f>
        <v>0</v>
      </c>
      <c r="Q6" s="23">
        <f>IF(Q$3&lt;$I6,0,$G6*Assumptions!$E$11*INDEX(Assumptions!$B$24:$G$24,MIN(6,Q$3-$I6+1))*IF(Q$3&gt;$J6,(1-Assumptions!$B$26)^(Q$3-$J6),1)*IF($H6&gt;=1,1,MIN(0.97,$H6*Assumptions!$E$12)))</f>
        <v>0</v>
      </c>
      <c r="R6" s="23">
        <f>IF(R$3&lt;$I6,0,$G6*Assumptions!$E$11*INDEX(Assumptions!$B$24:$G$24,MIN(6,R$3-$I6+1))*IF(R$3&gt;$J6,(1-Assumptions!$B$26)^(R$3-$J6),1)*IF($H6&gt;=1,1,MIN(0.97,$H6*Assumptions!$E$12)))</f>
        <v>11.008</v>
      </c>
      <c r="S6" s="23">
        <f>IF(S$3&lt;$I6,0,$G6*Assumptions!$E$11*INDEX(Assumptions!$B$24:$G$24,MIN(6,S$3-$I6+1))*IF(S$3&gt;$J6,(1-Assumptions!$B$26)^(S$3-$J6),1)*IF($H6&gt;=1,1,MIN(0.97,$H6*Assumptions!$E$12)))</f>
        <v>27.52</v>
      </c>
      <c r="T6" s="23">
        <f>IF(T$3&lt;$I6,0,$G6*Assumptions!$E$11*INDEX(Assumptions!$B$24:$G$24,MIN(6,T$3-$I6+1))*IF(T$3&gt;$J6,(1-Assumptions!$B$26)^(T$3-$J6),1)*IF($H6&gt;=1,1,MIN(0.97,$H6*Assumptions!$E$12)))</f>
        <v>49.536</v>
      </c>
      <c r="U6" s="23">
        <f>IF(U$3&lt;$I6,0,$G6*Assumptions!$E$11*INDEX(Assumptions!$B$24:$G$24,MIN(6,U$3-$I6+1))*IF(U$3&gt;$J6,(1-Assumptions!$B$26)^(U$3-$J6),1)*IF($H6&gt;=1,1,MIN(0.97,$H6*Assumptions!$E$12)))</f>
        <v>71.552</v>
      </c>
      <c r="V6" s="23">
        <f>IF(V$3&lt;$I6,0,$G6*Assumptions!$E$11*INDEX(Assumptions!$B$24:$G$24,MIN(6,V$3-$I6+1))*IF(V$3&gt;$J6,(1-Assumptions!$B$26)^(V$3-$J6),1)*IF($H6&gt;=1,1,MIN(0.97,$H6*Assumptions!$E$12)))</f>
        <v>93.568</v>
      </c>
      <c r="W6" s="23">
        <f>IF(W$3&lt;$I6,0,$G6*Assumptions!$E$11*INDEX(Assumptions!$B$24:$G$24,MIN(6,W$3-$I6+1))*IF(W$3&gt;$J6,(1-Assumptions!$B$26)^(W$3-$J6),1)*IF($H6&gt;=1,1,MIN(0.97,$H6*Assumptions!$E$12)))</f>
        <v>110.08</v>
      </c>
      <c r="X6" s="23">
        <f>IF(X$3&lt;$I6,0,$G6*Assumptions!$E$11*INDEX(Assumptions!$B$24:$G$24,MIN(6,X$3-$I6+1))*IF(X$3&gt;$J6,(1-Assumptions!$B$26)^(X$3-$J6),1)*IF($H6&gt;=1,1,MIN(0.97,$H6*Assumptions!$E$12)))</f>
        <v>110.08</v>
      </c>
      <c r="Y6" s="23">
        <f>IF(Y$3&lt;$I6,0,$G6*Assumptions!$E$11*INDEX(Assumptions!$B$24:$G$24,MIN(6,Y$3-$I6+1))*IF(Y$3&gt;$J6,(1-Assumptions!$B$26)^(Y$3-$J6),1)*IF($H6&gt;=1,1,MIN(0.97,$H6*Assumptions!$E$12)))</f>
        <v>110.08</v>
      </c>
      <c r="Z6" s="23">
        <f>IF(Z$3&lt;$I6,0,$G6*Assumptions!$E$11*INDEX(Assumptions!$B$24:$G$24,MIN(6,Z$3-$I6+1))*IF(Z$3&gt;$J6,(1-Assumptions!$B$26)^(Z$3-$J6),1)*IF($H6&gt;=1,1,MIN(0.97,$H6*Assumptions!$E$12)))</f>
        <v>110.08</v>
      </c>
      <c r="AA6" s="23">
        <f>IF(AA$3&lt;$I6,0,$G6*Assumptions!$E$11*INDEX(Assumptions!$B$24:$G$24,MIN(6,AA$3-$I6+1))*IF(AA$3&gt;$J6,(1-Assumptions!$B$26)^(AA$3-$J6),1)*IF($H6&gt;=1,1,MIN(0.97,$H6*Assumptions!$E$12)))</f>
        <v>110.08</v>
      </c>
      <c r="AB6" s="23">
        <f>IF(AB$3&lt;$I6,0,$G6*Assumptions!$E$11*INDEX(Assumptions!$B$24:$G$24,MIN(6,AB$3-$I6+1))*IF(AB$3&gt;$J6,(1-Assumptions!$B$26)^(AB$3-$J6),1)*IF($H6&gt;=1,1,MIN(0.97,$H6*Assumptions!$E$12)))</f>
        <v>110.08</v>
      </c>
      <c r="AC6" s="23">
        <f>IF(AC$3&lt;$I6,0,$G6*Assumptions!$E$11*INDEX(Assumptions!$B$24:$G$24,MIN(6,AC$3-$I6+1))*IF(AC$3&gt;$J6,(1-Assumptions!$B$26)^(AC$3-$J6),1)*IF($H6&gt;=1,1,MIN(0.97,$H6*Assumptions!$E$12)))</f>
        <v>110.08</v>
      </c>
      <c r="AD6" s="23">
        <f>IF(AD$3&lt;$I6,0,$G6*Assumptions!$E$11*INDEX(Assumptions!$B$24:$G$24,MIN(6,AD$3-$I6+1))*IF(AD$3&gt;$J6,(1-Assumptions!$B$26)^(AD$3-$J6),1)*IF($H6&gt;=1,1,MIN(0.97,$H6*Assumptions!$E$12)))</f>
        <v>110.08</v>
      </c>
      <c r="AE6" s="23">
        <f>IF(AE$3&lt;$I6,0,$G6*Assumptions!$E$11*INDEX(Assumptions!$B$24:$G$24,MIN(6,AE$3-$I6+1))*IF(AE$3&gt;$J6,(1-Assumptions!$B$26)^(AE$3-$J6),1)*IF($H6&gt;=1,1,MIN(0.97,$H6*Assumptions!$E$12)))</f>
        <v>55.04</v>
      </c>
      <c r="AF6" s="23">
        <f>IF(AF$3&lt;$I6,0,$G6*Assumptions!$E$11*INDEX(Assumptions!$B$24:$G$24,MIN(6,AF$3-$I6+1))*IF(AF$3&gt;$J6,(1-Assumptions!$B$26)^(AF$3-$J6),1)*IF($H6&gt;=1,1,MIN(0.97,$H6*Assumptions!$E$12)))</f>
        <v>27.52</v>
      </c>
      <c r="AG6" s="35">
        <f>IF(F6="Owned",1-IF(H6&gt;=1,1,MIN(0.97,H6*Assumptions!$E$12)),1)</f>
        <v>0.8624</v>
      </c>
    </row>
    <row r="7">
      <c r="B7" s="24" t="inlineStr">
        <is>
          <t>Risked revenue</t>
        </is>
      </c>
      <c r="L7" s="54">
        <f>SUM(L4:L6)</f>
        <v>1470.6295310007488</v>
      </c>
      <c r="M7" s="54">
        <f>SUM(M4:M6)</f>
        <v>0.0</v>
      </c>
      <c r="N7" s="54">
        <f>SUM(N4:N6)</f>
        <v>0.0</v>
      </c>
      <c r="O7" s="54">
        <f>SUM(O4:O6)</f>
        <v>0.0</v>
      </c>
      <c r="P7" s="54">
        <f>SUM(P4:P6)</f>
        <v>93.804</v>
      </c>
      <c r="Q7" s="54">
        <f>SUM(Q4:Q6)</f>
        <v>234.51</v>
      </c>
      <c r="R7" s="54">
        <f>SUM(R4:R6)</f>
        <v>433.126</v>
      </c>
      <c r="S7" s="54">
        <f>SUM(S4:S6)</f>
        <v>637.246</v>
      </c>
      <c r="T7" s="54">
        <f>SUM(T4:T6)</f>
        <v>846.8700000000001</v>
      </c>
      <c r="U7" s="54">
        <f>SUM(U4:U6)</f>
        <v>1009.592</v>
      </c>
      <c r="V7" s="54">
        <f>SUM(V4:V6)</f>
        <v>1031.608</v>
      </c>
      <c r="W7" s="54">
        <f>SUM(W4:W6)</f>
        <v>1048.12</v>
      </c>
      <c r="X7" s="54">
        <f>SUM(X4:X6)</f>
        <v>1048.12</v>
      </c>
      <c r="Y7" s="54">
        <f>SUM(Y4:Y6)</f>
        <v>1048.12</v>
      </c>
      <c r="Z7" s="54">
        <f>SUM(Z4:Z6)</f>
        <v>1048.12</v>
      </c>
      <c r="AA7" s="54">
        <f>SUM(AA4:AA6)</f>
        <v>1048.12</v>
      </c>
      <c r="AB7" s="54">
        <f>SUM(AB4:AB6)</f>
        <v>1048.12</v>
      </c>
      <c r="AC7" s="54">
        <f>SUM(AC4:AC6)</f>
        <v>579.1</v>
      </c>
      <c r="AD7" s="54">
        <f>SUM(AD4:AD6)</f>
        <v>344.59</v>
      </c>
      <c r="AE7" s="54">
        <f>SUM(AE4:AE6)</f>
        <v>172.295</v>
      </c>
      <c r="AF7" s="54">
        <f>SUM(AF4:AF6)</f>
        <v>86.1475</v>
      </c>
    </row>
    <row r="8">
      <c r="B8" s="24" t="inlineStr">
        <is>
          <t>Risked contribution (revenue x share)</t>
        </is>
      </c>
      <c r="M8" s="55">
        <f>SUMPRODUCT(M4:M6,$K$4:$K$6)</f>
        <v>0.0</v>
      </c>
      <c r="N8" s="55">
        <f>SUMPRODUCT(N4:N6,$K$4:$K$6)</f>
        <v>0.0</v>
      </c>
      <c r="O8" s="55">
        <f>SUMPRODUCT(O4:O6,$K$4:$K$6)</f>
        <v>0.0</v>
      </c>
      <c r="P8" s="55">
        <f>SUMPRODUCT(P4:P6,$K$4:$K$6)</f>
        <v>37.52160000000001</v>
      </c>
      <c r="Q8" s="55">
        <f>SUMPRODUCT(Q4:Q6,$K$4:$K$6)</f>
        <v>93.804</v>
      </c>
      <c r="R8" s="55">
        <f>SUMPRODUCT(R4:R6,$K$4:$K$6)</f>
        <v>173.25039999999998</v>
      </c>
      <c r="S8" s="55">
        <f>SUMPRODUCT(S4:S6,$K$4:$K$6)</f>
        <v>254.89840000000004</v>
      </c>
      <c r="T8" s="55">
        <f>SUMPRODUCT(T4:T6,$K$4:$K$6)</f>
        <v>338.748</v>
      </c>
      <c r="U8" s="55">
        <f>SUMPRODUCT(U4:U6,$K$4:$K$6)</f>
        <v>403.83680000000004</v>
      </c>
      <c r="V8" s="55">
        <f>SUMPRODUCT(V4:V6,$K$4:$K$6)</f>
        <v>412.6432</v>
      </c>
      <c r="W8" s="55">
        <f>SUMPRODUCT(W4:W6,$K$4:$K$6)</f>
        <v>419.248</v>
      </c>
      <c r="X8" s="55">
        <f>SUMPRODUCT(X4:X6,$K$4:$K$6)</f>
        <v>419.248</v>
      </c>
      <c r="Y8" s="55">
        <f>SUMPRODUCT(Y4:Y6,$K$4:$K$6)</f>
        <v>419.248</v>
      </c>
      <c r="Z8" s="55">
        <f>SUMPRODUCT(Z4:Z6,$K$4:$K$6)</f>
        <v>419.248</v>
      </c>
      <c r="AA8" s="55">
        <f>SUMPRODUCT(AA4:AA6,$K$4:$K$6)</f>
        <v>419.248</v>
      </c>
      <c r="AB8" s="55">
        <f>SUMPRODUCT(AB4:AB6,$K$4:$K$6)</f>
        <v>419.248</v>
      </c>
      <c r="AC8" s="55">
        <f>SUMPRODUCT(AC4:AC6,$K$4:$K$6)</f>
        <v>231.64000000000001</v>
      </c>
      <c r="AD8" s="55">
        <f>SUMPRODUCT(AD4:AD6,$K$4:$K$6)</f>
        <v>137.836</v>
      </c>
      <c r="AE8" s="55">
        <f>SUMPRODUCT(AE4:AE6,$K$4:$K$6)</f>
        <v>68.918</v>
      </c>
      <c r="AF8" s="55">
        <f>SUMPRODUCT(AF4:AF6,$K$4:$K$6)</f>
        <v>34.459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Aldeyra Therapeutics Inc: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Pipeline!M7</f>
        <v>0.0</v>
      </c>
      <c r="D4" s="57">
        <f>Pipeline!N7</f>
        <v>0.0</v>
      </c>
      <c r="E4" s="57">
        <f>Pipeline!O7</f>
        <v>0.0</v>
      </c>
      <c r="F4" s="57">
        <f>Pipeline!P7</f>
        <v>93.804</v>
      </c>
      <c r="G4" s="57">
        <f>Pipeline!Q7</f>
        <v>234.51</v>
      </c>
      <c r="H4" s="57">
        <f>Pipeline!R7</f>
        <v>433.126</v>
      </c>
      <c r="I4" s="57">
        <f>Pipeline!S7</f>
        <v>637.246</v>
      </c>
      <c r="J4" s="57">
        <f>Pipeline!T7</f>
        <v>846.8700000000001</v>
      </c>
      <c r="K4" s="57">
        <f>Pipeline!U7</f>
        <v>1009.592</v>
      </c>
      <c r="L4" s="57">
        <f>Pipeline!V7</f>
        <v>1031.608</v>
      </c>
      <c r="M4" s="57">
        <f>Pipeline!W7</f>
        <v>1048.12</v>
      </c>
      <c r="N4" s="57">
        <f>Pipeline!X7</f>
        <v>1048.12</v>
      </c>
      <c r="O4" s="57">
        <f>Pipeline!Y7</f>
        <v>1048.12</v>
      </c>
      <c r="P4" s="57">
        <f>Pipeline!Z7</f>
        <v>1048.12</v>
      </c>
      <c r="Q4" s="57">
        <f>Pipeline!AA7</f>
        <v>1048.12</v>
      </c>
      <c r="R4" s="57">
        <f>Pipeline!AB7</f>
        <v>1048.12</v>
      </c>
      <c r="S4" s="57">
        <f>Pipeline!AC7</f>
        <v>579.1</v>
      </c>
      <c r="T4" s="57">
        <f>Pipeline!AD7</f>
        <v>344.59</v>
      </c>
      <c r="U4" s="57">
        <f>Pipeline!AE7</f>
        <v>172.295</v>
      </c>
      <c r="V4" s="57">
        <f>Pipeline!AF7</f>
        <v>86.1475</v>
      </c>
    </row>
    <row r="5">
      <c r="A5" s="14" t="inlineStr">
        <is>
          <t>Risked contribution</t>
        </is>
      </c>
      <c r="C5" s="57">
        <f>Pipeline!M8</f>
        <v>0.0</v>
      </c>
      <c r="D5" s="57">
        <f>Pipeline!N8</f>
        <v>0.0</v>
      </c>
      <c r="E5" s="57">
        <f>Pipeline!O8</f>
        <v>0.0</v>
      </c>
      <c r="F5" s="57">
        <f>Pipeline!P8</f>
        <v>37.52160000000001</v>
      </c>
      <c r="G5" s="57">
        <f>Pipeline!Q8</f>
        <v>93.804</v>
      </c>
      <c r="H5" s="57">
        <f>Pipeline!R8</f>
        <v>173.25039999999998</v>
      </c>
      <c r="I5" s="57">
        <f>Pipeline!S8</f>
        <v>254.89840000000004</v>
      </c>
      <c r="J5" s="57">
        <f>Pipeline!T8</f>
        <v>338.748</v>
      </c>
      <c r="K5" s="57">
        <f>Pipeline!U8</f>
        <v>403.83680000000004</v>
      </c>
      <c r="L5" s="57">
        <f>Pipeline!V8</f>
        <v>412.6432</v>
      </c>
      <c r="M5" s="57">
        <f>Pipeline!W8</f>
        <v>419.248</v>
      </c>
      <c r="N5" s="57">
        <f>Pipeline!X8</f>
        <v>419.248</v>
      </c>
      <c r="O5" s="57">
        <f>Pipeline!Y8</f>
        <v>419.248</v>
      </c>
      <c r="P5" s="57">
        <f>Pipeline!Z8</f>
        <v>419.248</v>
      </c>
      <c r="Q5" s="57">
        <f>Pipeline!AA8</f>
        <v>419.248</v>
      </c>
      <c r="R5" s="57">
        <f>Pipeline!AB8</f>
        <v>419.248</v>
      </c>
      <c r="S5" s="57">
        <f>Pipeline!AC8</f>
        <v>231.64000000000001</v>
      </c>
      <c r="T5" s="57">
        <f>Pipeline!AD8</f>
        <v>137.836</v>
      </c>
      <c r="U5" s="57">
        <f>Pipeline!AE8</f>
        <v>68.918</v>
      </c>
      <c r="V5" s="57">
        <f>Pipeline!AF8</f>
        <v>34.459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-24.066</v>
      </c>
      <c r="D6" s="23">
        <f>-IF(D3-2026&lt;Assumptions!$B$19,Assumptions!$B$18,Assumptions!$B$18*Assumptions!$B$20*Assumptions!$B$16)</f>
        <v>-24.066</v>
      </c>
      <c r="E6" s="23">
        <f>-IF(E3-2026&lt;Assumptions!$B$19,Assumptions!$B$18,Assumptions!$B$18*Assumptions!$B$20*Assumptions!$B$16)</f>
        <v>-24.066</v>
      </c>
      <c r="F6" s="23">
        <f>-IF(F3-2026&lt;Assumptions!$B$19,Assumptions!$B$18,Assumptions!$B$18*Assumptions!$B$20*Assumptions!$B$16)</f>
        <v>-5.355278488969113</v>
      </c>
      <c r="G6" s="23">
        <f>-IF(G3-2026&lt;Assumptions!$B$19,Assumptions!$B$18,Assumptions!$B$18*Assumptions!$B$20*Assumptions!$B$16)</f>
        <v>-5.355278488969113</v>
      </c>
      <c r="H6" s="23">
        <f>-IF(H3-2026&lt;Assumptions!$B$19,Assumptions!$B$18,Assumptions!$B$18*Assumptions!$B$20*Assumptions!$B$16)</f>
        <v>-5.355278488969113</v>
      </c>
      <c r="I6" s="23">
        <f>-IF(I3-2026&lt;Assumptions!$B$19,Assumptions!$B$18,Assumptions!$B$18*Assumptions!$B$20*Assumptions!$B$16)</f>
        <v>-5.355278488969113</v>
      </c>
      <c r="J6" s="23">
        <f>-IF(J3-2026&lt;Assumptions!$B$19,Assumptions!$B$18,Assumptions!$B$18*Assumptions!$B$20*Assumptions!$B$16)</f>
        <v>-5.355278488969113</v>
      </c>
      <c r="K6" s="23">
        <f>-IF(K3-2026&lt;Assumptions!$B$19,Assumptions!$B$18,Assumptions!$B$18*Assumptions!$B$20*Assumptions!$B$16)</f>
        <v>-5.355278488969113</v>
      </c>
      <c r="L6" s="23">
        <f>-IF(L3-2026&lt;Assumptions!$B$19,Assumptions!$B$18,Assumptions!$B$18*Assumptions!$B$20*Assumptions!$B$16)</f>
        <v>-5.355278488969113</v>
      </c>
      <c r="M6" s="23">
        <f>-IF(M3-2026&lt;Assumptions!$B$19,Assumptions!$B$18,Assumptions!$B$18*Assumptions!$B$20*Assumptions!$B$16)</f>
        <v>-5.355278488969113</v>
      </c>
      <c r="N6" s="23">
        <f>-IF(N3-2026&lt;Assumptions!$B$19,Assumptions!$B$18,Assumptions!$B$18*Assumptions!$B$20*Assumptions!$B$16)</f>
        <v>-5.355278488969113</v>
      </c>
      <c r="O6" s="23">
        <f>-IF(O3-2026&lt;Assumptions!$B$19,Assumptions!$B$18,Assumptions!$B$18*Assumptions!$B$20*Assumptions!$B$16)</f>
        <v>-5.355278488969113</v>
      </c>
      <c r="P6" s="23">
        <f>-IF(P3-2026&lt;Assumptions!$B$19,Assumptions!$B$18,Assumptions!$B$18*Assumptions!$B$20*Assumptions!$B$16)</f>
        <v>-5.355278488969113</v>
      </c>
      <c r="Q6" s="23">
        <f>-IF(Q3-2026&lt;Assumptions!$B$19,Assumptions!$B$18,Assumptions!$B$18*Assumptions!$B$20*Assumptions!$B$16)</f>
        <v>-5.355278488969113</v>
      </c>
      <c r="R6" s="23">
        <f>-IF(R3-2026&lt;Assumptions!$B$19,Assumptions!$B$18,Assumptions!$B$18*Assumptions!$B$20*Assumptions!$B$16)</f>
        <v>-5.355278488969113</v>
      </c>
      <c r="S6" s="23">
        <f>-IF(S3-2026&lt;Assumptions!$B$19,Assumptions!$B$18,Assumptions!$B$18*Assumptions!$B$20*Assumptions!$B$16)</f>
        <v>-5.355278488969113</v>
      </c>
      <c r="T6" s="23">
        <f>-IF(T3-2026&lt;Assumptions!$B$19,Assumptions!$B$18,Assumptions!$B$18*Assumptions!$B$20*Assumptions!$B$16)</f>
        <v>-5.355278488969113</v>
      </c>
      <c r="U6" s="23">
        <f>-IF(U3-2026&lt;Assumptions!$B$19,Assumptions!$B$18,Assumptions!$B$18*Assumptions!$B$20*Assumptions!$B$16)</f>
        <v>-5.355278488969113</v>
      </c>
      <c r="V6" s="23">
        <f>-IF(V3-2026&lt;Assumptions!$B$19,Assumptions!$B$18,Assumptions!$B$18*Assumptions!$B$20*Assumptions!$B$16)</f>
        <v>-5.355278488969113</v>
      </c>
    </row>
    <row r="7">
      <c r="A7" s="14" t="inlineStr">
        <is>
          <t>Pre-tax cash flow</t>
        </is>
      </c>
      <c r="C7" s="23">
        <f>C5+C6</f>
        <v>-24.066</v>
      </c>
      <c r="D7" s="23">
        <f>D5+D6</f>
        <v>-24.066</v>
      </c>
      <c r="E7" s="23">
        <f>E5+E6</f>
        <v>-24.066</v>
      </c>
      <c r="F7" s="23">
        <f>F5+F6</f>
        <v>32.166321511030894</v>
      </c>
      <c r="G7" s="23">
        <f>G5+G6</f>
        <v>88.44872151103088</v>
      </c>
      <c r="H7" s="23">
        <f>H5+H6</f>
        <v>167.89512151103088</v>
      </c>
      <c r="I7" s="23">
        <f>I5+I6</f>
        <v>249.54312151103093</v>
      </c>
      <c r="J7" s="23">
        <f>J5+J6</f>
        <v>333.39272151103086</v>
      </c>
      <c r="K7" s="23">
        <f>K5+K6</f>
        <v>398.4815215110309</v>
      </c>
      <c r="L7" s="23">
        <f>L5+L6</f>
        <v>407.28792151103085</v>
      </c>
      <c r="M7" s="23">
        <f>M5+M6</f>
        <v>413.89272151103086</v>
      </c>
      <c r="N7" s="23">
        <f>N5+N6</f>
        <v>413.89272151103086</v>
      </c>
      <c r="O7" s="23">
        <f>O5+O6</f>
        <v>413.89272151103086</v>
      </c>
      <c r="P7" s="23">
        <f>P5+P6</f>
        <v>413.89272151103086</v>
      </c>
      <c r="Q7" s="23">
        <f>Q5+Q6</f>
        <v>413.89272151103086</v>
      </c>
      <c r="R7" s="23">
        <f>R5+R6</f>
        <v>413.89272151103086</v>
      </c>
      <c r="S7" s="23">
        <f>S5+S6</f>
        <v>226.2847215110309</v>
      </c>
      <c r="T7" s="23">
        <f>T5+T6</f>
        <v>132.4807215110309</v>
      </c>
      <c r="U7" s="23">
        <f>U5+U6</f>
        <v>63.562721511030894</v>
      </c>
      <c r="V7" s="23">
        <f>V5+V6</f>
        <v>29.10372151103089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32.166321511030894</v>
      </c>
      <c r="G8" s="23">
        <f>MIN(F17,MAX(0,G7))</f>
        <v>88.44872151103088</v>
      </c>
      <c r="H8" s="23">
        <f>MIN(G17,MAX(0,H7))</f>
        <v>167.89512151103088</v>
      </c>
      <c r="I8" s="23">
        <f>MIN(H17,MAX(0,I7))</f>
        <v>249.54312151103093</v>
      </c>
      <c r="J8" s="23">
        <f>MIN(I17,MAX(0,J7))</f>
        <v>14.844713955876415</v>
      </c>
      <c r="K8" s="23">
        <f>MIN(J17,MAX(0,K7))</f>
        <v>0.0</v>
      </c>
      <c r="L8" s="23">
        <f>MIN(K17,MAX(0,L7))</f>
        <v>0.0</v>
      </c>
      <c r="M8" s="23">
        <f>MIN(L17,MAX(0,M7))</f>
        <v>0.0</v>
      </c>
      <c r="N8" s="23">
        <f>MIN(M17,MAX(0,N7))</f>
        <v>0.0</v>
      </c>
      <c r="O8" s="23">
        <f>MIN(N17,MAX(0,O7))</f>
        <v>0.0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318.5480075551544</v>
      </c>
      <c r="K9" s="23">
        <f>MAX(0,K7)-K8</f>
        <v>398.4815215110309</v>
      </c>
      <c r="L9" s="23">
        <f>MAX(0,L7)-L8</f>
        <v>407.28792151103085</v>
      </c>
      <c r="M9" s="23">
        <f>MAX(0,M7)-M8</f>
        <v>413.89272151103086</v>
      </c>
      <c r="N9" s="23">
        <f>MAX(0,N7)-N8</f>
        <v>413.89272151103086</v>
      </c>
      <c r="O9" s="23">
        <f>MAX(0,O7)-O8</f>
        <v>413.89272151103086</v>
      </c>
      <c r="P9" s="23">
        <f>MAX(0,P7)-P8</f>
        <v>413.89272151103086</v>
      </c>
      <c r="Q9" s="23">
        <f>MAX(0,Q7)-Q8</f>
        <v>413.89272151103086</v>
      </c>
      <c r="R9" s="23">
        <f>MAX(0,R7)-R8</f>
        <v>413.89272151103086</v>
      </c>
      <c r="S9" s="23">
        <f>MAX(0,S7)-S8</f>
        <v>226.2847215110309</v>
      </c>
      <c r="T9" s="23">
        <f>MAX(0,T7)-T8</f>
        <v>132.4807215110309</v>
      </c>
      <c r="U9" s="23">
        <f>MAX(0,U7)-U8</f>
        <v>63.562721511030894</v>
      </c>
      <c r="V9" s="23">
        <f>MAX(0,V7)-V8</f>
        <v>29.10372151103089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66.89508158658242</v>
      </c>
      <c r="K10" s="23">
        <f>K9*Assumptions!$E$15</f>
        <v>83.68111951731649</v>
      </c>
      <c r="L10" s="23">
        <f>L9*Assumptions!$E$15</f>
        <v>85.53046351731648</v>
      </c>
      <c r="M10" s="23">
        <f>M9*Assumptions!$E$15</f>
        <v>86.91747151731647</v>
      </c>
      <c r="N10" s="23">
        <f>N9*Assumptions!$E$15</f>
        <v>86.91747151731647</v>
      </c>
      <c r="O10" s="23">
        <f>O9*Assumptions!$E$15</f>
        <v>86.91747151731647</v>
      </c>
      <c r="P10" s="23">
        <f>P9*Assumptions!$E$15</f>
        <v>86.91747151731647</v>
      </c>
      <c r="Q10" s="23">
        <f>Q9*Assumptions!$E$15</f>
        <v>86.91747151731647</v>
      </c>
      <c r="R10" s="23">
        <f>R9*Assumptions!$E$15</f>
        <v>86.91747151731647</v>
      </c>
      <c r="S10" s="23">
        <f>S9*Assumptions!$E$15</f>
        <v>47.51979151731649</v>
      </c>
      <c r="T10" s="23">
        <f>T9*Assumptions!$E$15</f>
        <v>27.82095151731649</v>
      </c>
      <c r="U10" s="23">
        <f>U9*Assumptions!$E$15</f>
        <v>13.348171517316487</v>
      </c>
      <c r="V10" s="23">
        <f>V9*Assumptions!$E$15</f>
        <v>6.111781517316487</v>
      </c>
    </row>
    <row r="11">
      <c r="A11" s="24" t="inlineStr">
        <is>
          <t>Free cash flow</t>
        </is>
      </c>
      <c r="C11" s="55">
        <f>C7-C10</f>
        <v>-24.066</v>
      </c>
      <c r="D11" s="55">
        <f>D7-D10</f>
        <v>-24.066</v>
      </c>
      <c r="E11" s="55">
        <f>E7-E10</f>
        <v>-24.066</v>
      </c>
      <c r="F11" s="55">
        <f>F7-F10</f>
        <v>32.166321511030894</v>
      </c>
      <c r="G11" s="55">
        <f>G7-G10</f>
        <v>88.44872151103088</v>
      </c>
      <c r="H11" s="55">
        <f>H7-H10</f>
        <v>167.89512151103088</v>
      </c>
      <c r="I11" s="55">
        <f>I7-I10</f>
        <v>249.54312151103093</v>
      </c>
      <c r="J11" s="55">
        <f>J7-J10</f>
        <v>266.49763992444844</v>
      </c>
      <c r="K11" s="55">
        <f>K7-K10</f>
        <v>314.80040199371444</v>
      </c>
      <c r="L11" s="55">
        <f>L7-L10</f>
        <v>321.75745799371435</v>
      </c>
      <c r="M11" s="55">
        <f>M7-M10</f>
        <v>326.9752499937144</v>
      </c>
      <c r="N11" s="55">
        <f>N7-N10</f>
        <v>326.9752499937144</v>
      </c>
      <c r="O11" s="55">
        <f>O7-O10</f>
        <v>326.9752499937144</v>
      </c>
      <c r="P11" s="55">
        <f>P7-P10</f>
        <v>326.9752499937144</v>
      </c>
      <c r="Q11" s="55">
        <f>Q7-Q10</f>
        <v>326.9752499937144</v>
      </c>
      <c r="R11" s="55">
        <f>R7-R10</f>
        <v>326.9752499937144</v>
      </c>
      <c r="S11" s="55">
        <f>S7-S10</f>
        <v>178.76492999371442</v>
      </c>
      <c r="T11" s="55">
        <f>T7-T10</f>
        <v>104.65976999371442</v>
      </c>
      <c r="U11" s="55">
        <f>U7-U10</f>
        <v>50.21454999371441</v>
      </c>
      <c r="V11" s="55">
        <f>V7-V10</f>
        <v>22.991939993714404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-11.790038063386836</v>
      </c>
      <c r="D16" s="55">
        <f>D11*D15</f>
        <v>-21.477518203673796</v>
      </c>
      <c r="E16" s="55">
        <f>E11*E15</f>
        <v>-19.176355538994457</v>
      </c>
      <c r="F16" s="55">
        <f>F11*F15</f>
        <v>22.884716496789107</v>
      </c>
      <c r="G16" s="55">
        <f>G11*G15</f>
        <v>56.18464940300478</v>
      </c>
      <c r="H16" s="55">
        <f>H11*H15</f>
        <v>95.22394503015293</v>
      </c>
      <c r="I16" s="55">
        <f>I11*I15</f>
        <v>126.3675813952464</v>
      </c>
      <c r="J16" s="55">
        <f>J11*J15</f>
        <v>120.49399805158791</v>
      </c>
      <c r="K16" s="55">
        <f>K11*K15</f>
        <v>127.0835397428152</v>
      </c>
      <c r="L16" s="55">
        <f>L11*L15</f>
        <v>115.9750649071253</v>
      </c>
      <c r="M16" s="55">
        <f>M11*M15</f>
        <v>105.22837405202026</v>
      </c>
      <c r="N16" s="55">
        <f>N11*N15</f>
        <v>93.9539054035895</v>
      </c>
      <c r="O16" s="55">
        <f>O11*O15</f>
        <v>83.88741553891919</v>
      </c>
      <c r="P16" s="55">
        <f>P11*P15</f>
        <v>74.89947815974926</v>
      </c>
      <c r="Q16" s="55">
        <f>Q11*Q15</f>
        <v>66.8745340712047</v>
      </c>
      <c r="R16" s="55">
        <f>R11*R15</f>
        <v>59.70940542071848</v>
      </c>
      <c r="S16" s="55">
        <f>S11*S15</f>
        <v>29.146886281929817</v>
      </c>
      <c r="T16" s="55">
        <f>T11*T15</f>
        <v>15.23602219649462</v>
      </c>
      <c r="U16" s="55">
        <f>U11*U15</f>
        <v>6.526846110984613</v>
      </c>
      <c r="V16" s="55">
        <f>V11*V15</f>
        <v>2.6682799491444844</v>
      </c>
    </row>
    <row r="17">
      <c r="A17" s="14" t="inlineStr">
        <is>
          <t>Tax-loss carryforward, end of year</t>
        </is>
      </c>
      <c r="C17" s="23">
        <f>Assumptions!$B$21-C8+MAX(0,-C7)</f>
        <v>504.76599999999996</v>
      </c>
      <c r="D17" s="23">
        <f>C17-D8+MAX(0,-D7)</f>
        <v>528.832</v>
      </c>
      <c r="E17" s="23">
        <f>D17-E8+MAX(0,-E7)</f>
        <v>552.898</v>
      </c>
      <c r="F17" s="23">
        <f>E17-F8+MAX(0,-F7)</f>
        <v>520.7316784889691</v>
      </c>
      <c r="G17" s="23">
        <f>F17-G8+MAX(0,-G7)</f>
        <v>432.2829569779382</v>
      </c>
      <c r="H17" s="23">
        <f>G17-H8+MAX(0,-H7)</f>
        <v>264.38783546690735</v>
      </c>
      <c r="I17" s="23">
        <f>H17-I8+MAX(0,-I7)</f>
        <v>14.844713955876415</v>
      </c>
      <c r="J17" s="23">
        <f>I17-J8+MAX(0,-J7)</f>
        <v>0.0</v>
      </c>
      <c r="K17" s="23">
        <f>J17-K8+MAX(0,-K7)</f>
        <v>0.0</v>
      </c>
      <c r="L17" s="23">
        <f>K17-L8+MAX(0,-L7)</f>
        <v>0.0</v>
      </c>
      <c r="M17" s="23">
        <f>L17-M8+MAX(0,-M7)</f>
        <v>0.0</v>
      </c>
      <c r="N17" s="23">
        <f>M17-N8+MAX(0,-N7)</f>
        <v>0.0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1470.6295310007488</v>
      </c>
    </row>
    <row r="20">
      <c r="A20" s="14" t="inlineStr">
        <is>
          <t>PV of corporate burn</t>
        </is>
      </c>
      <c r="B20" s="23">
        <f>SUMPRODUCT(C6:V6,C15:V15)</f>
        <v>-82.82488457360124</v>
      </c>
    </row>
    <row r="21">
      <c r="A21" s="14" t="inlineStr">
        <is>
          <t>PV of taxes</t>
        </is>
      </c>
      <c r="B21" s="23">
        <f>-SUMPRODUCT(C10:V10,C15:V15)</f>
        <v>-237.90391602172576</v>
      </c>
    </row>
    <row r="22">
      <c r="A22" s="24" t="inlineStr">
        <is>
          <t>Pipeline rNPV (operations)</t>
        </is>
      </c>
      <c r="B22" s="54">
        <f>SUM(C16:V16)</f>
        <v>1149.9007304054214</v>
      </c>
    </row>
    <row r="23">
      <c r="A23" s="14" t="inlineStr">
        <is>
          <t>Cash &amp; investments</t>
        </is>
      </c>
      <c r="B23" s="57">
        <f>Main!C7</f>
        <v>45.089786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1194.9905164054214</v>
      </c>
    </row>
    <row r="26">
      <c r="A26" s="14" t="inlineStr">
        <is>
          <t>Shares (mm)</t>
        </is>
      </c>
      <c r="B26" s="57">
        <f>Main!C4</f>
        <v>60.326421</v>
      </c>
    </row>
    <row r="27">
      <c r="A27" s="24" t="inlineStr">
        <is>
          <t>rNPV / share</t>
        </is>
      </c>
      <c r="B27" s="60">
        <f>B25/B26</f>
        <v>19.80874211658307</v>
      </c>
    </row>
    <row r="28">
      <c r="A28" s="14" t="inlineStr">
        <is>
          <t>Price</t>
        </is>
      </c>
      <c r="B28" s="61">
        <f>Main!C3</f>
        <v>0.6651</v>
      </c>
    </row>
    <row r="29">
      <c r="A29" s="14" t="inlineStr">
        <is>
          <t>Upside</t>
        </is>
      </c>
      <c r="B29" s="62">
        <f>B27/B28-1</f>
        <v>28.78310346802446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2026-10-21T06:29:31Z</dcterms:modified>
  <cp:lastModifiedBy>Wang, Eric</cp:lastModifiedBy>
</cp:coreProperties>
</file>