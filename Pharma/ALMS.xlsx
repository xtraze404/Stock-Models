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Alumis Inc.</t>
        </is>
      </c>
      <c r="C2" s="10" t="n"/>
    </row>
    <row r="3">
      <c r="B3" t="inlineStr">
        <is>
          <t>Price</t>
        </is>
      </c>
      <c r="C3" s="11">
        <f>INDEX([1]Pharma!$F$1:$F$1000,MATCH("ALMS",[1]Pharma!$B$1:$B$1000,0))</f>
        <v>6.7</v>
      </c>
      <c r="F3" s="1" t="n"/>
    </row>
    <row r="4">
      <c r="B4" t="inlineStr">
        <is>
          <t>Shares</t>
        </is>
      </c>
      <c r="C4" s="21" t="n">
        <v>129.435239</v>
      </c>
      <c r="F4" s="1" t="n"/>
    </row>
    <row r="5">
      <c r="B5" t="inlineStr">
        <is>
          <t>Market Cap.</t>
        </is>
      </c>
      <c r="C5" s="13">
        <f>C3*C4</f>
        <v>867.2161013</v>
      </c>
      <c r="F5" s="1" t="n"/>
    </row>
    <row r="6"/>
    <row r="7">
      <c r="B7" t="inlineStr">
        <is>
          <t>Cash</t>
        </is>
      </c>
      <c r="C7" s="21">
        <f>63.706+438.587</f>
        <v>502.293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364.9231013</v>
      </c>
    </row>
    <row r="10"/>
    <row r="11">
      <c r="B11" s="14" t="inlineStr">
        <is>
          <t>Net Cash / Share</t>
        </is>
      </c>
      <c r="C11" s="11">
        <f>(C7-C8)/C4</f>
        <v>3.880651079880959</v>
      </c>
    </row>
    <row r="12">
      <c r="B12" s="14" t="inlineStr">
        <is>
          <t>Upside</t>
        </is>
      </c>
      <c r="C12" s="15">
        <f>IFERROR(C11/C3-1,"")</f>
        <v>-0.420798346286424</v>
      </c>
    </row>
    <row r="13">
      <c r="B13" s="14" t="inlineStr">
        <is>
          <t>Cash / Share</t>
        </is>
      </c>
      <c r="C13" s="11">
        <f>IFERROR((C7-C8)/C4,"")</f>
        <v>3.880651079880959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-351.398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1.4294133717323376</v>
      </c>
    </row>
    <row r="19">
      <c r="B19" s="14" t="inlineStr">
        <is>
          <t>Implied Pipeline Value</t>
        </is>
      </c>
      <c r="C19" s="13">
        <f>C9</f>
        <v>364.9231013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24.05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24.05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137.676</v>
      </c>
      <c r="C5" s="23" t="n">
        <v>265.554</v>
      </c>
      <c r="D5" s="23" t="n">
        <v>385.998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20.498</v>
      </c>
      <c r="C6" s="23" t="n">
        <v>35.2</v>
      </c>
      <c r="D6" s="23" t="n">
        <v>91.85599999999999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158.17399999999998</v>
      </c>
      <c r="C7" s="23">
        <f>SUM(C5:C6)</f>
        <v>300.75399999999996</v>
      </c>
      <c r="D7" s="23">
        <f>SUM(D5:D6)</f>
        <v>477.854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-158.17399999999998</v>
      </c>
      <c r="C8" s="23">
        <f>C4-C7</f>
        <v>-300.75399999999996</v>
      </c>
      <c r="D8" s="23">
        <f>D4-D7</f>
        <v>-453.804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3.181</v>
      </c>
      <c r="C9" s="23" t="n">
        <v>6.521</v>
      </c>
      <c r="D9" s="23" t="n">
        <v>201.918</v>
      </c>
    </row>
    <row r="10">
      <c r="A10" s="2" t="inlineStr">
        <is>
          <t>Pretax</t>
        </is>
      </c>
      <c r="B10" s="23">
        <f>B8+B9</f>
        <v>-154.99299999999997</v>
      </c>
      <c r="C10" s="23">
        <f>C8+C9</f>
        <v>-294.23299999999995</v>
      </c>
      <c r="D10" s="23">
        <f>D8+D9</f>
        <v>-251.88599999999997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-8.561</v>
      </c>
    </row>
    <row r="12">
      <c r="A12" s="2" t="inlineStr">
        <is>
          <t>Net Income</t>
        </is>
      </c>
      <c r="B12" s="23" t="n">
        <v>-154.993</v>
      </c>
      <c r="C12" s="23" t="n">
        <v>-294.233</v>
      </c>
      <c r="D12" s="23" t="n">
        <v>-243.325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-1.8483012747892245</v>
      </c>
      <c r="C13" s="11">
        <f>IFERROR(C12/C14,0)</f>
        <v>-3.4605061981041096</v>
      </c>
      <c r="D13" s="11">
        <f>IFERROR(D12/D14,0)</f>
        <v>-2.8616370692696695</v>
      </c>
    </row>
    <row r="14">
      <c r="A14" s="2" t="inlineStr">
        <is>
          <t>Shares</t>
        </is>
      </c>
      <c r="B14" s="23" t="n">
        <v>83.857</v>
      </c>
      <c r="C14" s="23" t="n">
        <v>85.026</v>
      </c>
      <c r="D14" s="23" t="n">
        <v>85.03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-18.86918918918919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2026-10-21T01:04:57Z</dcterms:modified>
  <cp:lastModifiedBy>Wang, Eric</cp:lastModifiedBy>
</cp:coreProperties>
</file>