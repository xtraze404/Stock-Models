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Alumis Inc.</t>
        </is>
      </c>
      <c r="C2" s="10" t="n"/>
    </row>
    <row r="3">
      <c r="B3" t="inlineStr">
        <is>
          <t>Price</t>
        </is>
      </c>
      <c r="C3" s="11">
        <f>INDEX([1]Pharma!$F$1:$F$1000,MATCH("ALMS",[1]Pharma!$B$1:$B$1000,0))</f>
        <v>6.7</v>
      </c>
      <c r="F3" s="1" t="n"/>
    </row>
    <row r="4">
      <c r="B4" t="inlineStr">
        <is>
          <t>Shares</t>
        </is>
      </c>
      <c r="C4" s="21" t="n">
        <v>129.435239</v>
      </c>
      <c r="F4" s="1" t="n"/>
    </row>
    <row r="5">
      <c r="B5" t="inlineStr">
        <is>
          <t>Market Cap.</t>
        </is>
      </c>
      <c r="C5" s="13">
        <f>C3*C4</f>
        <v>867.2161013</v>
      </c>
      <c r="F5" s="1" t="n"/>
    </row>
    <row r="6"/>
    <row r="7">
      <c r="B7" t="inlineStr">
        <is>
          <t>Cash</t>
        </is>
      </c>
      <c r="C7" s="21">
        <f>63.706+438.587</f>
        <v>502.293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364.9231013</v>
      </c>
    </row>
    <row r="10"/>
    <row r="11">
      <c r="B11" s="14" t="inlineStr">
        <is>
          <t>rNPV / Share</t>
        </is>
      </c>
      <c r="C11" s="11">
        <f>NPV!B27</f>
        <v>8.130542748535733</v>
      </c>
    </row>
    <row r="12">
      <c r="B12" s="14" t="inlineStr">
        <is>
          <t>Upside</t>
        </is>
      </c>
      <c r="C12" s="15">
        <f>IFERROR(C11/C3-1,"")</f>
        <v>0.21351384306503474</v>
      </c>
    </row>
    <row r="13">
      <c r="B13" s="14" t="inlineStr">
        <is>
          <t>Cash / Share</t>
        </is>
      </c>
      <c r="C13" s="11">
        <f>IFERROR((C7-C8)/C4,"")</f>
        <v>3.880651079880959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-351.398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1.4294133717323376</v>
      </c>
    </row>
    <row r="19">
      <c r="B19" s="14" t="inlineStr">
        <is>
          <t>Implied Pipeline Value</t>
        </is>
      </c>
      <c r="C19" s="13">
        <f>C9</f>
        <v>364.9231013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24.05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24.05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137.676</v>
      </c>
      <c r="C5" s="23" t="n">
        <v>265.554</v>
      </c>
      <c r="D5" s="23" t="n">
        <v>385.998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20.498</v>
      </c>
      <c r="C6" s="23" t="n">
        <v>35.2</v>
      </c>
      <c r="D6" s="23" t="n">
        <v>91.85599999999999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158.17399999999998</v>
      </c>
      <c r="C7" s="23">
        <f>SUM(C5:C6)</f>
        <v>300.75399999999996</v>
      </c>
      <c r="D7" s="23">
        <f>SUM(D5:D6)</f>
        <v>477.854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-158.17399999999998</v>
      </c>
      <c r="C8" s="23">
        <f>C4-C7</f>
        <v>-300.75399999999996</v>
      </c>
      <c r="D8" s="23">
        <f>D4-D7</f>
        <v>-453.804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3.181</v>
      </c>
      <c r="C9" s="23" t="n">
        <v>6.521</v>
      </c>
      <c r="D9" s="23" t="n">
        <v>201.918</v>
      </c>
    </row>
    <row r="10">
      <c r="A10" s="2" t="inlineStr">
        <is>
          <t>Pretax</t>
        </is>
      </c>
      <c r="B10" s="23">
        <f>B8+B9</f>
        <v>-154.99299999999997</v>
      </c>
      <c r="C10" s="23">
        <f>C8+C9</f>
        <v>-294.23299999999995</v>
      </c>
      <c r="D10" s="23">
        <f>D8+D9</f>
        <v>-251.88599999999997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-8.561</v>
      </c>
    </row>
    <row r="12">
      <c r="A12" s="2" t="inlineStr">
        <is>
          <t>Net Income</t>
        </is>
      </c>
      <c r="B12" s="23" t="n">
        <v>-154.993</v>
      </c>
      <c r="C12" s="23" t="n">
        <v>-294.233</v>
      </c>
      <c r="D12" s="23" t="n">
        <v>-243.325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-1.8483012747892245</v>
      </c>
      <c r="C13" s="11">
        <f>IFERROR(C12/C14,0)</f>
        <v>-3.4605061981041096</v>
      </c>
      <c r="D13" s="11">
        <f>IFERROR(D12/D14,0)</f>
        <v>-2.8616370692696695</v>
      </c>
    </row>
    <row r="14">
      <c r="A14" s="2" t="inlineStr">
        <is>
          <t>Shares</t>
        </is>
      </c>
      <c r="B14" s="23" t="n">
        <v>83.857</v>
      </c>
      <c r="C14" s="23" t="n">
        <v>85.026</v>
      </c>
      <c r="D14" s="23" t="n">
        <v>85.03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-18.86918918918919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Alumis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0.6145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459.001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692.6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550.0857438564395</v>
      </c>
      <c r="C29" s="42">
        <f>NPV!B25</f>
        <v>1052.3787438564395</v>
      </c>
      <c r="D29" s="43">
        <f>NPV!B27</f>
        <v>8.130542748535733</v>
      </c>
      <c r="E29" s="44">
        <f>NPV!B29</f>
        <v>0.21351384306503474</v>
      </c>
    </row>
    <row r="30">
      <c r="A30" s="45" t="n">
        <v>1</v>
      </c>
      <c r="B30" s="46">
        <f t="dataTable" ref="B30:E32" r1="B4"/>
        <v>-418.3752763552052</v>
      </c>
      <c r="C30" s="46">
        <v>83.91772364479482</v>
      </c>
      <c r="D30" s="47">
        <v>0.6483375338364757</v>
      </c>
      <c r="E30" s="48">
        <v>-0.9032332039050036</v>
      </c>
    </row>
    <row r="31">
      <c r="A31" s="45" t="n">
        <v>2</v>
      </c>
      <c r="B31" s="46">
        <v>550.0857438564395</v>
      </c>
      <c r="C31" s="46">
        <v>1052.3787438564395</v>
      </c>
      <c r="D31" s="47">
        <v>8.130542748535733</v>
      </c>
      <c r="E31" s="48">
        <v>0.21351384306503474</v>
      </c>
    </row>
    <row r="32">
      <c r="A32" s="45" t="n">
        <v>3</v>
      </c>
      <c r="B32" s="46">
        <v>2032.450827259268</v>
      </c>
      <c r="C32" s="46">
        <v>2534.743827259268</v>
      </c>
      <c r="D32" s="47">
        <v>19.583104623148788</v>
      </c>
      <c r="E32" s="48">
        <v>1.922851436290864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8.130542748535733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-0.9647164412093044</v>
      </c>
      <c r="C37" s="47">
        <v>1.5264659236993279</v>
      </c>
      <c r="D37" s="47">
        <v>3.732379634126641</v>
      </c>
      <c r="E37" s="47">
        <v>7.983059081288454</v>
      </c>
      <c r="F37" s="47">
        <v>12.142507170677021</v>
      </c>
    </row>
    <row r="38">
      <c r="A38" s="50" t="n">
        <v>0.8</v>
      </c>
      <c r="B38" s="47">
        <v>-0.0039270031079198485</v>
      </c>
      <c r="C38" s="47">
        <v>3.0840174504841644</v>
      </c>
      <c r="D38" s="47">
        <v>5.950823404896754</v>
      </c>
      <c r="E38" s="47">
        <v>11.526926358616445</v>
      </c>
      <c r="F38" s="47">
        <v>17.02052916410422</v>
      </c>
    </row>
    <row r="39">
      <c r="A39" s="50" t="n">
        <v>1</v>
      </c>
      <c r="B39" s="47">
        <v>0.9399162288456842</v>
      </c>
      <c r="C39" s="47">
        <v>4.60088108627048</v>
      </c>
      <c r="D39" s="47">
        <v>8.130542748535733</v>
      </c>
      <c r="E39" s="47">
        <v>15.035262009918247</v>
      </c>
      <c r="F39" s="47">
        <v>21.87229898907442</v>
      </c>
    </row>
    <row r="40">
      <c r="A40" s="50" t="n">
        <v>1.2</v>
      </c>
      <c r="B40" s="47">
        <v>1.7698639115574928</v>
      </c>
      <c r="C40" s="47">
        <v>6.094752266684751</v>
      </c>
      <c r="D40" s="47">
        <v>10.285481532677966</v>
      </c>
      <c r="E40" s="47">
        <v>18.54062617382281</v>
      </c>
      <c r="F40" s="47">
        <v>26.712537926108407</v>
      </c>
    </row>
    <row r="41">
      <c r="A41" s="50" t="n">
        <v>1.4</v>
      </c>
      <c r="B41" s="47">
        <v>2.5836973986676384</v>
      </c>
      <c r="C41" s="47">
        <v>7.571622272894436</v>
      </c>
      <c r="D41" s="47">
        <v>12.43508141440176</v>
      </c>
      <c r="E41" s="47">
        <v>22.021930901071364</v>
      </c>
      <c r="F41" s="47">
        <v>31.55277686314239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Alumis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Psoriasis</t>
        </is>
      </c>
      <c r="C4" s="14" t="inlineStr">
        <is>
          <t>Envudeucitinib, Apremilast</t>
        </is>
      </c>
      <c r="D4" s="14" t="inlineStr">
        <is>
          <t>Phase 3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2500</v>
      </c>
      <c r="H4" s="27" t="n">
        <v>0.6145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2203.6778102694498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153.625</v>
      </c>
      <c r="Q4" s="23">
        <f>IF(Q$3&lt;$I4,0,$G4*Assumptions!$E$11*INDEX(Assumptions!$B$24:$G$24,MIN(6,Q$3-$I4+1))*IF(Q$3&gt;$J4,(1-Assumptions!$B$26)^(Q$3-$J4),1)*IF($H4&gt;=1,1,MIN(0.97,$H4*Assumptions!$E$12)))</f>
        <v>384.06250000000006</v>
      </c>
      <c r="R4" s="23">
        <f>IF(R$3&lt;$I4,0,$G4*Assumptions!$E$11*INDEX(Assumptions!$B$24:$G$24,MIN(6,R$3-$I4+1))*IF(R$3&gt;$J4,(1-Assumptions!$B$26)^(R$3-$J4),1)*IF($H4&gt;=1,1,MIN(0.97,$H4*Assumptions!$E$12)))</f>
        <v>691.3125</v>
      </c>
      <c r="S4" s="23">
        <f>IF(S$3&lt;$I4,0,$G4*Assumptions!$E$11*INDEX(Assumptions!$B$24:$G$24,MIN(6,S$3-$I4+1))*IF(S$3&gt;$J4,(1-Assumptions!$B$26)^(S$3-$J4),1)*IF($H4&gt;=1,1,MIN(0.97,$H4*Assumptions!$E$12)))</f>
        <v>998.5625000000001</v>
      </c>
      <c r="T4" s="23">
        <f>IF(T$3&lt;$I4,0,$G4*Assumptions!$E$11*INDEX(Assumptions!$B$24:$G$24,MIN(6,T$3-$I4+1))*IF(T$3&gt;$J4,(1-Assumptions!$B$26)^(T$3-$J4),1)*IF($H4&gt;=1,1,MIN(0.97,$H4*Assumptions!$E$12)))</f>
        <v>1305.8125</v>
      </c>
      <c r="U4" s="23">
        <f>IF(U$3&lt;$I4,0,$G4*Assumptions!$E$11*INDEX(Assumptions!$B$24:$G$24,MIN(6,U$3-$I4+1))*IF(U$3&gt;$J4,(1-Assumptions!$B$26)^(U$3-$J4),1)*IF($H4&gt;=1,1,MIN(0.97,$H4*Assumptions!$E$12)))</f>
        <v>1536.2500000000002</v>
      </c>
      <c r="V4" s="23">
        <f>IF(V$3&lt;$I4,0,$G4*Assumptions!$E$11*INDEX(Assumptions!$B$24:$G$24,MIN(6,V$3-$I4+1))*IF(V$3&gt;$J4,(1-Assumptions!$B$26)^(V$3-$J4),1)*IF($H4&gt;=1,1,MIN(0.97,$H4*Assumptions!$E$12)))</f>
        <v>1536.2500000000002</v>
      </c>
      <c r="W4" s="23">
        <f>IF(W$3&lt;$I4,0,$G4*Assumptions!$E$11*INDEX(Assumptions!$B$24:$G$24,MIN(6,W$3-$I4+1))*IF(W$3&gt;$J4,(1-Assumptions!$B$26)^(W$3-$J4),1)*IF($H4&gt;=1,1,MIN(0.97,$H4*Assumptions!$E$12)))</f>
        <v>1536.2500000000002</v>
      </c>
      <c r="X4" s="23">
        <f>IF(X$3&lt;$I4,0,$G4*Assumptions!$E$11*INDEX(Assumptions!$B$24:$G$24,MIN(6,X$3-$I4+1))*IF(X$3&gt;$J4,(1-Assumptions!$B$26)^(X$3-$J4),1)*IF($H4&gt;=1,1,MIN(0.97,$H4*Assumptions!$E$12)))</f>
        <v>1536.2500000000002</v>
      </c>
      <c r="Y4" s="23">
        <f>IF(Y$3&lt;$I4,0,$G4*Assumptions!$E$11*INDEX(Assumptions!$B$24:$G$24,MIN(6,Y$3-$I4+1))*IF(Y$3&gt;$J4,(1-Assumptions!$B$26)^(Y$3-$J4),1)*IF($H4&gt;=1,1,MIN(0.97,$H4*Assumptions!$E$12)))</f>
        <v>1536.2500000000002</v>
      </c>
      <c r="Z4" s="23">
        <f>IF(Z$3&lt;$I4,0,$G4*Assumptions!$E$11*INDEX(Assumptions!$B$24:$G$24,MIN(6,Z$3-$I4+1))*IF(Z$3&gt;$J4,(1-Assumptions!$B$26)^(Z$3-$J4),1)*IF($H4&gt;=1,1,MIN(0.97,$H4*Assumptions!$E$12)))</f>
        <v>1536.2500000000002</v>
      </c>
      <c r="AA4" s="23">
        <f>IF(AA$3&lt;$I4,0,$G4*Assumptions!$E$11*INDEX(Assumptions!$B$24:$G$24,MIN(6,AA$3-$I4+1))*IF(AA$3&gt;$J4,(1-Assumptions!$B$26)^(AA$3-$J4),1)*IF($H4&gt;=1,1,MIN(0.97,$H4*Assumptions!$E$12)))</f>
        <v>1536.2500000000002</v>
      </c>
      <c r="AB4" s="23">
        <f>IF(AB$3&lt;$I4,0,$G4*Assumptions!$E$11*INDEX(Assumptions!$B$24:$G$24,MIN(6,AB$3-$I4+1))*IF(AB$3&gt;$J4,(1-Assumptions!$B$26)^(AB$3-$J4),1)*IF($H4&gt;=1,1,MIN(0.97,$H4*Assumptions!$E$12)))</f>
        <v>1536.2500000000002</v>
      </c>
      <c r="AC4" s="23">
        <f>IF(AC$3&lt;$I4,0,$G4*Assumptions!$E$11*INDEX(Assumptions!$B$24:$G$24,MIN(6,AC$3-$I4+1))*IF(AC$3&gt;$J4,(1-Assumptions!$B$26)^(AC$3-$J4),1)*IF($H4&gt;=1,1,MIN(0.97,$H4*Assumptions!$E$12)))</f>
        <v>768.1250000000001</v>
      </c>
      <c r="AD4" s="23">
        <f>IF(AD$3&lt;$I4,0,$G4*Assumptions!$E$11*INDEX(Assumptions!$B$24:$G$24,MIN(6,AD$3-$I4+1))*IF(AD$3&gt;$J4,(1-Assumptions!$B$26)^(AD$3-$J4),1)*IF($H4&gt;=1,1,MIN(0.97,$H4*Assumptions!$E$12)))</f>
        <v>384.06250000000006</v>
      </c>
      <c r="AE4" s="23">
        <f>IF(AE$3&lt;$I4,0,$G4*Assumptions!$E$11*INDEX(Assumptions!$B$24:$G$24,MIN(6,AE$3-$I4+1))*IF(AE$3&gt;$J4,(1-Assumptions!$B$26)^(AE$3-$J4),1)*IF($H4&gt;=1,1,MIN(0.97,$H4*Assumptions!$E$12)))</f>
        <v>192.03125000000003</v>
      </c>
      <c r="AF4" s="23">
        <f>IF(AF$3&lt;$I4,0,$G4*Assumptions!$E$11*INDEX(Assumptions!$B$24:$G$24,MIN(6,AF$3-$I4+1))*IF(AF$3&gt;$J4,(1-Assumptions!$B$26)^(AF$3-$J4),1)*IF($H4&gt;=1,1,MIN(0.97,$H4*Assumptions!$E$12)))</f>
        <v>96.01562500000001</v>
      </c>
      <c r="AG4" s="35">
        <f>IF(F4="Owned",1-IF(H4&gt;=1,1,MIN(0.97,H4*Assumptions!$E$12)),1)</f>
        <v>0.38549999999999995</v>
      </c>
    </row>
    <row r="5">
      <c r="B5" s="24" t="inlineStr">
        <is>
          <t>Risked revenue</t>
        </is>
      </c>
      <c r="L5" s="54">
        <f>SUM(L4:L4)</f>
        <v>2203.6778102694498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153.625</v>
      </c>
      <c r="Q5" s="54">
        <f>SUM(Q4:Q4)</f>
        <v>384.06250000000006</v>
      </c>
      <c r="R5" s="54">
        <f>SUM(R4:R4)</f>
        <v>691.3125</v>
      </c>
      <c r="S5" s="54">
        <f>SUM(S4:S4)</f>
        <v>998.5625000000001</v>
      </c>
      <c r="T5" s="54">
        <f>SUM(T4:T4)</f>
        <v>1305.8125</v>
      </c>
      <c r="U5" s="54">
        <f>SUM(U4:U4)</f>
        <v>1536.2500000000002</v>
      </c>
      <c r="V5" s="54">
        <f>SUM(V4:V4)</f>
        <v>1536.2500000000002</v>
      </c>
      <c r="W5" s="54">
        <f>SUM(W4:W4)</f>
        <v>1536.2500000000002</v>
      </c>
      <c r="X5" s="54">
        <f>SUM(X4:X4)</f>
        <v>1536.2500000000002</v>
      </c>
      <c r="Y5" s="54">
        <f>SUM(Y4:Y4)</f>
        <v>1536.2500000000002</v>
      </c>
      <c r="Z5" s="54">
        <f>SUM(Z4:Z4)</f>
        <v>1536.2500000000002</v>
      </c>
      <c r="AA5" s="54">
        <f>SUM(AA4:AA4)</f>
        <v>1536.2500000000002</v>
      </c>
      <c r="AB5" s="54">
        <f>SUM(AB4:AB4)</f>
        <v>1536.2500000000002</v>
      </c>
      <c r="AC5" s="54">
        <f>SUM(AC4:AC4)</f>
        <v>768.1250000000001</v>
      </c>
      <c r="AD5" s="54">
        <f>SUM(AD4:AD4)</f>
        <v>384.06250000000006</v>
      </c>
      <c r="AE5" s="54">
        <f>SUM(AE4:AE4)</f>
        <v>192.03125000000003</v>
      </c>
      <c r="AF5" s="54">
        <f>SUM(AF4:AF4)</f>
        <v>96.01562500000001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61.45</v>
      </c>
      <c r="Q6" s="55">
        <f>SUMPRODUCT(Q4:Q4,$K$4:$K$4)</f>
        <v>153.62500000000003</v>
      </c>
      <c r="R6" s="55">
        <f>SUMPRODUCT(R4:R4,$K$4:$K$4)</f>
        <v>276.52500000000003</v>
      </c>
      <c r="S6" s="55">
        <f>SUMPRODUCT(S4:S4,$K$4:$K$4)</f>
        <v>399.42500000000007</v>
      </c>
      <c r="T6" s="55">
        <f>SUMPRODUCT(T4:T4,$K$4:$K$4)</f>
        <v>522.325</v>
      </c>
      <c r="U6" s="55">
        <f>SUMPRODUCT(U4:U4,$K$4:$K$4)</f>
        <v>614.5000000000001</v>
      </c>
      <c r="V6" s="55">
        <f>SUMPRODUCT(V4:V4,$K$4:$K$4)</f>
        <v>614.5000000000001</v>
      </c>
      <c r="W6" s="55">
        <f>SUMPRODUCT(W4:W4,$K$4:$K$4)</f>
        <v>614.5000000000001</v>
      </c>
      <c r="X6" s="55">
        <f>SUMPRODUCT(X4:X4,$K$4:$K$4)</f>
        <v>614.5000000000001</v>
      </c>
      <c r="Y6" s="55">
        <f>SUMPRODUCT(Y4:Y4,$K$4:$K$4)</f>
        <v>614.5000000000001</v>
      </c>
      <c r="Z6" s="55">
        <f>SUMPRODUCT(Z4:Z4,$K$4:$K$4)</f>
        <v>614.5000000000001</v>
      </c>
      <c r="AA6" s="55">
        <f>SUMPRODUCT(AA4:AA4,$K$4:$K$4)</f>
        <v>614.5000000000001</v>
      </c>
      <c r="AB6" s="55">
        <f>SUMPRODUCT(AB4:AB4,$K$4:$K$4)</f>
        <v>614.5000000000001</v>
      </c>
      <c r="AC6" s="55">
        <f>SUMPRODUCT(AC4:AC4,$K$4:$K$4)</f>
        <v>307.25000000000006</v>
      </c>
      <c r="AD6" s="55">
        <f>SUMPRODUCT(AD4:AD4,$K$4:$K$4)</f>
        <v>153.62500000000003</v>
      </c>
      <c r="AE6" s="55">
        <f>SUMPRODUCT(AE4:AE4,$K$4:$K$4)</f>
        <v>76.81250000000001</v>
      </c>
      <c r="AF6" s="55">
        <f>SUMPRODUCT(AF4:AF4,$K$4:$K$4)</f>
        <v>38.40625000000001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Alumis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153.625</v>
      </c>
      <c r="G4" s="57">
        <f>Pipeline!Q5</f>
        <v>384.06250000000006</v>
      </c>
      <c r="H4" s="57">
        <f>Pipeline!R5</f>
        <v>691.3125</v>
      </c>
      <c r="I4" s="57">
        <f>Pipeline!S5</f>
        <v>998.5625000000001</v>
      </c>
      <c r="J4" s="57">
        <f>Pipeline!T5</f>
        <v>1305.8125</v>
      </c>
      <c r="K4" s="57">
        <f>Pipeline!U5</f>
        <v>1536.2500000000002</v>
      </c>
      <c r="L4" s="57">
        <f>Pipeline!V5</f>
        <v>1536.2500000000002</v>
      </c>
      <c r="M4" s="57">
        <f>Pipeline!W5</f>
        <v>1536.2500000000002</v>
      </c>
      <c r="N4" s="57">
        <f>Pipeline!X5</f>
        <v>1536.2500000000002</v>
      </c>
      <c r="O4" s="57">
        <f>Pipeline!Y5</f>
        <v>1536.2500000000002</v>
      </c>
      <c r="P4" s="57">
        <f>Pipeline!Z5</f>
        <v>1536.2500000000002</v>
      </c>
      <c r="Q4" s="57">
        <f>Pipeline!AA5</f>
        <v>1536.2500000000002</v>
      </c>
      <c r="R4" s="57">
        <f>Pipeline!AB5</f>
        <v>1536.2500000000002</v>
      </c>
      <c r="S4" s="57">
        <f>Pipeline!AC5</f>
        <v>768.1250000000001</v>
      </c>
      <c r="T4" s="57">
        <f>Pipeline!AD5</f>
        <v>384.06250000000006</v>
      </c>
      <c r="U4" s="57">
        <f>Pipeline!AE5</f>
        <v>192.03125000000003</v>
      </c>
      <c r="V4" s="57">
        <f>Pipeline!AF5</f>
        <v>96.01562500000001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61.45</v>
      </c>
      <c r="G5" s="57">
        <f>Pipeline!Q6</f>
        <v>153.62500000000003</v>
      </c>
      <c r="H5" s="57">
        <f>Pipeline!R6</f>
        <v>276.52500000000003</v>
      </c>
      <c r="I5" s="57">
        <f>Pipeline!S6</f>
        <v>399.42500000000007</v>
      </c>
      <c r="J5" s="57">
        <f>Pipeline!T6</f>
        <v>522.325</v>
      </c>
      <c r="K5" s="57">
        <f>Pipeline!U6</f>
        <v>614.5000000000001</v>
      </c>
      <c r="L5" s="57">
        <f>Pipeline!V6</f>
        <v>614.5000000000001</v>
      </c>
      <c r="M5" s="57">
        <f>Pipeline!W6</f>
        <v>614.5000000000001</v>
      </c>
      <c r="N5" s="57">
        <f>Pipeline!X6</f>
        <v>614.5000000000001</v>
      </c>
      <c r="O5" s="57">
        <f>Pipeline!Y6</f>
        <v>614.5000000000001</v>
      </c>
      <c r="P5" s="57">
        <f>Pipeline!Z6</f>
        <v>614.5000000000001</v>
      </c>
      <c r="Q5" s="57">
        <f>Pipeline!AA6</f>
        <v>614.5000000000001</v>
      </c>
      <c r="R5" s="57">
        <f>Pipeline!AB6</f>
        <v>614.5000000000001</v>
      </c>
      <c r="S5" s="57">
        <f>Pipeline!AC6</f>
        <v>307.25000000000006</v>
      </c>
      <c r="T5" s="57">
        <f>Pipeline!AD6</f>
        <v>153.62500000000003</v>
      </c>
      <c r="U5" s="57">
        <f>Pipeline!AE6</f>
        <v>76.81250000000001</v>
      </c>
      <c r="V5" s="57">
        <f>Pipeline!AF6</f>
        <v>38.40625000000001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-459.001</v>
      </c>
      <c r="D6" s="23">
        <f>-IF(D3-2026&lt;Assumptions!$B$19,Assumptions!$B$18,Assumptions!$B$18*Assumptions!$B$20*Assumptions!$B$16)</f>
        <v>-459.001</v>
      </c>
      <c r="E6" s="23">
        <f>-IF(E3-2026&lt;Assumptions!$B$19,Assumptions!$B$18,Assumptions!$B$18*Assumptions!$B$20*Assumptions!$B$16)</f>
        <v>-459.001</v>
      </c>
      <c r="F6" s="23">
        <f>-IF(F3-2026&lt;Assumptions!$B$19,Assumptions!$B$18,Assumptions!$B$18*Assumptions!$B$20*Assumptions!$B$16)</f>
        <v>-84.61683435</v>
      </c>
      <c r="G6" s="23">
        <f>-IF(G3-2026&lt;Assumptions!$B$19,Assumptions!$B$18,Assumptions!$B$18*Assumptions!$B$20*Assumptions!$B$16)</f>
        <v>-84.61683435</v>
      </c>
      <c r="H6" s="23">
        <f>-IF(H3-2026&lt;Assumptions!$B$19,Assumptions!$B$18,Assumptions!$B$18*Assumptions!$B$20*Assumptions!$B$16)</f>
        <v>-84.61683435</v>
      </c>
      <c r="I6" s="23">
        <f>-IF(I3-2026&lt;Assumptions!$B$19,Assumptions!$B$18,Assumptions!$B$18*Assumptions!$B$20*Assumptions!$B$16)</f>
        <v>-84.61683435</v>
      </c>
      <c r="J6" s="23">
        <f>-IF(J3-2026&lt;Assumptions!$B$19,Assumptions!$B$18,Assumptions!$B$18*Assumptions!$B$20*Assumptions!$B$16)</f>
        <v>-84.61683435</v>
      </c>
      <c r="K6" s="23">
        <f>-IF(K3-2026&lt;Assumptions!$B$19,Assumptions!$B$18,Assumptions!$B$18*Assumptions!$B$20*Assumptions!$B$16)</f>
        <v>-84.61683435</v>
      </c>
      <c r="L6" s="23">
        <f>-IF(L3-2026&lt;Assumptions!$B$19,Assumptions!$B$18,Assumptions!$B$18*Assumptions!$B$20*Assumptions!$B$16)</f>
        <v>-84.61683435</v>
      </c>
      <c r="M6" s="23">
        <f>-IF(M3-2026&lt;Assumptions!$B$19,Assumptions!$B$18,Assumptions!$B$18*Assumptions!$B$20*Assumptions!$B$16)</f>
        <v>-84.61683435</v>
      </c>
      <c r="N6" s="23">
        <f>-IF(N3-2026&lt;Assumptions!$B$19,Assumptions!$B$18,Assumptions!$B$18*Assumptions!$B$20*Assumptions!$B$16)</f>
        <v>-84.61683435</v>
      </c>
      <c r="O6" s="23">
        <f>-IF(O3-2026&lt;Assumptions!$B$19,Assumptions!$B$18,Assumptions!$B$18*Assumptions!$B$20*Assumptions!$B$16)</f>
        <v>-84.61683435</v>
      </c>
      <c r="P6" s="23">
        <f>-IF(P3-2026&lt;Assumptions!$B$19,Assumptions!$B$18,Assumptions!$B$18*Assumptions!$B$20*Assumptions!$B$16)</f>
        <v>-84.61683435</v>
      </c>
      <c r="Q6" s="23">
        <f>-IF(Q3-2026&lt;Assumptions!$B$19,Assumptions!$B$18,Assumptions!$B$18*Assumptions!$B$20*Assumptions!$B$16)</f>
        <v>-84.61683435</v>
      </c>
      <c r="R6" s="23">
        <f>-IF(R3-2026&lt;Assumptions!$B$19,Assumptions!$B$18,Assumptions!$B$18*Assumptions!$B$20*Assumptions!$B$16)</f>
        <v>-84.61683435</v>
      </c>
      <c r="S6" s="23">
        <f>-IF(S3-2026&lt;Assumptions!$B$19,Assumptions!$B$18,Assumptions!$B$18*Assumptions!$B$20*Assumptions!$B$16)</f>
        <v>-84.61683435</v>
      </c>
      <c r="T6" s="23">
        <f>-IF(T3-2026&lt;Assumptions!$B$19,Assumptions!$B$18,Assumptions!$B$18*Assumptions!$B$20*Assumptions!$B$16)</f>
        <v>-84.61683435</v>
      </c>
      <c r="U6" s="23">
        <f>-IF(U3-2026&lt;Assumptions!$B$19,Assumptions!$B$18,Assumptions!$B$18*Assumptions!$B$20*Assumptions!$B$16)</f>
        <v>-84.61683435</v>
      </c>
      <c r="V6" s="23">
        <f>-IF(V3-2026&lt;Assumptions!$B$19,Assumptions!$B$18,Assumptions!$B$18*Assumptions!$B$20*Assumptions!$B$16)</f>
        <v>-84.61683435</v>
      </c>
    </row>
    <row r="7">
      <c r="A7" s="14" t="inlineStr">
        <is>
          <t>Pre-tax cash flow</t>
        </is>
      </c>
      <c r="C7" s="23">
        <f>C5+C6</f>
        <v>-459.001</v>
      </c>
      <c r="D7" s="23">
        <f>D5+D6</f>
        <v>-459.001</v>
      </c>
      <c r="E7" s="23">
        <f>E5+E6</f>
        <v>-459.001</v>
      </c>
      <c r="F7" s="23">
        <f>F5+F6</f>
        <v>-23.166834350000002</v>
      </c>
      <c r="G7" s="23">
        <f>G5+G6</f>
        <v>69.00816565000002</v>
      </c>
      <c r="H7" s="23">
        <f>H5+H6</f>
        <v>191.90816565000003</v>
      </c>
      <c r="I7" s="23">
        <f>I5+I6</f>
        <v>314.8081656500001</v>
      </c>
      <c r="J7" s="23">
        <f>J5+J6</f>
        <v>437.70816565000007</v>
      </c>
      <c r="K7" s="23">
        <f>K5+K6</f>
        <v>529.8831656500001</v>
      </c>
      <c r="L7" s="23">
        <f>L5+L6</f>
        <v>529.8831656500001</v>
      </c>
      <c r="M7" s="23">
        <f>M5+M6</f>
        <v>529.8831656500001</v>
      </c>
      <c r="N7" s="23">
        <f>N5+N6</f>
        <v>529.8831656500001</v>
      </c>
      <c r="O7" s="23">
        <f>O5+O6</f>
        <v>529.8831656500001</v>
      </c>
      <c r="P7" s="23">
        <f>P5+P6</f>
        <v>529.8831656500001</v>
      </c>
      <c r="Q7" s="23">
        <f>Q5+Q6</f>
        <v>529.8831656500001</v>
      </c>
      <c r="R7" s="23">
        <f>R5+R6</f>
        <v>529.8831656500001</v>
      </c>
      <c r="S7" s="23">
        <f>S5+S6</f>
        <v>222.63316565000005</v>
      </c>
      <c r="T7" s="23">
        <f>T5+T6</f>
        <v>69.00816565000002</v>
      </c>
      <c r="U7" s="23">
        <f>U5+U6</f>
        <v>-7.804334349999991</v>
      </c>
      <c r="V7" s="23">
        <f>V5+V6</f>
        <v>-46.21058435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69.00816565000002</v>
      </c>
      <c r="H8" s="23">
        <f>MIN(G17,MAX(0,H7))</f>
        <v>191.90816565000003</v>
      </c>
      <c r="I8" s="23">
        <f>MIN(H17,MAX(0,I7))</f>
        <v>314.8081656500001</v>
      </c>
      <c r="J8" s="23">
        <f>MIN(I17,MAX(0,J7))</f>
        <v>437.70816565000007</v>
      </c>
      <c r="K8" s="23">
        <f>MIN(J17,MAX(0,K7))</f>
        <v>529.8831656500001</v>
      </c>
      <c r="L8" s="23">
        <f>MIN(K17,MAX(0,L7))</f>
        <v>529.8831656500001</v>
      </c>
      <c r="M8" s="23">
        <f>MIN(L17,MAX(0,M7))</f>
        <v>19.57084044999965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510.3123252000005</v>
      </c>
      <c r="N9" s="23">
        <f>MAX(0,N7)-N8</f>
        <v>529.8831656500001</v>
      </c>
      <c r="O9" s="23">
        <f>MAX(0,O7)-O8</f>
        <v>529.8831656500001</v>
      </c>
      <c r="P9" s="23">
        <f>MAX(0,P7)-P8</f>
        <v>529.8831656500001</v>
      </c>
      <c r="Q9" s="23">
        <f>MAX(0,Q7)-Q8</f>
        <v>529.8831656500001</v>
      </c>
      <c r="R9" s="23">
        <f>MAX(0,R7)-R8</f>
        <v>529.8831656500001</v>
      </c>
      <c r="S9" s="23">
        <f>MAX(0,S7)-S8</f>
        <v>222.63316565000005</v>
      </c>
      <c r="T9" s="23">
        <f>MAX(0,T7)-T8</f>
        <v>69.00816565000002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107.1655882920001</v>
      </c>
      <c r="N10" s="23">
        <f>N9*Assumptions!$E$15</f>
        <v>111.27546478650002</v>
      </c>
      <c r="O10" s="23">
        <f>O9*Assumptions!$E$15</f>
        <v>111.27546478650002</v>
      </c>
      <c r="P10" s="23">
        <f>P9*Assumptions!$E$15</f>
        <v>111.27546478650002</v>
      </c>
      <c r="Q10" s="23">
        <f>Q9*Assumptions!$E$15</f>
        <v>111.27546478650002</v>
      </c>
      <c r="R10" s="23">
        <f>R9*Assumptions!$E$15</f>
        <v>111.27546478650002</v>
      </c>
      <c r="S10" s="23">
        <f>S9*Assumptions!$E$15</f>
        <v>46.75296478650001</v>
      </c>
      <c r="T10" s="23">
        <f>T9*Assumptions!$E$15</f>
        <v>14.491714786500005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-459.001</v>
      </c>
      <c r="D11" s="55">
        <f>D7-D10</f>
        <v>-459.001</v>
      </c>
      <c r="E11" s="55">
        <f>E7-E10</f>
        <v>-459.001</v>
      </c>
      <c r="F11" s="55">
        <f>F7-F10</f>
        <v>-23.166834350000002</v>
      </c>
      <c r="G11" s="55">
        <f>G7-G10</f>
        <v>69.00816565000002</v>
      </c>
      <c r="H11" s="55">
        <f>H7-H10</f>
        <v>191.90816565000003</v>
      </c>
      <c r="I11" s="55">
        <f>I7-I10</f>
        <v>314.8081656500001</v>
      </c>
      <c r="J11" s="55">
        <f>J7-J10</f>
        <v>437.70816565000007</v>
      </c>
      <c r="K11" s="55">
        <f>K7-K10</f>
        <v>529.8831656500001</v>
      </c>
      <c r="L11" s="55">
        <f>L7-L10</f>
        <v>529.8831656500001</v>
      </c>
      <c r="M11" s="55">
        <f>M7-M10</f>
        <v>422.717577358</v>
      </c>
      <c r="N11" s="55">
        <f>N7-N10</f>
        <v>418.6077008635001</v>
      </c>
      <c r="O11" s="55">
        <f>O7-O10</f>
        <v>418.6077008635001</v>
      </c>
      <c r="P11" s="55">
        <f>P7-P10</f>
        <v>418.6077008635001</v>
      </c>
      <c r="Q11" s="55">
        <f>Q7-Q10</f>
        <v>418.6077008635001</v>
      </c>
      <c r="R11" s="55">
        <f>R7-R10</f>
        <v>418.6077008635001</v>
      </c>
      <c r="S11" s="55">
        <f>S7-S10</f>
        <v>175.88020086350005</v>
      </c>
      <c r="T11" s="55">
        <f>T7-T10</f>
        <v>54.51645086350002</v>
      </c>
      <c r="U11" s="55">
        <f>U7-U10</f>
        <v>-7.804334349999991</v>
      </c>
      <c r="V11" s="55">
        <f>V7-V10</f>
        <v>-46.21058435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-224.86658610207851</v>
      </c>
      <c r="D16" s="55">
        <f>D11*D15</f>
        <v>-409.63194269942977</v>
      </c>
      <c r="E16" s="55">
        <f>E11*E15</f>
        <v>-365.7428059816336</v>
      </c>
      <c r="F16" s="55">
        <f>F11*F15</f>
        <v>-16.482034977049334</v>
      </c>
      <c r="G16" s="55">
        <f>G11*G15</f>
        <v>43.8355640053676</v>
      </c>
      <c r="H16" s="55">
        <f>H11*H15</f>
        <v>108.84326150889648</v>
      </c>
      <c r="I16" s="55">
        <f>I11*I15</f>
        <v>159.41752373609737</v>
      </c>
      <c r="J16" s="55">
        <f>J11*J15</f>
        <v>197.90496784116834</v>
      </c>
      <c r="K16" s="55">
        <f>K11*K15</f>
        <v>213.91150682925456</v>
      </c>
      <c r="L16" s="55">
        <f>L11*L15</f>
        <v>190.9924168118344</v>
      </c>
      <c r="M16" s="55">
        <f>M11*M15</f>
        <v>136.04052095516874</v>
      </c>
      <c r="N16" s="55">
        <f>N11*N15</f>
        <v>120.28380841944286</v>
      </c>
      <c r="O16" s="55">
        <f>O11*O15</f>
        <v>107.3962575173597</v>
      </c>
      <c r="P16" s="55">
        <f>P11*P15</f>
        <v>95.88951564049971</v>
      </c>
      <c r="Q16" s="55">
        <f>Q11*Q15</f>
        <v>85.61563896473189</v>
      </c>
      <c r="R16" s="55">
        <f>R11*R15</f>
        <v>76.44253478993919</v>
      </c>
      <c r="S16" s="55">
        <f>S11*S15</f>
        <v>28.67654306687368</v>
      </c>
      <c r="T16" s="55">
        <f>T11*T15</f>
        <v>7.936324105052772</v>
      </c>
      <c r="U16" s="55">
        <f>U11*U15</f>
        <v>-1.0144009914954368</v>
      </c>
      <c r="V16" s="55">
        <f>V11*V15</f>
        <v>-5.362869583561184</v>
      </c>
    </row>
    <row r="17">
      <c r="A17" s="14" t="inlineStr">
        <is>
          <t>Tax-loss carryforward, end of year</t>
        </is>
      </c>
      <c r="C17" s="23">
        <f>Assumptions!$B$21-C8+MAX(0,-C7)</f>
        <v>1151.601</v>
      </c>
      <c r="D17" s="23">
        <f>C17-D8+MAX(0,-D7)</f>
        <v>1610.602</v>
      </c>
      <c r="E17" s="23">
        <f>D17-E8+MAX(0,-E7)</f>
        <v>2069.603</v>
      </c>
      <c r="F17" s="23">
        <f>E17-F8+MAX(0,-F7)</f>
        <v>2092.76983435</v>
      </c>
      <c r="G17" s="23">
        <f>F17-G8+MAX(0,-G7)</f>
        <v>2023.7616687</v>
      </c>
      <c r="H17" s="23">
        <f>G17-H8+MAX(0,-H7)</f>
        <v>1831.85350305</v>
      </c>
      <c r="I17" s="23">
        <f>H17-I8+MAX(0,-I7)</f>
        <v>1517.0453373999999</v>
      </c>
      <c r="J17" s="23">
        <f>I17-J8+MAX(0,-J7)</f>
        <v>1079.33717175</v>
      </c>
      <c r="K17" s="23">
        <f>J17-K8+MAX(0,-K7)</f>
        <v>549.4540060999998</v>
      </c>
      <c r="L17" s="23">
        <f>K17-L8+MAX(0,-L7)</f>
        <v>19.57084044999965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7.804334349999991</v>
      </c>
      <c r="V17" s="23">
        <f>U17-V8+MAX(0,-V7)</f>
        <v>54.01491869999999</v>
      </c>
    </row>
    <row r="19">
      <c r="A19" s="14" t="inlineStr">
        <is>
          <t>PV of risked pipeline contribution</t>
        </is>
      </c>
      <c r="B19" s="23">
        <f>SUMPRODUCT(C5:V5,C15:V15)</f>
        <v>2203.6778102694498</v>
      </c>
    </row>
    <row r="20">
      <c r="A20" s="14" t="inlineStr">
        <is>
          <t>PV of corporate burn</t>
        </is>
      </c>
      <c r="B20" s="23">
        <f>SUMPRODUCT(C6:V6,C15:V15)</f>
        <v>-1480.2801871712238</v>
      </c>
    </row>
    <row r="21">
      <c r="A21" s="14" t="inlineStr">
        <is>
          <t>PV of taxes</t>
        </is>
      </c>
      <c r="B21" s="23">
        <f>-SUMPRODUCT(C10:V10,C15:V15)</f>
        <v>-173.31187924178695</v>
      </c>
    </row>
    <row r="22">
      <c r="A22" s="24" t="inlineStr">
        <is>
          <t>Pipeline rNPV (operations)</t>
        </is>
      </c>
      <c r="B22" s="54">
        <f>SUM(C16:V16)</f>
        <v>550.0857438564395</v>
      </c>
    </row>
    <row r="23">
      <c r="A23" s="14" t="inlineStr">
        <is>
          <t>Cash &amp; investments</t>
        </is>
      </c>
      <c r="B23" s="57">
        <f>Main!C7</f>
        <v>502.293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1052.3787438564395</v>
      </c>
    </row>
    <row r="26">
      <c r="A26" s="14" t="inlineStr">
        <is>
          <t>Shares (mm)</t>
        </is>
      </c>
      <c r="B26" s="57">
        <f>Main!C4</f>
        <v>129.435239</v>
      </c>
    </row>
    <row r="27">
      <c r="A27" s="24" t="inlineStr">
        <is>
          <t>rNPV / share</t>
        </is>
      </c>
      <c r="B27" s="60">
        <f>B25/B26</f>
        <v>8.130542748535733</v>
      </c>
    </row>
    <row r="28">
      <c r="A28" s="14" t="inlineStr">
        <is>
          <t>Price</t>
        </is>
      </c>
      <c r="B28" s="61">
        <f>Main!C3</f>
        <v>6.7</v>
      </c>
    </row>
    <row r="29">
      <c r="A29" s="14" t="inlineStr">
        <is>
          <t>Upside</t>
        </is>
      </c>
      <c r="B29" s="62">
        <f>B27/B28-1</f>
        <v>0.21351384306503474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2026-10-21T06:24:22Z</dcterms:modified>
  <cp:lastModifiedBy>Wang, Eric</cp:lastModifiedBy>
</cp:coreProperties>
</file>