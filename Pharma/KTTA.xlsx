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Pasithea Therapeutics Corp</t>
        </is>
      </c>
      <c r="C2" s="10" t="n"/>
    </row>
    <row r="3">
      <c r="B3" t="inlineStr">
        <is>
          <t>Price</t>
        </is>
      </c>
      <c r="C3" s="11">
        <f>INDEX([1]Pharma!$F$1:$F$1000,MATCH("KTTA",[1]Pharma!$B$1:$B$1000,0))</f>
        <v>0.41</v>
      </c>
      <c r="F3" s="1" t="n"/>
    </row>
    <row r="4">
      <c r="B4" t="inlineStr">
        <is>
          <t>Shares</t>
        </is>
      </c>
      <c r="C4" s="21" t="n">
        <v>33.414448</v>
      </c>
      <c r="F4" s="1" t="n"/>
    </row>
    <row r="5">
      <c r="B5" t="inlineStr">
        <is>
          <t>Market Cap.</t>
        </is>
      </c>
      <c r="C5" s="13">
        <f>C3*C4</f>
        <v>13.69992368</v>
      </c>
      <c r="F5" s="1" t="n"/>
    </row>
    <row r="6"/>
    <row r="7">
      <c r="B7" t="inlineStr">
        <is>
          <t>Cash</t>
        </is>
      </c>
      <c r="C7" s="21" t="n">
        <v>45.663782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-31.96385832</v>
      </c>
    </row>
    <row r="10"/>
    <row r="11">
      <c r="B11" s="14" t="inlineStr">
        <is>
          <t>Net Cash / Share</t>
        </is>
      </c>
      <c r="C11" s="11">
        <f>(C7-C8)/C4</f>
        <v>1.3665879502184204</v>
      </c>
    </row>
    <row r="12">
      <c r="B12" s="14" t="inlineStr">
        <is>
          <t>Upside</t>
        </is>
      </c>
      <c r="C12" s="15">
        <f>IFERROR(C11/C3-1,"")</f>
        <v>2.3331413419961473</v>
      </c>
    </row>
    <row r="13">
      <c r="B13" s="14" t="inlineStr">
        <is>
          <t>Cash / Share</t>
        </is>
      </c>
      <c r="C13" s="11">
        <f>IFERROR((C7-C8)/C4,"")</f>
        <v>1.3665879502184204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-17.782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2.567977842762344</v>
      </c>
    </row>
    <row r="19">
      <c r="B19" s="14" t="inlineStr">
        <is>
          <t>Implied Pipeline Value</t>
        </is>
      </c>
      <c r="C19" s="13">
        <f>C9</f>
        <v>-31.96385832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0.015</v>
      </c>
      <c r="C2" s="23" t="n">
        <v>0.487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0.017</v>
      </c>
      <c r="C3" s="23" t="n">
        <v>0.113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-0.0020000000000000018</v>
      </c>
      <c r="C4" s="23">
        <f>C2-C3</f>
        <v>0.374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2.665</v>
      </c>
      <c r="D5" s="23" t="n">
        <v>8.101000000000001</v>
      </c>
      <c r="E5" s="23" t="n">
        <v>7.198</v>
      </c>
      <c r="F5" s="23" t="n">
        <v>7.981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4.505</v>
      </c>
      <c r="C6" s="23" t="n">
        <v>10.297</v>
      </c>
      <c r="D6" s="23" t="n">
        <v>7.879</v>
      </c>
      <c r="E6" s="23" t="n">
        <v>7.051</v>
      </c>
      <c r="F6" s="23" t="n">
        <v>12.876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4.505</v>
      </c>
      <c r="C7" s="23">
        <f>SUM(C5:C6)</f>
        <v>12.962</v>
      </c>
      <c r="D7" s="23">
        <f>SUM(D5:D6)</f>
        <v>15.98</v>
      </c>
      <c r="E7" s="23">
        <f>SUM(E5:E6)</f>
        <v>14.249</v>
      </c>
      <c r="F7" s="23">
        <f>SUM(F5:F6)</f>
        <v>20.857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-4.507</v>
      </c>
      <c r="C8" s="23">
        <f>C4-C7</f>
        <v>-12.588</v>
      </c>
      <c r="D8" s="23">
        <f>D4-D7</f>
        <v>-15.98</v>
      </c>
      <c r="E8" s="23">
        <f>E4-E7</f>
        <v>-14.249</v>
      </c>
      <c r="F8" s="23">
        <f>F4-F7</f>
        <v>-20.857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2.334</v>
      </c>
      <c r="C9" s="23" t="n">
        <v>-1.347</v>
      </c>
      <c r="D9" s="23" t="n">
        <v>0.018</v>
      </c>
      <c r="E9" s="23" t="n">
        <v>0.345</v>
      </c>
      <c r="F9" s="23" t="n">
        <v>0.43</v>
      </c>
    </row>
    <row r="10">
      <c r="A10" s="2" t="inlineStr">
        <is>
          <t>Pretax</t>
        </is>
      </c>
      <c r="B10" s="23">
        <f>B8+B9</f>
        <v>-2.1729999999999996</v>
      </c>
      <c r="C10" s="23">
        <f>C8+C9</f>
        <v>-13.934999999999999</v>
      </c>
      <c r="D10" s="23">
        <f>D8+D9</f>
        <v>-15.962</v>
      </c>
      <c r="E10" s="23">
        <f>E8+E9</f>
        <v>-13.904</v>
      </c>
      <c r="F10" s="23">
        <f>F8+F9</f>
        <v>-20.427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-2.174</v>
      </c>
      <c r="C12" s="23" t="n">
        <v>-13.936</v>
      </c>
      <c r="D12" s="23" t="n">
        <v>-15.962</v>
      </c>
      <c r="E12" s="23" t="n">
        <v>-13.905</v>
      </c>
      <c r="F12" s="23" t="n">
        <v>-20.428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-0.20893801057184047</v>
      </c>
      <c r="C13" s="11">
        <f>IFERROR(C12/C14,0)</f>
        <v>-11.042789223454834</v>
      </c>
      <c r="D13" s="11">
        <f>IFERROR(D12/D14,0)</f>
        <v>-13.008964955175223</v>
      </c>
      <c r="E13" s="11">
        <f>IFERROR(E12/E14,0)</f>
        <v>-12.687043795620436</v>
      </c>
      <c r="F13" s="11">
        <f>IFERROR(F12/F14,0)</f>
        <v>-2.905418859337221</v>
      </c>
    </row>
    <row r="14">
      <c r="A14" s="2" t="inlineStr">
        <is>
          <t>Shares</t>
        </is>
      </c>
      <c r="B14" s="23" t="n">
        <v>10.405</v>
      </c>
      <c r="C14" s="23" t="n">
        <v>1.262</v>
      </c>
      <c r="D14" s="23" t="n">
        <v>1.227</v>
      </c>
      <c r="E14" s="23" t="n">
        <v>1.096</v>
      </c>
      <c r="F14" s="23" t="n">
        <v>7.031</v>
      </c>
    </row>
    <row r="15"/>
    <row r="16" customFormat="1" s="4">
      <c r="A16" s="3" t="inlineStr">
        <is>
          <t>Revenue Change</t>
        </is>
      </c>
      <c r="C16" s="15">
        <f>IFERROR(C2/B2-1,"")</f>
        <v>31.46666666666667</v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-0.13333333333333347</v>
      </c>
      <c r="C17" s="15">
        <f>IFERROR(C4/C2,"")</f>
        <v>0.7679671457905545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-300.46666666666664</v>
      </c>
      <c r="C18" s="15">
        <f>IFERROR(C8/C2,"")</f>
        <v>-25.848049281314168</v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2026-10-21T01:06:31Z</dcterms:modified>
  <cp:lastModifiedBy>Wang, Eric</cp:lastModifiedBy>
</cp:coreProperties>
</file>