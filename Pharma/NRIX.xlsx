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Nurix Therapeutics, Inc.</t>
        </is>
      </c>
      <c r="C2" s="10" t="n"/>
    </row>
    <row r="3">
      <c r="B3" t="inlineStr">
        <is>
          <t>Price</t>
        </is>
      </c>
      <c r="C3" s="11">
        <f>INDEX([1]Pharma!$F$1:$F$1000,MATCH("NRIX",[1]Pharma!$B$1:$B$1000,0))</f>
        <v>26.1</v>
      </c>
      <c r="F3" s="1" t="n"/>
    </row>
    <row r="4">
      <c r="B4" t="inlineStr">
        <is>
          <t>Shares</t>
        </is>
      </c>
      <c r="C4" s="21" t="n">
        <v>103.781683</v>
      </c>
      <c r="F4" s="1" t="n"/>
    </row>
    <row r="5">
      <c r="B5" t="inlineStr">
        <is>
          <t>Market Cap.</t>
        </is>
      </c>
      <c r="C5" s="13">
        <f>C3*C4</f>
        <v>2708.7019263</v>
      </c>
      <c r="F5" s="1" t="n"/>
    </row>
    <row r="6"/>
    <row r="7">
      <c r="B7" t="inlineStr">
        <is>
          <t>Cash</t>
        </is>
      </c>
      <c r="C7" s="21">
        <f>67.685+375.844</f>
        <v>443.529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2265.1729263</v>
      </c>
    </row>
    <row r="10"/>
    <row r="11">
      <c r="B11" s="14" t="inlineStr">
        <is>
          <t>Net Cash / Share</t>
        </is>
      </c>
      <c r="C11" s="11">
        <f>(C7-C8)/C4</f>
        <v>4.273673226131821</v>
      </c>
    </row>
    <row r="12">
      <c r="B12" s="14" t="inlineStr">
        <is>
          <t>Upside</t>
        </is>
      </c>
      <c r="C12" s="15">
        <f>IFERROR(C11/C3-1,"")</f>
        <v>-0.8362577307995471</v>
      </c>
    </row>
    <row r="13">
      <c r="B13" s="14" t="inlineStr">
        <is>
          <t>Cash / Share</t>
        </is>
      </c>
      <c r="C13" s="11">
        <f>IFERROR((C7-C8)/C4,"")</f>
        <v>4.273673226131821</v>
      </c>
    </row>
    <row r="14">
      <c r="B14" s="14" t="inlineStr">
        <is>
          <t>Scenario</t>
        </is>
      </c>
      <c r="C14" s="14" t="inlineStr">
        <is>
          <t>revenue jump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379.312</v>
      </c>
    </row>
    <row r="18">
      <c r="B18" s="14" t="inlineStr">
        <is>
          <t>Runway (years)</t>
        </is>
      </c>
      <c r="C18" s="22" t="str">
        <f>IF(AND(ISNUMBER(C17),C17&lt;0),IF(C7&gt;C8,(C7-C8)/-C17,"net debt"),"n/a")</f>
        <v>n/a</v>
      </c>
    </row>
    <row r="19">
      <c r="B19" s="14" t="inlineStr">
        <is>
          <t>Implied Pipeline Value</t>
        </is>
      </c>
      <c r="C19" s="13">
        <f>C9</f>
        <v>2265.1729263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31.115</v>
      </c>
      <c r="C2" s="23" t="n">
        <v>17.82</v>
      </c>
      <c r="D2" s="23" t="n">
        <v>29.75</v>
      </c>
      <c r="E2" s="23" t="n">
        <v>38.627</v>
      </c>
      <c r="F2" s="23" t="n">
        <v>76.98699999999999</v>
      </c>
      <c r="G2" s="23" t="n">
        <v>54.549</v>
      </c>
      <c r="H2" s="23" t="n">
        <v>83.98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31.115</v>
      </c>
      <c r="C4" s="23">
        <f>C2-C3</f>
        <v>17.82</v>
      </c>
      <c r="D4" s="23">
        <f>D2-D3</f>
        <v>29.75</v>
      </c>
      <c r="E4" s="23">
        <f>E2-E3</f>
        <v>38.627</v>
      </c>
      <c r="F4" s="23">
        <f>F2-F3</f>
        <v>76.987</v>
      </c>
      <c r="G4" s="23">
        <f>G2-G3</f>
        <v>54.549</v>
      </c>
      <c r="H4" s="23">
        <f>H2-H3</f>
        <v>83.98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45.025</v>
      </c>
      <c r="C5" s="23" t="n">
        <v>66.494</v>
      </c>
      <c r="D5" s="23" t="n">
        <v>116.434</v>
      </c>
      <c r="E5" s="23" t="n">
        <v>184.497</v>
      </c>
      <c r="F5" s="23" t="n">
        <v>189.148</v>
      </c>
      <c r="G5" s="23" t="n">
        <v>221.632</v>
      </c>
      <c r="H5" s="23" t="n">
        <v>316.903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8.326000000000001</v>
      </c>
      <c r="C6" s="23" t="n">
        <v>16.309</v>
      </c>
      <c r="D6" s="23" t="n">
        <v>31.202</v>
      </c>
      <c r="E6" s="23" t="n">
        <v>37.997</v>
      </c>
      <c r="F6" s="23" t="n">
        <v>42.902</v>
      </c>
      <c r="G6" s="23" t="n">
        <v>45.944</v>
      </c>
      <c r="H6" s="23" t="n">
        <v>52.743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53.351</v>
      </c>
      <c r="C7" s="23">
        <f>SUM(C5:C6)</f>
        <v>82.803</v>
      </c>
      <c r="D7" s="23">
        <f>SUM(D5:D6)</f>
        <v>147.636</v>
      </c>
      <c r="E7" s="23">
        <f>SUM(E5:E6)</f>
        <v>222.49400000000003</v>
      </c>
      <c r="F7" s="23">
        <f>SUM(F5:F6)</f>
        <v>232.05</v>
      </c>
      <c r="G7" s="23">
        <f>SUM(G5:G6)</f>
        <v>267.576</v>
      </c>
      <c r="H7" s="23">
        <f>SUM(H5:H6)</f>
        <v>369.646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-22.236</v>
      </c>
      <c r="C8" s="23">
        <f>C4-C7</f>
        <v>-64.983</v>
      </c>
      <c r="D8" s="23">
        <f>D4-D7</f>
        <v>-117.886</v>
      </c>
      <c r="E8" s="23">
        <f>E4-E7</f>
        <v>-183.86700000000002</v>
      </c>
      <c r="F8" s="23">
        <f>F4-F7</f>
        <v>-155.06300000000002</v>
      </c>
      <c r="G8" s="23">
        <f>G4-G7</f>
        <v>-213.02700000000002</v>
      </c>
      <c r="H8" s="23">
        <f>H4-H7</f>
        <v>-285.666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0.776</v>
      </c>
      <c r="C9" s="23" t="n">
        <v>1.206</v>
      </c>
      <c r="D9" s="23" t="n">
        <v>0.823</v>
      </c>
      <c r="E9" s="23" t="n">
        <v>3.507</v>
      </c>
      <c r="F9" s="23" t="n">
        <v>11.115</v>
      </c>
      <c r="G9" s="23" t="n">
        <v>19.728</v>
      </c>
      <c r="H9" s="23" t="n">
        <v>21.969</v>
      </c>
    </row>
    <row r="10">
      <c r="A10" s="2" t="inlineStr">
        <is>
          <t>Pretax</t>
        </is>
      </c>
      <c r="B10" s="23">
        <f>B8+B9</f>
        <v>-21.46</v>
      </c>
      <c r="C10" s="23">
        <f>C8+C9</f>
        <v>-63.777</v>
      </c>
      <c r="D10" s="23">
        <f>D8+D9</f>
        <v>-117.063</v>
      </c>
      <c r="E10" s="23">
        <f>E8+E9</f>
        <v>-180.36</v>
      </c>
      <c r="F10" s="23">
        <f>F8+F9</f>
        <v>-143.948</v>
      </c>
      <c r="G10" s="23">
        <f>G8+G9</f>
        <v>-193.299</v>
      </c>
      <c r="H10" s="23">
        <f>H8+H9</f>
        <v>-263.697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0.239</v>
      </c>
      <c r="C11" s="23" t="n">
        <v>-20.535</v>
      </c>
      <c r="D11" s="23" t="n">
        <v>0.131</v>
      </c>
      <c r="E11" s="23" t="n">
        <v>0</v>
      </c>
      <c r="F11" s="23" t="n">
        <v>0</v>
      </c>
      <c r="G11" s="23" t="n">
        <v>0.27</v>
      </c>
      <c r="H11" s="23" t="n">
        <v>0.76</v>
      </c>
    </row>
    <row r="12">
      <c r="A12" s="2" t="inlineStr">
        <is>
          <t>Net Income</t>
        </is>
      </c>
      <c r="B12" s="23" t="n">
        <v>-21.699</v>
      </c>
      <c r="C12" s="23" t="n">
        <v>-43.242</v>
      </c>
      <c r="D12" s="23" t="n">
        <v>-117.194</v>
      </c>
      <c r="E12" s="23" t="n">
        <v>-180.36</v>
      </c>
      <c r="F12" s="23" t="n">
        <v>-143.948</v>
      </c>
      <c r="G12" s="23" t="n">
        <v>-193.569</v>
      </c>
      <c r="H12" s="23" t="n">
        <v>-264.457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-6.589432128757972</v>
      </c>
      <c r="C13" s="11">
        <f>IFERROR(C12/C14,0)</f>
        <v>-2.759012314170867</v>
      </c>
      <c r="D13" s="11">
        <f>IFERROR(D12/D14,0)</f>
        <v>-2.7321132999184052</v>
      </c>
      <c r="E13" s="11">
        <f>IFERROR(E12/E14,0)</f>
        <v>-3.7105003291639242</v>
      </c>
      <c r="F13" s="11">
        <f>IFERROR(F12/F14,0)</f>
        <v>-2.6491221612867606</v>
      </c>
      <c r="G13" s="11">
        <f>IFERROR(G12/G14,0)</f>
        <v>-2.8839243146603097</v>
      </c>
      <c r="H13" s="11">
        <f>IFERROR(H12/H14,0)</f>
        <v>-3.051415186864666</v>
      </c>
    </row>
    <row r="14">
      <c r="A14" s="2" t="inlineStr">
        <is>
          <t>Shares</t>
        </is>
      </c>
      <c r="B14" s="23" t="n">
        <v>3.293</v>
      </c>
      <c r="C14" s="23" t="n">
        <v>15.673</v>
      </c>
      <c r="D14" s="23" t="n">
        <v>42.895</v>
      </c>
      <c r="E14" s="23" t="n">
        <v>48.608</v>
      </c>
      <c r="F14" s="23" t="n">
        <v>54.338</v>
      </c>
      <c r="G14" s="23" t="n">
        <v>67.12</v>
      </c>
      <c r="H14" s="23" t="n">
        <v>86.667</v>
      </c>
    </row>
    <row r="15"/>
    <row r="16" customFormat="1" s="4">
      <c r="A16" s="3" t="inlineStr">
        <is>
          <t>Revenue Change</t>
        </is>
      </c>
      <c r="C16" s="15">
        <f>IFERROR(C2/B2-1,"")</f>
        <v>-0.4272858749799132</v>
      </c>
      <c r="D16" s="15">
        <f>IFERROR(D2/C2-1,"")</f>
        <v>0.6694725028058361</v>
      </c>
      <c r="E16" s="15">
        <f>IFERROR(E2/D2-1,"")</f>
        <v>0.29838655462184893</v>
      </c>
      <c r="F16" s="15">
        <f>IFERROR(F2/E2-1,"")</f>
        <v>0.9930877365573301</v>
      </c>
      <c r="G16" s="15">
        <f>IFERROR(G2/F2-1,"")</f>
        <v>-0.2914518035512489</v>
      </c>
      <c r="H16" s="15">
        <f>IFERROR(H2/G2-1,"")</f>
        <v>0.5395332636711947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>1.0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-0.7146392415233811</v>
      </c>
      <c r="C18" s="15">
        <f>IFERROR(C8/C2,"")</f>
        <v>-3.646632996632997</v>
      </c>
      <c r="D18" s="15">
        <f>IFERROR(D8/D2,"")</f>
        <v>-3.9625546218487395</v>
      </c>
      <c r="E18" s="15">
        <f>IFERROR(E8/E2,"")</f>
        <v>-4.760064203795273</v>
      </c>
      <c r="F18" s="15">
        <f>IFERROR(F8/F2,"")</f>
        <v>-2.014145245301155</v>
      </c>
      <c r="G18" s="15">
        <f>IFERROR(G8/G2,"")</f>
        <v>-3.9052411593246443</v>
      </c>
      <c r="H18" s="15">
        <f>IFERROR(H8/H2,"")</f>
        <v>-3.4015956180042863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2026-10-21T06:22:21Z</dcterms:modified>
  <cp:lastModifiedBy>Wang, Eric</cp:lastModifiedBy>
</cp:coreProperties>
</file>