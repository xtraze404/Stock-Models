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Artiva Biotherapeutics Inc</t>
        </is>
      </c>
      <c r="C2" s="10" t="n"/>
    </row>
    <row r="3">
      <c r="B3" t="inlineStr">
        <is>
          <t>Price</t>
        </is>
      </c>
      <c r="C3" s="11">
        <f>INDEX([1]Pharma!$F$1:$F$1000,MATCH("ARTV",[1]Pharma!$B$1:$B$1000,0))</f>
        <v>6.56</v>
      </c>
      <c r="F3" s="1" t="n"/>
    </row>
    <row r="4">
      <c r="B4" t="inlineStr">
        <is>
          <t>Shares</t>
        </is>
      </c>
      <c r="C4" s="21" t="n">
        <v>48.890121</v>
      </c>
      <c r="F4" s="1" t="n"/>
    </row>
    <row r="5">
      <c r="B5" t="inlineStr">
        <is>
          <t>Market Cap.</t>
        </is>
      </c>
      <c r="C5" s="13">
        <f>C3*C4</f>
        <v>320.71919376</v>
      </c>
      <c r="F5" s="1" t="n"/>
    </row>
    <row r="6"/>
    <row r="7">
      <c r="B7" t="inlineStr">
        <is>
          <t>Cash</t>
        </is>
      </c>
      <c r="C7" s="21">
        <f>301.454+47.94</f>
        <v>349.394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-28.67480624000001</v>
      </c>
    </row>
    <row r="10"/>
    <row r="11">
      <c r="B11" s="14" t="inlineStr">
        <is>
          <t>Net Cash / Share</t>
        </is>
      </c>
      <c r="C11" s="11">
        <f>(C7-C8)/C4</f>
        <v>7.146515346116652</v>
      </c>
    </row>
    <row r="12">
      <c r="B12" s="14" t="inlineStr">
        <is>
          <t>Upside</t>
        </is>
      </c>
      <c r="C12" s="15">
        <f>IFERROR(C11/C3-1,"")</f>
        <v>0.08940782715192874</v>
      </c>
    </row>
    <row r="13">
      <c r="B13" s="14" t="inlineStr">
        <is>
          <t>Cash / Share</t>
        </is>
      </c>
      <c r="C13" s="11">
        <f>IFERROR((C7-C8)/C4,"")</f>
        <v>7.146515346116652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-75.232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4.644220544449171</v>
      </c>
    </row>
    <row r="19">
      <c r="B19" s="14" t="inlineStr">
        <is>
          <t>Implied Pipeline Value</t>
        </is>
      </c>
      <c r="C19" s="13">
        <f>C9</f>
        <v>-28.67480624000001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33.492</v>
      </c>
      <c r="C2" s="23" t="n">
        <v>0.251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33.492</v>
      </c>
      <c r="C4" s="23">
        <f>C2-C3</f>
        <v>0.251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50.251</v>
      </c>
      <c r="C5" s="23" t="n">
        <v>50.328</v>
      </c>
      <c r="D5" s="23" t="n">
        <v>69.54000000000001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13.912</v>
      </c>
      <c r="C6" s="23" t="n">
        <v>17.205</v>
      </c>
      <c r="D6" s="23" t="n">
        <v>20.27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64.163</v>
      </c>
      <c r="C7" s="23">
        <f>SUM(C5:C6)</f>
        <v>67.533</v>
      </c>
      <c r="D7" s="23">
        <f>SUM(D5:D6)</f>
        <v>89.81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-30.671</v>
      </c>
      <c r="C8" s="23">
        <f>C4-C7</f>
        <v>-67.282</v>
      </c>
      <c r="D8" s="23">
        <f>D4-D7</f>
        <v>-89.81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2.023</v>
      </c>
      <c r="C9" s="23" t="n">
        <v>1.909</v>
      </c>
      <c r="D9" s="23" t="n">
        <v>5.945</v>
      </c>
    </row>
    <row r="10">
      <c r="A10" s="2" t="inlineStr">
        <is>
          <t>Pretax</t>
        </is>
      </c>
      <c r="B10" s="23">
        <f>B8+B9</f>
        <v>-28.648</v>
      </c>
      <c r="C10" s="23">
        <f>C8+C9</f>
        <v>-65.37299999999999</v>
      </c>
      <c r="D10" s="23">
        <f>D8+D9</f>
        <v>-83.86500000000001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0.07199999999999999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-28.72</v>
      </c>
      <c r="C12" s="23" t="n">
        <v>-65.373</v>
      </c>
      <c r="D12" s="23" t="n">
        <v>-83.86499999999999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-2.5556148780921872</v>
      </c>
      <c r="C13" s="11">
        <f>IFERROR(C12/C14,0)</f>
        <v>-5.806288302691181</v>
      </c>
      <c r="D13" s="11">
        <f>IFERROR(D12/D14,0)</f>
        <v>-3.4309032891507116</v>
      </c>
    </row>
    <row r="14">
      <c r="A14" s="2" t="inlineStr">
        <is>
          <t>Shares</t>
        </is>
      </c>
      <c r="B14" s="23" t="n">
        <v>11.238</v>
      </c>
      <c r="C14" s="23" t="n">
        <v>11.259</v>
      </c>
      <c r="D14" s="23" t="n">
        <v>24.444</v>
      </c>
    </row>
    <row r="15"/>
    <row r="16" customFormat="1" s="4">
      <c r="A16" s="3" t="inlineStr">
        <is>
          <t>Revenue Change</t>
        </is>
      </c>
      <c r="C16" s="15">
        <f>IFERROR(C2/B2-1,"")</f>
        <v>-0.9925056729965365</v>
      </c>
      <c r="D16" s="15">
        <f>IFERROR(D2/C2-1,"")</f>
        <v>-1.0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-0.9157709303714321</v>
      </c>
      <c r="C18" s="15">
        <f>IFERROR(C8/C2,"")</f>
        <v>-268.0557768924303</v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2026-10-21T01:05:23Z</dcterms:modified>
  <cp:lastModifiedBy>Wang, Eric</cp:lastModifiedBy>
</cp:coreProperties>
</file>