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Artiva Biotherapeutics Inc</t>
        </is>
      </c>
      <c r="C2" s="10" t="n"/>
    </row>
    <row r="3">
      <c r="B3" t="inlineStr">
        <is>
          <t>Price</t>
        </is>
      </c>
      <c r="C3" s="11">
        <f>INDEX([1]Pharma!$F$1:$F$1000,MATCH("ARTV",[1]Pharma!$B$1:$B$1000,0))</f>
        <v>6.56</v>
      </c>
      <c r="F3" s="1" t="n"/>
    </row>
    <row r="4">
      <c r="B4" t="inlineStr">
        <is>
          <t>Shares</t>
        </is>
      </c>
      <c r="C4" s="21" t="n">
        <v>48.890121</v>
      </c>
      <c r="F4" s="1" t="n"/>
    </row>
    <row r="5">
      <c r="B5" t="inlineStr">
        <is>
          <t>Market Cap.</t>
        </is>
      </c>
      <c r="C5" s="13">
        <f>C3*C4</f>
        <v>320.71919376</v>
      </c>
      <c r="F5" s="1" t="n"/>
    </row>
    <row r="6"/>
    <row r="7">
      <c r="B7" t="inlineStr">
        <is>
          <t>Cash</t>
        </is>
      </c>
      <c r="C7" s="21">
        <f>301.454+47.94</f>
        <v>349.394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-28.67480624000001</v>
      </c>
    </row>
    <row r="10"/>
    <row r="11">
      <c r="B11" s="14" t="inlineStr">
        <is>
          <t>rNPV / Share</t>
        </is>
      </c>
      <c r="C11" s="11">
        <f>NPV!B27</f>
        <v>9.189476862517855</v>
      </c>
    </row>
    <row r="12">
      <c r="B12" s="14" t="inlineStr">
        <is>
          <t>Upside</t>
        </is>
      </c>
      <c r="C12" s="15">
        <f>IFERROR(C11/C3-1,"")</f>
        <v>0.40083488757894137</v>
      </c>
    </row>
    <row r="13">
      <c r="B13" s="14" t="inlineStr">
        <is>
          <t>Cash / Share</t>
        </is>
      </c>
      <c r="C13" s="11">
        <f>IFERROR((C7-C8)/C4,"")</f>
        <v>7.146515346116652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-75.232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4.644220544449171</v>
      </c>
    </row>
    <row r="19">
      <c r="B19" s="14" t="inlineStr">
        <is>
          <t>Implied Pipeline Value</t>
        </is>
      </c>
      <c r="C19" s="13">
        <f>C9</f>
        <v>-28.67480624000001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33.492</v>
      </c>
      <c r="C2" s="23" t="n">
        <v>0.251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33.492</v>
      </c>
      <c r="C4" s="23">
        <f>C2-C3</f>
        <v>0.251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50.251</v>
      </c>
      <c r="C5" s="23" t="n">
        <v>50.328</v>
      </c>
      <c r="D5" s="23" t="n">
        <v>69.54000000000001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13.912</v>
      </c>
      <c r="C6" s="23" t="n">
        <v>17.205</v>
      </c>
      <c r="D6" s="23" t="n">
        <v>20.27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64.163</v>
      </c>
      <c r="C7" s="23">
        <f>SUM(C5:C6)</f>
        <v>67.533</v>
      </c>
      <c r="D7" s="23">
        <f>SUM(D5:D6)</f>
        <v>89.81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-30.671</v>
      </c>
      <c r="C8" s="23">
        <f>C4-C7</f>
        <v>-67.282</v>
      </c>
      <c r="D8" s="23">
        <f>D4-D7</f>
        <v>-89.81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2.023</v>
      </c>
      <c r="C9" s="23" t="n">
        <v>1.909</v>
      </c>
      <c r="D9" s="23" t="n">
        <v>5.945</v>
      </c>
    </row>
    <row r="10">
      <c r="A10" s="2" t="inlineStr">
        <is>
          <t>Pretax</t>
        </is>
      </c>
      <c r="B10" s="23">
        <f>B8+B9</f>
        <v>-28.648</v>
      </c>
      <c r="C10" s="23">
        <f>C8+C9</f>
        <v>-65.37299999999999</v>
      </c>
      <c r="D10" s="23">
        <f>D8+D9</f>
        <v>-83.86500000000001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0.07199999999999999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-28.72</v>
      </c>
      <c r="C12" s="23" t="n">
        <v>-65.373</v>
      </c>
      <c r="D12" s="23" t="n">
        <v>-83.86499999999999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-2.5556148780921872</v>
      </c>
      <c r="C13" s="11">
        <f>IFERROR(C12/C14,0)</f>
        <v>-5.806288302691181</v>
      </c>
      <c r="D13" s="11">
        <f>IFERROR(D12/D14,0)</f>
        <v>-3.4309032891507116</v>
      </c>
    </row>
    <row r="14">
      <c r="A14" s="2" t="inlineStr">
        <is>
          <t>Shares</t>
        </is>
      </c>
      <c r="B14" s="23" t="n">
        <v>11.238</v>
      </c>
      <c r="C14" s="23" t="n">
        <v>11.259</v>
      </c>
      <c r="D14" s="23" t="n">
        <v>24.444</v>
      </c>
    </row>
    <row r="15"/>
    <row r="16" customFormat="1" s="4">
      <c r="A16" s="3" t="inlineStr">
        <is>
          <t>Revenue Change</t>
        </is>
      </c>
      <c r="C16" s="15">
        <f>IFERROR(C2/B2-1,"")</f>
        <v>-0.9925056729965365</v>
      </c>
      <c r="D16" s="15">
        <f>IFERROR(D2/C2-1,"")</f>
        <v>-1.0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-0.9157709303714321</v>
      </c>
      <c r="C18" s="15">
        <f>IFERROR(C8/C2,"")</f>
        <v>-268.0557768924303</v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Artiva Biotherapeutics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0.38213729821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96.148</v>
      </c>
    </row>
    <row r="19">
      <c r="A19" s="14" t="inlineStr">
        <is>
          <t>Years of full burn (until the first launch, max 4)</t>
        </is>
      </c>
      <c r="B19" s="39">
        <f>MIN(4,MAX(1,MIN(Pipeline!I4:I6)-2026))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178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99.8806357351983</v>
      </c>
      <c r="C29" s="42">
        <f>NPV!B25</f>
        <v>449.27463573519833</v>
      </c>
      <c r="D29" s="43">
        <f>NPV!B27</f>
        <v>9.189476862517855</v>
      </c>
      <c r="E29" s="44">
        <f>NPV!B29</f>
        <v>0.40083488757894137</v>
      </c>
    </row>
    <row r="30">
      <c r="A30" s="45" t="n">
        <v>1</v>
      </c>
      <c r="B30" s="46">
        <f t="dataTable" ref="B30:E32" r1="B4"/>
        <v>-126.80365026059829</v>
      </c>
      <c r="C30" s="46">
        <v>222.59034973940172</v>
      </c>
      <c r="D30" s="47">
        <v>4.552869683824299</v>
      </c>
      <c r="E30" s="48">
        <v>-0.3059649872219057</v>
      </c>
    </row>
    <row r="31">
      <c r="A31" s="45" t="n">
        <v>2</v>
      </c>
      <c r="B31" s="46">
        <v>99.8806357351983</v>
      </c>
      <c r="C31" s="46">
        <v>449.27463573519833</v>
      </c>
      <c r="D31" s="47">
        <v>9.189476862517855</v>
      </c>
      <c r="E31" s="48">
        <v>0.40083488757894137</v>
      </c>
    </row>
    <row r="32">
      <c r="A32" s="45" t="n">
        <v>3</v>
      </c>
      <c r="B32" s="46">
        <v>471.6658361279943</v>
      </c>
      <c r="C32" s="46">
        <v>821.0598361279942</v>
      </c>
      <c r="D32" s="47">
        <v>16.79398249245475</v>
      </c>
      <c r="E32" s="48">
        <v>1.5600583067766385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9.189476862517855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3.716073653256001</v>
      </c>
      <c r="C37" s="47">
        <v>5.049036589012288</v>
      </c>
      <c r="D37" s="47">
        <v>6.29927218728058</v>
      </c>
      <c r="E37" s="47">
        <v>8.734523901874452</v>
      </c>
      <c r="F37" s="47">
        <v>11.132705605974948</v>
      </c>
    </row>
    <row r="38">
      <c r="A38" s="50" t="n">
        <v>0.8</v>
      </c>
      <c r="B38" s="47">
        <v>4.431618882769986</v>
      </c>
      <c r="C38" s="47">
        <v>6.114358565236825</v>
      </c>
      <c r="D38" s="47">
        <v>7.747866377069499</v>
      </c>
      <c r="E38" s="47">
        <v>10.95441378222219</v>
      </c>
      <c r="F38" s="47">
        <v>14.128036640928304</v>
      </c>
    </row>
    <row r="39">
      <c r="A39" s="50" t="n">
        <v>1</v>
      </c>
      <c r="B39" s="47">
        <v>5.105399796421873</v>
      </c>
      <c r="C39" s="47">
        <v>7.169701888175458</v>
      </c>
      <c r="D39" s="47">
        <v>9.189476862517855</v>
      </c>
      <c r="E39" s="47">
        <v>13.17066302654369</v>
      </c>
      <c r="F39" s="47">
        <v>17.12465219350625</v>
      </c>
    </row>
    <row r="40">
      <c r="A40" s="50" t="n">
        <v>1.2</v>
      </c>
      <c r="B40" s="47">
        <v>5.774373093217505</v>
      </c>
      <c r="C40" s="47">
        <v>8.222157974675595</v>
      </c>
      <c r="D40" s="47">
        <v>10.626603266232058</v>
      </c>
      <c r="E40" s="47">
        <v>15.38579767620576</v>
      </c>
      <c r="F40" s="47">
        <v>20.116396559035095</v>
      </c>
    </row>
    <row r="41">
      <c r="A41" s="50" t="n">
        <v>1.4</v>
      </c>
      <c r="B41" s="47">
        <v>6.444847240860616</v>
      </c>
      <c r="C41" s="47">
        <v>9.279542423650785</v>
      </c>
      <c r="D41" s="47">
        <v>12.071913661687306</v>
      </c>
      <c r="E41" s="47">
        <v>17.61001257528475</v>
      </c>
      <c r="F41" s="47">
        <v>23.11309983533613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Artiva Biotherapeutics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Rare autoimmune</t>
        </is>
      </c>
      <c r="C4" s="14" t="inlineStr">
        <is>
          <t>Allogeneic NK Cells</t>
        </is>
      </c>
      <c r="D4" s="14" t="inlineStr">
        <is>
          <t>Phase 2</t>
        </is>
      </c>
      <c r="E4" s="14" t="inlineStr">
        <is>
          <t>Autoimmune / rare</t>
        </is>
      </c>
      <c r="F4" s="14" t="inlineStr">
        <is>
          <t>Owned</t>
        </is>
      </c>
      <c r="G4" s="40" t="n">
        <v>800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229.11714950603306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20.168</v>
      </c>
      <c r="S4" s="23">
        <f>IF(S$3&lt;$I4,0,$G4*Assumptions!$E$11*INDEX(Assumptions!$B$24:$G$24,MIN(6,S$3-$I4+1))*IF(S$3&gt;$J4,(1-Assumptions!$B$26)^(S$3-$J4),1)*IF($H4&gt;=1,1,MIN(0.97,$H4*Assumptions!$E$12)))</f>
        <v>50.42</v>
      </c>
      <c r="T4" s="23">
        <f>IF(T$3&lt;$I4,0,$G4*Assumptions!$E$11*INDEX(Assumptions!$B$24:$G$24,MIN(6,T$3-$I4+1))*IF(T$3&gt;$J4,(1-Assumptions!$B$26)^(T$3-$J4),1)*IF($H4&gt;=1,1,MIN(0.97,$H4*Assumptions!$E$12)))</f>
        <v>90.756</v>
      </c>
      <c r="U4" s="23">
        <f>IF(U$3&lt;$I4,0,$G4*Assumptions!$E$11*INDEX(Assumptions!$B$24:$G$24,MIN(6,U$3-$I4+1))*IF(U$3&gt;$J4,(1-Assumptions!$B$26)^(U$3-$J4),1)*IF($H4&gt;=1,1,MIN(0.97,$H4*Assumptions!$E$12)))</f>
        <v>131.09199999999998</v>
      </c>
      <c r="V4" s="23">
        <f>IF(V$3&lt;$I4,0,$G4*Assumptions!$E$11*INDEX(Assumptions!$B$24:$G$24,MIN(6,V$3-$I4+1))*IF(V$3&gt;$J4,(1-Assumptions!$B$26)^(V$3-$J4),1)*IF($H4&gt;=1,1,MIN(0.97,$H4*Assumptions!$E$12)))</f>
        <v>171.428</v>
      </c>
      <c r="W4" s="23">
        <f>IF(W$3&lt;$I4,0,$G4*Assumptions!$E$11*INDEX(Assumptions!$B$24:$G$24,MIN(6,W$3-$I4+1))*IF(W$3&gt;$J4,(1-Assumptions!$B$26)^(W$3-$J4),1)*IF($H4&gt;=1,1,MIN(0.97,$H4*Assumptions!$E$12)))</f>
        <v>201.68</v>
      </c>
      <c r="X4" s="23">
        <f>IF(X$3&lt;$I4,0,$G4*Assumptions!$E$11*INDEX(Assumptions!$B$24:$G$24,MIN(6,X$3-$I4+1))*IF(X$3&gt;$J4,(1-Assumptions!$B$26)^(X$3-$J4),1)*IF($H4&gt;=1,1,MIN(0.97,$H4*Assumptions!$E$12)))</f>
        <v>201.68</v>
      </c>
      <c r="Y4" s="23">
        <f>IF(Y$3&lt;$I4,0,$G4*Assumptions!$E$11*INDEX(Assumptions!$B$24:$G$24,MIN(6,Y$3-$I4+1))*IF(Y$3&gt;$J4,(1-Assumptions!$B$26)^(Y$3-$J4),1)*IF($H4&gt;=1,1,MIN(0.97,$H4*Assumptions!$E$12)))</f>
        <v>201.68</v>
      </c>
      <c r="Z4" s="23">
        <f>IF(Z$3&lt;$I4,0,$G4*Assumptions!$E$11*INDEX(Assumptions!$B$24:$G$24,MIN(6,Z$3-$I4+1))*IF(Z$3&gt;$J4,(1-Assumptions!$B$26)^(Z$3-$J4),1)*IF($H4&gt;=1,1,MIN(0.97,$H4*Assumptions!$E$12)))</f>
        <v>201.68</v>
      </c>
      <c r="AA4" s="23">
        <f>IF(AA$3&lt;$I4,0,$G4*Assumptions!$E$11*INDEX(Assumptions!$B$24:$G$24,MIN(6,AA$3-$I4+1))*IF(AA$3&gt;$J4,(1-Assumptions!$B$26)^(AA$3-$J4),1)*IF($H4&gt;=1,1,MIN(0.97,$H4*Assumptions!$E$12)))</f>
        <v>201.68</v>
      </c>
      <c r="AB4" s="23">
        <f>IF(AB$3&lt;$I4,0,$G4*Assumptions!$E$11*INDEX(Assumptions!$B$24:$G$24,MIN(6,AB$3-$I4+1))*IF(AB$3&gt;$J4,(1-Assumptions!$B$26)^(AB$3-$J4),1)*IF($H4&gt;=1,1,MIN(0.97,$H4*Assumptions!$E$12)))</f>
        <v>201.68</v>
      </c>
      <c r="AC4" s="23">
        <f>IF(AC$3&lt;$I4,0,$G4*Assumptions!$E$11*INDEX(Assumptions!$B$24:$G$24,MIN(6,AC$3-$I4+1))*IF(AC$3&gt;$J4,(1-Assumptions!$B$26)^(AC$3-$J4),1)*IF($H4&gt;=1,1,MIN(0.97,$H4*Assumptions!$E$12)))</f>
        <v>201.68</v>
      </c>
      <c r="AD4" s="23">
        <f>IF(AD$3&lt;$I4,0,$G4*Assumptions!$E$11*INDEX(Assumptions!$B$24:$G$24,MIN(6,AD$3-$I4+1))*IF(AD$3&gt;$J4,(1-Assumptions!$B$26)^(AD$3-$J4),1)*IF($H4&gt;=1,1,MIN(0.97,$H4*Assumptions!$E$12)))</f>
        <v>201.68</v>
      </c>
      <c r="AE4" s="23">
        <f>IF(AE$3&lt;$I4,0,$G4*Assumptions!$E$11*INDEX(Assumptions!$B$24:$G$24,MIN(6,AE$3-$I4+1))*IF(AE$3&gt;$J4,(1-Assumptions!$B$26)^(AE$3-$J4),1)*IF($H4&gt;=1,1,MIN(0.97,$H4*Assumptions!$E$12)))</f>
        <v>100.84</v>
      </c>
      <c r="AF4" s="23">
        <f>IF(AF$3&lt;$I4,0,$G4*Assumptions!$E$11*INDEX(Assumptions!$B$24:$G$24,MIN(6,AF$3-$I4+1))*IF(AF$3&gt;$J4,(1-Assumptions!$B$26)^(AF$3-$J4),1)*IF($H4&gt;=1,1,MIN(0.97,$H4*Assumptions!$E$12)))</f>
        <v>50.42</v>
      </c>
      <c r="AG4" s="35">
        <f>IF(F4="Owned",1-IF(H4&gt;=1,1,MIN(0.97,H4*Assumptions!$E$12)),1)</f>
        <v>0.7479</v>
      </c>
    </row>
    <row r="5">
      <c r="A5" s="39" t="n">
        <v>2</v>
      </c>
      <c r="B5" s="14" t="inlineStr">
        <is>
          <t>Lupus / Sjogren's</t>
        </is>
      </c>
      <c r="C5" s="14" t="inlineStr">
        <is>
          <t>AB-101, Cyclophosphamide</t>
        </is>
      </c>
      <c r="D5" s="14" t="inlineStr">
        <is>
          <t>Phase 1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1500</v>
      </c>
      <c r="H5" s="27" t="n">
        <v>0.1065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139.88846309262294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15.975</v>
      </c>
      <c r="U5" s="23">
        <f>IF(U$3&lt;$I5,0,$G5*Assumptions!$E$11*INDEX(Assumptions!$B$24:$G$24,MIN(6,U$3-$I5+1))*IF(U$3&gt;$J5,(1-Assumptions!$B$26)^(U$3-$J5),1)*IF($H5&gt;=1,1,MIN(0.97,$H5*Assumptions!$E$12)))</f>
        <v>39.9375</v>
      </c>
      <c r="V5" s="23">
        <f>IF(V$3&lt;$I5,0,$G5*Assumptions!$E$11*INDEX(Assumptions!$B$24:$G$24,MIN(6,V$3-$I5+1))*IF(V$3&gt;$J5,(1-Assumptions!$B$26)^(V$3-$J5),1)*IF($H5&gt;=1,1,MIN(0.97,$H5*Assumptions!$E$12)))</f>
        <v>71.8875</v>
      </c>
      <c r="W5" s="23">
        <f>IF(W$3&lt;$I5,0,$G5*Assumptions!$E$11*INDEX(Assumptions!$B$24:$G$24,MIN(6,W$3-$I5+1))*IF(W$3&gt;$J5,(1-Assumptions!$B$26)^(W$3-$J5),1)*IF($H5&gt;=1,1,MIN(0.97,$H5*Assumptions!$E$12)))</f>
        <v>103.83749999999999</v>
      </c>
      <c r="X5" s="23">
        <f>IF(X$3&lt;$I5,0,$G5*Assumptions!$E$11*INDEX(Assumptions!$B$24:$G$24,MIN(6,X$3-$I5+1))*IF(X$3&gt;$J5,(1-Assumptions!$B$26)^(X$3-$J5),1)*IF($H5&gt;=1,1,MIN(0.97,$H5*Assumptions!$E$12)))</f>
        <v>135.7875</v>
      </c>
      <c r="Y5" s="23">
        <f>IF(Y$3&lt;$I5,0,$G5*Assumptions!$E$11*INDEX(Assumptions!$B$24:$G$24,MIN(6,Y$3-$I5+1))*IF(Y$3&gt;$J5,(1-Assumptions!$B$26)^(Y$3-$J5),1)*IF($H5&gt;=1,1,MIN(0.97,$H5*Assumptions!$E$12)))</f>
        <v>159.75</v>
      </c>
      <c r="Z5" s="23">
        <f>IF(Z$3&lt;$I5,0,$G5*Assumptions!$E$11*INDEX(Assumptions!$B$24:$G$24,MIN(6,Z$3-$I5+1))*IF(Z$3&gt;$J5,(1-Assumptions!$B$26)^(Z$3-$J5),1)*IF($H5&gt;=1,1,MIN(0.97,$H5*Assumptions!$E$12)))</f>
        <v>159.75</v>
      </c>
      <c r="AA5" s="23">
        <f>IF(AA$3&lt;$I5,0,$G5*Assumptions!$E$11*INDEX(Assumptions!$B$24:$G$24,MIN(6,AA$3-$I5+1))*IF(AA$3&gt;$J5,(1-Assumptions!$B$26)^(AA$3-$J5),1)*IF($H5&gt;=1,1,MIN(0.97,$H5*Assumptions!$E$12)))</f>
        <v>159.75</v>
      </c>
      <c r="AB5" s="23">
        <f>IF(AB$3&lt;$I5,0,$G5*Assumptions!$E$11*INDEX(Assumptions!$B$24:$G$24,MIN(6,AB$3-$I5+1))*IF(AB$3&gt;$J5,(1-Assumptions!$B$26)^(AB$3-$J5),1)*IF($H5&gt;=1,1,MIN(0.97,$H5*Assumptions!$E$12)))</f>
        <v>159.75</v>
      </c>
      <c r="AC5" s="23">
        <f>IF(AC$3&lt;$I5,0,$G5*Assumptions!$E$11*INDEX(Assumptions!$B$24:$G$24,MIN(6,AC$3-$I5+1))*IF(AC$3&gt;$J5,(1-Assumptions!$B$26)^(AC$3-$J5),1)*IF($H5&gt;=1,1,MIN(0.97,$H5*Assumptions!$E$12)))</f>
        <v>159.75</v>
      </c>
      <c r="AD5" s="23">
        <f>IF(AD$3&lt;$I5,0,$G5*Assumptions!$E$11*INDEX(Assumptions!$B$24:$G$24,MIN(6,AD$3-$I5+1))*IF(AD$3&gt;$J5,(1-Assumptions!$B$26)^(AD$3-$J5),1)*IF($H5&gt;=1,1,MIN(0.97,$H5*Assumptions!$E$12)))</f>
        <v>159.75</v>
      </c>
      <c r="AE5" s="23">
        <f>IF(AE$3&lt;$I5,0,$G5*Assumptions!$E$11*INDEX(Assumptions!$B$24:$G$24,MIN(6,AE$3-$I5+1))*IF(AE$3&gt;$J5,(1-Assumptions!$B$26)^(AE$3-$J5),1)*IF($H5&gt;=1,1,MIN(0.97,$H5*Assumptions!$E$12)))</f>
        <v>159.75</v>
      </c>
      <c r="AF5" s="23">
        <f>IF(AF$3&lt;$I5,0,$G5*Assumptions!$E$11*INDEX(Assumptions!$B$24:$G$24,MIN(6,AF$3-$I5+1))*IF(AF$3&gt;$J5,(1-Assumptions!$B$26)^(AF$3-$J5),1)*IF($H5&gt;=1,1,MIN(0.97,$H5*Assumptions!$E$12)))</f>
        <v>159.75</v>
      </c>
      <c r="AG5" s="35">
        <f>IF(F5="Owned",1-IF(H5&gt;=1,1,MIN(0.97,H5*Assumptions!$E$12)),1)</f>
        <v>0.8935</v>
      </c>
    </row>
    <row r="6">
      <c r="A6" s="39" t="n">
        <v>3</v>
      </c>
      <c r="B6" s="14" t="inlineStr">
        <is>
          <t>Lymphoma</t>
        </is>
      </c>
      <c r="C6" s="14" t="inlineStr">
        <is>
          <t>GCC2005, Cyclophosphamide</t>
        </is>
      </c>
      <c r="D6" s="14" t="inlineStr">
        <is>
          <t>Phase 1/2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1500</v>
      </c>
      <c r="H6" s="27" t="n">
        <v>0.07539999999999999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113.54812869523724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11.309999999999999</v>
      </c>
      <c r="T6" s="23">
        <f>IF(T$3&lt;$I6,0,$G6*Assumptions!$E$11*INDEX(Assumptions!$B$24:$G$24,MIN(6,T$3-$I6+1))*IF(T$3&gt;$J6,(1-Assumptions!$B$26)^(T$3-$J6),1)*IF($H6&gt;=1,1,MIN(0.97,$H6*Assumptions!$E$12)))</f>
        <v>28.275</v>
      </c>
      <c r="U6" s="23">
        <f>IF(U$3&lt;$I6,0,$G6*Assumptions!$E$11*INDEX(Assumptions!$B$24:$G$24,MIN(6,U$3-$I6+1))*IF(U$3&gt;$J6,(1-Assumptions!$B$26)^(U$3-$J6),1)*IF($H6&gt;=1,1,MIN(0.97,$H6*Assumptions!$E$12)))</f>
        <v>50.894999999999996</v>
      </c>
      <c r="V6" s="23">
        <f>IF(V$3&lt;$I6,0,$G6*Assumptions!$E$11*INDEX(Assumptions!$B$24:$G$24,MIN(6,V$3-$I6+1))*IF(V$3&gt;$J6,(1-Assumptions!$B$26)^(V$3-$J6),1)*IF($H6&gt;=1,1,MIN(0.97,$H6*Assumptions!$E$12)))</f>
        <v>73.515</v>
      </c>
      <c r="W6" s="23">
        <f>IF(W$3&lt;$I6,0,$G6*Assumptions!$E$11*INDEX(Assumptions!$B$24:$G$24,MIN(6,W$3-$I6+1))*IF(W$3&gt;$J6,(1-Assumptions!$B$26)^(W$3-$J6),1)*IF($H6&gt;=1,1,MIN(0.97,$H6*Assumptions!$E$12)))</f>
        <v>96.13499999999999</v>
      </c>
      <c r="X6" s="23">
        <f>IF(X$3&lt;$I6,0,$G6*Assumptions!$E$11*INDEX(Assumptions!$B$24:$G$24,MIN(6,X$3-$I6+1))*IF(X$3&gt;$J6,(1-Assumptions!$B$26)^(X$3-$J6),1)*IF($H6&gt;=1,1,MIN(0.97,$H6*Assumptions!$E$12)))</f>
        <v>113.1</v>
      </c>
      <c r="Y6" s="23">
        <f>IF(Y$3&lt;$I6,0,$G6*Assumptions!$E$11*INDEX(Assumptions!$B$24:$G$24,MIN(6,Y$3-$I6+1))*IF(Y$3&gt;$J6,(1-Assumptions!$B$26)^(Y$3-$J6),1)*IF($H6&gt;=1,1,MIN(0.97,$H6*Assumptions!$E$12)))</f>
        <v>113.1</v>
      </c>
      <c r="Z6" s="23">
        <f>IF(Z$3&lt;$I6,0,$G6*Assumptions!$E$11*INDEX(Assumptions!$B$24:$G$24,MIN(6,Z$3-$I6+1))*IF(Z$3&gt;$J6,(1-Assumptions!$B$26)^(Z$3-$J6),1)*IF($H6&gt;=1,1,MIN(0.97,$H6*Assumptions!$E$12)))</f>
        <v>113.1</v>
      </c>
      <c r="AA6" s="23">
        <f>IF(AA$3&lt;$I6,0,$G6*Assumptions!$E$11*INDEX(Assumptions!$B$24:$G$24,MIN(6,AA$3-$I6+1))*IF(AA$3&gt;$J6,(1-Assumptions!$B$26)^(AA$3-$J6),1)*IF($H6&gt;=1,1,MIN(0.97,$H6*Assumptions!$E$12)))</f>
        <v>113.1</v>
      </c>
      <c r="AB6" s="23">
        <f>IF(AB$3&lt;$I6,0,$G6*Assumptions!$E$11*INDEX(Assumptions!$B$24:$G$24,MIN(6,AB$3-$I6+1))*IF(AB$3&gt;$J6,(1-Assumptions!$B$26)^(AB$3-$J6),1)*IF($H6&gt;=1,1,MIN(0.97,$H6*Assumptions!$E$12)))</f>
        <v>113.1</v>
      </c>
      <c r="AC6" s="23">
        <f>IF(AC$3&lt;$I6,0,$G6*Assumptions!$E$11*INDEX(Assumptions!$B$24:$G$24,MIN(6,AC$3-$I6+1))*IF(AC$3&gt;$J6,(1-Assumptions!$B$26)^(AC$3-$J6),1)*IF($H6&gt;=1,1,MIN(0.97,$H6*Assumptions!$E$12)))</f>
        <v>113.1</v>
      </c>
      <c r="AD6" s="23">
        <f>IF(AD$3&lt;$I6,0,$G6*Assumptions!$E$11*INDEX(Assumptions!$B$24:$G$24,MIN(6,AD$3-$I6+1))*IF(AD$3&gt;$J6,(1-Assumptions!$B$26)^(AD$3-$J6),1)*IF($H6&gt;=1,1,MIN(0.97,$H6*Assumptions!$E$12)))</f>
        <v>113.1</v>
      </c>
      <c r="AE6" s="23">
        <f>IF(AE$3&lt;$I6,0,$G6*Assumptions!$E$11*INDEX(Assumptions!$B$24:$G$24,MIN(6,AE$3-$I6+1))*IF(AE$3&gt;$J6,(1-Assumptions!$B$26)^(AE$3-$J6),1)*IF($H6&gt;=1,1,MIN(0.97,$H6*Assumptions!$E$12)))</f>
        <v>113.1</v>
      </c>
      <c r="AF6" s="23">
        <f>IF(AF$3&lt;$I6,0,$G6*Assumptions!$E$11*INDEX(Assumptions!$B$24:$G$24,MIN(6,AF$3-$I6+1))*IF(AF$3&gt;$J6,(1-Assumptions!$B$26)^(AF$3-$J6),1)*IF($H6&gt;=1,1,MIN(0.97,$H6*Assumptions!$E$12)))</f>
        <v>56.55</v>
      </c>
      <c r="AG6" s="35">
        <f>IF(F6="Owned",1-IF(H6&gt;=1,1,MIN(0.97,H6*Assumptions!$E$12)),1)</f>
        <v>0.9246</v>
      </c>
    </row>
    <row r="7">
      <c r="B7" s="24" t="inlineStr">
        <is>
          <t>Risked revenue</t>
        </is>
      </c>
      <c r="L7" s="54">
        <f>SUM(L4:L6)</f>
        <v>482.55374129389327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0.0</v>
      </c>
      <c r="Q7" s="54">
        <f>SUM(Q4:Q6)</f>
        <v>0.0</v>
      </c>
      <c r="R7" s="54">
        <f>SUM(R4:R6)</f>
        <v>20.168</v>
      </c>
      <c r="S7" s="54">
        <f>SUM(S4:S6)</f>
        <v>61.730000000000004</v>
      </c>
      <c r="T7" s="54">
        <f>SUM(T4:T6)</f>
        <v>135.006</v>
      </c>
      <c r="U7" s="54">
        <f>SUM(U4:U6)</f>
        <v>221.92449999999997</v>
      </c>
      <c r="V7" s="54">
        <f>SUM(V4:V6)</f>
        <v>316.8305</v>
      </c>
      <c r="W7" s="54">
        <f>SUM(W4:W6)</f>
        <v>401.6525</v>
      </c>
      <c r="X7" s="54">
        <f>SUM(X4:X6)</f>
        <v>450.5675</v>
      </c>
      <c r="Y7" s="54">
        <f>SUM(Y4:Y6)</f>
        <v>474.53</v>
      </c>
      <c r="Z7" s="54">
        <f>SUM(Z4:Z6)</f>
        <v>474.53</v>
      </c>
      <c r="AA7" s="54">
        <f>SUM(AA4:AA6)</f>
        <v>474.53</v>
      </c>
      <c r="AB7" s="54">
        <f>SUM(AB4:AB6)</f>
        <v>474.53</v>
      </c>
      <c r="AC7" s="54">
        <f>SUM(AC4:AC6)</f>
        <v>474.53</v>
      </c>
      <c r="AD7" s="54">
        <f>SUM(AD4:AD6)</f>
        <v>474.53</v>
      </c>
      <c r="AE7" s="54">
        <f>SUM(AE4:AE6)</f>
        <v>373.69000000000005</v>
      </c>
      <c r="AF7" s="54">
        <f>SUM(AF4:AF6)</f>
        <v>266.72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0.0</v>
      </c>
      <c r="Q8" s="55">
        <f>SUMPRODUCT(Q4:Q6,$K$4:$K$6)</f>
        <v>0.0</v>
      </c>
      <c r="R8" s="55">
        <f>SUMPRODUCT(R4:R6,$K$4:$K$6)</f>
        <v>8.0672</v>
      </c>
      <c r="S8" s="55">
        <f>SUMPRODUCT(S4:S6,$K$4:$K$6)</f>
        <v>24.692000000000004</v>
      </c>
      <c r="T8" s="55">
        <f>SUMPRODUCT(T4:T6,$K$4:$K$6)</f>
        <v>54.0024</v>
      </c>
      <c r="U8" s="55">
        <f>SUMPRODUCT(U4:U6,$K$4:$K$6)</f>
        <v>88.7698</v>
      </c>
      <c r="V8" s="55">
        <f>SUMPRODUCT(V4:V6,$K$4:$K$6)</f>
        <v>126.7322</v>
      </c>
      <c r="W8" s="55">
        <f>SUMPRODUCT(W4:W6,$K$4:$K$6)</f>
        <v>160.661</v>
      </c>
      <c r="X8" s="55">
        <f>SUMPRODUCT(X4:X6,$K$4:$K$6)</f>
        <v>180.22700000000003</v>
      </c>
      <c r="Y8" s="55">
        <f>SUMPRODUCT(Y4:Y6,$K$4:$K$6)</f>
        <v>189.812</v>
      </c>
      <c r="Z8" s="55">
        <f>SUMPRODUCT(Z4:Z6,$K$4:$K$6)</f>
        <v>189.812</v>
      </c>
      <c r="AA8" s="55">
        <f>SUMPRODUCT(AA4:AA6,$K$4:$K$6)</f>
        <v>189.812</v>
      </c>
      <c r="AB8" s="55">
        <f>SUMPRODUCT(AB4:AB6,$K$4:$K$6)</f>
        <v>189.812</v>
      </c>
      <c r="AC8" s="55">
        <f>SUMPRODUCT(AC4:AC6,$K$4:$K$6)</f>
        <v>189.812</v>
      </c>
      <c r="AD8" s="55">
        <f>SUMPRODUCT(AD4:AD6,$K$4:$K$6)</f>
        <v>189.812</v>
      </c>
      <c r="AE8" s="55">
        <f>SUMPRODUCT(AE4:AE6,$K$4:$K$6)</f>
        <v>149.47600000000003</v>
      </c>
      <c r="AF8" s="55">
        <f>SUMPRODUCT(AF4:AF6,$K$4:$K$6)</f>
        <v>106.68800000000002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Artiva Biotherapeutics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0.0</v>
      </c>
      <c r="G4" s="57">
        <f>Pipeline!Q7</f>
        <v>0.0</v>
      </c>
      <c r="H4" s="57">
        <f>Pipeline!R7</f>
        <v>20.168</v>
      </c>
      <c r="I4" s="57">
        <f>Pipeline!S7</f>
        <v>61.730000000000004</v>
      </c>
      <c r="J4" s="57">
        <f>Pipeline!T7</f>
        <v>135.006</v>
      </c>
      <c r="K4" s="57">
        <f>Pipeline!U7</f>
        <v>221.92449999999997</v>
      </c>
      <c r="L4" s="57">
        <f>Pipeline!V7</f>
        <v>316.8305</v>
      </c>
      <c r="M4" s="57">
        <f>Pipeline!W7</f>
        <v>401.6525</v>
      </c>
      <c r="N4" s="57">
        <f>Pipeline!X7</f>
        <v>450.5675</v>
      </c>
      <c r="O4" s="57">
        <f>Pipeline!Y7</f>
        <v>474.53</v>
      </c>
      <c r="P4" s="57">
        <f>Pipeline!Z7</f>
        <v>474.53</v>
      </c>
      <c r="Q4" s="57">
        <f>Pipeline!AA7</f>
        <v>474.53</v>
      </c>
      <c r="R4" s="57">
        <f>Pipeline!AB7</f>
        <v>474.53</v>
      </c>
      <c r="S4" s="57">
        <f>Pipeline!AC7</f>
        <v>474.53</v>
      </c>
      <c r="T4" s="57">
        <f>Pipeline!AD7</f>
        <v>474.53</v>
      </c>
      <c r="U4" s="57">
        <f>Pipeline!AE7</f>
        <v>373.69000000000005</v>
      </c>
      <c r="V4" s="57">
        <f>Pipeline!AF7</f>
        <v>266.72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0.0</v>
      </c>
      <c r="G5" s="57">
        <f>Pipeline!Q8</f>
        <v>0.0</v>
      </c>
      <c r="H5" s="57">
        <f>Pipeline!R8</f>
        <v>8.0672</v>
      </c>
      <c r="I5" s="57">
        <f>Pipeline!S8</f>
        <v>24.692000000000004</v>
      </c>
      <c r="J5" s="57">
        <f>Pipeline!T8</f>
        <v>54.0024</v>
      </c>
      <c r="K5" s="57">
        <f>Pipeline!U8</f>
        <v>88.7698</v>
      </c>
      <c r="L5" s="57">
        <f>Pipeline!V8</f>
        <v>126.7322</v>
      </c>
      <c r="M5" s="57">
        <f>Pipeline!W8</f>
        <v>160.661</v>
      </c>
      <c r="N5" s="57">
        <f>Pipeline!X8</f>
        <v>180.22700000000003</v>
      </c>
      <c r="O5" s="57">
        <f>Pipeline!Y8</f>
        <v>189.812</v>
      </c>
      <c r="P5" s="57">
        <f>Pipeline!Z8</f>
        <v>189.812</v>
      </c>
      <c r="Q5" s="57">
        <f>Pipeline!AA8</f>
        <v>189.812</v>
      </c>
      <c r="R5" s="57">
        <f>Pipeline!AB8</f>
        <v>189.812</v>
      </c>
      <c r="S5" s="57">
        <f>Pipeline!AC8</f>
        <v>189.812</v>
      </c>
      <c r="T5" s="57">
        <f>Pipeline!AD8</f>
        <v>189.812</v>
      </c>
      <c r="U5" s="57">
        <f>Pipeline!AE8</f>
        <v>149.47600000000003</v>
      </c>
      <c r="V5" s="57">
        <f>Pipeline!AF8</f>
        <v>106.68800000000002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-96.148</v>
      </c>
      <c r="D6" s="23">
        <f>-IF(D3-2026&lt;Assumptions!$B$19,Assumptions!$B$18,Assumptions!$B$18*Assumptions!$B$20*Assumptions!$B$16)</f>
        <v>-96.148</v>
      </c>
      <c r="E6" s="23">
        <f>-IF(E3-2026&lt;Assumptions!$B$19,Assumptions!$B$18,Assumptions!$B$18*Assumptions!$B$20*Assumptions!$B$16)</f>
        <v>-96.148</v>
      </c>
      <c r="F6" s="23">
        <f>-IF(F3-2026&lt;Assumptions!$B$19,Assumptions!$B$18,Assumptions!$B$18*Assumptions!$B$20*Assumptions!$B$16)</f>
        <v>-96.148</v>
      </c>
      <c r="G6" s="23">
        <f>-IF(G3-2026&lt;Assumptions!$B$19,Assumptions!$B$18,Assumptions!$B$18*Assumptions!$B$20*Assumptions!$B$16)</f>
        <v>-11.022521084488522</v>
      </c>
      <c r="H6" s="23">
        <f>-IF(H3-2026&lt;Assumptions!$B$19,Assumptions!$B$18,Assumptions!$B$18*Assumptions!$B$20*Assumptions!$B$16)</f>
        <v>-11.022521084488522</v>
      </c>
      <c r="I6" s="23">
        <f>-IF(I3-2026&lt;Assumptions!$B$19,Assumptions!$B$18,Assumptions!$B$18*Assumptions!$B$20*Assumptions!$B$16)</f>
        <v>-11.022521084488522</v>
      </c>
      <c r="J6" s="23">
        <f>-IF(J3-2026&lt;Assumptions!$B$19,Assumptions!$B$18,Assumptions!$B$18*Assumptions!$B$20*Assumptions!$B$16)</f>
        <v>-11.022521084488522</v>
      </c>
      <c r="K6" s="23">
        <f>-IF(K3-2026&lt;Assumptions!$B$19,Assumptions!$B$18,Assumptions!$B$18*Assumptions!$B$20*Assumptions!$B$16)</f>
        <v>-11.022521084488522</v>
      </c>
      <c r="L6" s="23">
        <f>-IF(L3-2026&lt;Assumptions!$B$19,Assumptions!$B$18,Assumptions!$B$18*Assumptions!$B$20*Assumptions!$B$16)</f>
        <v>-11.022521084488522</v>
      </c>
      <c r="M6" s="23">
        <f>-IF(M3-2026&lt;Assumptions!$B$19,Assumptions!$B$18,Assumptions!$B$18*Assumptions!$B$20*Assumptions!$B$16)</f>
        <v>-11.022521084488522</v>
      </c>
      <c r="N6" s="23">
        <f>-IF(N3-2026&lt;Assumptions!$B$19,Assumptions!$B$18,Assumptions!$B$18*Assumptions!$B$20*Assumptions!$B$16)</f>
        <v>-11.022521084488522</v>
      </c>
      <c r="O6" s="23">
        <f>-IF(O3-2026&lt;Assumptions!$B$19,Assumptions!$B$18,Assumptions!$B$18*Assumptions!$B$20*Assumptions!$B$16)</f>
        <v>-11.022521084488522</v>
      </c>
      <c r="P6" s="23">
        <f>-IF(P3-2026&lt;Assumptions!$B$19,Assumptions!$B$18,Assumptions!$B$18*Assumptions!$B$20*Assumptions!$B$16)</f>
        <v>-11.022521084488522</v>
      </c>
      <c r="Q6" s="23">
        <f>-IF(Q3-2026&lt;Assumptions!$B$19,Assumptions!$B$18,Assumptions!$B$18*Assumptions!$B$20*Assumptions!$B$16)</f>
        <v>-11.022521084488522</v>
      </c>
      <c r="R6" s="23">
        <f>-IF(R3-2026&lt;Assumptions!$B$19,Assumptions!$B$18,Assumptions!$B$18*Assumptions!$B$20*Assumptions!$B$16)</f>
        <v>-11.022521084488522</v>
      </c>
      <c r="S6" s="23">
        <f>-IF(S3-2026&lt;Assumptions!$B$19,Assumptions!$B$18,Assumptions!$B$18*Assumptions!$B$20*Assumptions!$B$16)</f>
        <v>-11.022521084488522</v>
      </c>
      <c r="T6" s="23">
        <f>-IF(T3-2026&lt;Assumptions!$B$19,Assumptions!$B$18,Assumptions!$B$18*Assumptions!$B$20*Assumptions!$B$16)</f>
        <v>-11.022521084488522</v>
      </c>
      <c r="U6" s="23">
        <f>-IF(U3-2026&lt;Assumptions!$B$19,Assumptions!$B$18,Assumptions!$B$18*Assumptions!$B$20*Assumptions!$B$16)</f>
        <v>-11.022521084488522</v>
      </c>
      <c r="V6" s="23">
        <f>-IF(V3-2026&lt;Assumptions!$B$19,Assumptions!$B$18,Assumptions!$B$18*Assumptions!$B$20*Assumptions!$B$16)</f>
        <v>-11.022521084488522</v>
      </c>
    </row>
    <row r="7">
      <c r="A7" s="14" t="inlineStr">
        <is>
          <t>Pre-tax cash flow</t>
        </is>
      </c>
      <c r="C7" s="23">
        <f>C5+C6</f>
        <v>-96.148</v>
      </c>
      <c r="D7" s="23">
        <f>D5+D6</f>
        <v>-96.148</v>
      </c>
      <c r="E7" s="23">
        <f>E5+E6</f>
        <v>-96.148</v>
      </c>
      <c r="F7" s="23">
        <f>F5+F6</f>
        <v>-96.148</v>
      </c>
      <c r="G7" s="23">
        <f>G5+G6</f>
        <v>-11.022521084488522</v>
      </c>
      <c r="H7" s="23">
        <f>H5+H6</f>
        <v>-2.9553210844885225</v>
      </c>
      <c r="I7" s="23">
        <f>I5+I6</f>
        <v>13.669478915511482</v>
      </c>
      <c r="J7" s="23">
        <f>J5+J6</f>
        <v>42.97987891551148</v>
      </c>
      <c r="K7" s="23">
        <f>K5+K6</f>
        <v>77.74727891551149</v>
      </c>
      <c r="L7" s="23">
        <f>L5+L6</f>
        <v>115.70967891551149</v>
      </c>
      <c r="M7" s="23">
        <f>M5+M6</f>
        <v>149.63847891551148</v>
      </c>
      <c r="N7" s="23">
        <f>N5+N6</f>
        <v>169.20447891551152</v>
      </c>
      <c r="O7" s="23">
        <f>O5+O6</f>
        <v>178.7894789155115</v>
      </c>
      <c r="P7" s="23">
        <f>P5+P6</f>
        <v>178.7894789155115</v>
      </c>
      <c r="Q7" s="23">
        <f>Q5+Q6</f>
        <v>178.7894789155115</v>
      </c>
      <c r="R7" s="23">
        <f>R5+R6</f>
        <v>178.7894789155115</v>
      </c>
      <c r="S7" s="23">
        <f>S5+S6</f>
        <v>178.7894789155115</v>
      </c>
      <c r="T7" s="23">
        <f>T5+T6</f>
        <v>178.7894789155115</v>
      </c>
      <c r="U7" s="23">
        <f>U5+U6</f>
        <v>138.4534789155115</v>
      </c>
      <c r="V7" s="23">
        <f>V5+V6</f>
        <v>95.6654789155115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13.669478915511482</v>
      </c>
      <c r="J8" s="23">
        <f>MIN(I17,MAX(0,J7))</f>
        <v>42.97987891551148</v>
      </c>
      <c r="K8" s="23">
        <f>MIN(J17,MAX(0,K7))</f>
        <v>77.74727891551149</v>
      </c>
      <c r="L8" s="23">
        <f>MIN(K17,MAX(0,L7))</f>
        <v>115.70967891551149</v>
      </c>
      <c r="M8" s="23">
        <f>MIN(L17,MAX(0,M7))</f>
        <v>149.63847891551148</v>
      </c>
      <c r="N8" s="23">
        <f>MIN(M17,MAX(0,N7))</f>
        <v>169.20447891551152</v>
      </c>
      <c r="O8" s="23">
        <f>MIN(N17,MAX(0,O7))</f>
        <v>7.620568675908203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171.1689102396033</v>
      </c>
      <c r="P9" s="23">
        <f>MAX(0,P7)-P8</f>
        <v>178.7894789155115</v>
      </c>
      <c r="Q9" s="23">
        <f>MAX(0,Q7)-Q8</f>
        <v>178.7894789155115</v>
      </c>
      <c r="R9" s="23">
        <f>MAX(0,R7)-R8</f>
        <v>178.7894789155115</v>
      </c>
      <c r="S9" s="23">
        <f>MAX(0,S7)-S8</f>
        <v>178.7894789155115</v>
      </c>
      <c r="T9" s="23">
        <f>MAX(0,T7)-T8</f>
        <v>178.7894789155115</v>
      </c>
      <c r="U9" s="23">
        <f>MAX(0,U7)-U8</f>
        <v>138.4534789155115</v>
      </c>
      <c r="V9" s="23">
        <f>MAX(0,V7)-V8</f>
        <v>95.6654789155115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35.94547115031669</v>
      </c>
      <c r="P10" s="23">
        <f>P9*Assumptions!$E$15</f>
        <v>37.54579057225741</v>
      </c>
      <c r="Q10" s="23">
        <f>Q9*Assumptions!$E$15</f>
        <v>37.54579057225741</v>
      </c>
      <c r="R10" s="23">
        <f>R9*Assumptions!$E$15</f>
        <v>37.54579057225741</v>
      </c>
      <c r="S10" s="23">
        <f>S9*Assumptions!$E$15</f>
        <v>37.54579057225741</v>
      </c>
      <c r="T10" s="23">
        <f>T9*Assumptions!$E$15</f>
        <v>37.54579057225741</v>
      </c>
      <c r="U10" s="23">
        <f>U9*Assumptions!$E$15</f>
        <v>29.075230572257418</v>
      </c>
      <c r="V10" s="23">
        <f>V9*Assumptions!$E$15</f>
        <v>20.089750572257415</v>
      </c>
    </row>
    <row r="11">
      <c r="A11" s="24" t="inlineStr">
        <is>
          <t>Free cash flow</t>
        </is>
      </c>
      <c r="C11" s="55">
        <f>C7-C10</f>
        <v>-96.148</v>
      </c>
      <c r="D11" s="55">
        <f>D7-D10</f>
        <v>-96.148</v>
      </c>
      <c r="E11" s="55">
        <f>E7-E10</f>
        <v>-96.148</v>
      </c>
      <c r="F11" s="55">
        <f>F7-F10</f>
        <v>-96.148</v>
      </c>
      <c r="G11" s="55">
        <f>G7-G10</f>
        <v>-11.022521084488522</v>
      </c>
      <c r="H11" s="55">
        <f>H7-H10</f>
        <v>-2.9553210844885225</v>
      </c>
      <c r="I11" s="55">
        <f>I7-I10</f>
        <v>13.669478915511482</v>
      </c>
      <c r="J11" s="55">
        <f>J7-J10</f>
        <v>42.97987891551148</v>
      </c>
      <c r="K11" s="55">
        <f>K7-K10</f>
        <v>77.74727891551149</v>
      </c>
      <c r="L11" s="55">
        <f>L7-L10</f>
        <v>115.70967891551149</v>
      </c>
      <c r="M11" s="55">
        <f>M7-M10</f>
        <v>149.63847891551148</v>
      </c>
      <c r="N11" s="55">
        <f>N7-N10</f>
        <v>169.20447891551152</v>
      </c>
      <c r="O11" s="55">
        <f>O7-O10</f>
        <v>142.84400776519482</v>
      </c>
      <c r="P11" s="55">
        <f>P7-P10</f>
        <v>141.2436883432541</v>
      </c>
      <c r="Q11" s="55">
        <f>Q7-Q10</f>
        <v>141.2436883432541</v>
      </c>
      <c r="R11" s="55">
        <f>R7-R10</f>
        <v>141.2436883432541</v>
      </c>
      <c r="S11" s="55">
        <f>S7-S10</f>
        <v>141.2436883432541</v>
      </c>
      <c r="T11" s="55">
        <f>T7-T10</f>
        <v>141.2436883432541</v>
      </c>
      <c r="U11" s="55">
        <f>U7-U10</f>
        <v>109.37824834325409</v>
      </c>
      <c r="V11" s="55">
        <f>V7-V10</f>
        <v>75.57572834325408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-47.10332334906165</v>
      </c>
      <c r="D16" s="55">
        <f>D11*D15</f>
        <v>-85.80654949916182</v>
      </c>
      <c r="E16" s="55">
        <f>E11*E15</f>
        <v>-76.6129906242516</v>
      </c>
      <c r="F16" s="55">
        <f>F11*F15</f>
        <v>-68.40445591451036</v>
      </c>
      <c r="G16" s="55">
        <f>G11*G15</f>
        <v>-7.001757313043581</v>
      </c>
      <c r="H16" s="55">
        <f>H11*H15</f>
        <v>-1.6761495507616497</v>
      </c>
      <c r="I16" s="55">
        <f>I11*I15</f>
        <v>6.9221663134888045</v>
      </c>
      <c r="J16" s="55">
        <f>J11*J15</f>
        <v>19.432882962007877</v>
      </c>
      <c r="K16" s="55">
        <f>K11*K15</f>
        <v>31.386235047286956</v>
      </c>
      <c r="L16" s="55">
        <f>L11*L15</f>
        <v>41.70668678912557</v>
      </c>
      <c r="M16" s="55">
        <f>M11*M15</f>
        <v>48.15720404587041</v>
      </c>
      <c r="N16" s="55">
        <f>N11*N15</f>
        <v>48.61964814216742</v>
      </c>
      <c r="O16" s="55">
        <f>O11*O15</f>
        <v>36.647466855285984</v>
      </c>
      <c r="P16" s="55">
        <f>P11*P15</f>
        <v>32.354371012703126</v>
      </c>
      <c r="Q16" s="55">
        <f>Q11*Q15</f>
        <v>28.88783126134208</v>
      </c>
      <c r="R16" s="55">
        <f>R11*R15</f>
        <v>25.792706483341142</v>
      </c>
      <c r="S16" s="55">
        <f>S11*S15</f>
        <v>23.029202217268875</v>
      </c>
      <c r="T16" s="55">
        <f>T11*T15</f>
        <v>20.561787693990063</v>
      </c>
      <c r="U16" s="55">
        <f>U11*U15</f>
        <v>14.216895200989331</v>
      </c>
      <c r="V16" s="55">
        <f>V11*V15</f>
        <v>8.770777961121373</v>
      </c>
    </row>
    <row r="17">
      <c r="A17" s="14" t="inlineStr">
        <is>
          <t>Tax-loss carryforward, end of year</t>
        </is>
      </c>
      <c r="C17" s="23">
        <f>Assumptions!$B$21-C8+MAX(0,-C7)</f>
        <v>274.148</v>
      </c>
      <c r="D17" s="23">
        <f>C17-D8+MAX(0,-D7)</f>
        <v>370.29600000000005</v>
      </c>
      <c r="E17" s="23">
        <f>D17-E8+MAX(0,-E7)</f>
        <v>466.4440000000001</v>
      </c>
      <c r="F17" s="23">
        <f>E17-F8+MAX(0,-F7)</f>
        <v>562.5920000000001</v>
      </c>
      <c r="G17" s="23">
        <f>F17-G8+MAX(0,-G7)</f>
        <v>573.6145210844886</v>
      </c>
      <c r="H17" s="23">
        <f>G17-H8+MAX(0,-H7)</f>
        <v>576.5698421689772</v>
      </c>
      <c r="I17" s="23">
        <f>H17-I8+MAX(0,-I7)</f>
        <v>562.9003632534657</v>
      </c>
      <c r="J17" s="23">
        <f>I17-J8+MAX(0,-J7)</f>
        <v>519.9204843379542</v>
      </c>
      <c r="K17" s="23">
        <f>J17-K8+MAX(0,-K7)</f>
        <v>442.1732054224427</v>
      </c>
      <c r="L17" s="23">
        <f>K17-L8+MAX(0,-L7)</f>
        <v>326.4635265069312</v>
      </c>
      <c r="M17" s="23">
        <f>L17-M8+MAX(0,-M7)</f>
        <v>176.82504759141972</v>
      </c>
      <c r="N17" s="23">
        <f>M17-N8+MAX(0,-N7)</f>
        <v>7.620568675908203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482.55374129389327</v>
      </c>
    </row>
    <row r="20">
      <c r="A20" s="14" t="inlineStr">
        <is>
          <t>PV of corporate burn</t>
        </is>
      </c>
      <c r="B20" s="23">
        <f>SUMPRODUCT(C6:V6,C15:V15)</f>
        <v>-332.6170969472894</v>
      </c>
    </row>
    <row r="21">
      <c r="A21" s="14" t="inlineStr">
        <is>
          <t>PV of taxes</t>
        </is>
      </c>
      <c r="B21" s="23">
        <f>-SUMPRODUCT(C10:V10,C15:V15)</f>
        <v>-50.056008611405495</v>
      </c>
    </row>
    <row r="22">
      <c r="A22" s="24" t="inlineStr">
        <is>
          <t>Pipeline rNPV (operations)</t>
        </is>
      </c>
      <c r="B22" s="54">
        <f>SUM(C16:V16)</f>
        <v>99.8806357351983</v>
      </c>
    </row>
    <row r="23">
      <c r="A23" s="14" t="inlineStr">
        <is>
          <t>Cash &amp; investments</t>
        </is>
      </c>
      <c r="B23" s="57">
        <f>Main!C7</f>
        <v>349.394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449.27463573519833</v>
      </c>
    </row>
    <row r="26">
      <c r="A26" s="14" t="inlineStr">
        <is>
          <t>Shares (mm)</t>
        </is>
      </c>
      <c r="B26" s="57">
        <f>Main!C4</f>
        <v>48.890121</v>
      </c>
    </row>
    <row r="27">
      <c r="A27" s="24" t="inlineStr">
        <is>
          <t>rNPV / share</t>
        </is>
      </c>
      <c r="B27" s="60">
        <f>B25/B26</f>
        <v>9.189476862517855</v>
      </c>
    </row>
    <row r="28">
      <c r="A28" s="14" t="inlineStr">
        <is>
          <t>Price</t>
        </is>
      </c>
      <c r="B28" s="61">
        <f>Main!C3</f>
        <v>6.56</v>
      </c>
    </row>
    <row r="29">
      <c r="A29" s="14" t="inlineStr">
        <is>
          <t>Upside</t>
        </is>
      </c>
      <c r="B29" s="62">
        <f>B27/B28-1</f>
        <v>0.40083488757894137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2026-10-21T06:26:01Z</dcterms:modified>
  <cp:lastModifiedBy>Wang, Eric</cp:lastModifiedBy>
</cp:coreProperties>
</file>