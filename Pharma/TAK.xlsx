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Takeda Pharmaceutical Company Limited</t>
        </is>
      </c>
      <c r="C2" s="10" t="n"/>
    </row>
    <row r="3">
      <c r="B3" t="inlineStr">
        <is>
          <t>Price</t>
        </is>
      </c>
      <c r="C3" s="11">
        <f>INDEX([1]Pharma!$F$1:$F$1000,MATCH("TAK",[1]Pharma!$B$1:$B$1000,0))</f>
        <v>20.08</v>
      </c>
      <c r="F3" s="1" t="n"/>
    </row>
    <row r="4">
      <c r="B4" t="inlineStr">
        <is>
          <t>Shares</t>
        </is>
      </c>
      <c r="C4" s="51">
        <f>1590.950000/0.5</f>
        <v>3181.9</v>
      </c>
      <c r="F4" s="1" t="n"/>
    </row>
    <row r="5">
      <c r="B5" t="inlineStr">
        <is>
          <t>Market Cap.</t>
        </is>
      </c>
      <c r="C5" s="13">
        <f>C3*C4</f>
        <v>63892.551999999996</v>
      </c>
      <c r="F5" s="1" t="n"/>
    </row>
    <row r="6"/>
    <row r="7">
      <c r="B7" t="inlineStr">
        <is>
          <t>Cash</t>
        </is>
      </c>
      <c r="C7" s="51">
        <f>(385113)/158.02</f>
        <v>2437.1155549930386</v>
      </c>
    </row>
    <row r="8">
      <c r="B8" t="inlineStr">
        <is>
          <t>Debt</t>
        </is>
      </c>
      <c r="C8" s="51">
        <f>(548939+3.96633e+06)/158.02</f>
        <v>28574.03493228705</v>
      </c>
    </row>
    <row r="9">
      <c r="B9" t="inlineStr">
        <is>
          <t>Enterprise V.</t>
        </is>
      </c>
      <c r="C9" s="13">
        <f>C5-C7+C8</f>
        <v>90029.471377294</v>
      </c>
    </row>
    <row r="10"/>
    <row r="11">
      <c r="B11" s="14" t="inlineStr">
        <is>
          <t>NPV / Share</t>
        </is>
      </c>
      <c r="C11" s="11">
        <f>NPV!B28</f>
        <v>17.467484760387503</v>
      </c>
    </row>
    <row r="12">
      <c r="B12" s="14" t="inlineStr">
        <is>
          <t>Upside</t>
        </is>
      </c>
      <c r="C12" s="15">
        <f>IFERROR(C11/C3-1,"")</f>
        <v>-0.13010534061815215</v>
      </c>
    </row>
    <row r="13">
      <c r="B13" s="14" t="inlineStr">
        <is>
          <t>Cash / Share</t>
        </is>
      </c>
      <c r="C13" s="11">
        <f>IFERROR((C7-C8)/C4,"")</f>
        <v>-8.214249152171348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10960.961</v>
      </c>
      <c r="C2" s="52" t="n">
        <v>11204.474</v>
      </c>
      <c r="D2" s="52" t="n">
        <v>13271.89</v>
      </c>
      <c r="E2" s="52" t="n">
        <v>20827.667</v>
      </c>
      <c r="F2" s="52" t="n">
        <v>20236.755</v>
      </c>
      <c r="G2" s="52" t="n">
        <v>22585.787</v>
      </c>
      <c r="H2" s="52" t="n">
        <v>25487.141</v>
      </c>
      <c r="I2" s="52" t="n">
        <v>26982.42</v>
      </c>
      <c r="J2" s="52" t="n">
        <v>28993.488</v>
      </c>
      <c r="K2" s="52">
        <f>J2*(1+NPV!C5)</f>
        <v>30924.4543008</v>
      </c>
      <c r="L2" s="52">
        <f>K2*(1+NPV!D5)</f>
        <v>32841.083257354025</v>
      </c>
      <c r="M2" s="52">
        <f>L2*(1+NPV!E5)</f>
        <v>34724.70183262582</v>
      </c>
      <c r="N2" s="52">
        <f>M2*(1+NPV!F5)</f>
        <v>36555.85110926629</v>
      </c>
      <c r="O2" s="52">
        <f>N2*(1+NPV!G5)</f>
        <v>38314.593723745435</v>
      </c>
      <c r="P2" s="52">
        <f>O2*(1+NPV!H5)</f>
        <v>39980.85283302032</v>
      </c>
      <c r="Q2" s="52">
        <f>P2*(1+NPV!I5)</f>
        <v>41534.775313130376</v>
      </c>
      <c r="R2" s="52">
        <f>Q2*(1+NPV!J5)</f>
        <v>42957.11061885335</v>
      </c>
      <c r="S2" s="52">
        <f>R2*(1+NPV!K5)</f>
        <v>44229.59569562961</v>
      </c>
      <c r="T2" s="52">
        <f>S2*(1+NPV!L5)</f>
        <v>45335.335588020345</v>
      </c>
    </row>
    <row r="3" customFormat="1" s="1">
      <c r="A3" s="5" t="inlineStr">
        <is>
          <t>Cost of Sales</t>
        </is>
      </c>
      <c r="B3" s="52" t="n">
        <v>3535.976</v>
      </c>
      <c r="C3" s="52" t="n">
        <v>3138.343</v>
      </c>
      <c r="D3" s="52" t="n">
        <v>4124.345</v>
      </c>
      <c r="E3" s="52" t="n">
        <v>6896.368</v>
      </c>
      <c r="F3" s="52" t="n">
        <v>6292.292</v>
      </c>
      <c r="G3" s="52" t="n">
        <v>7004.468</v>
      </c>
      <c r="H3" s="52" t="n">
        <v>7872.877</v>
      </c>
      <c r="I3" s="52" t="n">
        <v>9028.465</v>
      </c>
      <c r="J3" s="52" t="n">
        <v>10000.108</v>
      </c>
      <c r="K3" s="52">
        <f>K2*(1-Assumptions!$B$19)</f>
        <v>10665.84428834592</v>
      </c>
      <c r="L3" s="52">
        <f>L2*(1-Assumptions!$B$19)</f>
        <v>11326.889615461403</v>
      </c>
      <c r="M3" s="52">
        <f>M2*(1-Assumptions!$B$19)</f>
        <v>11976.549662072644</v>
      </c>
      <c r="N3" s="52">
        <f>N2*(1-Assumptions!$B$19)</f>
        <v>12608.113047585943</v>
      </c>
      <c r="O3" s="52">
        <f>O2*(1-Assumptions!$B$19)</f>
        <v>13214.7033753198</v>
      </c>
      <c r="P3" s="52">
        <f>P2*(1-Assumptions!$B$19)</f>
        <v>13789.396142108708</v>
      </c>
      <c r="Q3" s="52">
        <f>Q2*(1-Assumptions!$B$19)</f>
        <v>14325.344005498666</v>
      </c>
      <c r="R3" s="52">
        <f>R2*(1-Assumptions!$B$19)</f>
        <v>14815.907452442521</v>
      </c>
      <c r="S3" s="52">
        <f>S2*(1-Assumptions!$B$19)</f>
        <v>15254.78755542265</v>
      </c>
      <c r="T3" s="52">
        <f>T2*(1-Assumptions!$B$19)</f>
        <v>15636.157244308217</v>
      </c>
    </row>
    <row r="4" customFormat="1" s="1">
      <c r="A4" s="5" t="inlineStr">
        <is>
          <t>Gross Margin</t>
        </is>
      </c>
      <c r="B4" s="52">
        <f>B2-B3</f>
        <v>7424.984999999999</v>
      </c>
      <c r="C4" s="52">
        <f>C2-C3</f>
        <v>8066.131</v>
      </c>
      <c r="D4" s="52">
        <f>D2-D3</f>
        <v>9147.544999999998</v>
      </c>
      <c r="E4" s="52">
        <f>E2-E3</f>
        <v>13931.299</v>
      </c>
      <c r="F4" s="52">
        <f>F2-F3</f>
        <v>13944.463</v>
      </c>
      <c r="G4" s="52">
        <f>G2-G3</f>
        <v>15581.319</v>
      </c>
      <c r="H4" s="52">
        <f>H2-H3</f>
        <v>17614.264</v>
      </c>
      <c r="I4" s="52">
        <f>I2-I3</f>
        <v>17953.954999999998</v>
      </c>
      <c r="J4" s="52">
        <f>J2-J3</f>
        <v>18993.38</v>
      </c>
      <c r="K4" s="52">
        <f>K2-K3</f>
        <v>20258.610012454083</v>
      </c>
      <c r="L4" s="52">
        <f>L2-L3</f>
        <v>21514.19364189262</v>
      </c>
      <c r="M4" s="52">
        <f>M2-M3</f>
        <v>22748.152170553174</v>
      </c>
      <c r="N4" s="52">
        <f>N2-N3</f>
        <v>23947.738061680346</v>
      </c>
      <c r="O4" s="52">
        <f>O2-O3</f>
        <v>25099.890348425637</v>
      </c>
      <c r="P4" s="52">
        <f>P2-P3</f>
        <v>26191.45669091161</v>
      </c>
      <c r="Q4" s="52">
        <f>Q2-Q3</f>
        <v>27209.431307631712</v>
      </c>
      <c r="R4" s="52">
        <f>R2-R3</f>
        <v>28141.20316641083</v>
      </c>
      <c r="S4" s="52">
        <f>S2-S3</f>
        <v>28974.80814020696</v>
      </c>
      <c r="T4" s="52">
        <f>T2-T3</f>
        <v>29699.178343712127</v>
      </c>
    </row>
    <row r="5">
      <c r="A5" s="2" t="inlineStr">
        <is>
          <t>Research &amp; Dev.</t>
        </is>
      </c>
      <c r="B5" s="52" t="n">
        <v>1976.351</v>
      </c>
      <c r="C5" s="52" t="n">
        <v>2059.492</v>
      </c>
      <c r="D5" s="52" t="n">
        <v>2330.705</v>
      </c>
      <c r="E5" s="52" t="n">
        <v>3115.941</v>
      </c>
      <c r="F5" s="52" t="n">
        <v>2884.654</v>
      </c>
      <c r="G5" s="52" t="n">
        <v>3329.243</v>
      </c>
      <c r="H5" s="52" t="n">
        <v>4007.879</v>
      </c>
      <c r="I5" s="52" t="n">
        <v>4619.187</v>
      </c>
      <c r="J5" s="52" t="n">
        <v>4621.105</v>
      </c>
      <c r="K5" s="52">
        <f>K7*Assumptions!$B$20</f>
        <v>4823.26134630089</v>
      </c>
      <c r="L5" s="52">
        <f>L7*Assumptions!$B$20</f>
        <v>5009.247867639715</v>
      </c>
      <c r="M5" s="52">
        <f>M7*Assumptions!$B$20</f>
        <v>5177.129339574026</v>
      </c>
      <c r="N5" s="52">
        <f>N7*Assumptions!$B$20</f>
        <v>5324.412135155126</v>
      </c>
      <c r="O5" s="52">
        <f>O7*Assumptions!$B$20</f>
        <v>5448.8022824140935</v>
      </c>
      <c r="P5" s="52">
        <f>P7*Assumptions!$B$20</f>
        <v>5548.260731230675</v>
      </c>
      <c r="Q5" s="52">
        <f>Q7*Assumptions!$B$20</f>
        <v>5621.054904864143</v>
      </c>
      <c r="R5" s="52">
        <f>R7*Assumptions!$B$20</f>
        <v>5665.8048223197075</v>
      </c>
      <c r="S5" s="52">
        <f>S7*Assumptions!$B$20</f>
        <v>5681.522180215581</v>
      </c>
      <c r="T5" s="52">
        <f>T7*Assumptions!$B$20</f>
        <v>5667.640953811883</v>
      </c>
    </row>
    <row r="6">
      <c r="A6" s="18" t="inlineStr">
        <is>
          <t>SG&amp;A &amp; Other</t>
        </is>
      </c>
      <c r="B6" s="52" t="n">
        <v>4462.258</v>
      </c>
      <c r="C6" s="52" t="n">
        <v>4476.522</v>
      </c>
      <c r="D6" s="52" t="n">
        <v>5312.695</v>
      </c>
      <c r="E6" s="52" t="n">
        <v>10179.946</v>
      </c>
      <c r="F6" s="52" t="n">
        <v>7836.995</v>
      </c>
      <c r="G6" s="52" t="n">
        <v>9335.710999999999</v>
      </c>
      <c r="H6" s="52" t="n">
        <v>10502.316</v>
      </c>
      <c r="I6" s="52" t="n">
        <v>11980.034</v>
      </c>
      <c r="J6" s="52" t="n">
        <v>12204.284</v>
      </c>
      <c r="K6" s="52">
        <f>K7-K5</f>
        <v>12735.025316607338</v>
      </c>
      <c r="L6" s="52">
        <f>L7-L5</f>
        <v>13226.092021838678</v>
      </c>
      <c r="M6" s="52">
        <f>M7-M5</f>
        <v>13669.355333065312</v>
      </c>
      <c r="N6" s="52">
        <f>N7-N5</f>
        <v>14058.231240000045</v>
      </c>
      <c r="O6" s="52">
        <f>O7-O5</f>
        <v>14386.662888368919</v>
      </c>
      <c r="P6" s="52">
        <f>P7-P5</f>
        <v>14649.266502954528</v>
      </c>
      <c r="Q6" s="52">
        <f>Q7-Q5</f>
        <v>14841.467500902669</v>
      </c>
      <c r="R6" s="52">
        <f>R7-R5</f>
        <v>14959.62227021654</v>
      </c>
      <c r="S6" s="52">
        <f>S7-S5</f>
        <v>15001.12135897474</v>
      </c>
      <c r="T6" s="52">
        <f>T7-T5</f>
        <v>14964.470272296174</v>
      </c>
    </row>
    <row r="7">
      <c r="A7" s="2" t="inlineStr">
        <is>
          <t>Operating Expense</t>
        </is>
      </c>
      <c r="B7" s="52">
        <f>SUM(B5:B6)</f>
        <v>6438.609</v>
      </c>
      <c r="C7" s="52">
        <f>SUM(C5:C6)</f>
        <v>6536.014</v>
      </c>
      <c r="D7" s="52">
        <f>SUM(D5:D6)</f>
        <v>7643.4</v>
      </c>
      <c r="E7" s="52">
        <f>SUM(E5:E6)</f>
        <v>13295.886999999999</v>
      </c>
      <c r="F7" s="52">
        <f>SUM(F5:F6)</f>
        <v>10721.649</v>
      </c>
      <c r="G7" s="52">
        <f>SUM(G5:G6)</f>
        <v>12664.954</v>
      </c>
      <c r="H7" s="52">
        <f>SUM(H5:H6)</f>
        <v>14510.195</v>
      </c>
      <c r="I7" s="52">
        <f>SUM(I5:I6)</f>
        <v>16599.220999999998</v>
      </c>
      <c r="J7" s="52">
        <f>SUM(J5:J6)</f>
        <v>16825.389</v>
      </c>
      <c r="K7" s="52">
        <f>K4-K2*NPV!C6</f>
        <v>17558.286662908227</v>
      </c>
      <c r="L7" s="52">
        <f>L4-L2*NPV!D6</f>
        <v>18235.339889478393</v>
      </c>
      <c r="M7" s="52">
        <f>M4-M2*NPV!E6</f>
        <v>18846.484672639337</v>
      </c>
      <c r="N7" s="52">
        <f>N4-N2*NPV!F6</f>
        <v>19382.64337515517</v>
      </c>
      <c r="O7" s="52">
        <f>O4-O2*NPV!G6</f>
        <v>19835.465170783013</v>
      </c>
      <c r="P7" s="52">
        <f>P4-P2*NPV!H6</f>
        <v>20197.527234185203</v>
      </c>
      <c r="Q7" s="52">
        <f>Q4-Q2*NPV!I6</f>
        <v>20462.522405766813</v>
      </c>
      <c r="R7" s="52">
        <f>R4-R2*NPV!J6</f>
        <v>20625.427092536247</v>
      </c>
      <c r="S7" s="52">
        <f>S4-S2*NPV!K6</f>
        <v>20682.64353919032</v>
      </c>
      <c r="T7" s="52">
        <f>T4-T2*NPV!L6</f>
        <v>20632.111226108056</v>
      </c>
    </row>
    <row r="8">
      <c r="A8" s="2" t="inlineStr">
        <is>
          <t>Operating Income</t>
        </is>
      </c>
      <c r="B8" s="52">
        <f>B4-B7</f>
        <v>986.3759999999984</v>
      </c>
      <c r="C8" s="52">
        <f>C4-C7</f>
        <v>1530.1170000000002</v>
      </c>
      <c r="D8" s="52">
        <f>D4-D7</f>
        <v>1504.1449999999986</v>
      </c>
      <c r="E8" s="52">
        <f>E4-E7</f>
        <v>635.4120000000021</v>
      </c>
      <c r="F8" s="52">
        <f>F4-F7</f>
        <v>3222.8140000000003</v>
      </c>
      <c r="G8" s="52">
        <f>G4-G7</f>
        <v>2916.365</v>
      </c>
      <c r="H8" s="52">
        <f>H4-H7</f>
        <v>3104.0689999999995</v>
      </c>
      <c r="I8" s="52">
        <f>I4-I7</f>
        <v>1354.7340000000004</v>
      </c>
      <c r="J8" s="52">
        <f>J4-J7</f>
        <v>2167.991000000002</v>
      </c>
      <c r="K8" s="52">
        <f>K4-K7</f>
        <v>2700.3233495458553</v>
      </c>
      <c r="L8" s="52">
        <f>L4-L7</f>
        <v>3278.8537524142266</v>
      </c>
      <c r="M8" s="52">
        <f>M4-M7</f>
        <v>3901.667497913837</v>
      </c>
      <c r="N8" s="52">
        <f>N4-N7</f>
        <v>4565.094686525175</v>
      </c>
      <c r="O8" s="52">
        <f>O4-O7</f>
        <v>5264.4251776426245</v>
      </c>
      <c r="P8" s="52">
        <f>P4-P7</f>
        <v>5993.929456726408</v>
      </c>
      <c r="Q8" s="52">
        <f>Q4-Q7</f>
        <v>6746.908901864899</v>
      </c>
      <c r="R8" s="52">
        <f>R4-R7</f>
        <v>7515.776073874582</v>
      </c>
      <c r="S8" s="52">
        <f>S4-S7</f>
        <v>8292.164601016637</v>
      </c>
      <c r="T8" s="52">
        <f>T4-T7</f>
        <v>9067.06711760407</v>
      </c>
    </row>
    <row r="9">
      <c r="A9" s="18" t="inlineStr">
        <is>
          <t>Interest &amp; Other</t>
        </is>
      </c>
      <c r="B9" s="52" t="n">
        <v>-82.863</v>
      </c>
      <c r="C9" s="52" t="n">
        <v>-154.449</v>
      </c>
      <c r="D9" s="52" t="n">
        <v>-695.8680000000001</v>
      </c>
      <c r="E9" s="52" t="n">
        <v>-1020.194</v>
      </c>
      <c r="F9" s="52" t="n">
        <v>-906.2140000000001</v>
      </c>
      <c r="G9" s="52" t="n">
        <v>-1002.278</v>
      </c>
      <c r="H9" s="52" t="n">
        <v>-730.515</v>
      </c>
      <c r="I9" s="52" t="n">
        <v>-1021.478</v>
      </c>
      <c r="J9" s="52" t="n">
        <v>-1061.366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903.5129999999983</v>
      </c>
      <c r="C10" s="52">
        <f>C8+C9</f>
        <v>1375.6680000000001</v>
      </c>
      <c r="D10" s="52">
        <f>D8+D9</f>
        <v>808.2769999999986</v>
      </c>
      <c r="E10" s="52">
        <f>E8+E9</f>
        <v>-384.7819999999979</v>
      </c>
      <c r="F10" s="52">
        <f>F8+F9</f>
        <v>2316.6000000000004</v>
      </c>
      <c r="G10" s="52">
        <f>G8+G9</f>
        <v>1914.0869999999998</v>
      </c>
      <c r="H10" s="52">
        <f>H8+H9</f>
        <v>2373.5539999999996</v>
      </c>
      <c r="I10" s="52">
        <f>I8+I9</f>
        <v>333.2560000000004</v>
      </c>
      <c r="J10" s="52">
        <f>J8+J9</f>
        <v>1106.6250000000018</v>
      </c>
      <c r="K10" s="52">
        <f>K8+K9</f>
        <v>2700.3233495458553</v>
      </c>
      <c r="L10" s="52">
        <f>L8+L9</f>
        <v>3278.8537524142266</v>
      </c>
      <c r="M10" s="52">
        <f>M8+M9</f>
        <v>3901.667497913837</v>
      </c>
      <c r="N10" s="52">
        <f>N8+N9</f>
        <v>4565.094686525175</v>
      </c>
      <c r="O10" s="52">
        <f>O8+O9</f>
        <v>5264.4251776426245</v>
      </c>
      <c r="P10" s="52">
        <f>P8+P9</f>
        <v>5993.929456726408</v>
      </c>
      <c r="Q10" s="52">
        <f>Q8+Q9</f>
        <v>6746.908901864899</v>
      </c>
      <c r="R10" s="52">
        <f>R8+R9</f>
        <v>7515.776073874582</v>
      </c>
      <c r="S10" s="52">
        <f>S8+S9</f>
        <v>8292.164601016637</v>
      </c>
      <c r="T10" s="52">
        <f>T8+T9</f>
        <v>9067.06711760407</v>
      </c>
    </row>
    <row r="11">
      <c r="A11" s="2" t="inlineStr">
        <is>
          <t>Taxes</t>
        </is>
      </c>
      <c r="B11" s="52" t="n">
        <v>176.136</v>
      </c>
      <c r="C11" s="52" t="n">
        <v>192.995</v>
      </c>
      <c r="D11" s="52" t="n">
        <v>-47.26</v>
      </c>
      <c r="E11" s="52" t="n">
        <v>-664.751</v>
      </c>
      <c r="F11" s="52" t="n">
        <v>-62.878</v>
      </c>
      <c r="G11" s="52" t="n">
        <v>458.201</v>
      </c>
      <c r="H11" s="52" t="n">
        <v>367.371</v>
      </c>
      <c r="I11" s="52" t="n">
        <v>-578.446</v>
      </c>
      <c r="J11" s="52" t="n">
        <v>423.624</v>
      </c>
      <c r="K11" s="52">
        <f>MAX(0,K10)*Assumptions!$E$14</f>
        <v>459.0549694227954</v>
      </c>
      <c r="L11" s="52">
        <f>MAX(0,L10)*Assumptions!$E$14</f>
        <v>557.4051379104186</v>
      </c>
      <c r="M11" s="52">
        <f>MAX(0,M10)*Assumptions!$E$14</f>
        <v>663.2834746453524</v>
      </c>
      <c r="N11" s="52">
        <f>MAX(0,N10)*Assumptions!$E$14</f>
        <v>776.0660967092799</v>
      </c>
      <c r="O11" s="52">
        <f>MAX(0,O10)*Assumptions!$E$14</f>
        <v>894.9522801992463</v>
      </c>
      <c r="P11" s="52">
        <f>MAX(0,P10)*Assumptions!$E$14</f>
        <v>1018.9680076434894</v>
      </c>
      <c r="Q11" s="52">
        <f>MAX(0,Q10)*Assumptions!$E$14</f>
        <v>1146.974513317033</v>
      </c>
      <c r="R11" s="52">
        <f>MAX(0,R10)*Assumptions!$E$14</f>
        <v>1277.681932558679</v>
      </c>
      <c r="S11" s="52">
        <f>MAX(0,S10)*Assumptions!$E$14</f>
        <v>1409.6679821728283</v>
      </c>
      <c r="T11" s="52">
        <f>MAX(0,T10)*Assumptions!$E$14</f>
        <v>1541.4014099926922</v>
      </c>
    </row>
    <row r="12">
      <c r="A12" s="2" t="inlineStr">
        <is>
          <t>Net Income</t>
        </is>
      </c>
      <c r="B12" s="52" t="n">
        <v>727.376</v>
      </c>
      <c r="C12" s="52" t="n">
        <v>1182.673</v>
      </c>
      <c r="D12" s="52" t="n">
        <v>855.537</v>
      </c>
      <c r="E12" s="52" t="n">
        <v>279.971</v>
      </c>
      <c r="F12" s="52" t="n">
        <v>2379.477</v>
      </c>
      <c r="G12" s="52" t="n">
        <v>1455.885</v>
      </c>
      <c r="H12" s="52" t="n">
        <v>2006.183</v>
      </c>
      <c r="I12" s="52" t="n">
        <v>911.701</v>
      </c>
      <c r="J12" s="52" t="n">
        <v>683.002</v>
      </c>
      <c r="K12" s="52">
        <f>K10-K11</f>
        <v>2241.26838012306</v>
      </c>
      <c r="L12" s="52">
        <f>L10-L11</f>
        <v>2721.448614503808</v>
      </c>
      <c r="M12" s="52">
        <f>M10-M11</f>
        <v>3238.3840232684847</v>
      </c>
      <c r="N12" s="52">
        <f>N10-N11</f>
        <v>3789.0285898158954</v>
      </c>
      <c r="O12" s="52">
        <f>O10-O11</f>
        <v>4369.472897443378</v>
      </c>
      <c r="P12" s="52">
        <f>P10-P11</f>
        <v>4974.961449082918</v>
      </c>
      <c r="Q12" s="52">
        <f>Q10-Q11</f>
        <v>5599.934388547867</v>
      </c>
      <c r="R12" s="52">
        <f>R10-R11</f>
        <v>6238.0941413159035</v>
      </c>
      <c r="S12" s="52">
        <f>S10-S11</f>
        <v>6882.496618843808</v>
      </c>
      <c r="T12" s="52">
        <f>T10-T11</f>
        <v>7525.665707611379</v>
      </c>
    </row>
    <row r="13">
      <c r="A13" s="2" t="inlineStr">
        <is>
          <t>Earnings per Share</t>
        </is>
      </c>
      <c r="B13" s="11">
        <f>IFERROR(B12/B14,0)</f>
        <v>0.9255466427786146</v>
      </c>
      <c r="C13" s="11">
        <f>IFERROR(C12/C14,0)</f>
        <v>1.503320804314694</v>
      </c>
      <c r="D13" s="11">
        <f>IFERROR(D12/D14,0)</f>
        <v>0.8848274428403439</v>
      </c>
      <c r="E13" s="11">
        <f>IFERROR(E12/E14,0)</f>
        <v>0.17875768418418037</v>
      </c>
      <c r="F13" s="11">
        <f>IFERROR(F12/F14,0)</f>
        <v>1.5121836982543149</v>
      </c>
      <c r="G13" s="11">
        <f>IFERROR(G12/G14,0)</f>
        <v>0.9231001877414531</v>
      </c>
      <c r="H13" s="11">
        <f>IFERROR(H12/H14,0)</f>
        <v>1.277927754619485</v>
      </c>
      <c r="I13" s="11">
        <f>IFERROR(I12/I14,0)</f>
        <v>0.5769007107950616</v>
      </c>
      <c r="J13" s="11">
        <f>IFERROR(J12/J14,0)</f>
        <v>0.4254607951172443</v>
      </c>
      <c r="K13" s="11">
        <f>IFERROR(K12/K14,0)</f>
        <v>0.7043805211109903</v>
      </c>
      <c r="L13" s="11">
        <f>IFERROR(L12/L14,0)</f>
        <v>0.8552904285187491</v>
      </c>
      <c r="M13" s="11">
        <f>IFERROR(M12/M14,0)</f>
        <v>1.0177516651272775</v>
      </c>
      <c r="N13" s="11">
        <f>IFERROR(N12/N14,0)</f>
        <v>1.1908069360494973</v>
      </c>
      <c r="O13" s="11">
        <f>IFERROR(O12/O14,0)</f>
        <v>1.3732275990582288</v>
      </c>
      <c r="P13" s="11">
        <f>IFERROR(P12/P14,0)</f>
        <v>1.5635191077918595</v>
      </c>
      <c r="Q13" s="11">
        <f>IFERROR(Q12/Q14,0)</f>
        <v>1.759934123809003</v>
      </c>
      <c r="R13" s="11">
        <f>IFERROR(R12/R14,0)</f>
        <v>1.9604934602960191</v>
      </c>
      <c r="S13" s="11">
        <f>IFERROR(S12/S14,0)</f>
        <v>2.1630147455431685</v>
      </c>
      <c r="T13" s="11">
        <f>IFERROR(T12/T14,0)</f>
        <v>2.365148404290323</v>
      </c>
    </row>
    <row r="14">
      <c r="A14" s="2" t="inlineStr">
        <is>
          <t>Shares</t>
        </is>
      </c>
      <c r="B14" s="52" t="n">
        <v>785.888</v>
      </c>
      <c r="C14" s="52" t="n">
        <v>786.707</v>
      </c>
      <c r="D14" s="52" t="n">
        <v>966.897</v>
      </c>
      <c r="E14" s="52" t="n">
        <v>1566.204</v>
      </c>
      <c r="F14" s="52" t="n">
        <v>1573.537</v>
      </c>
      <c r="G14" s="52" t="n">
        <v>1577.169</v>
      </c>
      <c r="H14" s="52" t="n">
        <v>1569.872</v>
      </c>
      <c r="I14" s="52" t="n">
        <v>1580.343</v>
      </c>
      <c r="J14" s="52" t="n">
        <v>1605.323</v>
      </c>
      <c r="K14" s="52">
        <f>Main!$C$4</f>
        <v>3181.9</v>
      </c>
      <c r="L14" s="52">
        <f>Main!$C$4</f>
        <v>3181.9</v>
      </c>
      <c r="M14" s="52">
        <f>Main!$C$4</f>
        <v>3181.9</v>
      </c>
      <c r="N14" s="52">
        <f>Main!$C$4</f>
        <v>3181.9</v>
      </c>
      <c r="O14" s="52">
        <f>Main!$C$4</f>
        <v>3181.9</v>
      </c>
      <c r="P14" s="52">
        <f>Main!$C$4</f>
        <v>3181.9</v>
      </c>
      <c r="Q14" s="52">
        <f>Main!$C$4</f>
        <v>3181.9</v>
      </c>
      <c r="R14" s="52">
        <f>Main!$C$4</f>
        <v>3181.9</v>
      </c>
      <c r="S14" s="52">
        <f>Main!$C$4</f>
        <v>3181.9</v>
      </c>
      <c r="T14" s="52">
        <f>Main!$C$4</f>
        <v>3181.9</v>
      </c>
    </row>
    <row r="15"/>
    <row r="16" customFormat="1" s="4">
      <c r="A16" s="3" t="inlineStr">
        <is>
          <t>Revenue Change</t>
        </is>
      </c>
      <c r="C16" s="15">
        <f>IFERROR(C2/B2-1,"")</f>
        <v>0.02221639142772247</v>
      </c>
      <c r="D16" s="15">
        <f>IFERROR(D2/C2-1,"")</f>
        <v>0.18451700633157775</v>
      </c>
      <c r="E16" s="15">
        <f>IFERROR(E2/D2-1,"")</f>
        <v>0.5693067829826801</v>
      </c>
      <c r="F16" s="15">
        <f>IFERROR(F2/E2-1,"")</f>
        <v>-0.028371492592041192</v>
      </c>
      <c r="G16" s="15">
        <f>IFERROR(G2/F2-1,"")</f>
        <v>0.11607750353255741</v>
      </c>
      <c r="H16" s="15">
        <f>IFERROR(H2/G2-1,"")</f>
        <v>0.1284592828224227</v>
      </c>
      <c r="I16" s="15">
        <f>IFERROR(I2/H2-1,"")</f>
        <v>0.0586679769221663</v>
      </c>
      <c r="J16" s="15">
        <f>IFERROR(J2/I2-1,"")</f>
        <v>0.07453252895774365</v>
      </c>
      <c r="K16" s="15">
        <f>IFERROR(K2/J2-1,"")</f>
        <v>0.06659999999999999</v>
      </c>
      <c r="L16" s="15">
        <f>IFERROR(L2/K2-1,"")</f>
        <v>0.06197777777777769</v>
      </c>
      <c r="M16" s="15">
        <f>IFERROR(M2/L2-1,"")</f>
        <v>0.057355555555555604</v>
      </c>
      <c r="N16" s="15">
        <f>IFERROR(N2/M2-1,"")</f>
        <v>0.0527333333333333</v>
      </c>
      <c r="O16" s="15">
        <f>IFERROR(O2/N2-1,"")</f>
        <v>0.048111111111111216</v>
      </c>
      <c r="P16" s="15">
        <f>IFERROR(P2/O2-1,"")</f>
        <v>0.04348888888888891</v>
      </c>
      <c r="Q16" s="15">
        <f>IFERROR(Q2/P2-1,"")</f>
        <v>0.038866666666666605</v>
      </c>
      <c r="R16" s="15">
        <f>IFERROR(R2/Q2-1,"")</f>
        <v>0.03424444444444452</v>
      </c>
      <c r="S16" s="15">
        <f>IFERROR(S2/R2-1,"")</f>
        <v>0.029622222222222216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0.6774027386832231</v>
      </c>
      <c r="C17" s="15">
        <f>IFERROR(C4/C2,"")</f>
        <v>0.7199026924423226</v>
      </c>
      <c r="D17" s="15">
        <f>IFERROR(D4/D2,"")</f>
        <v>0.6892420747911563</v>
      </c>
      <c r="E17" s="15">
        <f>IFERROR(E4/E2,"")</f>
        <v>0.668884277821419</v>
      </c>
      <c r="F17" s="15">
        <f>IFERROR(F4/F2,"")</f>
        <v>0.6890661570988036</v>
      </c>
      <c r="G17" s="15">
        <f>IFERROR(G4/G2,"")</f>
        <v>0.689872750504554</v>
      </c>
      <c r="H17" s="15">
        <f>IFERROR(H4/H2,"")</f>
        <v>0.6911039570895771</v>
      </c>
      <c r="I17" s="15">
        <f>IFERROR(I4/I2,"")</f>
        <v>0.6653945420759146</v>
      </c>
      <c r="J17" s="15">
        <f>IFERROR(J4/J2,"")</f>
        <v>0.6550912397983989</v>
      </c>
      <c r="K17" s="15">
        <f>IFERROR(K4/K2,"")</f>
        <v>0.6551000000000001</v>
      </c>
      <c r="L17" s="15">
        <f>IFERROR(L4/L2,"")</f>
        <v>0.6550999999999999</v>
      </c>
      <c r="M17" s="15">
        <f>IFERROR(M4/M2,"")</f>
        <v>0.6551</v>
      </c>
      <c r="N17" s="15">
        <f>IFERROR(N4/N2,"")</f>
        <v>0.6551</v>
      </c>
      <c r="O17" s="15">
        <f>IFERROR(O4/O2,"")</f>
        <v>0.6551000000000001</v>
      </c>
      <c r="P17" s="15">
        <f>IFERROR(P4/P2,"")</f>
        <v>0.6551</v>
      </c>
      <c r="Q17" s="15">
        <f>IFERROR(Q4/Q2,"")</f>
        <v>0.6551</v>
      </c>
      <c r="R17" s="15">
        <f>IFERROR(R4/R2,"")</f>
        <v>0.6550999999999999</v>
      </c>
      <c r="S17" s="15">
        <f>IFERROR(S4/S2,"")</f>
        <v>0.6551</v>
      </c>
      <c r="T17" s="15">
        <f>IFERROR(T4/T2,"")</f>
        <v>0.6551</v>
      </c>
    </row>
    <row r="18">
      <c r="A18" s="14" t="inlineStr">
        <is>
          <t>Operating Margin</t>
        </is>
      </c>
      <c r="B18" s="15">
        <f>IFERROR(B8/B2,"")</f>
        <v>0.08998991967948781</v>
      </c>
      <c r="C18" s="15">
        <f>IFERROR(C8/C2,"")</f>
        <v>0.1365630372295924</v>
      </c>
      <c r="D18" s="15">
        <f>IFERROR(D8/D2,"")</f>
        <v>0.11333314245371222</v>
      </c>
      <c r="E18" s="15">
        <f>IFERROR(E8/E2,"")</f>
        <v>0.030508073707919473</v>
      </c>
      <c r="F18" s="15">
        <f>IFERROR(F8/F2,"")</f>
        <v>0.15925547351835806</v>
      </c>
      <c r="G18" s="15">
        <f>IFERROR(G8/G2,"")</f>
        <v>0.1291239043386002</v>
      </c>
      <c r="H18" s="15">
        <f>IFERROR(H8/H2,"")</f>
        <v>0.12178961147505715</v>
      </c>
      <c r="I18" s="15">
        <f>IFERROR(I8/I2,"")</f>
        <v>0.050208024335845355</v>
      </c>
      <c r="J18" s="15">
        <f>IFERROR(J8/J2,"")</f>
        <v>0.0747751012227298</v>
      </c>
      <c r="K18" s="15">
        <f>IFERROR(K8/K2,"")</f>
        <v>0.08731999999999998</v>
      </c>
      <c r="L18" s="15">
        <f>IFERROR(L8/L2,"")</f>
        <v>0.09984000000000003</v>
      </c>
      <c r="M18" s="15">
        <f>IFERROR(M8/M2,"")</f>
        <v>0.11236</v>
      </c>
      <c r="N18" s="15">
        <f>IFERROR(N8/N2,"")</f>
        <v>0.12488000000000003</v>
      </c>
      <c r="O18" s="15">
        <f>IFERROR(O8/O2,"")</f>
        <v>0.13740000000000005</v>
      </c>
      <c r="P18" s="15">
        <f>IFERROR(P8/P2,"")</f>
        <v>0.14992000000000005</v>
      </c>
      <c r="Q18" s="15">
        <f>IFERROR(Q8/Q2,"")</f>
        <v>0.16244000000000003</v>
      </c>
      <c r="R18" s="15">
        <f>IFERROR(R8/R2,"")</f>
        <v>0.17495999999999998</v>
      </c>
      <c r="S18" s="15">
        <f>IFERROR(S8/S2,"")</f>
        <v>0.18747999999999995</v>
      </c>
      <c r="T18" s="15">
        <f>IFERROR(T8/T2,"")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Takeda Pharmaceutical Company Limited: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0.0166</v>
      </c>
      <c r="C12" s="53" t="n">
        <v>0.06660000000000001</v>
      </c>
      <c r="D12" s="53" t="n">
        <v>0.1166</v>
      </c>
      <c r="E12" s="54">
        <f>CHOOSE($B$4,B12,C12,D12)</f>
        <v>0.0666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0.07480000000000001</v>
      </c>
    </row>
    <row r="19">
      <c r="A19" s="14" t="inlineStr">
        <is>
          <t>Gross margin (forecast)</t>
        </is>
      </c>
      <c r="B19" s="53" t="n">
        <v>0.6551</v>
      </c>
    </row>
    <row r="20">
      <c r="A20" s="14" t="inlineStr">
        <is>
          <t>R&amp;D share of operating expense (forecast)</t>
        </is>
      </c>
      <c r="B20" s="53" t="n">
        <v>0.2747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45747</v>
      </c>
    </row>
    <row r="24">
      <c r="A24" s="14" t="inlineStr">
        <is>
          <t>Reporting currency per USD (JPY)</t>
        </is>
      </c>
      <c r="B24" s="32" t="n">
        <v>158.02</v>
      </c>
    </row>
    <row r="25">
      <c r="A25" s="14" t="inlineStr">
        <is>
          <t>Base revenue, FY2025</t>
        </is>
      </c>
      <c r="B25" s="55">
        <f>'Yearly Model'!J2</f>
        <v>28993.488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81716.709136371</v>
      </c>
      <c r="C29" s="56">
        <f>NPV!B26</f>
        <v>55579.789759077</v>
      </c>
      <c r="D29" s="35">
        <f>NPV!B28</f>
        <v>17.467484760387503</v>
      </c>
      <c r="E29" s="57">
        <f>NPV!B30</f>
        <v>-0.13010534061815215</v>
      </c>
    </row>
    <row r="30">
      <c r="A30" s="58" t="n">
        <v>1</v>
      </c>
      <c r="B30" s="59">
        <f t="dataTable" ref="B30:E32" r1="B4"/>
        <v>41111.06704528736</v>
      </c>
      <c r="C30" s="59">
        <v>14974.147667993351</v>
      </c>
      <c r="D30" s="39">
        <v>4.706039683206057</v>
      </c>
      <c r="E30" s="60">
        <v>-0.7656354739439215</v>
      </c>
    </row>
    <row r="31">
      <c r="A31" s="58" t="n">
        <v>2</v>
      </c>
      <c r="B31" s="59">
        <v>81716.709136371</v>
      </c>
      <c r="C31" s="59">
        <v>55579.789759077</v>
      </c>
      <c r="D31" s="39">
        <v>17.467484760387503</v>
      </c>
      <c r="E31" s="60">
        <v>-0.13010534061815215</v>
      </c>
    </row>
    <row r="32">
      <c r="A32" s="58" t="n">
        <v>3</v>
      </c>
      <c r="B32" s="59">
        <v>170194.14766678677</v>
      </c>
      <c r="C32" s="59">
        <v>144057.22828949275</v>
      </c>
      <c r="D32" s="39">
        <v>45.273964703319635</v>
      </c>
      <c r="E32" s="60">
        <v>1.2546795170975917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17.467484760387503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24.917029879446385</v>
      </c>
      <c r="C37" s="39">
        <v>28.194451944629765</v>
      </c>
      <c r="D37" s="39">
        <v>32.29067862306796</v>
      </c>
      <c r="E37" s="39">
        <v>37.55662991044981</v>
      </c>
      <c r="F37" s="39">
        <v>44.577172663673224</v>
      </c>
    </row>
    <row r="38">
      <c r="A38" s="62" t="n">
        <v>0.075</v>
      </c>
      <c r="B38" s="39">
        <v>18.6964549297275</v>
      </c>
      <c r="C38" s="39">
        <v>20.81873968847653</v>
      </c>
      <c r="D38" s="39">
        <v>23.365040590308798</v>
      </c>
      <c r="E38" s="39">
        <v>26.476698642459304</v>
      </c>
      <c r="F38" s="39">
        <v>30.365725490142015</v>
      </c>
    </row>
    <row r="39">
      <c r="A39" s="62" t="n">
        <v>0.08500000000000001</v>
      </c>
      <c r="B39" s="39">
        <v>14.29849748225751</v>
      </c>
      <c r="C39" s="39">
        <v>15.761275033693924</v>
      </c>
      <c r="D39" s="39">
        <v>17.467484760387503</v>
      </c>
      <c r="E39" s="39">
        <v>19.483518712577386</v>
      </c>
      <c r="F39" s="39">
        <v>21.902325858311112</v>
      </c>
    </row>
    <row r="40">
      <c r="A40" s="62" t="n">
        <v>0.095</v>
      </c>
      <c r="B40" s="39">
        <v>11.0359778852251</v>
      </c>
      <c r="C40" s="39">
        <v>12.090790242541573</v>
      </c>
      <c r="D40" s="39">
        <v>13.29598309785189</v>
      </c>
      <c r="E40" s="39">
        <v>14.686260579508035</v>
      </c>
      <c r="F40" s="39">
        <v>16.307894932796582</v>
      </c>
    </row>
    <row r="41">
      <c r="A41" s="62" t="n">
        <v>0.105</v>
      </c>
      <c r="B41" s="39">
        <v>8.527488688252923</v>
      </c>
      <c r="C41" s="39">
        <v>9.314645322139063</v>
      </c>
      <c r="D41" s="39">
        <v>10.199933980782102</v>
      </c>
      <c r="E41" s="39">
        <v>11.202981667053919</v>
      </c>
      <c r="F41" s="39">
        <v>12.349023156911823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Takeda Pharmaceutical Company Limited: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0.0666</v>
      </c>
      <c r="D5" s="63">
        <f>Assumptions!$E$12+(Assumptions!$E$11-Assumptions!$E$12)*(D4-1)/(Assumptions!$B$21-1)</f>
        <v>0.061977777777777784</v>
      </c>
      <c r="E5" s="63">
        <f>Assumptions!$E$12+(Assumptions!$E$11-Assumptions!$E$12)*(E4-1)/(Assumptions!$B$21-1)</f>
        <v>0.05735555555555556</v>
      </c>
      <c r="F5" s="63">
        <f>Assumptions!$E$12+(Assumptions!$E$11-Assumptions!$E$12)*(F4-1)/(Assumptions!$B$21-1)</f>
        <v>0.05273333333333334</v>
      </c>
      <c r="G5" s="63">
        <f>Assumptions!$E$12+(Assumptions!$E$11-Assumptions!$E$12)*(G4-1)/(Assumptions!$B$21-1)</f>
        <v>0.04811111111111112</v>
      </c>
      <c r="H5" s="63">
        <f>Assumptions!$E$12+(Assumptions!$E$11-Assumptions!$E$12)*(H4-1)/(Assumptions!$B$21-1)</f>
        <v>0.043488888888888896</v>
      </c>
      <c r="I5" s="63">
        <f>Assumptions!$E$12+(Assumptions!$E$11-Assumptions!$E$12)*(I4-1)/(Assumptions!$B$21-1)</f>
        <v>0.03886666666666667</v>
      </c>
      <c r="J5" s="63">
        <f>Assumptions!$E$12+(Assumptions!$E$11-Assumptions!$E$12)*(J4-1)/(Assumptions!$B$21-1)</f>
        <v>0.03424444444444445</v>
      </c>
      <c r="K5" s="63">
        <f>Assumptions!$E$12+(Assumptions!$E$11-Assumptions!$E$12)*(K4-1)/(Assumptions!$B$21-1)</f>
        <v>0.029622222222222223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0.0747751012227298</v>
      </c>
      <c r="C6" s="63">
        <f>Assumptions!$B$18+(Assumptions!$E$13-Assumptions!$B$18)*C4/Assumptions!$B$21</f>
        <v>0.08732000000000001</v>
      </c>
      <c r="D6" s="63">
        <f>Assumptions!$B$18+(Assumptions!$E$13-Assumptions!$B$18)*D4/Assumptions!$B$21</f>
        <v>0.09984000000000001</v>
      </c>
      <c r="E6" s="63">
        <f>Assumptions!$B$18+(Assumptions!$E$13-Assumptions!$B$18)*E4/Assumptions!$B$21</f>
        <v>0.11236000000000002</v>
      </c>
      <c r="F6" s="63">
        <f>Assumptions!$B$18+(Assumptions!$E$13-Assumptions!$B$18)*F4/Assumptions!$B$21</f>
        <v>0.12488</v>
      </c>
      <c r="G6" s="63">
        <f>Assumptions!$B$18+(Assumptions!$E$13-Assumptions!$B$18)*G4/Assumptions!$B$21</f>
        <v>0.13740000000000002</v>
      </c>
      <c r="H6" s="63">
        <f>Assumptions!$B$18+(Assumptions!$E$13-Assumptions!$B$18)*H4/Assumptions!$B$21</f>
        <v>0.14992</v>
      </c>
      <c r="I6" s="63">
        <f>Assumptions!$B$18+(Assumptions!$E$13-Assumptions!$B$18)*I4/Assumptions!$B$21</f>
        <v>0.16244000000000003</v>
      </c>
      <c r="J6" s="63">
        <f>Assumptions!$B$18+(Assumptions!$E$13-Assumptions!$B$18)*J4/Assumptions!$B$21</f>
        <v>0.17496</v>
      </c>
      <c r="K6" s="63">
        <f>Assumptions!$B$18+(Assumptions!$E$13-Assumptions!$B$18)*K4/Assumptions!$B$21</f>
        <v>0.18748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Model'!J2</f>
        <v>28993.488</v>
      </c>
      <c r="C7" s="55">
        <f>'Yearly Model'!K2</f>
        <v>30924.4543008</v>
      </c>
      <c r="D7" s="55">
        <f>'Yearly Model'!L2</f>
        <v>32841.083257354025</v>
      </c>
      <c r="E7" s="55">
        <f>'Yearly Model'!M2</f>
        <v>34724.70183262582</v>
      </c>
      <c r="F7" s="55">
        <f>'Yearly Model'!N2</f>
        <v>36555.85110926629</v>
      </c>
      <c r="G7" s="55">
        <f>'Yearly Model'!O2</f>
        <v>38314.593723745435</v>
      </c>
      <c r="H7" s="55">
        <f>'Yearly Model'!P2</f>
        <v>39980.85283302032</v>
      </c>
      <c r="I7" s="55">
        <f>'Yearly Model'!Q2</f>
        <v>41534.775313130376</v>
      </c>
      <c r="J7" s="55">
        <f>'Yearly Model'!R2</f>
        <v>42957.11061885335</v>
      </c>
      <c r="K7" s="55">
        <f>'Yearly Model'!S2</f>
        <v>44229.59569562961</v>
      </c>
      <c r="L7" s="55">
        <f>'Yearly Model'!T2</f>
        <v>45335.335588020345</v>
      </c>
    </row>
    <row r="8">
      <c r="A8" s="14" t="inlineStr">
        <is>
          <t>Operating income</t>
        </is>
      </c>
      <c r="B8" s="55">
        <f>'Yearly Model'!J8</f>
        <v>2167.991000000002</v>
      </c>
      <c r="C8" s="55">
        <f>'Yearly Model'!K8</f>
        <v>2700.3233495458553</v>
      </c>
      <c r="D8" s="55">
        <f>'Yearly Model'!L8</f>
        <v>3278.8537524142266</v>
      </c>
      <c r="E8" s="55">
        <f>'Yearly Model'!M8</f>
        <v>3901.667497913837</v>
      </c>
      <c r="F8" s="55">
        <f>'Yearly Model'!N8</f>
        <v>4565.094686525175</v>
      </c>
      <c r="G8" s="55">
        <f>'Yearly Model'!O8</f>
        <v>5264.4251776426245</v>
      </c>
      <c r="H8" s="55">
        <f>'Yearly Model'!P8</f>
        <v>5993.929456726408</v>
      </c>
      <c r="I8" s="55">
        <f>'Yearly Model'!Q8</f>
        <v>6746.908901864899</v>
      </c>
      <c r="J8" s="55">
        <f>'Yearly Model'!R8</f>
        <v>7515.776073874582</v>
      </c>
      <c r="K8" s="55">
        <f>'Yearly Model'!S8</f>
        <v>8292.164601016637</v>
      </c>
      <c r="L8" s="55">
        <f>'Yearly Model'!T8</f>
        <v>9067.06711760407</v>
      </c>
    </row>
    <row r="9">
      <c r="A9" s="14" t="inlineStr">
        <is>
          <t>Tax on operating income</t>
        </is>
      </c>
      <c r="C9" s="52">
        <f>MAX(0,C8)*Assumptions!$E$14</f>
        <v>459.0549694227954</v>
      </c>
      <c r="D9" s="52">
        <f>MAX(0,D8)*Assumptions!$E$14</f>
        <v>557.4051379104186</v>
      </c>
      <c r="E9" s="52">
        <f>MAX(0,E8)*Assumptions!$E$14</f>
        <v>663.2834746453524</v>
      </c>
      <c r="F9" s="52">
        <f>MAX(0,F8)*Assumptions!$E$14</f>
        <v>776.0660967092799</v>
      </c>
      <c r="G9" s="52">
        <f>MAX(0,G8)*Assumptions!$E$14</f>
        <v>894.9522801992463</v>
      </c>
      <c r="H9" s="52">
        <f>MAX(0,H8)*Assumptions!$E$14</f>
        <v>1018.9680076434894</v>
      </c>
      <c r="I9" s="52">
        <f>MAX(0,I8)*Assumptions!$E$14</f>
        <v>1146.974513317033</v>
      </c>
      <c r="J9" s="52">
        <f>MAX(0,J8)*Assumptions!$E$14</f>
        <v>1277.681932558679</v>
      </c>
      <c r="K9" s="52">
        <f>MAX(0,K8)*Assumptions!$E$14</f>
        <v>1409.6679821728283</v>
      </c>
      <c r="L9" s="52">
        <f>MAX(0,L8)*Assumptions!$E$14</f>
        <v>1541.4014099926922</v>
      </c>
    </row>
    <row r="10">
      <c r="A10" s="14" t="inlineStr">
        <is>
          <t>NOPAT</t>
        </is>
      </c>
      <c r="C10" s="52">
        <f>C8-C9</f>
        <v>2241.26838012306</v>
      </c>
      <c r="D10" s="52">
        <f>D8-D9</f>
        <v>2721.448614503808</v>
      </c>
      <c r="E10" s="52">
        <f>E8-E9</f>
        <v>3238.3840232684847</v>
      </c>
      <c r="F10" s="52">
        <f>F8-F9</f>
        <v>3789.0285898158954</v>
      </c>
      <c r="G10" s="52">
        <f>G8-G9</f>
        <v>4369.472897443378</v>
      </c>
      <c r="H10" s="52">
        <f>H8-H9</f>
        <v>4974.961449082918</v>
      </c>
      <c r="I10" s="52">
        <f>I8-I9</f>
        <v>5599.934388547867</v>
      </c>
      <c r="J10" s="52">
        <f>J8-J9</f>
        <v>6238.0941413159035</v>
      </c>
      <c r="K10" s="52">
        <f>K8-K9</f>
        <v>6882.496618843808</v>
      </c>
      <c r="L10" s="52">
        <f>L8-L9</f>
        <v>7525.665707611379</v>
      </c>
    </row>
    <row r="11">
      <c r="A11" s="14" t="inlineStr">
        <is>
          <t>Reinvestment</t>
        </is>
      </c>
      <c r="C11" s="52">
        <f>(C7-B7)*Assumptions!$E$15</f>
        <v>482.7415751999997</v>
      </c>
      <c r="D11" s="52">
        <f>(D7-C7)*Assumptions!$E$15</f>
        <v>479.15723913850616</v>
      </c>
      <c r="E11" s="52">
        <f>(E7-D7)*Assumptions!$E$15</f>
        <v>470.90464381794845</v>
      </c>
      <c r="F11" s="52">
        <f>(F7-E7)*Assumptions!$E$15</f>
        <v>457.7873191601175</v>
      </c>
      <c r="G11" s="52">
        <f>(G7-F7)*Assumptions!$E$15</f>
        <v>439.68565361978654</v>
      </c>
      <c r="H11" s="52">
        <f>(H7-G7)*Assumptions!$E$15</f>
        <v>416.5647773187211</v>
      </c>
      <c r="I11" s="52">
        <f>(I7-H7)*Assumptions!$E$15</f>
        <v>388.4806200275143</v>
      </c>
      <c r="J11" s="52">
        <f>(J7-I7)*Assumptions!$E$15</f>
        <v>355.583826430744</v>
      </c>
      <c r="K11" s="52">
        <f>(K7-J7)*Assumptions!$E$15</f>
        <v>318.12126919406364</v>
      </c>
      <c r="L11" s="52">
        <f>(L7-K7)*Assumptions!$E$15</f>
        <v>276.43497309768463</v>
      </c>
    </row>
    <row r="12">
      <c r="A12" s="20" t="inlineStr">
        <is>
          <t>Free cash flow</t>
        </is>
      </c>
      <c r="C12" s="64">
        <f>C10-C11</f>
        <v>1758.5268049230604</v>
      </c>
      <c r="D12" s="64">
        <f>D10-D11</f>
        <v>2242.291375365302</v>
      </c>
      <c r="E12" s="64">
        <f>E10-E11</f>
        <v>2767.4793794505363</v>
      </c>
      <c r="F12" s="64">
        <f>F10-F11</f>
        <v>3331.241270655778</v>
      </c>
      <c r="G12" s="64">
        <f>G10-G11</f>
        <v>3929.787243823592</v>
      </c>
      <c r="H12" s="64">
        <f>H10-H11</f>
        <v>4558.396671764197</v>
      </c>
      <c r="I12" s="64">
        <f>I10-I11</f>
        <v>5211.453768520352</v>
      </c>
      <c r="J12" s="64">
        <f>J10-J11</f>
        <v>5882.5103148851595</v>
      </c>
      <c r="K12" s="64">
        <f>K10-K11</f>
        <v>6564.375349649745</v>
      </c>
      <c r="L12" s="64">
        <f>L10-L11</f>
        <v>7249.230734513694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0.9600307214746386</v>
      </c>
      <c r="D15" s="65">
        <f>1/(1+Assumptions!$E$10)^D14</f>
        <v>0.88482094145128</v>
      </c>
      <c r="E15" s="65">
        <f>1/(1+Assumptions!$E$10)^E14</f>
        <v>0.8155031718444976</v>
      </c>
      <c r="F15" s="65">
        <f>1/(1+Assumptions!$E$10)^F14</f>
        <v>0.7516158265847905</v>
      </c>
      <c r="G15" s="65">
        <f>1/(1+Assumptions!$E$10)^G14</f>
        <v>0.6927334807233092</v>
      </c>
      <c r="H15" s="65">
        <f>1/(1+Assumptions!$E$10)^H14</f>
        <v>0.638464037533004</v>
      </c>
      <c r="I15" s="65">
        <f>1/(1+Assumptions!$E$10)^I14</f>
        <v>0.5884461175419391</v>
      </c>
      <c r="J15" s="65">
        <f>1/(1+Assumptions!$E$10)^J14</f>
        <v>0.5423466521123863</v>
      </c>
      <c r="K15" s="65">
        <f>1/(1+Assumptions!$E$10)^K14</f>
        <v>0.49985866554136993</v>
      </c>
      <c r="L15" s="65">
        <f>1/(1+Assumptions!$E$10)^L14</f>
        <v>0.460699230913705</v>
      </c>
    </row>
    <row r="16">
      <c r="A16" s="20" t="inlineStr">
        <is>
          <t>PV of free cash flow</t>
        </is>
      </c>
      <c r="C16" s="64">
        <f>C12*C13*C15</f>
        <v>1688.2397572627767</v>
      </c>
      <c r="D16" s="64">
        <f>D12*D13*D15</f>
        <v>1984.0263657588118</v>
      </c>
      <c r="E16" s="64">
        <f>E12*E13*E15</f>
        <v>2256.8882119561545</v>
      </c>
      <c r="F16" s="64">
        <f>F12*F13*F15</f>
        <v>2503.8136611973105</v>
      </c>
      <c r="G16" s="64">
        <f>G12*G13*G15</f>
        <v>2722.2951959159764</v>
      </c>
      <c r="H16" s="64">
        <f>H12*H13*H15</f>
        <v>2910.3723437315766</v>
      </c>
      <c r="I16" s="64">
        <f>I12*I13*I15</f>
        <v>3066.6597368351086</v>
      </c>
      <c r="J16" s="64">
        <f>J12*J13*J15</f>
        <v>3190.3597752945457</v>
      </c>
      <c r="K16" s="64">
        <f>K12*K13*K15</f>
        <v>3281.259902388585</v>
      </c>
      <c r="L16" s="64">
        <f>L12*L13*L15</f>
        <v>3339.715024106452</v>
      </c>
    </row>
    <row r="19">
      <c r="A19" s="14" t="inlineStr">
        <is>
          <t>PV of forecast free cash flow</t>
        </is>
      </c>
      <c r="B19" s="52">
        <f>SUM(C16:L16)</f>
        <v>26943.6299744473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7430.461502876536</v>
      </c>
    </row>
    <row r="21">
      <c r="A21" s="14" t="inlineStr">
        <is>
          <t>Terminal value</t>
        </is>
      </c>
      <c r="B21" s="52">
        <f>B20/(Assumptions!$E$10-Assumptions!$E$11)</f>
        <v>123841.02504794225</v>
      </c>
    </row>
    <row r="22">
      <c r="A22" s="14" t="inlineStr">
        <is>
          <t>PV of terminal value</t>
        </is>
      </c>
      <c r="B22" s="52">
        <f>B21/(1+Assumptions!$E$10)^(L14+0.5)</f>
        <v>54773.0791619237</v>
      </c>
    </row>
    <row r="23">
      <c r="A23" s="20" t="inlineStr">
        <is>
          <t>Enterprise value</t>
        </is>
      </c>
      <c r="B23" s="66">
        <f>B19+B22</f>
        <v>81716.709136371</v>
      </c>
    </row>
    <row r="24">
      <c r="A24" s="14" t="inlineStr">
        <is>
          <t>Cash &amp; investments</t>
        </is>
      </c>
      <c r="B24" s="55">
        <f>Main!C7</f>
        <v>2437.1155549930386</v>
      </c>
    </row>
    <row r="25">
      <c r="A25" s="14" t="inlineStr">
        <is>
          <t>Debt</t>
        </is>
      </c>
      <c r="B25" s="55">
        <f>Main!C8</f>
        <v>28574.03493228705</v>
      </c>
    </row>
    <row r="26">
      <c r="A26" s="20" t="inlineStr">
        <is>
          <t>Equity value</t>
        </is>
      </c>
      <c r="B26" s="66">
        <f>B23+B24-B25</f>
        <v>55579.789759077</v>
      </c>
    </row>
    <row r="27">
      <c r="A27" s="14" t="inlineStr">
        <is>
          <t>Shares (mm)</t>
        </is>
      </c>
      <c r="B27" s="55">
        <f>Main!C4</f>
        <v>3181.9</v>
      </c>
    </row>
    <row r="28">
      <c r="A28" s="20" t="inlineStr">
        <is>
          <t>NPV / share</t>
        </is>
      </c>
      <c r="B28" s="49">
        <f>B26/B27</f>
        <v>17.467484760387503</v>
      </c>
    </row>
    <row r="29">
      <c r="A29" s="14" t="inlineStr">
        <is>
          <t>Price</t>
        </is>
      </c>
      <c r="B29" s="50">
        <f>Main!C3</f>
        <v>20.08</v>
      </c>
    </row>
    <row r="30">
      <c r="A30" s="14" t="inlineStr">
        <is>
          <t>Upside</t>
        </is>
      </c>
      <c r="B30" s="63">
        <f>B28/B29-1</f>
        <v>-0.13010534061815215</v>
      </c>
    </row>
    <row r="31">
      <c r="A31" s="14" t="inlineStr">
        <is>
          <t>Terminal value, % of EV</t>
        </is>
      </c>
      <c r="B31" s="63">
        <f>IFERROR(B22/B23,0)</f>
        <v>0.670280041142099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2026-10-21T06:21:05Z</dcterms:modified>
  <cp:lastModifiedBy>Wang, Eric</cp:lastModifiedBy>
</cp:coreProperties>
</file>