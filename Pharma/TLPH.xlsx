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Talphera Inc</t>
        </is>
      </c>
      <c r="C2" s="10" t="n"/>
    </row>
    <row r="3">
      <c r="B3" t="inlineStr">
        <is>
          <t>Price</t>
        </is>
      </c>
      <c r="C3" s="11">
        <f>INDEX([1]Pharma!$F$1:$F$1000,MATCH("TLPH",[1]Pharma!$B$1:$B$1000,0))</f>
        <v>1.07</v>
      </c>
      <c r="F3" s="1" t="n"/>
    </row>
    <row r="4">
      <c r="B4" t="inlineStr">
        <is>
          <t>Shares</t>
        </is>
      </c>
      <c r="C4" s="21" t="n">
        <v>51.905796</v>
      </c>
      <c r="F4" s="1" t="n"/>
    </row>
    <row r="5">
      <c r="B5" t="inlineStr">
        <is>
          <t>Market Cap.</t>
        </is>
      </c>
      <c r="C5" s="13">
        <f>C3*C4</f>
        <v>55.53920172000001</v>
      </c>
      <c r="F5" s="1" t="n"/>
    </row>
    <row r="6"/>
    <row r="7">
      <c r="B7" t="inlineStr">
        <is>
          <t>Cash</t>
        </is>
      </c>
      <c r="C7" s="21">
        <f>0.742+16.334</f>
        <v>17.076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38.46320172000001</v>
      </c>
    </row>
    <row r="10"/>
    <row r="11">
      <c r="B11" s="14" t="inlineStr">
        <is>
          <t>Net Cash / Share</t>
        </is>
      </c>
      <c r="C11" s="11">
        <f>(C7-C8)/C4</f>
        <v>0.3289806017039022</v>
      </c>
    </row>
    <row r="12">
      <c r="B12" s="14" t="inlineStr">
        <is>
          <t>Upside</t>
        </is>
      </c>
      <c r="C12" s="15">
        <f>IFERROR(C11/C3-1,"")</f>
        <v>-0.6925414937346709</v>
      </c>
    </row>
    <row r="13">
      <c r="B13" s="14" t="inlineStr">
        <is>
          <t>Cash / Share</t>
        </is>
      </c>
      <c r="C13" s="11">
        <f>IFERROR((C7-C8)/C4,"")</f>
        <v>0.3289806017039022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-12.27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1.3916870415647922</v>
      </c>
    </row>
    <row r="19">
      <c r="B19" s="14" t="inlineStr">
        <is>
          <t>Implied Pipeline Value</t>
        </is>
      </c>
      <c r="C19" s="13">
        <f>C9</f>
        <v>38.46320172000001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2006</v>
      </c>
      <c r="C1" s="17" t="n">
        <v>2007</v>
      </c>
      <c r="D1" s="17" t="n">
        <v>2008</v>
      </c>
      <c r="E1" s="17" t="n">
        <v>2009</v>
      </c>
      <c r="F1" s="17" t="n">
        <v>2010</v>
      </c>
      <c r="G1" s="17" t="n">
        <v>2011</v>
      </c>
      <c r="H1" s="17" t="n">
        <v>2012</v>
      </c>
      <c r="I1" s="17" t="n">
        <v>2013</v>
      </c>
      <c r="J1" s="17" t="n">
        <v>2014</v>
      </c>
      <c r="K1" s="17" t="n">
        <v>2015</v>
      </c>
      <c r="L1" s="17" t="n">
        <v>2016</v>
      </c>
      <c r="M1" s="17" t="n">
        <v>2017</v>
      </c>
      <c r="N1" s="17" t="n">
        <v>2018</v>
      </c>
      <c r="O1" s="17" t="n">
        <v>2019</v>
      </c>
      <c r="P1" s="17" t="n">
        <v>2020</v>
      </c>
      <c r="Q1" s="17" t="n">
        <v>2021</v>
      </c>
      <c r="R1" s="17" t="n">
        <v>2022</v>
      </c>
      <c r="S1" s="17" t="n">
        <v>2023</v>
      </c>
      <c r="T1" s="17" t="n">
        <v>2024</v>
      </c>
      <c r="U1" s="17" t="n">
        <v>2025</v>
      </c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1.072</v>
      </c>
      <c r="H2" s="23" t="n">
        <v>2.394</v>
      </c>
      <c r="I2" s="23" t="n">
        <v>29.502</v>
      </c>
      <c r="J2" s="23" t="n">
        <v>5.217</v>
      </c>
      <c r="K2" s="23" t="n">
        <v>19.263</v>
      </c>
      <c r="L2" s="23" t="n">
        <v>17.357</v>
      </c>
      <c r="M2" s="23" t="n">
        <v>7.995</v>
      </c>
      <c r="N2" s="23" t="n">
        <v>2.151</v>
      </c>
      <c r="O2" s="23" t="n">
        <v>2.289</v>
      </c>
      <c r="P2" s="23" t="n">
        <v>5.416</v>
      </c>
      <c r="Q2" s="23" t="n">
        <v>0.378</v>
      </c>
      <c r="R2" s="23" t="n">
        <v>0</v>
      </c>
      <c r="S2" s="23" t="n">
        <v>0.651</v>
      </c>
      <c r="T2" s="23" t="n">
        <v>0</v>
      </c>
      <c r="U2" s="23" t="n">
        <v>0.028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1.77</v>
      </c>
      <c r="L3" s="23" t="n">
        <v>12.315</v>
      </c>
      <c r="M3" s="23" t="n">
        <v>10.659</v>
      </c>
      <c r="N3" s="23" t="n">
        <v>3.976</v>
      </c>
      <c r="O3" s="23" t="n">
        <v>6.806</v>
      </c>
      <c r="P3" s="23" t="n">
        <v>6.032</v>
      </c>
      <c r="Q3" s="23" t="n">
        <v>0.571</v>
      </c>
      <c r="R3" s="23" t="n">
        <v>0</v>
      </c>
      <c r="S3" s="23" t="n">
        <v>0</v>
      </c>
      <c r="T3" s="23" t="n">
        <v>0</v>
      </c>
      <c r="U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1.072</v>
      </c>
      <c r="H4" s="23">
        <f>H2-H3</f>
        <v>2.394</v>
      </c>
      <c r="I4" s="23">
        <f>I2-I3</f>
        <v>29.502</v>
      </c>
      <c r="J4" s="23">
        <f>J2-J3</f>
        <v>5.217</v>
      </c>
      <c r="K4" s="23">
        <f>K2-K3</f>
        <v>17.493000000000002</v>
      </c>
      <c r="L4" s="23">
        <f>L2-L3</f>
        <v>5.042</v>
      </c>
      <c r="M4" s="23">
        <f>M2-M3</f>
        <v>-2.6640000000000006</v>
      </c>
      <c r="N4" s="23">
        <f>N2-N3</f>
        <v>-1.8250000000000002</v>
      </c>
      <c r="O4" s="23">
        <f>O2-O3</f>
        <v>-4.5169999999999995</v>
      </c>
      <c r="P4" s="23">
        <f>P2-P3</f>
        <v>-0.6159999999999997</v>
      </c>
      <c r="Q4" s="23">
        <f>Q2-Q3</f>
        <v>-0.19299999999999995</v>
      </c>
      <c r="R4" s="23">
        <f>R2-R3</f>
        <v>0.0</v>
      </c>
      <c r="S4" s="23">
        <f>S2-S3</f>
        <v>0.651</v>
      </c>
      <c r="T4" s="23">
        <f>T2-T3</f>
        <v>0.0</v>
      </c>
      <c r="U4" s="23">
        <f>U2-U3</f>
        <v>0.028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15.502</v>
      </c>
      <c r="F5" s="23" t="n">
        <v>8.193</v>
      </c>
      <c r="G5" s="23" t="n">
        <v>13.624</v>
      </c>
      <c r="H5" s="23" t="n">
        <v>24.908</v>
      </c>
      <c r="I5" s="23" t="n">
        <v>26.292</v>
      </c>
      <c r="J5" s="23" t="n">
        <v>24.52</v>
      </c>
      <c r="K5" s="23" t="n">
        <v>22.488</v>
      </c>
      <c r="L5" s="23" t="n">
        <v>21.402</v>
      </c>
      <c r="M5" s="23" t="n">
        <v>19.409</v>
      </c>
      <c r="N5" s="23" t="n">
        <v>13.137</v>
      </c>
      <c r="O5" s="23" t="n">
        <v>4.661</v>
      </c>
      <c r="P5" s="23" t="n">
        <v>4.017</v>
      </c>
      <c r="Q5" s="23" t="n">
        <v>2.435</v>
      </c>
      <c r="R5" s="23" t="n">
        <v>3.341</v>
      </c>
      <c r="S5" s="23" t="n">
        <v>5.546</v>
      </c>
      <c r="T5" s="23" t="n">
        <v>6.718</v>
      </c>
      <c r="U5" s="23" t="n">
        <v>6.033</v>
      </c>
    </row>
    <row r="6">
      <c r="A6" s="19" t="inlineStr">
        <is>
          <t>SG&amp;A &amp; Other</t>
        </is>
      </c>
      <c r="B6" s="23" t="n">
        <v>3.768</v>
      </c>
      <c r="C6" s="23" t="n">
        <v>9.630000000000001</v>
      </c>
      <c r="D6" s="23" t="n">
        <v>20.662</v>
      </c>
      <c r="E6" s="23" t="n">
        <v>3.529</v>
      </c>
      <c r="F6" s="23" t="n">
        <v>3.993</v>
      </c>
      <c r="G6" s="23" t="n">
        <v>6.8</v>
      </c>
      <c r="H6" s="23" t="n">
        <v>7.199</v>
      </c>
      <c r="I6" s="23" t="n">
        <v>9.877000000000001</v>
      </c>
      <c r="J6" s="23" t="n">
        <v>18.346</v>
      </c>
      <c r="K6" s="23" t="n">
        <v>14.959</v>
      </c>
      <c r="L6" s="23" t="n">
        <v>15.597</v>
      </c>
      <c r="M6" s="23" t="n">
        <v>16.609</v>
      </c>
      <c r="N6" s="23" t="n">
        <v>20.765</v>
      </c>
      <c r="O6" s="23" t="n">
        <v>45.027</v>
      </c>
      <c r="P6" s="23" t="n">
        <v>36.33</v>
      </c>
      <c r="Q6" s="23" t="n">
        <v>15.488</v>
      </c>
      <c r="R6" s="23" t="n">
        <v>21.959</v>
      </c>
      <c r="S6" s="23" t="n">
        <v>11.994</v>
      </c>
      <c r="T6" s="23" t="n">
        <v>8.534000000000001</v>
      </c>
      <c r="U6" s="23" t="n">
        <v>7.479</v>
      </c>
    </row>
    <row r="7">
      <c r="A7" s="2" t="inlineStr">
        <is>
          <t>Operating Expense</t>
        </is>
      </c>
      <c r="B7" s="23">
        <f>SUM(B5:B6)</f>
        <v>3.768</v>
      </c>
      <c r="C7" s="23">
        <f>SUM(C5:C6)</f>
        <v>9.63</v>
      </c>
      <c r="D7" s="23">
        <f>SUM(D5:D6)</f>
        <v>20.662</v>
      </c>
      <c r="E7" s="23">
        <f>SUM(E5:E6)</f>
        <v>19.031</v>
      </c>
      <c r="F7" s="23">
        <f>SUM(F5:F6)</f>
        <v>12.186</v>
      </c>
      <c r="G7" s="23">
        <f>SUM(G5:G6)</f>
        <v>20.424</v>
      </c>
      <c r="H7" s="23">
        <f>SUM(H5:H6)</f>
        <v>32.107</v>
      </c>
      <c r="I7" s="23">
        <f>SUM(I5:I6)</f>
        <v>36.169000000000004</v>
      </c>
      <c r="J7" s="23">
        <f>SUM(J5:J6)</f>
        <v>42.866</v>
      </c>
      <c r="K7" s="23">
        <f>SUM(K5:K6)</f>
        <v>37.447</v>
      </c>
      <c r="L7" s="23">
        <f>SUM(L5:L6)</f>
        <v>36.999</v>
      </c>
      <c r="M7" s="23">
        <f>SUM(M5:M6)</f>
        <v>36.018</v>
      </c>
      <c r="N7" s="23">
        <f>SUM(N5:N6)</f>
        <v>33.902</v>
      </c>
      <c r="O7" s="23">
        <f>SUM(O5:O6)</f>
        <v>49.688</v>
      </c>
      <c r="P7" s="23">
        <f>SUM(P5:P6)</f>
        <v>40.347</v>
      </c>
      <c r="Q7" s="23">
        <f>SUM(Q5:Q6)</f>
        <v>17.923</v>
      </c>
      <c r="R7" s="23">
        <f>SUM(R5:R6)</f>
        <v>25.3</v>
      </c>
      <c r="S7" s="23">
        <f>SUM(S5:S6)</f>
        <v>17.54</v>
      </c>
      <c r="T7" s="23">
        <f>SUM(T5:T6)</f>
        <v>15.252</v>
      </c>
      <c r="U7" s="23">
        <f>SUM(U5:U6)</f>
        <v>13.512</v>
      </c>
    </row>
    <row r="8">
      <c r="A8" s="2" t="inlineStr">
        <is>
          <t>Operating Income</t>
        </is>
      </c>
      <c r="B8" s="23">
        <f>B4-B7</f>
        <v>-3.768</v>
      </c>
      <c r="C8" s="23">
        <f>C4-C7</f>
        <v>-9.63</v>
      </c>
      <c r="D8" s="23">
        <f>D4-D7</f>
        <v>-20.662</v>
      </c>
      <c r="E8" s="23">
        <f>E4-E7</f>
        <v>-19.031</v>
      </c>
      <c r="F8" s="23">
        <f>F4-F7</f>
        <v>-12.186</v>
      </c>
      <c r="G8" s="23">
        <f>G4-G7</f>
        <v>-19.352</v>
      </c>
      <c r="H8" s="23">
        <f>H4-H7</f>
        <v>-29.713</v>
      </c>
      <c r="I8" s="23">
        <f>I4-I7</f>
        <v>-6.667000000000005</v>
      </c>
      <c r="J8" s="23">
        <f>J4-J7</f>
        <v>-37.649</v>
      </c>
      <c r="K8" s="23">
        <f>K4-K7</f>
        <v>-19.954</v>
      </c>
      <c r="L8" s="23">
        <f>L4-L7</f>
        <v>-31.957</v>
      </c>
      <c r="M8" s="23">
        <f>M4-M7</f>
        <v>-38.682</v>
      </c>
      <c r="N8" s="23">
        <f>N4-N7</f>
        <v>-35.727000000000004</v>
      </c>
      <c r="O8" s="23">
        <f>O4-O7</f>
        <v>-54.205</v>
      </c>
      <c r="P8" s="23">
        <f>P4-P7</f>
        <v>-40.963</v>
      </c>
      <c r="Q8" s="23">
        <f>Q4-Q7</f>
        <v>-18.116</v>
      </c>
      <c r="R8" s="23">
        <f>R4-R7</f>
        <v>-25.3</v>
      </c>
      <c r="S8" s="23">
        <f>S4-S7</f>
        <v>-16.889</v>
      </c>
      <c r="T8" s="23">
        <f>T4-T7</f>
        <v>-15.252</v>
      </c>
      <c r="U8" s="23">
        <f>U4-U7</f>
        <v>-13.484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-1.088</v>
      </c>
      <c r="F9" s="23" t="n">
        <v>-2.158</v>
      </c>
      <c r="G9" s="23" t="n">
        <v>-0.749</v>
      </c>
      <c r="H9" s="23" t="n">
        <v>-3.65</v>
      </c>
      <c r="I9" s="23" t="n">
        <v>-16.759</v>
      </c>
      <c r="J9" s="23" t="n">
        <v>4.296</v>
      </c>
      <c r="K9" s="23" t="n">
        <v>-3.685</v>
      </c>
      <c r="L9" s="23" t="n">
        <v>-11.234</v>
      </c>
      <c r="M9" s="23" t="n">
        <v>-13.527</v>
      </c>
      <c r="N9" s="23" t="n">
        <v>-11.42</v>
      </c>
      <c r="O9" s="23" t="n">
        <v>0.968</v>
      </c>
      <c r="P9" s="23" t="n">
        <v>0.588</v>
      </c>
      <c r="Q9" s="23" t="n">
        <v>-16.978</v>
      </c>
      <c r="R9" s="23" t="n">
        <v>73.068</v>
      </c>
      <c r="S9" s="23" t="n">
        <v>-1.508</v>
      </c>
      <c r="T9" s="23" t="n">
        <v>2.248</v>
      </c>
      <c r="U9" s="23" t="n">
        <v>-0.806</v>
      </c>
    </row>
    <row r="10">
      <c r="A10" s="2" t="inlineStr">
        <is>
          <t>Pretax</t>
        </is>
      </c>
      <c r="B10" s="23">
        <f>B8+B9</f>
        <v>-3.768</v>
      </c>
      <c r="C10" s="23">
        <f>C8+C9</f>
        <v>-9.63</v>
      </c>
      <c r="D10" s="23">
        <f>D8+D9</f>
        <v>-20.662</v>
      </c>
      <c r="E10" s="23">
        <f>E8+E9</f>
        <v>-20.119</v>
      </c>
      <c r="F10" s="23">
        <f>F8+F9</f>
        <v>-14.344</v>
      </c>
      <c r="G10" s="23">
        <f>G8+G9</f>
        <v>-20.101</v>
      </c>
      <c r="H10" s="23">
        <f>H8+H9</f>
        <v>-33.363</v>
      </c>
      <c r="I10" s="23">
        <f>I8+I9</f>
        <v>-23.426000000000005</v>
      </c>
      <c r="J10" s="23">
        <f>J8+J9</f>
        <v>-33.353</v>
      </c>
      <c r="K10" s="23">
        <f>K8+K9</f>
        <v>-23.639</v>
      </c>
      <c r="L10" s="23">
        <f>L8+L9</f>
        <v>-43.191</v>
      </c>
      <c r="M10" s="23">
        <f>M8+M9</f>
        <v>-52.209</v>
      </c>
      <c r="N10" s="23">
        <f>N8+N9</f>
        <v>-47.147000000000006</v>
      </c>
      <c r="O10" s="23">
        <f>O8+O9</f>
        <v>-53.236999999999995</v>
      </c>
      <c r="P10" s="23">
        <f>P8+P9</f>
        <v>-40.375</v>
      </c>
      <c r="Q10" s="23">
        <f>Q8+Q9</f>
        <v>-35.094</v>
      </c>
      <c r="R10" s="23">
        <f>R8+R9</f>
        <v>47.768</v>
      </c>
      <c r="S10" s="23">
        <f>S8+S9</f>
        <v>-18.397</v>
      </c>
      <c r="T10" s="23">
        <f>T8+T9</f>
        <v>-13.004000000000001</v>
      </c>
      <c r="U10" s="23">
        <f>U8+U9</f>
        <v>-14.29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0.76</v>
      </c>
      <c r="L11" s="23" t="n">
        <v>-0.034</v>
      </c>
      <c r="M11" s="23" t="n">
        <v>-0.701</v>
      </c>
      <c r="N11" s="23" t="n">
        <v>0.002</v>
      </c>
      <c r="O11" s="23" t="n">
        <v>0.003</v>
      </c>
      <c r="P11" s="23" t="n">
        <v>0.004</v>
      </c>
      <c r="Q11" s="23" t="n">
        <v>0.005</v>
      </c>
      <c r="R11" s="23" t="n">
        <v>0.013</v>
      </c>
      <c r="S11" s="23" t="n">
        <v>0</v>
      </c>
      <c r="T11" s="23" t="n">
        <v>0</v>
      </c>
      <c r="U11" s="23" t="n">
        <v>0</v>
      </c>
    </row>
    <row r="12">
      <c r="A12" s="2" t="inlineStr">
        <is>
          <t>Net Income</t>
        </is>
      </c>
      <c r="B12" s="23" t="n">
        <v>-3.768</v>
      </c>
      <c r="C12" s="23" t="n">
        <v>-9.630000000000001</v>
      </c>
      <c r="D12" s="23" t="n">
        <v>-20.662</v>
      </c>
      <c r="E12" s="23" t="n">
        <v>-20.119</v>
      </c>
      <c r="F12" s="23" t="n">
        <v>-14.344</v>
      </c>
      <c r="G12" s="23" t="n">
        <v>-20.101</v>
      </c>
      <c r="H12" s="23" t="n">
        <v>-33.363</v>
      </c>
      <c r="I12" s="23" t="n">
        <v>-23.426</v>
      </c>
      <c r="J12" s="23" t="n">
        <v>-33.353</v>
      </c>
      <c r="K12" s="23" t="n">
        <v>-24.399</v>
      </c>
      <c r="L12" s="23" t="n">
        <v>-43.157</v>
      </c>
      <c r="M12" s="23" t="n">
        <v>-51.508</v>
      </c>
      <c r="N12" s="23" t="n">
        <v>-47.149</v>
      </c>
      <c r="O12" s="23" t="n">
        <v>-53.24</v>
      </c>
      <c r="P12" s="23" t="n">
        <v>-40.379</v>
      </c>
      <c r="Q12" s="23" t="n">
        <v>-35.099</v>
      </c>
      <c r="R12" s="23" t="n">
        <v>47.755</v>
      </c>
      <c r="S12" s="23" t="n">
        <v>-18.397</v>
      </c>
      <c r="T12" s="23" t="n">
        <v>-13.004</v>
      </c>
      <c r="U12" s="23" t="n">
        <v>-14.29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-11.767022149302706</v>
      </c>
      <c r="G13" s="11">
        <f>IFERROR(G12/G14,0)</f>
        <v>-16.223567393058918</v>
      </c>
      <c r="H13" s="11">
        <f>IFERROR(H12/H14,0)</f>
        <v>-21.115822784810124</v>
      </c>
      <c r="I13" s="11">
        <f>IFERROR(I12/I14,0)</f>
        <v>-8.251497005988023</v>
      </c>
      <c r="J13" s="11">
        <f>IFERROR(J12/J14,0)</f>
        <v>-10.534744156664562</v>
      </c>
      <c r="K13" s="11">
        <f>IFERROR(K12/K14,0)</f>
        <v>-7.682304785894207</v>
      </c>
      <c r="L13" s="11">
        <f>IFERROR(L12/L14,0)</f>
        <v>-13.332406549274017</v>
      </c>
      <c r="M13" s="11">
        <f>IFERROR(M12/M14,0)</f>
        <v>-15.38011346670648</v>
      </c>
      <c r="N13" s="11">
        <f>IFERROR(N12/N14,0)</f>
        <v>-11.301294343240652</v>
      </c>
      <c r="O13" s="11">
        <f>IFERROR(O12/O14,0)</f>
        <v>-9.413012729844414</v>
      </c>
      <c r="P13" s="11">
        <f>IFERROR(P12/P14,0)</f>
        <v>-6.630377668308703</v>
      </c>
      <c r="Q13" s="11">
        <f>IFERROR(Q12/Q14,0)</f>
        <v>-5.856666110462205</v>
      </c>
      <c r="R13" s="11">
        <f>IFERROR(R12/R14,0)</f>
        <v>6.447279600378021</v>
      </c>
      <c r="S13" s="11">
        <f>IFERROR(S12/S14,0)</f>
        <v>-1.2897504206393717</v>
      </c>
      <c r="T13" s="11">
        <f>IFERROR(T12/T14,0)</f>
        <v>-0.5031339472258763</v>
      </c>
      <c r="U13" s="11">
        <f>IFERROR(U12/U14,0)</f>
        <v>-0.3369408879771757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>
        <v>1.219</v>
      </c>
      <c r="G14" s="23" t="n">
        <v>1.239</v>
      </c>
      <c r="H14" s="23" t="n">
        <v>1.58</v>
      </c>
      <c r="I14" s="23" t="n">
        <v>2.839</v>
      </c>
      <c r="J14" s="23" t="n">
        <v>3.166</v>
      </c>
      <c r="K14" s="23" t="n">
        <v>3.176</v>
      </c>
      <c r="L14" s="23" t="n">
        <v>3.237</v>
      </c>
      <c r="M14" s="23" t="n">
        <v>3.349</v>
      </c>
      <c r="N14" s="23" t="n">
        <v>4.172</v>
      </c>
      <c r="O14" s="23" t="n">
        <v>5.656</v>
      </c>
      <c r="P14" s="23" t="n">
        <v>6.09</v>
      </c>
      <c r="Q14" s="23" t="n">
        <v>5.993</v>
      </c>
      <c r="R14" s="23" t="n">
        <v>7.407</v>
      </c>
      <c r="S14" s="23" t="n">
        <v>14.264</v>
      </c>
      <c r="T14" s="23" t="n">
        <v>25.846</v>
      </c>
      <c r="U14" s="23" t="n">
        <v>42.411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1.2332089552238807</v>
      </c>
      <c r="I16" s="15">
        <f>IFERROR(I2/H2-1,"")</f>
        <v>11.32330827067669</v>
      </c>
      <c r="J16" s="15">
        <f>IFERROR(J2/I2-1,"")</f>
        <v>-0.8231645312182225</v>
      </c>
      <c r="K16" s="15">
        <f>IFERROR(K2/J2-1,"")</f>
        <v>2.69235192639448</v>
      </c>
      <c r="L16" s="15">
        <f>IFERROR(L2/K2-1,"")</f>
        <v>-0.0989461662254063</v>
      </c>
      <c r="M16" s="15">
        <f>IFERROR(M2/L2-1,"")</f>
        <v>-0.5393789249294232</v>
      </c>
      <c r="N16" s="15">
        <f>IFERROR(N2/M2-1,"")</f>
        <v>-0.7309568480300188</v>
      </c>
      <c r="O16" s="15">
        <f>IFERROR(O2/N2-1,"")</f>
        <v>0.0641562064156207</v>
      </c>
      <c r="P16" s="15">
        <f>IFERROR(P2/O2-1,"")</f>
        <v>1.36609873307121</v>
      </c>
      <c r="Q16" s="15">
        <f>IFERROR(Q2/P2-1,"")</f>
        <v>-0.9302067946824224</v>
      </c>
      <c r="R16" s="15">
        <f>IFERROR(R2/Q2-1,"")</f>
        <v>-1.0</v>
      </c>
      <c r="S16" s="15">
        <f>IFERROR(S2/R2-1,"")</f>
        <v/>
      </c>
      <c r="T16" s="15">
        <f>IFERROR(T2/S2-1,"")</f>
        <v>-1.0</v>
      </c>
      <c r="U16" s="15">
        <f>IFERROR(U2/T2-1,"")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>1.0</v>
      </c>
      <c r="J17" s="15">
        <f>IFERROR(J4/J2,"")</f>
        <v>1.0</v>
      </c>
      <c r="K17" s="15">
        <f>IFERROR(K4/K2,"")</f>
        <v>0.908114000934434</v>
      </c>
      <c r="L17" s="15">
        <f>IFERROR(L4/L2,"")</f>
        <v>0.29048798755545313</v>
      </c>
      <c r="M17" s="15">
        <f>IFERROR(M4/M2,"")</f>
        <v>-0.3332082551594747</v>
      </c>
      <c r="N17" s="15">
        <f>IFERROR(N4/N2,"")</f>
        <v>-0.8484425848442586</v>
      </c>
      <c r="O17" s="15">
        <f>IFERROR(O4/O2,"")</f>
        <v>-1.9733508082131932</v>
      </c>
      <c r="P17" s="15">
        <f>IFERROR(P4/P2,"")</f>
        <v>-0.11373707533234853</v>
      </c>
      <c r="Q17" s="15">
        <f>IFERROR(Q4/Q2,"")</f>
        <v>-0.5105820105820105</v>
      </c>
      <c r="R17" s="15">
        <f>IFERROR(R4/R2,"")</f>
        <v/>
      </c>
      <c r="S17" s="15">
        <f>IFERROR(S4/S2,"")</f>
        <v>1.0</v>
      </c>
      <c r="T17" s="15">
        <f>IFERROR(T4/T2,"")</f>
        <v/>
      </c>
      <c r="U17" s="15">
        <f>IFERROR(U4/U2,"")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-18.05223880597015</v>
      </c>
      <c r="H18" s="15">
        <f>IFERROR(H8/H2,"")</f>
        <v>-12.411445279866332</v>
      </c>
      <c r="I18" s="15">
        <f>IFERROR(I8/I2,"")</f>
        <v>-0.22598467900481342</v>
      </c>
      <c r="J18" s="15">
        <f>IFERROR(J8/J2,"")</f>
        <v>-7.2165995783017065</v>
      </c>
      <c r="K18" s="15">
        <f>IFERROR(K8/K2,"")</f>
        <v>-1.0358718787312464</v>
      </c>
      <c r="L18" s="15">
        <f>IFERROR(L8/L2,"")</f>
        <v>-1.8411591864953623</v>
      </c>
      <c r="M18" s="15">
        <f>IFERROR(M8/M2,"")</f>
        <v>-4.83827392120075</v>
      </c>
      <c r="N18" s="15">
        <f>IFERROR(N8/N2,"")</f>
        <v>-16.6094839609484</v>
      </c>
      <c r="O18" s="15">
        <f>IFERROR(O8/O2,"")</f>
        <v>-23.680646570554824</v>
      </c>
      <c r="P18" s="15">
        <f>IFERROR(P8/P2,"")</f>
        <v>-7.563330871491876</v>
      </c>
      <c r="Q18" s="15">
        <f>IFERROR(Q8/Q2,"")</f>
        <v>-47.925925925925924</v>
      </c>
      <c r="R18" s="15">
        <f>IFERROR(R8/R2,"")</f>
        <v/>
      </c>
      <c r="S18" s="15">
        <f>IFERROR(S8/S2,"")</f>
        <v>-25.943164362519198</v>
      </c>
      <c r="T18" s="15">
        <f>IFERROR(T8/T2,"")</f>
        <v/>
      </c>
      <c r="U18" s="15">
        <f>IFERROR(U8/U2,"")</f>
        <v>-481.57142857142856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2026-10-21T06:29:05Z</dcterms:modified>
  <cp:lastModifiedBy>Wang, Eric</cp:lastModifiedBy>
</cp:coreProperties>
</file>