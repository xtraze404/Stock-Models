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Dyadic International Inc</t>
        </is>
      </c>
      <c r="C2" s="10" t="n"/>
    </row>
    <row r="3">
      <c r="B3" t="inlineStr">
        <is>
          <t>Price</t>
        </is>
      </c>
      <c r="C3" s="11">
        <f>INDEX([1]Pharma!$F$1:$F$1000,MATCH("DYAI",[1]Pharma!$B$1:$B$1000,0))</f>
        <v>0.3851</v>
      </c>
      <c r="F3" s="1" t="n"/>
    </row>
    <row r="4">
      <c r="B4" t="inlineStr">
        <is>
          <t>Shares</t>
        </is>
      </c>
      <c r="C4" s="21" t="n">
        <v>36.438703</v>
      </c>
      <c r="F4" s="1" t="n"/>
    </row>
    <row r="5">
      <c r="B5" t="inlineStr">
        <is>
          <t>Market Cap.</t>
        </is>
      </c>
      <c r="C5" s="13">
        <f>C3*C4</f>
        <v>14.032544525299999</v>
      </c>
      <c r="F5" s="1" t="n"/>
    </row>
    <row r="6"/>
    <row r="7">
      <c r="B7" t="inlineStr">
        <is>
          <t>Cash</t>
        </is>
      </c>
      <c r="C7" s="21" t="n">
        <v>4.8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9.2325445253</v>
      </c>
    </row>
    <row r="10"/>
    <row r="11">
      <c r="B11" s="14" t="inlineStr">
        <is>
          <t>Net Cash / Share</t>
        </is>
      </c>
      <c r="C11" s="11">
        <f>(C7-C8)/C4</f>
        <v>0.13172806946504106</v>
      </c>
    </row>
    <row r="12">
      <c r="B12" s="14" t="inlineStr">
        <is>
          <t>Upside</t>
        </is>
      </c>
      <c r="C12" s="15">
        <f>IFERROR(C11/C3-1,"")</f>
        <v>-0.6579380174888573</v>
      </c>
    </row>
    <row r="13">
      <c r="B13" s="14" t="inlineStr">
        <is>
          <t>Cash / Share</t>
        </is>
      </c>
      <c r="C13" s="11">
        <f>IFERROR((C7-C8)/C4,"")</f>
        <v>0.13172806946504106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-7.404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0.6482982171799028</v>
      </c>
    </row>
    <row r="19">
      <c r="B19" s="14" t="inlineStr">
        <is>
          <t>Implied Pipeline Value</t>
        </is>
      </c>
      <c r="C19" s="13">
        <f>C9</f>
        <v>9.2325445253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2017</v>
      </c>
      <c r="C1" s="17" t="n">
        <v>2018</v>
      </c>
      <c r="D1" s="17" t="n">
        <v>2019</v>
      </c>
      <c r="E1" s="17" t="n">
        <v>2020</v>
      </c>
      <c r="F1" s="17" t="n">
        <v>2021</v>
      </c>
      <c r="G1" s="17" t="n">
        <v>2022</v>
      </c>
      <c r="H1" s="17" t="n">
        <v>2023</v>
      </c>
      <c r="I1" s="17" t="n">
        <v>2024</v>
      </c>
      <c r="J1" s="17" t="n">
        <v>2025</v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0.758</v>
      </c>
      <c r="C2" s="23" t="n">
        <v>1.295</v>
      </c>
      <c r="D2" s="23" t="n">
        <v>1.681</v>
      </c>
      <c r="E2" s="23" t="n">
        <v>1.602</v>
      </c>
      <c r="F2" s="23" t="n">
        <v>2.404</v>
      </c>
      <c r="G2" s="23" t="n">
        <v>2.93</v>
      </c>
      <c r="H2" s="23" t="n">
        <v>2.899</v>
      </c>
      <c r="I2" s="23" t="n">
        <v>3.495</v>
      </c>
      <c r="J2" s="23" t="n">
        <v>3.09</v>
      </c>
      <c r="K2" s="1" t="n"/>
    </row>
    <row r="3" customFormat="1" s="1">
      <c r="A3" s="5" t="inlineStr">
        <is>
          <t>Cost of Sales</t>
        </is>
      </c>
      <c r="B3" s="23" t="n">
        <v>0.68</v>
      </c>
      <c r="C3" s="23" t="n">
        <v>1.027</v>
      </c>
      <c r="D3" s="23" t="n">
        <v>1.46</v>
      </c>
      <c r="E3" s="23" t="n">
        <v>1.425</v>
      </c>
      <c r="F3" s="23" t="n">
        <v>1.944</v>
      </c>
      <c r="G3" s="23" t="n">
        <v>2.123</v>
      </c>
      <c r="H3" s="23" t="n">
        <v>1.976</v>
      </c>
      <c r="I3" s="23" t="n">
        <v>1.195</v>
      </c>
      <c r="J3" s="23" t="n">
        <v>2.32</v>
      </c>
      <c r="K3" s="1" t="n"/>
    </row>
    <row r="4" customFormat="1" s="1">
      <c r="A4" s="5" t="inlineStr">
        <is>
          <t>Gross Margin</t>
        </is>
      </c>
      <c r="B4" s="23">
        <f>B2-B3</f>
        <v>0.07799999999999996</v>
      </c>
      <c r="C4" s="23">
        <f>C2-C3</f>
        <v>0.268</v>
      </c>
      <c r="D4" s="23">
        <f>D2-D3</f>
        <v>0.22100000000000009</v>
      </c>
      <c r="E4" s="23">
        <f>E2-E3</f>
        <v>0.17700000000000005</v>
      </c>
      <c r="F4" s="23">
        <f>F2-F3</f>
        <v>0.45999999999999996</v>
      </c>
      <c r="G4" s="23">
        <f>G2-G3</f>
        <v>0.8069999999999999</v>
      </c>
      <c r="H4" s="23">
        <f>H2-H3</f>
        <v>0.923</v>
      </c>
      <c r="I4" s="23">
        <f>I2-I3</f>
        <v>2.3</v>
      </c>
      <c r="J4" s="23">
        <f>J2-J3</f>
        <v>0.77</v>
      </c>
      <c r="K4" s="1" t="n"/>
    </row>
    <row r="5">
      <c r="A5" s="2" t="inlineStr">
        <is>
          <t>Research &amp; Dev.</t>
        </is>
      </c>
      <c r="B5" s="23" t="n">
        <v>1.765</v>
      </c>
      <c r="C5" s="23" t="n">
        <v>2.102</v>
      </c>
      <c r="D5" s="23" t="n">
        <v>3.088</v>
      </c>
      <c r="E5" s="23" t="n">
        <v>3.868</v>
      </c>
      <c r="F5" s="23" t="n">
        <v>8.391999999999999</v>
      </c>
      <c r="G5" s="23" t="n">
        <v>4.501</v>
      </c>
      <c r="H5" s="23" t="n">
        <v>3.297</v>
      </c>
      <c r="I5" s="23" t="n">
        <v>2.044</v>
      </c>
      <c r="J5" s="23" t="n">
        <v>2.155</v>
      </c>
      <c r="K5" s="1" t="n"/>
    </row>
    <row r="6">
      <c r="A6" s="19" t="inlineStr">
        <is>
          <t>SG&amp;A &amp; Other</t>
        </is>
      </c>
      <c r="B6" s="23" t="n">
        <v>5.44</v>
      </c>
      <c r="C6" s="23" t="n">
        <v>5.759</v>
      </c>
      <c r="D6" s="23" t="n">
        <v>6.416</v>
      </c>
      <c r="E6" s="23" t="n">
        <v>6.335</v>
      </c>
      <c r="F6" s="23" t="n">
        <v>6.795</v>
      </c>
      <c r="G6" s="23" t="n">
        <v>6.471</v>
      </c>
      <c r="H6" s="23" t="n">
        <v>5.855</v>
      </c>
      <c r="I6" s="23" t="n">
        <v>6.157</v>
      </c>
      <c r="J6" s="23" t="n">
        <v>5.809</v>
      </c>
      <c r="K6" s="1" t="n"/>
    </row>
    <row r="7">
      <c r="A7" s="2" t="inlineStr">
        <is>
          <t>Operating Expense</t>
        </is>
      </c>
      <c r="B7" s="23">
        <f>SUM(B5:B6)</f>
        <v>7.205</v>
      </c>
      <c r="C7" s="23">
        <f>SUM(C5:C6)</f>
        <v>7.861000000000001</v>
      </c>
      <c r="D7" s="23">
        <f>SUM(D5:D6)</f>
        <v>9.504000000000001</v>
      </c>
      <c r="E7" s="23">
        <f>SUM(E5:E6)</f>
        <v>10.203</v>
      </c>
      <c r="F7" s="23">
        <f>SUM(F5:F6)</f>
        <v>15.187</v>
      </c>
      <c r="G7" s="23">
        <f>SUM(G5:G6)</f>
        <v>10.972000000000001</v>
      </c>
      <c r="H7" s="23">
        <f>SUM(H5:H6)</f>
        <v>9.152000000000001</v>
      </c>
      <c r="I7" s="23">
        <f>SUM(I5:I6)</f>
        <v>8.201</v>
      </c>
      <c r="J7" s="23">
        <f>SUM(J5:J6)</f>
        <v>7.964</v>
      </c>
      <c r="K7" s="1" t="n"/>
    </row>
    <row r="8">
      <c r="A8" s="2" t="inlineStr">
        <is>
          <t>Operating Income</t>
        </is>
      </c>
      <c r="B8" s="23">
        <f>B4-B7</f>
        <v>-7.127</v>
      </c>
      <c r="C8" s="23">
        <f>C4-C7</f>
        <v>-7.593000000000001</v>
      </c>
      <c r="D8" s="23">
        <f>D4-D7</f>
        <v>-9.283000000000001</v>
      </c>
      <c r="E8" s="23">
        <f>E4-E7</f>
        <v>-10.026</v>
      </c>
      <c r="F8" s="23">
        <f>F4-F7</f>
        <v>-14.727</v>
      </c>
      <c r="G8" s="23">
        <f>G4-G7</f>
        <v>-10.165000000000001</v>
      </c>
      <c r="H8" s="23">
        <f>H4-H7</f>
        <v>-8.229000000000001</v>
      </c>
      <c r="I8" s="23">
        <f>I4-I7</f>
        <v>-5.901000000000001</v>
      </c>
      <c r="J8" s="23">
        <f>J4-J7</f>
        <v>-7.194000000000001</v>
      </c>
      <c r="K8" s="1" t="n"/>
    </row>
    <row r="9">
      <c r="A9" s="19" t="inlineStr">
        <is>
          <t>Interest &amp; Other</t>
        </is>
      </c>
      <c r="B9" s="23" t="n">
        <v>4.924</v>
      </c>
      <c r="C9" s="23" t="n">
        <v>0.895</v>
      </c>
      <c r="D9" s="23" t="n">
        <v>0.985</v>
      </c>
      <c r="E9" s="23" t="n">
        <v>0.732</v>
      </c>
      <c r="F9" s="23" t="n">
        <v>1.657</v>
      </c>
      <c r="G9" s="23" t="n">
        <v>0.43</v>
      </c>
      <c r="H9" s="23" t="n">
        <v>1.434</v>
      </c>
      <c r="I9" s="23" t="n">
        <v>0.092</v>
      </c>
      <c r="J9" s="23" t="n">
        <v>-0.172</v>
      </c>
    </row>
    <row r="10">
      <c r="A10" s="2" t="inlineStr">
        <is>
          <t>Pretax</t>
        </is>
      </c>
      <c r="B10" s="23">
        <f>B8+B9</f>
        <v>-2.2029999999999994</v>
      </c>
      <c r="C10" s="23">
        <f>C8+C9</f>
        <v>-6.698</v>
      </c>
      <c r="D10" s="23">
        <f>D8+D9</f>
        <v>-8.298000000000002</v>
      </c>
      <c r="E10" s="23">
        <f>E8+E9</f>
        <v>-9.294</v>
      </c>
      <c r="F10" s="23">
        <f>F8+F9</f>
        <v>-13.07</v>
      </c>
      <c r="G10" s="23">
        <f>G8+G9</f>
        <v>-9.735000000000001</v>
      </c>
      <c r="H10" s="23">
        <f>H8+H9</f>
        <v>-6.795000000000001</v>
      </c>
      <c r="I10" s="23">
        <f>I8+I9</f>
        <v>-5.809000000000001</v>
      </c>
      <c r="J10" s="23">
        <f>J8+J9</f>
        <v>-7.3660000000000005</v>
      </c>
      <c r="K10" s="1" t="n"/>
    </row>
    <row r="11">
      <c r="A11" s="2" t="inlineStr">
        <is>
          <t>Taxes</t>
        </is>
      </c>
      <c r="B11" s="23" t="n">
        <v>-0.067</v>
      </c>
      <c r="C11" s="23" t="n">
        <v>-1.006</v>
      </c>
      <c r="D11" s="23" t="n">
        <v>0.01</v>
      </c>
      <c r="E11" s="23" t="n">
        <v>0.031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</row>
    <row r="12">
      <c r="A12" s="2" t="inlineStr">
        <is>
          <t>Net Income</t>
        </is>
      </c>
      <c r="B12" s="23" t="n">
        <v>-2.136</v>
      </c>
      <c r="C12" s="23" t="n">
        <v>-5.692</v>
      </c>
      <c r="D12" s="23" t="n">
        <v>-8.308</v>
      </c>
      <c r="E12" s="23" t="n">
        <v>-9.324999999999999</v>
      </c>
      <c r="F12" s="23" t="n">
        <v>-13.07</v>
      </c>
      <c r="G12" s="23" t="n">
        <v>-9.734999999999999</v>
      </c>
      <c r="H12" s="23" t="n">
        <v>-6.795</v>
      </c>
      <c r="I12" s="23" t="n">
        <v>-5.809</v>
      </c>
      <c r="J12" s="23" t="n">
        <v>-7.365</v>
      </c>
      <c r="K12" s="1" t="n"/>
    </row>
    <row r="13">
      <c r="A13" s="2" t="inlineStr">
        <is>
          <t>Earnings per Share</t>
        </is>
      </c>
      <c r="B13" s="11">
        <f>IFERROR(B12/B14,0)</f>
        <v>-0.0738640293242963</v>
      </c>
      <c r="C13" s="11">
        <f>IFERROR(C12/C14,0)</f>
        <v>-0.20568785458750408</v>
      </c>
      <c r="D13" s="11">
        <f>IFERROR(D12/D14,0)</f>
        <v>-0.30765812472226334</v>
      </c>
      <c r="E13" s="11">
        <f>IFERROR(E12/E14,0)</f>
        <v>-0.3394365171811298</v>
      </c>
      <c r="F13" s="11">
        <f>IFERROR(F12/F14,0)</f>
        <v>-0.46950211940512965</v>
      </c>
      <c r="G13" s="11">
        <f>IFERROR(G12/G14,0)</f>
        <v>-0.34321675363136367</v>
      </c>
      <c r="H13" s="11">
        <f>IFERROR(H12/H14,0)</f>
        <v>-0.2359456925587694</v>
      </c>
      <c r="I13" s="11">
        <f>IFERROR(I12/I14,0)</f>
        <v>-0.1981376628692271</v>
      </c>
      <c r="J13" s="11">
        <f>IFERROR(J12/J14,0)</f>
        <v>-0.22575404610102992</v>
      </c>
    </row>
    <row r="14">
      <c r="A14" s="2" t="inlineStr">
        <is>
          <t>Shares</t>
        </is>
      </c>
      <c r="B14" s="23" t="n">
        <v>28.918</v>
      </c>
      <c r="C14" s="23" t="n">
        <v>27.673</v>
      </c>
      <c r="D14" s="23" t="n">
        <v>27.004</v>
      </c>
      <c r="E14" s="23" t="n">
        <v>27.472</v>
      </c>
      <c r="F14" s="23" t="n">
        <v>27.838</v>
      </c>
      <c r="G14" s="23" t="n">
        <v>28.364</v>
      </c>
      <c r="H14" s="23" t="n">
        <v>28.799</v>
      </c>
      <c r="I14" s="23" t="n">
        <v>29.318</v>
      </c>
      <c r="J14" s="23" t="n">
        <v>32.624</v>
      </c>
    </row>
    <row r="15"/>
    <row r="16" customFormat="1" s="4">
      <c r="A16" s="3" t="inlineStr">
        <is>
          <t>Revenue Change</t>
        </is>
      </c>
      <c r="C16" s="15">
        <f>IFERROR(C2/B2-1,"")</f>
        <v>0.70844327176781</v>
      </c>
      <c r="D16" s="15">
        <f>IFERROR(D2/C2-1,"")</f>
        <v>0.29806949806949823</v>
      </c>
      <c r="E16" s="15">
        <f>IFERROR(E2/D2-1,"")</f>
        <v>-0.046995835812016606</v>
      </c>
      <c r="F16" s="15">
        <f>IFERROR(F2/E2-1,"")</f>
        <v>0.5006242197253432</v>
      </c>
      <c r="G16" s="15">
        <f>IFERROR(G2/F2-1,"")</f>
        <v>0.218801996672213</v>
      </c>
      <c r="H16" s="15">
        <f>IFERROR(H2/G2-1,"")</f>
        <v>-0.01058020477815702</v>
      </c>
      <c r="I16" s="15">
        <f>IFERROR(I2/H2-1,"")</f>
        <v>0.2055881338392549</v>
      </c>
      <c r="J16" s="15">
        <f>IFERROR(J2/I2-1,"")</f>
        <v>-0.11587982832618038</v>
      </c>
      <c r="K16" s="4" t="n"/>
    </row>
    <row r="17" customFormat="1" s="4">
      <c r="A17" s="3" t="inlineStr">
        <is>
          <t>Gross Margin</t>
        </is>
      </c>
      <c r="B17" s="15">
        <f>IFERROR(B4/B2,"")</f>
        <v>0.10290237467018463</v>
      </c>
      <c r="C17" s="15">
        <f>IFERROR(C4/C2,"")</f>
        <v>0.20694980694980697</v>
      </c>
      <c r="D17" s="15">
        <f>IFERROR(D4/D2,"")</f>
        <v>0.13146936347412258</v>
      </c>
      <c r="E17" s="15">
        <f>IFERROR(E4/E2,"")</f>
        <v>0.11048689138576781</v>
      </c>
      <c r="F17" s="15">
        <f>IFERROR(F4/F2,"")</f>
        <v>0.1913477537437604</v>
      </c>
      <c r="G17" s="15">
        <f>IFERROR(G4/G2,"")</f>
        <v>0.2754266211604095</v>
      </c>
      <c r="H17" s="15">
        <f>IFERROR(H4/H2,"")</f>
        <v>0.3183856502242153</v>
      </c>
      <c r="I17" s="15">
        <f>IFERROR(I4/I2,"")</f>
        <v>0.6580829756795421</v>
      </c>
      <c r="J17" s="15">
        <f>IFERROR(J4/J2,"")</f>
        <v>0.24919093851132687</v>
      </c>
      <c r="K17" s="4" t="n"/>
    </row>
    <row r="18">
      <c r="A18" s="14" t="inlineStr">
        <is>
          <t>Operating Margin</t>
        </is>
      </c>
      <c r="B18" s="15">
        <f>IFERROR(B8/B2,"")</f>
        <v>-9.402374670184695</v>
      </c>
      <c r="C18" s="15">
        <f>IFERROR(C8/C2,"")</f>
        <v>-5.8633204633204645</v>
      </c>
      <c r="D18" s="15">
        <f>IFERROR(D8/D2,"")</f>
        <v>-5.522308149910768</v>
      </c>
      <c r="E18" s="15">
        <f>IFERROR(E8/E2,"")</f>
        <v>-6.258426966292134</v>
      </c>
      <c r="F18" s="15">
        <f>IFERROR(F8/F2,"")</f>
        <v>-6.12603993344426</v>
      </c>
      <c r="G18" s="15">
        <f>IFERROR(G8/G2,"")</f>
        <v>-3.469283276450512</v>
      </c>
      <c r="H18" s="15">
        <f>IFERROR(H8/H2,"")</f>
        <v>-2.838565022421525</v>
      </c>
      <c r="I18" s="15">
        <f>IFERROR(I8/I2,"")</f>
        <v>-1.6884120171673822</v>
      </c>
      <c r="J18" s="15">
        <f>IFERROR(J8/J2,"")</f>
        <v>-2.3281553398058255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2026-10-21T01:06:30Z</dcterms:modified>
  <cp:lastModifiedBy>Wang, Eric</cp:lastModifiedBy>
</cp:coreProperties>
</file>