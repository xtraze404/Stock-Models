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Prime Medicine, Inc.</t>
        </is>
      </c>
      <c r="C2" s="10" t="n"/>
    </row>
    <row r="3">
      <c r="B3" t="inlineStr">
        <is>
          <t>Price</t>
        </is>
      </c>
      <c r="C3" s="11">
        <f>INDEX([1]Pharma!$F$1:$F$1000,MATCH("PRME",[1]Pharma!$B$1:$B$1000,0))</f>
        <v>3.92</v>
      </c>
      <c r="F3" s="1" t="n"/>
    </row>
    <row r="4">
      <c r="B4" t="inlineStr">
        <is>
          <t>Shares</t>
        </is>
      </c>
      <c r="C4" s="21" t="n">
        <v>181.376856</v>
      </c>
      <c r="F4" s="1" t="n"/>
    </row>
    <row r="5">
      <c r="B5" t="inlineStr">
        <is>
          <t>Market Cap.</t>
        </is>
      </c>
      <c r="C5" s="13">
        <f>C3*C4</f>
        <v>710.99727552</v>
      </c>
      <c r="F5" s="1" t="n"/>
    </row>
    <row r="6"/>
    <row r="7">
      <c r="B7" t="inlineStr">
        <is>
          <t>Cash</t>
        </is>
      </c>
      <c r="C7" s="21">
        <f>47.451+47.62</f>
        <v>95.071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615.92627552</v>
      </c>
    </row>
    <row r="10"/>
    <row r="11">
      <c r="B11" s="14" t="inlineStr">
        <is>
          <t>Net Cash / Share</t>
        </is>
      </c>
      <c r="C11" s="11">
        <f>(C7-C8)/C4</f>
        <v>0.5241627961618212</v>
      </c>
    </row>
    <row r="12">
      <c r="B12" s="14" t="inlineStr">
        <is>
          <t>Upside</t>
        </is>
      </c>
      <c r="C12" s="15">
        <f>IFERROR(C11/C3-1,"")</f>
        <v>-0.8662850009791272</v>
      </c>
    </row>
    <row r="13">
      <c r="B13" s="14" t="inlineStr">
        <is>
          <t>Cash / Share</t>
        </is>
      </c>
      <c r="C13" s="11">
        <f>IFERROR((C7-C8)/C4,"")</f>
        <v>0.5241627961618212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-156.051</v>
      </c>
    </row>
    <row r="18">
      <c r="B18" s="14" t="inlineStr">
        <is>
          <t>Runway (years)</t>
        </is>
      </c>
      <c r="C18" s="22">
        <f>IF(AND(ISNUMBER(C17),C17&lt;0),IF(C7&gt;C8,(C7-C8)/-C17,"net debt"),"n/a")</f>
        <v>0.6092303157301139</v>
      </c>
    </row>
    <row r="19">
      <c r="B19" s="14" t="inlineStr">
        <is>
          <t>Implied Pipeline Value</t>
        </is>
      </c>
      <c r="C19" s="13">
        <f>C9</f>
        <v>615.92627552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2020</v>
      </c>
      <c r="C1" s="17" t="n">
        <v>2021</v>
      </c>
      <c r="D1" s="17" t="n">
        <v>2022</v>
      </c>
      <c r="E1" s="17" t="n">
        <v>2023</v>
      </c>
      <c r="F1" s="17" t="n">
        <v>2024</v>
      </c>
      <c r="G1" s="17" t="n">
        <v>2025</v>
      </c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5.21</v>
      </c>
      <c r="C2" s="23" t="n">
        <v>0</v>
      </c>
      <c r="D2" s="23" t="n">
        <v>0</v>
      </c>
      <c r="E2" s="23" t="n">
        <v>0</v>
      </c>
      <c r="F2" s="23" t="n">
        <v>2.983</v>
      </c>
      <c r="G2" s="23" t="n">
        <v>4.632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5.21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2.983</v>
      </c>
      <c r="G4" s="23">
        <f>G2-G3</f>
        <v>4.632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2.98</v>
      </c>
      <c r="C5" s="23" t="n">
        <v>70.55</v>
      </c>
      <c r="D5" s="23" t="n">
        <v>86.72499999999999</v>
      </c>
      <c r="E5" s="23" t="n">
        <v>147.905</v>
      </c>
      <c r="F5" s="23" t="n">
        <v>155.289</v>
      </c>
      <c r="G5" s="23" t="n">
        <v>160.636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3.162</v>
      </c>
      <c r="C6" s="23" t="n">
        <v>13.924</v>
      </c>
      <c r="D6" s="23" t="n">
        <v>29.819</v>
      </c>
      <c r="E6" s="23" t="n">
        <v>56.887</v>
      </c>
      <c r="F6" s="23" t="n">
        <v>50.161</v>
      </c>
      <c r="G6" s="23" t="n">
        <v>52.346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6.1419999999999995</v>
      </c>
      <c r="C7" s="23">
        <f>SUM(C5:C6)</f>
        <v>84.47399999999999</v>
      </c>
      <c r="D7" s="23">
        <f>SUM(D5:D6)</f>
        <v>116.544</v>
      </c>
      <c r="E7" s="23">
        <f>SUM(E5:E6)</f>
        <v>204.792</v>
      </c>
      <c r="F7" s="23">
        <f>SUM(F5:F6)</f>
        <v>205.45</v>
      </c>
      <c r="G7" s="23">
        <f>SUM(G5:G6)</f>
        <v>212.982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-0.9319999999999995</v>
      </c>
      <c r="C8" s="23">
        <f>C4-C7</f>
        <v>-84.47399999999999</v>
      </c>
      <c r="D8" s="23">
        <f>D4-D7</f>
        <v>-116.544</v>
      </c>
      <c r="E8" s="23">
        <f>E4-E7</f>
        <v>-204.792</v>
      </c>
      <c r="F8" s="23">
        <f>F4-F7</f>
        <v>-202.46699999999998</v>
      </c>
      <c r="G8" s="23">
        <f>G4-G7</f>
        <v>-208.35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-0.611</v>
      </c>
      <c r="C9" s="23" t="n">
        <v>-81.379</v>
      </c>
      <c r="D9" s="23" t="n">
        <v>-6.225</v>
      </c>
      <c r="E9" s="23" t="n">
        <v>6.38</v>
      </c>
      <c r="F9" s="23" t="n">
        <v>6.585</v>
      </c>
      <c r="G9" s="23" t="n">
        <v>7.208</v>
      </c>
    </row>
    <row r="10">
      <c r="A10" s="2" t="inlineStr">
        <is>
          <t>Pretax</t>
        </is>
      </c>
      <c r="B10" s="23">
        <f>B8+B9</f>
        <v>-1.5429999999999995</v>
      </c>
      <c r="C10" s="23">
        <f>C8+C9</f>
        <v>-165.853</v>
      </c>
      <c r="D10" s="23">
        <f>D8+D9</f>
        <v>-122.76899999999999</v>
      </c>
      <c r="E10" s="23">
        <f>E8+E9</f>
        <v>-198.412</v>
      </c>
      <c r="F10" s="23">
        <f>F8+F9</f>
        <v>-195.88199999999998</v>
      </c>
      <c r="G10" s="23">
        <f>G8+G9</f>
        <v>-201.142</v>
      </c>
      <c r="I10" s="1" t="n"/>
      <c r="J10" s="1" t="n"/>
      <c r="K10" s="1" t="n"/>
    </row>
    <row r="11">
      <c r="A11" s="2" t="inlineStr">
        <is>
          <t>Taxes</t>
        </is>
      </c>
      <c r="B11" s="23" t="n">
        <v>1.867</v>
      </c>
      <c r="C11" s="23" t="n">
        <v>-0.486</v>
      </c>
      <c r="D11" s="23" t="n">
        <v>-0.948</v>
      </c>
      <c r="E11" s="23" t="n">
        <v>-0.279</v>
      </c>
      <c r="F11" s="23" t="n">
        <v>0</v>
      </c>
      <c r="G11" s="23" t="n">
        <v>0</v>
      </c>
    </row>
    <row r="12">
      <c r="A12" s="2" t="inlineStr">
        <is>
          <t>Net Income</t>
        </is>
      </c>
      <c r="B12" s="23" t="n">
        <v>-3.41</v>
      </c>
      <c r="C12" s="23" t="n">
        <v>-165.367</v>
      </c>
      <c r="D12" s="23" t="n">
        <v>-121.821</v>
      </c>
      <c r="E12" s="23" t="n">
        <v>-198.133</v>
      </c>
      <c r="F12" s="23" t="n">
        <v>-195.882</v>
      </c>
      <c r="G12" s="23" t="n">
        <v>-201.142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-0.2583529055231457</v>
      </c>
      <c r="C13" s="11">
        <f>IFERROR(C12/C14,0)</f>
        <v>-12.747013027056193</v>
      </c>
      <c r="D13" s="11">
        <f>IFERROR(D12/D14,0)</f>
        <v>-3.5944941134814554</v>
      </c>
      <c r="E13" s="11">
        <f>IFERROR(E12/E14,0)</f>
        <v>-2.178027679759039</v>
      </c>
      <c r="F13" s="11">
        <f>IFERROR(F12/F14,0)</f>
        <v>-1.6516188870151771</v>
      </c>
      <c r="G13" s="11">
        <f>IFERROR(G12/G14,0)</f>
        <v>-1.3521333163035514</v>
      </c>
    </row>
    <row r="14">
      <c r="A14" s="2" t="inlineStr">
        <is>
          <t>Shares</t>
        </is>
      </c>
      <c r="B14" s="23" t="n">
        <v>13.199</v>
      </c>
      <c r="C14" s="23" t="n">
        <v>12.973</v>
      </c>
      <c r="D14" s="23" t="n">
        <v>33.891</v>
      </c>
      <c r="E14" s="23" t="n">
        <v>90.96899999999999</v>
      </c>
      <c r="F14" s="23" t="n">
        <v>118.6</v>
      </c>
      <c r="G14" s="23" t="n">
        <v>148.759</v>
      </c>
    </row>
    <row r="15"/>
    <row r="16" customFormat="1" s="4">
      <c r="A16" s="3" t="inlineStr">
        <is>
          <t>Revenue Change</t>
        </is>
      </c>
      <c r="C16" s="15">
        <f>IFERROR(C2/B2-1,"")</f>
        <v>-1.0</v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>0.5527991954408311</v>
      </c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>1.0</v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>1.0</v>
      </c>
      <c r="G17" s="15">
        <f>IFERROR(G4/G2,"")</f>
        <v>1.0</v>
      </c>
      <c r="H17" s="4" t="n"/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>-0.17888675623800374</v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>-67.87361716392893</v>
      </c>
      <c r="G18" s="15">
        <f>IFERROR(G8/G2,"")</f>
        <v>-44.98056994818653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2026-10-21T01:05:02Z</dcterms:modified>
  <cp:lastModifiedBy>Wang, Eric</cp:lastModifiedBy>
</cp:coreProperties>
</file>