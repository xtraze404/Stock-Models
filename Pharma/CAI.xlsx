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Caris Life Sciences, Inc.</t>
        </is>
      </c>
      <c r="C2" s="10" t="n"/>
    </row>
    <row r="3">
      <c r="B3" t="inlineStr">
        <is>
          <t>Price</t>
        </is>
      </c>
      <c r="C3" s="11">
        <f>INDEX([1]Pharma!$F$1:$F$1000,MATCH("CAI",[1]Pharma!$B$1:$B$1000,0))</f>
        <v>31.11</v>
      </c>
      <c r="F3" s="1" t="n"/>
    </row>
    <row r="4">
      <c r="B4" t="inlineStr">
        <is>
          <t>Shares</t>
        </is>
      </c>
      <c r="C4" s="51" t="n">
        <v>282.595186</v>
      </c>
      <c r="F4" s="1" t="n"/>
    </row>
    <row r="5">
      <c r="B5" t="inlineStr">
        <is>
          <t>Market Cap.</t>
        </is>
      </c>
      <c r="C5" s="13">
        <f>C3*C4</f>
        <v>8791.53623646</v>
      </c>
      <c r="F5" s="1" t="n"/>
    </row>
    <row r="6"/>
    <row r="7">
      <c r="B7" t="inlineStr">
        <is>
          <t>Cash</t>
        </is>
      </c>
      <c r="C7" s="51" t="n">
        <v>102.2</v>
      </c>
    </row>
    <row r="8">
      <c r="B8" t="inlineStr">
        <is>
          <t>Debt</t>
        </is>
      </c>
      <c r="C8" s="51">
        <f>0.178+392.973</f>
        <v>393.151</v>
      </c>
    </row>
    <row r="9">
      <c r="B9" t="inlineStr">
        <is>
          <t>Enterprise V.</t>
        </is>
      </c>
      <c r="C9" s="13">
        <f>C5-C7+C8</f>
        <v>9082.48723646</v>
      </c>
    </row>
    <row r="10"/>
    <row r="11">
      <c r="B11" s="14" t="inlineStr">
        <is>
          <t>NPV / Share</t>
        </is>
      </c>
      <c r="C11" s="11">
        <f>NPV!B28</f>
        <v>21.409854727715675</v>
      </c>
    </row>
    <row r="12">
      <c r="B12" s="14" t="inlineStr">
        <is>
          <t>Upside</t>
        </is>
      </c>
      <c r="C12" s="15">
        <f>IFERROR(C11/C3-1,"")</f>
        <v>-0.31180151952055046</v>
      </c>
    </row>
    <row r="13">
      <c r="B13" s="14" t="inlineStr">
        <is>
          <t>Cash / Share</t>
        </is>
      </c>
      <c r="C13" s="11">
        <f>IFERROR((C7-C8)/C4,"")</f>
        <v>-1.0295681399187033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2023</v>
      </c>
      <c r="C1" s="16" t="n">
        <v>2024</v>
      </c>
      <c r="D1" s="16" t="n">
        <v>2025</v>
      </c>
      <c r="E1" s="16" t="n">
        <v>2026</v>
      </c>
      <c r="F1" s="16" t="n">
        <v>2027</v>
      </c>
      <c r="G1" s="16" t="n">
        <v>2028</v>
      </c>
      <c r="H1" s="16" t="n">
        <v>2029</v>
      </c>
      <c r="I1" s="16" t="n">
        <v>2030</v>
      </c>
      <c r="J1" s="16" t="n">
        <v>2031</v>
      </c>
      <c r="K1" s="16" t="n">
        <v>2032</v>
      </c>
      <c r="L1" s="16" t="n">
        <v>2033</v>
      </c>
      <c r="M1" s="16" t="n">
        <v>2034</v>
      </c>
      <c r="N1" s="16" t="n">
        <v>2035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306.128</v>
      </c>
      <c r="C2" s="52" t="n">
        <v>412.26</v>
      </c>
      <c r="D2" s="52" t="n">
        <v>812.033</v>
      </c>
      <c r="E2" s="52">
        <f>D2*(1+NPV!C5)</f>
        <v>1096.2445500000001</v>
      </c>
      <c r="F2" s="52">
        <f>E2*(1+NPV!D5)</f>
        <v>1440.3435337500002</v>
      </c>
      <c r="G2" s="52">
        <f>F2*(1+NPV!E5)</f>
        <v>1840.4389597916668</v>
      </c>
      <c r="H2" s="52">
        <f>G2*(1+NPV!F5)</f>
        <v>2285.2117084079864</v>
      </c>
      <c r="I2" s="52">
        <f>H2*(1+NPV!G5)</f>
        <v>2754.9496706918503</v>
      </c>
      <c r="J2" s="52">
        <f>I2*(1+NPV!H5)</f>
        <v>3221.760587114636</v>
      </c>
      <c r="K2" s="52">
        <f>J2*(1+NPV!I5)</f>
        <v>3651.3286653965874</v>
      </c>
      <c r="L2" s="52">
        <f>K2*(1+NPV!J5)</f>
        <v>4006.318952310145</v>
      </c>
      <c r="M2" s="52">
        <f>L2*(1+NPV!K5)</f>
        <v>4251.14955495132</v>
      </c>
      <c r="N2" s="52">
        <f>M2*(1+NPV!L5)</f>
        <v>4357.428293825103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>
        <f>E2*(1-Assumptions!$B$19)</f>
        <v>0.0</v>
      </c>
      <c r="F3" s="52">
        <f>F2*(1-Assumptions!$B$19)</f>
        <v>0.0</v>
      </c>
      <c r="G3" s="52">
        <f>G2*(1-Assumptions!$B$19)</f>
        <v>0.0</v>
      </c>
      <c r="H3" s="52">
        <f>H2*(1-Assumptions!$B$19)</f>
        <v>0.0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</row>
    <row r="4" customFormat="1" s="1">
      <c r="A4" s="5" t="inlineStr">
        <is>
          <t>Gross Margin</t>
        </is>
      </c>
      <c r="B4" s="52">
        <f>B2-B3</f>
        <v>306.128</v>
      </c>
      <c r="C4" s="52">
        <f>C2-C3</f>
        <v>412.26</v>
      </c>
      <c r="D4" s="52">
        <f>D2-D3</f>
        <v>812.033</v>
      </c>
      <c r="E4" s="52">
        <f>E2-E3</f>
        <v>1096.2445500000001</v>
      </c>
      <c r="F4" s="52">
        <f>F2-F3</f>
        <v>1440.3435337500002</v>
      </c>
      <c r="G4" s="52">
        <f>G2-G3</f>
        <v>1840.4389597916668</v>
      </c>
      <c r="H4" s="52">
        <f>H2-H3</f>
        <v>2285.2117084079864</v>
      </c>
      <c r="I4" s="52">
        <f>I2-I3</f>
        <v>2754.9496706918503</v>
      </c>
      <c r="J4" s="52">
        <f>J2-J3</f>
        <v>3221.760587114636</v>
      </c>
      <c r="K4" s="52">
        <f>K2-K3</f>
        <v>3651.3286653965874</v>
      </c>
      <c r="L4" s="52">
        <f>L2-L3</f>
        <v>4006.318952310145</v>
      </c>
      <c r="M4" s="52">
        <f>M2-M3</f>
        <v>4251.14955495132</v>
      </c>
      <c r="N4" s="52">
        <f>N2-N3</f>
        <v>4357.428293825103</v>
      </c>
    </row>
    <row r="5">
      <c r="A5" s="2" t="inlineStr">
        <is>
          <t>Research &amp; Dev.</t>
        </is>
      </c>
      <c r="B5" s="52" t="n">
        <v>116.883</v>
      </c>
      <c r="C5" s="52" t="n">
        <v>113.916</v>
      </c>
      <c r="D5" s="52" t="n">
        <v>101.584</v>
      </c>
      <c r="E5" s="52">
        <f>E7*Assumptions!$B$20</f>
        <v>122.09771733269626</v>
      </c>
      <c r="F5" s="52">
        <f>F7*Assumptions!$B$20</f>
        <v>159.56212087494526</v>
      </c>
      <c r="G5" s="52">
        <f>G7*Assumptions!$B$20</f>
        <v>202.7851319176992</v>
      </c>
      <c r="H5" s="52">
        <f>H7*Assumptions!$B$20</f>
        <v>250.425953411158</v>
      </c>
      <c r="I5" s="52">
        <f>I7*Assumptions!$B$20</f>
        <v>300.2561103406546</v>
      </c>
      <c r="J5" s="52">
        <f>J7*Assumptions!$B$20</f>
        <v>349.2075965655315</v>
      </c>
      <c r="K5" s="52">
        <f>K7*Assumptions!$B$20</f>
        <v>393.58666671371134</v>
      </c>
      <c r="L5" s="52">
        <f>L7*Assumptions!$B$20</f>
        <v>429.4579610407289</v>
      </c>
      <c r="M5" s="52">
        <f>M7*Assumptions!$B$20</f>
        <v>453.16223352014003</v>
      </c>
      <c r="N5" s="52">
        <f>N7*Assumptions!$B$20</f>
        <v>461.8873991454609</v>
      </c>
    </row>
    <row r="6">
      <c r="A6" s="18" t="inlineStr">
        <is>
          <t>SG&amp;A &amp; Other</t>
        </is>
      </c>
      <c r="B6" s="52" t="n">
        <v>508.796</v>
      </c>
      <c r="C6" s="52" t="n">
        <v>555.466</v>
      </c>
      <c r="D6" s="52" t="n">
        <v>665.336</v>
      </c>
      <c r="E6" s="52">
        <f>E7-E5</f>
        <v>799.3944889518039</v>
      </c>
      <c r="F6" s="52">
        <f>F7-F5</f>
        <v>1044.6803008227548</v>
      </c>
      <c r="G6" s="52">
        <f>G7-G5</f>
        <v>1327.668693876257</v>
      </c>
      <c r="H6" s="52">
        <f>H7-H5</f>
        <v>1639.5812421447513</v>
      </c>
      <c r="I6" s="52">
        <f>I7-I5</f>
        <v>1965.827741286927</v>
      </c>
      <c r="J6" s="52">
        <f>J7-J5</f>
        <v>2286.3214341177254</v>
      </c>
      <c r="K6" s="52">
        <f>K7-K5</f>
        <v>2576.8787424463744</v>
      </c>
      <c r="L6" s="52">
        <f>L7-L5</f>
        <v>2811.7341977572246</v>
      </c>
      <c r="M6" s="52">
        <f>M7-M5</f>
        <v>2966.9300949337467</v>
      </c>
      <c r="N6" s="52">
        <f>N7-N5</f>
        <v>3024.0552359146213</v>
      </c>
    </row>
    <row r="7">
      <c r="A7" s="2" t="inlineStr">
        <is>
          <t>Operating Expense</t>
        </is>
      </c>
      <c r="B7" s="52">
        <f>SUM(B5:B6)</f>
        <v>625.679</v>
      </c>
      <c r="C7" s="52">
        <f>SUM(C5:C6)</f>
        <v>669.3820000000001</v>
      </c>
      <c r="D7" s="52">
        <f>SUM(D5:D6)</f>
        <v>766.9200000000001</v>
      </c>
      <c r="E7" s="52">
        <f>E4-E2*NPV!C6</f>
        <v>921.4922062845001</v>
      </c>
      <c r="F7" s="52">
        <f>F4-F2*NPV!D6</f>
        <v>1204.2424216977001</v>
      </c>
      <c r="G7" s="52">
        <f>G4-G2*NPV!E6</f>
        <v>1530.4538257939562</v>
      </c>
      <c r="H7" s="52">
        <f>H4-H2*NPV!F6</f>
        <v>1890.0071955559092</v>
      </c>
      <c r="I7" s="52">
        <f>I4-I2*NPV!G6</f>
        <v>2266.0838516275817</v>
      </c>
      <c r="J7" s="52">
        <f>J4-J2*NPV!H6</f>
        <v>2635.5290306832567</v>
      </c>
      <c r="K7" s="52">
        <f>K4-K2*NPV!I6</f>
        <v>2970.4654091600855</v>
      </c>
      <c r="L7" s="52">
        <f>L4-L2*NPV!J6</f>
        <v>3241.1921587979537</v>
      </c>
      <c r="M7" s="52">
        <f>M4-M2*NPV!K6</f>
        <v>3420.0923284538867</v>
      </c>
      <c r="N7" s="52">
        <f>N4-N2*NPV!L6</f>
        <v>3485.942635060082</v>
      </c>
    </row>
    <row r="8">
      <c r="A8" s="2" t="inlineStr">
        <is>
          <t>Operating Income</t>
        </is>
      </c>
      <c r="B8" s="52">
        <f>B4-B7</f>
        <v>-319.551</v>
      </c>
      <c r="C8" s="52">
        <f>C4-C7</f>
        <v>-257.12200000000007</v>
      </c>
      <c r="D8" s="52">
        <f>D4-D7</f>
        <v>45.11299999999994</v>
      </c>
      <c r="E8" s="52">
        <f>E4-E7</f>
        <v>174.75234371550005</v>
      </c>
      <c r="F8" s="52">
        <f>F4-F7</f>
        <v>236.1011120523001</v>
      </c>
      <c r="G8" s="52">
        <f>G4-G7</f>
        <v>309.9851339977106</v>
      </c>
      <c r="H8" s="52">
        <f>H4-H7</f>
        <v>395.2045128520772</v>
      </c>
      <c r="I8" s="52">
        <f>I4-I7</f>
        <v>488.86581906426863</v>
      </c>
      <c r="J8" s="52">
        <f>J4-J7</f>
        <v>586.2315564313794</v>
      </c>
      <c r="K8" s="52">
        <f>K4-K7</f>
        <v>680.8632562365019</v>
      </c>
      <c r="L8" s="52">
        <f>L4-L7</f>
        <v>765.1267935121914</v>
      </c>
      <c r="M8" s="52">
        <f>M4-M7</f>
        <v>831.0572264974335</v>
      </c>
      <c r="N8" s="52">
        <f>N4-N7</f>
        <v>871.4856587650206</v>
      </c>
    </row>
    <row r="9">
      <c r="A9" s="18" t="inlineStr">
        <is>
          <t>Interest &amp; Other</t>
        </is>
      </c>
      <c r="B9" s="52" t="n">
        <v>-21.864</v>
      </c>
      <c r="C9" s="52" t="n">
        <v>-24.768</v>
      </c>
      <c r="D9" s="52" t="n">
        <v>-113.201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</row>
    <row r="10">
      <c r="A10" s="2" t="inlineStr">
        <is>
          <t>Pretax</t>
        </is>
      </c>
      <c r="B10" s="52">
        <f>B8+B9</f>
        <v>-341.41499999999996</v>
      </c>
      <c r="C10" s="52">
        <f>C8+C9</f>
        <v>-281.8900000000001</v>
      </c>
      <c r="D10" s="52">
        <f>D8+D9</f>
        <v>-68.08800000000005</v>
      </c>
      <c r="E10" s="52">
        <f>E8+E9</f>
        <v>174.75234371550005</v>
      </c>
      <c r="F10" s="52">
        <f>F8+F9</f>
        <v>236.1011120523001</v>
      </c>
      <c r="G10" s="52">
        <f>G8+G9</f>
        <v>309.9851339977106</v>
      </c>
      <c r="H10" s="52">
        <f>H8+H9</f>
        <v>395.2045128520772</v>
      </c>
      <c r="I10" s="52">
        <f>I8+I9</f>
        <v>488.86581906426863</v>
      </c>
      <c r="J10" s="52">
        <f>J8+J9</f>
        <v>586.2315564313794</v>
      </c>
      <c r="K10" s="52">
        <f>K8+K9</f>
        <v>680.8632562365019</v>
      </c>
      <c r="L10" s="52">
        <f>L8+L9</f>
        <v>765.1267935121914</v>
      </c>
      <c r="M10" s="52">
        <f>M8+M9</f>
        <v>831.0572264974335</v>
      </c>
      <c r="N10" s="52">
        <f>N8+N9</f>
        <v>871.4856587650206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>
        <f>MAX(0,E10)*Assumptions!$E$14</f>
        <v>29.70789843163501</v>
      </c>
      <c r="F11" s="52">
        <f>MAX(0,F10)*Assumptions!$E$14</f>
        <v>40.13718904889102</v>
      </c>
      <c r="G11" s="52">
        <f>MAX(0,G10)*Assumptions!$E$14</f>
        <v>52.697472779610806</v>
      </c>
      <c r="H11" s="52">
        <f>MAX(0,H10)*Assumptions!$E$14</f>
        <v>67.18476718485313</v>
      </c>
      <c r="I11" s="52">
        <f>MAX(0,I10)*Assumptions!$E$14</f>
        <v>83.10718924092568</v>
      </c>
      <c r="J11" s="52">
        <f>MAX(0,J10)*Assumptions!$E$14</f>
        <v>99.65936459333452</v>
      </c>
      <c r="K11" s="52">
        <f>MAX(0,K10)*Assumptions!$E$14</f>
        <v>115.74675356020533</v>
      </c>
      <c r="L11" s="52">
        <f>MAX(0,L10)*Assumptions!$E$14</f>
        <v>130.07155489707256</v>
      </c>
      <c r="M11" s="52">
        <f>MAX(0,M10)*Assumptions!$E$14</f>
        <v>141.2797285045637</v>
      </c>
      <c r="N11" s="52">
        <f>MAX(0,N10)*Assumptions!$E$14</f>
        <v>148.15256199005353</v>
      </c>
    </row>
    <row r="12">
      <c r="A12" s="2" t="inlineStr">
        <is>
          <t>Net Income</t>
        </is>
      </c>
      <c r="B12" s="52" t="n">
        <v>-341.415</v>
      </c>
      <c r="C12" s="52" t="n">
        <v>-281.89</v>
      </c>
      <c r="D12" s="52" t="n">
        <v>-68.08799999999999</v>
      </c>
      <c r="E12" s="52">
        <f>E10-E11</f>
        <v>145.04444528386503</v>
      </c>
      <c r="F12" s="52">
        <f>F10-F11</f>
        <v>195.9639230034091</v>
      </c>
      <c r="G12" s="52">
        <f>G10-G11</f>
        <v>257.2876612180998</v>
      </c>
      <c r="H12" s="52">
        <f>H10-H11</f>
        <v>328.0197456672241</v>
      </c>
      <c r="I12" s="52">
        <f>I10-I11</f>
        <v>405.75862982334297</v>
      </c>
      <c r="J12" s="52">
        <f>J10-J11</f>
        <v>486.5721918380449</v>
      </c>
      <c r="K12" s="52">
        <f>K10-K11</f>
        <v>565.1165026762966</v>
      </c>
      <c r="L12" s="52">
        <f>L10-L11</f>
        <v>635.0552386151188</v>
      </c>
      <c r="M12" s="52">
        <f>M10-M11</f>
        <v>689.7774979928697</v>
      </c>
      <c r="N12" s="52">
        <f>N10-N11</f>
        <v>723.3330967749671</v>
      </c>
    </row>
    <row r="13">
      <c r="A13" s="2" t="inlineStr">
        <is>
          <t>Earnings per Share</t>
        </is>
      </c>
      <c r="B13" s="11">
        <f>IFERROR(B12/B14,0)</f>
        <v>-9.770626448788027</v>
      </c>
      <c r="C13" s="11">
        <f>IFERROR(C12/C14,0)</f>
        <v>-7.941234470518635</v>
      </c>
      <c r="D13" s="11">
        <f>IFERROR(D12/D14,0)</f>
        <v>-0.4072102675741301</v>
      </c>
      <c r="E13" s="11">
        <f>IFERROR(E12/E14,0)</f>
        <v>0.5132587265087559</v>
      </c>
      <c r="F13" s="11">
        <f>IFERROR(F12/F14,0)</f>
        <v>0.6934439534416169</v>
      </c>
      <c r="G13" s="11">
        <f>IFERROR(G12/G14,0)</f>
        <v>0.9104460159420401</v>
      </c>
      <c r="H13" s="11">
        <f>IFERROR(H12/H14,0)</f>
        <v>1.1607407412355002</v>
      </c>
      <c r="I13" s="11">
        <f>IFERROR(I12/I14,0)</f>
        <v>1.4358299430597623</v>
      </c>
      <c r="J13" s="11">
        <f>IFERROR(J12/J14,0)</f>
        <v>1.7217992943377487</v>
      </c>
      <c r="K13" s="11">
        <f>IFERROR(K12/K14,0)</f>
        <v>1.9997386037435774</v>
      </c>
      <c r="L13" s="11">
        <f>IFERROR(L12/L14,0)</f>
        <v>2.247225961645075</v>
      </c>
      <c r="M13" s="11">
        <f>IFERROR(M12/M14,0)</f>
        <v>2.440867828487601</v>
      </c>
      <c r="N13" s="11">
        <f>IFERROR(N12/N14,0)</f>
        <v>2.5596087003936687</v>
      </c>
    </row>
    <row r="14">
      <c r="A14" s="2" t="inlineStr">
        <is>
          <t>Shares</t>
        </is>
      </c>
      <c r="B14" s="52" t="n">
        <v>34.943</v>
      </c>
      <c r="C14" s="52" t="n">
        <v>35.497</v>
      </c>
      <c r="D14" s="52" t="n">
        <v>167.206</v>
      </c>
      <c r="E14" s="52">
        <f>Main!$C$4</f>
        <v>282.595186</v>
      </c>
      <c r="F14" s="52">
        <f>Main!$C$4</f>
        <v>282.595186</v>
      </c>
      <c r="G14" s="52">
        <f>Main!$C$4</f>
        <v>282.595186</v>
      </c>
      <c r="H14" s="52">
        <f>Main!$C$4</f>
        <v>282.595186</v>
      </c>
      <c r="I14" s="52">
        <f>Main!$C$4</f>
        <v>282.595186</v>
      </c>
      <c r="J14" s="52">
        <f>Main!$C$4</f>
        <v>282.595186</v>
      </c>
      <c r="K14" s="52">
        <f>Main!$C$4</f>
        <v>282.595186</v>
      </c>
      <c r="L14" s="52">
        <f>Main!$C$4</f>
        <v>282.595186</v>
      </c>
      <c r="M14" s="52">
        <f>Main!$C$4</f>
        <v>282.595186</v>
      </c>
      <c r="N14" s="52">
        <f>Main!$C$4</f>
        <v>282.595186</v>
      </c>
    </row>
    <row r="15"/>
    <row r="16" customFormat="1" s="4">
      <c r="A16" s="3" t="inlineStr">
        <is>
          <t>Revenue Change</t>
        </is>
      </c>
      <c r="C16" s="15">
        <f>IFERROR(C2/B2-1,"")</f>
        <v>0.34669157999268285</v>
      </c>
      <c r="D16" s="15">
        <f>IFERROR(D2/C2-1,"")</f>
        <v>0.9697108620773298</v>
      </c>
      <c r="E16" s="15">
        <f>IFERROR(E2/D2-1,"")</f>
        <v>0.3500000000000001</v>
      </c>
      <c r="F16" s="15">
        <f>IFERROR(F2/E2-1,"")</f>
        <v>0.3138888888888889</v>
      </c>
      <c r="G16" s="15">
        <f>IFERROR(G2/F2-1,"")</f>
        <v>0.2777777777777777</v>
      </c>
      <c r="H16" s="15">
        <f>IFERROR(H2/G2-1,"")</f>
        <v>0.2416666666666667</v>
      </c>
      <c r="I16" s="15">
        <f>IFERROR(I2/H2-1,"")</f>
        <v>0.2055555555555555</v>
      </c>
      <c r="J16" s="15">
        <f>IFERROR(J2/I2-1,"")</f>
        <v>0.1694444444444445</v>
      </c>
      <c r="K16" s="15">
        <f>IFERROR(K2/J2-1,"")</f>
        <v>0.1333333333333333</v>
      </c>
      <c r="L16" s="15">
        <f>IFERROR(L2/K2-1,"")</f>
        <v>0.09722222222222232</v>
      </c>
      <c r="M16" s="15">
        <f>IFERROR(M2/L2-1,"")</f>
        <v>0.061111111111111116</v>
      </c>
      <c r="N16" s="15">
        <f>IFERROR(N2/M2-1,"")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>-1.0438476715622222</v>
      </c>
      <c r="C18" s="15">
        <f>IFERROR(C8/C2,"")</f>
        <v>-0.6236889341677584</v>
      </c>
      <c r="D18" s="15">
        <f>IFERROR(D8/D2,"")</f>
        <v>0.05555562397094692</v>
      </c>
      <c r="E18" s="15">
        <f>IFERROR(E8/E2,"")</f>
        <v>0.15941000000000002</v>
      </c>
      <c r="F18" s="15">
        <f>IFERROR(F8/F2,"")</f>
        <v>0.16392000000000004</v>
      </c>
      <c r="G18" s="15">
        <f>IFERROR(G8/G2,"")</f>
        <v>0.16843000000000008</v>
      </c>
      <c r="H18" s="15">
        <f>IFERROR(H8/H2,"")</f>
        <v>0.17294</v>
      </c>
      <c r="I18" s="15">
        <f>IFERROR(I8/I2,"")</f>
        <v>0.1774499999999999</v>
      </c>
      <c r="J18" s="15">
        <f>IFERROR(J8/J2,"")</f>
        <v>0.18196000000000007</v>
      </c>
      <c r="K18" s="15">
        <f>IFERROR(K8/K2,"")</f>
        <v>0.18647000000000008</v>
      </c>
      <c r="L18" s="15">
        <f>IFERROR(L8/L2,"")</f>
        <v>0.19097999999999998</v>
      </c>
      <c r="M18" s="15">
        <f>IFERROR(M8/M2,"")</f>
        <v>0.19548999999999997</v>
      </c>
      <c r="N18" s="15">
        <f>IFERROR(N8/N2,"")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E</t>
        </is>
      </c>
      <c r="F19" s="19" t="inlineStr">
        <is>
          <t>E</t>
        </is>
      </c>
      <c r="G19" s="19" t="inlineStr">
        <is>
          <t>E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Caris Life Sciences,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0.1549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0.1325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Model'!D2</f>
        <v>812.033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6341.272879011791</v>
      </c>
      <c r="C29" s="56">
        <f>NPV!B26</f>
        <v>6050.321879011791</v>
      </c>
      <c r="D29" s="35">
        <f>NPV!B28</f>
        <v>21.409854727715675</v>
      </c>
      <c r="E29" s="57">
        <f>NPV!B30</f>
        <v>-0.31180151952055046</v>
      </c>
    </row>
    <row r="30">
      <c r="A30" s="58" t="n">
        <v>1</v>
      </c>
      <c r="B30" s="59">
        <f t="dataTable" ref="B30:E32" r1="B4"/>
        <v>3264.92693564985</v>
      </c>
      <c r="C30" s="59">
        <v>2973.97593564985</v>
      </c>
      <c r="D30" s="39">
        <v>10.5238025379875</v>
      </c>
      <c r="E30" s="60">
        <v>-0.6617228370945838</v>
      </c>
    </row>
    <row r="31">
      <c r="A31" s="58" t="n">
        <v>2</v>
      </c>
      <c r="B31" s="59">
        <v>6341.272879011791</v>
      </c>
      <c r="C31" s="59">
        <v>6050.321879011791</v>
      </c>
      <c r="D31" s="39">
        <v>21.409854727715675</v>
      </c>
      <c r="E31" s="60">
        <v>-0.31180151952055046</v>
      </c>
    </row>
    <row r="32">
      <c r="A32" s="58" t="n">
        <v>3</v>
      </c>
      <c r="B32" s="59">
        <v>12413.824636695557</v>
      </c>
      <c r="C32" s="59">
        <v>12122.873636695558</v>
      </c>
      <c r="D32" s="39">
        <v>42.89837278649028</v>
      </c>
      <c r="E32" s="60">
        <v>0.3789255154770259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21.409854727715675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27.24154515213797</v>
      </c>
      <c r="C37" s="39">
        <v>29.58771440799683</v>
      </c>
      <c r="D37" s="39">
        <v>32.40174034022499</v>
      </c>
      <c r="E37" s="39">
        <v>35.839562786875724</v>
      </c>
      <c r="F37" s="39">
        <v>40.135091433833274</v>
      </c>
    </row>
    <row r="38">
      <c r="A38" s="62" t="n">
        <v>0.08500000000000001</v>
      </c>
      <c r="B38" s="39">
        <v>22.450359702228447</v>
      </c>
      <c r="C38" s="39">
        <v>24.070902464618744</v>
      </c>
      <c r="D38" s="39">
        <v>25.960430299742164</v>
      </c>
      <c r="E38" s="39">
        <v>28.19229301317063</v>
      </c>
      <c r="F38" s="39">
        <v>30.869180278206525</v>
      </c>
    </row>
    <row r="39">
      <c r="A39" s="62" t="n">
        <v>0.095</v>
      </c>
      <c r="B39" s="39">
        <v>18.901028092909364</v>
      </c>
      <c r="C39" s="39">
        <v>20.072239193748466</v>
      </c>
      <c r="D39" s="39">
        <v>21.409854727715675</v>
      </c>
      <c r="E39" s="39">
        <v>22.952267779081794</v>
      </c>
      <c r="F39" s="39">
        <v>24.75066908348056</v>
      </c>
    </row>
    <row r="40">
      <c r="A40" s="62" t="n">
        <v>0.105</v>
      </c>
      <c r="B40" s="39">
        <v>16.176264253617695</v>
      </c>
      <c r="C40" s="39">
        <v>17.052360441370777</v>
      </c>
      <c r="D40" s="39">
        <v>18.037202317910616</v>
      </c>
      <c r="E40" s="39">
        <v>19.152532416742744</v>
      </c>
      <c r="F40" s="39">
        <v>20.426305388307206</v>
      </c>
    </row>
    <row r="41">
      <c r="A41" s="62" t="n">
        <v>0.115</v>
      </c>
      <c r="B41" s="39">
        <v>14.025999674384963</v>
      </c>
      <c r="C41" s="39">
        <v>14.699324439085663</v>
      </c>
      <c r="D41" s="39">
        <v>15.446809132376348</v>
      </c>
      <c r="E41" s="39">
        <v>16.281535214249743</v>
      </c>
      <c r="F41" s="39">
        <v>17.21985448008918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Caris Life Sciences, Inc.: free-cash-flow DCF ($mm)</t>
        </is>
      </c>
    </row>
    <row r="3">
      <c r="A3" s="20" t="inlineStr">
        <is>
          <t>Fiscal year</t>
        </is>
      </c>
      <c r="B3" s="43">
        <f>'Yearly Model'!D1</f>
        <v>2025</v>
      </c>
      <c r="C3" s="43">
        <f>'Yearly Model'!E1</f>
        <v>2026</v>
      </c>
      <c r="D3" s="43">
        <f>'Yearly Model'!F1</f>
        <v>2027</v>
      </c>
      <c r="E3" s="43">
        <f>'Yearly Model'!G1</f>
        <v>2028</v>
      </c>
      <c r="F3" s="43">
        <f>'Yearly Model'!H1</f>
        <v>2029</v>
      </c>
      <c r="G3" s="43">
        <f>'Yearly Model'!I1</f>
        <v>2030</v>
      </c>
      <c r="H3" s="43">
        <f>'Yearly Model'!J1</f>
        <v>2031</v>
      </c>
      <c r="I3" s="43">
        <f>'Yearly Model'!K1</f>
        <v>2032</v>
      </c>
      <c r="J3" s="43">
        <f>'Yearly Model'!L1</f>
        <v>2033</v>
      </c>
      <c r="K3" s="43">
        <f>'Yearly Model'!M1</f>
        <v>2034</v>
      </c>
      <c r="L3" s="43">
        <f>'Yearly Model'!N1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0.05555562397094692</v>
      </c>
      <c r="C6" s="63">
        <f>Assumptions!$B$18+(Assumptions!$E$13-Assumptions!$B$18)*C4/Assumptions!$B$21</f>
        <v>0.15941</v>
      </c>
      <c r="D6" s="63">
        <f>Assumptions!$B$18+(Assumptions!$E$13-Assumptions!$B$18)*D4/Assumptions!$B$21</f>
        <v>0.16392</v>
      </c>
      <c r="E6" s="63">
        <f>Assumptions!$B$18+(Assumptions!$E$13-Assumptions!$B$18)*E4/Assumptions!$B$21</f>
        <v>0.16843000000000002</v>
      </c>
      <c r="F6" s="63">
        <f>Assumptions!$B$18+(Assumptions!$E$13-Assumptions!$B$18)*F4/Assumptions!$B$21</f>
        <v>0.17294</v>
      </c>
      <c r="G6" s="63">
        <f>Assumptions!$B$18+(Assumptions!$E$13-Assumptions!$B$18)*G4/Assumptions!$B$21</f>
        <v>0.17745</v>
      </c>
      <c r="H6" s="63">
        <f>Assumptions!$B$18+(Assumptions!$E$13-Assumptions!$B$18)*H4/Assumptions!$B$21</f>
        <v>0.18196</v>
      </c>
      <c r="I6" s="63">
        <f>Assumptions!$B$18+(Assumptions!$E$13-Assumptions!$B$18)*I4/Assumptions!$B$21</f>
        <v>0.18647000000000002</v>
      </c>
      <c r="J6" s="63">
        <f>Assumptions!$B$18+(Assumptions!$E$13-Assumptions!$B$18)*J4/Assumptions!$B$21</f>
        <v>0.19098</v>
      </c>
      <c r="K6" s="63">
        <f>Assumptions!$B$18+(Assumptions!$E$13-Assumptions!$B$18)*K4/Assumptions!$B$21</f>
        <v>0.19549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Model'!D2</f>
        <v>812.033</v>
      </c>
      <c r="C7" s="55">
        <f>'Yearly Model'!E2</f>
        <v>1096.2445500000001</v>
      </c>
      <c r="D7" s="55">
        <f>'Yearly Model'!F2</f>
        <v>1440.3435337500002</v>
      </c>
      <c r="E7" s="55">
        <f>'Yearly Model'!G2</f>
        <v>1840.4389597916668</v>
      </c>
      <c r="F7" s="55">
        <f>'Yearly Model'!H2</f>
        <v>2285.2117084079864</v>
      </c>
      <c r="G7" s="55">
        <f>'Yearly Model'!I2</f>
        <v>2754.9496706918503</v>
      </c>
      <c r="H7" s="55">
        <f>'Yearly Model'!J2</f>
        <v>3221.760587114636</v>
      </c>
      <c r="I7" s="55">
        <f>'Yearly Model'!K2</f>
        <v>3651.3286653965874</v>
      </c>
      <c r="J7" s="55">
        <f>'Yearly Model'!L2</f>
        <v>4006.318952310145</v>
      </c>
      <c r="K7" s="55">
        <f>'Yearly Model'!M2</f>
        <v>4251.14955495132</v>
      </c>
      <c r="L7" s="55">
        <f>'Yearly Model'!N2</f>
        <v>4357.428293825103</v>
      </c>
    </row>
    <row r="8">
      <c r="A8" s="14" t="inlineStr">
        <is>
          <t>Operating income</t>
        </is>
      </c>
      <c r="B8" s="55">
        <f>'Yearly Model'!D8</f>
        <v>45.11299999999994</v>
      </c>
      <c r="C8" s="55">
        <f>'Yearly Model'!E8</f>
        <v>174.75234371550005</v>
      </c>
      <c r="D8" s="55">
        <f>'Yearly Model'!F8</f>
        <v>236.1011120523001</v>
      </c>
      <c r="E8" s="55">
        <f>'Yearly Model'!G8</f>
        <v>309.9851339977106</v>
      </c>
      <c r="F8" s="55">
        <f>'Yearly Model'!H8</f>
        <v>395.2045128520772</v>
      </c>
      <c r="G8" s="55">
        <f>'Yearly Model'!I8</f>
        <v>488.86581906426863</v>
      </c>
      <c r="H8" s="55">
        <f>'Yearly Model'!J8</f>
        <v>586.2315564313794</v>
      </c>
      <c r="I8" s="55">
        <f>'Yearly Model'!K8</f>
        <v>680.8632562365019</v>
      </c>
      <c r="J8" s="55">
        <f>'Yearly Model'!L8</f>
        <v>765.1267935121914</v>
      </c>
      <c r="K8" s="55">
        <f>'Yearly Model'!M8</f>
        <v>831.0572264974335</v>
      </c>
      <c r="L8" s="55">
        <f>'Yearly Model'!N8</f>
        <v>871.4856587650206</v>
      </c>
    </row>
    <row r="9">
      <c r="A9" s="14" t="inlineStr">
        <is>
          <t>Tax on operating income</t>
        </is>
      </c>
      <c r="C9" s="52">
        <f>MAX(0,C8)*Assumptions!$E$14</f>
        <v>29.70789843163501</v>
      </c>
      <c r="D9" s="52">
        <f>MAX(0,D8)*Assumptions!$E$14</f>
        <v>40.13718904889102</v>
      </c>
      <c r="E9" s="52">
        <f>MAX(0,E8)*Assumptions!$E$14</f>
        <v>52.697472779610806</v>
      </c>
      <c r="F9" s="52">
        <f>MAX(0,F8)*Assumptions!$E$14</f>
        <v>67.18476718485313</v>
      </c>
      <c r="G9" s="52">
        <f>MAX(0,G8)*Assumptions!$E$14</f>
        <v>83.10718924092568</v>
      </c>
      <c r="H9" s="52">
        <f>MAX(0,H8)*Assumptions!$E$14</f>
        <v>99.65936459333452</v>
      </c>
      <c r="I9" s="52">
        <f>MAX(0,I8)*Assumptions!$E$14</f>
        <v>115.74675356020533</v>
      </c>
      <c r="J9" s="52">
        <f>MAX(0,J8)*Assumptions!$E$14</f>
        <v>130.07155489707256</v>
      </c>
      <c r="K9" s="52">
        <f>MAX(0,K8)*Assumptions!$E$14</f>
        <v>141.2797285045637</v>
      </c>
      <c r="L9" s="52">
        <f>MAX(0,L8)*Assumptions!$E$14</f>
        <v>148.15256199005353</v>
      </c>
    </row>
    <row r="10">
      <c r="A10" s="14" t="inlineStr">
        <is>
          <t>NOPAT</t>
        </is>
      </c>
      <c r="C10" s="52">
        <f>C8-C9</f>
        <v>145.04444528386503</v>
      </c>
      <c r="D10" s="52">
        <f>D8-D9</f>
        <v>195.9639230034091</v>
      </c>
      <c r="E10" s="52">
        <f>E8-E9</f>
        <v>257.2876612180998</v>
      </c>
      <c r="F10" s="52">
        <f>F8-F9</f>
        <v>328.0197456672241</v>
      </c>
      <c r="G10" s="52">
        <f>G8-G9</f>
        <v>405.75862982334297</v>
      </c>
      <c r="H10" s="52">
        <f>H8-H9</f>
        <v>486.5721918380449</v>
      </c>
      <c r="I10" s="52">
        <f>I8-I9</f>
        <v>565.1165026762966</v>
      </c>
      <c r="J10" s="52">
        <f>J8-J9</f>
        <v>635.0552386151188</v>
      </c>
      <c r="K10" s="52">
        <f>K8-K9</f>
        <v>689.7774979928697</v>
      </c>
      <c r="L10" s="52">
        <f>L8-L9</f>
        <v>723.3330967749671</v>
      </c>
    </row>
    <row r="11">
      <c r="A11" s="14" t="inlineStr">
        <is>
          <t>Reinvestment</t>
        </is>
      </c>
      <c r="C11" s="52">
        <f>(C7-B7)*Assumptions!$E$15</f>
        <v>71.05288750000003</v>
      </c>
      <c r="D11" s="52">
        <f>(D7-C7)*Assumptions!$E$15</f>
        <v>86.02474593750003</v>
      </c>
      <c r="E11" s="52">
        <f>(E7-D7)*Assumptions!$E$15</f>
        <v>100.02385651041664</v>
      </c>
      <c r="F11" s="52">
        <f>(F7-E7)*Assumptions!$E$15</f>
        <v>111.19318715407991</v>
      </c>
      <c r="G11" s="52">
        <f>(G7-F7)*Assumptions!$E$15</f>
        <v>117.43449057096598</v>
      </c>
      <c r="H11" s="52">
        <f>(H7-G7)*Assumptions!$E$15</f>
        <v>116.70272910569645</v>
      </c>
      <c r="I11" s="52">
        <f>(I7-H7)*Assumptions!$E$15</f>
        <v>107.39201957048783</v>
      </c>
      <c r="J11" s="52">
        <f>(J7-I7)*Assumptions!$E$15</f>
        <v>88.7475717283894</v>
      </c>
      <c r="K11" s="52">
        <f>(K7-J7)*Assumptions!$E$15</f>
        <v>61.20765066029378</v>
      </c>
      <c r="L11" s="52">
        <f>(L7-K7)*Assumptions!$E$15</f>
        <v>26.569684718445615</v>
      </c>
    </row>
    <row r="12">
      <c r="A12" s="20" t="inlineStr">
        <is>
          <t>Free cash flow</t>
        </is>
      </c>
      <c r="C12" s="64">
        <f>C10-C11</f>
        <v>73.991557783865</v>
      </c>
      <c r="D12" s="64">
        <f>D10-D11</f>
        <v>109.93917706590906</v>
      </c>
      <c r="E12" s="64">
        <f>E10-E11</f>
        <v>157.26380470768316</v>
      </c>
      <c r="F12" s="64">
        <f>F10-F11</f>
        <v>216.82655851314416</v>
      </c>
      <c r="G12" s="64">
        <f>G10-G11</f>
        <v>288.324139252377</v>
      </c>
      <c r="H12" s="64">
        <f>H10-H11</f>
        <v>369.86946273234844</v>
      </c>
      <c r="I12" s="64">
        <f>I10-I11</f>
        <v>457.72448310580876</v>
      </c>
      <c r="J12" s="64">
        <f>J10-J11</f>
        <v>546.3076668867294</v>
      </c>
      <c r="K12" s="64">
        <f>K10-K11</f>
        <v>628.5698473325759</v>
      </c>
      <c r="L12" s="64">
        <f>L10-L11</f>
        <v>696.7634120565215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36.45562427099103</v>
      </c>
      <c r="D16" s="64">
        <f>D12*D13*D15</f>
        <v>100.36372336951904</v>
      </c>
      <c r="E16" s="64">
        <f>E12*E13*E15</f>
        <v>131.1109433495325</v>
      </c>
      <c r="F16" s="64">
        <f>F12*F13*F15</f>
        <v>165.085344856991</v>
      </c>
      <c r="G16" s="64">
        <f>G12*G13*G15</f>
        <v>200.47624978770804</v>
      </c>
      <c r="H16" s="64">
        <f>H12*H13*H15</f>
        <v>234.8639078196126</v>
      </c>
      <c r="I16" s="64">
        <f>I12*I13*I15</f>
        <v>265.43478120566016</v>
      </c>
      <c r="J16" s="64">
        <f>J12*J13*J15</f>
        <v>289.31893870659013</v>
      </c>
      <c r="K16" s="64">
        <f>K12*K13*K15</f>
        <v>304.00378628194994</v>
      </c>
      <c r="L16" s="64">
        <f>L12*L13*L15</f>
        <v>307.74901158855755</v>
      </c>
    </row>
    <row r="19">
      <c r="A19" s="14" t="inlineStr">
        <is>
          <t>PV of forecast free cash flow</t>
        </is>
      </c>
      <c r="B19" s="52">
        <f>SUM(C16:L16)</f>
        <v>2034.862311237112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714.1824973579343</v>
      </c>
    </row>
    <row r="21">
      <c r="A21" s="14" t="inlineStr">
        <is>
          <t>Terminal value</t>
        </is>
      </c>
      <c r="B21" s="52">
        <f>B20/(Assumptions!$E$10-Assumptions!$E$11)</f>
        <v>10202.607105113346</v>
      </c>
    </row>
    <row r="22">
      <c r="A22" s="14" t="inlineStr">
        <is>
          <t>PV of terminal value</t>
        </is>
      </c>
      <c r="B22" s="52">
        <f>B21/(1+Assumptions!$E$10)^(L14+0.5)</f>
        <v>4306.410567774678</v>
      </c>
    </row>
    <row r="23">
      <c r="A23" s="20" t="inlineStr">
        <is>
          <t>Enterprise value</t>
        </is>
      </c>
      <c r="B23" s="66">
        <f>B19+B22</f>
        <v>6341.272879011791</v>
      </c>
    </row>
    <row r="24">
      <c r="A24" s="14" t="inlineStr">
        <is>
          <t>Cash &amp; investments</t>
        </is>
      </c>
      <c r="B24" s="55">
        <f>Main!C7</f>
        <v>102.2</v>
      </c>
    </row>
    <row r="25">
      <c r="A25" s="14" t="inlineStr">
        <is>
          <t>Debt</t>
        </is>
      </c>
      <c r="B25" s="55">
        <f>Main!C8</f>
        <v>393.151</v>
      </c>
    </row>
    <row r="26">
      <c r="A26" s="20" t="inlineStr">
        <is>
          <t>Equity value</t>
        </is>
      </c>
      <c r="B26" s="66">
        <f>B23+B24-B25</f>
        <v>6050.321879011791</v>
      </c>
    </row>
    <row r="27">
      <c r="A27" s="14" t="inlineStr">
        <is>
          <t>Shares (mm)</t>
        </is>
      </c>
      <c r="B27" s="55">
        <f>Main!C4</f>
        <v>282.595186</v>
      </c>
    </row>
    <row r="28">
      <c r="A28" s="20" t="inlineStr">
        <is>
          <t>NPV / share</t>
        </is>
      </c>
      <c r="B28" s="49">
        <f>B26/B27</f>
        <v>21.409854727715675</v>
      </c>
    </row>
    <row r="29">
      <c r="A29" s="14" t="inlineStr">
        <is>
          <t>Price</t>
        </is>
      </c>
      <c r="B29" s="50">
        <f>Main!C3</f>
        <v>31.11</v>
      </c>
    </row>
    <row r="30">
      <c r="A30" s="14" t="inlineStr">
        <is>
          <t>Upside</t>
        </is>
      </c>
      <c r="B30" s="63">
        <f>B28/B29-1</f>
        <v>-0.31180151952055046</v>
      </c>
    </row>
    <row r="31">
      <c r="A31" s="14" t="inlineStr">
        <is>
          <t>Terminal value, % of EV</t>
        </is>
      </c>
      <c r="B31" s="63">
        <f>IFERROR(B22/B23,0)</f>
        <v>0.6791082247900013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2026-10-21T01:03:56Z</dcterms:modified>
  <cp:lastModifiedBy>Wang, Eric</cp:lastModifiedBy>
</cp:coreProperties>
</file>