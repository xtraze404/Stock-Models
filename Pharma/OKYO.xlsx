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OKYO Pharma Ltd</t>
        </is>
      </c>
      <c r="C2" s="10" t="n"/>
    </row>
    <row r="3">
      <c r="B3" t="inlineStr">
        <is>
          <t>Price</t>
        </is>
      </c>
      <c r="C3" s="11">
        <f>INDEX([1]Pharma!$F$1:$F$1000,MATCH("OKYO",[1]Pharma!$B$1:$B$1000,0))</f>
        <v>1.37</v>
      </c>
      <c r="F3" s="1" t="n"/>
    </row>
    <row r="4">
      <c r="B4" t="inlineStr">
        <is>
          <t>Shares</t>
        </is>
      </c>
      <c r="C4" s="21" t="n">
        <v>52.479527</v>
      </c>
      <c r="F4" s="1" t="n"/>
    </row>
    <row r="5">
      <c r="B5" t="inlineStr">
        <is>
          <t>Market Cap.</t>
        </is>
      </c>
      <c r="C5" s="13">
        <f>C3*C4</f>
        <v>71.89695199</v>
      </c>
      <c r="F5" s="1" t="n"/>
    </row>
    <row r="6"/>
    <row r="7">
      <c r="B7" t="inlineStr">
        <is>
          <t>Cash</t>
        </is>
      </c>
      <c r="C7" s="21" t="n">
        <v>1.560902</v>
      </c>
    </row>
    <row r="8">
      <c r="B8" t="inlineStr">
        <is>
          <t>Debt</t>
        </is>
      </c>
      <c r="C8" s="21" t="n">
        <v>2.7</v>
      </c>
    </row>
    <row r="9">
      <c r="B9" t="inlineStr">
        <is>
          <t>Enterprise V.</t>
        </is>
      </c>
      <c r="C9" s="13">
        <f>C5-C7+C8</f>
        <v>73.03604999000001</v>
      </c>
    </row>
    <row r="10"/>
    <row r="11">
      <c r="B11" s="14" t="inlineStr">
        <is>
          <t>Net Cash / Share</t>
        </is>
      </c>
      <c r="C11" s="11">
        <f>(C7-C8)/C4</f>
        <v>-0.021705569106977664</v>
      </c>
    </row>
    <row r="12">
      <c r="B12" s="14" t="inlineStr">
        <is>
          <t>Upside</t>
        </is>
      </c>
      <c r="C12" s="15">
        <f>IFERROR(C11/C3-1,"")</f>
        <v>-1.0158434810999837</v>
      </c>
    </row>
    <row r="13">
      <c r="B13" s="14" t="inlineStr">
        <is>
          <t>Cash / Share</t>
        </is>
      </c>
      <c r="C13" s="11">
        <f>IFERROR((C7-C8)/C4,"")</f>
        <v>-0.021705569106977664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-1.811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73.03604999000001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0.518</v>
      </c>
      <c r="C5" s="23" t="n">
        <v>0.348</v>
      </c>
      <c r="D5" s="23" t="n">
        <v>1.61</v>
      </c>
      <c r="E5" s="23" t="n">
        <v>6.338</v>
      </c>
      <c r="F5" s="23" t="n">
        <v>8.244</v>
      </c>
      <c r="G5" s="23" t="n">
        <v>2.254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0.498</v>
      </c>
      <c r="C6" s="23" t="n">
        <v>2.67</v>
      </c>
      <c r="D6" s="23" t="n">
        <v>2.998</v>
      </c>
      <c r="E6" s="23" t="n">
        <v>0.512</v>
      </c>
      <c r="F6" s="23" t="n">
        <v>-0.737</v>
      </c>
      <c r="G6" s="23" t="n">
        <v>2.583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1.016</v>
      </c>
      <c r="C7" s="23">
        <f>SUM(C5:C6)</f>
        <v>3.018</v>
      </c>
      <c r="D7" s="23">
        <f>SUM(D5:D6)</f>
        <v>4.6080000000000005</v>
      </c>
      <c r="E7" s="23">
        <f>SUM(E5:E6)</f>
        <v>6.85</v>
      </c>
      <c r="F7" s="23">
        <f>SUM(F5:F6)</f>
        <v>7.507</v>
      </c>
      <c r="G7" s="23">
        <f>SUM(G5:G6)</f>
        <v>4.837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-1.016</v>
      </c>
      <c r="C8" s="23">
        <f>C4-C7</f>
        <v>-3.018</v>
      </c>
      <c r="D8" s="23">
        <f>D4-D7</f>
        <v>-4.6080000000000005</v>
      </c>
      <c r="E8" s="23">
        <f>E4-E7</f>
        <v>-6.85</v>
      </c>
      <c r="F8" s="23">
        <f>F4-F7</f>
        <v>-7.507</v>
      </c>
      <c r="G8" s="23">
        <f>G4-G7</f>
        <v>-4.837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-0.451</v>
      </c>
      <c r="C9" s="23" t="n">
        <v>-0.311</v>
      </c>
      <c r="D9" s="23" t="n">
        <v>-0.037</v>
      </c>
      <c r="E9" s="23" t="n">
        <v>-6.41</v>
      </c>
      <c r="F9" s="23" t="n">
        <v>-9.342000000000001</v>
      </c>
      <c r="G9" s="23" t="n">
        <v>3.395</v>
      </c>
    </row>
    <row r="10">
      <c r="A10" s="2" t="inlineStr">
        <is>
          <t>Pretax</t>
        </is>
      </c>
      <c r="B10" s="23">
        <f>B8+B9</f>
        <v>-1.467</v>
      </c>
      <c r="C10" s="23">
        <f>C8+C9</f>
        <v>-3.3289999999999997</v>
      </c>
      <c r="D10" s="23">
        <f>D8+D9</f>
        <v>-4.6450000000000005</v>
      </c>
      <c r="E10" s="23">
        <f>E8+E9</f>
        <v>-13.26</v>
      </c>
      <c r="F10" s="23">
        <f>F8+F9</f>
        <v>-16.849</v>
      </c>
      <c r="G10" s="23">
        <f>G8+G9</f>
        <v>-1.4419999999999997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0.076</v>
      </c>
      <c r="C11" s="23" t="n">
        <v>0.025</v>
      </c>
      <c r="D11" s="23" t="n">
        <v>0.787</v>
      </c>
      <c r="E11" s="23" t="n">
        <v>0.012</v>
      </c>
      <c r="F11" s="23" t="n">
        <v>-0.022</v>
      </c>
      <c r="G11" s="23" t="n">
        <v>3.264</v>
      </c>
    </row>
    <row r="12">
      <c r="A12" s="2" t="inlineStr">
        <is>
          <t>Net Income</t>
        </is>
      </c>
      <c r="B12" s="23" t="n">
        <v>-1.544</v>
      </c>
      <c r="C12" s="23" t="n">
        <v>-3.354</v>
      </c>
      <c r="D12" s="23" t="n">
        <v>-5.431</v>
      </c>
      <c r="E12" s="23" t="n">
        <v>-13.272</v>
      </c>
      <c r="F12" s="23" t="n">
        <v>-16.825</v>
      </c>
      <c r="G12" s="23" t="n">
        <v>-4.706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-0.0025928923848900203</v>
      </c>
      <c r="C13" s="11">
        <f>IFERROR(C12/C14,0)</f>
        <v>-0.004985373858447489</v>
      </c>
      <c r="D13" s="11">
        <f>IFERROR(D12/D14,0)</f>
        <v>-0.005546290745731521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</row>
    <row r="14">
      <c r="A14" s="2" t="inlineStr">
        <is>
          <t>Shares</t>
        </is>
      </c>
      <c r="B14" s="23" t="n">
        <v>595.474</v>
      </c>
      <c r="C14" s="23" t="n">
        <v>672.768</v>
      </c>
      <c r="D14" s="23" t="n">
        <v>979.213</v>
      </c>
      <c r="E14" s="23" t="n"/>
      <c r="F14" s="23" t="n"/>
      <c r="G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2026-10-21T01:06:02Z</dcterms:modified>
  <cp:lastModifiedBy>Wang, Eric</cp:lastModifiedBy>
</cp:coreProperties>
</file>