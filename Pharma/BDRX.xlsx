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Biodexa Pharmaceuticals PLC</t>
        </is>
      </c>
      <c r="C2" s="10" t="n"/>
    </row>
    <row r="3">
      <c r="B3" t="inlineStr">
        <is>
          <t>Price</t>
        </is>
      </c>
      <c r="C3" s="11">
        <f>INDEX([1]Pharma!$F$1:$F$1000,MATCH("BDRX",[1]Pharma!$B$1:$B$1000,0))</f>
        <v>0.3855</v>
      </c>
      <c r="F3" s="1" t="n"/>
    </row>
    <row r="4">
      <c r="B4" t="inlineStr">
        <is>
          <t>Shares</t>
        </is>
      </c>
      <c r="C4" s="21">
        <f>225817.808922/100000</f>
        <v>2.25817808922</v>
      </c>
      <c r="F4" s="1" t="n"/>
    </row>
    <row r="5">
      <c r="B5" t="inlineStr">
        <is>
          <t>Market Cap.</t>
        </is>
      </c>
      <c r="C5" s="13">
        <f>C3*C4</f>
        <v>0.8705276533943099</v>
      </c>
      <c r="F5" s="1" t="n"/>
    </row>
    <row r="6"/>
    <row r="7">
      <c r="B7" t="inlineStr">
        <is>
          <t>Cash</t>
        </is>
      </c>
      <c r="C7" s="21">
        <f>(8.534)/0.74989</f>
        <v>11.380335782581447</v>
      </c>
    </row>
    <row r="8">
      <c r="B8" t="inlineStr">
        <is>
          <t>Debt</t>
        </is>
      </c>
      <c r="C8" s="21">
        <f>(0.061)/0.74989</f>
        <v>0.08134526397204923</v>
      </c>
    </row>
    <row r="9">
      <c r="B9" t="inlineStr">
        <is>
          <t>Enterprise V.</t>
        </is>
      </c>
      <c r="C9" s="13">
        <f>C5-C7+C8</f>
        <v>-10.428462865215089</v>
      </c>
    </row>
    <row r="10"/>
    <row r="11">
      <c r="B11" s="14" t="inlineStr">
        <is>
          <t>Net Cash / Share</t>
        </is>
      </c>
      <c r="C11" s="11">
        <f>(C7-C8)/C4</f>
        <v>5.003586994554622</v>
      </c>
    </row>
    <row r="12">
      <c r="B12" s="14" t="inlineStr">
        <is>
          <t>Upside</t>
        </is>
      </c>
      <c r="C12" s="15">
        <f>IFERROR(C11/C3-1,"")</f>
        <v>11.979473397028851</v>
      </c>
    </row>
    <row r="13">
      <c r="B13" s="14" t="inlineStr">
        <is>
          <t>Cash / Share</t>
        </is>
      </c>
      <c r="C13" s="11">
        <f>IFERROR((C7-C8)/C4,"")</f>
        <v>5.003586994554622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-7.456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1.515422548096754</v>
      </c>
    </row>
    <row r="19">
      <c r="B19" s="14" t="inlineStr">
        <is>
          <t>Implied Pipeline Value</t>
        </is>
      </c>
      <c r="C19" s="13">
        <f>C9</f>
        <v>-10.428462865215089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1.834</v>
      </c>
      <c r="C2" s="23" t="n">
        <v>1.764</v>
      </c>
      <c r="D2" s="23" t="n">
        <v>1.319</v>
      </c>
      <c r="E2" s="23" t="n">
        <v>2.584</v>
      </c>
      <c r="F2" s="23" t="n">
        <v>0.899</v>
      </c>
      <c r="G2" s="23" t="n">
        <v>0.457</v>
      </c>
      <c r="H2" s="23" t="n">
        <v>0.771</v>
      </c>
      <c r="I2" s="23" t="n">
        <v>0.9320000000000001</v>
      </c>
      <c r="J2" s="23" t="n">
        <v>0.508</v>
      </c>
      <c r="K2" s="23" t="n">
        <v>0</v>
      </c>
      <c r="L2" s="23" t="n">
        <v>0</v>
      </c>
    </row>
    <row r="3" customFormat="1" s="1">
      <c r="A3" s="5" t="inlineStr">
        <is>
          <t>Cost of Sales</t>
        </is>
      </c>
      <c r="B3" s="23" t="n">
        <v>0.093</v>
      </c>
      <c r="C3" s="23" t="n">
        <v>0.889</v>
      </c>
      <c r="D3" s="23" t="n">
        <v>1.235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1.741</v>
      </c>
      <c r="C4" s="23">
        <f>C2-C3</f>
        <v>0.875</v>
      </c>
      <c r="D4" s="23">
        <f>D2-D3</f>
        <v>0.08399999999999985</v>
      </c>
      <c r="E4" s="23">
        <f>E2-E3</f>
        <v>2.584</v>
      </c>
      <c r="F4" s="23">
        <f>F2-F3</f>
        <v>0.899</v>
      </c>
      <c r="G4" s="23">
        <f>G2-G3</f>
        <v>0.457</v>
      </c>
      <c r="H4" s="23">
        <f>H2-H3</f>
        <v>0.771</v>
      </c>
      <c r="I4" s="23">
        <f>I2-I3</f>
        <v>0.932</v>
      </c>
      <c r="J4" s="23">
        <f>J2-J3</f>
        <v>0.508</v>
      </c>
      <c r="K4" s="23">
        <f>K2-K3</f>
        <v>0.0</v>
      </c>
      <c r="L4" s="23">
        <f>L2-L3</f>
        <v>0.0</v>
      </c>
    </row>
    <row r="5">
      <c r="A5" s="2" t="inlineStr">
        <is>
          <t>Research &amp; Dev.</t>
        </is>
      </c>
      <c r="B5" s="23" t="n">
        <v>11.615</v>
      </c>
      <c r="C5" s="23" t="n">
        <v>10.308</v>
      </c>
      <c r="D5" s="23" t="n">
        <v>11.107</v>
      </c>
      <c r="E5" s="23" t="n">
        <v>12.48</v>
      </c>
      <c r="F5" s="23" t="n">
        <v>10.459</v>
      </c>
      <c r="G5" s="23" t="n">
        <v>8.092000000000001</v>
      </c>
      <c r="H5" s="23" t="n">
        <v>6.206</v>
      </c>
      <c r="I5" s="23" t="n">
        <v>6.816</v>
      </c>
      <c r="J5" s="23" t="n">
        <v>5.423</v>
      </c>
      <c r="K5" s="23" t="n">
        <v>7.25</v>
      </c>
      <c r="L5" s="23" t="n">
        <v>5.282</v>
      </c>
    </row>
    <row r="6">
      <c r="A6" s="19" t="inlineStr">
        <is>
          <t>SG&amp;A &amp; Other</t>
        </is>
      </c>
      <c r="B6" s="23" t="n">
        <v>7.352</v>
      </c>
      <c r="C6" s="23" t="n">
        <v>3.438</v>
      </c>
      <c r="D6" s="23" t="n">
        <v>6.681</v>
      </c>
      <c r="E6" s="23" t="n">
        <v>5.86</v>
      </c>
      <c r="F6" s="23" t="n">
        <v>5.533</v>
      </c>
      <c r="G6" s="23" t="n">
        <v>23.09</v>
      </c>
      <c r="H6" s="23" t="n">
        <v>3.897</v>
      </c>
      <c r="I6" s="23" t="n">
        <v>6.028</v>
      </c>
      <c r="J6" s="23" t="n">
        <v>5.772</v>
      </c>
      <c r="K6" s="23" t="n">
        <v>5.017</v>
      </c>
      <c r="L6" s="23" t="n">
        <v>6.246</v>
      </c>
    </row>
    <row r="7">
      <c r="A7" s="2" t="inlineStr">
        <is>
          <t>Operating Expense</t>
        </is>
      </c>
      <c r="B7" s="23">
        <f>SUM(B5:B6)</f>
        <v>18.967</v>
      </c>
      <c r="C7" s="23">
        <f>SUM(C5:C6)</f>
        <v>13.746</v>
      </c>
      <c r="D7" s="23">
        <f>SUM(D5:D6)</f>
        <v>17.788</v>
      </c>
      <c r="E7" s="23">
        <f>SUM(E5:E6)</f>
        <v>18.34</v>
      </c>
      <c r="F7" s="23">
        <f>SUM(F5:F6)</f>
        <v>15.992</v>
      </c>
      <c r="G7" s="23">
        <f>SUM(G5:G6)</f>
        <v>31.182000000000002</v>
      </c>
      <c r="H7" s="23">
        <f>SUM(H5:H6)</f>
        <v>10.103</v>
      </c>
      <c r="I7" s="23">
        <f>SUM(I5:I6)</f>
        <v>12.844</v>
      </c>
      <c r="J7" s="23">
        <f>SUM(J5:J6)</f>
        <v>11.195</v>
      </c>
      <c r="K7" s="23">
        <f>SUM(K5:K6)</f>
        <v>12.267</v>
      </c>
      <c r="L7" s="23">
        <f>SUM(L5:L6)</f>
        <v>11.528</v>
      </c>
    </row>
    <row r="8">
      <c r="A8" s="2" t="inlineStr">
        <is>
          <t>Operating Income</t>
        </is>
      </c>
      <c r="B8" s="23">
        <f>B4-B7</f>
        <v>-17.226</v>
      </c>
      <c r="C8" s="23">
        <f>C4-C7</f>
        <v>-12.871</v>
      </c>
      <c r="D8" s="23">
        <f>D4-D7</f>
        <v>-17.704</v>
      </c>
      <c r="E8" s="23">
        <f>E4-E7</f>
        <v>-15.756</v>
      </c>
      <c r="F8" s="23">
        <f>F4-F7</f>
        <v>-15.093</v>
      </c>
      <c r="G8" s="23">
        <f>G4-G7</f>
        <v>-30.725</v>
      </c>
      <c r="H8" s="23">
        <f>H4-H7</f>
        <v>-9.331999999999999</v>
      </c>
      <c r="I8" s="23">
        <f>I4-I7</f>
        <v>-11.911999999999999</v>
      </c>
      <c r="J8" s="23">
        <f>J4-J7</f>
        <v>-10.687000000000001</v>
      </c>
      <c r="K8" s="23">
        <f>K4-K7</f>
        <v>-12.267</v>
      </c>
      <c r="L8" s="23">
        <f>L4-L7</f>
        <v>-11.528</v>
      </c>
    </row>
    <row r="9">
      <c r="A9" s="19" t="inlineStr">
        <is>
          <t>Interest &amp; Other</t>
        </is>
      </c>
      <c r="B9" s="23" t="n">
        <v>2.248</v>
      </c>
      <c r="C9" s="23" t="n">
        <v>-16.985</v>
      </c>
      <c r="D9" s="23" t="n">
        <v>-5.405</v>
      </c>
      <c r="E9" s="23" t="n">
        <v>-6.997</v>
      </c>
      <c r="F9" s="23" t="n">
        <v>4.025</v>
      </c>
      <c r="G9" s="23" t="n">
        <v>-0.573</v>
      </c>
      <c r="H9" s="23" t="n">
        <v>1.19</v>
      </c>
      <c r="I9" s="23" t="n">
        <v>0.592</v>
      </c>
      <c r="J9" s="23" t="n">
        <v>0.705</v>
      </c>
      <c r="K9" s="23" t="n">
        <v>4.294</v>
      </c>
      <c r="L9" s="23" t="n">
        <v>2.875</v>
      </c>
    </row>
    <row r="10">
      <c r="A10" s="2" t="inlineStr">
        <is>
          <t>Pretax</t>
        </is>
      </c>
      <c r="B10" s="23">
        <f>B8+B9</f>
        <v>-14.977999999999998</v>
      </c>
      <c r="C10" s="23">
        <f>C8+C9</f>
        <v>-29.856</v>
      </c>
      <c r="D10" s="23">
        <f>D8+D9</f>
        <v>-23.109</v>
      </c>
      <c r="E10" s="23">
        <f>E8+E9</f>
        <v>-22.753</v>
      </c>
      <c r="F10" s="23">
        <f>F8+F9</f>
        <v>-11.068</v>
      </c>
      <c r="G10" s="23">
        <f>G8+G9</f>
        <v>-31.298000000000002</v>
      </c>
      <c r="H10" s="23">
        <f>H8+H9</f>
        <v>-8.142</v>
      </c>
      <c r="I10" s="23">
        <f>I8+I9</f>
        <v>-11.319999999999999</v>
      </c>
      <c r="J10" s="23">
        <f>J8+J9</f>
        <v>-9.982000000000001</v>
      </c>
      <c r="K10" s="23">
        <f>K8+K9</f>
        <v>-7.973</v>
      </c>
      <c r="L10" s="23">
        <f>L8+L9</f>
        <v>-8.653</v>
      </c>
    </row>
    <row r="11">
      <c r="A11" s="2" t="inlineStr">
        <is>
          <t>Taxes</t>
        </is>
      </c>
      <c r="B11" s="23" t="n">
        <v>-1.511</v>
      </c>
      <c r="C11" s="23" t="n">
        <v>-2.97</v>
      </c>
      <c r="D11" s="23" t="n">
        <v>-1.687</v>
      </c>
      <c r="E11" s="23" t="n">
        <v>-2.71</v>
      </c>
      <c r="F11" s="23" t="n">
        <v>2.38</v>
      </c>
      <c r="G11" s="23" t="n">
        <v>-1.708</v>
      </c>
      <c r="H11" s="23" t="n">
        <v>-0.861</v>
      </c>
      <c r="I11" s="23" t="n">
        <v>-1.109</v>
      </c>
      <c r="J11" s="23" t="n">
        <v>-0.541</v>
      </c>
      <c r="K11" s="23" t="n">
        <v>-0.333</v>
      </c>
      <c r="L11" s="23" t="n">
        <v>-0.14</v>
      </c>
    </row>
    <row r="12">
      <c r="A12" s="2" t="inlineStr">
        <is>
          <t>Net Income</t>
        </is>
      </c>
      <c r="B12" s="23" t="n">
        <v>-13.467</v>
      </c>
      <c r="C12" s="23" t="n">
        <v>-26.887</v>
      </c>
      <c r="D12" s="23" t="n">
        <v>-21.422</v>
      </c>
      <c r="E12" s="23" t="n">
        <v>-20.043</v>
      </c>
      <c r="F12" s="23" t="n">
        <v>-13.449</v>
      </c>
      <c r="G12" s="23" t="n">
        <v>-29.59</v>
      </c>
      <c r="H12" s="23" t="n">
        <v>-7.281</v>
      </c>
      <c r="I12" s="23" t="n">
        <v>-10.209</v>
      </c>
      <c r="J12" s="23" t="n">
        <v>-9.44</v>
      </c>
      <c r="K12" s="23" t="n">
        <v>-7.64</v>
      </c>
      <c r="L12" s="23" t="n">
        <v>-8.513</v>
      </c>
    </row>
    <row r="13">
      <c r="A13" s="2" t="inlineStr">
        <is>
          <t>Earnings per Share</t>
        </is>
      </c>
      <c r="B13" s="11">
        <f>IFERROR(B12/B14,0)</f>
        <v>-9.88204861038929e-05</v>
      </c>
      <c r="C13" s="11">
        <f>IFERROR(C12/C14,0)</f>
        <v>-0.00015439997077271205</v>
      </c>
      <c r="D13" s="11">
        <f>IFERROR(D12/D14,0)</f>
        <v>-0.0001235327615665232</v>
      </c>
      <c r="E13" s="11">
        <f>IFERROR(E12/E14,0)</f>
        <v>-9.703366305607325e-05</v>
      </c>
      <c r="F13" s="11">
        <f>IFERROR(F12/F14,0)</f>
        <v>-6.513598064640455e-05</v>
      </c>
      <c r="G13" s="11">
        <f>IFERROR(G12/G14,0)</f>
        <v>-0.0012264020191409897</v>
      </c>
      <c r="H13" s="11">
        <f>IFERROR(H12/H14,0)</f>
        <v>-0.00016050166989191035</v>
      </c>
      <c r="I13" s="11">
        <f>IFERROR(I12/I14,0)</f>
        <v>-0.00018340282244530055</v>
      </c>
      <c r="J13" s="11">
        <f>IFERROR(J12/J14,0)</f>
        <v>-0.00016981615063124295</v>
      </c>
      <c r="K13" s="11">
        <f>IFERROR(K12/K14,0)</f>
        <v>-0.00014023333726011152</v>
      </c>
      <c r="L13" s="11">
        <f>IFERROR(L12/L14,0)</f>
        <v>-0.00015517379848215126</v>
      </c>
    </row>
    <row r="14">
      <c r="A14" s="2" t="inlineStr">
        <is>
          <t>Shares</t>
        </is>
      </c>
      <c r="B14" s="23" t="n">
        <v>136277.411</v>
      </c>
      <c r="C14" s="23" t="n">
        <v>174138.634</v>
      </c>
      <c r="D14" s="23" t="n">
        <v>173411.488</v>
      </c>
      <c r="E14" s="23" t="n">
        <v>206557.182</v>
      </c>
      <c r="F14" s="23" t="n">
        <v>206475.743</v>
      </c>
      <c r="G14" s="23" t="n">
        <v>24127.488</v>
      </c>
      <c r="H14" s="23" t="n">
        <v>45364.014</v>
      </c>
      <c r="I14" s="23" t="n">
        <v>55664.356</v>
      </c>
      <c r="J14" s="23" t="n">
        <v>55589.53</v>
      </c>
      <c r="K14" s="23" t="n">
        <v>54480.626</v>
      </c>
      <c r="L14" s="23" t="n">
        <v>54861.066</v>
      </c>
    </row>
    <row r="15"/>
    <row r="16" customFormat="1" s="4">
      <c r="A16" s="3" t="inlineStr">
        <is>
          <t>Revenue Change</t>
        </is>
      </c>
      <c r="C16" s="15">
        <f>IFERROR(C2/B2-1,"")</f>
        <v>-0.038167938931297773</v>
      </c>
      <c r="D16" s="15">
        <f>IFERROR(D2/C2-1,"")</f>
        <v>-0.25226757369614516</v>
      </c>
      <c r="E16" s="15">
        <f>IFERROR(E2/D2-1,"")</f>
        <v>0.9590598938589843</v>
      </c>
      <c r="F16" s="15">
        <f>IFERROR(F2/E2-1,"")</f>
        <v>-0.6520897832817337</v>
      </c>
      <c r="G16" s="15">
        <f>IFERROR(G2/F2-1,"")</f>
        <v>-0.4916573971078977</v>
      </c>
      <c r="H16" s="15">
        <f>IFERROR(H2/G2-1,"")</f>
        <v>0.6870897155361051</v>
      </c>
      <c r="I16" s="15">
        <f>IFERROR(I2/H2-1,"")</f>
        <v>0.20881971465629068</v>
      </c>
      <c r="J16" s="15">
        <f>IFERROR(J2/I2-1,"")</f>
        <v>-0.45493562231759654</v>
      </c>
      <c r="K16" s="15">
        <f>IFERROR(K2/J2-1,"")</f>
        <v>-1.0</v>
      </c>
      <c r="L16" s="15">
        <f>IFERROR(L2/K2-1,"")</f>
        <v/>
      </c>
    </row>
    <row r="17" customFormat="1" s="4">
      <c r="A17" s="3" t="inlineStr">
        <is>
          <t>Gross Margin</t>
        </is>
      </c>
      <c r="B17" s="15">
        <f>IFERROR(B4/B2,"")</f>
        <v>0.9492911668484187</v>
      </c>
      <c r="C17" s="15">
        <f>IFERROR(C4/C2,"")</f>
        <v>0.49603174603174605</v>
      </c>
      <c r="D17" s="15">
        <f>IFERROR(D4/D2,"")</f>
        <v>0.06368460955269133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/>
      </c>
      <c r="L17" s="15">
        <f>IFERROR(L4/L2,"")</f>
        <v/>
      </c>
    </row>
    <row r="18">
      <c r="A18" s="14" t="inlineStr">
        <is>
          <t>Operating Margin</t>
        </is>
      </c>
      <c r="B18" s="15">
        <f>IFERROR(B8/B2,"")</f>
        <v>-9.392584514721918</v>
      </c>
      <c r="C18" s="15">
        <f>IFERROR(C8/C2,"")</f>
        <v>-7.296485260770975</v>
      </c>
      <c r="D18" s="15">
        <f>IFERROR(D8/D2,"")</f>
        <v>-13.422289613343443</v>
      </c>
      <c r="E18" s="15">
        <f>IFERROR(E8/E2,"")</f>
        <v>-6.097523219814241</v>
      </c>
      <c r="F18" s="15">
        <f>IFERROR(F8/F2,"")</f>
        <v>-16.78865406006674</v>
      </c>
      <c r="G18" s="15">
        <f>IFERROR(G8/G2,"")</f>
        <v>-67.23194748358863</v>
      </c>
      <c r="H18" s="15">
        <f>IFERROR(H8/H2,"")</f>
        <v>-12.103761348897534</v>
      </c>
      <c r="I18" s="15">
        <f>IFERROR(I8/I2,"")</f>
        <v>-12.781115879828324</v>
      </c>
      <c r="J18" s="15">
        <f>IFERROR(J8/J2,"")</f>
        <v>-21.03740157480315</v>
      </c>
      <c r="K18" s="15">
        <f>IFERROR(K8/K2,"")</f>
        <v/>
      </c>
      <c r="L18" s="15">
        <f>IFERROR(L8/L2,"")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2026-10-21T06:31:45Z</dcterms:modified>
  <cp:lastModifiedBy>Wang, Eric</cp:lastModifiedBy>
</cp:coreProperties>
</file>