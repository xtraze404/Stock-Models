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Ascendis Pharma A/S</t>
        </is>
      </c>
      <c r="C2" s="10" t="n"/>
    </row>
    <row r="3">
      <c r="B3" t="inlineStr">
        <is>
          <t>Price</t>
        </is>
      </c>
      <c r="C3" s="11">
        <f>INDEX([1]Pharma!$F$1:$F$1000,MATCH("ASND",[1]Pharma!$B$1:$B$1000,0))</f>
        <v>234.33</v>
      </c>
      <c r="F3" s="1" t="n"/>
    </row>
    <row r="4">
      <c r="B4" t="inlineStr">
        <is>
          <t>Shares</t>
        </is>
      </c>
      <c r="C4" s="51" t="n">
        <v>61.977408</v>
      </c>
      <c r="F4" s="1" t="n"/>
    </row>
    <row r="5">
      <c r="B5" t="inlineStr">
        <is>
          <t>Market Cap.</t>
        </is>
      </c>
      <c r="C5" s="13">
        <f>C3*C4</f>
        <v>14523.16601664</v>
      </c>
      <c r="F5" s="1" t="n"/>
    </row>
    <row r="6"/>
    <row r="7">
      <c r="B7" t="inlineStr">
        <is>
          <t>Cash</t>
        </is>
      </c>
      <c r="C7" s="51">
        <f>(616.041)/0.88865</f>
        <v>693.2324312158893</v>
      </c>
    </row>
    <row r="8">
      <c r="B8" t="inlineStr">
        <is>
          <t>Debt</t>
        </is>
      </c>
      <c r="C8" s="51">
        <f>(429.391+385.254)/0.88865</f>
        <v>916.7219940358971</v>
      </c>
    </row>
    <row r="9">
      <c r="B9" t="inlineStr">
        <is>
          <t>Enterprise V.</t>
        </is>
      </c>
      <c r="C9" s="13">
        <f>C5-C7+C8</f>
        <v>14746.655579460008</v>
      </c>
    </row>
    <row r="10"/>
    <row r="11">
      <c r="B11" s="14" t="inlineStr">
        <is>
          <t>NPV / Share</t>
        </is>
      </c>
      <c r="C11" s="11">
        <f>NPV!B28</f>
        <v>61.68385597677369</v>
      </c>
    </row>
    <row r="12">
      <c r="B12" s="14" t="inlineStr">
        <is>
          <t>Upside</t>
        </is>
      </c>
      <c r="C12" s="15">
        <f>IFERROR(C11/C3-1,"")</f>
        <v>-0.7367650067137212</v>
      </c>
    </row>
    <row r="13">
      <c r="B13" s="14" t="inlineStr">
        <is>
          <t>Cash / Share</t>
        </is>
      </c>
      <c r="C13" s="11">
        <f>IFERROR((C7-C8)/C4,"")</f>
        <v>-3.6059843422301205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9.135</v>
      </c>
      <c r="C2" s="52" t="n">
        <v>5.183</v>
      </c>
      <c r="D2" s="52" t="n">
        <v>1.722</v>
      </c>
      <c r="E2" s="52" t="n">
        <v>11.907</v>
      </c>
      <c r="F2" s="52" t="n">
        <v>15.051</v>
      </c>
      <c r="G2" s="52" t="n">
        <v>7.824</v>
      </c>
      <c r="H2" s="52" t="n">
        <v>8.753</v>
      </c>
      <c r="I2" s="52" t="n">
        <v>57.586</v>
      </c>
      <c r="J2" s="52" t="n">
        <v>300.138</v>
      </c>
      <c r="K2" s="52" t="n">
        <v>409.206</v>
      </c>
      <c r="L2" s="52" t="n">
        <v>810.366</v>
      </c>
      <c r="M2" s="52">
        <f>L2*(1+NPV!C5)</f>
        <v>1093.9941000000001</v>
      </c>
      <c r="N2" s="52">
        <f>M2*(1+NPV!D5)</f>
        <v>1437.3866925000002</v>
      </c>
      <c r="O2" s="52">
        <f>N2*(1+NPV!E5)</f>
        <v>1836.66077375</v>
      </c>
      <c r="P2" s="52">
        <f>O2*(1+NPV!F5)</f>
        <v>2280.5204607395835</v>
      </c>
      <c r="Q2" s="52">
        <f>P2*(1+NPV!G5)</f>
        <v>2749.29411100272</v>
      </c>
      <c r="R2" s="52">
        <f>Q2*(1+NPV!H5)</f>
        <v>3215.146724255959</v>
      </c>
      <c r="S2" s="52">
        <f>R2*(1+NPV!I5)</f>
        <v>3643.832954156753</v>
      </c>
      <c r="T2" s="52">
        <f>S2*(1+NPV!J5)</f>
        <v>3998.094491366438</v>
      </c>
      <c r="U2" s="52">
        <f>T2*(1+NPV!K5)</f>
        <v>4242.422488061054</v>
      </c>
      <c r="V2" s="52">
        <f>U2*(1+NPV!L5)</f>
        <v>4348.48305026258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3.964</v>
      </c>
      <c r="I3" s="52" t="n">
        <v>13.658</v>
      </c>
      <c r="J3" s="52" t="n">
        <v>49.958</v>
      </c>
      <c r="K3" s="52" t="n">
        <v>49.804</v>
      </c>
      <c r="L3" s="52" t="n">
        <v>106.808</v>
      </c>
      <c r="M3" s="52">
        <f>M2*(1-Assumptions!$B$19)</f>
        <v>144.18842238000005</v>
      </c>
      <c r="N3" s="52">
        <f>N2*(1-Assumptions!$B$19)</f>
        <v>189.44756607150006</v>
      </c>
      <c r="O3" s="52">
        <f>O2*(1-Assumptions!$B$19)</f>
        <v>242.07188998025006</v>
      </c>
      <c r="P3" s="52">
        <f>P2*(1-Assumptions!$B$19)</f>
        <v>300.5725967254772</v>
      </c>
      <c r="Q3" s="52">
        <f>Q2*(1-Assumptions!$B$19)</f>
        <v>362.3569638301586</v>
      </c>
      <c r="R3" s="52">
        <f>R2*(1-Assumptions!$B$19)</f>
        <v>423.75633825693546</v>
      </c>
      <c r="S3" s="52">
        <f>S2*(1-Assumptions!$B$19)</f>
        <v>480.2571833578602</v>
      </c>
      <c r="T3" s="52">
        <f>T2*(1-Assumptions!$B$19)</f>
        <v>526.9488539620967</v>
      </c>
      <c r="U3" s="52">
        <f>U2*(1-Assumptions!$B$19)</f>
        <v>559.151283926447</v>
      </c>
      <c r="V3" s="52">
        <f>V2*(1-Assumptions!$B$19)</f>
        <v>573.1300660246081</v>
      </c>
    </row>
    <row r="4" customFormat="1" s="1">
      <c r="A4" s="5" t="inlineStr">
        <is>
          <t>Gross Margin</t>
        </is>
      </c>
      <c r="B4" s="52">
        <f>B2-B3</f>
        <v>9.135</v>
      </c>
      <c r="C4" s="52">
        <f>C2-C3</f>
        <v>5.183</v>
      </c>
      <c r="D4" s="52">
        <f>D2-D3</f>
        <v>1.722</v>
      </c>
      <c r="E4" s="52">
        <f>E2-E3</f>
        <v>11.907</v>
      </c>
      <c r="F4" s="52">
        <f>F2-F3</f>
        <v>15.051</v>
      </c>
      <c r="G4" s="52">
        <f>G2-G3</f>
        <v>7.824</v>
      </c>
      <c r="H4" s="52">
        <f>H2-H3</f>
        <v>4.789</v>
      </c>
      <c r="I4" s="52">
        <f>I2-I3</f>
        <v>43.928</v>
      </c>
      <c r="J4" s="52">
        <f>J2-J3</f>
        <v>250.17999999999998</v>
      </c>
      <c r="K4" s="52">
        <f>K2-K3</f>
        <v>359.40200000000004</v>
      </c>
      <c r="L4" s="52">
        <f>L2-L3</f>
        <v>703.558</v>
      </c>
      <c r="M4" s="52">
        <f>M2-M3</f>
        <v>949.8056776200001</v>
      </c>
      <c r="N4" s="52">
        <f>N2-N3</f>
        <v>1247.9391264285002</v>
      </c>
      <c r="O4" s="52">
        <f>O2-O3</f>
        <v>1594.58888376975</v>
      </c>
      <c r="P4" s="52">
        <f>P2-P3</f>
        <v>1979.9478640141065</v>
      </c>
      <c r="Q4" s="52">
        <f>Q2-Q3</f>
        <v>2386.9371471725613</v>
      </c>
      <c r="R4" s="52">
        <f>R2-R3</f>
        <v>2791.3903859990232</v>
      </c>
      <c r="S4" s="52">
        <f>S2-S3</f>
        <v>3163.5757707988932</v>
      </c>
      <c r="T4" s="52">
        <f>T2-T3</f>
        <v>3471.1456374043414</v>
      </c>
      <c r="U4" s="52">
        <f>U2-U3</f>
        <v>3683.2712041346067</v>
      </c>
      <c r="V4" s="52">
        <f>V2-V3</f>
        <v>3775.352984237972</v>
      </c>
    </row>
    <row r="5">
      <c r="A5" s="2" t="inlineStr">
        <is>
          <t>Research &amp; Dev.</t>
        </is>
      </c>
      <c r="B5" s="52" t="n">
        <v>45.606</v>
      </c>
      <c r="C5" s="52" t="n">
        <v>74.295</v>
      </c>
      <c r="D5" s="52" t="n">
        <v>112.068</v>
      </c>
      <c r="E5" s="52" t="n">
        <v>157.859</v>
      </c>
      <c r="F5" s="52" t="n">
        <v>215.632</v>
      </c>
      <c r="G5" s="52" t="n">
        <v>293.596</v>
      </c>
      <c r="H5" s="52" t="n">
        <v>332.94</v>
      </c>
      <c r="I5" s="52" t="n">
        <v>427.192</v>
      </c>
      <c r="J5" s="52" t="n">
        <v>465.261</v>
      </c>
      <c r="K5" s="52" t="n">
        <v>345.472</v>
      </c>
      <c r="L5" s="52" t="n">
        <v>341.665</v>
      </c>
      <c r="M5" s="52">
        <f>M7*Assumptions!$B$20</f>
        <v>444.23596994294167</v>
      </c>
      <c r="N5" s="52">
        <f>N7*Assumptions!$B$20</f>
        <v>561.3721949410632</v>
      </c>
      <c r="O5" s="52">
        <f>O7*Assumptions!$B$20</f>
        <v>688.8087085207937</v>
      </c>
      <c r="P5" s="52">
        <f>P7*Assumptions!$B$20</f>
        <v>819.8830557604235</v>
      </c>
      <c r="Q5" s="52">
        <f>Q7*Assumptions!$B$20</f>
        <v>945.7526653425934</v>
      </c>
      <c r="R5" s="52">
        <f>R7*Assumptions!$B$20</f>
        <v>1056.1144696638657</v>
      </c>
      <c r="S5" s="52">
        <f>S7*Assumptions!$B$20</f>
        <v>1140.3869042275508</v>
      </c>
      <c r="T5" s="52">
        <f>T7*Assumptions!$B$20</f>
        <v>1189.217805796966</v>
      </c>
      <c r="U5" s="52">
        <f>U7*Assumptions!$B$20</f>
        <v>1196.060843576408</v>
      </c>
      <c r="V5" s="52">
        <f>V7*Assumptions!$B$20</f>
        <v>1158.4851963877413</v>
      </c>
    </row>
    <row r="6">
      <c r="A6" s="18" t="inlineStr">
        <is>
          <t>SG&amp;A &amp; Other</t>
        </is>
      </c>
      <c r="B6" s="52" t="n">
        <v>10.595</v>
      </c>
      <c r="C6" s="52" t="n">
        <v>12.945</v>
      </c>
      <c r="D6" s="52" t="n">
        <v>15.171</v>
      </c>
      <c r="E6" s="52" t="n">
        <v>28.197</v>
      </c>
      <c r="F6" s="52" t="n">
        <v>54.547</v>
      </c>
      <c r="G6" s="52" t="n">
        <v>86.276</v>
      </c>
      <c r="H6" s="52" t="n">
        <v>180.251</v>
      </c>
      <c r="I6" s="52" t="n">
        <v>248.947</v>
      </c>
      <c r="J6" s="52" t="n">
        <v>297.541</v>
      </c>
      <c r="K6" s="52" t="n">
        <v>327.623</v>
      </c>
      <c r="L6" s="52" t="n">
        <v>515.239</v>
      </c>
      <c r="M6" s="52">
        <f>M7-M5</f>
        <v>669.9751410250585</v>
      </c>
      <c r="N6" s="52">
        <f>N7-N5</f>
        <v>846.634313564237</v>
      </c>
      <c r="O6" s="52">
        <f>O7-O5</f>
        <v>1038.8278816994064</v>
      </c>
      <c r="P6" s="52">
        <f>P7-P5</f>
        <v>1236.507854097674</v>
      </c>
      <c r="Q6" s="52">
        <f>Q7-Q5</f>
        <v>1426.338293630553</v>
      </c>
      <c r="R6" s="52">
        <f>R7-R5</f>
        <v>1592.7806135161336</v>
      </c>
      <c r="S6" s="52">
        <f>S7-S5</f>
        <v>1719.8762114673343</v>
      </c>
      <c r="T6" s="52">
        <f>T7-T5</f>
        <v>1793.5206085420511</v>
      </c>
      <c r="U6" s="52">
        <f>U7-U5</f>
        <v>1803.8409461813244</v>
      </c>
      <c r="V6" s="52">
        <f>V7-V5</f>
        <v>1747.1711777977148</v>
      </c>
    </row>
    <row r="7">
      <c r="A7" s="2" t="inlineStr">
        <is>
          <t>Operating Expense</t>
        </is>
      </c>
      <c r="B7" s="52">
        <f>SUM(B5:B6)</f>
        <v>56.201</v>
      </c>
      <c r="C7" s="52">
        <f>SUM(C5:C6)</f>
        <v>87.24000000000001</v>
      </c>
      <c r="D7" s="52">
        <f>SUM(D5:D6)</f>
        <v>127.239</v>
      </c>
      <c r="E7" s="52">
        <f>SUM(E5:E6)</f>
        <v>186.056</v>
      </c>
      <c r="F7" s="52">
        <f>SUM(F5:F6)</f>
        <v>270.179</v>
      </c>
      <c r="G7" s="52">
        <f>SUM(G5:G6)</f>
        <v>379.872</v>
      </c>
      <c r="H7" s="52">
        <f>SUM(H5:H6)</f>
        <v>513.191</v>
      </c>
      <c r="I7" s="52">
        <f>SUM(I5:I6)</f>
        <v>676.139</v>
      </c>
      <c r="J7" s="52">
        <f>SUM(J5:J6)</f>
        <v>762.802</v>
      </c>
      <c r="K7" s="52">
        <f>SUM(K5:K6)</f>
        <v>673.095</v>
      </c>
      <c r="L7" s="52">
        <f>SUM(L5:L6)</f>
        <v>856.904</v>
      </c>
      <c r="M7" s="52">
        <f>M4-M2*NPV!C6</f>
        <v>1114.2111109680002</v>
      </c>
      <c r="N7" s="52">
        <f>N4-N2*NPV!D6</f>
        <v>1408.0065085053002</v>
      </c>
      <c r="O7" s="52">
        <f>O4-O2*NPV!E6</f>
        <v>1727.6365902202</v>
      </c>
      <c r="P7" s="52">
        <f>P4-P2*NPV!F6</f>
        <v>2056.3909098580975</v>
      </c>
      <c r="Q7" s="52">
        <f>Q4-Q2*NPV!G6</f>
        <v>2372.0909589731464</v>
      </c>
      <c r="R7" s="52">
        <f>R4-R2*NPV!H6</f>
        <v>2648.8950831799993</v>
      </c>
      <c r="S7" s="52">
        <f>S4-S2*NPV!I6</f>
        <v>2860.263115694885</v>
      </c>
      <c r="T7" s="52">
        <f>T4-T2*NPV!J6</f>
        <v>2982.7384143390173</v>
      </c>
      <c r="U7" s="52">
        <f>U4-U2*NPV!K6</f>
        <v>2999.9017897577323</v>
      </c>
      <c r="V7" s="52">
        <f>V4-V2*NPV!L6</f>
        <v>2905.656374185456</v>
      </c>
    </row>
    <row r="8">
      <c r="A8" s="2" t="inlineStr">
        <is>
          <t>Operating Income</t>
        </is>
      </c>
      <c r="B8" s="52">
        <f>B4-B7</f>
        <v>-47.066</v>
      </c>
      <c r="C8" s="52">
        <f>C4-C7</f>
        <v>-82.05700000000002</v>
      </c>
      <c r="D8" s="52">
        <f>D4-D7</f>
        <v>-125.51700000000001</v>
      </c>
      <c r="E8" s="52">
        <f>E4-E7</f>
        <v>-174.149</v>
      </c>
      <c r="F8" s="52">
        <f>F4-F7</f>
        <v>-255.128</v>
      </c>
      <c r="G8" s="52">
        <f>G4-G7</f>
        <v>-372.048</v>
      </c>
      <c r="H8" s="52">
        <f>H4-H7</f>
        <v>-508.40200000000004</v>
      </c>
      <c r="I8" s="52">
        <f>I4-I7</f>
        <v>-632.211</v>
      </c>
      <c r="J8" s="52">
        <f>J4-J7</f>
        <v>-512.6220000000001</v>
      </c>
      <c r="K8" s="52">
        <f>K4-K7</f>
        <v>-313.693</v>
      </c>
      <c r="L8" s="52">
        <f>L4-L7</f>
        <v>-153.346</v>
      </c>
      <c r="M8" s="52">
        <f>M4-M7</f>
        <v>-164.4054333480001</v>
      </c>
      <c r="N8" s="52">
        <f>N4-N7</f>
        <v>-160.06738207679996</v>
      </c>
      <c r="O8" s="52">
        <f>O4-O7</f>
        <v>-133.04770645045005</v>
      </c>
      <c r="P8" s="52">
        <f>P4-P7</f>
        <v>-76.44304584399106</v>
      </c>
      <c r="Q8" s="52">
        <f>Q4-Q7</f>
        <v>14.846188199414883</v>
      </c>
      <c r="R8" s="52">
        <f>R4-R7</f>
        <v>142.4953028190239</v>
      </c>
      <c r="S8" s="52">
        <f>S4-S7</f>
        <v>303.3126551040082</v>
      </c>
      <c r="T8" s="52">
        <f>T4-T7</f>
        <v>488.40722306532416</v>
      </c>
      <c r="U8" s="52">
        <f>U4-U7</f>
        <v>683.3694143768744</v>
      </c>
      <c r="V8" s="52">
        <f>V4-V7</f>
        <v>869.696610052516</v>
      </c>
    </row>
    <row r="9">
      <c r="A9" s="18" t="inlineStr">
        <is>
          <t>Interest &amp; Other</t>
        </is>
      </c>
      <c r="B9" s="52" t="n">
        <v>9.285</v>
      </c>
      <c r="C9" s="52" t="n">
        <v>4.713</v>
      </c>
      <c r="D9" s="52" t="n">
        <v>-14.441</v>
      </c>
      <c r="E9" s="52" t="n">
        <v>27.307</v>
      </c>
      <c r="F9" s="52" t="n">
        <v>9.529999999999999</v>
      </c>
      <c r="G9" s="52" t="n">
        <v>-99.65000000000001</v>
      </c>
      <c r="H9" s="52" t="n">
        <v>76.34999999999999</v>
      </c>
      <c r="I9" s="52" t="n">
        <v>-18.008</v>
      </c>
      <c r="J9" s="52" t="n">
        <v>-20.934</v>
      </c>
      <c r="K9" s="52" t="n">
        <v>-106.316</v>
      </c>
      <c r="L9" s="52" t="n">
        <v>-85.95099999999999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-37.781000000000006</v>
      </c>
      <c r="C10" s="52">
        <f>C8+C9</f>
        <v>-77.34400000000002</v>
      </c>
      <c r="D10" s="52">
        <f>D8+D9</f>
        <v>-139.958</v>
      </c>
      <c r="E10" s="52">
        <f>E8+E9</f>
        <v>-146.842</v>
      </c>
      <c r="F10" s="52">
        <f>F8+F9</f>
        <v>-245.59799999999998</v>
      </c>
      <c r="G10" s="52">
        <f>G8+G9</f>
        <v>-471.698</v>
      </c>
      <c r="H10" s="52">
        <f>H8+H9</f>
        <v>-432.052</v>
      </c>
      <c r="I10" s="52">
        <f>I8+I9</f>
        <v>-650.219</v>
      </c>
      <c r="J10" s="52">
        <f>J8+J9</f>
        <v>-533.556</v>
      </c>
      <c r="K10" s="52">
        <f>K8+K9</f>
        <v>-420.009</v>
      </c>
      <c r="L10" s="52">
        <f>L8+L9</f>
        <v>-239.297</v>
      </c>
      <c r="M10" s="52">
        <f>M8+M9</f>
        <v>-164.4054333480001</v>
      </c>
      <c r="N10" s="52">
        <f>N8+N9</f>
        <v>-160.06738207679996</v>
      </c>
      <c r="O10" s="52">
        <f>O8+O9</f>
        <v>-133.04770645045005</v>
      </c>
      <c r="P10" s="52">
        <f>P8+P9</f>
        <v>-76.44304584399106</v>
      </c>
      <c r="Q10" s="52">
        <f>Q8+Q9</f>
        <v>14.846188199414883</v>
      </c>
      <c r="R10" s="52">
        <f>R8+R9</f>
        <v>142.4953028190239</v>
      </c>
      <c r="S10" s="52">
        <f>S8+S9</f>
        <v>303.3126551040082</v>
      </c>
      <c r="T10" s="52">
        <f>T8+T9</f>
        <v>488.40722306532416</v>
      </c>
      <c r="U10" s="52">
        <f>U8+U9</f>
        <v>683.3694143768744</v>
      </c>
      <c r="V10" s="52">
        <f>V8+V9</f>
        <v>869.696610052516</v>
      </c>
    </row>
    <row r="11">
      <c r="A11" s="2" t="inlineStr">
        <is>
          <t>Taxes</t>
        </is>
      </c>
      <c r="B11" s="52" t="n">
        <v>-0.734</v>
      </c>
      <c r="C11" s="52" t="n">
        <v>-0.255</v>
      </c>
      <c r="D11" s="52" t="n">
        <v>-0.537</v>
      </c>
      <c r="E11" s="52" t="n">
        <v>-0.443</v>
      </c>
      <c r="F11" s="52" t="n">
        <v>-0.263</v>
      </c>
      <c r="G11" s="52" t="n">
        <v>-0.246</v>
      </c>
      <c r="H11" s="52" t="n">
        <v>-0.413</v>
      </c>
      <c r="I11" s="52" t="n">
        <v>6.051</v>
      </c>
      <c r="J11" s="52" t="n">
        <v>8.218</v>
      </c>
      <c r="K11" s="52" t="n">
        <v>5.45</v>
      </c>
      <c r="L11" s="52" t="n">
        <v>17.311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2.5238519939005304</v>
      </c>
      <c r="R11" s="52">
        <f>MAX(0,R10)*Assumptions!$E$14</f>
        <v>24.224201479234065</v>
      </c>
      <c r="S11" s="52">
        <f>MAX(0,S10)*Assumptions!$E$14</f>
        <v>51.56315136768139</v>
      </c>
      <c r="T11" s="52">
        <f>MAX(0,T10)*Assumptions!$E$14</f>
        <v>83.02922792110512</v>
      </c>
      <c r="U11" s="52">
        <f>MAX(0,U10)*Assumptions!$E$14</f>
        <v>116.17280044406866</v>
      </c>
      <c r="V11" s="52">
        <f>MAX(0,V10)*Assumptions!$E$14</f>
        <v>147.84842370892773</v>
      </c>
    </row>
    <row r="12">
      <c r="A12" s="2" t="inlineStr">
        <is>
          <t>Net Income</t>
        </is>
      </c>
      <c r="B12" s="52" t="n">
        <v>-37.047</v>
      </c>
      <c r="C12" s="52" t="n">
        <v>-77.089</v>
      </c>
      <c r="D12" s="52" t="n">
        <v>-139.422</v>
      </c>
      <c r="E12" s="52" t="n">
        <v>-146.398</v>
      </c>
      <c r="F12" s="52" t="n">
        <v>-245.334</v>
      </c>
      <c r="G12" s="52" t="n">
        <v>-471.451</v>
      </c>
      <c r="H12" s="52" t="n">
        <v>-431.64</v>
      </c>
      <c r="I12" s="52" t="n">
        <v>-656.27</v>
      </c>
      <c r="J12" s="52" t="n">
        <v>-541.773</v>
      </c>
      <c r="K12" s="52" t="n">
        <v>-425.459</v>
      </c>
      <c r="L12" s="52" t="n">
        <v>-256.607</v>
      </c>
      <c r="M12" s="52">
        <f>M10-M11</f>
        <v>-164.4054333480001</v>
      </c>
      <c r="N12" s="52">
        <f>N10-N11</f>
        <v>-160.06738207679996</v>
      </c>
      <c r="O12" s="52">
        <f>O10-O11</f>
        <v>-133.04770645045005</v>
      </c>
      <c r="P12" s="52">
        <f>P10-P11</f>
        <v>-76.44304584399106</v>
      </c>
      <c r="Q12" s="52">
        <f>Q10-Q11</f>
        <v>12.322336205514352</v>
      </c>
      <c r="R12" s="52">
        <f>R10-R11</f>
        <v>118.27110133978982</v>
      </c>
      <c r="S12" s="52">
        <f>S10-S11</f>
        <v>251.74950373632677</v>
      </c>
      <c r="T12" s="52">
        <f>T10-T11</f>
        <v>405.377995144219</v>
      </c>
      <c r="U12" s="52">
        <f>U10-U11</f>
        <v>567.1966139328057</v>
      </c>
      <c r="V12" s="52">
        <f>V10-V11</f>
        <v>721.8481863435883</v>
      </c>
    </row>
    <row r="13">
      <c r="A13" s="2" t="inlineStr">
        <is>
          <t>Earnings per Share</t>
        </is>
      </c>
      <c r="B13" s="11">
        <f>IFERROR(B12/B14,0)</f>
        <v>-1.5587579416838473</v>
      </c>
      <c r="C13" s="11">
        <f>IFERROR(C12/C14,0)</f>
        <v>-2.9020102394217737</v>
      </c>
      <c r="D13" s="11">
        <f>IFERROR(D12/D14,0)</f>
        <v>-4.146255873431274</v>
      </c>
      <c r="E13" s="11">
        <f>IFERROR(E12/E14,0)</f>
        <v>-3.5632956066691004</v>
      </c>
      <c r="F13" s="11">
        <f>IFERROR(F12/F14,0)</f>
        <v>-5.275205882985357</v>
      </c>
      <c r="G13" s="11">
        <f>IFERROR(G12/G14,0)</f>
        <v>-9.314084200960153</v>
      </c>
      <c r="H13" s="11">
        <f>IFERROR(H12/H14,0)</f>
        <v>-7.8806689549404805</v>
      </c>
      <c r="I13" s="11">
        <f>IFERROR(I12/I14,0)</f>
        <v>-11.704059066913967</v>
      </c>
      <c r="J13" s="11">
        <f>IFERROR(J12/J14,0)</f>
        <v>-9.62518876472365</v>
      </c>
      <c r="K13" s="11">
        <f>IFERROR(K12/K14,0)</f>
        <v>-7.349184688730739</v>
      </c>
      <c r="L13" s="11">
        <f>IFERROR(L12/L14,0)</f>
        <v>-4.2339498737769565</v>
      </c>
      <c r="M13" s="11">
        <f>IFERROR(M12/M14,0)</f>
        <v>-2.6526671355472</v>
      </c>
      <c r="N13" s="11">
        <f>IFERROR(N12/N14,0)</f>
        <v>-2.5826730617195217</v>
      </c>
      <c r="O13" s="11">
        <f>IFERROR(O12/O14,0)</f>
        <v>-2.14671298371255</v>
      </c>
      <c r="P13" s="11">
        <f>IFERROR(P12/P14,0)</f>
        <v>-1.2334017880191288</v>
      </c>
      <c r="Q13" s="11">
        <f>IFERROR(Q12/Q14,0)</f>
        <v>0.19881980552517384</v>
      </c>
      <c r="R13" s="11">
        <f>IFERROR(R12/R14,0)</f>
        <v>1.9082937663315933</v>
      </c>
      <c r="S13" s="11">
        <f>IFERROR(S12/S14,0)</f>
        <v>4.061955991065757</v>
      </c>
      <c r="T13" s="11">
        <f>IFERROR(T12/T14,0)</f>
        <v>6.540738120965289</v>
      </c>
      <c r="U13" s="11">
        <f>IFERROR(U12/U14,0)</f>
        <v>9.15166723224059</v>
      </c>
      <c r="V13" s="11">
        <f>IFERROR(V12/V14,0)</f>
        <v>11.646956683693327</v>
      </c>
    </row>
    <row r="14">
      <c r="A14" s="2" t="inlineStr">
        <is>
          <t>Shares</t>
        </is>
      </c>
      <c r="B14" s="52" t="n">
        <v>23.767</v>
      </c>
      <c r="C14" s="52" t="n">
        <v>26.564</v>
      </c>
      <c r="D14" s="52" t="n">
        <v>33.626</v>
      </c>
      <c r="E14" s="52" t="n">
        <v>41.085</v>
      </c>
      <c r="F14" s="52" t="n">
        <v>46.507</v>
      </c>
      <c r="G14" s="52" t="n">
        <v>50.617</v>
      </c>
      <c r="H14" s="52" t="n">
        <v>54.772</v>
      </c>
      <c r="I14" s="52" t="n">
        <v>56.072</v>
      </c>
      <c r="J14" s="52" t="n">
        <v>56.287</v>
      </c>
      <c r="K14" s="52" t="n">
        <v>57.892</v>
      </c>
      <c r="L14" s="52" t="n">
        <v>60.607</v>
      </c>
      <c r="M14" s="52">
        <f>Main!$C$4</f>
        <v>61.977408</v>
      </c>
      <c r="N14" s="52">
        <f>Main!$C$4</f>
        <v>61.977408</v>
      </c>
      <c r="O14" s="52">
        <f>Main!$C$4</f>
        <v>61.977408</v>
      </c>
      <c r="P14" s="52">
        <f>Main!$C$4</f>
        <v>61.977408</v>
      </c>
      <c r="Q14" s="52">
        <f>Main!$C$4</f>
        <v>61.977408</v>
      </c>
      <c r="R14" s="52">
        <f>Main!$C$4</f>
        <v>61.977408</v>
      </c>
      <c r="S14" s="52">
        <f>Main!$C$4</f>
        <v>61.977408</v>
      </c>
      <c r="T14" s="52">
        <f>Main!$C$4</f>
        <v>61.977408</v>
      </c>
      <c r="U14" s="52">
        <f>Main!$C$4</f>
        <v>61.977408</v>
      </c>
      <c r="V14" s="52">
        <f>Main!$C$4</f>
        <v>61.977408</v>
      </c>
    </row>
    <row r="15"/>
    <row r="16" customFormat="1" s="4">
      <c r="A16" s="3" t="inlineStr">
        <is>
          <t>Revenue Change</t>
        </is>
      </c>
      <c r="C16" s="15">
        <f>IFERROR(C2/B2-1,"")</f>
        <v>-0.43262178434592224</v>
      </c>
      <c r="D16" s="15">
        <f>IFERROR(D2/C2-1,"")</f>
        <v>-0.6677599845649238</v>
      </c>
      <c r="E16" s="15">
        <f>IFERROR(E2/D2-1,"")</f>
        <v>5.914634146341464</v>
      </c>
      <c r="F16" s="15">
        <f>IFERROR(F2/E2-1,"")</f>
        <v>0.26404635928445463</v>
      </c>
      <c r="G16" s="15">
        <f>IFERROR(G2/F2-1,"")</f>
        <v>-0.4801674307354993</v>
      </c>
      <c r="H16" s="15">
        <f>IFERROR(H2/G2-1,"")</f>
        <v>0.11873721881390598</v>
      </c>
      <c r="I16" s="15">
        <f>IFERROR(I2/H2-1,"")</f>
        <v>5.579001485205072</v>
      </c>
      <c r="J16" s="15">
        <f>IFERROR(J2/I2-1,"")</f>
        <v>4.21199597124301</v>
      </c>
      <c r="K16" s="15">
        <f>IFERROR(K2/J2-1,"")</f>
        <v>0.36339283929392496</v>
      </c>
      <c r="L16" s="15">
        <f>IFERROR(L2/K2-1,"")</f>
        <v>0.9803375317077461</v>
      </c>
      <c r="M16" s="15">
        <f>IFERROR(M2/L2-1,"")</f>
        <v>0.3500000000000001</v>
      </c>
      <c r="N16" s="15">
        <f>IFERROR(N2/M2-1,"")</f>
        <v>0.3138888888888889</v>
      </c>
      <c r="O16" s="15">
        <f>IFERROR(O2/N2-1,"")</f>
        <v>0.2777777777777777</v>
      </c>
      <c r="P16" s="15">
        <f>IFERROR(P2/O2-1,"")</f>
        <v>0.2416666666666667</v>
      </c>
      <c r="Q16" s="15">
        <f>IFERROR(Q2/P2-1,"")</f>
        <v>0.2055555555555555</v>
      </c>
      <c r="R16" s="15">
        <f>IFERROR(R2/Q2-1,"")</f>
        <v>0.1694444444444445</v>
      </c>
      <c r="S16" s="15">
        <f>IFERROR(S2/R2-1,"")</f>
        <v>0.1333333333333333</v>
      </c>
      <c r="T16" s="15">
        <f>IFERROR(T2/S2-1,"")</f>
        <v>0.09722222222222232</v>
      </c>
      <c r="U16" s="15">
        <f>IFERROR(U2/T2-1,"")</f>
        <v>0.061111111111111116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0.5471266994173426</v>
      </c>
      <c r="I17" s="15">
        <f>IFERROR(I4/I2,"")</f>
        <v>0.7628242975723266</v>
      </c>
      <c r="J17" s="15">
        <f>IFERROR(J4/J2,"")</f>
        <v>0.8335499003791589</v>
      </c>
      <c r="K17" s="15">
        <f>IFERROR(K4/K2,"")</f>
        <v>0.8782911296510805</v>
      </c>
      <c r="L17" s="15">
        <f>IFERROR(L4/L2,"")</f>
        <v>0.8681978266610396</v>
      </c>
      <c r="M17" s="15">
        <f>IFERROR(M4/M2,"")</f>
        <v>0.8682</v>
      </c>
      <c r="N17" s="15">
        <f>IFERROR(N4/N2,"")</f>
        <v>0.8682000000000001</v>
      </c>
      <c r="O17" s="15">
        <f>IFERROR(O4/O2,"")</f>
        <v>0.8682</v>
      </c>
      <c r="P17" s="15">
        <f>IFERROR(P4/P2,"")</f>
        <v>0.8682</v>
      </c>
      <c r="Q17" s="15">
        <f>IFERROR(Q4/Q2,"")</f>
        <v>0.8681999999999999</v>
      </c>
      <c r="R17" s="15">
        <f>IFERROR(R4/R2,"")</f>
        <v>0.8682</v>
      </c>
      <c r="S17" s="15">
        <f>IFERROR(S4/S2,"")</f>
        <v>0.8682000000000001</v>
      </c>
      <c r="T17" s="15">
        <f>IFERROR(T4/T2,"")</f>
        <v>0.8682</v>
      </c>
      <c r="U17" s="15">
        <f>IFERROR(U4/U2,"")</f>
        <v>0.8682</v>
      </c>
      <c r="V17" s="15">
        <f>IFERROR(V4/V2,"")</f>
        <v>0.8682000000000001</v>
      </c>
    </row>
    <row r="18">
      <c r="A18" s="14" t="inlineStr">
        <is>
          <t>Operating Margin</t>
        </is>
      </c>
      <c r="B18" s="15">
        <f>IFERROR(B8/B2,"")</f>
        <v>-5.152271483305967</v>
      </c>
      <c r="C18" s="15">
        <f>IFERROR(C8/C2,"")</f>
        <v>-15.831950607756129</v>
      </c>
      <c r="D18" s="15">
        <f>IFERROR(D8/D2,"")</f>
        <v>-72.89024390243902</v>
      </c>
      <c r="E18" s="15">
        <f>IFERROR(E8/E2,"")</f>
        <v>-14.625766355925085</v>
      </c>
      <c r="F18" s="15">
        <f>IFERROR(F8/F2,"")</f>
        <v>-16.950900272407146</v>
      </c>
      <c r="G18" s="15">
        <f>IFERROR(G8/G2,"")</f>
        <v>-47.5521472392638</v>
      </c>
      <c r="H18" s="15">
        <f>IFERROR(H8/H2,"")</f>
        <v>-58.08317148406261</v>
      </c>
      <c r="I18" s="15">
        <f>IFERROR(I8/I2,"")</f>
        <v>-10.978553815163409</v>
      </c>
      <c r="J18" s="15">
        <f>IFERROR(J8/J2,"")</f>
        <v>-1.707954341003139</v>
      </c>
      <c r="K18" s="15">
        <f>IFERROR(K8/K2,"")</f>
        <v>-0.7665894439475471</v>
      </c>
      <c r="L18" s="15">
        <f>IFERROR(L8/L2,"")</f>
        <v>-0.18923054521043578</v>
      </c>
      <c r="M18" s="15">
        <f>IFERROR(M8/M2,"")</f>
        <v>-0.15028000000000005</v>
      </c>
      <c r="N18" s="15">
        <f>IFERROR(N8/N2,"")</f>
        <v>-0.11135999999999996</v>
      </c>
      <c r="O18" s="15">
        <f>IFERROR(O8/O2,"")</f>
        <v>-0.07244000000000002</v>
      </c>
      <c r="P18" s="15">
        <f>IFERROR(P8/P2,"")</f>
        <v>-0.0335200000000001</v>
      </c>
      <c r="Q18" s="15">
        <f>IFERROR(Q8/Q2,"")</f>
        <v>0.0054000000000000705</v>
      </c>
      <c r="R18" s="15">
        <f>IFERROR(R8/R2,"")</f>
        <v>0.044319999999999936</v>
      </c>
      <c r="S18" s="15">
        <f>IFERROR(S8/S2,"")</f>
        <v>0.08324000000000001</v>
      </c>
      <c r="T18" s="15">
        <f>IFERROR(T8/T2,"")</f>
        <v>0.12216000000000002</v>
      </c>
      <c r="U18" s="15">
        <f>IFERROR(U8/U2,"")</f>
        <v>0.16107999999999997</v>
      </c>
      <c r="V18" s="15">
        <f>IFERROR(V8/V2,"")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Ascendis Pharma A/S: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-0.1892</v>
      </c>
    </row>
    <row r="19">
      <c r="A19" s="14" t="inlineStr">
        <is>
          <t>Gross margin (forecast)</t>
        </is>
      </c>
      <c r="B19" s="53" t="n">
        <v>0.8682</v>
      </c>
    </row>
    <row r="20">
      <c r="A20" s="14" t="inlineStr">
        <is>
          <t>R&amp;D share of operating expense (forecast)</t>
        </is>
      </c>
      <c r="B20" s="53" t="n">
        <v>0.3987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(EUR)</t>
        </is>
      </c>
      <c r="B24" s="32" t="n">
        <v>0.8886500000000001</v>
      </c>
    </row>
    <row r="25">
      <c r="A25" s="14" t="inlineStr">
        <is>
          <t>Base revenue, FY2025</t>
        </is>
      </c>
      <c r="B25" s="55">
        <f>'Yearly Model'!L2</f>
        <v>810.366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4046.4950717057495</v>
      </c>
      <c r="C29" s="56">
        <f>NPV!B26</f>
        <v>3823.0055088857416</v>
      </c>
      <c r="D29" s="35">
        <f>NPV!B28</f>
        <v>61.68385597677369</v>
      </c>
      <c r="E29" s="57">
        <f>NPV!B30</f>
        <v>-0.7367650067137212</v>
      </c>
    </row>
    <row r="30">
      <c r="A30" s="58" t="n">
        <v>1</v>
      </c>
      <c r="B30" s="59">
        <f t="dataTable" ref="B30:E32" r1="B4"/>
        <v>1376.1228723910722</v>
      </c>
      <c r="C30" s="59">
        <v>1152.6333095710645</v>
      </c>
      <c r="D30" s="39">
        <v>18.597636570588183</v>
      </c>
      <c r="E30" s="60">
        <v>-0.9206348458558947</v>
      </c>
    </row>
    <row r="31">
      <c r="A31" s="58" t="n">
        <v>2</v>
      </c>
      <c r="B31" s="59">
        <v>4046.4950717057495</v>
      </c>
      <c r="C31" s="59">
        <v>3823.0055088857416</v>
      </c>
      <c r="D31" s="39">
        <v>61.68385597677369</v>
      </c>
      <c r="E31" s="60">
        <v>-0.7367650067137212</v>
      </c>
    </row>
    <row r="32">
      <c r="A32" s="58" t="n">
        <v>3</v>
      </c>
      <c r="B32" s="59">
        <v>9559.05021508654</v>
      </c>
      <c r="C32" s="59">
        <v>9335.560652266531</v>
      </c>
      <c r="D32" s="39">
        <v>150.6284459696432</v>
      </c>
      <c r="E32" s="60">
        <v>-0.3571952120102284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61.68385597677369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86.20750766537255</v>
      </c>
      <c r="C37" s="39">
        <v>96.36072969480762</v>
      </c>
      <c r="D37" s="39">
        <v>108.5667967717962</v>
      </c>
      <c r="E37" s="39">
        <v>123.51027519110625</v>
      </c>
      <c r="F37" s="39">
        <v>142.2180179624155</v>
      </c>
    </row>
    <row r="38">
      <c r="A38" s="62" t="n">
        <v>0.08500000000000001</v>
      </c>
      <c r="B38" s="39">
        <v>65.8515979760419</v>
      </c>
      <c r="C38" s="39">
        <v>72.79456036187902</v>
      </c>
      <c r="D38" s="39">
        <v>80.91197905918361</v>
      </c>
      <c r="E38" s="39">
        <v>90.52437640556218</v>
      </c>
      <c r="F38" s="39">
        <v>102.0804863200752</v>
      </c>
    </row>
    <row r="39">
      <c r="A39" s="62" t="n">
        <v>0.095</v>
      </c>
      <c r="B39" s="39">
        <v>51.033881769668284</v>
      </c>
      <c r="C39" s="39">
        <v>55.997393380664846</v>
      </c>
      <c r="D39" s="39">
        <v>61.68385597677369</v>
      </c>
      <c r="E39" s="39">
        <v>68.26027422945859</v>
      </c>
      <c r="F39" s="39">
        <v>75.94932308071088</v>
      </c>
    </row>
    <row r="40">
      <c r="A40" s="62" t="n">
        <v>0.105</v>
      </c>
      <c r="B40" s="39">
        <v>39.874564965894336</v>
      </c>
      <c r="C40" s="39">
        <v>43.54399946820768</v>
      </c>
      <c r="D40" s="39">
        <v>47.68349516116593</v>
      </c>
      <c r="E40" s="39">
        <v>52.38720114778514</v>
      </c>
      <c r="F40" s="39">
        <v>57.77616790431996</v>
      </c>
    </row>
    <row r="41">
      <c r="A41" s="62" t="n">
        <v>0.115</v>
      </c>
      <c r="B41" s="39">
        <v>31.248724714902778</v>
      </c>
      <c r="C41" s="39">
        <v>34.0334507750452</v>
      </c>
      <c r="D41" s="39">
        <v>37.13708565524035</v>
      </c>
      <c r="E41" s="39">
        <v>40.616019795542066</v>
      </c>
      <c r="F41" s="39">
        <v>44.54074257152582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Ascendis Pharma A/S: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-0.18923054521043578</v>
      </c>
      <c r="C6" s="63">
        <f>Assumptions!$B$18+(Assumptions!$E$13-Assumptions!$B$18)*C4/Assumptions!$B$21</f>
        <v>-0.15028000000000002</v>
      </c>
      <c r="D6" s="63">
        <f>Assumptions!$B$18+(Assumptions!$E$13-Assumptions!$B$18)*D4/Assumptions!$B$21</f>
        <v>-0.11136000000000001</v>
      </c>
      <c r="E6" s="63">
        <f>Assumptions!$B$18+(Assumptions!$E$13-Assumptions!$B$18)*E4/Assumptions!$B$21</f>
        <v>-0.07244</v>
      </c>
      <c r="F6" s="63">
        <f>Assumptions!$B$18+(Assumptions!$E$13-Assumptions!$B$18)*F4/Assumptions!$B$21</f>
        <v>-0.03352000000000002</v>
      </c>
      <c r="G6" s="63">
        <f>Assumptions!$B$18+(Assumptions!$E$13-Assumptions!$B$18)*G4/Assumptions!$B$21</f>
        <v>0.005399999999999988</v>
      </c>
      <c r="H6" s="63">
        <f>Assumptions!$B$18+(Assumptions!$E$13-Assumptions!$B$18)*H4/Assumptions!$B$21</f>
        <v>0.04432</v>
      </c>
      <c r="I6" s="63">
        <f>Assumptions!$B$18+(Assumptions!$E$13-Assumptions!$B$18)*I4/Assumptions!$B$21</f>
        <v>0.08324000000000001</v>
      </c>
      <c r="J6" s="63">
        <f>Assumptions!$B$18+(Assumptions!$E$13-Assumptions!$B$18)*J4/Assumptions!$B$21</f>
        <v>0.12215999999999996</v>
      </c>
      <c r="K6" s="63">
        <f>Assumptions!$B$18+(Assumptions!$E$13-Assumptions!$B$18)*K4/Assumptions!$B$21</f>
        <v>0.16107999999999997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Model'!L2</f>
        <v>810.366</v>
      </c>
      <c r="C7" s="55">
        <f>'Yearly Model'!M2</f>
        <v>1093.9941000000001</v>
      </c>
      <c r="D7" s="55">
        <f>'Yearly Model'!N2</f>
        <v>1437.3866925000002</v>
      </c>
      <c r="E7" s="55">
        <f>'Yearly Model'!O2</f>
        <v>1836.66077375</v>
      </c>
      <c r="F7" s="55">
        <f>'Yearly Model'!P2</f>
        <v>2280.5204607395835</v>
      </c>
      <c r="G7" s="55">
        <f>'Yearly Model'!Q2</f>
        <v>2749.29411100272</v>
      </c>
      <c r="H7" s="55">
        <f>'Yearly Model'!R2</f>
        <v>3215.146724255959</v>
      </c>
      <c r="I7" s="55">
        <f>'Yearly Model'!S2</f>
        <v>3643.832954156753</v>
      </c>
      <c r="J7" s="55">
        <f>'Yearly Model'!T2</f>
        <v>3998.094491366438</v>
      </c>
      <c r="K7" s="55">
        <f>'Yearly Model'!U2</f>
        <v>4242.422488061054</v>
      </c>
      <c r="L7" s="55">
        <f>'Yearly Model'!V2</f>
        <v>4348.48305026258</v>
      </c>
    </row>
    <row r="8">
      <c r="A8" s="14" t="inlineStr">
        <is>
          <t>Operating income</t>
        </is>
      </c>
      <c r="B8" s="55">
        <f>'Yearly Model'!L8</f>
        <v>-153.346</v>
      </c>
      <c r="C8" s="55">
        <f>'Yearly Model'!M8</f>
        <v>-164.4054333480001</v>
      </c>
      <c r="D8" s="55">
        <f>'Yearly Model'!N8</f>
        <v>-160.06738207679996</v>
      </c>
      <c r="E8" s="55">
        <f>'Yearly Model'!O8</f>
        <v>-133.04770645045005</v>
      </c>
      <c r="F8" s="55">
        <f>'Yearly Model'!P8</f>
        <v>-76.44304584399106</v>
      </c>
      <c r="G8" s="55">
        <f>'Yearly Model'!Q8</f>
        <v>14.846188199414883</v>
      </c>
      <c r="H8" s="55">
        <f>'Yearly Model'!R8</f>
        <v>142.4953028190239</v>
      </c>
      <c r="I8" s="55">
        <f>'Yearly Model'!S8</f>
        <v>303.3126551040082</v>
      </c>
      <c r="J8" s="55">
        <f>'Yearly Model'!T8</f>
        <v>488.40722306532416</v>
      </c>
      <c r="K8" s="55">
        <f>'Yearly Model'!U8</f>
        <v>683.3694143768744</v>
      </c>
      <c r="L8" s="55">
        <f>'Yearly Model'!V8</f>
        <v>869.696610052516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2.5238519939005304</v>
      </c>
      <c r="H9" s="52">
        <f>MAX(0,H8)*Assumptions!$E$14</f>
        <v>24.224201479234065</v>
      </c>
      <c r="I9" s="52">
        <f>MAX(0,I8)*Assumptions!$E$14</f>
        <v>51.56315136768139</v>
      </c>
      <c r="J9" s="52">
        <f>MAX(0,J8)*Assumptions!$E$14</f>
        <v>83.02922792110512</v>
      </c>
      <c r="K9" s="52">
        <f>MAX(0,K8)*Assumptions!$E$14</f>
        <v>116.17280044406866</v>
      </c>
      <c r="L9" s="52">
        <f>MAX(0,L8)*Assumptions!$E$14</f>
        <v>147.84842370892773</v>
      </c>
    </row>
    <row r="10">
      <c r="A10" s="14" t="inlineStr">
        <is>
          <t>NOPAT</t>
        </is>
      </c>
      <c r="C10" s="52">
        <f>C8-C9</f>
        <v>-164.4054333480001</v>
      </c>
      <c r="D10" s="52">
        <f>D8-D9</f>
        <v>-160.06738207679996</v>
      </c>
      <c r="E10" s="52">
        <f>E8-E9</f>
        <v>-133.04770645045005</v>
      </c>
      <c r="F10" s="52">
        <f>F8-F9</f>
        <v>-76.44304584399106</v>
      </c>
      <c r="G10" s="52">
        <f>G8-G9</f>
        <v>12.322336205514352</v>
      </c>
      <c r="H10" s="52">
        <f>H8-H9</f>
        <v>118.27110133978982</v>
      </c>
      <c r="I10" s="52">
        <f>I8-I9</f>
        <v>251.74950373632677</v>
      </c>
      <c r="J10" s="52">
        <f>J8-J9</f>
        <v>405.377995144219</v>
      </c>
      <c r="K10" s="52">
        <f>K8-K9</f>
        <v>567.1966139328057</v>
      </c>
      <c r="L10" s="52">
        <f>L8-L9</f>
        <v>721.8481863435883</v>
      </c>
    </row>
    <row r="11">
      <c r="A11" s="14" t="inlineStr">
        <is>
          <t>Reinvestment</t>
        </is>
      </c>
      <c r="C11" s="52">
        <f>(C7-B7)*Assumptions!$E$15</f>
        <v>70.90702500000003</v>
      </c>
      <c r="D11" s="52">
        <f>(D7-C7)*Assumptions!$E$15</f>
        <v>85.84814812500002</v>
      </c>
      <c r="E11" s="52">
        <f>(E7-D7)*Assumptions!$E$15</f>
        <v>99.81852031249997</v>
      </c>
      <c r="F11" s="52">
        <f>(F7-E7)*Assumptions!$E$15</f>
        <v>110.96492174739586</v>
      </c>
      <c r="G11" s="52">
        <f>(G7-F7)*Assumptions!$E$15</f>
        <v>117.19341256578412</v>
      </c>
      <c r="H11" s="52">
        <f>(H7-G7)*Assumptions!$E$15</f>
        <v>116.4631533133097</v>
      </c>
      <c r="I11" s="52">
        <f>(I7-H7)*Assumptions!$E$15</f>
        <v>107.1715574751986</v>
      </c>
      <c r="J11" s="52">
        <f>(J7-I7)*Assumptions!$E$15</f>
        <v>88.5653843024212</v>
      </c>
      <c r="K11" s="52">
        <f>(K7-J7)*Assumptions!$E$15</f>
        <v>61.08199917365391</v>
      </c>
      <c r="L11" s="52">
        <f>(L7-K7)*Assumptions!$E$15</f>
        <v>26.515140550381602</v>
      </c>
    </row>
    <row r="12">
      <c r="A12" s="20" t="inlineStr">
        <is>
          <t>Free cash flow</t>
        </is>
      </c>
      <c r="C12" s="64">
        <f>C10-C11</f>
        <v>-235.31245834800012</v>
      </c>
      <c r="D12" s="64">
        <f>D10-D11</f>
        <v>-245.91553020179998</v>
      </c>
      <c r="E12" s="64">
        <f>E10-E11</f>
        <v>-232.86622676295002</v>
      </c>
      <c r="F12" s="64">
        <f>F10-F11</f>
        <v>-187.40796759138692</v>
      </c>
      <c r="G12" s="64">
        <f>G10-G11</f>
        <v>-104.87107636026977</v>
      </c>
      <c r="H12" s="64">
        <f>H10-H11</f>
        <v>1.807948026480119</v>
      </c>
      <c r="I12" s="64">
        <f>I10-I11</f>
        <v>144.57794626112818</v>
      </c>
      <c r="J12" s="64">
        <f>J10-J11</f>
        <v>316.81261084179783</v>
      </c>
      <c r="K12" s="64">
        <f>K10-K11</f>
        <v>506.1146147591518</v>
      </c>
      <c r="L12" s="64">
        <f>L10-L11</f>
        <v>695.3330457932067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0.9556369651349932</v>
      </c>
      <c r="D15" s="65">
        <f>1/(1+Assumptions!$E$10)^D14</f>
        <v>0.8727278220410896</v>
      </c>
      <c r="E15" s="65">
        <f>1/(1+Assumptions!$E$10)^E14</f>
        <v>0.797011709626566</v>
      </c>
      <c r="F15" s="65">
        <f>1/(1+Assumptions!$E$10)^F14</f>
        <v>0.7278645750014301</v>
      </c>
      <c r="G15" s="65">
        <f>1/(1+Assumptions!$E$10)^G14</f>
        <v>0.6647165068506211</v>
      </c>
      <c r="H15" s="65">
        <f>1/(1+Assumptions!$E$10)^H14</f>
        <v>0.6070470382197453</v>
      </c>
      <c r="I15" s="65">
        <f>1/(1+Assumptions!$E$10)^I14</f>
        <v>0.5543808568216853</v>
      </c>
      <c r="J15" s="65">
        <f>1/(1+Assumptions!$E$10)^J14</f>
        <v>0.5062838875083884</v>
      </c>
      <c r="K15" s="65">
        <f>1/(1+Assumptions!$E$10)^K14</f>
        <v>0.4623597146195327</v>
      </c>
      <c r="L15" s="65">
        <f>1/(1+Assumptions!$E$10)^L14</f>
        <v>0.42224631472103447</v>
      </c>
    </row>
    <row r="16">
      <c r="A16" s="20" t="inlineStr">
        <is>
          <t>PV of free cash flow</t>
        </is>
      </c>
      <c r="C16" s="64">
        <f>C12*C13*C15</f>
        <v>-224.87328355413732</v>
      </c>
      <c r="D16" s="64">
        <f>D12*D13*D15</f>
        <v>-214.61732507909667</v>
      </c>
      <c r="E16" s="64">
        <f>E12*E13*E15</f>
        <v>-185.5971095066264</v>
      </c>
      <c r="F16" s="64">
        <f>F12*F13*F15</f>
        <v>-136.40762068278661</v>
      </c>
      <c r="G16" s="64">
        <f>G12*G13*G15</f>
        <v>-69.70953554786327</v>
      </c>
      <c r="H16" s="64">
        <f>H12*H13*H15</f>
        <v>1.09750949472999</v>
      </c>
      <c r="I16" s="64">
        <f>I12*I13*I15</f>
        <v>80.1512457257638</v>
      </c>
      <c r="J16" s="64">
        <f>J12*J13*J15</f>
        <v>160.3971202286676</v>
      </c>
      <c r="K16" s="64">
        <f>K12*K13*K15</f>
        <v>234.00700884481614</v>
      </c>
      <c r="L16" s="64">
        <f>L12*L13*L15</f>
        <v>293.60181608993383</v>
      </c>
    </row>
    <row r="19">
      <c r="A19" s="14" t="inlineStr">
        <is>
          <t>PV of forecast free cash flow</t>
        </is>
      </c>
      <c r="B19" s="52">
        <f>SUM(C16:L16)</f>
        <v>-61.95017398659883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712.7163719380368</v>
      </c>
    </row>
    <row r="21">
      <c r="A21" s="14" t="inlineStr">
        <is>
          <t>Terminal value</t>
        </is>
      </c>
      <c r="B21" s="52">
        <f>B20/(Assumptions!$E$10-Assumptions!$E$11)</f>
        <v>10181.662456257667</v>
      </c>
    </row>
    <row r="22">
      <c r="A22" s="14" t="inlineStr">
        <is>
          <t>PV of terminal value</t>
        </is>
      </c>
      <c r="B22" s="52">
        <f>B21/(1+Assumptions!$E$10)^(L14+0.5)</f>
        <v>4108.445245692348</v>
      </c>
    </row>
    <row r="23">
      <c r="A23" s="20" t="inlineStr">
        <is>
          <t>Enterprise value</t>
        </is>
      </c>
      <c r="B23" s="66">
        <f>B19+B22</f>
        <v>4046.4950717057495</v>
      </c>
    </row>
    <row r="24">
      <c r="A24" s="14" t="inlineStr">
        <is>
          <t>Cash &amp; investments</t>
        </is>
      </c>
      <c r="B24" s="55">
        <f>Main!C7</f>
        <v>693.2324312158893</v>
      </c>
    </row>
    <row r="25">
      <c r="A25" s="14" t="inlineStr">
        <is>
          <t>Debt</t>
        </is>
      </c>
      <c r="B25" s="55">
        <f>Main!C8</f>
        <v>916.7219940358971</v>
      </c>
    </row>
    <row r="26">
      <c r="A26" s="20" t="inlineStr">
        <is>
          <t>Equity value</t>
        </is>
      </c>
      <c r="B26" s="66">
        <f>B23+B24-B25</f>
        <v>3823.0055088857416</v>
      </c>
    </row>
    <row r="27">
      <c r="A27" s="14" t="inlineStr">
        <is>
          <t>Shares (mm)</t>
        </is>
      </c>
      <c r="B27" s="55">
        <f>Main!C4</f>
        <v>61.977408</v>
      </c>
    </row>
    <row r="28">
      <c r="A28" s="20" t="inlineStr">
        <is>
          <t>NPV / share</t>
        </is>
      </c>
      <c r="B28" s="49">
        <f>B26/B27</f>
        <v>61.68385597677369</v>
      </c>
    </row>
    <row r="29">
      <c r="A29" s="14" t="inlineStr">
        <is>
          <t>Price</t>
        </is>
      </c>
      <c r="B29" s="50">
        <f>Main!C3</f>
        <v>234.33</v>
      </c>
    </row>
    <row r="30">
      <c r="A30" s="14" t="inlineStr">
        <is>
          <t>Upside</t>
        </is>
      </c>
      <c r="B30" s="63">
        <f>B28/B29-1</f>
        <v>-0.7367650067137212</v>
      </c>
    </row>
    <row r="31">
      <c r="A31" s="14" t="inlineStr">
        <is>
          <t>Terminal value, % of EV</t>
        </is>
      </c>
      <c r="B31" s="63">
        <f>IFERROR(B22/B23,0)</f>
        <v>1.0153095883941072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2026-10-21T06:21:19Z</dcterms:modified>
  <cp:lastModifiedBy>Wang, Eric</cp:lastModifiedBy>
</cp:coreProperties>
</file>