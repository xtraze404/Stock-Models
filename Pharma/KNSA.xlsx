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Kiniksa Pharmaceuticals International, PLC</t>
        </is>
      </c>
      <c r="C2" s="10" t="n"/>
    </row>
    <row r="3">
      <c r="B3" t="inlineStr">
        <is>
          <t>Price</t>
        </is>
      </c>
      <c r="C3" s="11">
        <f>INDEX([1]Pharma!$F$1:$F$1000,MATCH("KNSA",[1]Pharma!$B$1:$B$1000,0))</f>
        <v>83.17</v>
      </c>
      <c r="F3" s="1" t="n"/>
    </row>
    <row r="4">
      <c r="B4" t="inlineStr">
        <is>
          <t>Shares</t>
        </is>
      </c>
      <c r="C4" s="51" t="n">
        <v>153.876032</v>
      </c>
      <c r="F4" s="1" t="n"/>
    </row>
    <row r="5">
      <c r="B5" t="inlineStr">
        <is>
          <t>Market Cap.</t>
        </is>
      </c>
      <c r="C5" s="13">
        <f>C3*C4</f>
        <v>12797.869581440002</v>
      </c>
      <c r="F5" s="1" t="n"/>
    </row>
    <row r="6"/>
    <row r="7">
      <c r="B7" t="inlineStr">
        <is>
          <t>Cash</t>
        </is>
      </c>
      <c r="C7" s="51">
        <f>189.952+278.141</f>
        <v>468.093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12329.77658144</v>
      </c>
    </row>
    <row r="10"/>
    <row r="11">
      <c r="B11" s="14" t="inlineStr">
        <is>
          <t>NPV / Share</t>
        </is>
      </c>
      <c r="C11" s="11">
        <f>NPV!B28</f>
        <v>35.801052651703614</v>
      </c>
    </row>
    <row r="12">
      <c r="B12" s="14" t="inlineStr">
        <is>
          <t>Upside</t>
        </is>
      </c>
      <c r="C12" s="15">
        <f>IFERROR(C11/C3-1,"")</f>
        <v>-0.5695436737801658</v>
      </c>
    </row>
    <row r="13">
      <c r="B13" s="14" t="inlineStr">
        <is>
          <t>Cash / Share</t>
        </is>
      </c>
      <c r="C13" s="11">
        <f>IFERROR((C7-C8)/C4,"")</f>
        <v>3.0420137166001266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38.544</v>
      </c>
      <c r="G2" s="52" t="n">
        <v>220.18</v>
      </c>
      <c r="H2" s="52" t="n">
        <v>270.259</v>
      </c>
      <c r="I2" s="52" t="n">
        <v>423.239</v>
      </c>
      <c r="J2" s="52" t="n">
        <v>677.564</v>
      </c>
      <c r="K2" s="52">
        <f>J2*(1+NPV!C5)</f>
        <v>914.7114</v>
      </c>
      <c r="L2" s="52">
        <f>K2*(1+NPV!D5)</f>
        <v>1201.829145</v>
      </c>
      <c r="M2" s="52">
        <f>L2*(1+NPV!E5)</f>
        <v>1535.6705741666665</v>
      </c>
      <c r="N2" s="52">
        <f>M2*(1+NPV!F5)</f>
        <v>1906.790962923611</v>
      </c>
      <c r="O2" s="52">
        <f>N2*(1+NPV!G5)</f>
        <v>2298.7424386356865</v>
      </c>
      <c r="P2" s="52">
        <f>O2*(1+NPV!H5)</f>
        <v>2688.251574071178</v>
      </c>
      <c r="Q2" s="52">
        <f>P2*(1+NPV!I5)</f>
        <v>3046.6851172806682</v>
      </c>
      <c r="R2" s="52">
        <f>Q2*(1+NPV!J5)</f>
        <v>3342.890614794067</v>
      </c>
      <c r="S2" s="52">
        <f>R2*(1+NPV!K5)</f>
        <v>3547.178374587038</v>
      </c>
      <c r="T2" s="52">
        <f>S2*(1+NPV!L5)</f>
        <v>3635.8578339517135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9.1</v>
      </c>
      <c r="G3" s="52" t="n">
        <v>22.895</v>
      </c>
      <c r="H3" s="52" t="n">
        <v>33.407</v>
      </c>
      <c r="I3" s="52" t="n">
        <v>60.91</v>
      </c>
      <c r="J3" s="52" t="n">
        <v>77.673</v>
      </c>
      <c r="K3" s="52">
        <f>K2*(1-Assumptions!$B$19)</f>
        <v>104.82592644000003</v>
      </c>
      <c r="L3" s="52">
        <f>L2*(1-Assumptions!$B$19)</f>
        <v>137.72962001700003</v>
      </c>
      <c r="M3" s="52">
        <f>M2*(1-Assumptions!$B$19)</f>
        <v>175.98784779950003</v>
      </c>
      <c r="N3" s="52">
        <f>N2*(1-Assumptions!$B$19)</f>
        <v>218.5182443510459</v>
      </c>
      <c r="O3" s="52">
        <f>O2*(1-Assumptions!$B$19)</f>
        <v>263.4358834676498</v>
      </c>
      <c r="P3" s="52">
        <f>P2*(1-Assumptions!$B$19)</f>
        <v>308.0736303885571</v>
      </c>
      <c r="Q3" s="52">
        <f>Q2*(1-Assumptions!$B$19)</f>
        <v>349.1501144403647</v>
      </c>
      <c r="R3" s="52">
        <f>R2*(1-Assumptions!$B$19)</f>
        <v>383.0952644554002</v>
      </c>
      <c r="S3" s="52">
        <f>S2*(1-Assumptions!$B$19)</f>
        <v>406.50664172767466</v>
      </c>
      <c r="T3" s="52">
        <f>T2*(1-Assumptions!$B$19)</f>
        <v>416.6693077708665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29.443999999999996</v>
      </c>
      <c r="G4" s="52">
        <f>G2-G3</f>
        <v>197.285</v>
      </c>
      <c r="H4" s="52">
        <f>H2-H3</f>
        <v>236.85200000000003</v>
      </c>
      <c r="I4" s="52">
        <f>I2-I3</f>
        <v>362.32899999999995</v>
      </c>
      <c r="J4" s="52">
        <f>J2-J3</f>
        <v>599.891</v>
      </c>
      <c r="K4" s="52">
        <f>K2-K3</f>
        <v>809.88547356</v>
      </c>
      <c r="L4" s="52">
        <f>L2-L3</f>
        <v>1064.0995249829998</v>
      </c>
      <c r="M4" s="52">
        <f>M2-M3</f>
        <v>1359.6827263671664</v>
      </c>
      <c r="N4" s="52">
        <f>N2-N3</f>
        <v>1688.272718572565</v>
      </c>
      <c r="O4" s="52">
        <f>O2-O3</f>
        <v>2035.3065551680368</v>
      </c>
      <c r="P4" s="52">
        <f>P2-P3</f>
        <v>2380.177943682621</v>
      </c>
      <c r="Q4" s="52">
        <f>Q2-Q3</f>
        <v>2697.5350028403036</v>
      </c>
      <c r="R4" s="52">
        <f>R2-R3</f>
        <v>2959.795350338667</v>
      </c>
      <c r="S4" s="52">
        <f>S2-S3</f>
        <v>3140.671732859363</v>
      </c>
      <c r="T4" s="52">
        <f>T2-T3</f>
        <v>3219.188526180847</v>
      </c>
    </row>
    <row r="5">
      <c r="A5" s="2" t="inlineStr">
        <is>
          <t>Research &amp; Dev.</t>
        </is>
      </c>
      <c r="B5" s="52" t="n">
        <v>56.357</v>
      </c>
      <c r="C5" s="52" t="n">
        <v>86.59699999999999</v>
      </c>
      <c r="D5" s="52" t="n">
        <v>135.001</v>
      </c>
      <c r="E5" s="52" t="n">
        <v>112.042</v>
      </c>
      <c r="F5" s="52" t="n">
        <v>99.297</v>
      </c>
      <c r="G5" s="52" t="n">
        <v>65.48999999999999</v>
      </c>
      <c r="H5" s="52" t="n">
        <v>76.09699999999999</v>
      </c>
      <c r="I5" s="52" t="n">
        <v>111.623</v>
      </c>
      <c r="J5" s="52" t="n">
        <v>96.85299999999999</v>
      </c>
      <c r="K5" s="52">
        <f>K7*Assumptions!$B$20</f>
        <v>127.82712026826721</v>
      </c>
      <c r="L5" s="52">
        <f>L7*Assumptions!$B$20</f>
        <v>166.24921311319656</v>
      </c>
      <c r="M5" s="52">
        <f>M7*Assumptions!$B$20</f>
        <v>210.25551354260136</v>
      </c>
      <c r="N5" s="52">
        <f>N7*Assumptions!$B$20</f>
        <v>258.3678339368468</v>
      </c>
      <c r="O5" s="52">
        <f>O7*Assumptions!$B$20</f>
        <v>308.2224662989838</v>
      </c>
      <c r="P5" s="52">
        <f>P7*Assumptions!$B$20</f>
        <v>356.6433146189117</v>
      </c>
      <c r="Q5" s="52">
        <f>Q7*Assumptions!$B$20</f>
        <v>399.88258882104657</v>
      </c>
      <c r="R5" s="52">
        <f>R7*Assumptions!$B$20</f>
        <v>434.0275592339649</v>
      </c>
      <c r="S5" s="52">
        <f>S7*Assumptions!$B$20</f>
        <v>455.52975358412016</v>
      </c>
      <c r="T5" s="52">
        <f>T7*Assumptions!$B$20</f>
        <v>461.7707425750604</v>
      </c>
    </row>
    <row r="6">
      <c r="A6" s="18" t="inlineStr">
        <is>
          <t>SG&amp;A &amp; Other</t>
        </is>
      </c>
      <c r="B6" s="52" t="n">
        <v>9.042999999999999</v>
      </c>
      <c r="C6" s="52" t="n">
        <v>21.563</v>
      </c>
      <c r="D6" s="52" t="n">
        <v>34.962</v>
      </c>
      <c r="E6" s="52" t="n">
        <v>45.321</v>
      </c>
      <c r="F6" s="52" t="n">
        <v>86.783</v>
      </c>
      <c r="G6" s="52" t="n">
        <v>122.022</v>
      </c>
      <c r="H6" s="52" t="n">
        <v>185.951</v>
      </c>
      <c r="I6" s="52" t="n">
        <v>296.322</v>
      </c>
      <c r="J6" s="52" t="n">
        <v>425.817</v>
      </c>
      <c r="K6" s="52">
        <f>K7-K5</f>
        <v>562.0116291557329</v>
      </c>
      <c r="L6" s="52">
        <f>L7-L5</f>
        <v>730.9402802122032</v>
      </c>
      <c r="M6" s="52">
        <f>M7-M5</f>
        <v>924.4207602976651</v>
      </c>
      <c r="N6" s="52">
        <f>N7-N5</f>
        <v>1135.9539897914144</v>
      </c>
      <c r="O6" s="52">
        <f>O7-O5</f>
        <v>1355.147562297799</v>
      </c>
      <c r="P6" s="52">
        <f>P7-P5</f>
        <v>1568.0372823530888</v>
      </c>
      <c r="Q6" s="52">
        <f>Q7-Q5</f>
        <v>1758.1454134511962</v>
      </c>
      <c r="R6" s="52">
        <f>R7-R5</f>
        <v>1908.2690367399418</v>
      </c>
      <c r="S6" s="52">
        <f>S7-S5</f>
        <v>2002.8067471396803</v>
      </c>
      <c r="T6" s="52">
        <f>T7-T5</f>
        <v>2030.2462168154439</v>
      </c>
    </row>
    <row r="7">
      <c r="A7" s="2" t="inlineStr">
        <is>
          <t>Operating Expense</t>
        </is>
      </c>
      <c r="B7" s="52">
        <f>SUM(B5:B6)</f>
        <v>65.4</v>
      </c>
      <c r="C7" s="52">
        <f>SUM(C5:C6)</f>
        <v>108.16</v>
      </c>
      <c r="D7" s="52">
        <f>SUM(D5:D6)</f>
        <v>169.96300000000002</v>
      </c>
      <c r="E7" s="52">
        <f>SUM(E5:E6)</f>
        <v>157.363</v>
      </c>
      <c r="F7" s="52">
        <f>SUM(F5:F6)</f>
        <v>186.07999999999998</v>
      </c>
      <c r="G7" s="52">
        <f>SUM(G5:G6)</f>
        <v>187.512</v>
      </c>
      <c r="H7" s="52">
        <f>SUM(H5:H6)</f>
        <v>262.048</v>
      </c>
      <c r="I7" s="52">
        <f>SUM(I5:I6)</f>
        <v>407.945</v>
      </c>
      <c r="J7" s="52">
        <f>SUM(J5:J6)</f>
        <v>522.67</v>
      </c>
      <c r="K7" s="52">
        <f>K4-K2*NPV!C6</f>
        <v>689.8387494240001</v>
      </c>
      <c r="L7" s="52">
        <f>L4-L2*NPV!D6</f>
        <v>897.1894933253998</v>
      </c>
      <c r="M7" s="52">
        <f>M4-M2*NPV!E6</f>
        <v>1134.6762738402665</v>
      </c>
      <c r="N7" s="52">
        <f>N4-N2*NPV!F6</f>
        <v>1394.3218237282613</v>
      </c>
      <c r="O7" s="52">
        <f>O4-O2*NPV!G6</f>
        <v>1663.3700285967827</v>
      </c>
      <c r="P7" s="52">
        <f>P4-P2*NPV!H6</f>
        <v>1924.6805969720006</v>
      </c>
      <c r="Q7" s="52">
        <f>Q4-Q2*NPV!I6</f>
        <v>2158.0280022722427</v>
      </c>
      <c r="R7" s="52">
        <f>R4-R2*NPV!J6</f>
        <v>2342.2965959739067</v>
      </c>
      <c r="S7" s="52">
        <f>S4-S2*NPV!K6</f>
        <v>2458.3365007238003</v>
      </c>
      <c r="T7" s="52">
        <f>T4-T2*NPV!L6</f>
        <v>2492.0169593905043</v>
      </c>
    </row>
    <row r="8">
      <c r="A8" s="2" t="inlineStr">
        <is>
          <t>Operating Income</t>
        </is>
      </c>
      <c r="B8" s="52">
        <f>B4-B7</f>
        <v>-65.4</v>
      </c>
      <c r="C8" s="52">
        <f>C4-C7</f>
        <v>-108.16</v>
      </c>
      <c r="D8" s="52">
        <f>D4-D7</f>
        <v>-169.96300000000002</v>
      </c>
      <c r="E8" s="52">
        <f>E4-E7</f>
        <v>-157.363</v>
      </c>
      <c r="F8" s="52">
        <f>F4-F7</f>
        <v>-156.636</v>
      </c>
      <c r="G8" s="52">
        <f>G4-G7</f>
        <v>9.772999999999996</v>
      </c>
      <c r="H8" s="52">
        <f>H4-H7</f>
        <v>-25.19599999999997</v>
      </c>
      <c r="I8" s="52">
        <f>I4-I7</f>
        <v>-45.61600000000004</v>
      </c>
      <c r="J8" s="52">
        <f>J4-J7</f>
        <v>77.221</v>
      </c>
      <c r="K8" s="52">
        <f>K4-K7</f>
        <v>120.04672413599997</v>
      </c>
      <c r="L8" s="52">
        <f>L4-L7</f>
        <v>166.91003165760003</v>
      </c>
      <c r="M8" s="52">
        <f>M4-M7</f>
        <v>225.00645252689992</v>
      </c>
      <c r="N8" s="52">
        <f>N4-N7</f>
        <v>293.9508948443038</v>
      </c>
      <c r="O8" s="52">
        <f>O4-O7</f>
        <v>371.93652657125403</v>
      </c>
      <c r="P8" s="52">
        <f>P4-P7</f>
        <v>455.4973467106204</v>
      </c>
      <c r="Q8" s="52">
        <f>Q4-Q7</f>
        <v>539.5070005680609</v>
      </c>
      <c r="R8" s="52">
        <f>R4-R7</f>
        <v>617.4987543647603</v>
      </c>
      <c r="S8" s="52">
        <f>S4-S7</f>
        <v>682.3352321355628</v>
      </c>
      <c r="T8" s="52">
        <f>T4-T7</f>
        <v>727.1715667903427</v>
      </c>
    </row>
    <row r="9">
      <c r="A9" s="18" t="inlineStr">
        <is>
          <t>Interest &amp; Other</t>
        </is>
      </c>
      <c r="B9" s="52" t="n">
        <v>0.529</v>
      </c>
      <c r="C9" s="52" t="n">
        <v>4.719</v>
      </c>
      <c r="D9" s="52" t="n">
        <v>6.049</v>
      </c>
      <c r="E9" s="52" t="n">
        <v>1.134</v>
      </c>
      <c r="F9" s="52" t="n">
        <v>0.097</v>
      </c>
      <c r="G9" s="52" t="n">
        <v>1.253</v>
      </c>
      <c r="H9" s="52" t="n">
        <v>8.544</v>
      </c>
      <c r="I9" s="52" t="n">
        <v>9.464</v>
      </c>
      <c r="J9" s="52" t="n">
        <v>11.647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-64.87100000000001</v>
      </c>
      <c r="C10" s="52">
        <f>C8+C9</f>
        <v>-103.441</v>
      </c>
      <c r="D10" s="52">
        <f>D8+D9</f>
        <v>-163.91400000000002</v>
      </c>
      <c r="E10" s="52">
        <f>E8+E9</f>
        <v>-156.229</v>
      </c>
      <c r="F10" s="52">
        <f>F8+F9</f>
        <v>-156.539</v>
      </c>
      <c r="G10" s="52">
        <f>G8+G9</f>
        <v>11.025999999999996</v>
      </c>
      <c r="H10" s="52">
        <f>H8+H9</f>
        <v>-16.65199999999997</v>
      </c>
      <c r="I10" s="52">
        <f>I8+I9</f>
        <v>-36.152000000000044</v>
      </c>
      <c r="J10" s="52">
        <f>J8+J9</f>
        <v>88.86800000000001</v>
      </c>
      <c r="K10" s="52">
        <f>K8+K9</f>
        <v>120.04672413599997</v>
      </c>
      <c r="L10" s="52">
        <f>L8+L9</f>
        <v>166.91003165760003</v>
      </c>
      <c r="M10" s="52">
        <f>M8+M9</f>
        <v>225.00645252689992</v>
      </c>
      <c r="N10" s="52">
        <f>N8+N9</f>
        <v>293.9508948443038</v>
      </c>
      <c r="O10" s="52">
        <f>O8+O9</f>
        <v>371.93652657125403</v>
      </c>
      <c r="P10" s="52">
        <f>P8+P9</f>
        <v>455.4973467106204</v>
      </c>
      <c r="Q10" s="52">
        <f>Q8+Q9</f>
        <v>539.5070005680609</v>
      </c>
      <c r="R10" s="52">
        <f>R8+R9</f>
        <v>617.4987543647603</v>
      </c>
      <c r="S10" s="52">
        <f>S8+S9</f>
        <v>682.3352321355628</v>
      </c>
      <c r="T10" s="52">
        <f>T8+T9</f>
        <v>727.1715667903427</v>
      </c>
    </row>
    <row r="11">
      <c r="A11" s="2" t="inlineStr">
        <is>
          <t>Taxes</t>
        </is>
      </c>
      <c r="B11" s="52" t="n">
        <v>0.002</v>
      </c>
      <c r="C11" s="52" t="n">
        <v>-0.214</v>
      </c>
      <c r="D11" s="52" t="n">
        <v>-2.047</v>
      </c>
      <c r="E11" s="52" t="n">
        <v>5.152</v>
      </c>
      <c r="F11" s="52" t="n">
        <v>1.385</v>
      </c>
      <c r="G11" s="52" t="n">
        <v>-172.337</v>
      </c>
      <c r="H11" s="52" t="n">
        <v>-30.736</v>
      </c>
      <c r="I11" s="52" t="n">
        <v>7.041</v>
      </c>
      <c r="J11" s="52" t="n">
        <v>29.863</v>
      </c>
      <c r="K11" s="52">
        <f>MAX(0,K10)*Assumptions!$E$14</f>
        <v>20.407943103119997</v>
      </c>
      <c r="L11" s="52">
        <f>MAX(0,L10)*Assumptions!$E$14</f>
        <v>28.37470538179201</v>
      </c>
      <c r="M11" s="52">
        <f>MAX(0,M10)*Assumptions!$E$14</f>
        <v>38.25109692957299</v>
      </c>
      <c r="N11" s="52">
        <f>MAX(0,N10)*Assumptions!$E$14</f>
        <v>49.97165212353165</v>
      </c>
      <c r="O11" s="52">
        <f>MAX(0,O10)*Assumptions!$E$14</f>
        <v>63.22920951711319</v>
      </c>
      <c r="P11" s="52">
        <f>MAX(0,P10)*Assumptions!$E$14</f>
        <v>77.43454894080547</v>
      </c>
      <c r="Q11" s="52">
        <f>MAX(0,Q10)*Assumptions!$E$14</f>
        <v>91.71619009657036</v>
      </c>
      <c r="R11" s="52">
        <f>MAX(0,R10)*Assumptions!$E$14</f>
        <v>104.97478824200927</v>
      </c>
      <c r="S11" s="52">
        <f>MAX(0,S10)*Assumptions!$E$14</f>
        <v>115.9969894630457</v>
      </c>
      <c r="T11" s="52">
        <f>MAX(0,T10)*Assumptions!$E$14</f>
        <v>123.61916635435827</v>
      </c>
    </row>
    <row r="12">
      <c r="A12" s="2" t="inlineStr">
        <is>
          <t>Net Income</t>
        </is>
      </c>
      <c r="B12" s="52" t="n">
        <v>-64.873</v>
      </c>
      <c r="C12" s="52" t="n">
        <v>-103.227</v>
      </c>
      <c r="D12" s="52" t="n">
        <v>-161.867</v>
      </c>
      <c r="E12" s="52" t="n">
        <v>-161.381</v>
      </c>
      <c r="F12" s="52" t="n">
        <v>-157.924</v>
      </c>
      <c r="G12" s="52" t="n">
        <v>183.363</v>
      </c>
      <c r="H12" s="52" t="n">
        <v>14.084</v>
      </c>
      <c r="I12" s="52" t="n">
        <v>-43.193</v>
      </c>
      <c r="J12" s="52" t="n">
        <v>59.005</v>
      </c>
      <c r="K12" s="52">
        <f>K10-K11</f>
        <v>99.63878103287996</v>
      </c>
      <c r="L12" s="52">
        <f>L10-L11</f>
        <v>138.53532627580802</v>
      </c>
      <c r="M12" s="52">
        <f>M10-M11</f>
        <v>186.75535559732694</v>
      </c>
      <c r="N12" s="52">
        <f>N10-N11</f>
        <v>243.97924272077213</v>
      </c>
      <c r="O12" s="52">
        <f>O10-O11</f>
        <v>308.70731705414084</v>
      </c>
      <c r="P12" s="52">
        <f>P10-P11</f>
        <v>378.0627977698149</v>
      </c>
      <c r="Q12" s="52">
        <f>Q10-Q11</f>
        <v>447.79081047149054</v>
      </c>
      <c r="R12" s="52">
        <f>R10-R11</f>
        <v>512.5239661227511</v>
      </c>
      <c r="S12" s="52">
        <f>S10-S11</f>
        <v>566.3382426725171</v>
      </c>
      <c r="T12" s="52">
        <f>T10-T11</f>
        <v>603.5524004359844</v>
      </c>
    </row>
    <row r="13">
      <c r="A13" s="2" t="inlineStr">
        <is>
          <t>Earnings per Share</t>
        </is>
      </c>
      <c r="B13" s="11">
        <f>IFERROR(B12/B14,0)</f>
        <v>-35.841436464088396</v>
      </c>
      <c r="C13" s="11">
        <f>IFERROR(C12/C14,0)</f>
        <v>-3.4936541780891464</v>
      </c>
      <c r="D13" s="11">
        <f>IFERROR(D12/D14,0)</f>
        <v>-2.9948195156247106</v>
      </c>
      <c r="E13" s="11">
        <f>IFERROR(E12/E14,0)</f>
        <v>-2.6095273515191693</v>
      </c>
      <c r="F13" s="11">
        <f>IFERROR(F12/F14,0)</f>
        <v>-2.3028712250462986</v>
      </c>
      <c r="G13" s="11">
        <f>IFERROR(G12/G14,0)</f>
        <v>2.603811363087715</v>
      </c>
      <c r="H13" s="11">
        <f>IFERROR(H12/H14,0)</f>
        <v>0.19582053028933719</v>
      </c>
      <c r="I13" s="11">
        <f>IFERROR(I12/I14,0)</f>
        <v>-0.6047407034050178</v>
      </c>
      <c r="J13" s="11">
        <f>IFERROR(J12/J14,0)</f>
        <v>0.7470973296699123</v>
      </c>
      <c r="K13" s="11">
        <f>IFERROR(K12/K14,0)</f>
        <v>0.6475263219217919</v>
      </c>
      <c r="L13" s="11">
        <f>IFERROR(L12/L14,0)</f>
        <v>0.9003047744031247</v>
      </c>
      <c r="M13" s="11">
        <f>IFERROR(M12/M14,0)</f>
        <v>1.2136741061618155</v>
      </c>
      <c r="N13" s="11">
        <f>IFERROR(N12/N14,0)</f>
        <v>1.58555714980207</v>
      </c>
      <c r="O13" s="11">
        <f>IFERROR(O12/O14,0)</f>
        <v>2.006207939220455</v>
      </c>
      <c r="P13" s="11">
        <f>IFERROR(P12/P14,0)</f>
        <v>2.456931029842353</v>
      </c>
      <c r="Q13" s="11">
        <f>IFERROR(Q12/Q14,0)</f>
        <v>2.9100751081980754</v>
      </c>
      <c r="R13" s="11">
        <f>IFERROR(R12/R14,0)</f>
        <v>3.330758919769591</v>
      </c>
      <c r="S13" s="11">
        <f>IFERROR(S12/S14,0)</f>
        <v>3.6804837979739244</v>
      </c>
      <c r="T13" s="11">
        <f>IFERROR(T12/T14,0)</f>
        <v>3.9223288551915894</v>
      </c>
    </row>
    <row r="14">
      <c r="A14" s="2" t="inlineStr">
        <is>
          <t>Shares</t>
        </is>
      </c>
      <c r="B14" s="52" t="n">
        <v>1.81</v>
      </c>
      <c r="C14" s="52" t="n">
        <v>29.547</v>
      </c>
      <c r="D14" s="52" t="n">
        <v>54.049</v>
      </c>
      <c r="E14" s="52" t="n">
        <v>61.843</v>
      </c>
      <c r="F14" s="52" t="n">
        <v>68.577</v>
      </c>
      <c r="G14" s="52" t="n">
        <v>70.42100000000001</v>
      </c>
      <c r="H14" s="52" t="n">
        <v>71.923</v>
      </c>
      <c r="I14" s="52" t="n">
        <v>71.42400000000001</v>
      </c>
      <c r="J14" s="52" t="n">
        <v>78.979</v>
      </c>
      <c r="K14" s="52">
        <f>Main!$C$4</f>
        <v>153.876032</v>
      </c>
      <c r="L14" s="52">
        <f>Main!$C$4</f>
        <v>153.876032</v>
      </c>
      <c r="M14" s="52">
        <f>Main!$C$4</f>
        <v>153.876032</v>
      </c>
      <c r="N14" s="52">
        <f>Main!$C$4</f>
        <v>153.876032</v>
      </c>
      <c r="O14" s="52">
        <f>Main!$C$4</f>
        <v>153.876032</v>
      </c>
      <c r="P14" s="52">
        <f>Main!$C$4</f>
        <v>153.876032</v>
      </c>
      <c r="Q14" s="52">
        <f>Main!$C$4</f>
        <v>153.876032</v>
      </c>
      <c r="R14" s="52">
        <f>Main!$C$4</f>
        <v>153.876032</v>
      </c>
      <c r="S14" s="52">
        <f>Main!$C$4</f>
        <v>153.876032</v>
      </c>
      <c r="T14" s="52">
        <f>Main!$C$4</f>
        <v>153.876032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4.712432544624326</v>
      </c>
      <c r="H16" s="15">
        <f>IFERROR(H2/G2-1,"")</f>
        <v>0.2274457262239986</v>
      </c>
      <c r="I16" s="15">
        <f>IFERROR(I2/H2-1,"")</f>
        <v>0.5660496042684979</v>
      </c>
      <c r="J16" s="15">
        <f>IFERROR(J2/I2-1,"")</f>
        <v>0.6009016182346145</v>
      </c>
      <c r="K16" s="15">
        <f>IFERROR(K2/J2-1,"")</f>
        <v>0.3500000000000001</v>
      </c>
      <c r="L16" s="15">
        <f>IFERROR(L2/K2-1,"")</f>
        <v>0.31388888888888866</v>
      </c>
      <c r="M16" s="15">
        <f>IFERROR(M2/L2-1,"")</f>
        <v>0.2777777777777777</v>
      </c>
      <c r="N16" s="15">
        <f>IFERROR(N2/M2-1,"")</f>
        <v>0.2416666666666667</v>
      </c>
      <c r="O16" s="15">
        <f>IFERROR(O2/N2-1,"")</f>
        <v>0.2055555555555555</v>
      </c>
      <c r="P16" s="15">
        <f>IFERROR(P2/O2-1,"")</f>
        <v>0.1694444444444445</v>
      </c>
      <c r="Q16" s="15">
        <f>IFERROR(Q2/P2-1,"")</f>
        <v>0.1333333333333333</v>
      </c>
      <c r="R16" s="15">
        <f>IFERROR(R2/Q2-1,"")</f>
        <v>0.09722222222222232</v>
      </c>
      <c r="S16" s="15">
        <f>IFERROR(S2/R2-1,"")</f>
        <v>0.061111111111111116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0.7639061851390618</v>
      </c>
      <c r="G17" s="15">
        <f>IFERROR(G4/G2,"")</f>
        <v>0.8960168952675084</v>
      </c>
      <c r="H17" s="15">
        <f>IFERROR(H4/H2,"")</f>
        <v>0.876388945419024</v>
      </c>
      <c r="I17" s="15">
        <f>IFERROR(I4/I2,"")</f>
        <v>0.8560860412202088</v>
      </c>
      <c r="J17" s="15">
        <f>IFERROR(J4/J2,"")</f>
        <v>0.8853643345868435</v>
      </c>
      <c r="K17" s="15">
        <f>IFERROR(K4/K2,"")</f>
        <v>0.8854</v>
      </c>
      <c r="L17" s="15">
        <f>IFERROR(L4/L2,"")</f>
        <v>0.8853999999999999</v>
      </c>
      <c r="M17" s="15">
        <f>IFERROR(M4/M2,"")</f>
        <v>0.8854</v>
      </c>
      <c r="N17" s="15">
        <f>IFERROR(N4/N2,"")</f>
        <v>0.8854</v>
      </c>
      <c r="O17" s="15">
        <f>IFERROR(O4/O2,"")</f>
        <v>0.8854</v>
      </c>
      <c r="P17" s="15">
        <f>IFERROR(P4/P2,"")</f>
        <v>0.8854000000000001</v>
      </c>
      <c r="Q17" s="15">
        <f>IFERROR(Q4/Q2,"")</f>
        <v>0.8854</v>
      </c>
      <c r="R17" s="15">
        <f>IFERROR(R4/R2,"")</f>
        <v>0.8854000000000001</v>
      </c>
      <c r="S17" s="15">
        <f>IFERROR(S4/S2,"")</f>
        <v>0.8854</v>
      </c>
      <c r="T17" s="15">
        <f>IFERROR(T4/T2,"")</f>
        <v>0.8854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-4.063823163138232</v>
      </c>
      <c r="G18" s="15">
        <f>IFERROR(G8/G2,"")</f>
        <v>0.04438641111817602</v>
      </c>
      <c r="H18" s="15">
        <f>IFERROR(H8/H2,"")</f>
        <v>-0.09322908765295501</v>
      </c>
      <c r="I18" s="15">
        <f>IFERROR(I8/I2,"")</f>
        <v>-0.10777834745852827</v>
      </c>
      <c r="J18" s="15">
        <f>IFERROR(J8/J2,"")</f>
        <v>0.11396856975872391</v>
      </c>
      <c r="K18" s="15">
        <f>IFERROR(K8/K2,"")</f>
        <v>0.13123999999999997</v>
      </c>
      <c r="L18" s="15">
        <f>IFERROR(L8/L2,"")</f>
        <v>0.13888000000000003</v>
      </c>
      <c r="M18" s="15">
        <f>IFERROR(M8/M2,"")</f>
        <v>0.14651999999999996</v>
      </c>
      <c r="N18" s="15">
        <f>IFERROR(N8/N2,"")</f>
        <v>0.15415999999999994</v>
      </c>
      <c r="O18" s="15">
        <f>IFERROR(O8/O2,"")</f>
        <v>0.16179999999999997</v>
      </c>
      <c r="P18" s="15">
        <f>IFERROR(P8/P2,"")</f>
        <v>0.16944</v>
      </c>
      <c r="Q18" s="15">
        <f>IFERROR(Q8/Q2,"")</f>
        <v>0.17708000000000004</v>
      </c>
      <c r="R18" s="15">
        <f>IFERROR(R8/R2,"")</f>
        <v>0.18472000000000008</v>
      </c>
      <c r="S18" s="15">
        <f>IFERROR(S8/S2,"")</f>
        <v>0.19236000000000006</v>
      </c>
      <c r="T18" s="15">
        <f>IFERROR(T8/T2,"")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Kiniksa Pharmaceuticals International,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0.1236</v>
      </c>
    </row>
    <row r="19">
      <c r="A19" s="14" t="inlineStr">
        <is>
          <t>Gross margin (forecast)</t>
        </is>
      </c>
      <c r="B19" s="53" t="n">
        <v>0.8854</v>
      </c>
    </row>
    <row r="20">
      <c r="A20" s="14" t="inlineStr">
        <is>
          <t>R&amp;D share of operating expense (forecast)</t>
        </is>
      </c>
      <c r="B20" s="53" t="n">
        <v>0.1853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0.7534</v>
      </c>
    </row>
    <row r="23">
      <c r="A23" s="14" t="inlineStr">
        <is>
          <t>Balance sheet date</t>
        </is>
      </c>
      <c r="B23" s="31" t="n">
        <v>46112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677.564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5040.830923467231</v>
      </c>
      <c r="C29" s="56">
        <f>NPV!B26</f>
        <v>5508.92392346723</v>
      </c>
      <c r="D29" s="35">
        <f>NPV!B28</f>
        <v>35.801052651703614</v>
      </c>
      <c r="E29" s="57">
        <f>NPV!B30</f>
        <v>-0.5695436737801658</v>
      </c>
    </row>
    <row r="30">
      <c r="A30" s="58" t="n">
        <v>1</v>
      </c>
      <c r="B30" s="59">
        <f t="dataTable" ref="B30:E32" r1="B4"/>
        <v>2547.2620815776745</v>
      </c>
      <c r="C30" s="59">
        <v>3015.3550815776744</v>
      </c>
      <c r="D30" s="39">
        <v>19.59600232983441</v>
      </c>
      <c r="E30" s="60">
        <v>-0.764386168933096</v>
      </c>
    </row>
    <row r="31">
      <c r="A31" s="58" t="n">
        <v>2</v>
      </c>
      <c r="B31" s="59">
        <v>5040.830923467231</v>
      </c>
      <c r="C31" s="59">
        <v>5508.92392346723</v>
      </c>
      <c r="D31" s="39">
        <v>35.801052651703614</v>
      </c>
      <c r="E31" s="60">
        <v>-0.5695436737801658</v>
      </c>
    </row>
    <row r="32">
      <c r="A32" s="58" t="n">
        <v>3</v>
      </c>
      <c r="B32" s="59">
        <v>9991.64989539477</v>
      </c>
      <c r="C32" s="59">
        <v>10459.742895394771</v>
      </c>
      <c r="D32" s="39">
        <v>67.97512750650323</v>
      </c>
      <c r="E32" s="60">
        <v>-0.18269655517009464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35.801052651703614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44.67683876100228</v>
      </c>
      <c r="C37" s="39">
        <v>48.203318669203675</v>
      </c>
      <c r="D37" s="39">
        <v>52.43389660684358</v>
      </c>
      <c r="E37" s="39">
        <v>57.60326383570656</v>
      </c>
      <c r="F37" s="39">
        <v>64.06345726230926</v>
      </c>
    </row>
    <row r="38">
      <c r="A38" s="62" t="n">
        <v>0.08500000000000001</v>
      </c>
      <c r="B38" s="39">
        <v>37.41744639620469</v>
      </c>
      <c r="C38" s="39">
        <v>39.84645885055562</v>
      </c>
      <c r="D38" s="39">
        <v>42.679333510908165</v>
      </c>
      <c r="E38" s="39">
        <v>46.02620803957195</v>
      </c>
      <c r="F38" s="39">
        <v>50.04127517210191</v>
      </c>
    </row>
    <row r="39">
      <c r="A39" s="62" t="n">
        <v>0.095</v>
      </c>
      <c r="B39" s="39">
        <v>32.050744104382716</v>
      </c>
      <c r="C39" s="39">
        <v>33.80126640304863</v>
      </c>
      <c r="D39" s="39">
        <v>35.801052651703614</v>
      </c>
      <c r="E39" s="39">
        <v>38.10761980297228</v>
      </c>
      <c r="F39" s="39">
        <v>40.79765713203633</v>
      </c>
    </row>
    <row r="40">
      <c r="A40" s="62" t="n">
        <v>0.105</v>
      </c>
      <c r="B40" s="39">
        <v>27.939904345434023</v>
      </c>
      <c r="C40" s="39">
        <v>29.245544477029004</v>
      </c>
      <c r="D40" s="39">
        <v>30.713702147898392</v>
      </c>
      <c r="E40" s="39">
        <v>32.37687618422286</v>
      </c>
      <c r="F40" s="39">
        <v>34.276850794019595</v>
      </c>
    </row>
    <row r="41">
      <c r="A41" s="62" t="n">
        <v>0.115</v>
      </c>
      <c r="B41" s="39">
        <v>24.703370414002972</v>
      </c>
      <c r="C41" s="39">
        <v>25.70385752300006</v>
      </c>
      <c r="D41" s="39">
        <v>26.814918992787586</v>
      </c>
      <c r="E41" s="39">
        <v>28.05606390533521</v>
      </c>
      <c r="F41" s="39">
        <v>29.4516786146716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Kiniksa Pharmaceuticals International, PLC: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0.11396856975872391</v>
      </c>
      <c r="C6" s="63">
        <f>Assumptions!$B$18+(Assumptions!$E$13-Assumptions!$B$18)*C4/Assumptions!$B$21</f>
        <v>0.13124</v>
      </c>
      <c r="D6" s="63">
        <f>Assumptions!$B$18+(Assumptions!$E$13-Assumptions!$B$18)*D4/Assumptions!$B$21</f>
        <v>0.13888</v>
      </c>
      <c r="E6" s="63">
        <f>Assumptions!$B$18+(Assumptions!$E$13-Assumptions!$B$18)*E4/Assumptions!$B$21</f>
        <v>0.14652</v>
      </c>
      <c r="F6" s="63">
        <f>Assumptions!$B$18+(Assumptions!$E$13-Assumptions!$B$18)*F4/Assumptions!$B$21</f>
        <v>0.15416000000000002</v>
      </c>
      <c r="G6" s="63">
        <f>Assumptions!$B$18+(Assumptions!$E$13-Assumptions!$B$18)*G4/Assumptions!$B$21</f>
        <v>0.1618</v>
      </c>
      <c r="H6" s="63">
        <f>Assumptions!$B$18+(Assumptions!$E$13-Assumptions!$B$18)*H4/Assumptions!$B$21</f>
        <v>0.16944</v>
      </c>
      <c r="I6" s="63">
        <f>Assumptions!$B$18+(Assumptions!$E$13-Assumptions!$B$18)*I4/Assumptions!$B$21</f>
        <v>0.17708000000000002</v>
      </c>
      <c r="J6" s="63">
        <f>Assumptions!$B$18+(Assumptions!$E$13-Assumptions!$B$18)*J4/Assumptions!$B$21</f>
        <v>0.18472</v>
      </c>
      <c r="K6" s="63">
        <f>Assumptions!$B$18+(Assumptions!$E$13-Assumptions!$B$18)*K4/Assumptions!$B$21</f>
        <v>0.19236000000000003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Model'!J2</f>
        <v>677.564</v>
      </c>
      <c r="C7" s="55">
        <f>'Yearly Model'!K2</f>
        <v>914.7114</v>
      </c>
      <c r="D7" s="55">
        <f>'Yearly Model'!L2</f>
        <v>1201.829145</v>
      </c>
      <c r="E7" s="55">
        <f>'Yearly Model'!M2</f>
        <v>1535.6705741666665</v>
      </c>
      <c r="F7" s="55">
        <f>'Yearly Model'!N2</f>
        <v>1906.790962923611</v>
      </c>
      <c r="G7" s="55">
        <f>'Yearly Model'!O2</f>
        <v>2298.7424386356865</v>
      </c>
      <c r="H7" s="55">
        <f>'Yearly Model'!P2</f>
        <v>2688.251574071178</v>
      </c>
      <c r="I7" s="55">
        <f>'Yearly Model'!Q2</f>
        <v>3046.6851172806682</v>
      </c>
      <c r="J7" s="55">
        <f>'Yearly Model'!R2</f>
        <v>3342.890614794067</v>
      </c>
      <c r="K7" s="55">
        <f>'Yearly Model'!S2</f>
        <v>3547.178374587038</v>
      </c>
      <c r="L7" s="55">
        <f>'Yearly Model'!T2</f>
        <v>3635.8578339517135</v>
      </c>
    </row>
    <row r="8">
      <c r="A8" s="14" t="inlineStr">
        <is>
          <t>Operating income</t>
        </is>
      </c>
      <c r="B8" s="55">
        <f>'Yearly Model'!J8</f>
        <v>77.221</v>
      </c>
      <c r="C8" s="55">
        <f>'Yearly Model'!K8</f>
        <v>120.04672413599997</v>
      </c>
      <c r="D8" s="55">
        <f>'Yearly Model'!L8</f>
        <v>166.91003165760003</v>
      </c>
      <c r="E8" s="55">
        <f>'Yearly Model'!M8</f>
        <v>225.00645252689992</v>
      </c>
      <c r="F8" s="55">
        <f>'Yearly Model'!N8</f>
        <v>293.9508948443038</v>
      </c>
      <c r="G8" s="55">
        <f>'Yearly Model'!O8</f>
        <v>371.93652657125403</v>
      </c>
      <c r="H8" s="55">
        <f>'Yearly Model'!P8</f>
        <v>455.4973467106204</v>
      </c>
      <c r="I8" s="55">
        <f>'Yearly Model'!Q8</f>
        <v>539.5070005680609</v>
      </c>
      <c r="J8" s="55">
        <f>'Yearly Model'!R8</f>
        <v>617.4987543647603</v>
      </c>
      <c r="K8" s="55">
        <f>'Yearly Model'!S8</f>
        <v>682.3352321355628</v>
      </c>
      <c r="L8" s="55">
        <f>'Yearly Model'!T8</f>
        <v>727.1715667903427</v>
      </c>
    </row>
    <row r="9">
      <c r="A9" s="14" t="inlineStr">
        <is>
          <t>Tax on operating income</t>
        </is>
      </c>
      <c r="C9" s="52">
        <f>MAX(0,C8)*Assumptions!$E$14</f>
        <v>20.407943103119997</v>
      </c>
      <c r="D9" s="52">
        <f>MAX(0,D8)*Assumptions!$E$14</f>
        <v>28.37470538179201</v>
      </c>
      <c r="E9" s="52">
        <f>MAX(0,E8)*Assumptions!$E$14</f>
        <v>38.25109692957299</v>
      </c>
      <c r="F9" s="52">
        <f>MAX(0,F8)*Assumptions!$E$14</f>
        <v>49.97165212353165</v>
      </c>
      <c r="G9" s="52">
        <f>MAX(0,G8)*Assumptions!$E$14</f>
        <v>63.22920951711319</v>
      </c>
      <c r="H9" s="52">
        <f>MAX(0,H8)*Assumptions!$E$14</f>
        <v>77.43454894080547</v>
      </c>
      <c r="I9" s="52">
        <f>MAX(0,I8)*Assumptions!$E$14</f>
        <v>91.71619009657036</v>
      </c>
      <c r="J9" s="52">
        <f>MAX(0,J8)*Assumptions!$E$14</f>
        <v>104.97478824200927</v>
      </c>
      <c r="K9" s="52">
        <f>MAX(0,K8)*Assumptions!$E$14</f>
        <v>115.9969894630457</v>
      </c>
      <c r="L9" s="52">
        <f>MAX(0,L8)*Assumptions!$E$14</f>
        <v>123.61916635435827</v>
      </c>
    </row>
    <row r="10">
      <c r="A10" s="14" t="inlineStr">
        <is>
          <t>NOPAT</t>
        </is>
      </c>
      <c r="C10" s="52">
        <f>C8-C9</f>
        <v>99.63878103287996</v>
      </c>
      <c r="D10" s="52">
        <f>D8-D9</f>
        <v>138.53532627580802</v>
      </c>
      <c r="E10" s="52">
        <f>E8-E9</f>
        <v>186.75535559732694</v>
      </c>
      <c r="F10" s="52">
        <f>F8-F9</f>
        <v>243.97924272077213</v>
      </c>
      <c r="G10" s="52">
        <f>G8-G9</f>
        <v>308.70731705414084</v>
      </c>
      <c r="H10" s="52">
        <f>H8-H9</f>
        <v>378.0627977698149</v>
      </c>
      <c r="I10" s="52">
        <f>I8-I9</f>
        <v>447.79081047149054</v>
      </c>
      <c r="J10" s="52">
        <f>J8-J9</f>
        <v>512.5239661227511</v>
      </c>
      <c r="K10" s="52">
        <f>K8-K9</f>
        <v>566.3382426725171</v>
      </c>
      <c r="L10" s="52">
        <f>L8-L9</f>
        <v>603.5524004359844</v>
      </c>
    </row>
    <row r="11">
      <c r="A11" s="14" t="inlineStr">
        <is>
          <t>Reinvestment</t>
        </is>
      </c>
      <c r="C11" s="52">
        <f>(C7-B7)*Assumptions!$E$15</f>
        <v>59.286850000000015</v>
      </c>
      <c r="D11" s="52">
        <f>(D7-C7)*Assumptions!$E$15</f>
        <v>71.77943624999997</v>
      </c>
      <c r="E11" s="52">
        <f>(E7-D7)*Assumptions!$E$15</f>
        <v>83.46035729166664</v>
      </c>
      <c r="F11" s="52">
        <f>(F7-E7)*Assumptions!$E$15</f>
        <v>92.78009718923613</v>
      </c>
      <c r="G11" s="52">
        <f>(G7-F7)*Assumptions!$E$15</f>
        <v>97.98786892801888</v>
      </c>
      <c r="H11" s="52">
        <f>(H7-G7)*Assumptions!$E$15</f>
        <v>97.37728385887283</v>
      </c>
      <c r="I11" s="52">
        <f>(I7-H7)*Assumptions!$E$15</f>
        <v>89.6083858023726</v>
      </c>
      <c r="J11" s="52">
        <f>(J7-I7)*Assumptions!$E$15</f>
        <v>74.05137437834969</v>
      </c>
      <c r="K11" s="52">
        <f>(K7-J7)*Assumptions!$E$15</f>
        <v>51.07193994824274</v>
      </c>
      <c r="L11" s="52">
        <f>(L7-K7)*Assumptions!$E$15</f>
        <v>22.169864841168874</v>
      </c>
    </row>
    <row r="12">
      <c r="A12" s="20" t="inlineStr">
        <is>
          <t>Free cash flow</t>
        </is>
      </c>
      <c r="C12" s="64">
        <f>C10-C11</f>
        <v>40.351931032879946</v>
      </c>
      <c r="D12" s="64">
        <f>D10-D11</f>
        <v>66.75589002580804</v>
      </c>
      <c r="E12" s="64">
        <f>E10-E11</f>
        <v>103.2949983056603</v>
      </c>
      <c r="F12" s="64">
        <f>F10-F11</f>
        <v>151.199145531536</v>
      </c>
      <c r="G12" s="64">
        <f>G10-G11</f>
        <v>210.71944812612196</v>
      </c>
      <c r="H12" s="64">
        <f>H10-H11</f>
        <v>280.68551391094206</v>
      </c>
      <c r="I12" s="64">
        <f>I10-I11</f>
        <v>358.18242466911795</v>
      </c>
      <c r="J12" s="64">
        <f>J10-J11</f>
        <v>438.47259174440137</v>
      </c>
      <c r="K12" s="64">
        <f>K10-K11</f>
        <v>515.2663027242744</v>
      </c>
      <c r="L12" s="64">
        <f>L10-L11</f>
        <v>581.3825355948155</v>
      </c>
    </row>
    <row r="13">
      <c r="A13" s="14" t="inlineStr">
        <is>
          <t>Year fraction</t>
        </is>
      </c>
      <c r="C13" s="46">
        <f>Assumptions!$B$22</f>
        <v>0.7534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0.3767</v>
      </c>
      <c r="D14" s="11">
        <f>C14+C13/2+D13/2</f>
        <v>1.2534</v>
      </c>
      <c r="E14" s="11">
        <f>D14+D13/2+E13/2</f>
        <v>2.2534</v>
      </c>
      <c r="F14" s="11">
        <f>E14+E13/2+F13/2</f>
        <v>3.2534</v>
      </c>
      <c r="G14" s="11">
        <f>F14+F13/2+G13/2</f>
        <v>4.2534</v>
      </c>
      <c r="H14" s="11">
        <f>G14+G13/2+H13/2</f>
        <v>5.2534</v>
      </c>
      <c r="I14" s="11">
        <f>H14+H13/2+I13/2</f>
        <v>6.2534</v>
      </c>
      <c r="J14" s="11">
        <f>I14+I13/2+J13/2</f>
        <v>7.2534</v>
      </c>
      <c r="K14" s="11">
        <f>J14+J13/2+K13/2</f>
        <v>8.2534</v>
      </c>
      <c r="L14" s="11">
        <f>K14+K13/2+L13/2</f>
        <v>9.2534</v>
      </c>
    </row>
    <row r="15">
      <c r="A15" s="14" t="inlineStr">
        <is>
          <t>Discount factor</t>
        </is>
      </c>
      <c r="C15" s="65">
        <f>1/(1+Assumptions!$E$10)^C14</f>
        <v>0.9663906096898575</v>
      </c>
      <c r="D15" s="65">
        <f>1/(1+Assumptions!$E$10)^D14</f>
        <v>0.892479692649861</v>
      </c>
      <c r="E15" s="65">
        <f>1/(1+Assumptions!$E$10)^E14</f>
        <v>0.8150499476254439</v>
      </c>
      <c r="F15" s="65">
        <f>1/(1+Assumptions!$E$10)^F14</f>
        <v>0.7443378517127341</v>
      </c>
      <c r="G15" s="65">
        <f>1/(1+Assumptions!$E$10)^G14</f>
        <v>0.6797605951714467</v>
      </c>
      <c r="H15" s="65">
        <f>1/(1+Assumptions!$E$10)^H14</f>
        <v>0.6207859316634218</v>
      </c>
      <c r="I15" s="65">
        <f>1/(1+Assumptions!$E$10)^I14</f>
        <v>0.5669277914734445</v>
      </c>
      <c r="J15" s="65">
        <f>1/(1+Assumptions!$E$10)^J14</f>
        <v>0.5177422753182142</v>
      </c>
      <c r="K15" s="65">
        <f>1/(1+Assumptions!$E$10)^K14</f>
        <v>0.4728239957243965</v>
      </c>
      <c r="L15" s="65">
        <f>1/(1+Assumptions!$E$10)^L14</f>
        <v>0.4318027358213667</v>
      </c>
    </row>
    <row r="16">
      <c r="A16" s="20" t="inlineStr">
        <is>
          <t>PV of free cash flow</t>
        </is>
      </c>
      <c r="C16" s="64">
        <f>C12*C13*C15</f>
        <v>29.37938089736324</v>
      </c>
      <c r="D16" s="64">
        <f>D12*D13*D15</f>
        <v>59.578276212801086</v>
      </c>
      <c r="E16" s="64">
        <f>E12*E13*E15</f>
        <v>84.19058295899875</v>
      </c>
      <c r="F16" s="64">
        <f>F12*F13*F15</f>
        <v>112.54324716574456</v>
      </c>
      <c r="G16" s="64">
        <f>G12*G13*G15</f>
        <v>143.23877747241144</v>
      </c>
      <c r="H16" s="64">
        <f>H12*H13*H15</f>
        <v>174.2456182576305</v>
      </c>
      <c r="I16" s="64">
        <f>I12*I13*I15</f>
        <v>203.06357096226645</v>
      </c>
      <c r="J16" s="64">
        <f>J12*J13*J15</f>
        <v>227.01579731442078</v>
      </c>
      <c r="K16" s="64">
        <f>K12*K13*K15</f>
        <v>243.6302721162279</v>
      </c>
      <c r="L16" s="64">
        <f>L12*L13*L15</f>
        <v>251.04256942860445</v>
      </c>
    </row>
    <row r="19">
      <c r="A19" s="14" t="inlineStr">
        <is>
          <t>PV of forecast free cash flow</t>
        </is>
      </c>
      <c r="B19" s="52">
        <f>SUM(C16:L16)</f>
        <v>1527.9280927864693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595.9170989846857</v>
      </c>
    </row>
    <row r="21">
      <c r="A21" s="14" t="inlineStr">
        <is>
          <t>Terminal value</t>
        </is>
      </c>
      <c r="B21" s="52">
        <f>B20/(Assumptions!$E$10-Assumptions!$E$11)</f>
        <v>8513.101414066938</v>
      </c>
    </row>
    <row r="22">
      <c r="A22" s="14" t="inlineStr">
        <is>
          <t>PV of terminal value</t>
        </is>
      </c>
      <c r="B22" s="52">
        <f>B21/(1+Assumptions!$E$10)^(L14+0.5)</f>
        <v>3512.902830680762</v>
      </c>
    </row>
    <row r="23">
      <c r="A23" s="20" t="inlineStr">
        <is>
          <t>Enterprise value</t>
        </is>
      </c>
      <c r="B23" s="66">
        <f>B19+B22</f>
        <v>5040.830923467231</v>
      </c>
    </row>
    <row r="24">
      <c r="A24" s="14" t="inlineStr">
        <is>
          <t>Cash &amp; investments</t>
        </is>
      </c>
      <c r="B24" s="55">
        <f>Main!C7</f>
        <v>468.093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5508.92392346723</v>
      </c>
    </row>
    <row r="27">
      <c r="A27" s="14" t="inlineStr">
        <is>
          <t>Shares (mm)</t>
        </is>
      </c>
      <c r="B27" s="55">
        <f>Main!C4</f>
        <v>153.876032</v>
      </c>
    </row>
    <row r="28">
      <c r="A28" s="20" t="inlineStr">
        <is>
          <t>NPV / share</t>
        </is>
      </c>
      <c r="B28" s="49">
        <f>B26/B27</f>
        <v>35.801052651703614</v>
      </c>
    </row>
    <row r="29">
      <c r="A29" s="14" t="inlineStr">
        <is>
          <t>Price</t>
        </is>
      </c>
      <c r="B29" s="50">
        <f>Main!C3</f>
        <v>83.17</v>
      </c>
    </row>
    <row r="30">
      <c r="A30" s="14" t="inlineStr">
        <is>
          <t>Upside</t>
        </is>
      </c>
      <c r="B30" s="63">
        <f>B28/B29-1</f>
        <v>-0.5695436737801658</v>
      </c>
    </row>
    <row r="31">
      <c r="A31" s="14" t="inlineStr">
        <is>
          <t>Terminal value, % of EV</t>
        </is>
      </c>
      <c r="B31" s="63">
        <f>IFERROR(B22/B23,0)</f>
        <v>0.6968896366523011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2026-10-21T06:21:22Z</dcterms:modified>
  <cp:lastModifiedBy>Wang, Eric</cp:lastModifiedBy>
</cp:coreProperties>
</file>