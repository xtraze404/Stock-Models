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Tevogen Inc</t>
        </is>
      </c>
      <c r="C2" s="10" t="n"/>
    </row>
    <row r="3">
      <c r="B3" t="inlineStr">
        <is>
          <t>Price</t>
        </is>
      </c>
      <c r="C3" s="11">
        <f>INDEX([1]Pharma!$F$1:$F$1000,MATCH("TVGN",[1]Pharma!$B$1:$B$1000,0))</f>
        <v>6.43</v>
      </c>
      <c r="F3" s="1" t="n"/>
    </row>
    <row r="4">
      <c r="B4" t="inlineStr">
        <is>
          <t>Shares</t>
        </is>
      </c>
      <c r="C4" s="21" t="n">
        <v>6.51154</v>
      </c>
      <c r="F4" s="1" t="n"/>
    </row>
    <row r="5">
      <c r="B5" t="inlineStr">
        <is>
          <t>Market Cap.</t>
        </is>
      </c>
      <c r="C5" s="13">
        <f>C3*C4</f>
        <v>41.8692022</v>
      </c>
      <c r="F5" s="1" t="n"/>
    </row>
    <row r="6"/>
    <row r="7">
      <c r="B7" t="inlineStr">
        <is>
          <t>Cash</t>
        </is>
      </c>
      <c r="C7" s="21" t="n">
        <v>1.082155</v>
      </c>
    </row>
    <row r="8">
      <c r="B8" t="inlineStr">
        <is>
          <t>Debt</t>
        </is>
      </c>
      <c r="C8" s="21" t="n">
        <v>1.651</v>
      </c>
    </row>
    <row r="9">
      <c r="B9" t="inlineStr">
        <is>
          <t>Enterprise V.</t>
        </is>
      </c>
      <c r="C9" s="13">
        <f>C5-C7+C8</f>
        <v>42.4380472</v>
      </c>
    </row>
    <row r="10"/>
    <row r="11">
      <c r="B11" s="14" t="inlineStr">
        <is>
          <t>Net Cash / Share</t>
        </is>
      </c>
      <c r="C11" s="11">
        <f>(C7-C8)/C4</f>
        <v>-0.08735951863921593</v>
      </c>
    </row>
    <row r="12">
      <c r="B12" s="14" t="inlineStr">
        <is>
          <t>Upside</t>
        </is>
      </c>
      <c r="C12" s="15">
        <f>IFERROR(C11/C3-1,"")</f>
        <v>-1.0135862392907022</v>
      </c>
    </row>
    <row r="13">
      <c r="B13" s="14" t="inlineStr">
        <is>
          <t>Cash / Share</t>
        </is>
      </c>
      <c r="C13" s="11">
        <f>IFERROR((C7-C8)/C4,"")</f>
        <v>-0.08735951863921593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-11.57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42.4380472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4.404</v>
      </c>
      <c r="D5" s="23" t="n">
        <v>31.033</v>
      </c>
      <c r="E5" s="23" t="n">
        <v>11.112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0.953</v>
      </c>
      <c r="C6" s="23" t="n">
        <v>4.439</v>
      </c>
      <c r="D6" s="23" t="n">
        <v>22.531</v>
      </c>
      <c r="E6" s="23" t="n">
        <v>15.029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0.953</v>
      </c>
      <c r="C7" s="23">
        <f>SUM(C5:C6)</f>
        <v>8.843</v>
      </c>
      <c r="D7" s="23">
        <f>SUM(D5:D6)</f>
        <v>53.564</v>
      </c>
      <c r="E7" s="23">
        <f>SUM(E5:E6)</f>
        <v>26.141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-0.953</v>
      </c>
      <c r="C8" s="23">
        <f>C4-C7</f>
        <v>-8.843</v>
      </c>
      <c r="D8" s="23">
        <f>D4-D7</f>
        <v>-53.564</v>
      </c>
      <c r="E8" s="23">
        <f>E4-E7</f>
        <v>-26.141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5.361</v>
      </c>
      <c r="C9" s="23" t="n">
        <v>-51.635</v>
      </c>
      <c r="D9" s="23" t="n">
        <v>39.839</v>
      </c>
      <c r="E9" s="23" t="n">
        <v>-0.13</v>
      </c>
    </row>
    <row r="10">
      <c r="A10" s="2" t="inlineStr">
        <is>
          <t>Pretax</t>
        </is>
      </c>
      <c r="B10" s="23">
        <f>B8+B9</f>
        <v>4.4079999999999995</v>
      </c>
      <c r="C10" s="23">
        <f>C8+C9</f>
        <v>-60.477999999999994</v>
      </c>
      <c r="D10" s="23">
        <f>D8+D9</f>
        <v>-13.725000000000001</v>
      </c>
      <c r="E10" s="23">
        <f>E8+E9</f>
        <v>-26.270999999999997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0.002</v>
      </c>
      <c r="E11" s="23" t="n">
        <v>0.005</v>
      </c>
    </row>
    <row r="12">
      <c r="A12" s="2" t="inlineStr">
        <is>
          <t>Net Income</t>
        </is>
      </c>
      <c r="B12" s="23" t="n">
        <v>4.408</v>
      </c>
      <c r="C12" s="23" t="n">
        <v>-60.478</v>
      </c>
      <c r="D12" s="23" t="n">
        <v>-13.727</v>
      </c>
      <c r="E12" s="23" t="n">
        <v>-26.275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-2.4433581124757597</v>
      </c>
      <c r="D13" s="11">
        <f>IFERROR(D12/D14,0)</f>
        <v>-4.68019093078759</v>
      </c>
      <c r="E13" s="11">
        <f>IFERROR(E12/E14,0)</f>
        <v>-7.914156626506024</v>
      </c>
    </row>
    <row r="14">
      <c r="A14" s="2" t="inlineStr">
        <is>
          <t>Shares</t>
        </is>
      </c>
      <c r="B14" s="23" t="n"/>
      <c r="C14" s="23" t="n">
        <v>24.752</v>
      </c>
      <c r="D14" s="23" t="n">
        <v>2.933</v>
      </c>
      <c r="E14" s="23" t="n">
        <v>3.32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2026-10-21T01:06:14Z</dcterms:modified>
  <cp:lastModifiedBy>Wang, Eric</cp:lastModifiedBy>
</cp:coreProperties>
</file>