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Rhythm Pharmaceuticals, Inc.</t>
        </is>
      </c>
      <c r="C2" s="10" t="n"/>
    </row>
    <row r="3">
      <c r="B3" t="inlineStr">
        <is>
          <t>Price</t>
        </is>
      </c>
      <c r="C3" s="11">
        <f>INDEX([1]Pharma!$F$1:$F$1000,MATCH("RYTM",[1]Pharma!$B$1:$B$1000,0))</f>
        <v>90.2</v>
      </c>
      <c r="F3" s="1" t="n"/>
    </row>
    <row r="4">
      <c r="B4" t="inlineStr">
        <is>
          <t>Shares</t>
        </is>
      </c>
      <c r="C4" s="51" t="n">
        <v>68.852082</v>
      </c>
      <c r="F4" s="1" t="n"/>
    </row>
    <row r="5">
      <c r="B5" t="inlineStr">
        <is>
          <t>Market Cap.</t>
        </is>
      </c>
      <c r="C5" s="13">
        <f>C3*C4</f>
        <v>6210.4577964</v>
      </c>
      <c r="F5" s="1" t="n"/>
    </row>
    <row r="6"/>
    <row r="7">
      <c r="B7" t="inlineStr">
        <is>
          <t>Cash</t>
        </is>
      </c>
      <c r="C7" s="51">
        <f>65.614+265.283</f>
        <v>330.89700000000005</v>
      </c>
    </row>
    <row r="8">
      <c r="B8" t="inlineStr">
        <is>
          <t>Debt</t>
        </is>
      </c>
      <c r="C8" s="51">
        <f>12.703+93.399</f>
        <v>106.102</v>
      </c>
    </row>
    <row r="9">
      <c r="B9" t="inlineStr">
        <is>
          <t>Enterprise V.</t>
        </is>
      </c>
      <c r="C9" s="13">
        <f>C5-C7+C8</f>
        <v>5985.6627964</v>
      </c>
    </row>
    <row r="10"/>
    <row r="11">
      <c r="B11" s="14" t="inlineStr">
        <is>
          <t>NPV / Share</t>
        </is>
      </c>
      <c r="C11" s="11">
        <f>NPV!B28</f>
        <v>3.7457419713281723</v>
      </c>
    </row>
    <row r="12">
      <c r="B12" s="14" t="inlineStr">
        <is>
          <t>Upside</t>
        </is>
      </c>
      <c r="C12" s="15">
        <f>IFERROR(C11/C3-1,"")</f>
        <v>-0.9584729271471378</v>
      </c>
    </row>
    <row r="13">
      <c r="B13" s="14" t="inlineStr">
        <is>
          <t>Cash / Share</t>
        </is>
      </c>
      <c r="C13" s="11">
        <f>IFERROR((C7-C8)/C4,"")</f>
        <v>3.264897639551409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3.154</v>
      </c>
      <c r="I2" s="52" t="n">
        <v>23.638</v>
      </c>
      <c r="J2" s="52" t="n">
        <v>77.428</v>
      </c>
      <c r="K2" s="52" t="n">
        <v>130.126</v>
      </c>
      <c r="L2" s="52" t="n">
        <v>189.757</v>
      </c>
      <c r="M2" s="52">
        <f>L2*(1+NPV!C5)</f>
        <v>256.17195000000004</v>
      </c>
      <c r="N2" s="52">
        <f>M2*(1+NPV!D5)</f>
        <v>336.58147875000003</v>
      </c>
      <c r="O2" s="52">
        <f>N2*(1+NPV!E5)</f>
        <v>430.07633395833335</v>
      </c>
      <c r="P2" s="52">
        <f>O2*(1+NPV!F5)</f>
        <v>534.011447998264</v>
      </c>
      <c r="Q2" s="52">
        <f>P2*(1+NPV!G5)</f>
        <v>643.7804678645738</v>
      </c>
      <c r="R2" s="52">
        <f>Q2*(1+NPV!H5)</f>
        <v>752.865491586071</v>
      </c>
      <c r="S2" s="52">
        <f>R2*(1+NPV!I5)</f>
        <v>853.2475571308804</v>
      </c>
      <c r="T2" s="52">
        <f>S2*(1+NPV!J5)</f>
        <v>936.2021807408272</v>
      </c>
      <c r="U2" s="52">
        <f>T2*(1+NPV!K5)</f>
        <v>993.4145362305444</v>
      </c>
      <c r="V2" s="52">
        <f>U2*(1+NPV!L5)</f>
        <v>1018.2498996363079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0.599</v>
      </c>
      <c r="I3" s="52" t="n">
        <v>2.133</v>
      </c>
      <c r="J3" s="52" t="n">
        <v>9.302</v>
      </c>
      <c r="K3" s="52" t="n">
        <v>13.368</v>
      </c>
      <c r="L3" s="52" t="n">
        <v>19.492</v>
      </c>
      <c r="M3" s="52">
        <f>M2*(1-Assumptions!$B$19)</f>
        <v>26.308859265000006</v>
      </c>
      <c r="N3" s="52">
        <f>N2*(1-Assumptions!$B$19)</f>
        <v>34.56691786762501</v>
      </c>
      <c r="O3" s="52">
        <f>O2*(1-Assumptions!$B$19)</f>
        <v>44.16883949752084</v>
      </c>
      <c r="P3" s="52">
        <f>P2*(1-Assumptions!$B$19)</f>
        <v>54.842975709421715</v>
      </c>
      <c r="Q3" s="52">
        <f>Q2*(1-Assumptions!$B$19)</f>
        <v>66.11625404969173</v>
      </c>
      <c r="R3" s="52">
        <f>R2*(1-Assumptions!$B$19)</f>
        <v>77.31928598588951</v>
      </c>
      <c r="S3" s="52">
        <f>S2*(1-Assumptions!$B$19)</f>
        <v>87.62852411734143</v>
      </c>
      <c r="T3" s="52">
        <f>T2*(1-Assumptions!$B$19)</f>
        <v>96.14796396208297</v>
      </c>
      <c r="U3" s="52">
        <f>U2*(1-Assumptions!$B$19)</f>
        <v>102.02367287087692</v>
      </c>
      <c r="V3" s="52">
        <f>V2*(1-Assumptions!$B$19)</f>
        <v>104.57426469264884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2.5549999999999997</v>
      </c>
      <c r="I4" s="52">
        <f>I2-I3</f>
        <v>21.505000000000003</v>
      </c>
      <c r="J4" s="52">
        <f>J2-J3</f>
        <v>68.126</v>
      </c>
      <c r="K4" s="52">
        <f>K2-K3</f>
        <v>116.75800000000001</v>
      </c>
      <c r="L4" s="52">
        <f>L2-L3</f>
        <v>170.26500000000001</v>
      </c>
      <c r="M4" s="52">
        <f>M2-M3</f>
        <v>229.86309073500004</v>
      </c>
      <c r="N4" s="52">
        <f>N2-N3</f>
        <v>302.014560882375</v>
      </c>
      <c r="O4" s="52">
        <f>O2-O3</f>
        <v>385.90749446081253</v>
      </c>
      <c r="P4" s="52">
        <f>P2-P3</f>
        <v>479.1684722888423</v>
      </c>
      <c r="Q4" s="52">
        <f>Q2-Q3</f>
        <v>577.664213814882</v>
      </c>
      <c r="R4" s="52">
        <f>R2-R3</f>
        <v>675.5462056001816</v>
      </c>
      <c r="S4" s="52">
        <f>S2-S3</f>
        <v>765.619033013539</v>
      </c>
      <c r="T4" s="52">
        <f>T2-T3</f>
        <v>840.0542167787443</v>
      </c>
      <c r="U4" s="52">
        <f>U2-U3</f>
        <v>891.3908633596675</v>
      </c>
      <c r="V4" s="52">
        <f>V2-V3</f>
        <v>913.675634943659</v>
      </c>
    </row>
    <row r="5">
      <c r="A5" s="2" t="inlineStr">
        <is>
          <t>Research &amp; Dev.</t>
        </is>
      </c>
      <c r="B5" s="52" t="n">
        <v>7.148</v>
      </c>
      <c r="C5" s="52" t="n">
        <v>19.594</v>
      </c>
      <c r="D5" s="52" t="n">
        <v>22.894</v>
      </c>
      <c r="E5" s="52" t="n">
        <v>50.337</v>
      </c>
      <c r="F5" s="52" t="n">
        <v>109.45</v>
      </c>
      <c r="G5" s="52" t="n">
        <v>90.45</v>
      </c>
      <c r="H5" s="52" t="n">
        <v>104.128</v>
      </c>
      <c r="I5" s="52" t="n">
        <v>108.63</v>
      </c>
      <c r="J5" s="52" t="n">
        <v>134.951</v>
      </c>
      <c r="K5" s="52" t="n">
        <v>237.957</v>
      </c>
      <c r="L5" s="52" t="n">
        <v>167.34</v>
      </c>
      <c r="M5" s="52">
        <f>M7*Assumptions!$B$20</f>
        <v>192.8568935403054</v>
      </c>
      <c r="N5" s="52">
        <f>N7*Assumptions!$B$20</f>
        <v>237.28304057894675</v>
      </c>
      <c r="O5" s="52">
        <f>O7*Assumptions!$B$20</f>
        <v>282.61064925345306</v>
      </c>
      <c r="P5" s="52">
        <f>P7*Assumptions!$B$20</f>
        <v>325.3493252460517</v>
      </c>
      <c r="Q5" s="52">
        <f>Q7*Assumptions!$B$20</f>
        <v>361.4140155788183</v>
      </c>
      <c r="R5" s="52">
        <f>R7*Assumptions!$B$20</f>
        <v>386.6199057812061</v>
      </c>
      <c r="S5" s="52">
        <f>S7*Assumptions!$B$20</f>
        <v>397.33102541932595</v>
      </c>
      <c r="T5" s="52">
        <f>T7*Assumptions!$B$20</f>
        <v>391.1518488700395</v>
      </c>
      <c r="U5" s="52">
        <f>U7*Assumptions!$B$20</f>
        <v>367.5086889482528</v>
      </c>
      <c r="V5" s="52">
        <f>V7*Assumptions!$B$20</f>
        <v>327.96085005207397</v>
      </c>
    </row>
    <row r="6">
      <c r="A6" s="18" t="inlineStr">
        <is>
          <t>SG&amp;A &amp; Other</t>
        </is>
      </c>
      <c r="B6" s="52" t="n">
        <v>3.425</v>
      </c>
      <c r="C6" s="52" t="n">
        <v>6.311</v>
      </c>
      <c r="D6" s="52" t="n">
        <v>9.518000000000001</v>
      </c>
      <c r="E6" s="52" t="n">
        <v>28.08</v>
      </c>
      <c r="F6" s="52" t="n">
        <v>36.55</v>
      </c>
      <c r="G6" s="52" t="n">
        <v>46.125</v>
      </c>
      <c r="H6" s="52" t="n">
        <v>68.486</v>
      </c>
      <c r="I6" s="52" t="n">
        <v>92.032</v>
      </c>
      <c r="J6" s="52" t="n">
        <v>117.532</v>
      </c>
      <c r="K6" s="52" t="n">
        <v>144.304</v>
      </c>
      <c r="L6" s="52" t="n">
        <v>194.941</v>
      </c>
      <c r="M6" s="52">
        <f>M7-M5</f>
        <v>224.67264432569465</v>
      </c>
      <c r="N6" s="52">
        <f>N7-N5</f>
        <v>276.4278071780283</v>
      </c>
      <c r="O6" s="52">
        <f>O7-O5</f>
        <v>329.23314648903033</v>
      </c>
      <c r="P6" s="52">
        <f>P7-P5</f>
        <v>379.02245489261844</v>
      </c>
      <c r="Q6" s="52">
        <f>Q7-Q5</f>
        <v>421.0367650637846</v>
      </c>
      <c r="R6" s="52">
        <f>R7-R5</f>
        <v>450.400890454356</v>
      </c>
      <c r="S6" s="52">
        <f>S7-S5</f>
        <v>462.87903177774257</v>
      </c>
      <c r="T6" s="52">
        <f>T7-T5</f>
        <v>455.6804716972684</v>
      </c>
      <c r="U6" s="52">
        <f>U7-U5</f>
        <v>428.1368814095148</v>
      </c>
      <c r="V6" s="52">
        <f>V7-V5</f>
        <v>382.06480496432346</v>
      </c>
    </row>
    <row r="7">
      <c r="A7" s="2" t="inlineStr">
        <is>
          <t>Operating Expense</t>
        </is>
      </c>
      <c r="B7" s="52">
        <f>SUM(B5:B6)</f>
        <v>10.573</v>
      </c>
      <c r="C7" s="52">
        <f>SUM(C5:C6)</f>
        <v>25.905</v>
      </c>
      <c r="D7" s="52">
        <f>SUM(D5:D6)</f>
        <v>32.412</v>
      </c>
      <c r="E7" s="52">
        <f>SUM(E5:E6)</f>
        <v>78.417</v>
      </c>
      <c r="F7" s="52">
        <f>SUM(F5:F6)</f>
        <v>146.0</v>
      </c>
      <c r="G7" s="52">
        <f>SUM(G5:G6)</f>
        <v>136.575</v>
      </c>
      <c r="H7" s="52">
        <f>SUM(H5:H6)</f>
        <v>172.614</v>
      </c>
      <c r="I7" s="52">
        <f>SUM(I5:I6)</f>
        <v>200.66199999999998</v>
      </c>
      <c r="J7" s="52">
        <f>SUM(J5:J6)</f>
        <v>252.483</v>
      </c>
      <c r="K7" s="52">
        <f>SUM(K5:K6)</f>
        <v>382.26099999999997</v>
      </c>
      <c r="L7" s="52">
        <f>SUM(L5:L6)</f>
        <v>362.281</v>
      </c>
      <c r="M7" s="52">
        <f>M4-M2*NPV!C6</f>
        <v>417.52953786600006</v>
      </c>
      <c r="N7" s="52">
        <f>N4-N2*NPV!D6</f>
        <v>513.710847756975</v>
      </c>
      <c r="O7" s="52">
        <f>O4-O2*NPV!E6</f>
        <v>611.8437957424834</v>
      </c>
      <c r="P7" s="52">
        <f>P4-P2*NPV!F6</f>
        <v>704.3717801386701</v>
      </c>
      <c r="Q7" s="52">
        <f>Q4-Q2*NPV!G6</f>
        <v>782.4507806426029</v>
      </c>
      <c r="R7" s="52">
        <f>R4-R2*NPV!H6</f>
        <v>837.0207962355621</v>
      </c>
      <c r="S7" s="52">
        <f>S4-S2*NPV!I6</f>
        <v>860.2100571970685</v>
      </c>
      <c r="T7" s="52">
        <f>T4-T2*NPV!J6</f>
        <v>846.8323205673079</v>
      </c>
      <c r="U7" s="52">
        <f>U4-U2*NPV!K6</f>
        <v>795.6455703577676</v>
      </c>
      <c r="V7" s="52">
        <f>V4-V2*NPV!L6</f>
        <v>710.0256550163974</v>
      </c>
    </row>
    <row r="8">
      <c r="A8" s="2" t="inlineStr">
        <is>
          <t>Operating Income</t>
        </is>
      </c>
      <c r="B8" s="52">
        <f>B4-B7</f>
        <v>-10.573</v>
      </c>
      <c r="C8" s="52">
        <f>C4-C7</f>
        <v>-25.905</v>
      </c>
      <c r="D8" s="52">
        <f>D4-D7</f>
        <v>-32.412</v>
      </c>
      <c r="E8" s="52">
        <f>E4-E7</f>
        <v>-78.417</v>
      </c>
      <c r="F8" s="52">
        <f>F4-F7</f>
        <v>-146.0</v>
      </c>
      <c r="G8" s="52">
        <f>G4-G7</f>
        <v>-136.575</v>
      </c>
      <c r="H8" s="52">
        <f>H4-H7</f>
        <v>-170.059</v>
      </c>
      <c r="I8" s="52">
        <f>I4-I7</f>
        <v>-179.15699999999998</v>
      </c>
      <c r="J8" s="52">
        <f>J4-J7</f>
        <v>-184.357</v>
      </c>
      <c r="K8" s="52">
        <f>K4-K7</f>
        <v>-265.50299999999993</v>
      </c>
      <c r="L8" s="52">
        <f>L4-L7</f>
        <v>-192.016</v>
      </c>
      <c r="M8" s="52">
        <f>M4-M7</f>
        <v>-187.666447131</v>
      </c>
      <c r="N8" s="52">
        <f>N4-N7</f>
        <v>-211.6962868746</v>
      </c>
      <c r="O8" s="52">
        <f>O4-O7</f>
        <v>-225.93630128167086</v>
      </c>
      <c r="P8" s="52">
        <f>P4-P7</f>
        <v>-225.20330784982787</v>
      </c>
      <c r="Q8" s="52">
        <f>Q4-Q7</f>
        <v>-204.7865668277209</v>
      </c>
      <c r="R8" s="52">
        <f>R4-R7</f>
        <v>-161.47459063538054</v>
      </c>
      <c r="S8" s="52">
        <f>S4-S7</f>
        <v>-94.5910241835295</v>
      </c>
      <c r="T8" s="52">
        <f>T4-T7</f>
        <v>-6.778103788563612</v>
      </c>
      <c r="U8" s="52">
        <f>U4-U7</f>
        <v>95.74529300189988</v>
      </c>
      <c r="V8" s="52">
        <f>V4-V7</f>
        <v>203.6499799272616</v>
      </c>
    </row>
    <row r="9">
      <c r="A9" s="18" t="inlineStr">
        <is>
          <t>Interest &amp; Other</t>
        </is>
      </c>
      <c r="B9" s="52" t="n">
        <v>-1.427</v>
      </c>
      <c r="C9" s="52" t="n">
        <v>-3.169</v>
      </c>
      <c r="D9" s="52" t="n">
        <v>-1.297</v>
      </c>
      <c r="E9" s="52" t="n">
        <v>4.353</v>
      </c>
      <c r="F9" s="52" t="n">
        <v>5.271</v>
      </c>
      <c r="G9" s="52" t="n">
        <v>2.579</v>
      </c>
      <c r="H9" s="52" t="n">
        <v>169.989</v>
      </c>
      <c r="I9" s="52" t="n">
        <v>178.976</v>
      </c>
      <c r="J9" s="52" t="n">
        <v>184.736</v>
      </c>
      <c r="K9" s="52" t="n">
        <v>265.588</v>
      </c>
      <c r="L9" s="52" t="n">
        <v>192.316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-12.0</v>
      </c>
      <c r="C10" s="52">
        <f>C8+C9</f>
        <v>-29.074</v>
      </c>
      <c r="D10" s="52">
        <f>D8+D9</f>
        <v>-33.708999999999996</v>
      </c>
      <c r="E10" s="52">
        <f>E8+E9</f>
        <v>-74.06400000000001</v>
      </c>
      <c r="F10" s="52">
        <f>F8+F9</f>
        <v>-140.729</v>
      </c>
      <c r="G10" s="52">
        <f>G8+G9</f>
        <v>-133.99599999999998</v>
      </c>
      <c r="H10" s="52">
        <f>H8+H9</f>
        <v>-0.06999999999999318</v>
      </c>
      <c r="I10" s="52">
        <f>I8+I9</f>
        <v>-0.18099999999998317</v>
      </c>
      <c r="J10" s="52">
        <f>J8+J9</f>
        <v>0.3789999999999907</v>
      </c>
      <c r="K10" s="52">
        <f>K8+K9</f>
        <v>0.08500000000009322</v>
      </c>
      <c r="L10" s="52">
        <f>L8+L9</f>
        <v>0.30000000000001137</v>
      </c>
      <c r="M10" s="52">
        <f>M8+M9</f>
        <v>-187.666447131</v>
      </c>
      <c r="N10" s="52">
        <f>N8+N9</f>
        <v>-211.6962868746</v>
      </c>
      <c r="O10" s="52">
        <f>O8+O9</f>
        <v>-225.93630128167086</v>
      </c>
      <c r="P10" s="52">
        <f>P8+P9</f>
        <v>-225.20330784982787</v>
      </c>
      <c r="Q10" s="52">
        <f>Q8+Q9</f>
        <v>-204.7865668277209</v>
      </c>
      <c r="R10" s="52">
        <f>R8+R9</f>
        <v>-161.47459063538054</v>
      </c>
      <c r="S10" s="52">
        <f>S8+S9</f>
        <v>-94.5910241835295</v>
      </c>
      <c r="T10" s="52">
        <f>T8+T9</f>
        <v>-6.778103788563612</v>
      </c>
      <c r="U10" s="52">
        <f>U8+U9</f>
        <v>95.74529300189988</v>
      </c>
      <c r="V10" s="52">
        <f>V8+V9</f>
        <v>203.6499799272616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0.5639999999999999</v>
      </c>
      <c r="K11" s="52" t="n">
        <v>0.346</v>
      </c>
      <c r="L11" s="52" t="n">
        <v>0.497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16.27669981032298</v>
      </c>
      <c r="V11" s="52">
        <f>MAX(0,V10)*Assumptions!$E$14</f>
        <v>34.62049658763448</v>
      </c>
    </row>
    <row r="12">
      <c r="A12" s="2" t="inlineStr">
        <is>
          <t>Net Income</t>
        </is>
      </c>
      <c r="B12" s="52" t="n">
        <v>-12</v>
      </c>
      <c r="C12" s="52" t="n">
        <v>-29.074</v>
      </c>
      <c r="D12" s="52" t="n">
        <v>-33.709</v>
      </c>
      <c r="E12" s="52" t="n">
        <v>-74.06399999999999</v>
      </c>
      <c r="F12" s="52" t="n">
        <v>-140.729</v>
      </c>
      <c r="G12" s="52" t="n">
        <v>-133.996</v>
      </c>
      <c r="H12" s="52" t="n">
        <v>-0.07000000000000001</v>
      </c>
      <c r="I12" s="52" t="n">
        <v>-0.181</v>
      </c>
      <c r="J12" s="52" t="n">
        <v>-0.185</v>
      </c>
      <c r="K12" s="52" t="n">
        <v>-0.261</v>
      </c>
      <c r="L12" s="52" t="n">
        <v>-0.197</v>
      </c>
      <c r="M12" s="52">
        <f>M10-M11</f>
        <v>-187.666447131</v>
      </c>
      <c r="N12" s="52">
        <f>N10-N11</f>
        <v>-211.6962868746</v>
      </c>
      <c r="O12" s="52">
        <f>O10-O11</f>
        <v>-225.93630128167086</v>
      </c>
      <c r="P12" s="52">
        <f>P10-P11</f>
        <v>-225.20330784982787</v>
      </c>
      <c r="Q12" s="52">
        <f>Q10-Q11</f>
        <v>-204.7865668277209</v>
      </c>
      <c r="R12" s="52">
        <f>R10-R11</f>
        <v>-161.47459063538054</v>
      </c>
      <c r="S12" s="52">
        <f>S10-S11</f>
        <v>-94.5910241835295</v>
      </c>
      <c r="T12" s="52">
        <f>T10-T11</f>
        <v>-6.778103788563612</v>
      </c>
      <c r="U12" s="52">
        <f>U10-U11</f>
        <v>79.4685931915769</v>
      </c>
      <c r="V12" s="52">
        <f>V10-V11</f>
        <v>169.02948333962712</v>
      </c>
    </row>
    <row r="13">
      <c r="A13" s="2" t="inlineStr">
        <is>
          <t>Earnings per Share</t>
        </is>
      </c>
      <c r="B13" s="11">
        <f>IFERROR(B12/B14,0)</f>
        <v>-1.1769321302471558</v>
      </c>
      <c r="C13" s="11">
        <f>IFERROR(C12/C14,0)</f>
        <v>-2.8515103962338175</v>
      </c>
      <c r="D13" s="11">
        <f>IFERROR(D12/D14,0)</f>
        <v>-2.54062405788363</v>
      </c>
      <c r="E13" s="11">
        <f>IFERROR(E12/E14,0)</f>
        <v>-2.388853051219197</v>
      </c>
      <c r="F13" s="11">
        <f>IFERROR(F12/F14,0)</f>
        <v>-3.8638460271264625</v>
      </c>
      <c r="G13" s="11">
        <f>IFERROR(G12/G14,0)</f>
        <v>-3.0365989076982345</v>
      </c>
      <c r="H13" s="11">
        <f>IFERROR(H12/H14,0)</f>
        <v>-0.0014112903225806453</v>
      </c>
      <c r="I13" s="11">
        <f>IFERROR(I12/I14,0)</f>
        <v>-0.003472688551639454</v>
      </c>
      <c r="J13" s="11">
        <f>IFERROR(J12/J14,0)</f>
        <v>-0.003207740190383715</v>
      </c>
      <c r="K13" s="11">
        <f>IFERROR(K12/K14,0)</f>
        <v>-0.004279039265513567</v>
      </c>
      <c r="L13" s="11">
        <f>IFERROR(L12/L14,0)</f>
        <v>-0.0030315154499569127</v>
      </c>
      <c r="M13" s="11">
        <f>IFERROR(M12/M14,0)</f>
        <v>-2.725646657003052</v>
      </c>
      <c r="N13" s="11">
        <f>IFERROR(N12/N14,0)</f>
        <v>-3.0746533833878837</v>
      </c>
      <c r="O13" s="11">
        <f>IFERROR(O12/O14,0)</f>
        <v>-3.281473772741845</v>
      </c>
      <c r="P13" s="11">
        <f>IFERROR(P12/P14,0)</f>
        <v>-3.2708278574615637</v>
      </c>
      <c r="Q13" s="11">
        <f>IFERROR(Q12/Q14,0)</f>
        <v>-2.9742973760433404</v>
      </c>
      <c r="R13" s="11">
        <f>IFERROR(R12/R14,0)</f>
        <v>-2.3452390391822946</v>
      </c>
      <c r="S13" s="11">
        <f>IFERROR(S12/S14,0)</f>
        <v>-1.3738295406016845</v>
      </c>
      <c r="T13" s="11">
        <f>IFERROR(T12/T14,0)</f>
        <v>-0.09844442741126715</v>
      </c>
      <c r="U13" s="11">
        <f>IFERROR(U12/U14,0)</f>
        <v>1.154193030670836</v>
      </c>
      <c r="V13" s="11">
        <f>IFERROR(V12/V14,0)</f>
        <v>2.4549654626221344</v>
      </c>
    </row>
    <row r="14">
      <c r="A14" s="2" t="inlineStr">
        <is>
          <t>Shares</t>
        </is>
      </c>
      <c r="B14" s="52" t="n">
        <v>10.196</v>
      </c>
      <c r="C14" s="52" t="n">
        <v>10.196</v>
      </c>
      <c r="D14" s="52" t="n">
        <v>13.268</v>
      </c>
      <c r="E14" s="52" t="n">
        <v>31.004</v>
      </c>
      <c r="F14" s="52" t="n">
        <v>36.422</v>
      </c>
      <c r="G14" s="52" t="n">
        <v>44.127</v>
      </c>
      <c r="H14" s="52" t="n">
        <v>49.6</v>
      </c>
      <c r="I14" s="52" t="n">
        <v>52.121</v>
      </c>
      <c r="J14" s="52" t="n">
        <v>57.673</v>
      </c>
      <c r="K14" s="52" t="n">
        <v>60.995</v>
      </c>
      <c r="L14" s="52" t="n">
        <v>64.98399999999999</v>
      </c>
      <c r="M14" s="52">
        <f>Main!$C$4</f>
        <v>68.852082</v>
      </c>
      <c r="N14" s="52">
        <f>Main!$C$4</f>
        <v>68.852082</v>
      </c>
      <c r="O14" s="52">
        <f>Main!$C$4</f>
        <v>68.852082</v>
      </c>
      <c r="P14" s="52">
        <f>Main!$C$4</f>
        <v>68.852082</v>
      </c>
      <c r="Q14" s="52">
        <f>Main!$C$4</f>
        <v>68.852082</v>
      </c>
      <c r="R14" s="52">
        <f>Main!$C$4</f>
        <v>68.852082</v>
      </c>
      <c r="S14" s="52">
        <f>Main!$C$4</f>
        <v>68.852082</v>
      </c>
      <c r="T14" s="52">
        <f>Main!$C$4</f>
        <v>68.852082</v>
      </c>
      <c r="U14" s="52">
        <f>Main!$C$4</f>
        <v>68.852082</v>
      </c>
      <c r="V14" s="52">
        <f>Main!$C$4</f>
        <v>68.852082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6.494610019023463</v>
      </c>
      <c r="J16" s="15">
        <f>IFERROR(J2/I2-1,"")</f>
        <v>2.2755732295456466</v>
      </c>
      <c r="K16" s="15">
        <f>IFERROR(K2/J2-1,"")</f>
        <v>0.6806064989409517</v>
      </c>
      <c r="L16" s="15">
        <f>IFERROR(L2/K2-1,"")</f>
        <v>0.45825584433549027</v>
      </c>
      <c r="M16" s="15">
        <f>IFERROR(M2/L2-1,"")</f>
        <v>0.3500000000000001</v>
      </c>
      <c r="N16" s="15">
        <f>IFERROR(N2/M2-1,"")</f>
        <v>0.3138888888888889</v>
      </c>
      <c r="O16" s="15">
        <f>IFERROR(O2/N2-1,"")</f>
        <v>0.2777777777777777</v>
      </c>
      <c r="P16" s="15">
        <f>IFERROR(P2/O2-1,"")</f>
        <v>0.24166666666666692</v>
      </c>
      <c r="Q16" s="15">
        <f>IFERROR(Q2/P2-1,"")</f>
        <v>0.2055555555555555</v>
      </c>
      <c r="R16" s="15">
        <f>IFERROR(R2/Q2-1,"")</f>
        <v>0.1694444444444445</v>
      </c>
      <c r="S16" s="15">
        <f>IFERROR(S2/R2-1,"")</f>
        <v>0.1333333333333333</v>
      </c>
      <c r="T16" s="15">
        <f>IFERROR(T2/S2-1,"")</f>
        <v>0.09722222222222232</v>
      </c>
      <c r="U16" s="15">
        <f>IFERROR(U2/T2-1,"")</f>
        <v>0.061111111111111116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0.8100824350031705</v>
      </c>
      <c r="I17" s="15">
        <f>IFERROR(I4/I2,"")</f>
        <v>0.9097639394195787</v>
      </c>
      <c r="J17" s="15">
        <f>IFERROR(J4/J2,"")</f>
        <v>0.8798625820116754</v>
      </c>
      <c r="K17" s="15">
        <f>IFERROR(K4/K2,"")</f>
        <v>0.8972688010082536</v>
      </c>
      <c r="L17" s="15">
        <f>IFERROR(L4/L2,"")</f>
        <v>0.8972791517572475</v>
      </c>
      <c r="M17" s="15">
        <f>IFERROR(M4/M2,"")</f>
        <v>0.8973</v>
      </c>
      <c r="N17" s="15">
        <f>IFERROR(N4/N2,"")</f>
        <v>0.8973</v>
      </c>
      <c r="O17" s="15">
        <f>IFERROR(O4/O2,"")</f>
        <v>0.8973</v>
      </c>
      <c r="P17" s="15">
        <f>IFERROR(P4/P2,"")</f>
        <v>0.8973</v>
      </c>
      <c r="Q17" s="15">
        <f>IFERROR(Q4/Q2,"")</f>
        <v>0.8973</v>
      </c>
      <c r="R17" s="15">
        <f>IFERROR(R4/R2,"")</f>
        <v>0.8973000000000001</v>
      </c>
      <c r="S17" s="15">
        <f>IFERROR(S4/S2,"")</f>
        <v>0.8973</v>
      </c>
      <c r="T17" s="15">
        <f>IFERROR(T4/T2,"")</f>
        <v>0.8973</v>
      </c>
      <c r="U17" s="15">
        <f>IFERROR(U4/U2,"")</f>
        <v>0.8973</v>
      </c>
      <c r="V17" s="15">
        <f>IFERROR(V4/V2,"")</f>
        <v>0.8973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-53.91851616994293</v>
      </c>
      <c r="I18" s="15">
        <f>IFERROR(I8/I2,"")</f>
        <v>-7.579194517302647</v>
      </c>
      <c r="J18" s="15">
        <f>IFERROR(J8/J2,"")</f>
        <v>-2.381012036989203</v>
      </c>
      <c r="K18" s="15">
        <f>IFERROR(K8/K2,"")</f>
        <v>-2.0403531961329784</v>
      </c>
      <c r="L18" s="15">
        <f>IFERROR(L8/L2,"")</f>
        <v>-1.011904699167883</v>
      </c>
      <c r="M18" s="15">
        <f>IFERROR(M8/M2,"")</f>
        <v>-0.7325799999999999</v>
      </c>
      <c r="N18" s="15">
        <f>IFERROR(N8/N2,"")</f>
        <v>-0.62896</v>
      </c>
      <c r="O18" s="15">
        <f>IFERROR(O8/O2,"")</f>
        <v>-0.52534</v>
      </c>
      <c r="P18" s="15">
        <f>IFERROR(P8/P2,"")</f>
        <v>-0.42172</v>
      </c>
      <c r="Q18" s="15">
        <f>IFERROR(Q8/Q2,"")</f>
        <v>-0.31809999999999994</v>
      </c>
      <c r="R18" s="15">
        <f>IFERROR(R8/R2,"")</f>
        <v>-0.21448000000000003</v>
      </c>
      <c r="S18" s="15">
        <f>IFERROR(S8/S2,"")</f>
        <v>-0.11086000000000011</v>
      </c>
      <c r="T18" s="15">
        <f>IFERROR(T8/T2,"")</f>
        <v>-0.007240000000000025</v>
      </c>
      <c r="U18" s="15">
        <f>IFERROR(U8/U2,"")</f>
        <v>0.09638000000000001</v>
      </c>
      <c r="V18" s="15">
        <f>IFERROR(V8/V2,"")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Rhythm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-0.8362000000000001</v>
      </c>
    </row>
    <row r="19">
      <c r="A19" s="14" t="inlineStr">
        <is>
          <t>Gross margin (forecast)</t>
        </is>
      </c>
      <c r="B19" s="53" t="n">
        <v>0.8973</v>
      </c>
    </row>
    <row r="20">
      <c r="A20" s="14" t="inlineStr">
        <is>
          <t>R&amp;D share of operating expense (forecast)</t>
        </is>
      </c>
      <c r="B20" s="53" t="n">
        <v>0.4619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189.757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33.10713336072888</v>
      </c>
      <c r="C29" s="56">
        <f>NPV!B26</f>
        <v>257.90213336072895</v>
      </c>
      <c r="D29" s="35">
        <f>NPV!B28</f>
        <v>3.7457419713281723</v>
      </c>
      <c r="E29" s="57">
        <f>NPV!B30</f>
        <v>-0.9584729271471378</v>
      </c>
    </row>
    <row r="30">
      <c r="A30" s="58" t="n">
        <v>1</v>
      </c>
      <c r="B30" s="59">
        <f t="dataTable" ref="B30:E32" r1="B4"/>
        <v>-481.22489364085476</v>
      </c>
      <c r="C30" s="59">
        <v>-256.42989364085474</v>
      </c>
      <c r="D30" s="39">
        <v>-3.7243593249780704</v>
      </c>
      <c r="E30" s="60">
        <v>-1.0412900146893356</v>
      </c>
    </row>
    <row r="31">
      <c r="A31" s="58" t="n">
        <v>2</v>
      </c>
      <c r="B31" s="59">
        <v>33.10713336072888</v>
      </c>
      <c r="C31" s="59">
        <v>257.90213336072895</v>
      </c>
      <c r="D31" s="39">
        <v>3.7457419713281723</v>
      </c>
      <c r="E31" s="60">
        <v>-0.9584729271471378</v>
      </c>
    </row>
    <row r="32">
      <c r="A32" s="58" t="n">
        <v>3</v>
      </c>
      <c r="B32" s="59">
        <v>1210.4972173732667</v>
      </c>
      <c r="C32" s="59">
        <v>1435.2922173732666</v>
      </c>
      <c r="D32" s="39">
        <v>20.84602492301201</v>
      </c>
      <c r="E32" s="60">
        <v>-0.768891076241552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3.7457419713281723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8.18935580106526</v>
      </c>
      <c r="C37" s="39">
        <v>10.340904318615234</v>
      </c>
      <c r="D37" s="39">
        <v>12.940498078464127</v>
      </c>
      <c r="E37" s="39">
        <v>16.13769663091213</v>
      </c>
      <c r="F37" s="39">
        <v>20.156841736325124</v>
      </c>
    </row>
    <row r="38">
      <c r="A38" s="62" t="n">
        <v>0.08500000000000001</v>
      </c>
      <c r="B38" s="39">
        <v>4.275870282973602</v>
      </c>
      <c r="C38" s="39">
        <v>5.736246798691028</v>
      </c>
      <c r="D38" s="39">
        <v>7.453966809578599</v>
      </c>
      <c r="E38" s="39">
        <v>9.499376640971951</v>
      </c>
      <c r="F38" s="39">
        <v>11.970962966276746</v>
      </c>
    </row>
    <row r="39">
      <c r="A39" s="62" t="n">
        <v>0.095</v>
      </c>
      <c r="B39" s="39">
        <v>1.518933208755163</v>
      </c>
      <c r="C39" s="39">
        <v>2.552840892782508</v>
      </c>
      <c r="D39" s="39">
        <v>3.7457419713281723</v>
      </c>
      <c r="E39" s="39">
        <v>5.134455463293533</v>
      </c>
      <c r="F39" s="39">
        <v>6.768074808775541</v>
      </c>
    </row>
    <row r="40">
      <c r="A40" s="62" t="n">
        <v>0.105</v>
      </c>
      <c r="B40" s="39">
        <v>-0.47945376083946784</v>
      </c>
      <c r="C40" s="39">
        <v>0.27562263549523924</v>
      </c>
      <c r="D40" s="39">
        <v>1.1344252111900928</v>
      </c>
      <c r="E40" s="39">
        <v>2.1178034257152043</v>
      </c>
      <c r="F40" s="39">
        <v>3.2525648604583703</v>
      </c>
    </row>
    <row r="41">
      <c r="A41" s="62" t="n">
        <v>0.115</v>
      </c>
      <c r="B41" s="39">
        <v>-1.9570775557440196</v>
      </c>
      <c r="C41" s="39">
        <v>-1.3925188222043148</v>
      </c>
      <c r="D41" s="39">
        <v>-0.757373718994933</v>
      </c>
      <c r="E41" s="39">
        <v>-0.03909951828527359</v>
      </c>
      <c r="F41" s="39">
        <v>0.7779831173584901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Rhythm Pharmaceuticals, Inc.: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-1.011904699167883</v>
      </c>
      <c r="C6" s="63">
        <f>Assumptions!$B$18+(Assumptions!$E$13-Assumptions!$B$18)*C4/Assumptions!$B$21</f>
        <v>-0.73258</v>
      </c>
      <c r="D6" s="63">
        <f>Assumptions!$B$18+(Assumptions!$E$13-Assumptions!$B$18)*D4/Assumptions!$B$21</f>
        <v>-0.6289600000000001</v>
      </c>
      <c r="E6" s="63">
        <f>Assumptions!$B$18+(Assumptions!$E$13-Assumptions!$B$18)*E4/Assumptions!$B$21</f>
        <v>-0.52534</v>
      </c>
      <c r="F6" s="63">
        <f>Assumptions!$B$18+(Assumptions!$E$13-Assumptions!$B$18)*F4/Assumptions!$B$21</f>
        <v>-0.42172000000000004</v>
      </c>
      <c r="G6" s="63">
        <f>Assumptions!$B$18+(Assumptions!$E$13-Assumptions!$B$18)*G4/Assumptions!$B$21</f>
        <v>-0.31810000000000005</v>
      </c>
      <c r="H6" s="63">
        <f>Assumptions!$B$18+(Assumptions!$E$13-Assumptions!$B$18)*H4/Assumptions!$B$21</f>
        <v>-0.21448</v>
      </c>
      <c r="I6" s="63">
        <f>Assumptions!$B$18+(Assumptions!$E$13-Assumptions!$B$18)*I4/Assumptions!$B$21</f>
        <v>-0.11086000000000007</v>
      </c>
      <c r="J6" s="63">
        <f>Assumptions!$B$18+(Assumptions!$E$13-Assumptions!$B$18)*J4/Assumptions!$B$21</f>
        <v>-0.007240000000000024</v>
      </c>
      <c r="K6" s="63">
        <f>Assumptions!$B$18+(Assumptions!$E$13-Assumptions!$B$18)*K4/Assumptions!$B$21</f>
        <v>0.09638000000000002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Model'!L2</f>
        <v>189.757</v>
      </c>
      <c r="C7" s="55">
        <f>'Yearly Model'!M2</f>
        <v>256.17195000000004</v>
      </c>
      <c r="D7" s="55">
        <f>'Yearly Model'!N2</f>
        <v>336.58147875000003</v>
      </c>
      <c r="E7" s="55">
        <f>'Yearly Model'!O2</f>
        <v>430.07633395833335</v>
      </c>
      <c r="F7" s="55">
        <f>'Yearly Model'!P2</f>
        <v>534.011447998264</v>
      </c>
      <c r="G7" s="55">
        <f>'Yearly Model'!Q2</f>
        <v>643.7804678645738</v>
      </c>
      <c r="H7" s="55">
        <f>'Yearly Model'!R2</f>
        <v>752.865491586071</v>
      </c>
      <c r="I7" s="55">
        <f>'Yearly Model'!S2</f>
        <v>853.2475571308804</v>
      </c>
      <c r="J7" s="55">
        <f>'Yearly Model'!T2</f>
        <v>936.2021807408272</v>
      </c>
      <c r="K7" s="55">
        <f>'Yearly Model'!U2</f>
        <v>993.4145362305444</v>
      </c>
      <c r="L7" s="55">
        <f>'Yearly Model'!V2</f>
        <v>1018.2498996363079</v>
      </c>
    </row>
    <row r="8">
      <c r="A8" s="14" t="inlineStr">
        <is>
          <t>Operating income</t>
        </is>
      </c>
      <c r="B8" s="55">
        <f>'Yearly Model'!L8</f>
        <v>-192.016</v>
      </c>
      <c r="C8" s="55">
        <f>'Yearly Model'!M8</f>
        <v>-187.666447131</v>
      </c>
      <c r="D8" s="55">
        <f>'Yearly Model'!N8</f>
        <v>-211.6962868746</v>
      </c>
      <c r="E8" s="55">
        <f>'Yearly Model'!O8</f>
        <v>-225.93630128167086</v>
      </c>
      <c r="F8" s="55">
        <f>'Yearly Model'!P8</f>
        <v>-225.20330784982787</v>
      </c>
      <c r="G8" s="55">
        <f>'Yearly Model'!Q8</f>
        <v>-204.7865668277209</v>
      </c>
      <c r="H8" s="55">
        <f>'Yearly Model'!R8</f>
        <v>-161.47459063538054</v>
      </c>
      <c r="I8" s="55">
        <f>'Yearly Model'!S8</f>
        <v>-94.5910241835295</v>
      </c>
      <c r="J8" s="55">
        <f>'Yearly Model'!T8</f>
        <v>-6.778103788563612</v>
      </c>
      <c r="K8" s="55">
        <f>'Yearly Model'!U8</f>
        <v>95.74529300189988</v>
      </c>
      <c r="L8" s="55">
        <f>'Yearly Model'!V8</f>
        <v>203.6499799272616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16.27669981032298</v>
      </c>
      <c r="L9" s="52">
        <f>MAX(0,L8)*Assumptions!$E$14</f>
        <v>34.62049658763448</v>
      </c>
    </row>
    <row r="10">
      <c r="A10" s="14" t="inlineStr">
        <is>
          <t>NOPAT</t>
        </is>
      </c>
      <c r="C10" s="52">
        <f>C8-C9</f>
        <v>-187.666447131</v>
      </c>
      <c r="D10" s="52">
        <f>D8-D9</f>
        <v>-211.6962868746</v>
      </c>
      <c r="E10" s="52">
        <f>E8-E9</f>
        <v>-225.93630128167086</v>
      </c>
      <c r="F10" s="52">
        <f>F8-F9</f>
        <v>-225.20330784982787</v>
      </c>
      <c r="G10" s="52">
        <f>G8-G9</f>
        <v>-204.7865668277209</v>
      </c>
      <c r="H10" s="52">
        <f>H8-H9</f>
        <v>-161.47459063538054</v>
      </c>
      <c r="I10" s="52">
        <f>I8-I9</f>
        <v>-94.5910241835295</v>
      </c>
      <c r="J10" s="52">
        <f>J8-J9</f>
        <v>-6.778103788563612</v>
      </c>
      <c r="K10" s="52">
        <f>K8-K9</f>
        <v>79.4685931915769</v>
      </c>
      <c r="L10" s="52">
        <f>L8-L9</f>
        <v>169.02948333962712</v>
      </c>
    </row>
    <row r="11">
      <c r="A11" s="14" t="inlineStr">
        <is>
          <t>Reinvestment</t>
        </is>
      </c>
      <c r="C11" s="52">
        <f>(C7-B7)*Assumptions!$E$15</f>
        <v>16.60373750000001</v>
      </c>
      <c r="D11" s="52">
        <f>(D7-C7)*Assumptions!$E$15</f>
        <v>20.102382187499998</v>
      </c>
      <c r="E11" s="52">
        <f>(E7-D7)*Assumptions!$E$15</f>
        <v>23.37371380208333</v>
      </c>
      <c r="F11" s="52">
        <f>(F7-E7)*Assumptions!$E$15</f>
        <v>25.983778509982656</v>
      </c>
      <c r="G11" s="52">
        <f>(G7-F7)*Assumptions!$E$15</f>
        <v>27.44225496657745</v>
      </c>
      <c r="H11" s="52">
        <f>(H7-G7)*Assumptions!$E$15</f>
        <v>27.27125593037431</v>
      </c>
      <c r="I11" s="52">
        <f>(I7-H7)*Assumptions!$E$15</f>
        <v>25.09551638620235</v>
      </c>
      <c r="J11" s="52">
        <f>(J7-I7)*Assumptions!$E$15</f>
        <v>20.7386559024867</v>
      </c>
      <c r="K11" s="52">
        <f>(K7-J7)*Assumptions!$E$15</f>
        <v>14.3030888724293</v>
      </c>
      <c r="L11" s="52">
        <f>(L7-K7)*Assumptions!$E$15</f>
        <v>6.208840851440868</v>
      </c>
    </row>
    <row r="12">
      <c r="A12" s="20" t="inlineStr">
        <is>
          <t>Free cash flow</t>
        </is>
      </c>
      <c r="C12" s="64">
        <f>C10-C11</f>
        <v>-204.270184631</v>
      </c>
      <c r="D12" s="64">
        <f>D10-D11</f>
        <v>-231.79866906209998</v>
      </c>
      <c r="E12" s="64">
        <f>E10-E11</f>
        <v>-249.3100150837542</v>
      </c>
      <c r="F12" s="64">
        <f>F10-F11</f>
        <v>-251.1870863598105</v>
      </c>
      <c r="G12" s="64">
        <f>G10-G11</f>
        <v>-232.22882179429834</v>
      </c>
      <c r="H12" s="64">
        <f>H10-H11</f>
        <v>-188.74584656575485</v>
      </c>
      <c r="I12" s="64">
        <f>I10-I11</f>
        <v>-119.68654056973185</v>
      </c>
      <c r="J12" s="64">
        <f>J10-J11</f>
        <v>-27.51675969105031</v>
      </c>
      <c r="K12" s="64">
        <f>K10-K11</f>
        <v>65.1655043191476</v>
      </c>
      <c r="L12" s="64">
        <f>L10-L11</f>
        <v>162.82064248818625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-100.6438751083788</v>
      </c>
      <c r="D16" s="64">
        <f>D12*D13*D15</f>
        <v>-211.60952919653297</v>
      </c>
      <c r="E16" s="64">
        <f>E12*E13*E15</f>
        <v>-207.8499329510387</v>
      </c>
      <c r="F16" s="64">
        <f>F12*F13*F15</f>
        <v>-191.24643705867018</v>
      </c>
      <c r="G16" s="64">
        <f>G12*G13*G15</f>
        <v>-161.47230477010805</v>
      </c>
      <c r="H16" s="64">
        <f>H12*H13*H15</f>
        <v>-119.8519790784479</v>
      </c>
      <c r="I16" s="64">
        <f>I12*I13*I15</f>
        <v>-69.40631729774731</v>
      </c>
      <c r="J16" s="64">
        <f>J12*J13*J15</f>
        <v>-14.572593783695886</v>
      </c>
      <c r="K16" s="64">
        <f>K12*K13*K15</f>
        <v>31.516879360444218</v>
      </c>
      <c r="L16" s="64">
        <f>L12*L13*L15</f>
        <v>71.91521673627786</v>
      </c>
    </row>
    <row r="19">
      <c r="A19" s="14" t="inlineStr">
        <is>
          <t>PV of forecast free cash flow</t>
        </is>
      </c>
      <c r="B19" s="52">
        <f>SUM(C16:L16)</f>
        <v>-973.2208731478977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166.89115855039086</v>
      </c>
    </row>
    <row r="21">
      <c r="A21" s="14" t="inlineStr">
        <is>
          <t>Terminal value</t>
        </is>
      </c>
      <c r="B21" s="52">
        <f>B20/(Assumptions!$E$10-Assumptions!$E$11)</f>
        <v>2384.1594078627263</v>
      </c>
    </row>
    <row r="22">
      <c r="A22" s="14" t="inlineStr">
        <is>
          <t>PV of terminal value</t>
        </is>
      </c>
      <c r="B22" s="52">
        <f>B21/(1+Assumptions!$E$10)^(L14+0.5)</f>
        <v>1006.3280065086266</v>
      </c>
    </row>
    <row r="23">
      <c r="A23" s="20" t="inlineStr">
        <is>
          <t>Enterprise value</t>
        </is>
      </c>
      <c r="B23" s="66">
        <f>B19+B22</f>
        <v>33.10713336072888</v>
      </c>
    </row>
    <row r="24">
      <c r="A24" s="14" t="inlineStr">
        <is>
          <t>Cash &amp; investments</t>
        </is>
      </c>
      <c r="B24" s="55">
        <f>Main!C7</f>
        <v>330.89700000000005</v>
      </c>
    </row>
    <row r="25">
      <c r="A25" s="14" t="inlineStr">
        <is>
          <t>Debt</t>
        </is>
      </c>
      <c r="B25" s="55">
        <f>Main!C8</f>
        <v>106.102</v>
      </c>
    </row>
    <row r="26">
      <c r="A26" s="20" t="inlineStr">
        <is>
          <t>Equity value</t>
        </is>
      </c>
      <c r="B26" s="66">
        <f>B23+B24-B25</f>
        <v>257.90213336072895</v>
      </c>
    </row>
    <row r="27">
      <c r="A27" s="14" t="inlineStr">
        <is>
          <t>Shares (mm)</t>
        </is>
      </c>
      <c r="B27" s="55">
        <f>Main!C4</f>
        <v>68.852082</v>
      </c>
    </row>
    <row r="28">
      <c r="A28" s="20" t="inlineStr">
        <is>
          <t>NPV / share</t>
        </is>
      </c>
      <c r="B28" s="49">
        <f>B26/B27</f>
        <v>3.7457419713281723</v>
      </c>
    </row>
    <row r="29">
      <c r="A29" s="14" t="inlineStr">
        <is>
          <t>Price</t>
        </is>
      </c>
      <c r="B29" s="50">
        <f>Main!C3</f>
        <v>90.2</v>
      </c>
    </row>
    <row r="30">
      <c r="A30" s="14" t="inlineStr">
        <is>
          <t>Upside</t>
        </is>
      </c>
      <c r="B30" s="63">
        <f>B28/B29-1</f>
        <v>-0.9584729271471378</v>
      </c>
    </row>
    <row r="31">
      <c r="A31" s="14" t="inlineStr">
        <is>
          <t>Terminal value, % of EV</t>
        </is>
      </c>
      <c r="B31" s="63">
        <f>IFERROR(B22/B23,0)</f>
        <v>30.39610816025273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2026-10-21T01:04:01Z</dcterms:modified>
  <cp:lastModifiedBy>Wang, Eric</cp:lastModifiedBy>
</cp:coreProperties>
</file>