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Onconetix Inc</t>
        </is>
      </c>
      <c r="C2" s="10" t="n"/>
    </row>
    <row r="3">
      <c r="B3" t="inlineStr">
        <is>
          <t>Price</t>
        </is>
      </c>
      <c r="C3" s="11">
        <f>INDEX([1]Pharma!$F$1:$F$1000,MATCH("ONCO",[1]Pharma!$B$1:$B$1000,0))</f>
        <v>0.4064</v>
      </c>
      <c r="F3" s="1" t="n"/>
    </row>
    <row r="4">
      <c r="B4" t="inlineStr">
        <is>
          <t>Shares</t>
        </is>
      </c>
      <c r="C4" s="21" t="n">
        <v>3.949107</v>
      </c>
      <c r="F4" s="1" t="n"/>
    </row>
    <row r="5">
      <c r="B5" t="inlineStr">
        <is>
          <t>Market Cap.</t>
        </is>
      </c>
      <c r="C5" s="13">
        <f>C3*C4</f>
        <v>1.6049170848</v>
      </c>
      <c r="F5" s="1" t="n"/>
    </row>
    <row r="6"/>
    <row r="7">
      <c r="B7" t="inlineStr">
        <is>
          <t>Cash</t>
        </is>
      </c>
      <c r="C7" s="21" t="n">
        <v>5.942249</v>
      </c>
    </row>
    <row r="8">
      <c r="B8" t="inlineStr">
        <is>
          <t>Debt</t>
        </is>
      </c>
      <c r="C8" s="21" t="n">
        <v>0.150394</v>
      </c>
    </row>
    <row r="9">
      <c r="B9" t="inlineStr">
        <is>
          <t>Enterprise V.</t>
        </is>
      </c>
      <c r="C9" s="13">
        <f>C5-C7+C8</f>
        <v>-4.1869379152</v>
      </c>
    </row>
    <row r="10"/>
    <row r="11">
      <c r="B11" s="14" t="inlineStr">
        <is>
          <t>Net Cash / Share</t>
        </is>
      </c>
      <c r="C11" s="11">
        <f>(C7-C8)/C4</f>
        <v>1.466623973470458</v>
      </c>
    </row>
    <row r="12">
      <c r="B12" s="14" t="inlineStr">
        <is>
          <t>Upside</t>
        </is>
      </c>
      <c r="C12" s="15">
        <f>IFERROR(C11/C3-1,"")</f>
        <v>2.6088188323584105</v>
      </c>
    </row>
    <row r="13">
      <c r="B13" s="14" t="inlineStr">
        <is>
          <t>Cash / Share</t>
        </is>
      </c>
      <c r="C13" s="11">
        <f>IFERROR((C7-C8)/C4,"")</f>
        <v>1.466623973470458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-10.308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0.5618796080714009</v>
      </c>
    </row>
    <row r="19">
      <c r="B19" s="14" t="inlineStr">
        <is>
          <t>Implied Pipeline Value</t>
        </is>
      </c>
      <c r="C19" s="13">
        <f>C9</f>
        <v>-4.1869379152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2021</v>
      </c>
      <c r="C1" s="17" t="n">
        <v>2022</v>
      </c>
      <c r="D1" s="17" t="n">
        <v>2023</v>
      </c>
      <c r="E1" s="17" t="n">
        <v>2024</v>
      </c>
      <c r="F1" s="17" t="n">
        <v>2025</v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0.058</v>
      </c>
      <c r="E2" s="23" t="n">
        <v>2.524</v>
      </c>
      <c r="F2" s="23" t="n">
        <v>0.8149999999999999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1.186</v>
      </c>
      <c r="E3" s="23" t="n">
        <v>1.469</v>
      </c>
      <c r="F3" s="23" t="n">
        <v>0.182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-1.128</v>
      </c>
      <c r="E4" s="23">
        <f>E2-E3</f>
        <v>1.055</v>
      </c>
      <c r="F4" s="23">
        <f>F2-F3</f>
        <v>0.633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1.325</v>
      </c>
      <c r="C5" s="23" t="n">
        <v>4.13</v>
      </c>
      <c r="D5" s="23" t="n">
        <v>1.949</v>
      </c>
      <c r="E5" s="23" t="n">
        <v>0.154</v>
      </c>
      <c r="F5" s="23" t="n">
        <v>0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2.092</v>
      </c>
      <c r="C6" s="23" t="n">
        <v>9.352</v>
      </c>
      <c r="D6" s="23" t="n">
        <v>32.958</v>
      </c>
      <c r="E6" s="23" t="n">
        <v>57.389</v>
      </c>
      <c r="F6" s="23" t="n">
        <v>18.49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3.417</v>
      </c>
      <c r="C7" s="23">
        <f>SUM(C5:C6)</f>
        <v>13.482</v>
      </c>
      <c r="D7" s="23">
        <f>SUM(D5:D6)</f>
        <v>34.907</v>
      </c>
      <c r="E7" s="23">
        <f>SUM(E5:E6)</f>
        <v>57.543000000000006</v>
      </c>
      <c r="F7" s="23">
        <f>SUM(F5:F6)</f>
        <v>18.49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-3.417</v>
      </c>
      <c r="C8" s="23">
        <f>C4-C7</f>
        <v>-13.482</v>
      </c>
      <c r="D8" s="23">
        <f>D4-D7</f>
        <v>-36.035</v>
      </c>
      <c r="E8" s="23">
        <f>E4-E7</f>
        <v>-56.48800000000001</v>
      </c>
      <c r="F8" s="23">
        <f>F4-F7</f>
        <v>-17.857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675730</v>
      </c>
      <c r="C9" s="23" t="n">
        <v>3158873.061</v>
      </c>
      <c r="D9" s="23" t="n">
        <v>-1.388</v>
      </c>
      <c r="E9" s="23" t="n">
        <v>-3.247</v>
      </c>
      <c r="F9" s="23" t="n">
        <v>3.825</v>
      </c>
    </row>
    <row r="10">
      <c r="A10" s="2" t="inlineStr">
        <is>
          <t>Pretax</t>
        </is>
      </c>
      <c r="B10" s="23">
        <f>B8+B9</f>
        <v>675726.583</v>
      </c>
      <c r="C10" s="23">
        <f>C8+C9</f>
        <v>3158859.5790000004</v>
      </c>
      <c r="D10" s="23">
        <f>D8+D9</f>
        <v>-37.422999999999995</v>
      </c>
      <c r="E10" s="23">
        <f>E8+E9</f>
        <v>-59.73500000000001</v>
      </c>
      <c r="F10" s="23">
        <f>F8+F9</f>
        <v>-14.032</v>
      </c>
      <c r="I10" s="1" t="n"/>
      <c r="J10" s="1" t="n"/>
      <c r="K10" s="1" t="n"/>
    </row>
    <row r="11">
      <c r="A11" s="2" t="inlineStr">
        <is>
          <t>Taxes</t>
        </is>
      </c>
      <c r="B11" s="23" t="n">
        <v>675730</v>
      </c>
      <c r="C11" s="23" t="n">
        <v>3158873</v>
      </c>
      <c r="D11" s="23" t="n">
        <v>-0.013</v>
      </c>
      <c r="E11" s="23" t="n">
        <v>-1.045</v>
      </c>
      <c r="F11" s="23" t="n">
        <v>0.001</v>
      </c>
    </row>
    <row r="12">
      <c r="A12" s="2" t="inlineStr">
        <is>
          <t>Net Income</t>
        </is>
      </c>
      <c r="B12" s="23" t="n">
        <v>-3.417</v>
      </c>
      <c r="C12" s="23" t="n">
        <v>-13.42</v>
      </c>
      <c r="D12" s="23" t="n">
        <v>-37.41</v>
      </c>
      <c r="E12" s="23" t="n">
        <v>-58.691</v>
      </c>
      <c r="F12" s="23" t="n">
        <v>-14.032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-13.890243902439023</v>
      </c>
      <c r="C13" s="11">
        <f>IFERROR(C12/C14,0)</f>
        <v>-14.216101694915254</v>
      </c>
      <c r="D13" s="11">
        <f>IFERROR(D12/D14,0)</f>
        <v>-39.21383647798742</v>
      </c>
      <c r="E13" s="11">
        <f>IFERROR(E12/E14,0)</f>
        <v>-62.63713980789755</v>
      </c>
      <c r="F13" s="11">
        <f>IFERROR(F12/F14,0)</f>
        <v>-14.95948827292111</v>
      </c>
    </row>
    <row r="14">
      <c r="A14" s="2" t="inlineStr">
        <is>
          <t>Shares</t>
        </is>
      </c>
      <c r="B14" s="23" t="n">
        <v>0.246</v>
      </c>
      <c r="C14" s="23" t="n">
        <v>0.944</v>
      </c>
      <c r="D14" s="23" t="n">
        <v>0.954</v>
      </c>
      <c r="E14" s="23" t="n">
        <v>0.9370000000000001</v>
      </c>
      <c r="F14" s="23" t="n">
        <v>0.9379999999999999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>42.51724137931034</v>
      </c>
      <c r="F16" s="15">
        <f>IFERROR(F2/E2-1,"")</f>
        <v>-0.6770998415213947</v>
      </c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>-19.448275862068964</v>
      </c>
      <c r="E17" s="15">
        <f>IFERROR(E4/E2,"")</f>
        <v>0.41798732171156894</v>
      </c>
      <c r="F17" s="15">
        <f>IFERROR(F4/F2,"")</f>
        <v>0.7766871165644172</v>
      </c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>-621.2931034482758</v>
      </c>
      <c r="E18" s="15">
        <f>IFERROR(E8/E2,"")</f>
        <v>-22.380348652931858</v>
      </c>
      <c r="F18" s="15">
        <f>IFERROR(F8/F2,"")</f>
        <v>-21.91042944785276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2026-10-21T01:06:53Z</dcterms:modified>
  <cp:lastModifiedBy>Wang, Eric</cp:lastModifiedBy>
</cp:coreProperties>
</file>