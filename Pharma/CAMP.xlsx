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CAMP4 Therapeutics Corp</t>
        </is>
      </c>
      <c r="C2" s="10" t="n"/>
    </row>
    <row r="3">
      <c r="B3" t="inlineStr">
        <is>
          <t>Price</t>
        </is>
      </c>
      <c r="C3" s="11">
        <f>INDEX([1]Pharma!$F$1:$F$1000,MATCH("CAMP",[1]Pharma!$B$1:$B$1000,0))</f>
        <v>3.16</v>
      </c>
      <c r="F3" s="1" t="n"/>
    </row>
    <row r="4">
      <c r="B4" t="inlineStr">
        <is>
          <t>Shares</t>
        </is>
      </c>
      <c r="C4" s="21" t="n">
        <v>62.7532</v>
      </c>
      <c r="F4" s="1" t="n"/>
    </row>
    <row r="5">
      <c r="B5" t="inlineStr">
        <is>
          <t>Market Cap.</t>
        </is>
      </c>
      <c r="C5" s="13">
        <f>C3*C4</f>
        <v>198.300112</v>
      </c>
      <c r="F5" s="1" t="n"/>
    </row>
    <row r="6"/>
    <row r="7">
      <c r="B7" t="inlineStr">
        <is>
          <t>Cash</t>
        </is>
      </c>
      <c r="C7" s="21" t="n">
        <v>86.398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111.90211200000002</v>
      </c>
    </row>
    <row r="10"/>
    <row r="11">
      <c r="B11" s="14" t="inlineStr">
        <is>
          <t>Net Cash / Share</t>
        </is>
      </c>
      <c r="C11" s="11">
        <f>(C7-C8)/C4</f>
        <v>1.3767903469464504</v>
      </c>
    </row>
    <row r="12">
      <c r="B12" s="14" t="inlineStr">
        <is>
          <t>Upside</t>
        </is>
      </c>
      <c r="C12" s="15">
        <f>IFERROR(C11/C3-1,"")</f>
        <v>-0.564306852232136</v>
      </c>
    </row>
    <row r="13">
      <c r="B13" s="14" t="inlineStr">
        <is>
          <t>Cash / Share</t>
        </is>
      </c>
      <c r="C13" s="11">
        <f>IFERROR((C7-C8)/C4,"")</f>
        <v>1.3767903469464504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-28.591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3.0218600258822703</v>
      </c>
    </row>
    <row r="19">
      <c r="B19" s="14" t="inlineStr">
        <is>
          <t>Implied Pipeline Value</t>
        </is>
      </c>
      <c r="C19" s="13">
        <f>C9</f>
        <v>111.90211200000002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0.35</v>
      </c>
      <c r="C2" s="23" t="n">
        <v>0.652</v>
      </c>
      <c r="D2" s="23" t="n">
        <v>3.498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0.35</v>
      </c>
      <c r="C4" s="23">
        <f>C2-C3</f>
        <v>0.652</v>
      </c>
      <c r="D4" s="23">
        <f>D2-D3</f>
        <v>3.498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40.616</v>
      </c>
      <c r="C5" s="23" t="n">
        <v>38.817</v>
      </c>
      <c r="D5" s="23" t="n">
        <v>38.202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11.613</v>
      </c>
      <c r="C6" s="23" t="n">
        <v>14.923</v>
      </c>
      <c r="D6" s="23" t="n">
        <v>17.851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52.229</v>
      </c>
      <c r="C7" s="23">
        <f>SUM(C5:C6)</f>
        <v>53.74</v>
      </c>
      <c r="D7" s="23">
        <f>SUM(D5:D6)</f>
        <v>56.053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-51.879</v>
      </c>
      <c r="C8" s="23">
        <f>C4-C7</f>
        <v>-53.088</v>
      </c>
      <c r="D8" s="23">
        <f>D4-D7</f>
        <v>-52.555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2.588</v>
      </c>
      <c r="C9" s="23" t="n">
        <v>1.297</v>
      </c>
      <c r="D9" s="23" t="n">
        <v>-27.848</v>
      </c>
    </row>
    <row r="10">
      <c r="A10" s="2" t="inlineStr">
        <is>
          <t>Pretax</t>
        </is>
      </c>
      <c r="B10" s="23">
        <f>B8+B9</f>
        <v>-49.291</v>
      </c>
      <c r="C10" s="23">
        <f>C8+C9</f>
        <v>-51.791000000000004</v>
      </c>
      <c r="D10" s="23">
        <f>D8+D9</f>
        <v>-80.40299999999999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-49.291</v>
      </c>
      <c r="C12" s="23" t="n">
        <v>-51.791</v>
      </c>
      <c r="D12" s="23" t="n">
        <v>-80.40300000000001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-10.398945147679324</v>
      </c>
      <c r="C13" s="11">
        <f>IFERROR(C12/C14,0)</f>
        <v>-11.042857142857141</v>
      </c>
      <c r="D13" s="11">
        <f>IFERROR(D12/D14,0)</f>
        <v>-2.64648958230473</v>
      </c>
    </row>
    <row r="14">
      <c r="A14" s="2" t="inlineStr">
        <is>
          <t>Shares</t>
        </is>
      </c>
      <c r="B14" s="23" t="n">
        <v>4.74</v>
      </c>
      <c r="C14" s="23" t="n">
        <v>4.69</v>
      </c>
      <c r="D14" s="23" t="n">
        <v>30.381</v>
      </c>
    </row>
    <row r="15"/>
    <row r="16" customFormat="1" s="4">
      <c r="A16" s="3" t="inlineStr">
        <is>
          <t>Revenue Change</t>
        </is>
      </c>
      <c r="C16" s="15">
        <f>IFERROR(C2/B2-1,"")</f>
        <v>0.862857142857143</v>
      </c>
      <c r="D16" s="15">
        <f>IFERROR(D2/C2-1,"")</f>
        <v>4.365030674846626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-148.22571428571428</v>
      </c>
      <c r="C18" s="15">
        <f>IFERROR(C8/C2,"")</f>
        <v>-81.42331288343559</v>
      </c>
      <c r="D18" s="15">
        <f>IFERROR(D8/D2,"")</f>
        <v>-15.024299599771297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2026-10-21T06:26:55Z</dcterms:modified>
  <cp:lastModifiedBy>Wang, Eric</cp:lastModifiedBy>
</cp:coreProperties>
</file>