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Enliven Therapeutics, Inc.</t>
        </is>
      </c>
      <c r="C2" s="10" t="n"/>
    </row>
    <row r="3">
      <c r="B3" t="inlineStr">
        <is>
          <t>Price</t>
        </is>
      </c>
      <c r="C3" s="11">
        <f>INDEX([1]Pharma!$F$1:$F$1000,MATCH("ELVN",[1]Pharma!$B$1:$B$1000,0))</f>
        <v>41.25</v>
      </c>
      <c r="F3" s="1" t="n"/>
    </row>
    <row r="4">
      <c r="B4" t="inlineStr">
        <is>
          <t>Shares</t>
        </is>
      </c>
      <c r="C4" s="21" t="n">
        <v>73.27076099999999</v>
      </c>
      <c r="F4" s="1" t="n"/>
    </row>
    <row r="5">
      <c r="B5" t="inlineStr">
        <is>
          <t>Market Cap.</t>
        </is>
      </c>
      <c r="C5" s="13">
        <f>C3*C4</f>
        <v>3022.41889125</v>
      </c>
      <c r="F5" s="1" t="n"/>
    </row>
    <row r="6"/>
    <row r="7">
      <c r="B7" t="inlineStr">
        <is>
          <t>Cash</t>
        </is>
      </c>
      <c r="C7" s="21">
        <f>135.505+759.65</f>
        <v>895.155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2127.2638912499997</v>
      </c>
    </row>
    <row r="10"/>
    <row r="11">
      <c r="B11" s="14" t="inlineStr">
        <is>
          <t>Net Cash / Share</t>
        </is>
      </c>
      <c r="C11" s="11">
        <f>(C7-C8)/C4</f>
        <v>12.217083428408776</v>
      </c>
    </row>
    <row r="12">
      <c r="B12" s="14" t="inlineStr">
        <is>
          <t>Upside</t>
        </is>
      </c>
      <c r="C12" s="15">
        <f>IFERROR(C11/C3-1,"")</f>
        <v>-0.7038282805234236</v>
      </c>
    </row>
    <row r="13">
      <c r="B13" s="14" t="inlineStr">
        <is>
          <t>Cash / Share</t>
        </is>
      </c>
      <c r="C13" s="11">
        <f>IFERROR((C7-C8)/C4,"")</f>
        <v>12.217083428408776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-66.93899999999999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13.372697530587551</v>
      </c>
    </row>
    <row r="19">
      <c r="B19" s="14" t="inlineStr">
        <is>
          <t>Implied Pipeline Value</t>
        </is>
      </c>
      <c r="C19" s="13">
        <f>C9</f>
        <v>2127.2638912499997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19.009</v>
      </c>
      <c r="C5" s="23" t="n">
        <v>32.154</v>
      </c>
      <c r="D5" s="23" t="n">
        <v>20.474</v>
      </c>
      <c r="E5" s="23" t="n">
        <v>31.022</v>
      </c>
      <c r="F5" s="23" t="n">
        <v>64.574</v>
      </c>
      <c r="G5" s="23" t="n">
        <v>80.77800000000001</v>
      </c>
      <c r="H5" s="23" t="n">
        <v>85.85599999999999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5.107</v>
      </c>
      <c r="C6" s="23" t="n">
        <v>9.544</v>
      </c>
      <c r="D6" s="23" t="n">
        <v>4.288</v>
      </c>
      <c r="E6" s="23" t="n">
        <v>7.769</v>
      </c>
      <c r="F6" s="23" t="n">
        <v>18.955</v>
      </c>
      <c r="G6" s="23" t="n">
        <v>23.776</v>
      </c>
      <c r="H6" s="23" t="n">
        <v>33.802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24.116</v>
      </c>
      <c r="C7" s="23">
        <f>SUM(C5:C6)</f>
        <v>41.69800000000001</v>
      </c>
      <c r="D7" s="23">
        <f>SUM(D5:D6)</f>
        <v>24.762</v>
      </c>
      <c r="E7" s="23">
        <f>SUM(E5:E6)</f>
        <v>38.791</v>
      </c>
      <c r="F7" s="23">
        <f>SUM(F5:F6)</f>
        <v>83.529</v>
      </c>
      <c r="G7" s="23">
        <f>SUM(G5:G6)</f>
        <v>104.554</v>
      </c>
      <c r="H7" s="23">
        <f>SUM(H5:H6)</f>
        <v>119.65799999999999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-24.116</v>
      </c>
      <c r="C8" s="23">
        <f>C4-C7</f>
        <v>-41.69800000000001</v>
      </c>
      <c r="D8" s="23">
        <f>D4-D7</f>
        <v>-24.762</v>
      </c>
      <c r="E8" s="23">
        <f>E4-E7</f>
        <v>-38.791</v>
      </c>
      <c r="F8" s="23">
        <f>F4-F7</f>
        <v>-83.529</v>
      </c>
      <c r="G8" s="23">
        <f>G4-G7</f>
        <v>-104.554</v>
      </c>
      <c r="H8" s="23">
        <f>H4-H7</f>
        <v>-119.65799999999999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0.653</v>
      </c>
      <c r="C9" s="23" t="n">
        <v>0.338</v>
      </c>
      <c r="D9" s="23" t="n">
        <v>0.022</v>
      </c>
      <c r="E9" s="23" t="n">
        <v>1.129</v>
      </c>
      <c r="F9" s="23" t="n">
        <v>11.945</v>
      </c>
      <c r="G9" s="23" t="n">
        <v>15.786</v>
      </c>
      <c r="H9" s="23" t="n">
        <v>15.958</v>
      </c>
    </row>
    <row r="10">
      <c r="A10" s="2" t="inlineStr">
        <is>
          <t>Pretax</t>
        </is>
      </c>
      <c r="B10" s="23">
        <f>B8+B9</f>
        <v>-23.463</v>
      </c>
      <c r="C10" s="23">
        <f>C8+C9</f>
        <v>-41.36000000000001</v>
      </c>
      <c r="D10" s="23">
        <f>D8+D9</f>
        <v>-24.740000000000002</v>
      </c>
      <c r="E10" s="23">
        <f>E8+E9</f>
        <v>-37.662</v>
      </c>
      <c r="F10" s="23">
        <f>F8+F9</f>
        <v>-71.584</v>
      </c>
      <c r="G10" s="23">
        <f>G8+G9</f>
        <v>-88.768</v>
      </c>
      <c r="H10" s="23">
        <f>H8+H9</f>
        <v>-103.69999999999999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0.232</v>
      </c>
      <c r="H11" s="23" t="n">
        <v>0</v>
      </c>
    </row>
    <row r="12">
      <c r="A12" s="2" t="inlineStr">
        <is>
          <t>Net Income</t>
        </is>
      </c>
      <c r="B12" s="23" t="n">
        <v>-23.463</v>
      </c>
      <c r="C12" s="23" t="n">
        <v>-41.36</v>
      </c>
      <c r="D12" s="23" t="n">
        <v>-24.74</v>
      </c>
      <c r="E12" s="23" t="n">
        <v>-37.662</v>
      </c>
      <c r="F12" s="23" t="n">
        <v>-71.584</v>
      </c>
      <c r="G12" s="23" t="n">
        <v>-89</v>
      </c>
      <c r="H12" s="23" t="n">
        <v>-103.7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-10.018360375747225</v>
      </c>
      <c r="C13" s="11">
        <f>IFERROR(C12/C14,0)</f>
        <v>-17.81990521327014</v>
      </c>
      <c r="D13" s="11">
        <f>IFERROR(D12/D14,0)</f>
        <v>-10.7285342584562</v>
      </c>
      <c r="E13" s="11">
        <f>IFERROR(E12/E14,0)</f>
        <v>-12.055697823303456</v>
      </c>
      <c r="F13" s="11">
        <f>IFERROR(F12/F14,0)</f>
        <v>-2.013841219827829</v>
      </c>
      <c r="G13" s="11">
        <f>IFERROR(G12/G14,0)</f>
        <v>-1.8906804325197035</v>
      </c>
      <c r="H13" s="11">
        <f>IFERROR(H12/H14,0)</f>
        <v>-1.8300861216998447</v>
      </c>
    </row>
    <row r="14">
      <c r="A14" s="2" t="inlineStr">
        <is>
          <t>Shares</t>
        </is>
      </c>
      <c r="B14" s="23" t="n">
        <v>2.342</v>
      </c>
      <c r="C14" s="23" t="n">
        <v>2.321</v>
      </c>
      <c r="D14" s="23" t="n">
        <v>2.306</v>
      </c>
      <c r="E14" s="23" t="n">
        <v>3.124</v>
      </c>
      <c r="F14" s="23" t="n">
        <v>35.546</v>
      </c>
      <c r="G14" s="23" t="n">
        <v>47.073</v>
      </c>
      <c r="H14" s="23" t="n">
        <v>56.664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2026-10-21T01:04:18Z</dcterms:modified>
  <cp:lastModifiedBy>Wang, Eric</cp:lastModifiedBy>
</cp:coreProperties>
</file>