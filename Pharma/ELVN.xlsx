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Enliven Therapeutics, Inc.</t>
        </is>
      </c>
      <c r="C2" s="10" t="n"/>
    </row>
    <row r="3">
      <c r="B3" t="inlineStr">
        <is>
          <t>Price</t>
        </is>
      </c>
      <c r="C3" s="11">
        <f>INDEX([1]Pharma!$F$1:$F$1000,MATCH("ELVN",[1]Pharma!$B$1:$B$1000,0))</f>
        <v>41.25</v>
      </c>
      <c r="F3" s="1" t="n"/>
    </row>
    <row r="4">
      <c r="B4" t="inlineStr">
        <is>
          <t>Shares</t>
        </is>
      </c>
      <c r="C4" s="21" t="n">
        <v>73.27076099999999</v>
      </c>
      <c r="F4" s="1" t="n"/>
    </row>
    <row r="5">
      <c r="B5" t="inlineStr">
        <is>
          <t>Market Cap.</t>
        </is>
      </c>
      <c r="C5" s="13">
        <f>C3*C4</f>
        <v>3022.41889125</v>
      </c>
      <c r="F5" s="1" t="n"/>
    </row>
    <row r="6"/>
    <row r="7">
      <c r="B7" t="inlineStr">
        <is>
          <t>Cash</t>
        </is>
      </c>
      <c r="C7" s="21">
        <f>135.505+759.65</f>
        <v>895.155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2127.2638912499997</v>
      </c>
    </row>
    <row r="10"/>
    <row r="11">
      <c r="B11" s="14" t="inlineStr">
        <is>
          <t>rNPV / Share</t>
        </is>
      </c>
      <c r="C11" s="11">
        <f>NPV!B27</f>
        <v>10.426732449352585</v>
      </c>
    </row>
    <row r="12">
      <c r="B12" s="14" t="inlineStr">
        <is>
          <t>Upside</t>
        </is>
      </c>
      <c r="C12" s="15">
        <f>IFERROR(C11/C3-1,"")</f>
        <v>-0.7472307285005434</v>
      </c>
    </row>
    <row r="13">
      <c r="B13" s="14" t="inlineStr">
        <is>
          <t>Cash / Share</t>
        </is>
      </c>
      <c r="C13" s="11">
        <f>IFERROR((C7-C8)/C4,"")</f>
        <v>12.217083428408776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-66.93899999999999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13.372697530587551</v>
      </c>
    </row>
    <row r="19">
      <c r="B19" s="14" t="inlineStr">
        <is>
          <t>Implied Pipeline Value</t>
        </is>
      </c>
      <c r="C19" s="13">
        <f>C9</f>
        <v>2127.2638912499997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19.009</v>
      </c>
      <c r="C5" s="23" t="n">
        <v>32.154</v>
      </c>
      <c r="D5" s="23" t="n">
        <v>20.474</v>
      </c>
      <c r="E5" s="23" t="n">
        <v>31.022</v>
      </c>
      <c r="F5" s="23" t="n">
        <v>64.574</v>
      </c>
      <c r="G5" s="23" t="n">
        <v>80.77800000000001</v>
      </c>
      <c r="H5" s="23" t="n">
        <v>85.85599999999999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5.107</v>
      </c>
      <c r="C6" s="23" t="n">
        <v>9.544</v>
      </c>
      <c r="D6" s="23" t="n">
        <v>4.288</v>
      </c>
      <c r="E6" s="23" t="n">
        <v>7.769</v>
      </c>
      <c r="F6" s="23" t="n">
        <v>18.955</v>
      </c>
      <c r="G6" s="23" t="n">
        <v>23.776</v>
      </c>
      <c r="H6" s="23" t="n">
        <v>33.802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24.116</v>
      </c>
      <c r="C7" s="23">
        <f>SUM(C5:C6)</f>
        <v>41.69800000000001</v>
      </c>
      <c r="D7" s="23">
        <f>SUM(D5:D6)</f>
        <v>24.762</v>
      </c>
      <c r="E7" s="23">
        <f>SUM(E5:E6)</f>
        <v>38.791</v>
      </c>
      <c r="F7" s="23">
        <f>SUM(F5:F6)</f>
        <v>83.529</v>
      </c>
      <c r="G7" s="23">
        <f>SUM(G5:G6)</f>
        <v>104.554</v>
      </c>
      <c r="H7" s="23">
        <f>SUM(H5:H6)</f>
        <v>119.65799999999999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-24.116</v>
      </c>
      <c r="C8" s="23">
        <f>C4-C7</f>
        <v>-41.69800000000001</v>
      </c>
      <c r="D8" s="23">
        <f>D4-D7</f>
        <v>-24.762</v>
      </c>
      <c r="E8" s="23">
        <f>E4-E7</f>
        <v>-38.791</v>
      </c>
      <c r="F8" s="23">
        <f>F4-F7</f>
        <v>-83.529</v>
      </c>
      <c r="G8" s="23">
        <f>G4-G7</f>
        <v>-104.554</v>
      </c>
      <c r="H8" s="23">
        <f>H4-H7</f>
        <v>-119.65799999999999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0.653</v>
      </c>
      <c r="C9" s="23" t="n">
        <v>0.338</v>
      </c>
      <c r="D9" s="23" t="n">
        <v>0.022</v>
      </c>
      <c r="E9" s="23" t="n">
        <v>1.129</v>
      </c>
      <c r="F9" s="23" t="n">
        <v>11.945</v>
      </c>
      <c r="G9" s="23" t="n">
        <v>15.786</v>
      </c>
      <c r="H9" s="23" t="n">
        <v>15.958</v>
      </c>
    </row>
    <row r="10">
      <c r="A10" s="2" t="inlineStr">
        <is>
          <t>Pretax</t>
        </is>
      </c>
      <c r="B10" s="23">
        <f>B8+B9</f>
        <v>-23.463</v>
      </c>
      <c r="C10" s="23">
        <f>C8+C9</f>
        <v>-41.36000000000001</v>
      </c>
      <c r="D10" s="23">
        <f>D8+D9</f>
        <v>-24.740000000000002</v>
      </c>
      <c r="E10" s="23">
        <f>E8+E9</f>
        <v>-37.662</v>
      </c>
      <c r="F10" s="23">
        <f>F8+F9</f>
        <v>-71.584</v>
      </c>
      <c r="G10" s="23">
        <f>G8+G9</f>
        <v>-88.768</v>
      </c>
      <c r="H10" s="23">
        <f>H8+H9</f>
        <v>-103.69999999999999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0.232</v>
      </c>
      <c r="H11" s="23" t="n">
        <v>0</v>
      </c>
    </row>
    <row r="12">
      <c r="A12" s="2" t="inlineStr">
        <is>
          <t>Net Income</t>
        </is>
      </c>
      <c r="B12" s="23" t="n">
        <v>-23.463</v>
      </c>
      <c r="C12" s="23" t="n">
        <v>-41.36</v>
      </c>
      <c r="D12" s="23" t="n">
        <v>-24.74</v>
      </c>
      <c r="E12" s="23" t="n">
        <v>-37.662</v>
      </c>
      <c r="F12" s="23" t="n">
        <v>-71.584</v>
      </c>
      <c r="G12" s="23" t="n">
        <v>-89</v>
      </c>
      <c r="H12" s="23" t="n">
        <v>-103.7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-10.018360375747225</v>
      </c>
      <c r="C13" s="11">
        <f>IFERROR(C12/C14,0)</f>
        <v>-17.81990521327014</v>
      </c>
      <c r="D13" s="11">
        <f>IFERROR(D12/D14,0)</f>
        <v>-10.7285342584562</v>
      </c>
      <c r="E13" s="11">
        <f>IFERROR(E12/E14,0)</f>
        <v>-12.055697823303456</v>
      </c>
      <c r="F13" s="11">
        <f>IFERROR(F12/F14,0)</f>
        <v>-2.013841219827829</v>
      </c>
      <c r="G13" s="11">
        <f>IFERROR(G12/G14,0)</f>
        <v>-1.8906804325197035</v>
      </c>
      <c r="H13" s="11">
        <f>IFERROR(H12/H14,0)</f>
        <v>-1.8300861216998447</v>
      </c>
    </row>
    <row r="14">
      <c r="A14" s="2" t="inlineStr">
        <is>
          <t>Shares</t>
        </is>
      </c>
      <c r="B14" s="23" t="n">
        <v>2.342</v>
      </c>
      <c r="C14" s="23" t="n">
        <v>2.321</v>
      </c>
      <c r="D14" s="23" t="n">
        <v>2.306</v>
      </c>
      <c r="E14" s="23" t="n">
        <v>3.124</v>
      </c>
      <c r="F14" s="23" t="n">
        <v>35.546</v>
      </c>
      <c r="G14" s="23" t="n">
        <v>47.073</v>
      </c>
      <c r="H14" s="23" t="n">
        <v>56.664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Enliven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0.14991449318299988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124.413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391.5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-131.18037869254226</v>
      </c>
      <c r="C29" s="42">
        <f>NPV!B25</f>
        <v>763.9746213074577</v>
      </c>
      <c r="D29" s="43">
        <f>NPV!B27</f>
        <v>10.426732449352585</v>
      </c>
      <c r="E29" s="44">
        <f>NPV!B29</f>
        <v>-0.7472307285005434</v>
      </c>
    </row>
    <row r="30">
      <c r="A30" s="45" t="n">
        <v>1</v>
      </c>
      <c r="B30" s="46">
        <f t="dataTable" ref="B30:E32" r1="B4"/>
        <v>-268.1830951747752</v>
      </c>
      <c r="C30" s="46">
        <v>626.9719048252248</v>
      </c>
      <c r="D30" s="47">
        <v>8.556918152183854</v>
      </c>
      <c r="E30" s="48">
        <v>-0.7925595599470581</v>
      </c>
    </row>
    <row r="31">
      <c r="A31" s="45" t="n">
        <v>2</v>
      </c>
      <c r="B31" s="46">
        <v>-131.18037869254226</v>
      </c>
      <c r="C31" s="46">
        <v>763.9746213074577</v>
      </c>
      <c r="D31" s="47">
        <v>10.426732449352585</v>
      </c>
      <c r="E31" s="48">
        <v>-0.7472307285005434</v>
      </c>
    </row>
    <row r="32">
      <c r="A32" s="45" t="n">
        <v>3</v>
      </c>
      <c r="B32" s="46">
        <v>86.18354035003703</v>
      </c>
      <c r="C32" s="46">
        <v>981.338540350037</v>
      </c>
      <c r="D32" s="47">
        <v>13.393317156212381</v>
      </c>
      <c r="E32" s="48">
        <v>-0.6753135234857605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10.426732449352585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8.153591677412555</v>
      </c>
      <c r="C37" s="47">
        <v>8.69209335384927</v>
      </c>
      <c r="D37" s="47">
        <v>9.230595030285986</v>
      </c>
      <c r="E37" s="47">
        <v>10.248515434191356</v>
      </c>
      <c r="F37" s="47">
        <v>11.171089612648093</v>
      </c>
    </row>
    <row r="38">
      <c r="A38" s="50" t="n">
        <v>0.8</v>
      </c>
      <c r="B38" s="47">
        <v>8.438461853169931</v>
      </c>
      <c r="C38" s="47">
        <v>9.156464088418884</v>
      </c>
      <c r="D38" s="47">
        <v>9.864972946518268</v>
      </c>
      <c r="E38" s="47">
        <v>11.104837756016956</v>
      </c>
      <c r="F38" s="47">
        <v>12.302904386071155</v>
      </c>
    </row>
    <row r="39">
      <c r="A39" s="50" t="n">
        <v>1</v>
      </c>
      <c r="B39" s="47">
        <v>8.724945670132668</v>
      </c>
      <c r="C39" s="47">
        <v>9.622448464193857</v>
      </c>
      <c r="D39" s="47">
        <v>10.426732449352585</v>
      </c>
      <c r="E39" s="47">
        <v>11.943273560541218</v>
      </c>
      <c r="F39" s="47">
        <v>13.418474697424116</v>
      </c>
    </row>
    <row r="40">
      <c r="A40" s="50" t="n">
        <v>1.2</v>
      </c>
      <c r="B40" s="47">
        <v>9.013025371913162</v>
      </c>
      <c r="C40" s="47">
        <v>10.049968301692878</v>
      </c>
      <c r="D40" s="47">
        <v>10.976644574574209</v>
      </c>
      <c r="E40" s="47">
        <v>12.770163118804433</v>
      </c>
      <c r="F40" s="47">
        <v>14.52763239942079</v>
      </c>
    </row>
    <row r="41">
      <c r="A41" s="50" t="n">
        <v>1.4</v>
      </c>
      <c r="B41" s="47">
        <v>9.30268320212381</v>
      </c>
      <c r="C41" s="47">
        <v>10.454486585265162</v>
      </c>
      <c r="D41" s="47">
        <v>11.519314763421875</v>
      </c>
      <c r="E41" s="47">
        <v>13.590047261618654</v>
      </c>
      <c r="F41" s="47">
        <v>15.626595555669214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Enliven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ELVN-002, Eribulin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138.44360572734703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15.809999999999999</v>
      </c>
      <c r="U4" s="23">
        <f>IF(U$3&lt;$I4,0,$G4*Assumptions!$E$11*INDEX(Assumptions!$B$24:$G$24,MIN(6,U$3-$I4+1))*IF(U$3&gt;$J4,(1-Assumptions!$B$26)^(U$3-$J4),1)*IF($H4&gt;=1,1,MIN(0.97,$H4*Assumptions!$E$12)))</f>
        <v>39.525</v>
      </c>
      <c r="V4" s="23">
        <f>IF(V$3&lt;$I4,0,$G4*Assumptions!$E$11*INDEX(Assumptions!$B$24:$G$24,MIN(6,V$3-$I4+1))*IF(V$3&gt;$J4,(1-Assumptions!$B$26)^(V$3-$J4),1)*IF($H4&gt;=1,1,MIN(0.97,$H4*Assumptions!$E$12)))</f>
        <v>71.145</v>
      </c>
      <c r="W4" s="23">
        <f>IF(W$3&lt;$I4,0,$G4*Assumptions!$E$11*INDEX(Assumptions!$B$24:$G$24,MIN(6,W$3-$I4+1))*IF(W$3&gt;$J4,(1-Assumptions!$B$26)^(W$3-$J4),1)*IF($H4&gt;=1,1,MIN(0.97,$H4*Assumptions!$E$12)))</f>
        <v>102.765</v>
      </c>
      <c r="X4" s="23">
        <f>IF(X$3&lt;$I4,0,$G4*Assumptions!$E$11*INDEX(Assumptions!$B$24:$G$24,MIN(6,X$3-$I4+1))*IF(X$3&gt;$J4,(1-Assumptions!$B$26)^(X$3-$J4),1)*IF($H4&gt;=1,1,MIN(0.97,$H4*Assumptions!$E$12)))</f>
        <v>134.385</v>
      </c>
      <c r="Y4" s="23">
        <f>IF(Y$3&lt;$I4,0,$G4*Assumptions!$E$11*INDEX(Assumptions!$B$24:$G$24,MIN(6,Y$3-$I4+1))*IF(Y$3&gt;$J4,(1-Assumptions!$B$26)^(Y$3-$J4),1)*IF($H4&gt;=1,1,MIN(0.97,$H4*Assumptions!$E$12)))</f>
        <v>158.1</v>
      </c>
      <c r="Z4" s="23">
        <f>IF(Z$3&lt;$I4,0,$G4*Assumptions!$E$11*INDEX(Assumptions!$B$24:$G$24,MIN(6,Z$3-$I4+1))*IF(Z$3&gt;$J4,(1-Assumptions!$B$26)^(Z$3-$J4),1)*IF($H4&gt;=1,1,MIN(0.97,$H4*Assumptions!$E$12)))</f>
        <v>158.1</v>
      </c>
      <c r="AA4" s="23">
        <f>IF(AA$3&lt;$I4,0,$G4*Assumptions!$E$11*INDEX(Assumptions!$B$24:$G$24,MIN(6,AA$3-$I4+1))*IF(AA$3&gt;$J4,(1-Assumptions!$B$26)^(AA$3-$J4),1)*IF($H4&gt;=1,1,MIN(0.97,$H4*Assumptions!$E$12)))</f>
        <v>158.1</v>
      </c>
      <c r="AB4" s="23">
        <f>IF(AB$3&lt;$I4,0,$G4*Assumptions!$E$11*INDEX(Assumptions!$B$24:$G$24,MIN(6,AB$3-$I4+1))*IF(AB$3&gt;$J4,(1-Assumptions!$B$26)^(AB$3-$J4),1)*IF($H4&gt;=1,1,MIN(0.97,$H4*Assumptions!$E$12)))</f>
        <v>158.1</v>
      </c>
      <c r="AC4" s="23">
        <f>IF(AC$3&lt;$I4,0,$G4*Assumptions!$E$11*INDEX(Assumptions!$B$24:$G$24,MIN(6,AC$3-$I4+1))*IF(AC$3&gt;$J4,(1-Assumptions!$B$26)^(AC$3-$J4),1)*IF($H4&gt;=1,1,MIN(0.97,$H4*Assumptions!$E$12)))</f>
        <v>158.1</v>
      </c>
      <c r="AD4" s="23">
        <f>IF(AD$3&lt;$I4,0,$G4*Assumptions!$E$11*INDEX(Assumptions!$B$24:$G$24,MIN(6,AD$3-$I4+1))*IF(AD$3&gt;$J4,(1-Assumptions!$B$26)^(AD$3-$J4),1)*IF($H4&gt;=1,1,MIN(0.97,$H4*Assumptions!$E$12)))</f>
        <v>158.1</v>
      </c>
      <c r="AE4" s="23">
        <f>IF(AE$3&lt;$I4,0,$G4*Assumptions!$E$11*INDEX(Assumptions!$B$24:$G$24,MIN(6,AE$3-$I4+1))*IF(AE$3&gt;$J4,(1-Assumptions!$B$26)^(AE$3-$J4),1)*IF($H4&gt;=1,1,MIN(0.97,$H4*Assumptions!$E$12)))</f>
        <v>158.1</v>
      </c>
      <c r="AF4" s="23">
        <f>IF(AF$3&lt;$I4,0,$G4*Assumptions!$E$11*INDEX(Assumptions!$B$24:$G$24,MIN(6,AF$3-$I4+1))*IF(AF$3&gt;$J4,(1-Assumptions!$B$26)^(AF$3-$J4),1)*IF($H4&gt;=1,1,MIN(0.97,$H4*Assumptions!$E$12)))</f>
        <v>158.1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Leukemia</t>
        </is>
      </c>
      <c r="C5" s="14" t="inlineStr">
        <is>
          <t>ELVN-001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Lung cancer</t>
        </is>
      </c>
      <c r="C6" s="14" t="inlineStr">
        <is>
          <t>ELVN-002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1200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55.3774422909388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6.324</v>
      </c>
      <c r="U6" s="23">
        <f>IF(U$3&lt;$I6,0,$G6*Assumptions!$E$11*INDEX(Assumptions!$B$24:$G$24,MIN(6,U$3-$I6+1))*IF(U$3&gt;$J6,(1-Assumptions!$B$26)^(U$3-$J6),1)*IF($H6&gt;=1,1,MIN(0.97,$H6*Assumptions!$E$12)))</f>
        <v>15.809999999999999</v>
      </c>
      <c r="V6" s="23">
        <f>IF(V$3&lt;$I6,0,$G6*Assumptions!$E$11*INDEX(Assumptions!$B$24:$G$24,MIN(6,V$3-$I6+1))*IF(V$3&gt;$J6,(1-Assumptions!$B$26)^(V$3-$J6),1)*IF($H6&gt;=1,1,MIN(0.97,$H6*Assumptions!$E$12)))</f>
        <v>28.458</v>
      </c>
      <c r="W6" s="23">
        <f>IF(W$3&lt;$I6,0,$G6*Assumptions!$E$11*INDEX(Assumptions!$B$24:$G$24,MIN(6,W$3-$I6+1))*IF(W$3&gt;$J6,(1-Assumptions!$B$26)^(W$3-$J6),1)*IF($H6&gt;=1,1,MIN(0.97,$H6*Assumptions!$E$12)))</f>
        <v>41.105999999999995</v>
      </c>
      <c r="X6" s="23">
        <f>IF(X$3&lt;$I6,0,$G6*Assumptions!$E$11*INDEX(Assumptions!$B$24:$G$24,MIN(6,X$3-$I6+1))*IF(X$3&gt;$J6,(1-Assumptions!$B$26)^(X$3-$J6),1)*IF($H6&gt;=1,1,MIN(0.97,$H6*Assumptions!$E$12)))</f>
        <v>53.754</v>
      </c>
      <c r="Y6" s="23">
        <f>IF(Y$3&lt;$I6,0,$G6*Assumptions!$E$11*INDEX(Assumptions!$B$24:$G$24,MIN(6,Y$3-$I6+1))*IF(Y$3&gt;$J6,(1-Assumptions!$B$26)^(Y$3-$J6),1)*IF($H6&gt;=1,1,MIN(0.97,$H6*Assumptions!$E$12)))</f>
        <v>63.239999999999995</v>
      </c>
      <c r="Z6" s="23">
        <f>IF(Z$3&lt;$I6,0,$G6*Assumptions!$E$11*INDEX(Assumptions!$B$24:$G$24,MIN(6,Z$3-$I6+1))*IF(Z$3&gt;$J6,(1-Assumptions!$B$26)^(Z$3-$J6),1)*IF($H6&gt;=1,1,MIN(0.97,$H6*Assumptions!$E$12)))</f>
        <v>63.239999999999995</v>
      </c>
      <c r="AA6" s="23">
        <f>IF(AA$3&lt;$I6,0,$G6*Assumptions!$E$11*INDEX(Assumptions!$B$24:$G$24,MIN(6,AA$3-$I6+1))*IF(AA$3&gt;$J6,(1-Assumptions!$B$26)^(AA$3-$J6),1)*IF($H6&gt;=1,1,MIN(0.97,$H6*Assumptions!$E$12)))</f>
        <v>63.239999999999995</v>
      </c>
      <c r="AB6" s="23">
        <f>IF(AB$3&lt;$I6,0,$G6*Assumptions!$E$11*INDEX(Assumptions!$B$24:$G$24,MIN(6,AB$3-$I6+1))*IF(AB$3&gt;$J6,(1-Assumptions!$B$26)^(AB$3-$J6),1)*IF($H6&gt;=1,1,MIN(0.97,$H6*Assumptions!$E$12)))</f>
        <v>63.239999999999995</v>
      </c>
      <c r="AC6" s="23">
        <f>IF(AC$3&lt;$I6,0,$G6*Assumptions!$E$11*INDEX(Assumptions!$B$24:$G$24,MIN(6,AC$3-$I6+1))*IF(AC$3&gt;$J6,(1-Assumptions!$B$26)^(AC$3-$J6),1)*IF($H6&gt;=1,1,MIN(0.97,$H6*Assumptions!$E$12)))</f>
        <v>63.239999999999995</v>
      </c>
      <c r="AD6" s="23">
        <f>IF(AD$3&lt;$I6,0,$G6*Assumptions!$E$11*INDEX(Assumptions!$B$24:$G$24,MIN(6,AD$3-$I6+1))*IF(AD$3&gt;$J6,(1-Assumptions!$B$26)^(AD$3-$J6),1)*IF($H6&gt;=1,1,MIN(0.97,$H6*Assumptions!$E$12)))</f>
        <v>63.239999999999995</v>
      </c>
      <c r="AE6" s="23">
        <f>IF(AE$3&lt;$I6,0,$G6*Assumptions!$E$11*INDEX(Assumptions!$B$24:$G$24,MIN(6,AE$3-$I6+1))*IF(AE$3&gt;$J6,(1-Assumptions!$B$26)^(AE$3-$J6),1)*IF($H6&gt;=1,1,MIN(0.97,$H6*Assumptions!$E$12)))</f>
        <v>63.239999999999995</v>
      </c>
      <c r="AF6" s="23">
        <f>IF(AF$3&lt;$I6,0,$G6*Assumptions!$E$11*INDEX(Assumptions!$B$24:$G$24,MIN(6,AF$3-$I6+1))*IF(AF$3&gt;$J6,(1-Assumptions!$B$26)^(AF$3-$J6),1)*IF($H6&gt;=1,1,MIN(0.97,$H6*Assumptions!$E$12)))</f>
        <v>63.239999999999995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263.04285088195934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0.0</v>
      </c>
      <c r="S7" s="54">
        <f>SUM(S4:S6)</f>
        <v>0.0</v>
      </c>
      <c r="T7" s="54">
        <f>SUM(T4:T6)</f>
        <v>30.038999999999994</v>
      </c>
      <c r="U7" s="54">
        <f>SUM(U4:U6)</f>
        <v>75.0975</v>
      </c>
      <c r="V7" s="54">
        <f>SUM(V4:V6)</f>
        <v>135.1755</v>
      </c>
      <c r="W7" s="54">
        <f>SUM(W4:W6)</f>
        <v>195.2535</v>
      </c>
      <c r="X7" s="54">
        <f>SUM(X4:X6)</f>
        <v>255.33149999999998</v>
      </c>
      <c r="Y7" s="54">
        <f>SUM(Y4:Y6)</f>
        <v>300.39</v>
      </c>
      <c r="Z7" s="54">
        <f>SUM(Z4:Z6)</f>
        <v>300.39</v>
      </c>
      <c r="AA7" s="54">
        <f>SUM(AA4:AA6)</f>
        <v>300.39</v>
      </c>
      <c r="AB7" s="54">
        <f>SUM(AB4:AB6)</f>
        <v>300.39</v>
      </c>
      <c r="AC7" s="54">
        <f>SUM(AC4:AC6)</f>
        <v>300.39</v>
      </c>
      <c r="AD7" s="54">
        <f>SUM(AD4:AD6)</f>
        <v>300.39</v>
      </c>
      <c r="AE7" s="54">
        <f>SUM(AE4:AE6)</f>
        <v>300.39</v>
      </c>
      <c r="AF7" s="54">
        <f>SUM(AF4:AF6)</f>
        <v>300.39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0.0</v>
      </c>
      <c r="S8" s="55">
        <f>SUMPRODUCT(S4:S6,$K$4:$K$6)</f>
        <v>0.0</v>
      </c>
      <c r="T8" s="55">
        <f>SUMPRODUCT(T4:T6,$K$4:$K$6)</f>
        <v>12.015600000000001</v>
      </c>
      <c r="U8" s="55">
        <f>SUMPRODUCT(U4:U6,$K$4:$K$6)</f>
        <v>30.039</v>
      </c>
      <c r="V8" s="55">
        <f>SUMPRODUCT(V4:V6,$K$4:$K$6)</f>
        <v>54.0702</v>
      </c>
      <c r="W8" s="55">
        <f>SUMPRODUCT(W4:W6,$K$4:$K$6)</f>
        <v>78.10140000000001</v>
      </c>
      <c r="X8" s="55">
        <f>SUMPRODUCT(X4:X6,$K$4:$K$6)</f>
        <v>102.1326</v>
      </c>
      <c r="Y8" s="55">
        <f>SUMPRODUCT(Y4:Y6,$K$4:$K$6)</f>
        <v>120.156</v>
      </c>
      <c r="Z8" s="55">
        <f>SUMPRODUCT(Z4:Z6,$K$4:$K$6)</f>
        <v>120.156</v>
      </c>
      <c r="AA8" s="55">
        <f>SUMPRODUCT(AA4:AA6,$K$4:$K$6)</f>
        <v>120.156</v>
      </c>
      <c r="AB8" s="55">
        <f>SUMPRODUCT(AB4:AB6,$K$4:$K$6)</f>
        <v>120.156</v>
      </c>
      <c r="AC8" s="55">
        <f>SUMPRODUCT(AC4:AC6,$K$4:$K$6)</f>
        <v>120.156</v>
      </c>
      <c r="AD8" s="55">
        <f>SUMPRODUCT(AD4:AD6,$K$4:$K$6)</f>
        <v>120.156</v>
      </c>
      <c r="AE8" s="55">
        <f>SUMPRODUCT(AE4:AE6,$K$4:$K$6)</f>
        <v>120.156</v>
      </c>
      <c r="AF8" s="55">
        <f>SUMPRODUCT(AF4:AF6,$K$4:$K$6)</f>
        <v>120.156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Enliven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0.0</v>
      </c>
      <c r="I4" s="57">
        <f>Pipeline!S7</f>
        <v>0.0</v>
      </c>
      <c r="J4" s="57">
        <f>Pipeline!T7</f>
        <v>30.038999999999994</v>
      </c>
      <c r="K4" s="57">
        <f>Pipeline!U7</f>
        <v>75.0975</v>
      </c>
      <c r="L4" s="57">
        <f>Pipeline!V7</f>
        <v>135.1755</v>
      </c>
      <c r="M4" s="57">
        <f>Pipeline!W7</f>
        <v>195.2535</v>
      </c>
      <c r="N4" s="57">
        <f>Pipeline!X7</f>
        <v>255.33149999999998</v>
      </c>
      <c r="O4" s="57">
        <f>Pipeline!Y7</f>
        <v>300.39</v>
      </c>
      <c r="P4" s="57">
        <f>Pipeline!Z7</f>
        <v>300.39</v>
      </c>
      <c r="Q4" s="57">
        <f>Pipeline!AA7</f>
        <v>300.39</v>
      </c>
      <c r="R4" s="57">
        <f>Pipeline!AB7</f>
        <v>300.39</v>
      </c>
      <c r="S4" s="57">
        <f>Pipeline!AC7</f>
        <v>300.39</v>
      </c>
      <c r="T4" s="57">
        <f>Pipeline!AD7</f>
        <v>300.39</v>
      </c>
      <c r="U4" s="57">
        <f>Pipeline!AE7</f>
        <v>300.39</v>
      </c>
      <c r="V4" s="57">
        <f>Pipeline!AF7</f>
        <v>300.39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0.0</v>
      </c>
      <c r="I5" s="57">
        <f>Pipeline!S8</f>
        <v>0.0</v>
      </c>
      <c r="J5" s="57">
        <f>Pipeline!T8</f>
        <v>12.015600000000001</v>
      </c>
      <c r="K5" s="57">
        <f>Pipeline!U8</f>
        <v>30.039</v>
      </c>
      <c r="L5" s="57">
        <f>Pipeline!V8</f>
        <v>54.0702</v>
      </c>
      <c r="M5" s="57">
        <f>Pipeline!W8</f>
        <v>78.10140000000001</v>
      </c>
      <c r="N5" s="57">
        <f>Pipeline!X8</f>
        <v>102.1326</v>
      </c>
      <c r="O5" s="57">
        <f>Pipeline!Y8</f>
        <v>120.156</v>
      </c>
      <c r="P5" s="57">
        <f>Pipeline!Z8</f>
        <v>120.156</v>
      </c>
      <c r="Q5" s="57">
        <f>Pipeline!AA8</f>
        <v>120.156</v>
      </c>
      <c r="R5" s="57">
        <f>Pipeline!AB8</f>
        <v>120.156</v>
      </c>
      <c r="S5" s="57">
        <f>Pipeline!AC8</f>
        <v>120.156</v>
      </c>
      <c r="T5" s="57">
        <f>Pipeline!AD8</f>
        <v>120.156</v>
      </c>
      <c r="U5" s="57">
        <f>Pipeline!AE8</f>
        <v>120.156</v>
      </c>
      <c r="V5" s="57">
        <f>Pipeline!AF8</f>
        <v>120.156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-124.413</v>
      </c>
      <c r="D6" s="23">
        <f>-IF(D3-2026&lt;Assumptions!$B$19,Assumptions!$B$18,Assumptions!$B$18*Assumptions!$B$20*Assumptions!$B$16)</f>
        <v>-124.413</v>
      </c>
      <c r="E6" s="23">
        <f>-IF(E3-2026&lt;Assumptions!$B$19,Assumptions!$B$18,Assumptions!$B$18*Assumptions!$B$20*Assumptions!$B$16)</f>
        <v>-124.413</v>
      </c>
      <c r="F6" s="23">
        <f>-IF(F3-2026&lt;Assumptions!$B$19,Assumptions!$B$18,Assumptions!$B$18*Assumptions!$B$20*Assumptions!$B$16)</f>
        <v>-124.413</v>
      </c>
      <c r="G6" s="23">
        <f>-IF(G3-2026&lt;Assumptions!$B$19,Assumptions!$B$18,Assumptions!$B$18*Assumptions!$B$20*Assumptions!$B$16)</f>
        <v>-5.595393552112968</v>
      </c>
      <c r="H6" s="23">
        <f>-IF(H3-2026&lt;Assumptions!$B$19,Assumptions!$B$18,Assumptions!$B$18*Assumptions!$B$20*Assumptions!$B$16)</f>
        <v>-5.595393552112968</v>
      </c>
      <c r="I6" s="23">
        <f>-IF(I3-2026&lt;Assumptions!$B$19,Assumptions!$B$18,Assumptions!$B$18*Assumptions!$B$20*Assumptions!$B$16)</f>
        <v>-5.595393552112968</v>
      </c>
      <c r="J6" s="23">
        <f>-IF(J3-2026&lt;Assumptions!$B$19,Assumptions!$B$18,Assumptions!$B$18*Assumptions!$B$20*Assumptions!$B$16)</f>
        <v>-5.595393552112968</v>
      </c>
      <c r="K6" s="23">
        <f>-IF(K3-2026&lt;Assumptions!$B$19,Assumptions!$B$18,Assumptions!$B$18*Assumptions!$B$20*Assumptions!$B$16)</f>
        <v>-5.595393552112968</v>
      </c>
      <c r="L6" s="23">
        <f>-IF(L3-2026&lt;Assumptions!$B$19,Assumptions!$B$18,Assumptions!$B$18*Assumptions!$B$20*Assumptions!$B$16)</f>
        <v>-5.595393552112968</v>
      </c>
      <c r="M6" s="23">
        <f>-IF(M3-2026&lt;Assumptions!$B$19,Assumptions!$B$18,Assumptions!$B$18*Assumptions!$B$20*Assumptions!$B$16)</f>
        <v>-5.595393552112968</v>
      </c>
      <c r="N6" s="23">
        <f>-IF(N3-2026&lt;Assumptions!$B$19,Assumptions!$B$18,Assumptions!$B$18*Assumptions!$B$20*Assumptions!$B$16)</f>
        <v>-5.595393552112968</v>
      </c>
      <c r="O6" s="23">
        <f>-IF(O3-2026&lt;Assumptions!$B$19,Assumptions!$B$18,Assumptions!$B$18*Assumptions!$B$20*Assumptions!$B$16)</f>
        <v>-5.595393552112968</v>
      </c>
      <c r="P6" s="23">
        <f>-IF(P3-2026&lt;Assumptions!$B$19,Assumptions!$B$18,Assumptions!$B$18*Assumptions!$B$20*Assumptions!$B$16)</f>
        <v>-5.595393552112968</v>
      </c>
      <c r="Q6" s="23">
        <f>-IF(Q3-2026&lt;Assumptions!$B$19,Assumptions!$B$18,Assumptions!$B$18*Assumptions!$B$20*Assumptions!$B$16)</f>
        <v>-5.595393552112968</v>
      </c>
      <c r="R6" s="23">
        <f>-IF(R3-2026&lt;Assumptions!$B$19,Assumptions!$B$18,Assumptions!$B$18*Assumptions!$B$20*Assumptions!$B$16)</f>
        <v>-5.595393552112968</v>
      </c>
      <c r="S6" s="23">
        <f>-IF(S3-2026&lt;Assumptions!$B$19,Assumptions!$B$18,Assumptions!$B$18*Assumptions!$B$20*Assumptions!$B$16)</f>
        <v>-5.595393552112968</v>
      </c>
      <c r="T6" s="23">
        <f>-IF(T3-2026&lt;Assumptions!$B$19,Assumptions!$B$18,Assumptions!$B$18*Assumptions!$B$20*Assumptions!$B$16)</f>
        <v>-5.595393552112968</v>
      </c>
      <c r="U6" s="23">
        <f>-IF(U3-2026&lt;Assumptions!$B$19,Assumptions!$B$18,Assumptions!$B$18*Assumptions!$B$20*Assumptions!$B$16)</f>
        <v>-5.595393552112968</v>
      </c>
      <c r="V6" s="23">
        <f>-IF(V3-2026&lt;Assumptions!$B$19,Assumptions!$B$18,Assumptions!$B$18*Assumptions!$B$20*Assumptions!$B$16)</f>
        <v>-5.595393552112968</v>
      </c>
    </row>
    <row r="7">
      <c r="A7" s="14" t="inlineStr">
        <is>
          <t>Pre-tax cash flow</t>
        </is>
      </c>
      <c r="C7" s="23">
        <f>C5+C6</f>
        <v>-124.413</v>
      </c>
      <c r="D7" s="23">
        <f>D5+D6</f>
        <v>-124.413</v>
      </c>
      <c r="E7" s="23">
        <f>E5+E6</f>
        <v>-124.413</v>
      </c>
      <c r="F7" s="23">
        <f>F5+F6</f>
        <v>-124.413</v>
      </c>
      <c r="G7" s="23">
        <f>G5+G6</f>
        <v>-5.595393552112968</v>
      </c>
      <c r="H7" s="23">
        <f>H5+H6</f>
        <v>-5.595393552112968</v>
      </c>
      <c r="I7" s="23">
        <f>I5+I6</f>
        <v>-5.595393552112968</v>
      </c>
      <c r="J7" s="23">
        <f>J5+J6</f>
        <v>6.420206447887033</v>
      </c>
      <c r="K7" s="23">
        <f>K5+K6</f>
        <v>24.443606447887035</v>
      </c>
      <c r="L7" s="23">
        <f>L5+L6</f>
        <v>48.47480644788703</v>
      </c>
      <c r="M7" s="23">
        <f>M5+M6</f>
        <v>72.50600644788705</v>
      </c>
      <c r="N7" s="23">
        <f>N5+N6</f>
        <v>96.53720644788703</v>
      </c>
      <c r="O7" s="23">
        <f>O5+O6</f>
        <v>114.56060644788704</v>
      </c>
      <c r="P7" s="23">
        <f>P5+P6</f>
        <v>114.56060644788704</v>
      </c>
      <c r="Q7" s="23">
        <f>Q5+Q6</f>
        <v>114.56060644788704</v>
      </c>
      <c r="R7" s="23">
        <f>R5+R6</f>
        <v>114.56060644788704</v>
      </c>
      <c r="S7" s="23">
        <f>S5+S6</f>
        <v>114.56060644788704</v>
      </c>
      <c r="T7" s="23">
        <f>T5+T6</f>
        <v>114.56060644788704</v>
      </c>
      <c r="U7" s="23">
        <f>U5+U6</f>
        <v>114.56060644788704</v>
      </c>
      <c r="V7" s="23">
        <f>V5+V6</f>
        <v>114.56060644788704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6.420206447887033</v>
      </c>
      <c r="K8" s="23">
        <f>MIN(J17,MAX(0,K7))</f>
        <v>24.443606447887035</v>
      </c>
      <c r="L8" s="23">
        <f>MIN(K17,MAX(0,L7))</f>
        <v>48.47480644788703</v>
      </c>
      <c r="M8" s="23">
        <f>MIN(L17,MAX(0,M7))</f>
        <v>72.50600644788705</v>
      </c>
      <c r="N8" s="23">
        <f>MIN(M17,MAX(0,N7))</f>
        <v>96.53720644788703</v>
      </c>
      <c r="O8" s="23">
        <f>MIN(N17,MAX(0,O7))</f>
        <v>114.56060644788704</v>
      </c>
      <c r="P8" s="23">
        <f>MIN(O17,MAX(0,P7))</f>
        <v>114.56060644788704</v>
      </c>
      <c r="Q8" s="23">
        <f>MIN(P17,MAX(0,Q7))</f>
        <v>114.56060644788704</v>
      </c>
      <c r="R8" s="23">
        <f>MIN(Q17,MAX(0,R7))</f>
        <v>114.56060644788704</v>
      </c>
      <c r="S8" s="23">
        <f>MIN(R17,MAX(0,S7))</f>
        <v>114.56060644788704</v>
      </c>
      <c r="T8" s="23">
        <f>MIN(S17,MAX(0,T7))</f>
        <v>84.7533161774686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29.807290270418434</v>
      </c>
      <c r="U9" s="23">
        <f>MAX(0,U7)-U8</f>
        <v>114.56060644788704</v>
      </c>
      <c r="V9" s="23">
        <f>MAX(0,V7)-V8</f>
        <v>114.56060644788704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6.259530956787871</v>
      </c>
      <c r="U10" s="23">
        <f>U9*Assumptions!$E$15</f>
        <v>24.057727354056276</v>
      </c>
      <c r="V10" s="23">
        <f>V9*Assumptions!$E$15</f>
        <v>24.057727354056276</v>
      </c>
    </row>
    <row r="11">
      <c r="A11" s="24" t="inlineStr">
        <is>
          <t>Free cash flow</t>
        </is>
      </c>
      <c r="C11" s="55">
        <f>C7-C10</f>
        <v>-124.413</v>
      </c>
      <c r="D11" s="55">
        <f>D7-D10</f>
        <v>-124.413</v>
      </c>
      <c r="E11" s="55">
        <f>E7-E10</f>
        <v>-124.413</v>
      </c>
      <c r="F11" s="55">
        <f>F7-F10</f>
        <v>-124.413</v>
      </c>
      <c r="G11" s="55">
        <f>G7-G10</f>
        <v>-5.595393552112968</v>
      </c>
      <c r="H11" s="55">
        <f>H7-H10</f>
        <v>-5.595393552112968</v>
      </c>
      <c r="I11" s="55">
        <f>I7-I10</f>
        <v>-5.595393552112968</v>
      </c>
      <c r="J11" s="55">
        <f>J7-J10</f>
        <v>6.420206447887033</v>
      </c>
      <c r="K11" s="55">
        <f>K7-K10</f>
        <v>24.443606447887035</v>
      </c>
      <c r="L11" s="55">
        <f>L7-L10</f>
        <v>48.47480644788703</v>
      </c>
      <c r="M11" s="55">
        <f>M7-M10</f>
        <v>72.50600644788705</v>
      </c>
      <c r="N11" s="55">
        <f>N7-N10</f>
        <v>96.53720644788703</v>
      </c>
      <c r="O11" s="55">
        <f>O7-O10</f>
        <v>114.56060644788704</v>
      </c>
      <c r="P11" s="55">
        <f>P7-P10</f>
        <v>114.56060644788704</v>
      </c>
      <c r="Q11" s="55">
        <f>Q7-Q10</f>
        <v>114.56060644788704</v>
      </c>
      <c r="R11" s="55">
        <f>R7-R10</f>
        <v>114.56060644788704</v>
      </c>
      <c r="S11" s="55">
        <f>S7-S10</f>
        <v>114.56060644788704</v>
      </c>
      <c r="T11" s="55">
        <f>T7-T10</f>
        <v>108.30107549109917</v>
      </c>
      <c r="U11" s="55">
        <f>U7-U10</f>
        <v>90.50287909383076</v>
      </c>
      <c r="V11" s="55">
        <f>V7-V10</f>
        <v>90.50287909383076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-60.950469773961046</v>
      </c>
      <c r="D16" s="55">
        <f>D11*D15</f>
        <v>-111.03143323666868</v>
      </c>
      <c r="E16" s="55">
        <f>E11*E15</f>
        <v>-99.13520824702557</v>
      </c>
      <c r="F16" s="55">
        <f>F11*F15</f>
        <v>-88.51357879198711</v>
      </c>
      <c r="G16" s="55">
        <f>G11*G15</f>
        <v>-3.554321867253823</v>
      </c>
      <c r="H16" s="55">
        <f>H11*H15</f>
        <v>-3.173501667190913</v>
      </c>
      <c r="I16" s="55">
        <f>I11*I15</f>
        <v>-2.8334836314204574</v>
      </c>
      <c r="J16" s="55">
        <f>J11*J15</f>
        <v>2.902826244321733</v>
      </c>
      <c r="K16" s="55">
        <f>K11*K15</f>
        <v>9.867776571453712</v>
      </c>
      <c r="L16" s="55">
        <f>L11*L15</f>
        <v>17.472380777771622</v>
      </c>
      <c r="M16" s="55">
        <f>M11*M15</f>
        <v>23.33414889250217</v>
      </c>
      <c r="N16" s="55">
        <f>N11*N15</f>
        <v>27.73924804004562</v>
      </c>
      <c r="O16" s="55">
        <f>O11*O15</f>
        <v>29.391194586346298</v>
      </c>
      <c r="P16" s="55">
        <f>P11*P15</f>
        <v>26.242138023523474</v>
      </c>
      <c r="Q16" s="55">
        <f>Q11*Q15</f>
        <v>23.430480378145962</v>
      </c>
      <c r="R16" s="55">
        <f>R11*R15</f>
        <v>20.92007176620175</v>
      </c>
      <c r="S16" s="55">
        <f>S11*S15</f>
        <v>18.678635505537272</v>
      </c>
      <c r="T16" s="55">
        <f>T11*T15</f>
        <v>15.766111373890135</v>
      </c>
      <c r="U16" s="55">
        <f>U11*U15</f>
        <v>11.763490154156923</v>
      </c>
      <c r="V16" s="55">
        <f>V11*V15</f>
        <v>10.50311620906868</v>
      </c>
    </row>
    <row r="17">
      <c r="A17" s="14" t="inlineStr">
        <is>
          <t>Tax-loss carryforward, end of year</t>
        </is>
      </c>
      <c r="C17" s="23">
        <f>Assumptions!$B$21-C8+MAX(0,-C7)</f>
        <v>515.913</v>
      </c>
      <c r="D17" s="23">
        <f>C17-D8+MAX(0,-D7)</f>
        <v>640.326</v>
      </c>
      <c r="E17" s="23">
        <f>D17-E8+MAX(0,-E7)</f>
        <v>764.739</v>
      </c>
      <c r="F17" s="23">
        <f>E17-F8+MAX(0,-F7)</f>
        <v>889.152</v>
      </c>
      <c r="G17" s="23">
        <f>F17-G8+MAX(0,-G7)</f>
        <v>894.7473935521131</v>
      </c>
      <c r="H17" s="23">
        <f>G17-H8+MAX(0,-H7)</f>
        <v>900.3427871042261</v>
      </c>
      <c r="I17" s="23">
        <f>H17-I8+MAX(0,-I7)</f>
        <v>905.9381806563391</v>
      </c>
      <c r="J17" s="23">
        <f>I17-J8+MAX(0,-J7)</f>
        <v>899.5179742084521</v>
      </c>
      <c r="K17" s="23">
        <f>J17-K8+MAX(0,-K7)</f>
        <v>875.074367760565</v>
      </c>
      <c r="L17" s="23">
        <f>K17-L8+MAX(0,-L7)</f>
        <v>826.5995613126779</v>
      </c>
      <c r="M17" s="23">
        <f>L17-M8+MAX(0,-M7)</f>
        <v>754.0935548647908</v>
      </c>
      <c r="N17" s="23">
        <f>M17-N8+MAX(0,-N7)</f>
        <v>657.5563484169038</v>
      </c>
      <c r="O17" s="23">
        <f>N17-O8+MAX(0,-O7)</f>
        <v>542.9957419690168</v>
      </c>
      <c r="P17" s="23">
        <f>O17-P8+MAX(0,-P7)</f>
        <v>428.4351355211297</v>
      </c>
      <c r="Q17" s="23">
        <f>P17-Q8+MAX(0,-Q7)</f>
        <v>313.8745290732427</v>
      </c>
      <c r="R17" s="23">
        <f>Q17-R8+MAX(0,-R7)</f>
        <v>199.31392262535564</v>
      </c>
      <c r="S17" s="23">
        <f>R17-S8+MAX(0,-S7)</f>
        <v>84.7533161774686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263.0428508819594</v>
      </c>
    </row>
    <row r="20">
      <c r="A20" s="14" t="inlineStr">
        <is>
          <t>PV of corporate burn</t>
        </is>
      </c>
      <c r="B20" s="23">
        <f>SUMPRODUCT(C6:V6,C15:V15)</f>
        <v>-387.39301650670427</v>
      </c>
    </row>
    <row r="21">
      <c r="A21" s="14" t="inlineStr">
        <is>
          <t>PV of taxes</t>
        </is>
      </c>
      <c r="B21" s="23">
        <f>-SUMPRODUCT(C10:V10,C15:V15)</f>
        <v>-6.830213067797372</v>
      </c>
    </row>
    <row r="22">
      <c r="A22" s="24" t="inlineStr">
        <is>
          <t>Pipeline rNPV (operations)</t>
        </is>
      </c>
      <c r="B22" s="54">
        <f>SUM(C16:V16)</f>
        <v>-131.18037869254226</v>
      </c>
    </row>
    <row r="23">
      <c r="A23" s="14" t="inlineStr">
        <is>
          <t>Cash &amp; investments</t>
        </is>
      </c>
      <c r="B23" s="57">
        <f>Main!C7</f>
        <v>895.155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763.9746213074577</v>
      </c>
    </row>
    <row r="26">
      <c r="A26" s="14" t="inlineStr">
        <is>
          <t>Shares (mm)</t>
        </is>
      </c>
      <c r="B26" s="57">
        <f>Main!C4</f>
        <v>73.270761</v>
      </c>
    </row>
    <row r="27">
      <c r="A27" s="24" t="inlineStr">
        <is>
          <t>rNPV / share</t>
        </is>
      </c>
      <c r="B27" s="60">
        <f>B25/B26</f>
        <v>10.426732449352585</v>
      </c>
    </row>
    <row r="28">
      <c r="A28" s="14" t="inlineStr">
        <is>
          <t>Price</t>
        </is>
      </c>
      <c r="B28" s="61">
        <f>Main!C3</f>
        <v>41.25</v>
      </c>
    </row>
    <row r="29">
      <c r="A29" s="14" t="inlineStr">
        <is>
          <t>Upside</t>
        </is>
      </c>
      <c r="B29" s="62">
        <f>B27/B28-1</f>
        <v>-0.7472307285005434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2026-10-21T06:22:16Z</dcterms:modified>
  <cp:lastModifiedBy>Wang, Eric</cp:lastModifiedBy>
</cp:coreProperties>
</file>