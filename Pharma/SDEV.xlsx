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Stablecoin Development Corp</t>
        </is>
      </c>
      <c r="C2" s="10" t="n"/>
    </row>
    <row r="3">
      <c r="B3" t="inlineStr">
        <is>
          <t>Price</t>
        </is>
      </c>
      <c r="C3" s="11">
        <f>INDEX([1]Pharma!$F$1:$F$1000,MATCH("SDEV",[1]Pharma!$B$1:$B$1000,0))</f>
        <v>0.8935</v>
      </c>
      <c r="F3" s="1" t="n"/>
    </row>
    <row r="4">
      <c r="B4" t="inlineStr">
        <is>
          <t>Shares</t>
        </is>
      </c>
      <c r="C4" s="21" t="n">
        <v>50.615437</v>
      </c>
      <c r="F4" s="1" t="n"/>
    </row>
    <row r="5">
      <c r="B5" t="inlineStr">
        <is>
          <t>Market Cap.</t>
        </is>
      </c>
      <c r="C5" s="13">
        <f>C3*C4</f>
        <v>45.224892959499996</v>
      </c>
      <c r="F5" s="1" t="n"/>
    </row>
    <row r="6"/>
    <row r="7">
      <c r="B7" t="inlineStr">
        <is>
          <t>Cash</t>
        </is>
      </c>
      <c r="C7" s="21" t="n">
        <v>6.968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38.25689295949999</v>
      </c>
    </row>
    <row r="10"/>
    <row r="11">
      <c r="B11" s="14" t="inlineStr">
        <is>
          <t>Net Cash / Share</t>
        </is>
      </c>
      <c r="C11" s="11">
        <f>(C7-C8)/C4</f>
        <v>0.13766551101791336</v>
      </c>
    </row>
    <row r="12">
      <c r="B12" s="14" t="inlineStr">
        <is>
          <t>Upside</t>
        </is>
      </c>
      <c r="C12" s="15">
        <f>IFERROR(C11/C3-1,"")</f>
        <v>-0.8459255612558328</v>
      </c>
    </row>
    <row r="13">
      <c r="B13" s="14" t="inlineStr">
        <is>
          <t>Cash / Share</t>
        </is>
      </c>
      <c r="C13" s="11">
        <f>IFERROR((C7-C8)/C4,"")</f>
        <v>0.13766551101791336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-12.351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0.5641648449518257</v>
      </c>
    </row>
    <row r="19">
      <c r="B19" s="14" t="inlineStr">
        <is>
          <t>Implied Pipeline Value</t>
        </is>
      </c>
      <c r="C19" s="13">
        <f>C9</f>
        <v>38.25689295949999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2009</v>
      </c>
      <c r="C1" s="17" t="n">
        <v>2010</v>
      </c>
      <c r="D1" s="17" t="n">
        <v>2011</v>
      </c>
      <c r="E1" s="17" t="n">
        <v>2012</v>
      </c>
      <c r="F1" s="17" t="n">
        <v>2013</v>
      </c>
      <c r="G1" s="17" t="n">
        <v>2014</v>
      </c>
      <c r="H1" s="17" t="n">
        <v>2015</v>
      </c>
      <c r="I1" s="17" t="n">
        <v>2016</v>
      </c>
      <c r="J1" s="17" t="n">
        <v>2017</v>
      </c>
      <c r="K1" s="17" t="n">
        <v>2018</v>
      </c>
      <c r="L1" s="17" t="n">
        <v>2019</v>
      </c>
      <c r="M1" s="17" t="n">
        <v>2020</v>
      </c>
      <c r="N1" s="17" t="n">
        <v>2021</v>
      </c>
      <c r="O1" s="17" t="n">
        <v>2022</v>
      </c>
      <c r="P1" s="17" t="n">
        <v>2023</v>
      </c>
      <c r="Q1" s="17" t="n">
        <v>2024</v>
      </c>
      <c r="R1" s="17" t="n">
        <v>2025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15.684</v>
      </c>
      <c r="C2" s="23" t="n">
        <v>9.754</v>
      </c>
      <c r="D2" s="23" t="n">
        <v>11.019</v>
      </c>
      <c r="E2" s="23" t="n">
        <v>6.933</v>
      </c>
      <c r="F2" s="23" t="n">
        <v>3.477</v>
      </c>
      <c r="G2" s="23" t="n">
        <v>1.054</v>
      </c>
      <c r="H2" s="23" t="n">
        <v>4.381</v>
      </c>
      <c r="I2" s="23" t="n">
        <v>11.897</v>
      </c>
      <c r="J2" s="23" t="n">
        <v>18.23</v>
      </c>
      <c r="K2" s="23" t="n">
        <v>12.508</v>
      </c>
      <c r="L2" s="23" t="n">
        <v>6.599</v>
      </c>
      <c r="M2" s="23" t="n">
        <v>9.933999999999999</v>
      </c>
      <c r="N2" s="23" t="n">
        <v>10.204</v>
      </c>
      <c r="O2" s="23" t="n">
        <v>14.404</v>
      </c>
      <c r="P2" s="23" t="n">
        <v>10.455</v>
      </c>
      <c r="Q2" s="23" t="n">
        <v>9.781000000000001</v>
      </c>
      <c r="R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0.008</v>
      </c>
      <c r="F3" s="23" t="n">
        <v>0.162</v>
      </c>
      <c r="G3" s="23" t="n">
        <v>0.486</v>
      </c>
      <c r="H3" s="23" t="n">
        <v>1.261</v>
      </c>
      <c r="I3" s="23" t="n">
        <v>2.464</v>
      </c>
      <c r="J3" s="23" t="n">
        <v>2.784</v>
      </c>
      <c r="K3" s="23" t="n">
        <v>1.503</v>
      </c>
      <c r="L3" s="23" t="n">
        <v>1.738</v>
      </c>
      <c r="M3" s="23" t="n">
        <v>3.97</v>
      </c>
      <c r="N3" s="23" t="n">
        <v>3.689</v>
      </c>
      <c r="O3" s="23" t="n">
        <v>6.623</v>
      </c>
      <c r="P3" s="23" t="n">
        <v>4.371</v>
      </c>
      <c r="Q3" s="23" t="n">
        <v>3.3</v>
      </c>
      <c r="R3" s="23" t="n">
        <v>0</v>
      </c>
    </row>
    <row r="4" customFormat="1" s="1">
      <c r="A4" s="5" t="inlineStr">
        <is>
          <t>Gross Margin</t>
        </is>
      </c>
      <c r="B4" s="23">
        <f>B2-B3</f>
        <v>15.684</v>
      </c>
      <c r="C4" s="23">
        <f>C2-C3</f>
        <v>9.754</v>
      </c>
      <c r="D4" s="23">
        <f>D2-D3</f>
        <v>11.019</v>
      </c>
      <c r="E4" s="23">
        <f>E2-E3</f>
        <v>6.925</v>
      </c>
      <c r="F4" s="23">
        <f>F2-F3</f>
        <v>3.315</v>
      </c>
      <c r="G4" s="23">
        <f>G2-G3</f>
        <v>0.5680000000000001</v>
      </c>
      <c r="H4" s="23">
        <f>H2-H3</f>
        <v>3.12</v>
      </c>
      <c r="I4" s="23">
        <f>I2-I3</f>
        <v>9.433</v>
      </c>
      <c r="J4" s="23">
        <f>J2-J3</f>
        <v>15.446000000000002</v>
      </c>
      <c r="K4" s="23">
        <f>K2-K3</f>
        <v>11.004999999999999</v>
      </c>
      <c r="L4" s="23">
        <f>L2-L3</f>
        <v>4.861000000000001</v>
      </c>
      <c r="M4" s="23">
        <f>M2-M3</f>
        <v>5.963999999999999</v>
      </c>
      <c r="N4" s="23">
        <f>N2-N3</f>
        <v>6.515000000000001</v>
      </c>
      <c r="O4" s="23">
        <f>O2-O3</f>
        <v>7.781</v>
      </c>
      <c r="P4" s="23">
        <f>P2-P3</f>
        <v>6.084</v>
      </c>
      <c r="Q4" s="23">
        <f>Q2-Q3</f>
        <v>6.481000000000001</v>
      </c>
      <c r="R4" s="23">
        <f>R2-R3</f>
        <v>0.0</v>
      </c>
    </row>
    <row r="5">
      <c r="A5" s="2" t="inlineStr">
        <is>
          <t>Research &amp; Dev.</t>
        </is>
      </c>
      <c r="B5" s="23" t="n">
        <v>7.337</v>
      </c>
      <c r="C5" s="23" t="n">
        <v>8.616</v>
      </c>
      <c r="D5" s="23" t="n">
        <v>9.911</v>
      </c>
      <c r="E5" s="23" t="n">
        <v>9.275</v>
      </c>
      <c r="F5" s="23" t="n">
        <v>12.461</v>
      </c>
      <c r="G5" s="23" t="n">
        <v>9.483000000000001</v>
      </c>
      <c r="H5" s="23" t="n">
        <v>5.728</v>
      </c>
      <c r="I5" s="23" t="n">
        <v>1.371</v>
      </c>
      <c r="J5" s="23" t="n">
        <v>0.41</v>
      </c>
      <c r="K5" s="23" t="n">
        <v>0.259</v>
      </c>
      <c r="L5" s="23" t="n">
        <v>0.184</v>
      </c>
      <c r="M5" s="23" t="n">
        <v>0.285</v>
      </c>
      <c r="N5" s="23" t="n">
        <v>0.044</v>
      </c>
      <c r="O5" s="23" t="n">
        <v>0.174</v>
      </c>
      <c r="P5" s="23" t="n">
        <v>0.034</v>
      </c>
      <c r="Q5" s="23" t="n">
        <v>0.042</v>
      </c>
      <c r="R5" s="23" t="n">
        <v>0</v>
      </c>
    </row>
    <row r="6">
      <c r="A6" s="19" t="inlineStr">
        <is>
          <t>SG&amp;A &amp; Other</t>
        </is>
      </c>
      <c r="B6" s="23" t="n">
        <v>5.607</v>
      </c>
      <c r="C6" s="23" t="n">
        <v>5.654</v>
      </c>
      <c r="D6" s="23" t="n">
        <v>5.429</v>
      </c>
      <c r="E6" s="23" t="n">
        <v>5.959</v>
      </c>
      <c r="F6" s="23" t="n">
        <v>6.34</v>
      </c>
      <c r="G6" s="23" t="n">
        <v>7.989</v>
      </c>
      <c r="H6" s="23" t="n">
        <v>18.529</v>
      </c>
      <c r="I6" s="23" t="n">
        <v>19.044</v>
      </c>
      <c r="J6" s="23" t="n">
        <v>22.347</v>
      </c>
      <c r="K6" s="23" t="n">
        <v>18.617</v>
      </c>
      <c r="L6" s="23" t="n">
        <v>14.077</v>
      </c>
      <c r="M6" s="23" t="n">
        <v>12.105</v>
      </c>
      <c r="N6" s="23" t="n">
        <v>15.333</v>
      </c>
      <c r="O6" s="23" t="n">
        <v>22.024</v>
      </c>
      <c r="P6" s="23" t="n">
        <v>10.152</v>
      </c>
      <c r="Q6" s="23" t="n">
        <v>13.818</v>
      </c>
      <c r="R6" s="23" t="n">
        <v>8.439</v>
      </c>
    </row>
    <row r="7">
      <c r="A7" s="2" t="inlineStr">
        <is>
          <t>Operating Expense</t>
        </is>
      </c>
      <c r="B7" s="23">
        <f>SUM(B5:B6)</f>
        <v>12.943999999999999</v>
      </c>
      <c r="C7" s="23">
        <f>SUM(C5:C6)</f>
        <v>14.27</v>
      </c>
      <c r="D7" s="23">
        <f>SUM(D5:D6)</f>
        <v>15.34</v>
      </c>
      <c r="E7" s="23">
        <f>SUM(E5:E6)</f>
        <v>15.234</v>
      </c>
      <c r="F7" s="23">
        <f>SUM(F5:F6)</f>
        <v>18.801000000000002</v>
      </c>
      <c r="G7" s="23">
        <f>SUM(G5:G6)</f>
        <v>17.472</v>
      </c>
      <c r="H7" s="23">
        <f>SUM(H5:H6)</f>
        <v>24.256999999999998</v>
      </c>
      <c r="I7" s="23">
        <f>SUM(I5:I6)</f>
        <v>20.415</v>
      </c>
      <c r="J7" s="23">
        <f>SUM(J5:J6)</f>
        <v>22.757</v>
      </c>
      <c r="K7" s="23">
        <f>SUM(K5:K6)</f>
        <v>18.876</v>
      </c>
      <c r="L7" s="23">
        <f>SUM(L5:L6)</f>
        <v>14.261</v>
      </c>
      <c r="M7" s="23">
        <f>SUM(M5:M6)</f>
        <v>12.39</v>
      </c>
      <c r="N7" s="23">
        <f>SUM(N5:N6)</f>
        <v>15.377</v>
      </c>
      <c r="O7" s="23">
        <f>SUM(O5:O6)</f>
        <v>22.198</v>
      </c>
      <c r="P7" s="23">
        <f>SUM(P5:P6)</f>
        <v>10.186</v>
      </c>
      <c r="Q7" s="23">
        <f>SUM(Q5:Q6)</f>
        <v>13.86</v>
      </c>
      <c r="R7" s="23">
        <f>SUM(R5:R6)</f>
        <v>8.439</v>
      </c>
    </row>
    <row r="8">
      <c r="A8" s="2" t="inlineStr">
        <is>
          <t>Operating Income</t>
        </is>
      </c>
      <c r="B8" s="23">
        <f>B4-B7</f>
        <v>2.74</v>
      </c>
      <c r="C8" s="23">
        <f>C4-C7</f>
        <v>-4.516</v>
      </c>
      <c r="D8" s="23">
        <f>D4-D7</f>
        <v>-4.321</v>
      </c>
      <c r="E8" s="23">
        <f>E4-E7</f>
        <v>-8.309000000000001</v>
      </c>
      <c r="F8" s="23">
        <f>F4-F7</f>
        <v>-15.486000000000002</v>
      </c>
      <c r="G8" s="23">
        <f>G4-G7</f>
        <v>-16.904</v>
      </c>
      <c r="H8" s="23">
        <f>H4-H7</f>
        <v>-21.136999999999997</v>
      </c>
      <c r="I8" s="23">
        <f>I4-I7</f>
        <v>-10.982</v>
      </c>
      <c r="J8" s="23">
        <f>J4-J7</f>
        <v>-7.311</v>
      </c>
      <c r="K8" s="23">
        <f>K4-K7</f>
        <v>-7.871000000000002</v>
      </c>
      <c r="L8" s="23">
        <f>L4-L7</f>
        <v>-9.399999999999999</v>
      </c>
      <c r="M8" s="23">
        <f>M4-M7</f>
        <v>-6.426000000000002</v>
      </c>
      <c r="N8" s="23">
        <f>N4-N7</f>
        <v>-8.862</v>
      </c>
      <c r="O8" s="23">
        <f>O4-O7</f>
        <v>-14.417000000000002</v>
      </c>
      <c r="P8" s="23">
        <f>P4-P7</f>
        <v>-4.102</v>
      </c>
      <c r="Q8" s="23">
        <f>Q4-Q7</f>
        <v>-7.378999999999999</v>
      </c>
      <c r="R8" s="23">
        <f>R4-R7</f>
        <v>-8.439</v>
      </c>
    </row>
    <row r="9">
      <c r="A9" s="19" t="inlineStr">
        <is>
          <t>Interest &amp; Other</t>
        </is>
      </c>
      <c r="B9" s="23" t="n">
        <v>-0.036</v>
      </c>
      <c r="C9" s="23" t="n">
        <v>0.258</v>
      </c>
      <c r="D9" s="23" t="n">
        <v>-0.762</v>
      </c>
      <c r="E9" s="23" t="n">
        <v>1.284</v>
      </c>
      <c r="F9" s="23" t="n">
        <v>-0.554</v>
      </c>
      <c r="G9" s="23" t="n">
        <v>1.712</v>
      </c>
      <c r="H9" s="23" t="n">
        <v>2.166</v>
      </c>
      <c r="I9" s="23" t="n">
        <v>-2.167</v>
      </c>
      <c r="J9" s="23" t="n">
        <v>-0.089</v>
      </c>
      <c r="K9" s="23" t="n">
        <v>1.33</v>
      </c>
      <c r="L9" s="23" t="n">
        <v>-0.252</v>
      </c>
      <c r="M9" s="23" t="n">
        <v>-4.608</v>
      </c>
      <c r="N9" s="23" t="n">
        <v>3.038</v>
      </c>
      <c r="O9" s="23" t="n">
        <v>3.809</v>
      </c>
      <c r="P9" s="23" t="n">
        <v>-5.538</v>
      </c>
      <c r="Q9" s="23" t="n">
        <v>0.156</v>
      </c>
      <c r="R9" s="23" t="n">
        <v>-622.341</v>
      </c>
    </row>
    <row r="10">
      <c r="A10" s="2" t="inlineStr">
        <is>
          <t>Pretax</t>
        </is>
      </c>
      <c r="B10" s="23">
        <f>B8+B9</f>
        <v>2.704</v>
      </c>
      <c r="C10" s="23">
        <f>C8+C9</f>
        <v>-4.258</v>
      </c>
      <c r="D10" s="23">
        <f>D8+D9</f>
        <v>-5.083</v>
      </c>
      <c r="E10" s="23">
        <f>E8+E9</f>
        <v>-7.025000000000001</v>
      </c>
      <c r="F10" s="23">
        <f>F8+F9</f>
        <v>-16.040000000000003</v>
      </c>
      <c r="G10" s="23">
        <f>G8+G9</f>
        <v>-15.192</v>
      </c>
      <c r="H10" s="23">
        <f>H8+H9</f>
        <v>-18.970999999999997</v>
      </c>
      <c r="I10" s="23">
        <f>I8+I9</f>
        <v>-13.149</v>
      </c>
      <c r="J10" s="23">
        <f>J8+J9</f>
        <v>-7.4</v>
      </c>
      <c r="K10" s="23">
        <f>K8+K9</f>
        <v>-6.541000000000002</v>
      </c>
      <c r="L10" s="23">
        <f>L8+L9</f>
        <v>-9.652</v>
      </c>
      <c r="M10" s="23">
        <f>M8+M9</f>
        <v>-11.034000000000002</v>
      </c>
      <c r="N10" s="23">
        <f>N8+N9</f>
        <v>-5.824</v>
      </c>
      <c r="O10" s="23">
        <f>O8+O9</f>
        <v>-10.608</v>
      </c>
      <c r="P10" s="23">
        <f>P8+P9</f>
        <v>-9.64</v>
      </c>
      <c r="Q10" s="23">
        <f>Q8+Q9</f>
        <v>-7.222999999999999</v>
      </c>
      <c r="R10" s="23">
        <f>R8+R9</f>
        <v>-630.78</v>
      </c>
    </row>
    <row r="11">
      <c r="A11" s="2" t="inlineStr">
        <is>
          <t>Taxes</t>
        </is>
      </c>
      <c r="B11" s="23" t="n">
        <v>0.007</v>
      </c>
      <c r="C11" s="23" t="n">
        <v>0.05</v>
      </c>
      <c r="D11" s="23" t="n">
        <v>0.002</v>
      </c>
      <c r="E11" s="23" t="n">
        <v>0.002</v>
      </c>
      <c r="F11" s="23" t="n">
        <v>0.002</v>
      </c>
      <c r="G11" s="23" t="n">
        <v>0.002</v>
      </c>
      <c r="H11" s="23" t="n">
        <v>0.002</v>
      </c>
      <c r="I11" s="23" t="n">
        <v>0.002</v>
      </c>
      <c r="J11" s="23" t="n">
        <v>0.003</v>
      </c>
      <c r="K11" s="23" t="n">
        <v>0.004</v>
      </c>
      <c r="L11" s="23" t="n">
        <v>0.006</v>
      </c>
      <c r="M11" s="23" t="n">
        <v>0.005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</row>
    <row r="12">
      <c r="A12" s="2" t="inlineStr">
        <is>
          <t>Net Income</t>
        </is>
      </c>
      <c r="B12" s="23" t="n">
        <v>2.697</v>
      </c>
      <c r="C12" s="23" t="n">
        <v>-4.308</v>
      </c>
      <c r="D12" s="23" t="n">
        <v>-5.085</v>
      </c>
      <c r="E12" s="23" t="n">
        <v>-7.027</v>
      </c>
      <c r="F12" s="23" t="n">
        <v>-16.042</v>
      </c>
      <c r="G12" s="23" t="n">
        <v>-15.194</v>
      </c>
      <c r="H12" s="23" t="n">
        <v>-18.973</v>
      </c>
      <c r="I12" s="23" t="n">
        <v>-13.151</v>
      </c>
      <c r="J12" s="23" t="n">
        <v>-7.403</v>
      </c>
      <c r="K12" s="23" t="n">
        <v>-6.545</v>
      </c>
      <c r="L12" s="23" t="n">
        <v>-9.657999999999999</v>
      </c>
      <c r="M12" s="23" t="n">
        <v>-11.039</v>
      </c>
      <c r="N12" s="23" t="n">
        <v>-5.824</v>
      </c>
      <c r="O12" s="23" t="n">
        <v>-10.608</v>
      </c>
      <c r="P12" s="23" t="n">
        <v>-9.640000000000001</v>
      </c>
      <c r="Q12" s="23" t="n">
        <v>-7.223</v>
      </c>
      <c r="R12" s="23" t="n">
        <v>-630.78</v>
      </c>
    </row>
    <row r="13">
      <c r="A13" s="2" t="inlineStr">
        <is>
          <t>Earnings per Share</t>
        </is>
      </c>
      <c r="B13" s="11">
        <f>IFERROR(B12/B14,0)</f>
        <v>141.94736842105263</v>
      </c>
      <c r="C13" s="11">
        <f>IFERROR(C12/C14,0)</f>
        <v>-226.73684210526315</v>
      </c>
      <c r="D13" s="11">
        <f>IFERROR(D12/D14,0)</f>
        <v>-242.14285714285714</v>
      </c>
      <c r="E13" s="11">
        <f>IFERROR(E12/E14,0)</f>
        <v>-292.7916666666667</v>
      </c>
      <c r="F13" s="11">
        <f>IFERROR(F12/F14,0)</f>
        <v>-668.4166666666667</v>
      </c>
      <c r="G13" s="11">
        <f>IFERROR(G12/G14,0)</f>
        <v>-490.12903225806457</v>
      </c>
      <c r="H13" s="11">
        <f>IFERROR(H12/H14,0)</f>
        <v>-431.20454545454544</v>
      </c>
      <c r="I13" s="11">
        <f>IFERROR(I12/I14,0)</f>
        <v>-88.85810810810811</v>
      </c>
      <c r="J13" s="11">
        <f>IFERROR(J12/J14,0)</f>
        <v>-30.84583333333333</v>
      </c>
      <c r="K13" s="11">
        <f>IFERROR(K12/K14,0)</f>
        <v>-24.421641791044774</v>
      </c>
      <c r="L13" s="11">
        <f>IFERROR(L12/L14,0)</f>
        <v>-28.405882352941173</v>
      </c>
      <c r="M13" s="11">
        <f>IFERROR(M12/M14,0)</f>
        <v>-20.07090909090909</v>
      </c>
      <c r="N13" s="11">
        <f>IFERROR(N12/N14,0)</f>
        <v>-8.502189781021897</v>
      </c>
      <c r="O13" s="11">
        <f>IFERROR(O12/O14,0)</f>
        <v>-15.55425219941349</v>
      </c>
      <c r="P13" s="11">
        <f>IFERROR(P12/P14,0)</f>
        <v>-14.218289085545722</v>
      </c>
      <c r="Q13" s="11">
        <f>IFERROR(Q12/Q14,0)</f>
        <v>-10.637702503681885</v>
      </c>
      <c r="R13" s="11">
        <f>IFERROR(R12/R14,0)</f>
        <v>-108.38144329896906</v>
      </c>
    </row>
    <row r="14">
      <c r="A14" s="2" t="inlineStr">
        <is>
          <t>Shares</t>
        </is>
      </c>
      <c r="B14" s="23" t="n">
        <v>0.019</v>
      </c>
      <c r="C14" s="23" t="n">
        <v>0.019</v>
      </c>
      <c r="D14" s="23" t="n">
        <v>0.021</v>
      </c>
      <c r="E14" s="23" t="n">
        <v>0.024</v>
      </c>
      <c r="F14" s="23" t="n">
        <v>0.024</v>
      </c>
      <c r="G14" s="23" t="n">
        <v>0.031</v>
      </c>
      <c r="H14" s="23" t="n">
        <v>0.044</v>
      </c>
      <c r="I14" s="23" t="n">
        <v>0.148</v>
      </c>
      <c r="J14" s="23" t="n">
        <v>0.24</v>
      </c>
      <c r="K14" s="23" t="n">
        <v>0.268</v>
      </c>
      <c r="L14" s="23" t="n">
        <v>0.34</v>
      </c>
      <c r="M14" s="23" t="n">
        <v>0.55</v>
      </c>
      <c r="N14" s="23" t="n">
        <v>0.6850000000000001</v>
      </c>
      <c r="O14" s="23" t="n">
        <v>0.6820000000000001</v>
      </c>
      <c r="P14" s="23" t="n">
        <v>0.678</v>
      </c>
      <c r="Q14" s="23" t="n">
        <v>0.679</v>
      </c>
      <c r="R14" s="23" t="n">
        <v>5.82</v>
      </c>
    </row>
    <row r="15"/>
    <row r="16" customFormat="1" s="4">
      <c r="A16" s="3" t="inlineStr">
        <is>
          <t>Revenue Change</t>
        </is>
      </c>
      <c r="C16" s="15">
        <f>IFERROR(C2/B2-1,"")</f>
        <v>-0.37809232338689114</v>
      </c>
      <c r="D16" s="15">
        <f>IFERROR(D2/C2-1,"")</f>
        <v>0.1296903834324381</v>
      </c>
      <c r="E16" s="15">
        <f>IFERROR(E2/D2-1,"")</f>
        <v>-0.3708140484617479</v>
      </c>
      <c r="F16" s="15">
        <f>IFERROR(F2/E2-1,"")</f>
        <v>-0.4984855041107745</v>
      </c>
      <c r="G16" s="15">
        <f>IFERROR(G2/F2-1,"")</f>
        <v>-0.6968651136036813</v>
      </c>
      <c r="H16" s="15">
        <f>IFERROR(H2/G2-1,"")</f>
        <v>3.156546489563567</v>
      </c>
      <c r="I16" s="15">
        <f>IFERROR(I2/H2-1,"")</f>
        <v>1.7155900479342616</v>
      </c>
      <c r="J16" s="15">
        <f>IFERROR(J2/I2-1,"")</f>
        <v>0.5323190720349669</v>
      </c>
      <c r="K16" s="15">
        <f>IFERROR(K2/J2-1,"")</f>
        <v>-0.313878222709819</v>
      </c>
      <c r="L16" s="15">
        <f>IFERROR(L2/K2-1,"")</f>
        <v>-0.47241765270227054</v>
      </c>
      <c r="M16" s="15">
        <f>IFERROR(M2/L2-1,"")</f>
        <v>0.505379602970147</v>
      </c>
      <c r="N16" s="15">
        <f>IFERROR(N2/M2-1,"")</f>
        <v>0.02717938393396424</v>
      </c>
      <c r="O16" s="15">
        <f>IFERROR(O2/N2-1,"")</f>
        <v>0.41160329282634245</v>
      </c>
      <c r="P16" s="15">
        <f>IFERROR(P2/O2-1,"")</f>
        <v>-0.27415995556789785</v>
      </c>
      <c r="Q16" s="15">
        <f>IFERROR(Q2/P2-1,"")</f>
        <v>-0.06446676231468196</v>
      </c>
      <c r="R16" s="15">
        <f>IFERROR(R2/Q2-1,"")</f>
        <v>-1.0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0.998846098370114</v>
      </c>
      <c r="F17" s="15">
        <f>IFERROR(F4/F2,"")</f>
        <v>0.9534081104400345</v>
      </c>
      <c r="G17" s="15">
        <f>IFERROR(G4/G2,"")</f>
        <v>0.538899430740038</v>
      </c>
      <c r="H17" s="15">
        <f>IFERROR(H4/H2,"")</f>
        <v>0.7121661721068249</v>
      </c>
      <c r="I17" s="15">
        <f>IFERROR(I4/I2,"")</f>
        <v>0.79288896360427</v>
      </c>
      <c r="J17" s="15">
        <f>IFERROR(J4/J2,"")</f>
        <v>0.8472846955567747</v>
      </c>
      <c r="K17" s="15">
        <f>IFERROR(K4/K2,"")</f>
        <v>0.879836904381196</v>
      </c>
      <c r="L17" s="15">
        <f>IFERROR(L4/L2,"")</f>
        <v>0.7366267616305502</v>
      </c>
      <c r="M17" s="15">
        <f>IFERROR(M4/M2,"")</f>
        <v>0.6003623917857861</v>
      </c>
      <c r="N17" s="15">
        <f>IFERROR(N4/N2,"")</f>
        <v>0.6384751078008625</v>
      </c>
      <c r="O17" s="15">
        <f>IFERROR(O4/O2,"")</f>
        <v>0.5401971674534851</v>
      </c>
      <c r="P17" s="15">
        <f>IFERROR(P4/P2,"")</f>
        <v>0.581922525107604</v>
      </c>
      <c r="Q17" s="15">
        <f>IFERROR(Q4/Q2,"")</f>
        <v>0.6626111849504142</v>
      </c>
      <c r="R17" s="15">
        <f>IFERROR(R4/R2,"")</f>
        <v/>
      </c>
    </row>
    <row r="18">
      <c r="A18" s="14" t="inlineStr">
        <is>
          <t>Operating Margin</t>
        </is>
      </c>
      <c r="B18" s="15">
        <f>IFERROR(B8/B2,"")</f>
        <v>0.1747003315480745</v>
      </c>
      <c r="C18" s="15">
        <f>IFERROR(C8/C2,"")</f>
        <v>-0.46298954275169163</v>
      </c>
      <c r="D18" s="15">
        <f>IFERROR(D8/D2,"")</f>
        <v>-0.3921408476268264</v>
      </c>
      <c r="E18" s="15">
        <f>IFERROR(E8/E2,"")</f>
        <v>-1.198471080340401</v>
      </c>
      <c r="F18" s="15">
        <f>IFERROR(F8/F2,"")</f>
        <v>-4.45383951682485</v>
      </c>
      <c r="G18" s="15">
        <f>IFERROR(G8/G2,"")</f>
        <v>-16.03795066413662</v>
      </c>
      <c r="H18" s="15">
        <f>IFERROR(H8/H2,"")</f>
        <v>-4.824697557635242</v>
      </c>
      <c r="I18" s="15">
        <f>IFERROR(I8/I2,"")</f>
        <v>-0.9230898545851894</v>
      </c>
      <c r="J18" s="15">
        <f>IFERROR(J8/J2,"")</f>
        <v>-0.4010422380691168</v>
      </c>
      <c r="K18" s="15">
        <f>IFERROR(K8/K2,"")</f>
        <v>-0.6292772625519669</v>
      </c>
      <c r="L18" s="15">
        <f>IFERROR(L8/L2,"")</f>
        <v>-1.424458251250189</v>
      </c>
      <c r="M18" s="15">
        <f>IFERROR(M8/M2,"")</f>
        <v>-0.6468693376283473</v>
      </c>
      <c r="N18" s="15">
        <f>IFERROR(N8/N2,"")</f>
        <v>-0.8684829478635828</v>
      </c>
      <c r="O18" s="15">
        <f>IFERROR(O8/O2,"")</f>
        <v>-1.0009025270758123</v>
      </c>
      <c r="P18" s="15">
        <f>IFERROR(P8/P2,"")</f>
        <v>-0.39234815877570545</v>
      </c>
      <c r="Q18" s="15">
        <f>IFERROR(Q8/Q2,"")</f>
        <v>-0.7544218382578467</v>
      </c>
      <c r="R18" s="15">
        <f>IFERROR(R8/R2,"")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2026-10-21T01:06:14Z</dcterms:modified>
  <cp:lastModifiedBy>Wang, Eric</cp:lastModifiedBy>
</cp:coreProperties>
</file>