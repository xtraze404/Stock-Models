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Bone Biologics Corp</t>
        </is>
      </c>
      <c r="C2" s="10" t="n"/>
    </row>
    <row r="3">
      <c r="B3" t="inlineStr">
        <is>
          <t>Price</t>
        </is>
      </c>
      <c r="C3" s="11">
        <f>INDEX([1]Pharma!$F$1:$F$1000,MATCH("BBLG",[1]Pharma!$B$1:$B$1000,0))</f>
        <v>0.43</v>
      </c>
      <c r="F3" s="1" t="n"/>
    </row>
    <row r="4">
      <c r="B4" t="inlineStr">
        <is>
          <t>Shares</t>
        </is>
      </c>
      <c r="C4" s="21" t="n">
        <v>2.756057</v>
      </c>
      <c r="F4" s="1" t="n"/>
    </row>
    <row r="5">
      <c r="B5" t="inlineStr">
        <is>
          <t>Market Cap.</t>
        </is>
      </c>
      <c r="C5" s="13">
        <f>C3*C4</f>
        <v>1.1851045100000002</v>
      </c>
      <c r="F5" s="1" t="n"/>
    </row>
    <row r="6"/>
    <row r="7">
      <c r="B7" t="inlineStr">
        <is>
          <t>Cash</t>
        </is>
      </c>
      <c r="C7" s="21" t="n">
        <v>4.03178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-2.84667549</v>
      </c>
    </row>
    <row r="10"/>
    <row r="11">
      <c r="B11" s="14" t="inlineStr">
        <is>
          <t>Net Cash / Share</t>
        </is>
      </c>
      <c r="C11" s="11">
        <f>(C7-C8)/C4</f>
        <v>1.4628797590180465</v>
      </c>
    </row>
    <row r="12">
      <c r="B12" s="14" t="inlineStr">
        <is>
          <t>Upside</t>
        </is>
      </c>
      <c r="C12" s="15">
        <f>IFERROR(C11/C3-1,"")</f>
        <v>2.402045951204759</v>
      </c>
    </row>
    <row r="13">
      <c r="B13" s="14" t="inlineStr">
        <is>
          <t>Cash / Share</t>
        </is>
      </c>
      <c r="C13" s="11">
        <f>IFERROR((C7-C8)/C4,"")</f>
        <v>1.4628797590180465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-2.629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1.5335793077215674</v>
      </c>
    </row>
    <row r="19">
      <c r="B19" s="14" t="inlineStr">
        <is>
          <t>Implied Pipeline Value</t>
        </is>
      </c>
      <c r="C19" s="13">
        <f>C9</f>
        <v>-2.84667549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2005</v>
      </c>
      <c r="C1" s="17" t="n">
        <v>2006</v>
      </c>
      <c r="D1" s="17" t="n">
        <v>2007</v>
      </c>
      <c r="E1" s="17" t="n">
        <v>2008</v>
      </c>
      <c r="F1" s="17" t="n">
        <v>2009</v>
      </c>
      <c r="G1" s="17" t="n">
        <v>2010</v>
      </c>
      <c r="H1" s="17" t="n">
        <v>2011</v>
      </c>
      <c r="I1" s="17" t="n">
        <v>2012</v>
      </c>
      <c r="J1" s="17" t="n">
        <v>2013</v>
      </c>
      <c r="K1" s="17" t="n">
        <v>2014</v>
      </c>
      <c r="L1" s="17" t="n">
        <v>2015</v>
      </c>
      <c r="M1" s="17" t="n">
        <v>2016</v>
      </c>
      <c r="N1" s="17" t="n">
        <v>2017</v>
      </c>
      <c r="O1" s="17" t="n">
        <v>2018</v>
      </c>
      <c r="P1" s="17" t="n">
        <v>2019</v>
      </c>
      <c r="Q1" s="17" t="n">
        <v>2020</v>
      </c>
      <c r="R1" s="17" t="n">
        <v>2021</v>
      </c>
      <c r="S1" s="17" t="n">
        <v>2022</v>
      </c>
      <c r="T1" s="17" t="n">
        <v>2023</v>
      </c>
      <c r="U1" s="17" t="n">
        <v>2024</v>
      </c>
      <c r="V1" s="17" t="n">
        <v>2025</v>
      </c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1.07</v>
      </c>
      <c r="N2" s="23" t="n">
        <v>0</v>
      </c>
      <c r="O2" s="23" t="n">
        <v>0</v>
      </c>
      <c r="P2" s="23" t="n">
        <v>1070</v>
      </c>
      <c r="Q2" s="23" t="n">
        <v>1070</v>
      </c>
      <c r="R2" s="23" t="n">
        <v>0</v>
      </c>
      <c r="S2" s="23" t="n">
        <v>0</v>
      </c>
      <c r="T2" s="23" t="n">
        <v>0</v>
      </c>
      <c r="U2" s="23" t="n">
        <v>0</v>
      </c>
      <c r="V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  <c r="T3" s="23" t="n">
        <v>0</v>
      </c>
      <c r="U3" s="23" t="n">
        <v>0</v>
      </c>
      <c r="V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1.07</v>
      </c>
      <c r="N4" s="23">
        <f>N2-N3</f>
        <v>0.0</v>
      </c>
      <c r="O4" s="23">
        <f>O2-O3</f>
        <v>0.0</v>
      </c>
      <c r="P4" s="23">
        <f>P2-P3</f>
        <v>1070.0</v>
      </c>
      <c r="Q4" s="23">
        <f>Q2-Q3</f>
        <v>1070.0</v>
      </c>
      <c r="R4" s="23">
        <f>R2-R3</f>
        <v>0.0</v>
      </c>
      <c r="S4" s="23">
        <f>S2-S3</f>
        <v>0.0</v>
      </c>
      <c r="T4" s="23">
        <f>T2-T3</f>
        <v>0.0</v>
      </c>
      <c r="U4" s="23">
        <f>U2-U3</f>
        <v>0.0</v>
      </c>
      <c r="V4" s="23">
        <f>V2-V3</f>
        <v>0.0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0</v>
      </c>
      <c r="J5" s="23" t="n">
        <v>0.188</v>
      </c>
      <c r="K5" s="23" t="n">
        <v>0.624</v>
      </c>
      <c r="L5" s="23" t="n">
        <v>3.666</v>
      </c>
      <c r="M5" s="23" t="n">
        <v>10.168</v>
      </c>
      <c r="N5" s="23" t="n">
        <v>1.415</v>
      </c>
      <c r="O5" s="23" t="n">
        <v>0.104</v>
      </c>
      <c r="P5" s="23" t="n">
        <v>1.095</v>
      </c>
      <c r="Q5" s="23" t="n">
        <v>0.341</v>
      </c>
      <c r="R5" s="23" t="n">
        <v>0.082</v>
      </c>
      <c r="S5" s="23" t="n">
        <v>1.579</v>
      </c>
      <c r="T5" s="23" t="n">
        <v>6.908</v>
      </c>
      <c r="U5" s="23" t="n">
        <v>2.13</v>
      </c>
      <c r="V5" s="23" t="n">
        <v>1.06</v>
      </c>
    </row>
    <row r="6">
      <c r="A6" s="19" t="inlineStr">
        <is>
          <t>SG&amp;A &amp; Other</t>
        </is>
      </c>
      <c r="B6" s="23" t="n">
        <v>0.051</v>
      </c>
      <c r="C6" s="23" t="n">
        <v>0.476</v>
      </c>
      <c r="D6" s="23" t="n">
        <v>1.219</v>
      </c>
      <c r="E6" s="23" t="n">
        <v>1.002</v>
      </c>
      <c r="F6" s="23" t="n">
        <v>1.201</v>
      </c>
      <c r="G6" s="23" t="n">
        <v>0.003</v>
      </c>
      <c r="H6" s="23" t="n">
        <v>0.005</v>
      </c>
      <c r="I6" s="23" t="n">
        <v>0.005</v>
      </c>
      <c r="J6" s="23" t="n">
        <v>0.484</v>
      </c>
      <c r="K6" s="23" t="n">
        <v>2.387</v>
      </c>
      <c r="L6" s="23" t="n">
        <v>8.33</v>
      </c>
      <c r="M6" s="23" t="n">
        <v>11.315</v>
      </c>
      <c r="N6" s="23" t="n">
        <v>1.211</v>
      </c>
      <c r="O6" s="23" t="n">
        <v>2.686</v>
      </c>
      <c r="P6" s="23" t="n">
        <v>1071.352</v>
      </c>
      <c r="Q6" s="23" t="n">
        <v>1070.484</v>
      </c>
      <c r="R6" s="23" t="n">
        <v>1.021</v>
      </c>
      <c r="S6" s="23" t="n">
        <v>2.086</v>
      </c>
      <c r="T6" s="23" t="n">
        <v>2.52</v>
      </c>
      <c r="U6" s="23" t="n">
        <v>2.089</v>
      </c>
      <c r="V6" s="23" t="n">
        <v>2.175</v>
      </c>
    </row>
    <row r="7">
      <c r="A7" s="2" t="inlineStr">
        <is>
          <t>Operating Expense</t>
        </is>
      </c>
      <c r="B7" s="23">
        <f>SUM(B5:B6)</f>
        <v>0.051</v>
      </c>
      <c r="C7" s="23">
        <f>SUM(C5:C6)</f>
        <v>0.476</v>
      </c>
      <c r="D7" s="23">
        <f>SUM(D5:D6)</f>
        <v>1.219</v>
      </c>
      <c r="E7" s="23">
        <f>SUM(E5:E6)</f>
        <v>1.002</v>
      </c>
      <c r="F7" s="23">
        <f>SUM(F5:F6)</f>
        <v>1.201</v>
      </c>
      <c r="G7" s="23">
        <f>SUM(G5:G6)</f>
        <v>0.003</v>
      </c>
      <c r="H7" s="23">
        <f>SUM(H5:H6)</f>
        <v>0.005</v>
      </c>
      <c r="I7" s="23">
        <f>SUM(I5:I6)</f>
        <v>0.005</v>
      </c>
      <c r="J7" s="23">
        <f>SUM(J5:J6)</f>
        <v>0.6719999999999999</v>
      </c>
      <c r="K7" s="23">
        <f>SUM(K5:K6)</f>
        <v>3.011</v>
      </c>
      <c r="L7" s="23">
        <f>SUM(L5:L6)</f>
        <v>11.996</v>
      </c>
      <c r="M7" s="23">
        <f>SUM(M5:M6)</f>
        <v>21.482999999999997</v>
      </c>
      <c r="N7" s="23">
        <f>SUM(N5:N6)</f>
        <v>2.6260000000000003</v>
      </c>
      <c r="O7" s="23">
        <f>SUM(O5:O6)</f>
        <v>2.79</v>
      </c>
      <c r="P7" s="23">
        <f>SUM(P5:P6)</f>
        <v>1072.4470000000001</v>
      </c>
      <c r="Q7" s="23">
        <f>SUM(Q5:Q6)</f>
        <v>1070.8249999999998</v>
      </c>
      <c r="R7" s="23">
        <f>SUM(R5:R6)</f>
        <v>1.103</v>
      </c>
      <c r="S7" s="23">
        <f>SUM(S5:S6)</f>
        <v>3.665</v>
      </c>
      <c r="T7" s="23">
        <f>SUM(T5:T6)</f>
        <v>9.428</v>
      </c>
      <c r="U7" s="23">
        <f>SUM(U5:U6)</f>
        <v>4.218999999999999</v>
      </c>
      <c r="V7" s="23">
        <f>SUM(V5:V6)</f>
        <v>3.235</v>
      </c>
    </row>
    <row r="8">
      <c r="A8" s="2" t="inlineStr">
        <is>
          <t>Operating Income</t>
        </is>
      </c>
      <c r="B8" s="23">
        <f>B4-B7</f>
        <v>-0.051</v>
      </c>
      <c r="C8" s="23">
        <f>C4-C7</f>
        <v>-0.476</v>
      </c>
      <c r="D8" s="23">
        <f>D4-D7</f>
        <v>-1.219</v>
      </c>
      <c r="E8" s="23">
        <f>E4-E7</f>
        <v>-1.002</v>
      </c>
      <c r="F8" s="23">
        <f>F4-F7</f>
        <v>-1.201</v>
      </c>
      <c r="G8" s="23">
        <f>G4-G7</f>
        <v>-0.003</v>
      </c>
      <c r="H8" s="23">
        <f>H4-H7</f>
        <v>-0.005</v>
      </c>
      <c r="I8" s="23">
        <f>I4-I7</f>
        <v>-0.005</v>
      </c>
      <c r="J8" s="23">
        <f>J4-J7</f>
        <v>-0.6719999999999999</v>
      </c>
      <c r="K8" s="23">
        <f>K4-K7</f>
        <v>-3.011</v>
      </c>
      <c r="L8" s="23">
        <f>L4-L7</f>
        <v>-11.996</v>
      </c>
      <c r="M8" s="23">
        <f>M4-M7</f>
        <v>-20.412999999999997</v>
      </c>
      <c r="N8" s="23">
        <f>N4-N7</f>
        <v>-2.6260000000000003</v>
      </c>
      <c r="O8" s="23">
        <f>O4-O7</f>
        <v>-2.79</v>
      </c>
      <c r="P8" s="23">
        <f>P4-P7</f>
        <v>-2.4470000000001164</v>
      </c>
      <c r="Q8" s="23">
        <f>Q4-Q7</f>
        <v>-0.8249999999998181</v>
      </c>
      <c r="R8" s="23">
        <f>R4-R7</f>
        <v>-1.103</v>
      </c>
      <c r="S8" s="23">
        <f>S4-S7</f>
        <v>-3.665</v>
      </c>
      <c r="T8" s="23">
        <f>T4-T7</f>
        <v>-9.428</v>
      </c>
      <c r="U8" s="23">
        <f>U4-U7</f>
        <v>-4.218999999999999</v>
      </c>
      <c r="V8" s="23">
        <f>V4-V7</f>
        <v>-3.235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-0.894</v>
      </c>
      <c r="H9" s="23" t="n">
        <v>-0.9330000000000001</v>
      </c>
      <c r="I9" s="23" t="n">
        <v>-0.71</v>
      </c>
      <c r="J9" s="23" t="n">
        <v>-0.409</v>
      </c>
      <c r="K9" s="23" t="n">
        <v>-1.412</v>
      </c>
      <c r="L9" s="23" t="n">
        <v>-1.872</v>
      </c>
      <c r="M9" s="23" t="n">
        <v>-5.464</v>
      </c>
      <c r="N9" s="23" t="n">
        <v>-4.423</v>
      </c>
      <c r="O9" s="23" t="n">
        <v>-1.638</v>
      </c>
      <c r="P9" s="23" t="n">
        <v>-0.976</v>
      </c>
      <c r="Q9" s="23" t="n">
        <v>-0.998</v>
      </c>
      <c r="R9" s="23" t="n">
        <v>-0.506</v>
      </c>
      <c r="S9" s="23" t="n">
        <v>2.181</v>
      </c>
      <c r="T9" s="23" t="n">
        <v>0.48</v>
      </c>
      <c r="U9" s="23" t="n">
        <v>0.107</v>
      </c>
      <c r="V9" s="23" t="n">
        <v>0.126</v>
      </c>
    </row>
    <row r="10">
      <c r="A10" s="2" t="inlineStr">
        <is>
          <t>Pretax</t>
        </is>
      </c>
      <c r="B10" s="23">
        <f>B8+B9</f>
        <v>-0.051</v>
      </c>
      <c r="C10" s="23">
        <f>C8+C9</f>
        <v>-0.476</v>
      </c>
      <c r="D10" s="23">
        <f>D8+D9</f>
        <v>-1.219</v>
      </c>
      <c r="E10" s="23">
        <f>E8+E9</f>
        <v>-1.002</v>
      </c>
      <c r="F10" s="23">
        <f>F8+F9</f>
        <v>-1.201</v>
      </c>
      <c r="G10" s="23">
        <f>G8+G9</f>
        <v>-0.897</v>
      </c>
      <c r="H10" s="23">
        <f>H8+H9</f>
        <v>-0.9380000000000001</v>
      </c>
      <c r="I10" s="23">
        <f>I8+I9</f>
        <v>-0.715</v>
      </c>
      <c r="J10" s="23">
        <f>J8+J9</f>
        <v>-1.081</v>
      </c>
      <c r="K10" s="23">
        <f>K8+K9</f>
        <v>-4.423</v>
      </c>
      <c r="L10" s="23">
        <f>L8+L9</f>
        <v>-13.868</v>
      </c>
      <c r="M10" s="23">
        <f>M8+M9</f>
        <v>-25.876999999999995</v>
      </c>
      <c r="N10" s="23">
        <f>N8+N9</f>
        <v>-7.049</v>
      </c>
      <c r="O10" s="23">
        <f>O8+O9</f>
        <v>-4.428</v>
      </c>
      <c r="P10" s="23">
        <f>P8+P9</f>
        <v>-3.4230000000001164</v>
      </c>
      <c r="Q10" s="23">
        <f>Q8+Q9</f>
        <v>-1.822999999999818</v>
      </c>
      <c r="R10" s="23">
        <f>R8+R9</f>
        <v>-1.609</v>
      </c>
      <c r="S10" s="23">
        <f>S8+S9</f>
        <v>-1.484</v>
      </c>
      <c r="T10" s="23">
        <f>T8+T9</f>
        <v>-8.948</v>
      </c>
      <c r="U10" s="23">
        <f>U8+U9</f>
        <v>-4.111999999999999</v>
      </c>
      <c r="V10" s="23">
        <f>V8+V9</f>
        <v>-3.109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0.001</v>
      </c>
      <c r="K11" s="23" t="n">
        <v>0.002</v>
      </c>
      <c r="L11" s="23" t="n">
        <v>0.008999999999999999</v>
      </c>
      <c r="M11" s="23" t="n">
        <v>0.002</v>
      </c>
      <c r="N11" s="23" t="n">
        <v>0.002</v>
      </c>
      <c r="O11" s="23" t="n">
        <v>0.002</v>
      </c>
      <c r="P11" s="23" t="n">
        <v>0.002</v>
      </c>
      <c r="Q11" s="23" t="n">
        <v>0.002</v>
      </c>
      <c r="R11" s="23" t="n">
        <v>0.002</v>
      </c>
      <c r="S11" s="23" t="n">
        <v>0</v>
      </c>
      <c r="T11" s="23" t="n">
        <v>0</v>
      </c>
      <c r="U11" s="23" t="n">
        <v>0</v>
      </c>
      <c r="V11" s="23" t="n">
        <v>0</v>
      </c>
    </row>
    <row r="12">
      <c r="A12" s="2" t="inlineStr">
        <is>
          <t>Net Income</t>
        </is>
      </c>
      <c r="B12" s="23" t="n">
        <v>-0.051</v>
      </c>
      <c r="C12" s="23" t="n">
        <v>-0.476</v>
      </c>
      <c r="D12" s="23" t="n">
        <v>-1.219</v>
      </c>
      <c r="E12" s="23" t="n">
        <v>-1.002</v>
      </c>
      <c r="F12" s="23" t="n">
        <v>-1.201</v>
      </c>
      <c r="G12" s="23" t="n">
        <v>-0.898</v>
      </c>
      <c r="H12" s="23" t="n">
        <v>-0.9379999999999999</v>
      </c>
      <c r="I12" s="23" t="n">
        <v>-0.716</v>
      </c>
      <c r="J12" s="23" t="n">
        <v>-1.082</v>
      </c>
      <c r="K12" s="23" t="n">
        <v>-4.424</v>
      </c>
      <c r="L12" s="23" t="n">
        <v>-13.877</v>
      </c>
      <c r="M12" s="23" t="n">
        <v>-25.879</v>
      </c>
      <c r="N12" s="23" t="n">
        <v>-7.052</v>
      </c>
      <c r="O12" s="23" t="n">
        <v>-4.43</v>
      </c>
      <c r="P12" s="23" t="n">
        <v>-3.425</v>
      </c>
      <c r="Q12" s="23" t="n">
        <v>-1.825</v>
      </c>
      <c r="R12" s="23" t="n">
        <v>-1.611</v>
      </c>
      <c r="S12" s="23" t="n">
        <v>-1.485</v>
      </c>
      <c r="T12" s="23" t="n">
        <v>-8.949</v>
      </c>
      <c r="U12" s="23" t="n">
        <v>-4.112</v>
      </c>
      <c r="V12" s="23" t="n">
        <v>-3.109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-17.69811320754717</v>
      </c>
      <c r="I13" s="11">
        <f>IFERROR(I12/I14,0)</f>
        <v>-13.50943396226415</v>
      </c>
      <c r="J13" s="11">
        <f>IFERROR(J12/J14,0)</f>
        <v>-9.408695652173913</v>
      </c>
      <c r="K13" s="11">
        <f>IFERROR(K12/K14,0)</f>
        <v>-28.17834394904459</v>
      </c>
      <c r="L13" s="11">
        <f>IFERROR(L12/L14,0)</f>
        <v>-46.25666666666667</v>
      </c>
      <c r="M13" s="11">
        <f>IFERROR(M12/M14,0)</f>
        <v>-65.3510101010101</v>
      </c>
      <c r="N13" s="11">
        <f>IFERROR(N12/N14,0)</f>
        <v>-171.99999999999997</v>
      </c>
      <c r="O13" s="11">
        <f>IFERROR(O12/O14,0)</f>
        <v>-83.58490566037736</v>
      </c>
      <c r="P13" s="11">
        <f>IFERROR(P12/P14,0)</f>
        <v>-44.480519480519476</v>
      </c>
      <c r="Q13" s="11">
        <f>IFERROR(Q12/Q14,0)</f>
        <v>-58.87096774193548</v>
      </c>
      <c r="R13" s="11">
        <f>IFERROR(R12/R14,0)</f>
        <v>-33.5625</v>
      </c>
      <c r="S13" s="11">
        <f>IFERROR(S12/S14,0)</f>
        <v>-30.9375</v>
      </c>
      <c r="T13" s="11">
        <f>IFERROR(T12/T14,0)</f>
        <v>-34.02661596958175</v>
      </c>
      <c r="U13" s="11">
        <f>IFERROR(U12/U14,0)</f>
        <v>-16.25296442687747</v>
      </c>
      <c r="V13" s="11">
        <f>IFERROR(V12/V14,0)</f>
        <v>-2.6459574468085103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/>
      <c r="G14" s="23" t="n"/>
      <c r="H14" s="23" t="n">
        <v>0.053</v>
      </c>
      <c r="I14" s="23" t="n">
        <v>0.053</v>
      </c>
      <c r="J14" s="23" t="n">
        <v>0.115</v>
      </c>
      <c r="K14" s="23" t="n">
        <v>0.157</v>
      </c>
      <c r="L14" s="23" t="n">
        <v>0.3</v>
      </c>
      <c r="M14" s="23" t="n">
        <v>0.396</v>
      </c>
      <c r="N14" s="23" t="n">
        <v>0.041</v>
      </c>
      <c r="O14" s="23" t="n">
        <v>0.053</v>
      </c>
      <c r="P14" s="23" t="n">
        <v>0.077</v>
      </c>
      <c r="Q14" s="23" t="n">
        <v>0.031</v>
      </c>
      <c r="R14" s="23" t="n">
        <v>0.048</v>
      </c>
      <c r="S14" s="23" t="n">
        <v>0.048</v>
      </c>
      <c r="T14" s="23" t="n">
        <v>0.263</v>
      </c>
      <c r="U14" s="23" t="n">
        <v>0.253</v>
      </c>
      <c r="V14" s="23" t="n">
        <v>1.175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>-1.0</v>
      </c>
      <c r="O16" s="15">
        <f>IFERROR(O2/N2-1,"")</f>
        <v/>
      </c>
      <c r="P16" s="15">
        <f>IFERROR(P2/O2-1,"")</f>
        <v/>
      </c>
      <c r="Q16" s="15">
        <f>IFERROR(Q2/P2-1,"")</f>
        <v>0.0</v>
      </c>
      <c r="R16" s="15">
        <f>IFERROR(R2/Q2-1,"")</f>
        <v>-1.0</v>
      </c>
      <c r="S16" s="15">
        <f>IFERROR(S2/R2-1,"")</f>
        <v/>
      </c>
      <c r="T16" s="15">
        <f>IFERROR(T2/S2-1,"")</f>
        <v/>
      </c>
      <c r="U16" s="15">
        <f>IFERROR(U2/T2-1,"")</f>
        <v/>
      </c>
      <c r="V16" s="15">
        <f>IFERROR(V2/U2-1,"")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>1.0</v>
      </c>
      <c r="N17" s="15">
        <f>IFERROR(N4/N2,"")</f>
        <v/>
      </c>
      <c r="O17" s="15">
        <f>IFERROR(O4/O2,"")</f>
        <v/>
      </c>
      <c r="P17" s="15">
        <f>IFERROR(P4/P2,"")</f>
        <v>1.0</v>
      </c>
      <c r="Q17" s="15">
        <f>IFERROR(Q4/Q2,"")</f>
        <v>1.0</v>
      </c>
      <c r="R17" s="15">
        <f>IFERROR(R4/R2,"")</f>
        <v/>
      </c>
      <c r="S17" s="15">
        <f>IFERROR(S4/S2,"")</f>
        <v/>
      </c>
      <c r="T17" s="15">
        <f>IFERROR(T4/T2,"")</f>
        <v/>
      </c>
      <c r="U17" s="15">
        <f>IFERROR(U4/U2,"")</f>
        <v/>
      </c>
      <c r="V17" s="15">
        <f>IFERROR(V4/V2,"")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>-19.07757009345794</v>
      </c>
      <c r="N18" s="15">
        <f>IFERROR(N8/N2,"")</f>
        <v/>
      </c>
      <c r="O18" s="15">
        <f>IFERROR(O8/O2,"")</f>
        <v/>
      </c>
      <c r="P18" s="15">
        <f>IFERROR(P8/P2,"")</f>
        <v>-0.002286915887850576</v>
      </c>
      <c r="Q18" s="15">
        <f>IFERROR(Q8/Q2,"")</f>
        <v>-0.0007710280373830076</v>
      </c>
      <c r="R18" s="15">
        <f>IFERROR(R8/R2,"")</f>
        <v/>
      </c>
      <c r="S18" s="15">
        <f>IFERROR(S8/S2,"")</f>
        <v/>
      </c>
      <c r="T18" s="15">
        <f>IFERROR(T8/T2,"")</f>
        <v/>
      </c>
      <c r="U18" s="15">
        <f>IFERROR(U8/U2,"")</f>
        <v/>
      </c>
      <c r="V18" s="15">
        <f>IFERROR(V8/V2,"")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  <c r="V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2026-10-21T01:06:54Z</dcterms:modified>
  <cp:lastModifiedBy>Wang, Eric</cp:lastModifiedBy>
</cp:coreProperties>
</file>