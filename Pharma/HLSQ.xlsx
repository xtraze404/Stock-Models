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Tessera Defense and Homeland Security Inc</t>
        </is>
      </c>
      <c r="C2" s="10" t="n"/>
    </row>
    <row r="3">
      <c r="B3" t="inlineStr">
        <is>
          <t>Price</t>
        </is>
      </c>
      <c r="C3" s="11">
        <f>INDEX([1]Pharma!$F$1:$F$1000,MATCH("HLSQ",[1]Pharma!$B$1:$B$1000,0))</f>
        <v>0.2323</v>
      </c>
      <c r="F3" s="1" t="n"/>
    </row>
    <row r="4">
      <c r="B4" t="inlineStr">
        <is>
          <t>Shares</t>
        </is>
      </c>
      <c r="C4" s="21" t="n">
        <v>26.72387</v>
      </c>
      <c r="F4" s="1" t="n"/>
    </row>
    <row r="5">
      <c r="B5" t="inlineStr">
        <is>
          <t>Market Cap.</t>
        </is>
      </c>
      <c r="C5" s="13">
        <f>C3*C4</f>
        <v>6.207955001</v>
      </c>
      <c r="F5" s="1" t="n"/>
    </row>
    <row r="6"/>
    <row r="7">
      <c r="B7" t="inlineStr">
        <is>
          <t>Cash</t>
        </is>
      </c>
      <c r="C7" s="21">
        <f>0.347+0.225</f>
        <v>0.572</v>
      </c>
    </row>
    <row r="8">
      <c r="B8" t="inlineStr">
        <is>
          <t>Debt</t>
        </is>
      </c>
      <c r="C8" s="21">
        <f>0.21+1.254+0.247</f>
        <v>1.7109999999999999</v>
      </c>
    </row>
    <row r="9">
      <c r="B9" t="inlineStr">
        <is>
          <t>Enterprise V.</t>
        </is>
      </c>
      <c r="C9" s="13">
        <f>C5-C7+C8</f>
        <v>7.3469550009999995</v>
      </c>
    </row>
    <row r="10"/>
    <row r="11">
      <c r="B11" s="14" t="inlineStr">
        <is>
          <t>Net Cash / Share</t>
        </is>
      </c>
      <c r="C11" s="11">
        <f>(C7-C8)/C4</f>
        <v>-0.04262107247191368</v>
      </c>
    </row>
    <row r="12">
      <c r="B12" s="14" t="inlineStr">
        <is>
          <t>Upside</t>
        </is>
      </c>
      <c r="C12" s="15">
        <f>IFERROR(C11/C3-1,"")</f>
        <v>-1.183474268066783</v>
      </c>
    </row>
    <row r="13">
      <c r="B13" s="14" t="inlineStr">
        <is>
          <t>Cash / Share</t>
        </is>
      </c>
      <c r="C13" s="11">
        <f>IFERROR((C7-C8)/C4,"")</f>
        <v>-0.04262107247191368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-18.153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7.3469550009999995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9.135</v>
      </c>
      <c r="C5" s="23" t="n">
        <v>13.489</v>
      </c>
      <c r="D5" s="23" t="n">
        <v>19.417</v>
      </c>
      <c r="E5" s="23" t="n">
        <v>22.676</v>
      </c>
      <c r="F5" s="23" t="n">
        <v>16.244</v>
      </c>
      <c r="G5" s="23" t="n">
        <v>16.698</v>
      </c>
      <c r="H5" s="23" t="n">
        <v>24.663</v>
      </c>
      <c r="I5" s="23" t="n">
        <v>21.292</v>
      </c>
      <c r="J5" s="1" t="n"/>
      <c r="K5" s="1" t="n"/>
    </row>
    <row r="6">
      <c r="A6" s="19" t="inlineStr">
        <is>
          <t>SG&amp;A &amp; Other</t>
        </is>
      </c>
      <c r="B6" s="23" t="n">
        <v>3.36</v>
      </c>
      <c r="C6" s="23" t="n">
        <v>8.718</v>
      </c>
      <c r="D6" s="23" t="n">
        <v>10.841</v>
      </c>
      <c r="E6" s="23" t="n">
        <v>12.786</v>
      </c>
      <c r="F6" s="23" t="n">
        <v>10.975</v>
      </c>
      <c r="G6" s="23" t="n">
        <v>8.65</v>
      </c>
      <c r="H6" s="23" t="n">
        <v>19.86</v>
      </c>
      <c r="I6" s="23" t="n">
        <v>20.174</v>
      </c>
      <c r="J6" s="1" t="n"/>
      <c r="K6" s="1" t="n"/>
    </row>
    <row r="7">
      <c r="A7" s="2" t="inlineStr">
        <is>
          <t>Operating Expense</t>
        </is>
      </c>
      <c r="B7" s="23">
        <f>SUM(B5:B6)</f>
        <v>12.495</v>
      </c>
      <c r="C7" s="23">
        <f>SUM(C5:C6)</f>
        <v>22.207</v>
      </c>
      <c r="D7" s="23">
        <f>SUM(D5:D6)</f>
        <v>30.258000000000003</v>
      </c>
      <c r="E7" s="23">
        <f>SUM(E5:E6)</f>
        <v>35.461999999999996</v>
      </c>
      <c r="F7" s="23">
        <f>SUM(F5:F6)</f>
        <v>27.219</v>
      </c>
      <c r="G7" s="23">
        <f>SUM(G5:G6)</f>
        <v>25.348</v>
      </c>
      <c r="H7" s="23">
        <f>SUM(H5:H6)</f>
        <v>44.522999999999996</v>
      </c>
      <c r="I7" s="23">
        <f>SUM(I5:I6)</f>
        <v>41.466</v>
      </c>
      <c r="J7" s="1" t="n"/>
      <c r="K7" s="1" t="n"/>
    </row>
    <row r="8">
      <c r="A8" s="2" t="inlineStr">
        <is>
          <t>Operating Income</t>
        </is>
      </c>
      <c r="B8" s="23">
        <f>B4-B7</f>
        <v>-12.495</v>
      </c>
      <c r="C8" s="23">
        <f>C4-C7</f>
        <v>-22.207</v>
      </c>
      <c r="D8" s="23">
        <f>D4-D7</f>
        <v>-30.258000000000003</v>
      </c>
      <c r="E8" s="23">
        <f>E4-E7</f>
        <v>-35.461999999999996</v>
      </c>
      <c r="F8" s="23">
        <f>F4-F7</f>
        <v>-27.219</v>
      </c>
      <c r="G8" s="23">
        <f>G4-G7</f>
        <v>-25.348</v>
      </c>
      <c r="H8" s="23">
        <f>H4-H7</f>
        <v>-44.522999999999996</v>
      </c>
      <c r="I8" s="23">
        <f>I4-I7</f>
        <v>-41.466</v>
      </c>
      <c r="J8" s="1" t="n"/>
      <c r="K8" s="1" t="n"/>
    </row>
    <row r="9">
      <c r="A9" s="19" t="inlineStr">
        <is>
          <t>Interest &amp; Other</t>
        </is>
      </c>
      <c r="B9" s="23" t="n">
        <v>-0.225</v>
      </c>
      <c r="C9" s="23" t="n">
        <v>1.779</v>
      </c>
      <c r="D9" s="23" t="n">
        <v>0.172</v>
      </c>
      <c r="E9" s="23" t="n">
        <v>-0.697</v>
      </c>
      <c r="F9" s="23" t="n">
        <v>-1.033</v>
      </c>
      <c r="G9" s="23" t="n">
        <v>-0.798</v>
      </c>
      <c r="H9" s="23" t="n">
        <v>26.809</v>
      </c>
      <c r="I9" s="23" t="n">
        <v>5.274</v>
      </c>
    </row>
    <row r="10">
      <c r="A10" s="2" t="inlineStr">
        <is>
          <t>Pretax</t>
        </is>
      </c>
      <c r="B10" s="23">
        <f>B8+B9</f>
        <v>-12.719999999999999</v>
      </c>
      <c r="C10" s="23">
        <f>C8+C9</f>
        <v>-20.428</v>
      </c>
      <c r="D10" s="23">
        <f>D8+D9</f>
        <v>-30.086000000000002</v>
      </c>
      <c r="E10" s="23">
        <f>E8+E9</f>
        <v>-36.159</v>
      </c>
      <c r="F10" s="23">
        <f>F8+F9</f>
        <v>-28.252000000000002</v>
      </c>
      <c r="G10" s="23">
        <f>G8+G9</f>
        <v>-26.146</v>
      </c>
      <c r="H10" s="23">
        <f>H8+H9</f>
        <v>-17.713999999999995</v>
      </c>
      <c r="I10" s="23">
        <f>I8+I9</f>
        <v>-36.192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0.135</v>
      </c>
      <c r="D11" s="23" t="n">
        <v>0</v>
      </c>
      <c r="E11" s="23" t="n">
        <v>0.067</v>
      </c>
      <c r="F11" s="23" t="n">
        <v>0.065</v>
      </c>
      <c r="G11" s="23" t="n">
        <v>0.023</v>
      </c>
      <c r="H11" s="23" t="n">
        <v>0.013</v>
      </c>
      <c r="I11" s="23" t="n">
        <v>0.007</v>
      </c>
    </row>
    <row r="12">
      <c r="A12" s="2" t="inlineStr">
        <is>
          <t>Net Income</t>
        </is>
      </c>
      <c r="B12" s="23" t="n">
        <v>-12.72</v>
      </c>
      <c r="C12" s="23" t="n">
        <v>-20.563</v>
      </c>
      <c r="D12" s="23" t="n">
        <v>-30.086</v>
      </c>
      <c r="E12" s="23" t="n">
        <v>-36.226</v>
      </c>
      <c r="F12" s="23" t="n">
        <v>-28.317</v>
      </c>
      <c r="G12" s="23" t="n">
        <v>-26.169</v>
      </c>
      <c r="H12" s="23" t="n">
        <v>-17.727</v>
      </c>
      <c r="I12" s="23" t="n">
        <v>-36.199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-6.353646353646354</v>
      </c>
      <c r="C13" s="11">
        <f>IFERROR(C12/C14,0)</f>
        <v>-3.661502849002849</v>
      </c>
      <c r="D13" s="11">
        <f>IFERROR(D12/D14,0)</f>
        <v>-1.3045702887867487</v>
      </c>
      <c r="E13" s="11">
        <f>IFERROR(E12/E14,0)</f>
        <v>-1.3928791141187327</v>
      </c>
      <c r="F13" s="11">
        <f>IFERROR(F12/F14,0)</f>
        <v>-0.94851611174382</v>
      </c>
      <c r="G13" s="11">
        <f>IFERROR(G12/G14,0)</f>
        <v>-5.098188194038574</v>
      </c>
      <c r="H13" s="11">
        <f>IFERROR(H12/H14,0)</f>
        <v>-23.386543535620053</v>
      </c>
      <c r="I13" s="11">
        <f>IFERROR(I12/I14,0)</f>
        <v>-22.19435928877989</v>
      </c>
    </row>
    <row r="14">
      <c r="A14" s="2" t="inlineStr">
        <is>
          <t>Shares</t>
        </is>
      </c>
      <c r="B14" s="23" t="n">
        <v>2.002</v>
      </c>
      <c r="C14" s="23" t="n">
        <v>5.616</v>
      </c>
      <c r="D14" s="23" t="n">
        <v>23.062</v>
      </c>
      <c r="E14" s="23" t="n">
        <v>26.008</v>
      </c>
      <c r="F14" s="23" t="n">
        <v>29.854</v>
      </c>
      <c r="G14" s="23" t="n">
        <v>5.133</v>
      </c>
      <c r="H14" s="23" t="n">
        <v>0.758</v>
      </c>
      <c r="I14" s="23" t="n">
        <v>1.631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2026-10-21T01:06:44Z</dcterms:modified>
  <cp:lastModifiedBy>Wang, Eric</cp:lastModifiedBy>
</cp:coreProperties>
</file>