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Quoin Pharmaceuticals Ltd</t>
        </is>
      </c>
      <c r="C2" s="10" t="n"/>
    </row>
    <row r="3">
      <c r="B3" t="inlineStr">
        <is>
          <t>Price</t>
        </is>
      </c>
      <c r="C3" s="11">
        <f>INDEX([1]Pharma!$F$1:$F$1000,MATCH("QNRX",[1]Pharma!$B$1:$B$1000,0))</f>
        <v>4.04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>
        <f>3.845606+6.954476</f>
        <v>10.800082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-10.800082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-15.274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0.7070893020819694</v>
      </c>
    </row>
    <row r="19">
      <c r="B19" s="14" t="inlineStr">
        <is>
          <t>Implied Pipeline Value</t>
        </is>
      </c>
      <c r="C19" s="13">
        <f>C9</f>
        <v>-10.800082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</row>
    <row r="5">
      <c r="A5" s="2" t="inlineStr">
        <is>
          <t>Research &amp; Dev.</t>
        </is>
      </c>
      <c r="B5" s="23" t="n">
        <v>1.904</v>
      </c>
      <c r="C5" s="23" t="n">
        <v>2.668</v>
      </c>
      <c r="D5" s="23" t="n">
        <v>-3.717</v>
      </c>
      <c r="E5" s="23" t="n">
        <v>4.367</v>
      </c>
      <c r="F5" s="23" t="n">
        <v>3.917</v>
      </c>
      <c r="G5" s="23" t="n">
        <v>1.901</v>
      </c>
      <c r="H5" s="23" t="n">
        <v>1.563</v>
      </c>
      <c r="I5" s="23" t="n">
        <v>2.673</v>
      </c>
      <c r="J5" s="23" t="n">
        <v>3.308</v>
      </c>
      <c r="K5" s="23" t="n">
        <v>3.603</v>
      </c>
      <c r="L5" s="23" t="n">
        <v>9.803000000000001</v>
      </c>
    </row>
    <row r="6">
      <c r="A6" s="19" t="inlineStr">
        <is>
          <t>SG&amp;A &amp; Other</t>
        </is>
      </c>
      <c r="B6" s="23" t="n">
        <v>1.359</v>
      </c>
      <c r="C6" s="23" t="n">
        <v>2.484</v>
      </c>
      <c r="D6" s="23" t="n">
        <v>11.613</v>
      </c>
      <c r="E6" s="23" t="n">
        <v>5.085</v>
      </c>
      <c r="F6" s="23" t="n">
        <v>3.299</v>
      </c>
      <c r="G6" s="23" t="n">
        <v>2.621</v>
      </c>
      <c r="H6" s="23" t="n">
        <v>4.5</v>
      </c>
      <c r="I6" s="23" t="n">
        <v>6.585</v>
      </c>
      <c r="J6" s="23" t="n">
        <v>6.071</v>
      </c>
      <c r="K6" s="23" t="n">
        <v>5.926</v>
      </c>
      <c r="L6" s="23" t="n">
        <v>6.488</v>
      </c>
    </row>
    <row r="7">
      <c r="A7" s="2" t="inlineStr">
        <is>
          <t>Operating Expense</t>
        </is>
      </c>
      <c r="B7" s="23">
        <f>SUM(B5:B6)</f>
        <v>3.263</v>
      </c>
      <c r="C7" s="23">
        <f>SUM(C5:C6)</f>
        <v>5.152</v>
      </c>
      <c r="D7" s="23">
        <f>SUM(D5:D6)</f>
        <v>7.895999999999999</v>
      </c>
      <c r="E7" s="23">
        <f>SUM(E5:E6)</f>
        <v>9.452</v>
      </c>
      <c r="F7" s="23">
        <f>SUM(F5:F6)</f>
        <v>7.215999999999999</v>
      </c>
      <c r="G7" s="23">
        <f>SUM(G5:G6)</f>
        <v>4.522</v>
      </c>
      <c r="H7" s="23">
        <f>SUM(H5:H6)</f>
        <v>6.063</v>
      </c>
      <c r="I7" s="23">
        <f>SUM(I5:I6)</f>
        <v>9.258</v>
      </c>
      <c r="J7" s="23">
        <f>SUM(J5:J6)</f>
        <v>9.379</v>
      </c>
      <c r="K7" s="23">
        <f>SUM(K5:K6)</f>
        <v>9.529</v>
      </c>
      <c r="L7" s="23">
        <f>SUM(L5:L6)</f>
        <v>16.291</v>
      </c>
    </row>
    <row r="8">
      <c r="A8" s="2" t="inlineStr">
        <is>
          <t>Operating Income</t>
        </is>
      </c>
      <c r="B8" s="23">
        <f>B4-B7</f>
        <v>-3.263</v>
      </c>
      <c r="C8" s="23">
        <f>C4-C7</f>
        <v>-5.152</v>
      </c>
      <c r="D8" s="23">
        <f>D4-D7</f>
        <v>-7.895999999999999</v>
      </c>
      <c r="E8" s="23">
        <f>E4-E7</f>
        <v>-9.452</v>
      </c>
      <c r="F8" s="23">
        <f>F4-F7</f>
        <v>-7.215999999999999</v>
      </c>
      <c r="G8" s="23">
        <f>G4-G7</f>
        <v>-4.522</v>
      </c>
      <c r="H8" s="23">
        <f>H4-H7</f>
        <v>-6.063</v>
      </c>
      <c r="I8" s="23">
        <f>I4-I7</f>
        <v>-9.258</v>
      </c>
      <c r="J8" s="23">
        <f>J4-J7</f>
        <v>-9.379</v>
      </c>
      <c r="K8" s="23">
        <f>K4-K7</f>
        <v>-9.529</v>
      </c>
      <c r="L8" s="23">
        <f>L4-L7</f>
        <v>-16.291</v>
      </c>
    </row>
    <row r="9">
      <c r="A9" s="19" t="inlineStr">
        <is>
          <t>Interest &amp; Other</t>
        </is>
      </c>
      <c r="B9" s="23" t="n">
        <v>-0.024</v>
      </c>
      <c r="C9" s="23" t="n">
        <v>0.203</v>
      </c>
      <c r="D9" s="23" t="n">
        <v>-1.225</v>
      </c>
      <c r="E9" s="23" t="n">
        <v>2.952</v>
      </c>
      <c r="F9" s="23" t="n">
        <v>5.656</v>
      </c>
      <c r="G9" s="23" t="n">
        <v>2.427</v>
      </c>
      <c r="H9" s="23" t="n">
        <v>-15.4</v>
      </c>
      <c r="I9" s="23" t="n">
        <v>-0.124</v>
      </c>
      <c r="J9" s="23" t="n">
        <v>0.679</v>
      </c>
      <c r="K9" s="23" t="n">
        <v>0.528</v>
      </c>
      <c r="L9" s="23" t="n">
        <v>0.491</v>
      </c>
    </row>
    <row r="10">
      <c r="A10" s="2" t="inlineStr">
        <is>
          <t>Pretax</t>
        </is>
      </c>
      <c r="B10" s="23">
        <f>B8+B9</f>
        <v>-3.287</v>
      </c>
      <c r="C10" s="23">
        <f>C8+C9</f>
        <v>-4.949</v>
      </c>
      <c r="D10" s="23">
        <f>D8+D9</f>
        <v>-9.120999999999999</v>
      </c>
      <c r="E10" s="23">
        <f>E8+E9</f>
        <v>-6.5</v>
      </c>
      <c r="F10" s="23">
        <f>F8+F9</f>
        <v>-1.5599999999999996</v>
      </c>
      <c r="G10" s="23">
        <f>G8+G9</f>
        <v>-2.095</v>
      </c>
      <c r="H10" s="23">
        <f>H8+H9</f>
        <v>-21.463</v>
      </c>
      <c r="I10" s="23">
        <f>I8+I9</f>
        <v>-9.382</v>
      </c>
      <c r="J10" s="23">
        <f>J8+J9</f>
        <v>-8.7</v>
      </c>
      <c r="K10" s="23">
        <f>K8+K9</f>
        <v>-9.001</v>
      </c>
      <c r="L10" s="23">
        <f>L8+L9</f>
        <v>-15.8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</row>
    <row r="12">
      <c r="A12" s="2" t="inlineStr">
        <is>
          <t>Net Income</t>
        </is>
      </c>
      <c r="B12" s="23" t="n">
        <v>-3.287</v>
      </c>
      <c r="C12" s="23" t="n">
        <v>-4.95</v>
      </c>
      <c r="D12" s="23" t="n">
        <v>-9.121</v>
      </c>
      <c r="E12" s="23" t="n">
        <v>-6.5</v>
      </c>
      <c r="F12" s="23" t="n">
        <v>-1.56</v>
      </c>
      <c r="G12" s="23" t="n">
        <v>-2.095</v>
      </c>
      <c r="H12" s="23" t="n">
        <v>-21.463</v>
      </c>
      <c r="I12" s="23" t="n">
        <v>-9.381</v>
      </c>
      <c r="J12" s="23" t="n">
        <v>-8.699999999999999</v>
      </c>
      <c r="K12" s="23" t="n">
        <v>-9</v>
      </c>
      <c r="L12" s="23" t="n">
        <v>-15.8</v>
      </c>
    </row>
    <row r="13">
      <c r="A13" s="2" t="inlineStr">
        <is>
          <t>Earnings per Share</t>
        </is>
      </c>
      <c r="B13" s="11">
        <f>IFERROR(B12/B14,0)</f>
        <v>-0.044135615978516285</v>
      </c>
      <c r="C13" s="11">
        <f>IFERROR(C12/C14,0)</f>
        <v>-0.054318603298620635</v>
      </c>
      <c r="D13" s="11">
        <f>IFERROR(D12/D14,0)</f>
        <v>-0.08146004697728837</v>
      </c>
      <c r="E13" s="11">
        <f>IFERROR(E12/E14,0)</f>
        <v>-0.050221748334955886</v>
      </c>
      <c r="F13" s="11">
        <f>IFERROR(F12/F14,0)</f>
        <v>-0.0012984191746548577</v>
      </c>
      <c r="G13" s="11">
        <f>IFERROR(G12/G14,0)</f>
        <v>-0.0017437103659627739</v>
      </c>
      <c r="H13" s="11">
        <f>IFERROR(H12/H14,0)</f>
        <v>-0.013542128050496371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</row>
    <row r="14">
      <c r="A14" s="2" t="inlineStr">
        <is>
          <t>Shares</t>
        </is>
      </c>
      <c r="B14" s="23" t="n">
        <v>74.47499999999999</v>
      </c>
      <c r="C14" s="23" t="n">
        <v>91.129</v>
      </c>
      <c r="D14" s="23" t="n">
        <v>111.969</v>
      </c>
      <c r="E14" s="23" t="n">
        <v>129.426</v>
      </c>
      <c r="F14" s="23" t="n">
        <v>1201.461</v>
      </c>
      <c r="G14" s="23" t="n">
        <v>1201.461</v>
      </c>
      <c r="H14" s="23" t="n">
        <v>1584.906</v>
      </c>
      <c r="I14" s="23" t="n"/>
      <c r="J14" s="23" t="n"/>
      <c r="K14" s="23" t="n"/>
      <c r="L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2026-10-21T01:06:59Z</dcterms:modified>
  <cp:lastModifiedBy>Wang, Eric</cp:lastModifiedBy>
</cp:coreProperties>
</file>