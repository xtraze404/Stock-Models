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Kodiak Sciences Inc.</t>
        </is>
      </c>
      <c r="C2" s="10" t="n"/>
    </row>
    <row r="3">
      <c r="B3" t="inlineStr">
        <is>
          <t>Price</t>
        </is>
      </c>
      <c r="C3" s="11">
        <f>INDEX([1]Pharma!$F$1:$F$1000,MATCH("KOD",[1]Pharma!$B$1:$B$1000,0))</f>
        <v>92.97</v>
      </c>
      <c r="F3" s="1" t="n"/>
    </row>
    <row r="4">
      <c r="B4" t="inlineStr">
        <is>
          <t>Shares</t>
        </is>
      </c>
      <c r="C4" s="21" t="n">
        <v>62.849457</v>
      </c>
      <c r="F4" s="1" t="n"/>
    </row>
    <row r="5">
      <c r="B5" t="inlineStr">
        <is>
          <t>Market Cap.</t>
        </is>
      </c>
      <c r="C5" s="13">
        <f>C3*C4</f>
        <v>5843.11401729</v>
      </c>
      <c r="F5" s="1" t="n"/>
    </row>
    <row r="6"/>
    <row r="7">
      <c r="B7" t="inlineStr">
        <is>
          <t>Cash</t>
        </is>
      </c>
      <c r="C7" s="21" t="n">
        <v>125.903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5717.21101729</v>
      </c>
    </row>
    <row r="10"/>
    <row r="11">
      <c r="B11" s="14" t="inlineStr">
        <is>
          <t>Net Cash / Share</t>
        </is>
      </c>
      <c r="C11" s="11">
        <f>(C7-C8)/C4</f>
        <v>2.0032472197810716</v>
      </c>
    </row>
    <row r="12">
      <c r="B12" s="14" t="inlineStr">
        <is>
          <t>Upside</t>
        </is>
      </c>
      <c r="C12" s="15">
        <f>IFERROR(C11/C3-1,"")</f>
        <v>-0.9784527565905016</v>
      </c>
    </row>
    <row r="13">
      <c r="B13" s="14" t="inlineStr">
        <is>
          <t>Cash / Share</t>
        </is>
      </c>
      <c r="C13" s="11">
        <f>IFERROR((C7-C8)/C4,"")</f>
        <v>2.0032472197810716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-158.505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0.7943156367307026</v>
      </c>
    </row>
    <row r="19">
      <c r="B19" s="14" t="inlineStr">
        <is>
          <t>Implied Pipeline Value</t>
        </is>
      </c>
      <c r="C19" s="13">
        <f>C9</f>
        <v>5717.21101729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2016</v>
      </c>
      <c r="C1" s="17" t="n">
        <v>2017</v>
      </c>
      <c r="D1" s="17" t="n">
        <v>2018</v>
      </c>
      <c r="E1" s="17" t="n">
        <v>2019</v>
      </c>
      <c r="F1" s="17" t="n">
        <v>2020</v>
      </c>
      <c r="G1" s="17" t="n">
        <v>2021</v>
      </c>
      <c r="H1" s="17" t="n">
        <v>2022</v>
      </c>
      <c r="I1" s="17" t="n">
        <v>2023</v>
      </c>
      <c r="J1" s="17" t="n">
        <v>2024</v>
      </c>
      <c r="K1" s="17" t="n">
        <v>2025</v>
      </c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</row>
    <row r="5">
      <c r="A5" s="2" t="inlineStr">
        <is>
          <t>Research &amp; Dev.</t>
        </is>
      </c>
      <c r="B5" s="23" t="n">
        <v>14.053</v>
      </c>
      <c r="C5" s="23" t="n">
        <v>22.022</v>
      </c>
      <c r="D5" s="23" t="n">
        <v>18.793</v>
      </c>
      <c r="E5" s="23" t="n">
        <v>37.506</v>
      </c>
      <c r="F5" s="23" t="n">
        <v>107.389</v>
      </c>
      <c r="G5" s="23" t="n">
        <v>217.34</v>
      </c>
      <c r="H5" s="23" t="n">
        <v>267.591</v>
      </c>
      <c r="I5" s="23" t="n">
        <v>206.298</v>
      </c>
      <c r="J5" s="23" t="n">
        <v>126.095</v>
      </c>
      <c r="K5" s="23" t="n">
        <v>182.373</v>
      </c>
    </row>
    <row r="6">
      <c r="A6" s="19" t="inlineStr">
        <is>
          <t>SG&amp;A &amp; Other</t>
        </is>
      </c>
      <c r="B6" s="23" t="n">
        <v>3.098</v>
      </c>
      <c r="C6" s="23" t="n">
        <v>3.499</v>
      </c>
      <c r="D6" s="23" t="n">
        <v>7.581</v>
      </c>
      <c r="E6" s="23" t="n">
        <v>11.684</v>
      </c>
      <c r="F6" s="23" t="n">
        <v>28.618</v>
      </c>
      <c r="G6" s="23" t="n">
        <v>49.711</v>
      </c>
      <c r="H6" s="23" t="n">
        <v>73.788</v>
      </c>
      <c r="I6" s="23" t="n">
        <v>71.023</v>
      </c>
      <c r="J6" s="23" t="n">
        <v>60.754</v>
      </c>
      <c r="K6" s="23" t="n">
        <v>52.015</v>
      </c>
    </row>
    <row r="7">
      <c r="A7" s="2" t="inlineStr">
        <is>
          <t>Operating Expense</t>
        </is>
      </c>
      <c r="B7" s="23">
        <f>SUM(B5:B6)</f>
        <v>17.151</v>
      </c>
      <c r="C7" s="23">
        <f>SUM(C5:C6)</f>
        <v>25.520999999999997</v>
      </c>
      <c r="D7" s="23">
        <f>SUM(D5:D6)</f>
        <v>26.374</v>
      </c>
      <c r="E7" s="23">
        <f>SUM(E5:E6)</f>
        <v>49.19</v>
      </c>
      <c r="F7" s="23">
        <f>SUM(F5:F6)</f>
        <v>136.007</v>
      </c>
      <c r="G7" s="23">
        <f>SUM(G5:G6)</f>
        <v>267.051</v>
      </c>
      <c r="H7" s="23">
        <f>SUM(H5:H6)</f>
        <v>341.379</v>
      </c>
      <c r="I7" s="23">
        <f>SUM(I5:I6)</f>
        <v>277.321</v>
      </c>
      <c r="J7" s="23">
        <f>SUM(J5:J6)</f>
        <v>186.849</v>
      </c>
      <c r="K7" s="23">
        <f>SUM(K5:K6)</f>
        <v>234.38799999999998</v>
      </c>
    </row>
    <row r="8">
      <c r="A8" s="2" t="inlineStr">
        <is>
          <t>Operating Income</t>
        </is>
      </c>
      <c r="B8" s="23">
        <f>B4-B7</f>
        <v>-17.151</v>
      </c>
      <c r="C8" s="23">
        <f>C4-C7</f>
        <v>-25.520999999999997</v>
      </c>
      <c r="D8" s="23">
        <f>D4-D7</f>
        <v>-26.374</v>
      </c>
      <c r="E8" s="23">
        <f>E4-E7</f>
        <v>-49.19</v>
      </c>
      <c r="F8" s="23">
        <f>F4-F7</f>
        <v>-136.007</v>
      </c>
      <c r="G8" s="23">
        <f>G4-G7</f>
        <v>-267.051</v>
      </c>
      <c r="H8" s="23">
        <f>H4-H7</f>
        <v>-341.379</v>
      </c>
      <c r="I8" s="23">
        <f>I4-I7</f>
        <v>-277.321</v>
      </c>
      <c r="J8" s="23">
        <f>J4-J7</f>
        <v>-186.849</v>
      </c>
      <c r="K8" s="23">
        <f>K4-K7</f>
        <v>-234.38799999999998</v>
      </c>
    </row>
    <row r="9">
      <c r="A9" s="19" t="inlineStr">
        <is>
          <t>Interest &amp; Other</t>
        </is>
      </c>
      <c r="B9" s="23" t="n">
        <v>0.019</v>
      </c>
      <c r="C9" s="23" t="n">
        <v>-2.415</v>
      </c>
      <c r="D9" s="23" t="n">
        <v>-15.069</v>
      </c>
      <c r="E9" s="23" t="n">
        <v>1.825</v>
      </c>
      <c r="F9" s="23" t="n">
        <v>2.925</v>
      </c>
      <c r="G9" s="23" t="n">
        <v>0.135</v>
      </c>
      <c r="H9" s="23" t="n">
        <v>7.589</v>
      </c>
      <c r="I9" s="23" t="n">
        <v>16.863</v>
      </c>
      <c r="J9" s="23" t="n">
        <v>10.662</v>
      </c>
      <c r="K9" s="23" t="n">
        <v>4.474</v>
      </c>
    </row>
    <row r="10">
      <c r="A10" s="2" t="inlineStr">
        <is>
          <t>Pretax</t>
        </is>
      </c>
      <c r="B10" s="23">
        <f>B8+B9</f>
        <v>-17.132</v>
      </c>
      <c r="C10" s="23">
        <f>C8+C9</f>
        <v>-27.935999999999996</v>
      </c>
      <c r="D10" s="23">
        <f>D8+D9</f>
        <v>-41.443</v>
      </c>
      <c r="E10" s="23">
        <f>E8+E9</f>
        <v>-47.364999999999995</v>
      </c>
      <c r="F10" s="23">
        <f>F8+F9</f>
        <v>-133.082</v>
      </c>
      <c r="G10" s="23">
        <f>G8+G9</f>
        <v>-266.916</v>
      </c>
      <c r="H10" s="23">
        <f>H8+H9</f>
        <v>-333.79</v>
      </c>
      <c r="I10" s="23">
        <f>I8+I9</f>
        <v>-260.458</v>
      </c>
      <c r="J10" s="23">
        <f>J8+J9</f>
        <v>-176.18699999999998</v>
      </c>
      <c r="K10" s="23">
        <f>K8+K9</f>
        <v>-229.914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0.014</v>
      </c>
      <c r="G11" s="23" t="n">
        <v>0.074</v>
      </c>
      <c r="H11" s="23" t="n">
        <v>0.033</v>
      </c>
      <c r="I11" s="23" t="n">
        <v>0.033</v>
      </c>
      <c r="J11" s="23" t="n">
        <v>0.02</v>
      </c>
      <c r="K11" s="23" t="n">
        <v>0.052</v>
      </c>
    </row>
    <row r="12">
      <c r="A12" s="2" t="inlineStr">
        <is>
          <t>Net Income</t>
        </is>
      </c>
      <c r="B12" s="23" t="n">
        <v>-17.132</v>
      </c>
      <c r="C12" s="23" t="n">
        <v>-27.936</v>
      </c>
      <c r="D12" s="23" t="n">
        <v>-41.443</v>
      </c>
      <c r="E12" s="23" t="n">
        <v>-47.365</v>
      </c>
      <c r="F12" s="23" t="n">
        <v>-133.096</v>
      </c>
      <c r="G12" s="23" t="n">
        <v>-266.99</v>
      </c>
      <c r="H12" s="23" t="n">
        <v>-333.823</v>
      </c>
      <c r="I12" s="23" t="n">
        <v>-260.491</v>
      </c>
      <c r="J12" s="23" t="n">
        <v>-176.207</v>
      </c>
      <c r="K12" s="23" t="n">
        <v>-229.966</v>
      </c>
    </row>
    <row r="13">
      <c r="A13" s="2" t="inlineStr">
        <is>
          <t>Earnings per Share</t>
        </is>
      </c>
      <c r="B13" s="11">
        <f>IFERROR(B12/B14,0)</f>
        <v>-1.1878250017333427</v>
      </c>
      <c r="C13" s="11">
        <f>IFERROR(C12/C14,0)</f>
        <v>-1.858558978111902</v>
      </c>
      <c r="D13" s="11">
        <f>IFERROR(D12/D14,0)</f>
        <v>-2.767109568004273</v>
      </c>
      <c r="E13" s="11">
        <f>IFERROR(E12/E14,0)</f>
        <v>-1.251254821154964</v>
      </c>
      <c r="F13" s="11">
        <f>IFERROR(F12/F14,0)</f>
        <v>-2.909710987713699</v>
      </c>
      <c r="G13" s="11">
        <f>IFERROR(G12/G14,0)</f>
        <v>-5.155341867964239</v>
      </c>
      <c r="H13" s="11">
        <f>IFERROR(H12/H14,0)</f>
        <v>-6.388956937799042</v>
      </c>
      <c r="I13" s="11">
        <f>IFERROR(I12/I14,0)</f>
        <v>-4.969874461021864</v>
      </c>
      <c r="J13" s="11">
        <f>IFERROR(J12/J14,0)</f>
        <v>-3.3510259969952267</v>
      </c>
      <c r="K13" s="11">
        <f>IFERROR(K12/K14,0)</f>
        <v>-4.322019245226282</v>
      </c>
    </row>
    <row r="14">
      <c r="A14" s="2" t="inlineStr">
        <is>
          <t>Shares</t>
        </is>
      </c>
      <c r="B14" s="23" t="n">
        <v>14.423</v>
      </c>
      <c r="C14" s="23" t="n">
        <v>15.031</v>
      </c>
      <c r="D14" s="23" t="n">
        <v>14.977</v>
      </c>
      <c r="E14" s="23" t="n">
        <v>37.854</v>
      </c>
      <c r="F14" s="23" t="n">
        <v>45.742</v>
      </c>
      <c r="G14" s="23" t="n">
        <v>51.789</v>
      </c>
      <c r="H14" s="23" t="n">
        <v>52.25</v>
      </c>
      <c r="I14" s="23" t="n">
        <v>52.414</v>
      </c>
      <c r="J14" s="23" t="n">
        <v>52.583</v>
      </c>
      <c r="K14" s="23" t="n">
        <v>53.208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2026-10-21T01:04:04Z</dcterms:modified>
  <cp:lastModifiedBy>Wang, Eric</cp:lastModifiedBy>
</cp:coreProperties>
</file>