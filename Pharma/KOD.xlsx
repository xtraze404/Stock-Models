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Kodiak Sciences Inc.</t>
        </is>
      </c>
      <c r="C2" s="10" t="n"/>
    </row>
    <row r="3">
      <c r="B3" t="inlineStr">
        <is>
          <t>Price</t>
        </is>
      </c>
      <c r="C3" s="11">
        <f>INDEX([1]Pharma!$F$1:$F$1000,MATCH("KOD",[1]Pharma!$B$1:$B$1000,0))</f>
        <v>92.97</v>
      </c>
      <c r="F3" s="1" t="n"/>
    </row>
    <row r="4">
      <c r="B4" t="inlineStr">
        <is>
          <t>Shares</t>
        </is>
      </c>
      <c r="C4" s="21" t="n">
        <v>62.849457</v>
      </c>
      <c r="F4" s="1" t="n"/>
    </row>
    <row r="5">
      <c r="B5" t="inlineStr">
        <is>
          <t>Market Cap.</t>
        </is>
      </c>
      <c r="C5" s="13">
        <f>C3*C4</f>
        <v>5843.11401729</v>
      </c>
      <c r="F5" s="1" t="n"/>
    </row>
    <row r="6"/>
    <row r="7">
      <c r="B7" t="inlineStr">
        <is>
          <t>Cash</t>
        </is>
      </c>
      <c r="C7" s="21" t="n">
        <v>125.903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5717.21101729</v>
      </c>
    </row>
    <row r="10"/>
    <row r="11">
      <c r="B11" s="14" t="inlineStr">
        <is>
          <t>rNPV / Share</t>
        </is>
      </c>
      <c r="C11" s="11">
        <f>NPV!B27</f>
        <v>15.200950251294206</v>
      </c>
    </row>
    <row r="12">
      <c r="B12" s="14" t="inlineStr">
        <is>
          <t>Upside</t>
        </is>
      </c>
      <c r="C12" s="15">
        <f>IFERROR(C11/C3-1,"")</f>
        <v>-0.8364961788609853</v>
      </c>
    </row>
    <row r="13">
      <c r="B13" s="14" t="inlineStr">
        <is>
          <t>Cash / Share</t>
        </is>
      </c>
      <c r="C13" s="11">
        <f>IFERROR((C7-C8)/C4,"")</f>
        <v>2.0032472197810716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-158.505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0.7943156367307026</v>
      </c>
    </row>
    <row r="19">
      <c r="B19" s="14" t="inlineStr">
        <is>
          <t>Implied Pipeline Value</t>
        </is>
      </c>
      <c r="C19" s="13">
        <f>C9</f>
        <v>5717.21101729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14.053</v>
      </c>
      <c r="C5" s="23" t="n">
        <v>22.022</v>
      </c>
      <c r="D5" s="23" t="n">
        <v>18.793</v>
      </c>
      <c r="E5" s="23" t="n">
        <v>37.506</v>
      </c>
      <c r="F5" s="23" t="n">
        <v>107.389</v>
      </c>
      <c r="G5" s="23" t="n">
        <v>217.34</v>
      </c>
      <c r="H5" s="23" t="n">
        <v>267.591</v>
      </c>
      <c r="I5" s="23" t="n">
        <v>206.298</v>
      </c>
      <c r="J5" s="23" t="n">
        <v>126.095</v>
      </c>
      <c r="K5" s="23" t="n">
        <v>182.373</v>
      </c>
    </row>
    <row r="6">
      <c r="A6" s="19" t="inlineStr">
        <is>
          <t>SG&amp;A &amp; Other</t>
        </is>
      </c>
      <c r="B6" s="23" t="n">
        <v>3.098</v>
      </c>
      <c r="C6" s="23" t="n">
        <v>3.499</v>
      </c>
      <c r="D6" s="23" t="n">
        <v>7.581</v>
      </c>
      <c r="E6" s="23" t="n">
        <v>11.684</v>
      </c>
      <c r="F6" s="23" t="n">
        <v>28.618</v>
      </c>
      <c r="G6" s="23" t="n">
        <v>49.711</v>
      </c>
      <c r="H6" s="23" t="n">
        <v>73.788</v>
      </c>
      <c r="I6" s="23" t="n">
        <v>71.023</v>
      </c>
      <c r="J6" s="23" t="n">
        <v>60.754</v>
      </c>
      <c r="K6" s="23" t="n">
        <v>52.015</v>
      </c>
    </row>
    <row r="7">
      <c r="A7" s="2" t="inlineStr">
        <is>
          <t>Operating Expense</t>
        </is>
      </c>
      <c r="B7" s="23">
        <f>SUM(B5:B6)</f>
        <v>17.151</v>
      </c>
      <c r="C7" s="23">
        <f>SUM(C5:C6)</f>
        <v>25.520999999999997</v>
      </c>
      <c r="D7" s="23">
        <f>SUM(D5:D6)</f>
        <v>26.374</v>
      </c>
      <c r="E7" s="23">
        <f>SUM(E5:E6)</f>
        <v>49.19</v>
      </c>
      <c r="F7" s="23">
        <f>SUM(F5:F6)</f>
        <v>136.007</v>
      </c>
      <c r="G7" s="23">
        <f>SUM(G5:G6)</f>
        <v>267.051</v>
      </c>
      <c r="H7" s="23">
        <f>SUM(H5:H6)</f>
        <v>341.379</v>
      </c>
      <c r="I7" s="23">
        <f>SUM(I5:I6)</f>
        <v>277.321</v>
      </c>
      <c r="J7" s="23">
        <f>SUM(J5:J6)</f>
        <v>186.849</v>
      </c>
      <c r="K7" s="23">
        <f>SUM(K5:K6)</f>
        <v>234.38799999999998</v>
      </c>
    </row>
    <row r="8">
      <c r="A8" s="2" t="inlineStr">
        <is>
          <t>Operating Income</t>
        </is>
      </c>
      <c r="B8" s="23">
        <f>B4-B7</f>
        <v>-17.151</v>
      </c>
      <c r="C8" s="23">
        <f>C4-C7</f>
        <v>-25.520999999999997</v>
      </c>
      <c r="D8" s="23">
        <f>D4-D7</f>
        <v>-26.374</v>
      </c>
      <c r="E8" s="23">
        <f>E4-E7</f>
        <v>-49.19</v>
      </c>
      <c r="F8" s="23">
        <f>F4-F7</f>
        <v>-136.007</v>
      </c>
      <c r="G8" s="23">
        <f>G4-G7</f>
        <v>-267.051</v>
      </c>
      <c r="H8" s="23">
        <f>H4-H7</f>
        <v>-341.379</v>
      </c>
      <c r="I8" s="23">
        <f>I4-I7</f>
        <v>-277.321</v>
      </c>
      <c r="J8" s="23">
        <f>J4-J7</f>
        <v>-186.849</v>
      </c>
      <c r="K8" s="23">
        <f>K4-K7</f>
        <v>-234.38799999999998</v>
      </c>
    </row>
    <row r="9">
      <c r="A9" s="19" t="inlineStr">
        <is>
          <t>Interest &amp; Other</t>
        </is>
      </c>
      <c r="B9" s="23" t="n">
        <v>0.019</v>
      </c>
      <c r="C9" s="23" t="n">
        <v>-2.415</v>
      </c>
      <c r="D9" s="23" t="n">
        <v>-15.069</v>
      </c>
      <c r="E9" s="23" t="n">
        <v>1.825</v>
      </c>
      <c r="F9" s="23" t="n">
        <v>2.925</v>
      </c>
      <c r="G9" s="23" t="n">
        <v>0.135</v>
      </c>
      <c r="H9" s="23" t="n">
        <v>7.589</v>
      </c>
      <c r="I9" s="23" t="n">
        <v>16.863</v>
      </c>
      <c r="J9" s="23" t="n">
        <v>10.662</v>
      </c>
      <c r="K9" s="23" t="n">
        <v>4.474</v>
      </c>
    </row>
    <row r="10">
      <c r="A10" s="2" t="inlineStr">
        <is>
          <t>Pretax</t>
        </is>
      </c>
      <c r="B10" s="23">
        <f>B8+B9</f>
        <v>-17.132</v>
      </c>
      <c r="C10" s="23">
        <f>C8+C9</f>
        <v>-27.935999999999996</v>
      </c>
      <c r="D10" s="23">
        <f>D8+D9</f>
        <v>-41.443</v>
      </c>
      <c r="E10" s="23">
        <f>E8+E9</f>
        <v>-47.364999999999995</v>
      </c>
      <c r="F10" s="23">
        <f>F8+F9</f>
        <v>-133.082</v>
      </c>
      <c r="G10" s="23">
        <f>G8+G9</f>
        <v>-266.916</v>
      </c>
      <c r="H10" s="23">
        <f>H8+H9</f>
        <v>-333.79</v>
      </c>
      <c r="I10" s="23">
        <f>I8+I9</f>
        <v>-260.458</v>
      </c>
      <c r="J10" s="23">
        <f>J8+J9</f>
        <v>-176.18699999999998</v>
      </c>
      <c r="K10" s="23">
        <f>K8+K9</f>
        <v>-229.914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0.014</v>
      </c>
      <c r="G11" s="23" t="n">
        <v>0.074</v>
      </c>
      <c r="H11" s="23" t="n">
        <v>0.033</v>
      </c>
      <c r="I11" s="23" t="n">
        <v>0.033</v>
      </c>
      <c r="J11" s="23" t="n">
        <v>0.02</v>
      </c>
      <c r="K11" s="23" t="n">
        <v>0.052</v>
      </c>
    </row>
    <row r="12">
      <c r="A12" s="2" t="inlineStr">
        <is>
          <t>Net Income</t>
        </is>
      </c>
      <c r="B12" s="23" t="n">
        <v>-17.132</v>
      </c>
      <c r="C12" s="23" t="n">
        <v>-27.936</v>
      </c>
      <c r="D12" s="23" t="n">
        <v>-41.443</v>
      </c>
      <c r="E12" s="23" t="n">
        <v>-47.365</v>
      </c>
      <c r="F12" s="23" t="n">
        <v>-133.096</v>
      </c>
      <c r="G12" s="23" t="n">
        <v>-266.99</v>
      </c>
      <c r="H12" s="23" t="n">
        <v>-333.823</v>
      </c>
      <c r="I12" s="23" t="n">
        <v>-260.491</v>
      </c>
      <c r="J12" s="23" t="n">
        <v>-176.207</v>
      </c>
      <c r="K12" s="23" t="n">
        <v>-229.966</v>
      </c>
    </row>
    <row r="13">
      <c r="A13" s="2" t="inlineStr">
        <is>
          <t>Earnings per Share</t>
        </is>
      </c>
      <c r="B13" s="11">
        <f>IFERROR(B12/B14,0)</f>
        <v>-1.1878250017333427</v>
      </c>
      <c r="C13" s="11">
        <f>IFERROR(C12/C14,0)</f>
        <v>-1.858558978111902</v>
      </c>
      <c r="D13" s="11">
        <f>IFERROR(D12/D14,0)</f>
        <v>-2.767109568004273</v>
      </c>
      <c r="E13" s="11">
        <f>IFERROR(E12/E14,0)</f>
        <v>-1.251254821154964</v>
      </c>
      <c r="F13" s="11">
        <f>IFERROR(F12/F14,0)</f>
        <v>-2.909710987713699</v>
      </c>
      <c r="G13" s="11">
        <f>IFERROR(G12/G14,0)</f>
        <v>-5.155341867964239</v>
      </c>
      <c r="H13" s="11">
        <f>IFERROR(H12/H14,0)</f>
        <v>-6.388956937799042</v>
      </c>
      <c r="I13" s="11">
        <f>IFERROR(I12/I14,0)</f>
        <v>-4.969874461021864</v>
      </c>
      <c r="J13" s="11">
        <f>IFERROR(J12/J14,0)</f>
        <v>-3.3510259969952267</v>
      </c>
      <c r="K13" s="11">
        <f>IFERROR(K12/K14,0)</f>
        <v>-4.322019245226282</v>
      </c>
    </row>
    <row r="14">
      <c r="A14" s="2" t="inlineStr">
        <is>
          <t>Shares</t>
        </is>
      </c>
      <c r="B14" s="23" t="n">
        <v>14.423</v>
      </c>
      <c r="C14" s="23" t="n">
        <v>15.031</v>
      </c>
      <c r="D14" s="23" t="n">
        <v>14.977</v>
      </c>
      <c r="E14" s="23" t="n">
        <v>37.854</v>
      </c>
      <c r="F14" s="23" t="n">
        <v>45.742</v>
      </c>
      <c r="G14" s="23" t="n">
        <v>51.789</v>
      </c>
      <c r="H14" s="23" t="n">
        <v>52.25</v>
      </c>
      <c r="I14" s="23" t="n">
        <v>52.414</v>
      </c>
      <c r="J14" s="23" t="n">
        <v>52.583</v>
      </c>
      <c r="K14" s="23" t="n">
        <v>53.208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Kodiak Sciences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0.4663999999999999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246.42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1534.4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829.4684691778543</v>
      </c>
      <c r="C29" s="42">
        <f>NPV!B25</f>
        <v>955.3714691778544</v>
      </c>
      <c r="D29" s="43">
        <f>NPV!B27</f>
        <v>15.200950251294206</v>
      </c>
      <c r="E29" s="44">
        <f>NPV!B29</f>
        <v>-0.8364961788609853</v>
      </c>
    </row>
    <row r="30">
      <c r="A30" s="45" t="n">
        <v>1</v>
      </c>
      <c r="B30" s="46">
        <f t="dataTable" ref="B30:E32" r1="B4"/>
        <v>20.247157188695944</v>
      </c>
      <c r="C30" s="46">
        <v>146.15015718869594</v>
      </c>
      <c r="D30" s="47">
        <v>2.325400475436024</v>
      </c>
      <c r="E30" s="48">
        <v>-0.9749876253045496</v>
      </c>
    </row>
    <row r="31">
      <c r="A31" s="45" t="n">
        <v>2</v>
      </c>
      <c r="B31" s="46">
        <v>829.4684691778543</v>
      </c>
      <c r="C31" s="46">
        <v>955.3714691778544</v>
      </c>
      <c r="D31" s="47">
        <v>15.200950251294206</v>
      </c>
      <c r="E31" s="48">
        <v>-0.8364961788609853</v>
      </c>
    </row>
    <row r="32">
      <c r="A32" s="45" t="n">
        <v>3</v>
      </c>
      <c r="B32" s="46">
        <v>2023.9459287173513</v>
      </c>
      <c r="C32" s="46">
        <v>2149.848928717351</v>
      </c>
      <c r="D32" s="47">
        <v>34.206324626119695</v>
      </c>
      <c r="E32" s="48">
        <v>-0.6320713711291848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15.200950251294206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-0.42448065973034377</v>
      </c>
      <c r="C37" s="47">
        <v>3.567371809904908</v>
      </c>
      <c r="D37" s="47">
        <v>7.250885901360865</v>
      </c>
      <c r="E37" s="47">
        <v>14.041886362875072</v>
      </c>
      <c r="F37" s="47">
        <v>20.644385604906397</v>
      </c>
    </row>
    <row r="38">
      <c r="A38" s="50" t="n">
        <v>0.8</v>
      </c>
      <c r="B38" s="47">
        <v>1.6143052381643437</v>
      </c>
      <c r="C38" s="47">
        <v>6.6991427886813275</v>
      </c>
      <c r="D38" s="47">
        <v>11.271565458736271</v>
      </c>
      <c r="E38" s="47">
        <v>20.120767846969088</v>
      </c>
      <c r="F38" s="47">
        <v>28.792015888589408</v>
      </c>
    </row>
    <row r="39">
      <c r="A39" s="50" t="n">
        <v>1</v>
      </c>
      <c r="B39" s="47">
        <v>3.653091136059029</v>
      </c>
      <c r="C39" s="47">
        <v>9.600354820868896</v>
      </c>
      <c r="D39" s="47">
        <v>15.200950251294206</v>
      </c>
      <c r="E39" s="47">
        <v>26.111294148298537</v>
      </c>
      <c r="F39" s="47">
        <v>36.85850851755187</v>
      </c>
    </row>
    <row r="40">
      <c r="A40" s="50" t="n">
        <v>1.2</v>
      </c>
      <c r="B40" s="47">
        <v>5.5810758814498</v>
      </c>
      <c r="C40" s="47">
        <v>12.445935653186492</v>
      </c>
      <c r="D40" s="47">
        <v>19.071052583099565</v>
      </c>
      <c r="E40" s="47">
        <v>32.05814808591609</v>
      </c>
      <c r="F40" s="47">
        <v>44.909786888670126</v>
      </c>
    </row>
    <row r="41">
      <c r="A41" s="50" t="n">
        <v>1.4</v>
      </c>
      <c r="B41" s="47">
        <v>7.3567526554953435</v>
      </c>
      <c r="C41" s="47">
        <v>15.246759000353132</v>
      </c>
      <c r="D41" s="47">
        <v>22.906903855584968</v>
      </c>
      <c r="E41" s="47">
        <v>37.98016520477885</v>
      </c>
      <c r="F41" s="47">
        <v>52.912406133468835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Kodiak Sciences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Retinal disease (AMD / DME)</t>
        </is>
      </c>
      <c r="C4" s="14" t="inlineStr">
        <is>
          <t>KSI-301, Aflibercept</t>
        </is>
      </c>
      <c r="D4" s="14" t="inlineStr">
        <is>
          <t>Phase 3</t>
        </is>
      </c>
      <c r="E4" s="14" t="inlineStr">
        <is>
          <t>Ophthalmology / area</t>
        </is>
      </c>
      <c r="F4" s="14" t="inlineStr">
        <is>
          <t>Owned</t>
        </is>
      </c>
      <c r="G4" s="40" t="n">
        <v>2500</v>
      </c>
      <c r="H4" s="27" t="n">
        <v>0.4664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1672.571734271231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116.6</v>
      </c>
      <c r="Q4" s="23">
        <f>IF(Q$3&lt;$I4,0,$G4*Assumptions!$E$11*INDEX(Assumptions!$B$24:$G$24,MIN(6,Q$3-$I4+1))*IF(Q$3&gt;$J4,(1-Assumptions!$B$26)^(Q$3-$J4),1)*IF($H4&gt;=1,1,MIN(0.97,$H4*Assumptions!$E$12)))</f>
        <v>291.5</v>
      </c>
      <c r="R4" s="23">
        <f>IF(R$3&lt;$I4,0,$G4*Assumptions!$E$11*INDEX(Assumptions!$B$24:$G$24,MIN(6,R$3-$I4+1))*IF(R$3&gt;$J4,(1-Assumptions!$B$26)^(R$3-$J4),1)*IF($H4&gt;=1,1,MIN(0.97,$H4*Assumptions!$E$12)))</f>
        <v>524.6999999999999</v>
      </c>
      <c r="S4" s="23">
        <f>IF(S$3&lt;$I4,0,$G4*Assumptions!$E$11*INDEX(Assumptions!$B$24:$G$24,MIN(6,S$3-$I4+1))*IF(S$3&gt;$J4,(1-Assumptions!$B$26)^(S$3-$J4),1)*IF($H4&gt;=1,1,MIN(0.97,$H4*Assumptions!$E$12)))</f>
        <v>757.9</v>
      </c>
      <c r="T4" s="23">
        <f>IF(T$3&lt;$I4,0,$G4*Assumptions!$E$11*INDEX(Assumptions!$B$24:$G$24,MIN(6,T$3-$I4+1))*IF(T$3&gt;$J4,(1-Assumptions!$B$26)^(T$3-$J4),1)*IF($H4&gt;=1,1,MIN(0.97,$H4*Assumptions!$E$12)))</f>
        <v>991.0999999999999</v>
      </c>
      <c r="U4" s="23">
        <f>IF(U$3&lt;$I4,0,$G4*Assumptions!$E$11*INDEX(Assumptions!$B$24:$G$24,MIN(6,U$3-$I4+1))*IF(U$3&gt;$J4,(1-Assumptions!$B$26)^(U$3-$J4),1)*IF($H4&gt;=1,1,MIN(0.97,$H4*Assumptions!$E$12)))</f>
        <v>1166.0</v>
      </c>
      <c r="V4" s="23">
        <f>IF(V$3&lt;$I4,0,$G4*Assumptions!$E$11*INDEX(Assumptions!$B$24:$G$24,MIN(6,V$3-$I4+1))*IF(V$3&gt;$J4,(1-Assumptions!$B$26)^(V$3-$J4),1)*IF($H4&gt;=1,1,MIN(0.97,$H4*Assumptions!$E$12)))</f>
        <v>1166.0</v>
      </c>
      <c r="W4" s="23">
        <f>IF(W$3&lt;$I4,0,$G4*Assumptions!$E$11*INDEX(Assumptions!$B$24:$G$24,MIN(6,W$3-$I4+1))*IF(W$3&gt;$J4,(1-Assumptions!$B$26)^(W$3-$J4),1)*IF($H4&gt;=1,1,MIN(0.97,$H4*Assumptions!$E$12)))</f>
        <v>1166.0</v>
      </c>
      <c r="X4" s="23">
        <f>IF(X$3&lt;$I4,0,$G4*Assumptions!$E$11*INDEX(Assumptions!$B$24:$G$24,MIN(6,X$3-$I4+1))*IF(X$3&gt;$J4,(1-Assumptions!$B$26)^(X$3-$J4),1)*IF($H4&gt;=1,1,MIN(0.97,$H4*Assumptions!$E$12)))</f>
        <v>1166.0</v>
      </c>
      <c r="Y4" s="23">
        <f>IF(Y$3&lt;$I4,0,$G4*Assumptions!$E$11*INDEX(Assumptions!$B$24:$G$24,MIN(6,Y$3-$I4+1))*IF(Y$3&gt;$J4,(1-Assumptions!$B$26)^(Y$3-$J4),1)*IF($H4&gt;=1,1,MIN(0.97,$H4*Assumptions!$E$12)))</f>
        <v>1166.0</v>
      </c>
      <c r="Z4" s="23">
        <f>IF(Z$3&lt;$I4,0,$G4*Assumptions!$E$11*INDEX(Assumptions!$B$24:$G$24,MIN(6,Z$3-$I4+1))*IF(Z$3&gt;$J4,(1-Assumptions!$B$26)^(Z$3-$J4),1)*IF($H4&gt;=1,1,MIN(0.97,$H4*Assumptions!$E$12)))</f>
        <v>1166.0</v>
      </c>
      <c r="AA4" s="23">
        <f>IF(AA$3&lt;$I4,0,$G4*Assumptions!$E$11*INDEX(Assumptions!$B$24:$G$24,MIN(6,AA$3-$I4+1))*IF(AA$3&gt;$J4,(1-Assumptions!$B$26)^(AA$3-$J4),1)*IF($H4&gt;=1,1,MIN(0.97,$H4*Assumptions!$E$12)))</f>
        <v>1166.0</v>
      </c>
      <c r="AB4" s="23">
        <f>IF(AB$3&lt;$I4,0,$G4*Assumptions!$E$11*INDEX(Assumptions!$B$24:$G$24,MIN(6,AB$3-$I4+1))*IF(AB$3&gt;$J4,(1-Assumptions!$B$26)^(AB$3-$J4),1)*IF($H4&gt;=1,1,MIN(0.97,$H4*Assumptions!$E$12)))</f>
        <v>1166.0</v>
      </c>
      <c r="AC4" s="23">
        <f>IF(AC$3&lt;$I4,0,$G4*Assumptions!$E$11*INDEX(Assumptions!$B$24:$G$24,MIN(6,AC$3-$I4+1))*IF(AC$3&gt;$J4,(1-Assumptions!$B$26)^(AC$3-$J4),1)*IF($H4&gt;=1,1,MIN(0.97,$H4*Assumptions!$E$12)))</f>
        <v>583.0</v>
      </c>
      <c r="AD4" s="23">
        <f>IF(AD$3&lt;$I4,0,$G4*Assumptions!$E$11*INDEX(Assumptions!$B$24:$G$24,MIN(6,AD$3-$I4+1))*IF(AD$3&gt;$J4,(1-Assumptions!$B$26)^(AD$3-$J4),1)*IF($H4&gt;=1,1,MIN(0.97,$H4*Assumptions!$E$12)))</f>
        <v>291.5</v>
      </c>
      <c r="AE4" s="23">
        <f>IF(AE$3&lt;$I4,0,$G4*Assumptions!$E$11*INDEX(Assumptions!$B$24:$G$24,MIN(6,AE$3-$I4+1))*IF(AE$3&gt;$J4,(1-Assumptions!$B$26)^(AE$3-$J4),1)*IF($H4&gt;=1,1,MIN(0.97,$H4*Assumptions!$E$12)))</f>
        <v>145.75</v>
      </c>
      <c r="AF4" s="23">
        <f>IF(AF$3&lt;$I4,0,$G4*Assumptions!$E$11*INDEX(Assumptions!$B$24:$G$24,MIN(6,AF$3-$I4+1))*IF(AF$3&gt;$J4,(1-Assumptions!$B$26)^(AF$3-$J4),1)*IF($H4&gt;=1,1,MIN(0.97,$H4*Assumptions!$E$12)))</f>
        <v>72.875</v>
      </c>
      <c r="AG4" s="35">
        <f>IF(F4="Owned",1-IF(H4&gt;=1,1,MIN(0.97,H4*Assumptions!$E$12)),1)</f>
        <v>0.5336000000000001</v>
      </c>
    </row>
    <row r="5">
      <c r="B5" s="24" t="inlineStr">
        <is>
          <t>Risked revenue</t>
        </is>
      </c>
      <c r="L5" s="54">
        <f>SUM(L4:L4)</f>
        <v>1672.571734271231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116.6</v>
      </c>
      <c r="Q5" s="54">
        <f>SUM(Q4:Q4)</f>
        <v>291.5</v>
      </c>
      <c r="R5" s="54">
        <f>SUM(R4:R4)</f>
        <v>524.6999999999999</v>
      </c>
      <c r="S5" s="54">
        <f>SUM(S4:S4)</f>
        <v>757.9</v>
      </c>
      <c r="T5" s="54">
        <f>SUM(T4:T4)</f>
        <v>991.0999999999999</v>
      </c>
      <c r="U5" s="54">
        <f>SUM(U4:U4)</f>
        <v>1166.0</v>
      </c>
      <c r="V5" s="54">
        <f>SUM(V4:V4)</f>
        <v>1166.0</v>
      </c>
      <c r="W5" s="54">
        <f>SUM(W4:W4)</f>
        <v>1166.0</v>
      </c>
      <c r="X5" s="54">
        <f>SUM(X4:X4)</f>
        <v>1166.0</v>
      </c>
      <c r="Y5" s="54">
        <f>SUM(Y4:Y4)</f>
        <v>1166.0</v>
      </c>
      <c r="Z5" s="54">
        <f>SUM(Z4:Z4)</f>
        <v>1166.0</v>
      </c>
      <c r="AA5" s="54">
        <f>SUM(AA4:AA4)</f>
        <v>1166.0</v>
      </c>
      <c r="AB5" s="54">
        <f>SUM(AB4:AB4)</f>
        <v>1166.0</v>
      </c>
      <c r="AC5" s="54">
        <f>SUM(AC4:AC4)</f>
        <v>583.0</v>
      </c>
      <c r="AD5" s="54">
        <f>SUM(AD4:AD4)</f>
        <v>291.5</v>
      </c>
      <c r="AE5" s="54">
        <f>SUM(AE4:AE4)</f>
        <v>145.75</v>
      </c>
      <c r="AF5" s="54">
        <f>SUM(AF4:AF4)</f>
        <v>72.875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46.64</v>
      </c>
      <c r="Q6" s="55">
        <f>SUMPRODUCT(Q4:Q4,$K$4:$K$4)</f>
        <v>116.60000000000001</v>
      </c>
      <c r="R6" s="55">
        <f>SUMPRODUCT(R4:R4,$K$4:$K$4)</f>
        <v>209.88</v>
      </c>
      <c r="S6" s="55">
        <f>SUMPRODUCT(S4:S4,$K$4:$K$4)</f>
        <v>303.16</v>
      </c>
      <c r="T6" s="55">
        <f>SUMPRODUCT(T4:T4,$K$4:$K$4)</f>
        <v>396.44</v>
      </c>
      <c r="U6" s="55">
        <f>SUMPRODUCT(U4:U4,$K$4:$K$4)</f>
        <v>466.40000000000003</v>
      </c>
      <c r="V6" s="55">
        <f>SUMPRODUCT(V4:V4,$K$4:$K$4)</f>
        <v>466.40000000000003</v>
      </c>
      <c r="W6" s="55">
        <f>SUMPRODUCT(W4:W4,$K$4:$K$4)</f>
        <v>466.40000000000003</v>
      </c>
      <c r="X6" s="55">
        <f>SUMPRODUCT(X4:X4,$K$4:$K$4)</f>
        <v>466.40000000000003</v>
      </c>
      <c r="Y6" s="55">
        <f>SUMPRODUCT(Y4:Y4,$K$4:$K$4)</f>
        <v>466.40000000000003</v>
      </c>
      <c r="Z6" s="55">
        <f>SUMPRODUCT(Z4:Z4,$K$4:$K$4)</f>
        <v>466.40000000000003</v>
      </c>
      <c r="AA6" s="55">
        <f>SUMPRODUCT(AA4:AA4,$K$4:$K$4)</f>
        <v>466.40000000000003</v>
      </c>
      <c r="AB6" s="55">
        <f>SUMPRODUCT(AB4:AB4,$K$4:$K$4)</f>
        <v>466.40000000000003</v>
      </c>
      <c r="AC6" s="55">
        <f>SUMPRODUCT(AC4:AC4,$K$4:$K$4)</f>
        <v>233.20000000000002</v>
      </c>
      <c r="AD6" s="55">
        <f>SUMPRODUCT(AD4:AD4,$K$4:$K$4)</f>
        <v>116.60000000000001</v>
      </c>
      <c r="AE6" s="55">
        <f>SUMPRODUCT(AE4:AE4,$K$4:$K$4)</f>
        <v>58.300000000000004</v>
      </c>
      <c r="AF6" s="55">
        <f>SUMPRODUCT(AF4:AF4,$K$4:$K$4)</f>
        <v>29.150000000000002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Kodiak Sciences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116.6</v>
      </c>
      <c r="G4" s="57">
        <f>Pipeline!Q5</f>
        <v>291.5</v>
      </c>
      <c r="H4" s="57">
        <f>Pipeline!R5</f>
        <v>524.6999999999999</v>
      </c>
      <c r="I4" s="57">
        <f>Pipeline!S5</f>
        <v>757.9</v>
      </c>
      <c r="J4" s="57">
        <f>Pipeline!T5</f>
        <v>991.0999999999999</v>
      </c>
      <c r="K4" s="57">
        <f>Pipeline!U5</f>
        <v>1166.0</v>
      </c>
      <c r="L4" s="57">
        <f>Pipeline!V5</f>
        <v>1166.0</v>
      </c>
      <c r="M4" s="57">
        <f>Pipeline!W5</f>
        <v>1166.0</v>
      </c>
      <c r="N4" s="57">
        <f>Pipeline!X5</f>
        <v>1166.0</v>
      </c>
      <c r="O4" s="57">
        <f>Pipeline!Y5</f>
        <v>1166.0</v>
      </c>
      <c r="P4" s="57">
        <f>Pipeline!Z5</f>
        <v>1166.0</v>
      </c>
      <c r="Q4" s="57">
        <f>Pipeline!AA5</f>
        <v>1166.0</v>
      </c>
      <c r="R4" s="57">
        <f>Pipeline!AB5</f>
        <v>1166.0</v>
      </c>
      <c r="S4" s="57">
        <f>Pipeline!AC5</f>
        <v>583.0</v>
      </c>
      <c r="T4" s="57">
        <f>Pipeline!AD5</f>
        <v>291.5</v>
      </c>
      <c r="U4" s="57">
        <f>Pipeline!AE5</f>
        <v>145.75</v>
      </c>
      <c r="V4" s="57">
        <f>Pipeline!AF5</f>
        <v>72.875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46.64</v>
      </c>
      <c r="G5" s="57">
        <f>Pipeline!Q6</f>
        <v>116.60000000000001</v>
      </c>
      <c r="H5" s="57">
        <f>Pipeline!R6</f>
        <v>209.88</v>
      </c>
      <c r="I5" s="57">
        <f>Pipeline!S6</f>
        <v>303.16</v>
      </c>
      <c r="J5" s="57">
        <f>Pipeline!T6</f>
        <v>396.44</v>
      </c>
      <c r="K5" s="57">
        <f>Pipeline!U6</f>
        <v>466.40000000000003</v>
      </c>
      <c r="L5" s="57">
        <f>Pipeline!V6</f>
        <v>466.40000000000003</v>
      </c>
      <c r="M5" s="57">
        <f>Pipeline!W6</f>
        <v>466.40000000000003</v>
      </c>
      <c r="N5" s="57">
        <f>Pipeline!X6</f>
        <v>466.40000000000003</v>
      </c>
      <c r="O5" s="57">
        <f>Pipeline!Y6</f>
        <v>466.40000000000003</v>
      </c>
      <c r="P5" s="57">
        <f>Pipeline!Z6</f>
        <v>466.40000000000003</v>
      </c>
      <c r="Q5" s="57">
        <f>Pipeline!AA6</f>
        <v>466.40000000000003</v>
      </c>
      <c r="R5" s="57">
        <f>Pipeline!AB6</f>
        <v>466.40000000000003</v>
      </c>
      <c r="S5" s="57">
        <f>Pipeline!AC6</f>
        <v>233.20000000000002</v>
      </c>
      <c r="T5" s="57">
        <f>Pipeline!AD6</f>
        <v>116.60000000000001</v>
      </c>
      <c r="U5" s="57">
        <f>Pipeline!AE6</f>
        <v>58.300000000000004</v>
      </c>
      <c r="V5" s="57">
        <f>Pipeline!AF6</f>
        <v>29.150000000000002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-246.42</v>
      </c>
      <c r="D6" s="23">
        <f>-IF(D3-2026&lt;Assumptions!$B$19,Assumptions!$B$18,Assumptions!$B$18*Assumptions!$B$20*Assumptions!$B$16)</f>
        <v>-246.42</v>
      </c>
      <c r="E6" s="23">
        <f>-IF(E3-2026&lt;Assumptions!$B$19,Assumptions!$B$18,Assumptions!$B$18*Assumptions!$B$20*Assumptions!$B$16)</f>
        <v>-246.42</v>
      </c>
      <c r="F6" s="23">
        <f>-IF(F3-2026&lt;Assumptions!$B$19,Assumptions!$B$18,Assumptions!$B$18*Assumptions!$B$20*Assumptions!$B$16)</f>
        <v>-34.479086399999986</v>
      </c>
      <c r="G6" s="23">
        <f>-IF(G3-2026&lt;Assumptions!$B$19,Assumptions!$B$18,Assumptions!$B$18*Assumptions!$B$20*Assumptions!$B$16)</f>
        <v>-34.479086399999986</v>
      </c>
      <c r="H6" s="23">
        <f>-IF(H3-2026&lt;Assumptions!$B$19,Assumptions!$B$18,Assumptions!$B$18*Assumptions!$B$20*Assumptions!$B$16)</f>
        <v>-34.479086399999986</v>
      </c>
      <c r="I6" s="23">
        <f>-IF(I3-2026&lt;Assumptions!$B$19,Assumptions!$B$18,Assumptions!$B$18*Assumptions!$B$20*Assumptions!$B$16)</f>
        <v>-34.479086399999986</v>
      </c>
      <c r="J6" s="23">
        <f>-IF(J3-2026&lt;Assumptions!$B$19,Assumptions!$B$18,Assumptions!$B$18*Assumptions!$B$20*Assumptions!$B$16)</f>
        <v>-34.479086399999986</v>
      </c>
      <c r="K6" s="23">
        <f>-IF(K3-2026&lt;Assumptions!$B$19,Assumptions!$B$18,Assumptions!$B$18*Assumptions!$B$20*Assumptions!$B$16)</f>
        <v>-34.479086399999986</v>
      </c>
      <c r="L6" s="23">
        <f>-IF(L3-2026&lt;Assumptions!$B$19,Assumptions!$B$18,Assumptions!$B$18*Assumptions!$B$20*Assumptions!$B$16)</f>
        <v>-34.479086399999986</v>
      </c>
      <c r="M6" s="23">
        <f>-IF(M3-2026&lt;Assumptions!$B$19,Assumptions!$B$18,Assumptions!$B$18*Assumptions!$B$20*Assumptions!$B$16)</f>
        <v>-34.479086399999986</v>
      </c>
      <c r="N6" s="23">
        <f>-IF(N3-2026&lt;Assumptions!$B$19,Assumptions!$B$18,Assumptions!$B$18*Assumptions!$B$20*Assumptions!$B$16)</f>
        <v>-34.479086399999986</v>
      </c>
      <c r="O6" s="23">
        <f>-IF(O3-2026&lt;Assumptions!$B$19,Assumptions!$B$18,Assumptions!$B$18*Assumptions!$B$20*Assumptions!$B$16)</f>
        <v>-34.479086399999986</v>
      </c>
      <c r="P6" s="23">
        <f>-IF(P3-2026&lt;Assumptions!$B$19,Assumptions!$B$18,Assumptions!$B$18*Assumptions!$B$20*Assumptions!$B$16)</f>
        <v>-34.479086399999986</v>
      </c>
      <c r="Q6" s="23">
        <f>-IF(Q3-2026&lt;Assumptions!$B$19,Assumptions!$B$18,Assumptions!$B$18*Assumptions!$B$20*Assumptions!$B$16)</f>
        <v>-34.479086399999986</v>
      </c>
      <c r="R6" s="23">
        <f>-IF(R3-2026&lt;Assumptions!$B$19,Assumptions!$B$18,Assumptions!$B$18*Assumptions!$B$20*Assumptions!$B$16)</f>
        <v>-34.479086399999986</v>
      </c>
      <c r="S6" s="23">
        <f>-IF(S3-2026&lt;Assumptions!$B$19,Assumptions!$B$18,Assumptions!$B$18*Assumptions!$B$20*Assumptions!$B$16)</f>
        <v>-34.479086399999986</v>
      </c>
      <c r="T6" s="23">
        <f>-IF(T3-2026&lt;Assumptions!$B$19,Assumptions!$B$18,Assumptions!$B$18*Assumptions!$B$20*Assumptions!$B$16)</f>
        <v>-34.479086399999986</v>
      </c>
      <c r="U6" s="23">
        <f>-IF(U3-2026&lt;Assumptions!$B$19,Assumptions!$B$18,Assumptions!$B$18*Assumptions!$B$20*Assumptions!$B$16)</f>
        <v>-34.479086399999986</v>
      </c>
      <c r="V6" s="23">
        <f>-IF(V3-2026&lt;Assumptions!$B$19,Assumptions!$B$18,Assumptions!$B$18*Assumptions!$B$20*Assumptions!$B$16)</f>
        <v>-34.479086399999986</v>
      </c>
    </row>
    <row r="7">
      <c r="A7" s="14" t="inlineStr">
        <is>
          <t>Pre-tax cash flow</t>
        </is>
      </c>
      <c r="C7" s="23">
        <f>C5+C6</f>
        <v>-246.42</v>
      </c>
      <c r="D7" s="23">
        <f>D5+D6</f>
        <v>-246.42</v>
      </c>
      <c r="E7" s="23">
        <f>E5+E6</f>
        <v>-246.42</v>
      </c>
      <c r="F7" s="23">
        <f>F5+F6</f>
        <v>12.160913600000015</v>
      </c>
      <c r="G7" s="23">
        <f>G5+G6</f>
        <v>82.12091360000002</v>
      </c>
      <c r="H7" s="23">
        <f>H5+H6</f>
        <v>175.40091360000002</v>
      </c>
      <c r="I7" s="23">
        <f>I5+I6</f>
        <v>268.68091360000005</v>
      </c>
      <c r="J7" s="23">
        <f>J5+J6</f>
        <v>361.9609136</v>
      </c>
      <c r="K7" s="23">
        <f>K5+K6</f>
        <v>431.92091360000006</v>
      </c>
      <c r="L7" s="23">
        <f>L5+L6</f>
        <v>431.92091360000006</v>
      </c>
      <c r="M7" s="23">
        <f>M5+M6</f>
        <v>431.92091360000006</v>
      </c>
      <c r="N7" s="23">
        <f>N5+N6</f>
        <v>431.92091360000006</v>
      </c>
      <c r="O7" s="23">
        <f>O5+O6</f>
        <v>431.92091360000006</v>
      </c>
      <c r="P7" s="23">
        <f>P5+P6</f>
        <v>431.92091360000006</v>
      </c>
      <c r="Q7" s="23">
        <f>Q5+Q6</f>
        <v>431.92091360000006</v>
      </c>
      <c r="R7" s="23">
        <f>R5+R6</f>
        <v>431.92091360000006</v>
      </c>
      <c r="S7" s="23">
        <f>S5+S6</f>
        <v>198.72091360000002</v>
      </c>
      <c r="T7" s="23">
        <f>T5+T6</f>
        <v>82.12091360000002</v>
      </c>
      <c r="U7" s="23">
        <f>U5+U6</f>
        <v>23.82091360000002</v>
      </c>
      <c r="V7" s="23">
        <f>V5+V6</f>
        <v>-5.329086399999984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12.160913600000015</v>
      </c>
      <c r="G8" s="23">
        <f>MIN(F17,MAX(0,G7))</f>
        <v>82.12091360000002</v>
      </c>
      <c r="H8" s="23">
        <f>MIN(G17,MAX(0,H7))</f>
        <v>175.40091360000002</v>
      </c>
      <c r="I8" s="23">
        <f>MIN(H17,MAX(0,I7))</f>
        <v>268.68091360000005</v>
      </c>
      <c r="J8" s="23">
        <f>MIN(I17,MAX(0,J7))</f>
        <v>361.9609136</v>
      </c>
      <c r="K8" s="23">
        <f>MIN(J17,MAX(0,K7))</f>
        <v>431.92091360000006</v>
      </c>
      <c r="L8" s="23">
        <f>MIN(K17,MAX(0,L7))</f>
        <v>431.92091360000006</v>
      </c>
      <c r="M8" s="23">
        <f>MIN(L17,MAX(0,M7))</f>
        <v>431.92091360000006</v>
      </c>
      <c r="N8" s="23">
        <f>MIN(M17,MAX(0,N7))</f>
        <v>77.57269119999967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354.3482224000004</v>
      </c>
      <c r="O9" s="23">
        <f>MAX(0,O7)-O8</f>
        <v>431.92091360000006</v>
      </c>
      <c r="P9" s="23">
        <f>MAX(0,P7)-P8</f>
        <v>431.92091360000006</v>
      </c>
      <c r="Q9" s="23">
        <f>MAX(0,Q7)-Q8</f>
        <v>431.92091360000006</v>
      </c>
      <c r="R9" s="23">
        <f>MAX(0,R7)-R8</f>
        <v>431.92091360000006</v>
      </c>
      <c r="S9" s="23">
        <f>MAX(0,S7)-S8</f>
        <v>198.72091360000002</v>
      </c>
      <c r="T9" s="23">
        <f>MAX(0,T7)-T8</f>
        <v>82.12091360000002</v>
      </c>
      <c r="U9" s="23">
        <f>MAX(0,U7)-U8</f>
        <v>23.82091360000002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74.41312670400008</v>
      </c>
      <c r="O10" s="23">
        <f>O9*Assumptions!$E$15</f>
        <v>90.70339185600001</v>
      </c>
      <c r="P10" s="23">
        <f>P9*Assumptions!$E$15</f>
        <v>90.70339185600001</v>
      </c>
      <c r="Q10" s="23">
        <f>Q9*Assumptions!$E$15</f>
        <v>90.70339185600001</v>
      </c>
      <c r="R10" s="23">
        <f>R9*Assumptions!$E$15</f>
        <v>90.70339185600001</v>
      </c>
      <c r="S10" s="23">
        <f>S9*Assumptions!$E$15</f>
        <v>41.731391856</v>
      </c>
      <c r="T10" s="23">
        <f>T9*Assumptions!$E$15</f>
        <v>17.245391856000005</v>
      </c>
      <c r="U10" s="23">
        <f>U9*Assumptions!$E$15</f>
        <v>5.002391856000004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-246.42</v>
      </c>
      <c r="D11" s="55">
        <f>D7-D10</f>
        <v>-246.42</v>
      </c>
      <c r="E11" s="55">
        <f>E7-E10</f>
        <v>-246.42</v>
      </c>
      <c r="F11" s="55">
        <f>F7-F10</f>
        <v>12.160913600000015</v>
      </c>
      <c r="G11" s="55">
        <f>G7-G10</f>
        <v>82.12091360000002</v>
      </c>
      <c r="H11" s="55">
        <f>H7-H10</f>
        <v>175.40091360000002</v>
      </c>
      <c r="I11" s="55">
        <f>I7-I10</f>
        <v>268.68091360000005</v>
      </c>
      <c r="J11" s="55">
        <f>J7-J10</f>
        <v>361.9609136</v>
      </c>
      <c r="K11" s="55">
        <f>K7-K10</f>
        <v>431.92091360000006</v>
      </c>
      <c r="L11" s="55">
        <f>L7-L10</f>
        <v>431.92091360000006</v>
      </c>
      <c r="M11" s="55">
        <f>M7-M10</f>
        <v>431.92091360000006</v>
      </c>
      <c r="N11" s="55">
        <f>N7-N10</f>
        <v>357.50778689599997</v>
      </c>
      <c r="O11" s="55">
        <f>O7-O10</f>
        <v>341.21752174400007</v>
      </c>
      <c r="P11" s="55">
        <f>P7-P10</f>
        <v>341.21752174400007</v>
      </c>
      <c r="Q11" s="55">
        <f>Q7-Q10</f>
        <v>341.21752174400007</v>
      </c>
      <c r="R11" s="55">
        <f>R7-R10</f>
        <v>341.21752174400007</v>
      </c>
      <c r="S11" s="55">
        <f>S7-S10</f>
        <v>156.989521744</v>
      </c>
      <c r="T11" s="55">
        <f>T7-T10</f>
        <v>64.87552174400003</v>
      </c>
      <c r="U11" s="55">
        <f>U7-U10</f>
        <v>18.818521744000016</v>
      </c>
      <c r="V11" s="55">
        <f>V7-V10</f>
        <v>-5.329086399999984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-120.72222968419281</v>
      </c>
      <c r="D16" s="55">
        <f>D11*D15</f>
        <v>-219.91565011839512</v>
      </c>
      <c r="E16" s="55">
        <f>E11*E15</f>
        <v>-196.3532590342813</v>
      </c>
      <c r="F16" s="55">
        <f>F11*F15</f>
        <v>8.651877087733187</v>
      </c>
      <c r="G16" s="55">
        <f>G11*G15</f>
        <v>52.165081195605765</v>
      </c>
      <c r="H16" s="55">
        <f>H11*H15</f>
        <v>99.48095456595887</v>
      </c>
      <c r="I16" s="55">
        <f>I11*I15</f>
        <v>136.05887837383776</v>
      </c>
      <c r="J16" s="55">
        <f>J11*J15</f>
        <v>163.65667489751092</v>
      </c>
      <c r="K16" s="55">
        <f>K11*K15</f>
        <v>174.364575907799</v>
      </c>
      <c r="L16" s="55">
        <f>L11*L15</f>
        <v>155.6826570605348</v>
      </c>
      <c r="M16" s="55">
        <f>M11*M15</f>
        <v>139.00237237547748</v>
      </c>
      <c r="N16" s="55">
        <f>N11*N15</f>
        <v>102.72720272167119</v>
      </c>
      <c r="O16" s="55">
        <f>O11*O15</f>
        <v>87.5413537760102</v>
      </c>
      <c r="P16" s="55">
        <f>P11*P15</f>
        <v>78.16192301429481</v>
      </c>
      <c r="Q16" s="55">
        <f>Q11*Q15</f>
        <v>69.78743126276322</v>
      </c>
      <c r="R16" s="55">
        <f>R11*R15</f>
        <v>62.31020648461002</v>
      </c>
      <c r="S16" s="55">
        <f>S11*S15</f>
        <v>25.59649556480572</v>
      </c>
      <c r="T16" s="55">
        <f>T11*T15</f>
        <v>9.44436328648646</v>
      </c>
      <c r="U16" s="55">
        <f>U11*U15</f>
        <v>2.4460160546033083</v>
      </c>
      <c r="V16" s="55">
        <f>V11*V15</f>
        <v>-0.6184556149792442</v>
      </c>
    </row>
    <row r="17">
      <c r="A17" s="14" t="inlineStr">
        <is>
          <t>Tax-loss carryforward, end of year</t>
        </is>
      </c>
      <c r="C17" s="23">
        <f>Assumptions!$B$21-C8+MAX(0,-C7)</f>
        <v>1780.8200000000002</v>
      </c>
      <c r="D17" s="23">
        <f>C17-D8+MAX(0,-D7)</f>
        <v>2027.2400000000002</v>
      </c>
      <c r="E17" s="23">
        <f>D17-E8+MAX(0,-E7)</f>
        <v>2273.6600000000003</v>
      </c>
      <c r="F17" s="23">
        <f>E17-F8+MAX(0,-F7)</f>
        <v>2261.4990864</v>
      </c>
      <c r="G17" s="23">
        <f>F17-G8+MAX(0,-G7)</f>
        <v>2179.3781728</v>
      </c>
      <c r="H17" s="23">
        <f>G17-H8+MAX(0,-H7)</f>
        <v>2003.9772592</v>
      </c>
      <c r="I17" s="23">
        <f>H17-I8+MAX(0,-I7)</f>
        <v>1735.2963455999998</v>
      </c>
      <c r="J17" s="23">
        <f>I17-J8+MAX(0,-J7)</f>
        <v>1373.3354319999999</v>
      </c>
      <c r="K17" s="23">
        <f>J17-K8+MAX(0,-K7)</f>
        <v>941.4145183999998</v>
      </c>
      <c r="L17" s="23">
        <f>K17-L8+MAX(0,-L7)</f>
        <v>509.49360479999973</v>
      </c>
      <c r="M17" s="23">
        <f>L17-M8+MAX(0,-M7)</f>
        <v>77.57269119999967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5.329086399999984</v>
      </c>
    </row>
    <row r="19">
      <c r="A19" s="14" t="inlineStr">
        <is>
          <t>PV of risked pipeline contribution</t>
        </is>
      </c>
      <c r="B19" s="23">
        <f>SUMPRODUCT(C5:V5,C15:V15)</f>
        <v>1672.5717342712308</v>
      </c>
    </row>
    <row r="20">
      <c r="A20" s="14" t="inlineStr">
        <is>
          <t>PV of corporate burn</t>
        </is>
      </c>
      <c r="B20" s="23">
        <f>SUMPRODUCT(C6:V6,C15:V15)</f>
        <v>-732.5940728627924</v>
      </c>
    </row>
    <row r="21">
      <c r="A21" s="14" t="inlineStr">
        <is>
          <t>PV of taxes</t>
        </is>
      </c>
      <c r="B21" s="23">
        <f>-SUMPRODUCT(C10:V10,C15:V15)</f>
        <v>-110.50919223058438</v>
      </c>
    </row>
    <row r="22">
      <c r="A22" s="24" t="inlineStr">
        <is>
          <t>Pipeline rNPV (operations)</t>
        </is>
      </c>
      <c r="B22" s="54">
        <f>SUM(C16:V16)</f>
        <v>829.4684691778543</v>
      </c>
    </row>
    <row r="23">
      <c r="A23" s="14" t="inlineStr">
        <is>
          <t>Cash &amp; investments</t>
        </is>
      </c>
      <c r="B23" s="57">
        <f>Main!C7</f>
        <v>125.903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955.3714691778544</v>
      </c>
    </row>
    <row r="26">
      <c r="A26" s="14" t="inlineStr">
        <is>
          <t>Shares (mm)</t>
        </is>
      </c>
      <c r="B26" s="57">
        <f>Main!C4</f>
        <v>62.849457</v>
      </c>
    </row>
    <row r="27">
      <c r="A27" s="24" t="inlineStr">
        <is>
          <t>rNPV / share</t>
        </is>
      </c>
      <c r="B27" s="60">
        <f>B25/B26</f>
        <v>15.200950251294206</v>
      </c>
    </row>
    <row r="28">
      <c r="A28" s="14" t="inlineStr">
        <is>
          <t>Price</t>
        </is>
      </c>
      <c r="B28" s="61">
        <f>Main!C3</f>
        <v>92.97</v>
      </c>
    </row>
    <row r="29">
      <c r="A29" s="14" t="inlineStr">
        <is>
          <t>Upside</t>
        </is>
      </c>
      <c r="B29" s="62">
        <f>B27/B28-1</f>
        <v>-0.8364961788609853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2026-10-21T06:21:37Z</dcterms:modified>
  <cp:lastModifiedBy>Wang, Eric</cp:lastModifiedBy>
</cp:coreProperties>
</file>