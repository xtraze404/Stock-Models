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Taysha Gene Therapies, Inc.</t>
        </is>
      </c>
      <c r="C2" s="10" t="n"/>
    </row>
    <row r="3">
      <c r="B3" t="inlineStr">
        <is>
          <t>Price</t>
        </is>
      </c>
      <c r="C3" s="11">
        <f>INDEX([1]Pharma!$F$1:$F$1000,MATCH("TSHA",[1]Pharma!$B$1:$B$1000,0))</f>
        <v>4.11</v>
      </c>
      <c r="F3" s="1" t="n"/>
    </row>
    <row r="4">
      <c r="B4" t="inlineStr">
        <is>
          <t>Shares</t>
        </is>
      </c>
      <c r="C4" s="21" t="n">
        <v>325.833545</v>
      </c>
      <c r="F4" s="1" t="n"/>
    </row>
    <row r="5">
      <c r="B5" t="inlineStr">
        <is>
          <t>Market Cap.</t>
        </is>
      </c>
      <c r="C5" s="13">
        <f>C3*C4</f>
        <v>1339.17586995</v>
      </c>
      <c r="F5" s="1" t="n"/>
    </row>
    <row r="6"/>
    <row r="7">
      <c r="B7" t="inlineStr">
        <is>
          <t>Cash</t>
        </is>
      </c>
      <c r="C7" s="21" t="n">
        <v>455.407</v>
      </c>
    </row>
    <row r="8">
      <c r="B8" t="inlineStr">
        <is>
          <t>Debt</t>
        </is>
      </c>
      <c r="C8" s="21" t="n">
        <v>49.26</v>
      </c>
    </row>
    <row r="9">
      <c r="B9" t="inlineStr">
        <is>
          <t>Enterprise V.</t>
        </is>
      </c>
      <c r="C9" s="13">
        <f>C5-C7+C8</f>
        <v>933.0288699500002</v>
      </c>
    </row>
    <row r="10"/>
    <row r="11">
      <c r="B11" s="14" t="inlineStr">
        <is>
          <t>Net Cash / Share</t>
        </is>
      </c>
      <c r="C11" s="11">
        <f>(C7-C8)/C4</f>
        <v>1.2464861467839352</v>
      </c>
    </row>
    <row r="12">
      <c r="B12" s="14" t="inlineStr">
        <is>
          <t>Upside</t>
        </is>
      </c>
      <c r="C12" s="15">
        <f>IFERROR(C11/C3-1,"")</f>
        <v>-0.6967186990793346</v>
      </c>
    </row>
    <row r="13">
      <c r="B13" s="14" t="inlineStr">
        <is>
          <t>Cash / Share</t>
        </is>
      </c>
      <c r="C13" s="11">
        <f>IFERROR((C7-C8)/C4,"")</f>
        <v>1.2464861467839352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-132.191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3.0724255055185297</v>
      </c>
    </row>
    <row r="19">
      <c r="B19" s="14" t="inlineStr">
        <is>
          <t>Implied Pipeline Value</t>
        </is>
      </c>
      <c r="C19" s="13">
        <f>C9</f>
        <v>933.0288699500002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2.502</v>
      </c>
      <c r="E2" s="23" t="n">
        <v>15.451</v>
      </c>
      <c r="F2" s="23" t="n">
        <v>8.333</v>
      </c>
      <c r="G2" s="23" t="n">
        <v>9.773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2.502</v>
      </c>
      <c r="E4" s="23">
        <f>E2-E3</f>
        <v>15.451</v>
      </c>
      <c r="F4" s="23">
        <f>F2-F3</f>
        <v>8.333</v>
      </c>
      <c r="G4" s="23">
        <f>G2-G3</f>
        <v>9.773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31.893</v>
      </c>
      <c r="C5" s="23" t="n">
        <v>131.943</v>
      </c>
      <c r="D5" s="23" t="n">
        <v>91.169</v>
      </c>
      <c r="E5" s="23" t="n">
        <v>56.778</v>
      </c>
      <c r="F5" s="23" t="n">
        <v>66.001</v>
      </c>
      <c r="G5" s="23" t="n">
        <v>86.40300000000001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11.109</v>
      </c>
      <c r="C6" s="23" t="n">
        <v>41.324</v>
      </c>
      <c r="D6" s="23" t="n">
        <v>73.78</v>
      </c>
      <c r="E6" s="23" t="n">
        <v>31.112</v>
      </c>
      <c r="F6" s="23" t="n">
        <v>33.791</v>
      </c>
      <c r="G6" s="23" t="n">
        <v>33.868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43.002</v>
      </c>
      <c r="C7" s="23">
        <f>SUM(C5:C6)</f>
        <v>173.267</v>
      </c>
      <c r="D7" s="23">
        <f>SUM(D5:D6)</f>
        <v>164.949</v>
      </c>
      <c r="E7" s="23">
        <f>SUM(E5:E6)</f>
        <v>87.89</v>
      </c>
      <c r="F7" s="23">
        <f>SUM(F5:F6)</f>
        <v>99.792</v>
      </c>
      <c r="G7" s="23">
        <f>SUM(G5:G6)</f>
        <v>120.27100000000002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-43.002</v>
      </c>
      <c r="C8" s="23">
        <f>C4-C7</f>
        <v>-173.267</v>
      </c>
      <c r="D8" s="23">
        <f>D4-D7</f>
        <v>-162.447</v>
      </c>
      <c r="E8" s="23">
        <f>E4-E7</f>
        <v>-72.439</v>
      </c>
      <c r="F8" s="23">
        <f>F4-F7</f>
        <v>-91.459</v>
      </c>
      <c r="G8" s="23">
        <f>G4-G7</f>
        <v>-110.49800000000002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-17.009</v>
      </c>
      <c r="C9" s="23" t="n">
        <v>-1.256</v>
      </c>
      <c r="D9" s="23" t="n">
        <v>-3.567</v>
      </c>
      <c r="E9" s="23" t="n">
        <v>-39.127</v>
      </c>
      <c r="F9" s="23" t="n">
        <v>2.161</v>
      </c>
      <c r="G9" s="23" t="n">
        <v>1.503</v>
      </c>
    </row>
    <row r="10">
      <c r="A10" s="2" t="inlineStr">
        <is>
          <t>Pretax</t>
        </is>
      </c>
      <c r="B10" s="23">
        <f>B8+B9</f>
        <v>-60.011</v>
      </c>
      <c r="C10" s="23">
        <f>C8+C9</f>
        <v>-174.523</v>
      </c>
      <c r="D10" s="23">
        <f>D8+D9</f>
        <v>-166.014</v>
      </c>
      <c r="E10" s="23">
        <f>E8+E9</f>
        <v>-111.566</v>
      </c>
      <c r="F10" s="23">
        <f>F8+F9</f>
        <v>-89.298</v>
      </c>
      <c r="G10" s="23">
        <f>G8+G9</f>
        <v>-108.99500000000002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-60.011</v>
      </c>
      <c r="C12" s="23" t="n">
        <v>-174.523</v>
      </c>
      <c r="D12" s="23" t="n">
        <v>-166.014</v>
      </c>
      <c r="E12" s="23" t="n">
        <v>-111.566</v>
      </c>
      <c r="F12" s="23" t="n">
        <v>-89.298</v>
      </c>
      <c r="G12" s="23" t="n">
        <v>-108.995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-3.396977244424318</v>
      </c>
      <c r="C13" s="11">
        <f>IFERROR(C12/C14,0)</f>
        <v>-4.635281931422804</v>
      </c>
      <c r="D13" s="11">
        <f>IFERROR(D12/D14,0)</f>
        <v>-3.7771659992719333</v>
      </c>
      <c r="E13" s="11">
        <f>IFERROR(E12/E14,0)</f>
        <v>-0.9607736757347939</v>
      </c>
      <c r="F13" s="11">
        <f>IFERROR(F12/F14,0)</f>
        <v>-0.3570006476528581</v>
      </c>
      <c r="G13" s="11">
        <f>IFERROR(G12/G14,0)</f>
        <v>-0.34091619957962166</v>
      </c>
    </row>
    <row r="14">
      <c r="A14" s="2" t="inlineStr">
        <is>
          <t>Shares</t>
        </is>
      </c>
      <c r="B14" s="23" t="n">
        <v>17.666</v>
      </c>
      <c r="C14" s="23" t="n">
        <v>37.651</v>
      </c>
      <c r="D14" s="23" t="n">
        <v>43.952</v>
      </c>
      <c r="E14" s="23" t="n">
        <v>116.121</v>
      </c>
      <c r="F14" s="23" t="n">
        <v>250.134</v>
      </c>
      <c r="G14" s="23" t="n">
        <v>319.712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5.1754596322941655</v>
      </c>
      <c r="F16" s="15">
        <f>IFERROR(F2/E2-1,"")</f>
        <v>-0.4606821564947252</v>
      </c>
      <c r="G16" s="15">
        <f>IFERROR(G2/F2-1,"")</f>
        <v>0.17280691227649103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-64.92685851318946</v>
      </c>
      <c r="E18" s="15">
        <f>IFERROR(E8/E2,"")</f>
        <v>-4.688304964079994</v>
      </c>
      <c r="F18" s="15">
        <f>IFERROR(F8/F2,"")</f>
        <v>-10.97551902076083</v>
      </c>
      <c r="G18" s="15">
        <f>IFERROR(G8/G2,"")</f>
        <v>-11.306456564002866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2026-10-21T01:04:47Z</dcterms:modified>
  <cp:lastModifiedBy>Wang, Eric</cp:lastModifiedBy>
</cp:coreProperties>
</file>