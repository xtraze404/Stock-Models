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680" yWindow="660" windowWidth="28040" windowHeight="17160" tabRatio="600" firstSheet="0" activeTab="0" autoFilterDateGrouping="1"/>
  </bookViews>
  <sheets>
    <sheet name="Main" sheetId="1" state="visible" r:id="rId1"/>
    <sheet name="Yearly Model" sheetId="2" state="visible" r:id="rId2"/>
    <sheet name="Quarterly Model" sheetId="3" state="visible" r:id="rId3"/>
    <sheet name="Assumptions" sheetId="4" state="visible" r:id="rId4"/>
    <sheet name="Pipeline" sheetId="5" state="visible" r:id="rId5"/>
    <sheet name="NPV" sheetId="6" state="visible" r:id="rId6"/>
  </sheets>
  <externalReferences>
    <externalReference r:id="rId7"/>
  </externalReferences>
  <definedNames/>
  <calcPr calcId="191029" fullCalcOnLoad="1"/>
</workbook>
</file>

<file path=xl/styles.xml><?xml version="1.0" encoding="utf-8"?>
<styleSheet xmlns="http://schemas.openxmlformats.org/spreadsheetml/2006/main">
  <numFmts count="13">
    <numFmt numFmtId="164" formatCode="#,##0.0"/>
    <numFmt numFmtId="165" formatCode="0.0%"/>
    <numFmt numFmtId="166" formatCode="0.0"/>
    <numFmt numFmtId="167" formatCode="#,##0.0;(#,##0.0);&quot;-&quot;"/>
    <numFmt numFmtId="168" formatCode="0.0%;(0.0%);&quot;-&quot;"/>
    <numFmt numFmtId="169" formatCode="0%;(0%);&quot;-&quot;"/>
    <numFmt numFmtId="170" formatCode="#,##0;(#,##0);&quot;-&quot;"/>
    <numFmt numFmtId="171" formatCode="yyyy-mm-dd h:mm:ss"/>
    <numFmt numFmtId="172" formatCode="yyyy-mm-dd"/>
    <numFmt numFmtId="173" formatCode="$#,##0.00;($#,##0.00);&quot;-&quot;"/>
    <numFmt numFmtId="174" formatCode="[=1]&quot;Bear&quot;;[=2]&quot;Base&quot;;&quot;Bull&quot;"/>
    <numFmt numFmtId="175" formatCode="0.00x"/>
    <numFmt numFmtId="176" formatCode="0.000"/>
  </numFmts>
  <fonts count="9">
    <font>
      <name val="Aptos Narrow"/>
      <family val="2"/>
      <color theme="1"/>
      <sz val="12"/>
      <scheme val="minor"/>
    </font>
    <font>
      <name val="Aptos Narrow"/>
      <b val="1"/>
      <color theme="1"/>
      <sz val="12"/>
      <scheme val="minor"/>
    </font>
    <font>
      <name val="Aptos Narrow"/>
      <color rgb="00000000"/>
      <sz val="12"/>
    </font>
    <font>
      <name val="Aptos Narrow"/>
      <b val="1"/>
      <color rgb="00000000"/>
      <sz val="12"/>
    </font>
    <font>
      <name val="Aptos Narrow"/>
      <i val="1"/>
      <color rgb="00000000"/>
      <sz val="12"/>
    </font>
    <font>
      <name val="Aptos Narrow"/>
      <color rgb="000000FF"/>
      <sz val="12"/>
    </font>
    <font>
      <name val="Aptos Narrow"/>
      <i val="1"/>
      <color rgb="00008000"/>
      <sz val="12"/>
    </font>
    <font>
      <name val="Aptos Narrow"/>
      <b val="1"/>
      <color rgb="000000FF"/>
      <sz val="12"/>
    </font>
    <font>
      <name val="Aptos Narrow"/>
      <color rgb="00008000"/>
      <sz val="12"/>
    </font>
  </fonts>
  <fills count="4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F2F2F2"/>
      </patternFill>
    </fill>
  </fills>
  <borders count="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top style="thin"/>
    </border>
  </borders>
  <cellStyleXfs count="1">
    <xf numFmtId="0" fontId="0" fillId="0" borderId="0"/>
  </cellStyleXfs>
  <cellXfs count="63">
    <xf numFmtId="0" fontId="0" fillId="0" borderId="0" pivotButton="0" quotePrefix="0" xfId="0"/>
    <xf numFmtId="3" fontId="0" fillId="0" borderId="0" pivotButton="0" quotePrefix="0" xfId="0"/>
    <xf numFmtId="0" fontId="0" fillId="0" borderId="2" pivotButton="0" quotePrefix="0" xfId="0"/>
    <xf numFmtId="10" fontId="0" fillId="0" borderId="2" pivotButton="0" quotePrefix="0" xfId="0"/>
    <xf numFmtId="10" fontId="0" fillId="0" borderId="0" pivotButton="0" quotePrefix="0" xfId="0"/>
    <xf numFmtId="3" fontId="0" fillId="0" borderId="2" pivotButton="0" quotePrefix="0" xfId="0"/>
    <xf numFmtId="0" fontId="1" fillId="0" borderId="1" pivotButton="0" quotePrefix="0" xfId="0"/>
    <xf numFmtId="0" fontId="1" fillId="0" borderId="3" pivotButton="0" quotePrefix="0" xfId="0"/>
    <xf numFmtId="0" fontId="0" fillId="0" borderId="4" applyAlignment="1" pivotButton="0" quotePrefix="0" xfId="0">
      <alignment horizontal="center"/>
    </xf>
    <xf numFmtId="0" fontId="0" fillId="0" borderId="0" pivotButton="0" quotePrefix="0" xfId="0"/>
    <xf numFmtId="0" fontId="0" fillId="0" borderId="4" pivotButton="0" quotePrefix="0" xfId="0"/>
    <xf numFmtId="2" fontId="2" fillId="0" borderId="0" pivotButton="0" quotePrefix="0" xfId="0"/>
    <xf numFmtId="164" fontId="2" fillId="0" borderId="0" pivotButton="0" quotePrefix="0" xfId="0"/>
    <xf numFmtId="3" fontId="2" fillId="0" borderId="0" pivotButton="0" quotePrefix="0" xfId="0"/>
    <xf numFmtId="0" fontId="2" fillId="0" borderId="0" pivotButton="0" quotePrefix="0" xfId="0"/>
    <xf numFmtId="165" fontId="2" fillId="0" borderId="0" pivotButton="0" quotePrefix="0" xfId="0"/>
    <xf numFmtId="166" fontId="2" fillId="0" borderId="0" pivotButton="0" quotePrefix="0" xfId="0"/>
    <xf numFmtId="0" fontId="3" fillId="0" borderId="1" pivotButton="0" quotePrefix="0" xfId="0"/>
    <xf numFmtId="167" fontId="2" fillId="0" borderId="0" pivotButton="0" quotePrefix="0" xfId="0"/>
    <xf numFmtId="0" fontId="2" fillId="0" borderId="2" pivotButton="0" quotePrefix="0" xfId="0"/>
    <xf numFmtId="0" fontId="2" fillId="0" borderId="0" applyAlignment="1" pivotButton="0" quotePrefix="0" xfId="0">
      <alignment horizontal="right"/>
    </xf>
    <xf numFmtId="164" fontId="2" fillId="0" borderId="0" pivotButton="0" quotePrefix="0" xfId="0"/>
    <xf numFmtId="166" fontId="2" fillId="0" borderId="0" pivotButton="0" quotePrefix="0" xfId="0"/>
    <xf numFmtId="167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1" fontId="5" fillId="0" borderId="0" pivotButton="0" quotePrefix="0" xfId="0"/>
    <xf numFmtId="168" fontId="5" fillId="0" borderId="0" pivotButton="0" quotePrefix="0" xfId="0"/>
    <xf numFmtId="2" fontId="5" fillId="0" borderId="0" pivotButton="0" quotePrefix="0" xfId="0"/>
    <xf numFmtId="0" fontId="3" fillId="2" borderId="0" pivotButton="0" quotePrefix="0" xfId="0"/>
    <xf numFmtId="0" fontId="3" fillId="2" borderId="0" applyAlignment="1" pivotButton="0" quotePrefix="0" xfId="0">
      <alignment horizontal="right"/>
    </xf>
    <xf numFmtId="168" fontId="3" fillId="0" borderId="0" pivotButton="0" quotePrefix="0" xfId="0"/>
    <xf numFmtId="2" fontId="3" fillId="0" borderId="0" pivotButton="0" quotePrefix="0" xfId="0"/>
    <xf numFmtId="169" fontId="5" fillId="0" borderId="0" pivotButton="0" quotePrefix="0" xfId="0"/>
    <xf numFmtId="169" fontId="3" fillId="0" borderId="0" pivotButton="0" quotePrefix="0" xfId="0"/>
    <xf numFmtId="169" fontId="2" fillId="0" borderId="0" pivotButton="0" quotePrefix="0" xfId="0"/>
    <xf numFmtId="0" fontId="3" fillId="3" borderId="0" pivotButton="0" quotePrefix="0" xfId="0"/>
    <xf numFmtId="0" fontId="0" fillId="3" borderId="0" pivotButton="0" quotePrefix="0" xfId="0"/>
    <xf numFmtId="167" fontId="5" fillId="0" borderId="0" pivotButton="0" quotePrefix="0" xfId="0"/>
    <xf numFmtId="1" fontId="2" fillId="0" borderId="0" pivotButton="0" quotePrefix="0" xfId="0"/>
    <xf numFmtId="170" fontId="5" fillId="0" borderId="0" pivotButton="0" quotePrefix="0" xfId="0"/>
    <xf numFmtId="172" fontId="2" fillId="0" borderId="0" pivotButton="0" quotePrefix="0" xfId="0"/>
    <xf numFmtId="170" fontId="6" fillId="0" borderId="0" pivotButton="0" quotePrefix="0" xfId="0"/>
    <xf numFmtId="173" fontId="6" fillId="0" borderId="0" pivotButton="0" quotePrefix="0" xfId="0"/>
    <xf numFmtId="168" fontId="6" fillId="0" borderId="0" pivotButton="0" quotePrefix="0" xfId="0"/>
    <xf numFmtId="174" fontId="2" fillId="0" borderId="0" pivotButton="0" quotePrefix="0" xfId="0"/>
    <xf numFmtId="170" fontId="0" fillId="0" borderId="0" pivotButton="0" quotePrefix="0" xfId="0"/>
    <xf numFmtId="173" fontId="0" fillId="0" borderId="0" pivotButton="0" quotePrefix="0" xfId="0"/>
    <xf numFmtId="168" fontId="0" fillId="0" borderId="0" pivotButton="0" quotePrefix="0" xfId="0"/>
    <xf numFmtId="175" fontId="7" fillId="2" borderId="0" pivotButton="0" quotePrefix="0" xfId="0"/>
    <xf numFmtId="175" fontId="7" fillId="2" borderId="0" applyAlignment="1" pivotButton="0" quotePrefix="0" xfId="0">
      <alignment horizontal="right"/>
    </xf>
    <xf numFmtId="0" fontId="3" fillId="2" borderId="0" applyAlignment="1" pivotButton="0" quotePrefix="0" xfId="0">
      <alignment horizontal="center"/>
    </xf>
    <xf numFmtId="1" fontId="7" fillId="2" borderId="0" pivotButton="0" quotePrefix="0" xfId="0"/>
    <xf numFmtId="169" fontId="8" fillId="0" borderId="0" pivotButton="0" quotePrefix="0" xfId="0"/>
    <xf numFmtId="167" fontId="3" fillId="0" borderId="6" pivotButton="0" quotePrefix="0" xfId="0"/>
    <xf numFmtId="167" fontId="3" fillId="0" borderId="0" pivotButton="0" quotePrefix="0" xfId="0"/>
    <xf numFmtId="1" fontId="3" fillId="2" borderId="0" pivotButton="0" quotePrefix="0" xfId="0"/>
    <xf numFmtId="167" fontId="8" fillId="0" borderId="0" pivotButton="0" quotePrefix="0" xfId="0"/>
    <xf numFmtId="2" fontId="8" fillId="0" borderId="0" pivotButton="0" quotePrefix="0" xfId="0"/>
    <xf numFmtId="176" fontId="2" fillId="0" borderId="0" pivotButton="0" quotePrefix="0" xfId="0"/>
    <xf numFmtId="173" fontId="3" fillId="0" borderId="6" pivotButton="0" quotePrefix="0" xfId="0"/>
    <xf numFmtId="173" fontId="8" fillId="0" borderId="0" pivotButton="0" quotePrefix="0" xfId="0"/>
    <xf numFmtId="168" fontId="2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externalLink" Target="/xl/externalLinks/externalLink1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../Screener.xlsx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Positions"/>
      <sheetName val="Pharma"/>
      <sheetName val="Energy"/>
    </sheetNames>
    <sheetDataSet>
      <sheetData sheetId="0"/>
      <sheetData sheetId="1">
        <row r="2">
          <cell r="B2" t="str">
            <v>Ticker</v>
          </cell>
          <cell r="F2" t="str">
            <v>Price</v>
          </cell>
        </row>
        <row r="3">
          <cell r="B3" t="str">
            <v>LLY</v>
          </cell>
          <cell r="F3">
            <v>1286.835</v>
          </cell>
        </row>
        <row r="4">
          <cell r="B4" t="str">
            <v>JNJ</v>
          </cell>
          <cell r="F4">
            <v>259.4</v>
          </cell>
        </row>
        <row r="5">
          <cell r="B5" t="str">
            <v>ABBV</v>
          </cell>
          <cell r="F5">
            <v>289.15</v>
          </cell>
        </row>
        <row r="6">
          <cell r="B6" t="str">
            <v>MRK</v>
          </cell>
          <cell r="F6">
            <v>148.3</v>
          </cell>
        </row>
        <row r="7">
          <cell r="B7" t="str">
            <v>NVS</v>
          </cell>
          <cell r="F7">
            <v>153.64</v>
          </cell>
        </row>
        <row r="8">
          <cell r="B8" t="str">
            <v>AZN</v>
          </cell>
          <cell r="F8">
            <v>168.82</v>
          </cell>
        </row>
        <row r="9">
          <cell r="B9" t="str">
            <v>AMGN</v>
          </cell>
          <cell r="F9">
            <v>438.94</v>
          </cell>
        </row>
        <row r="10">
          <cell r="B10" t="str">
            <v>GILD</v>
          </cell>
          <cell r="F10">
            <v>156.51</v>
          </cell>
        </row>
        <row r="11">
          <cell r="B11" t="str">
            <v>NVO</v>
          </cell>
          <cell r="F11">
            <v>39.345</v>
          </cell>
        </row>
        <row r="12">
          <cell r="B12" t="str">
            <v>PFE</v>
          </cell>
          <cell r="F12">
            <v>30.13</v>
          </cell>
        </row>
        <row r="13">
          <cell r="B13" t="str">
            <v>VRTX</v>
          </cell>
          <cell r="F13">
            <v>514.65</v>
          </cell>
        </row>
        <row r="14">
          <cell r="B14" t="str">
            <v>BMY</v>
          </cell>
          <cell r="F14">
            <v>61.715</v>
          </cell>
        </row>
        <row r="15">
          <cell r="B15" t="str">
            <v>GSK</v>
          </cell>
          <cell r="F15">
            <v>50.645</v>
          </cell>
        </row>
        <row r="16">
          <cell r="B16" t="str">
            <v>SNY</v>
          </cell>
          <cell r="F16">
            <v>41.4</v>
          </cell>
        </row>
        <row r="17">
          <cell r="B17" t="str">
            <v>MRNA</v>
          </cell>
          <cell r="F17">
            <v>242.08</v>
          </cell>
        </row>
        <row r="18">
          <cell r="B18" t="str">
            <v>REGN</v>
          </cell>
          <cell r="F18">
            <v>807.48</v>
          </cell>
        </row>
        <row r="19">
          <cell r="B19" t="str">
            <v>TAK</v>
          </cell>
          <cell r="F19">
            <v>20.08</v>
          </cell>
        </row>
        <row r="20">
          <cell r="B20" t="str">
            <v>NTRA</v>
          </cell>
          <cell r="F20">
            <v>405.92</v>
          </cell>
        </row>
        <row r="21">
          <cell r="B21" t="str">
            <v>ARGX</v>
          </cell>
          <cell r="F21">
            <v>869.72</v>
          </cell>
        </row>
        <row r="22">
          <cell r="B22" t="str">
            <v>TEVA</v>
          </cell>
          <cell r="F22">
            <v>40.855</v>
          </cell>
        </row>
        <row r="23">
          <cell r="B23" t="str">
            <v>HLN</v>
          </cell>
          <cell r="F23">
            <v>10.17</v>
          </cell>
        </row>
        <row r="24">
          <cell r="B24" t="str">
            <v>ONC</v>
          </cell>
          <cell r="F24">
            <v>384.5</v>
          </cell>
        </row>
        <row r="25">
          <cell r="B25" t="str">
            <v>RVMD</v>
          </cell>
          <cell r="F25">
            <v>196.55</v>
          </cell>
        </row>
        <row r="26">
          <cell r="B26" t="str">
            <v>RPRX</v>
          </cell>
          <cell r="F26">
            <v>62.25</v>
          </cell>
        </row>
        <row r="27">
          <cell r="B27" t="str">
            <v>BIIB</v>
          </cell>
          <cell r="F27">
            <v>243.1</v>
          </cell>
        </row>
        <row r="28">
          <cell r="B28" t="str">
            <v>ZTS</v>
          </cell>
          <cell r="F28">
            <v>80.04</v>
          </cell>
        </row>
        <row r="29">
          <cell r="B29" t="str">
            <v>ALNY</v>
          </cell>
          <cell r="F29">
            <v>230.71</v>
          </cell>
        </row>
        <row r="30">
          <cell r="B30" t="str">
            <v>ROIV</v>
          </cell>
          <cell r="F30">
            <v>34.92</v>
          </cell>
        </row>
        <row r="31">
          <cell r="B31" t="str">
            <v>GMAB</v>
          </cell>
          <cell r="F31">
            <v>39.07</v>
          </cell>
        </row>
        <row r="32">
          <cell r="B32" t="str">
            <v>UTHR</v>
          </cell>
          <cell r="F32">
            <v>553.88</v>
          </cell>
        </row>
        <row r="33">
          <cell r="B33" t="str">
            <v>INCY</v>
          </cell>
          <cell r="F33">
            <v>116.615</v>
          </cell>
        </row>
        <row r="34">
          <cell r="B34" t="str">
            <v>BNTX</v>
          </cell>
          <cell r="F34">
            <v>91.17</v>
          </cell>
        </row>
        <row r="35">
          <cell r="B35" t="str">
            <v>VTRS</v>
          </cell>
          <cell r="F35">
            <v>18.65</v>
          </cell>
        </row>
        <row r="36">
          <cell r="B36" t="str">
            <v>INSM</v>
          </cell>
          <cell r="F36">
            <v>95.67</v>
          </cell>
        </row>
        <row r="37">
          <cell r="B37" t="str">
            <v>EXEL</v>
          </cell>
          <cell r="F37">
            <v>64.39</v>
          </cell>
        </row>
        <row r="38">
          <cell r="B38" t="str">
            <v>ASND</v>
          </cell>
          <cell r="F38">
            <v>234.33</v>
          </cell>
        </row>
        <row r="39">
          <cell r="B39" t="str">
            <v>HALO</v>
          </cell>
          <cell r="F39">
            <v>124.37</v>
          </cell>
        </row>
        <row r="40">
          <cell r="B40" t="str">
            <v>NBIX</v>
          </cell>
          <cell r="F40">
            <v>142.0</v>
          </cell>
        </row>
        <row r="41">
          <cell r="B41" t="str">
            <v>JAZZ</v>
          </cell>
          <cell r="F41">
            <v>213.76</v>
          </cell>
        </row>
        <row r="42">
          <cell r="B42" t="str">
            <v>SMMT</v>
          </cell>
          <cell r="F42">
            <v>16.09</v>
          </cell>
        </row>
        <row r="43">
          <cell r="B43" t="str">
            <v>BBIO</v>
          </cell>
          <cell r="F43">
            <v>67.55</v>
          </cell>
        </row>
        <row r="44">
          <cell r="B44" t="str">
            <v>KNSA</v>
          </cell>
          <cell r="F44">
            <v>83.17</v>
          </cell>
        </row>
        <row r="45">
          <cell r="B45" t="str">
            <v>CORT</v>
          </cell>
          <cell r="F45">
            <v>116.45</v>
          </cell>
        </row>
        <row r="46">
          <cell r="B46" t="str">
            <v>ELAN</v>
          </cell>
          <cell r="F46">
            <v>22.7</v>
          </cell>
        </row>
        <row r="47">
          <cell r="B47" t="str">
            <v>RDY</v>
          </cell>
          <cell r="F47">
            <v>13.26</v>
          </cell>
        </row>
        <row r="48">
          <cell r="B48" t="str">
            <v>BMRN</v>
          </cell>
          <cell r="F48">
            <v>56.44</v>
          </cell>
        </row>
        <row r="49">
          <cell r="B49" t="str">
            <v>MDGL</v>
          </cell>
          <cell r="F49">
            <v>467.54</v>
          </cell>
        </row>
        <row r="50">
          <cell r="B50" t="str">
            <v>IBRX</v>
          </cell>
          <cell r="F50">
            <v>8.77</v>
          </cell>
        </row>
        <row r="51">
          <cell r="B51" t="str">
            <v>PCVX</v>
          </cell>
          <cell r="F51">
            <v>66.23</v>
          </cell>
        </row>
        <row r="52">
          <cell r="B52" t="str">
            <v>KRYS</v>
          </cell>
          <cell r="F52">
            <v>325.42</v>
          </cell>
        </row>
        <row r="53">
          <cell r="B53" t="str">
            <v>KYMR</v>
          </cell>
          <cell r="F53">
            <v>113.46</v>
          </cell>
        </row>
        <row r="54">
          <cell r="B54" t="str">
            <v>CAI</v>
          </cell>
          <cell r="F54">
            <v>31.11</v>
          </cell>
        </row>
        <row r="55">
          <cell r="B55" t="str">
            <v>CYTK</v>
          </cell>
          <cell r="F55">
            <v>63.95</v>
          </cell>
        </row>
        <row r="56">
          <cell r="B56" t="str">
            <v>AXSM</v>
          </cell>
          <cell r="F56">
            <v>159.58</v>
          </cell>
        </row>
        <row r="57">
          <cell r="B57" t="str">
            <v>PTGX</v>
          </cell>
          <cell r="F57">
            <v>137.99</v>
          </cell>
        </row>
        <row r="58">
          <cell r="B58" t="str">
            <v>TWST</v>
          </cell>
          <cell r="F58">
            <v>142.7</v>
          </cell>
        </row>
        <row r="59">
          <cell r="B59" t="str">
            <v>TGTX</v>
          </cell>
          <cell r="F59">
            <v>54.53</v>
          </cell>
        </row>
        <row r="60">
          <cell r="B60" t="str">
            <v>ARWR</v>
          </cell>
          <cell r="F60">
            <v>58.92</v>
          </cell>
        </row>
        <row r="61">
          <cell r="B61" t="str">
            <v>IONS</v>
          </cell>
          <cell r="F61">
            <v>45.4</v>
          </cell>
        </row>
        <row r="62">
          <cell r="B62" t="str">
            <v>PRAX</v>
          </cell>
          <cell r="F62">
            <v>264.49</v>
          </cell>
        </row>
        <row r="63">
          <cell r="B63" t="str">
            <v>SYRE</v>
          </cell>
          <cell r="F63">
            <v>91.4</v>
          </cell>
        </row>
        <row r="64">
          <cell r="B64" t="str">
            <v>ABVX</v>
          </cell>
          <cell r="F64">
            <v>92.59</v>
          </cell>
        </row>
        <row r="65">
          <cell r="B65" t="str">
            <v>ALKS</v>
          </cell>
          <cell r="F65">
            <v>44.11</v>
          </cell>
        </row>
        <row r="66">
          <cell r="B66" t="str">
            <v>IOVA</v>
          </cell>
          <cell r="F66">
            <v>14.86</v>
          </cell>
        </row>
        <row r="67">
          <cell r="B67" t="str">
            <v>AMRX</v>
          </cell>
          <cell r="F67">
            <v>19.84</v>
          </cell>
        </row>
        <row r="68">
          <cell r="B68" t="str">
            <v>RYTM</v>
          </cell>
          <cell r="F68">
            <v>90.2</v>
          </cell>
        </row>
        <row r="69">
          <cell r="B69" t="str">
            <v>LGND</v>
          </cell>
          <cell r="F69">
            <v>306.4</v>
          </cell>
        </row>
        <row r="70">
          <cell r="B70" t="str">
            <v>BLTE</v>
          </cell>
          <cell r="F70">
            <v>154.45</v>
          </cell>
        </row>
        <row r="71">
          <cell r="B71" t="str">
            <v>COGT</v>
          </cell>
          <cell r="F71">
            <v>31.24</v>
          </cell>
        </row>
        <row r="72">
          <cell r="B72" t="str">
            <v>IMVT</v>
          </cell>
          <cell r="F72">
            <v>28.59</v>
          </cell>
        </row>
        <row r="73">
          <cell r="B73" t="str">
            <v>KOD</v>
          </cell>
          <cell r="F73">
            <v>92.97</v>
          </cell>
        </row>
        <row r="74">
          <cell r="B74" t="str">
            <v>CGON</v>
          </cell>
          <cell r="F74">
            <v>61.93</v>
          </cell>
        </row>
        <row r="75">
          <cell r="B75" t="str">
            <v>GRAL</v>
          </cell>
          <cell r="F75">
            <v>124.67</v>
          </cell>
        </row>
        <row r="76">
          <cell r="B76" t="str">
            <v>BLRX</v>
          </cell>
          <cell r="F76">
            <v>2.2145</v>
          </cell>
        </row>
        <row r="77">
          <cell r="B77" t="str">
            <v>MIRM</v>
          </cell>
          <cell r="F77">
            <v>85.07</v>
          </cell>
        </row>
        <row r="78">
          <cell r="B78" t="str">
            <v>PTCT</v>
          </cell>
          <cell r="F78">
            <v>62.92</v>
          </cell>
        </row>
        <row r="79">
          <cell r="B79" t="str">
            <v>SRRK</v>
          </cell>
          <cell r="F79">
            <v>41.36</v>
          </cell>
        </row>
        <row r="80">
          <cell r="B80" t="str">
            <v>ORKA</v>
          </cell>
          <cell r="F80">
            <v>79.09</v>
          </cell>
        </row>
        <row r="81">
          <cell r="B81" t="str">
            <v>CRSP</v>
          </cell>
          <cell r="F81">
            <v>49.88</v>
          </cell>
        </row>
        <row r="82">
          <cell r="B82" t="str">
            <v>RGC</v>
          </cell>
          <cell r="F82">
            <v>10.45</v>
          </cell>
        </row>
        <row r="83">
          <cell r="B83" t="str">
            <v>ERAS</v>
          </cell>
          <cell r="F83">
            <v>14.62</v>
          </cell>
        </row>
        <row r="84">
          <cell r="B84" t="str">
            <v>TVTX</v>
          </cell>
          <cell r="F84">
            <v>52.3</v>
          </cell>
        </row>
        <row r="85">
          <cell r="B85" t="str">
            <v>MANE</v>
          </cell>
          <cell r="F85">
            <v>127.23</v>
          </cell>
        </row>
        <row r="86">
          <cell r="B86" t="str">
            <v>DFTX</v>
          </cell>
          <cell r="F86">
            <v>35.09</v>
          </cell>
        </row>
        <row r="87">
          <cell r="B87" t="str">
            <v>GOSS</v>
          </cell>
          <cell r="F87">
            <v>9.58</v>
          </cell>
        </row>
        <row r="88">
          <cell r="B88" t="str">
            <v>EWTX</v>
          </cell>
          <cell r="F88">
            <v>39.75</v>
          </cell>
        </row>
        <row r="89">
          <cell r="B89" t="str">
            <v>DNTH</v>
          </cell>
          <cell r="F89">
            <v>78.75</v>
          </cell>
        </row>
        <row r="90">
          <cell r="B90" t="str">
            <v>INDV</v>
          </cell>
          <cell r="F90">
            <v>34.77</v>
          </cell>
        </row>
        <row r="91">
          <cell r="B91" t="str">
            <v>TNGX</v>
          </cell>
          <cell r="F91">
            <v>25.255</v>
          </cell>
        </row>
        <row r="92">
          <cell r="B92" t="str">
            <v>ARQT</v>
          </cell>
          <cell r="F92">
            <v>32.82</v>
          </cell>
        </row>
        <row r="93">
          <cell r="B93" t="str">
            <v>TLX</v>
          </cell>
          <cell r="F93">
            <v>11.16</v>
          </cell>
        </row>
        <row r="94">
          <cell r="B94" t="str">
            <v>OGN</v>
          </cell>
          <cell r="F94">
            <v>13.755</v>
          </cell>
        </row>
        <row r="95">
          <cell r="B95" t="str">
            <v>RLAY</v>
          </cell>
          <cell r="F95">
            <v>18.45</v>
          </cell>
        </row>
        <row r="96">
          <cell r="B96" t="str">
            <v>VCYT</v>
          </cell>
          <cell r="F96">
            <v>44.79</v>
          </cell>
        </row>
        <row r="97">
          <cell r="B97" t="str">
            <v>LEGN</v>
          </cell>
          <cell r="F97">
            <v>19.01</v>
          </cell>
        </row>
        <row r="98">
          <cell r="B98" t="str">
            <v>CDNA</v>
          </cell>
          <cell r="F98">
            <v>69.2</v>
          </cell>
        </row>
        <row r="99">
          <cell r="B99" t="str">
            <v>ACAD</v>
          </cell>
          <cell r="F99">
            <v>20.44</v>
          </cell>
        </row>
        <row r="100">
          <cell r="B100" t="str">
            <v>XENE</v>
          </cell>
          <cell r="F100">
            <v>36.27</v>
          </cell>
        </row>
        <row r="101">
          <cell r="B101" t="str">
            <v>IDYA</v>
          </cell>
          <cell r="F101">
            <v>35.36</v>
          </cell>
        </row>
        <row r="102">
          <cell r="B102" t="str">
            <v>LQDA</v>
          </cell>
          <cell r="F102">
            <v>36.35</v>
          </cell>
        </row>
        <row r="103">
          <cell r="B103" t="str">
            <v>TARS</v>
          </cell>
          <cell r="F103">
            <v>71.225</v>
          </cell>
        </row>
        <row r="104">
          <cell r="B104" t="str">
            <v>VKTX</v>
          </cell>
          <cell r="F104">
            <v>26.71</v>
          </cell>
        </row>
        <row r="105">
          <cell r="B105" t="str">
            <v>AMLX</v>
          </cell>
          <cell r="F105">
            <v>28.77</v>
          </cell>
        </row>
        <row r="106">
          <cell r="B106" t="str">
            <v>RCUS</v>
          </cell>
          <cell r="F106">
            <v>23.75</v>
          </cell>
        </row>
        <row r="107">
          <cell r="B107" t="str">
            <v>DNLI</v>
          </cell>
          <cell r="F107">
            <v>18.93</v>
          </cell>
        </row>
        <row r="108">
          <cell r="B108" t="str">
            <v>PBLS</v>
          </cell>
          <cell r="F108">
            <v>27.08</v>
          </cell>
        </row>
        <row r="109">
          <cell r="B109" t="str">
            <v>CELC</v>
          </cell>
          <cell r="F109">
            <v>60.0</v>
          </cell>
        </row>
        <row r="110">
          <cell r="B110" t="str">
            <v>ELVN</v>
          </cell>
          <cell r="F110">
            <v>41.25</v>
          </cell>
        </row>
        <row r="111">
          <cell r="B111" t="str">
            <v>DYN</v>
          </cell>
          <cell r="F111">
            <v>16.27</v>
          </cell>
        </row>
        <row r="112">
          <cell r="B112" t="str">
            <v>ZLAB</v>
          </cell>
          <cell r="F112">
            <v>25.08</v>
          </cell>
        </row>
        <row r="113">
          <cell r="B113" t="str">
            <v>NRIX</v>
          </cell>
          <cell r="F113">
            <v>26.1</v>
          </cell>
        </row>
        <row r="114">
          <cell r="B114" t="str">
            <v>HCM</v>
          </cell>
          <cell r="F114">
            <v>14.74</v>
          </cell>
        </row>
        <row r="115">
          <cell r="B115" t="str">
            <v>BEAM</v>
          </cell>
          <cell r="F115">
            <v>24.93</v>
          </cell>
        </row>
        <row r="116">
          <cell r="B116" t="str">
            <v>ADMA</v>
          </cell>
          <cell r="F116">
            <v>11.23</v>
          </cell>
        </row>
        <row r="117">
          <cell r="B117" t="str">
            <v>MBX</v>
          </cell>
          <cell r="F117">
            <v>53.5</v>
          </cell>
        </row>
        <row r="118">
          <cell r="B118" t="str">
            <v>NAMS</v>
          </cell>
          <cell r="F118">
            <v>21.5</v>
          </cell>
        </row>
        <row r="119">
          <cell r="B119" t="str">
            <v>PBH</v>
          </cell>
          <cell r="F119">
            <v>49.35</v>
          </cell>
        </row>
        <row r="120">
          <cell r="B120" t="str">
            <v>BHC</v>
          </cell>
          <cell r="F120">
            <v>6.415</v>
          </cell>
        </row>
        <row r="121">
          <cell r="B121" t="str">
            <v>PRGO</v>
          </cell>
          <cell r="F121">
            <v>16.17</v>
          </cell>
        </row>
        <row r="122">
          <cell r="B122" t="str">
            <v>PGEN</v>
          </cell>
          <cell r="F122">
            <v>6.83</v>
          </cell>
        </row>
        <row r="123">
          <cell r="B123" t="str">
            <v>HRMY</v>
          </cell>
          <cell r="F123">
            <v>38.7</v>
          </cell>
        </row>
        <row r="124">
          <cell r="B124" t="str">
            <v>SUPN</v>
          </cell>
          <cell r="F124">
            <v>41.23</v>
          </cell>
        </row>
        <row r="125">
          <cell r="B125" t="str">
            <v>AUPH</v>
          </cell>
          <cell r="F125">
            <v>16.74</v>
          </cell>
        </row>
        <row r="126">
          <cell r="B126" t="str">
            <v>IRON</v>
          </cell>
          <cell r="F126">
            <v>79.48</v>
          </cell>
        </row>
        <row r="127">
          <cell r="B127" t="str">
            <v>CLDX</v>
          </cell>
          <cell r="F127">
            <v>30.29</v>
          </cell>
        </row>
        <row r="128">
          <cell r="B128" t="str">
            <v>VRDN</v>
          </cell>
          <cell r="F128">
            <v>22.43</v>
          </cell>
        </row>
        <row r="129">
          <cell r="B129" t="str">
            <v>VCEL</v>
          </cell>
          <cell r="F129">
            <v>40.58</v>
          </cell>
        </row>
        <row r="130">
          <cell r="B130" t="str">
            <v>SLS</v>
          </cell>
          <cell r="F130">
            <v>11.98</v>
          </cell>
        </row>
        <row r="131">
          <cell r="B131" t="str">
            <v>VERA</v>
          </cell>
          <cell r="F131">
            <v>30.06</v>
          </cell>
        </row>
        <row r="132">
          <cell r="B132" t="str">
            <v>BCRX</v>
          </cell>
          <cell r="F132">
            <v>7.94</v>
          </cell>
        </row>
        <row r="133">
          <cell r="B133" t="str">
            <v>LKFT</v>
          </cell>
          <cell r="F133">
            <v>30.75</v>
          </cell>
        </row>
        <row r="134">
          <cell r="B134" t="str">
            <v>TRLV</v>
          </cell>
          <cell r="F134">
            <v>10.78</v>
          </cell>
        </row>
        <row r="135">
          <cell r="B135" t="str">
            <v>XERS</v>
          </cell>
          <cell r="F135">
            <v>11.13</v>
          </cell>
        </row>
        <row r="136">
          <cell r="B136" t="str">
            <v>IMNM</v>
          </cell>
          <cell r="F136">
            <v>17.92</v>
          </cell>
        </row>
        <row r="137">
          <cell r="B137" t="str">
            <v>AGIO</v>
          </cell>
          <cell r="F137">
            <v>36.64</v>
          </cell>
        </row>
        <row r="138">
          <cell r="B138" t="str">
            <v>BGM</v>
          </cell>
          <cell r="F138">
            <v>8.97</v>
          </cell>
        </row>
        <row r="139">
          <cell r="B139" t="str">
            <v>NVAX</v>
          </cell>
          <cell r="F139">
            <v>11.43</v>
          </cell>
        </row>
        <row r="140">
          <cell r="B140" t="str">
            <v>RXRX</v>
          </cell>
          <cell r="F140">
            <v>3.66</v>
          </cell>
        </row>
        <row r="141">
          <cell r="B141" t="str">
            <v>PHVS</v>
          </cell>
          <cell r="F141">
            <v>30.9</v>
          </cell>
        </row>
        <row r="142">
          <cell r="B142" t="str">
            <v>SRPT</v>
          </cell>
          <cell r="F142">
            <v>19.17</v>
          </cell>
        </row>
        <row r="143">
          <cell r="B143" t="str">
            <v>MLYS</v>
          </cell>
          <cell r="F143">
            <v>21.58</v>
          </cell>
        </row>
        <row r="144">
          <cell r="B144" t="str">
            <v>PURR</v>
          </cell>
          <cell r="F144">
            <v>9.15</v>
          </cell>
        </row>
        <row r="145">
          <cell r="B145" t="str">
            <v>ZYME</v>
          </cell>
          <cell r="F145">
            <v>26.91</v>
          </cell>
        </row>
        <row r="146">
          <cell r="B146" t="str">
            <v>SEPN</v>
          </cell>
          <cell r="F146">
            <v>39.35</v>
          </cell>
        </row>
        <row r="147">
          <cell r="B147" t="str">
            <v>PVLA</v>
          </cell>
          <cell r="F147">
            <v>123.92</v>
          </cell>
        </row>
        <row r="148">
          <cell r="B148" t="str">
            <v>MESO</v>
          </cell>
          <cell r="F148">
            <v>12.41</v>
          </cell>
        </row>
        <row r="149">
          <cell r="B149" t="str">
            <v>XNCR</v>
          </cell>
          <cell r="F149">
            <v>24.94</v>
          </cell>
        </row>
        <row r="150">
          <cell r="B150" t="str">
            <v>TRVI</v>
          </cell>
          <cell r="F150">
            <v>12.83</v>
          </cell>
        </row>
        <row r="151">
          <cell r="B151" t="str">
            <v>URGN</v>
          </cell>
          <cell r="F151">
            <v>35.01</v>
          </cell>
        </row>
        <row r="152">
          <cell r="B152" t="str">
            <v>VIR</v>
          </cell>
          <cell r="F152">
            <v>10.74</v>
          </cell>
        </row>
        <row r="153">
          <cell r="B153" t="str">
            <v>BRVE</v>
          </cell>
          <cell r="F153">
            <v>20.27</v>
          </cell>
        </row>
        <row r="154">
          <cell r="B154" t="str">
            <v>ANIP</v>
          </cell>
          <cell r="F154">
            <v>72.67</v>
          </cell>
        </row>
        <row r="155">
          <cell r="B155" t="str">
            <v>BHVN</v>
          </cell>
          <cell r="F155">
            <v>11.82</v>
          </cell>
        </row>
        <row r="156">
          <cell r="B156" t="str">
            <v>ZBIO</v>
          </cell>
          <cell r="F156">
            <v>28.18</v>
          </cell>
        </row>
        <row r="157">
          <cell r="B157" t="str">
            <v>NTLA</v>
          </cell>
          <cell r="F157">
            <v>11.84</v>
          </cell>
        </row>
        <row r="158">
          <cell r="B158" t="str">
            <v>PAHC</v>
          </cell>
          <cell r="F158">
            <v>38.8</v>
          </cell>
        </row>
        <row r="159">
          <cell r="B159" t="str">
            <v>ALVO</v>
          </cell>
          <cell r="F159">
            <v>5.03</v>
          </cell>
        </row>
        <row r="160">
          <cell r="B160" t="str">
            <v>STOK</v>
          </cell>
          <cell r="F160">
            <v>26.61</v>
          </cell>
        </row>
        <row r="161">
          <cell r="B161" t="str">
            <v>NUVB</v>
          </cell>
          <cell r="F161">
            <v>4.765</v>
          </cell>
        </row>
        <row r="162">
          <cell r="B162" t="str">
            <v>GENB</v>
          </cell>
          <cell r="F162">
            <v>12.9</v>
          </cell>
        </row>
        <row r="163">
          <cell r="B163" t="str">
            <v>MAZE</v>
          </cell>
          <cell r="F163">
            <v>32.45</v>
          </cell>
        </row>
        <row r="164">
          <cell r="B164" t="str">
            <v>IMCR</v>
          </cell>
          <cell r="F164">
            <v>32.6</v>
          </cell>
        </row>
        <row r="165">
          <cell r="B165" t="str">
            <v>OCUL</v>
          </cell>
          <cell r="F165">
            <v>6.65</v>
          </cell>
        </row>
        <row r="166">
          <cell r="B166" t="str">
            <v>GPCR</v>
          </cell>
          <cell r="F166">
            <v>22.88</v>
          </cell>
        </row>
        <row r="167">
          <cell r="B167" t="str">
            <v>INVA</v>
          </cell>
          <cell r="F167">
            <v>21.28</v>
          </cell>
        </row>
        <row r="168">
          <cell r="B168" t="str">
            <v>CMPS</v>
          </cell>
          <cell r="F168">
            <v>11.9</v>
          </cell>
        </row>
        <row r="169">
          <cell r="B169" t="str">
            <v>KLRA</v>
          </cell>
          <cell r="F169">
            <v>12.89</v>
          </cell>
        </row>
        <row r="170">
          <cell r="B170" t="str">
            <v>PCRX</v>
          </cell>
          <cell r="F170">
            <v>36.38</v>
          </cell>
        </row>
        <row r="171">
          <cell r="B171" t="str">
            <v>ETON</v>
          </cell>
          <cell r="F171">
            <v>50.19</v>
          </cell>
        </row>
        <row r="172">
          <cell r="B172" t="str">
            <v>AAPG</v>
          </cell>
          <cell r="F172">
            <v>15.89</v>
          </cell>
        </row>
        <row r="173">
          <cell r="B173" t="str">
            <v>RARE</v>
          </cell>
          <cell r="F173">
            <v>16.02</v>
          </cell>
        </row>
        <row r="174">
          <cell r="B174" t="str">
            <v>ABSI</v>
          </cell>
          <cell r="F174">
            <v>9.07</v>
          </cell>
        </row>
        <row r="175">
          <cell r="B175" t="str">
            <v>COAG</v>
          </cell>
          <cell r="F175">
            <v>34.17</v>
          </cell>
        </row>
        <row r="176">
          <cell r="B176" t="str">
            <v>ANAB</v>
          </cell>
          <cell r="F176">
            <v>45.43</v>
          </cell>
        </row>
        <row r="177">
          <cell r="B177" t="str">
            <v>QURE</v>
          </cell>
          <cell r="F177">
            <v>22.715</v>
          </cell>
        </row>
        <row r="178">
          <cell r="B178" t="str">
            <v>RAPP</v>
          </cell>
          <cell r="F178">
            <v>29.37</v>
          </cell>
        </row>
        <row r="179">
          <cell r="B179" t="str">
            <v>INBX</v>
          </cell>
          <cell r="F179">
            <v>95.3</v>
          </cell>
        </row>
        <row r="180">
          <cell r="B180" t="str">
            <v>ORIC</v>
          </cell>
          <cell r="F180">
            <v>13.78</v>
          </cell>
        </row>
        <row r="181">
          <cell r="B181" t="str">
            <v>TRAX</v>
          </cell>
          <cell r="F181">
            <v>41.25</v>
          </cell>
        </row>
        <row r="182">
          <cell r="B182" t="str">
            <v>NKTR</v>
          </cell>
          <cell r="F182">
            <v>39.22</v>
          </cell>
        </row>
        <row r="183">
          <cell r="B183" t="str">
            <v>KARD</v>
          </cell>
          <cell r="F183">
            <v>13.51</v>
          </cell>
        </row>
        <row r="184">
          <cell r="B184" t="str">
            <v>LBRX</v>
          </cell>
          <cell r="F184">
            <v>41.0</v>
          </cell>
        </row>
        <row r="185">
          <cell r="B185" t="str">
            <v>CRON</v>
          </cell>
          <cell r="F185">
            <v>3.28</v>
          </cell>
        </row>
        <row r="186">
          <cell r="B186" t="str">
            <v>TSHA</v>
          </cell>
          <cell r="F186">
            <v>4.11</v>
          </cell>
        </row>
        <row r="187">
          <cell r="B187" t="str">
            <v>OMER</v>
          </cell>
          <cell r="F187">
            <v>16.35</v>
          </cell>
        </row>
        <row r="188">
          <cell r="B188" t="str">
            <v>BCAX</v>
          </cell>
          <cell r="F188">
            <v>18.35</v>
          </cell>
        </row>
        <row r="189">
          <cell r="B189" t="str">
            <v>SNDX</v>
          </cell>
          <cell r="F189">
            <v>13.25</v>
          </cell>
        </row>
        <row r="190">
          <cell r="B190" t="str">
            <v>VOR</v>
          </cell>
          <cell r="F190">
            <v>19.03</v>
          </cell>
        </row>
        <row r="191">
          <cell r="B191" t="str">
            <v>DMRA</v>
          </cell>
          <cell r="F191">
            <v>20.67</v>
          </cell>
        </row>
        <row r="192">
          <cell r="B192" t="str">
            <v>SVRA</v>
          </cell>
          <cell r="F192">
            <v>4.76</v>
          </cell>
        </row>
        <row r="193">
          <cell r="B193" t="str">
            <v>GHRS</v>
          </cell>
          <cell r="F193">
            <v>19.165</v>
          </cell>
        </row>
        <row r="194">
          <cell r="B194" t="str">
            <v>TYRA</v>
          </cell>
          <cell r="F194">
            <v>20.47</v>
          </cell>
        </row>
        <row r="195">
          <cell r="B195" t="str">
            <v>AMPH</v>
          </cell>
          <cell r="F195">
            <v>25.94</v>
          </cell>
        </row>
        <row r="196">
          <cell r="B196" t="str">
            <v>AVLN</v>
          </cell>
          <cell r="F196">
            <v>24.63</v>
          </cell>
        </row>
        <row r="197">
          <cell r="B197" t="str">
            <v>NBTX</v>
          </cell>
          <cell r="F197">
            <v>24.14</v>
          </cell>
        </row>
        <row r="198">
          <cell r="B198" t="str">
            <v>REPL</v>
          </cell>
          <cell r="F198">
            <v>11.42</v>
          </cell>
        </row>
        <row r="199">
          <cell r="B199" t="str">
            <v>HROW</v>
          </cell>
          <cell r="F199">
            <v>28.07</v>
          </cell>
        </row>
        <row r="200">
          <cell r="B200" t="str">
            <v>JANX</v>
          </cell>
          <cell r="F200">
            <v>16.74</v>
          </cell>
        </row>
        <row r="201">
          <cell r="B201" t="str">
            <v>MNKD</v>
          </cell>
          <cell r="F201">
            <v>3.1</v>
          </cell>
        </row>
        <row r="202">
          <cell r="B202" t="str">
            <v>SPTX</v>
          </cell>
          <cell r="F202">
            <v>19.28</v>
          </cell>
        </row>
        <row r="203">
          <cell r="B203" t="str">
            <v>GRML</v>
          </cell>
          <cell r="F203">
            <v>6.2</v>
          </cell>
        </row>
        <row r="204">
          <cell r="B204" t="str">
            <v>LTGO</v>
          </cell>
          <cell r="F204">
            <v>15.25</v>
          </cell>
        </row>
        <row r="205">
          <cell r="B205" t="str">
            <v>IMTX</v>
          </cell>
          <cell r="F205">
            <v>7.51</v>
          </cell>
        </row>
        <row r="206">
          <cell r="B206" t="str">
            <v>MGTX</v>
          </cell>
          <cell r="F206">
            <v>9.97</v>
          </cell>
        </row>
        <row r="207">
          <cell r="B207" t="str">
            <v>RIGL</v>
          </cell>
          <cell r="F207">
            <v>48.11</v>
          </cell>
        </row>
        <row r="208">
          <cell r="B208" t="str">
            <v>ANRO</v>
          </cell>
          <cell r="F208">
            <v>24.415</v>
          </cell>
        </row>
        <row r="209">
          <cell r="B209" t="str">
            <v>JBIO</v>
          </cell>
          <cell r="F209">
            <v>14.86</v>
          </cell>
        </row>
        <row r="210">
          <cell r="B210" t="str">
            <v>ODTX</v>
          </cell>
          <cell r="F210">
            <v>18.99</v>
          </cell>
        </row>
        <row r="211">
          <cell r="B211" t="str">
            <v>ABUS</v>
          </cell>
          <cell r="F211">
            <v>4.33</v>
          </cell>
        </row>
        <row r="212">
          <cell r="B212" t="str">
            <v>CGEM</v>
          </cell>
          <cell r="F212">
            <v>14.83</v>
          </cell>
        </row>
        <row r="213">
          <cell r="B213" t="str">
            <v>GLUE</v>
          </cell>
          <cell r="F213">
            <v>11.36</v>
          </cell>
        </row>
        <row r="214">
          <cell r="B214" t="str">
            <v>SGP</v>
          </cell>
          <cell r="F214">
            <v>26.16</v>
          </cell>
        </row>
        <row r="215">
          <cell r="B215" t="str">
            <v>AVBP</v>
          </cell>
          <cell r="F215">
            <v>18.85</v>
          </cell>
        </row>
        <row r="216">
          <cell r="B216" t="str">
            <v>ARDX</v>
          </cell>
          <cell r="F216">
            <v>3.21</v>
          </cell>
        </row>
        <row r="217">
          <cell r="B217" t="str">
            <v>MLTX</v>
          </cell>
          <cell r="F217">
            <v>10.32</v>
          </cell>
        </row>
        <row r="218">
          <cell r="B218" t="str">
            <v>KURA</v>
          </cell>
          <cell r="F218">
            <v>9.98</v>
          </cell>
        </row>
        <row r="219">
          <cell r="B219" t="str">
            <v>AKTS</v>
          </cell>
          <cell r="F219">
            <v>16.08</v>
          </cell>
        </row>
        <row r="220">
          <cell r="B220" t="str">
            <v>CRVS</v>
          </cell>
          <cell r="F220">
            <v>10.23</v>
          </cell>
        </row>
        <row r="221">
          <cell r="B221" t="str">
            <v>ALMS</v>
          </cell>
          <cell r="F221">
            <v>6.7</v>
          </cell>
        </row>
        <row r="222">
          <cell r="B222" t="str">
            <v>VSTM</v>
          </cell>
          <cell r="F222">
            <v>9.34</v>
          </cell>
        </row>
        <row r="223">
          <cell r="B223" t="str">
            <v>APMD</v>
          </cell>
          <cell r="F223">
            <v>18.51</v>
          </cell>
        </row>
        <row r="224">
          <cell r="B224" t="str">
            <v>COLL</v>
          </cell>
          <cell r="F224">
            <v>23.33</v>
          </cell>
        </row>
        <row r="225">
          <cell r="B225" t="str">
            <v>OBX</v>
          </cell>
          <cell r="F225">
            <v>13.25</v>
          </cell>
        </row>
        <row r="226">
          <cell r="B226" t="str">
            <v>GERN</v>
          </cell>
          <cell r="F226">
            <v>1.24</v>
          </cell>
        </row>
        <row r="227">
          <cell r="B227" t="str">
            <v>SANA</v>
          </cell>
          <cell r="F227">
            <v>2.36</v>
          </cell>
        </row>
        <row r="228">
          <cell r="B228" t="str">
            <v>FDMT</v>
          </cell>
          <cell r="F228">
            <v>13.1</v>
          </cell>
        </row>
        <row r="229">
          <cell r="B229" t="str">
            <v>ANNX</v>
          </cell>
          <cell r="F229">
            <v>3.83</v>
          </cell>
        </row>
        <row r="230">
          <cell r="B230" t="str">
            <v>GYRE</v>
          </cell>
          <cell r="F230">
            <v>6.17</v>
          </cell>
        </row>
        <row r="231">
          <cell r="B231" t="str">
            <v>LXRX</v>
          </cell>
          <cell r="F231">
            <v>1.55</v>
          </cell>
        </row>
        <row r="232">
          <cell r="B232" t="str">
            <v>ATTO</v>
          </cell>
          <cell r="F232">
            <v>14.04</v>
          </cell>
        </row>
        <row r="233">
          <cell r="B233" t="str">
            <v>PHAR</v>
          </cell>
          <cell r="F233">
            <v>9.75</v>
          </cell>
        </row>
        <row r="234">
          <cell r="B234" t="str">
            <v>ACHV</v>
          </cell>
          <cell r="F234">
            <v>6.51</v>
          </cell>
        </row>
        <row r="235">
          <cell r="B235" t="str">
            <v>MDXG</v>
          </cell>
          <cell r="F235">
            <v>4.23</v>
          </cell>
        </row>
        <row r="236">
          <cell r="B236" t="str">
            <v>DSGN</v>
          </cell>
          <cell r="F236">
            <v>11.1</v>
          </cell>
        </row>
        <row r="237">
          <cell r="B237" t="str">
            <v>AVTX</v>
          </cell>
          <cell r="F237">
            <v>12.36</v>
          </cell>
        </row>
        <row r="238">
          <cell r="B238" t="str">
            <v>AURA</v>
          </cell>
          <cell r="F238">
            <v>6.56</v>
          </cell>
        </row>
        <row r="239">
          <cell r="B239" t="str">
            <v>PRME</v>
          </cell>
          <cell r="F239">
            <v>3.92</v>
          </cell>
        </row>
        <row r="240">
          <cell r="B240" t="str">
            <v>CADL</v>
          </cell>
          <cell r="F240">
            <v>8.64</v>
          </cell>
        </row>
        <row r="241">
          <cell r="B241" t="str">
            <v>CLYM</v>
          </cell>
          <cell r="F241">
            <v>10.8</v>
          </cell>
        </row>
        <row r="242">
          <cell r="B242" t="str">
            <v>IRWD</v>
          </cell>
          <cell r="F242">
            <v>3.63</v>
          </cell>
        </row>
        <row r="243">
          <cell r="B243" t="str">
            <v>IMMX</v>
          </cell>
          <cell r="F243">
            <v>8.91</v>
          </cell>
        </row>
        <row r="244">
          <cell r="B244" t="str">
            <v>NVCT</v>
          </cell>
          <cell r="F244">
            <v>20.59</v>
          </cell>
        </row>
        <row r="245">
          <cell r="B245" t="str">
            <v>WVE</v>
          </cell>
          <cell r="F245">
            <v>3.385</v>
          </cell>
        </row>
        <row r="246">
          <cell r="B246" t="str">
            <v>ZVRA</v>
          </cell>
          <cell r="F246">
            <v>10.47</v>
          </cell>
        </row>
        <row r="247">
          <cell r="B247" t="str">
            <v>SLDB</v>
          </cell>
          <cell r="F247">
            <v>6.4</v>
          </cell>
        </row>
        <row r="248">
          <cell r="B248" t="str">
            <v>OLMA</v>
          </cell>
          <cell r="F248">
            <v>7.25</v>
          </cell>
        </row>
        <row r="249">
          <cell r="B249" t="str">
            <v>IVA</v>
          </cell>
          <cell r="F249">
            <v>3.26</v>
          </cell>
        </row>
        <row r="250">
          <cell r="B250" t="str">
            <v>CRMD</v>
          </cell>
          <cell r="F250">
            <v>7.57</v>
          </cell>
        </row>
        <row r="251">
          <cell r="B251" t="str">
            <v>PHAT</v>
          </cell>
          <cell r="F251">
            <v>7.31</v>
          </cell>
        </row>
        <row r="252">
          <cell r="B252" t="str">
            <v>STTK</v>
          </cell>
          <cell r="F252">
            <v>5.84</v>
          </cell>
        </row>
        <row r="253">
          <cell r="B253" t="str">
            <v>DBVT</v>
          </cell>
          <cell r="F253">
            <v>9.48</v>
          </cell>
        </row>
        <row r="254">
          <cell r="B254" t="str">
            <v>VALN</v>
          </cell>
          <cell r="F254">
            <v>5.69</v>
          </cell>
        </row>
        <row r="255">
          <cell r="B255" t="str">
            <v>AQST</v>
          </cell>
          <cell r="F255">
            <v>4.05</v>
          </cell>
        </row>
        <row r="256">
          <cell r="B256" t="str">
            <v>SGMT</v>
          </cell>
          <cell r="F256">
            <v>9.74</v>
          </cell>
        </row>
        <row r="257">
          <cell r="B257" t="str">
            <v>PBYI</v>
          </cell>
          <cell r="F257">
            <v>10.76</v>
          </cell>
        </row>
        <row r="258">
          <cell r="B258" t="str">
            <v>CTMX</v>
          </cell>
          <cell r="F258">
            <v>2.51</v>
          </cell>
        </row>
        <row r="259">
          <cell r="B259" t="str">
            <v>FTH</v>
          </cell>
          <cell r="F259">
            <v>20.79</v>
          </cell>
        </row>
        <row r="260">
          <cell r="B260" t="str">
            <v>ACRS</v>
          </cell>
          <cell r="F260">
            <v>3.48</v>
          </cell>
        </row>
        <row r="261">
          <cell r="B261" t="str">
            <v>BLSM</v>
          </cell>
          <cell r="F261">
            <v>14.4</v>
          </cell>
        </row>
        <row r="262">
          <cell r="B262" t="str">
            <v>EOLS</v>
          </cell>
          <cell r="F262">
            <v>7.37</v>
          </cell>
        </row>
        <row r="263">
          <cell r="B263" t="str">
            <v>IMMP</v>
          </cell>
          <cell r="F263">
            <v>3.26</v>
          </cell>
        </row>
        <row r="264">
          <cell r="B264" t="str">
            <v>NGNE</v>
          </cell>
          <cell r="F264">
            <v>25.4</v>
          </cell>
        </row>
        <row r="265">
          <cell r="B265" t="str">
            <v>MNPR</v>
          </cell>
          <cell r="F265">
            <v>74.23</v>
          </cell>
        </row>
        <row r="266">
          <cell r="B266" t="str">
            <v>ENTX</v>
          </cell>
          <cell r="F266">
            <v>3.02</v>
          </cell>
        </row>
        <row r="267">
          <cell r="B267" t="str">
            <v>RGNX</v>
          </cell>
          <cell r="F267">
            <v>7.4</v>
          </cell>
        </row>
        <row r="268">
          <cell r="B268" t="str">
            <v>ARVN</v>
          </cell>
          <cell r="F268">
            <v>7.66</v>
          </cell>
        </row>
        <row r="269">
          <cell r="B269" t="str">
            <v>ALLO</v>
          </cell>
          <cell r="F269">
            <v>1.33</v>
          </cell>
        </row>
        <row r="270">
          <cell r="B270" t="str">
            <v>NNNN</v>
          </cell>
          <cell r="F270">
            <v>3.73</v>
          </cell>
        </row>
        <row r="271">
          <cell r="B271" t="str">
            <v>TLRY</v>
          </cell>
          <cell r="F271">
            <v>3.03</v>
          </cell>
        </row>
        <row r="272">
          <cell r="B272" t="str">
            <v>KMDA</v>
          </cell>
          <cell r="F272">
            <v>7.85</v>
          </cell>
        </row>
        <row r="273">
          <cell r="B273" t="str">
            <v>SLN</v>
          </cell>
          <cell r="F273">
            <v>19.61</v>
          </cell>
        </row>
        <row r="274">
          <cell r="B274" t="str">
            <v>CBIO</v>
          </cell>
          <cell r="F274">
            <v>13.07</v>
          </cell>
        </row>
        <row r="275">
          <cell r="B275" t="str">
            <v>OCS</v>
          </cell>
          <cell r="F275">
            <v>7.49</v>
          </cell>
        </row>
        <row r="276">
          <cell r="B276" t="str">
            <v>PRTA</v>
          </cell>
          <cell r="F276">
            <v>8.5</v>
          </cell>
        </row>
        <row r="277">
          <cell r="B277" t="str">
            <v>ALT</v>
          </cell>
          <cell r="F277">
            <v>2.3</v>
          </cell>
        </row>
        <row r="278">
          <cell r="B278" t="str">
            <v>AUTL</v>
          </cell>
          <cell r="F278">
            <v>1.66</v>
          </cell>
        </row>
        <row r="279">
          <cell r="B279" t="str">
            <v>OVID</v>
          </cell>
          <cell r="F279">
            <v>2.36</v>
          </cell>
        </row>
        <row r="280">
          <cell r="B280" t="str">
            <v>YDES</v>
          </cell>
          <cell r="F280">
            <v>5.84</v>
          </cell>
        </row>
        <row r="281">
          <cell r="B281" t="str">
            <v>ASMB</v>
          </cell>
          <cell r="F281">
            <v>21.19</v>
          </cell>
        </row>
        <row r="282">
          <cell r="B282" t="str">
            <v>EIKN</v>
          </cell>
          <cell r="F282">
            <v>8.18</v>
          </cell>
        </row>
        <row r="283">
          <cell r="B283" t="str">
            <v>DMAC</v>
          </cell>
          <cell r="F283">
            <v>8.67</v>
          </cell>
        </row>
        <row r="284">
          <cell r="B284" t="str">
            <v>SPRY</v>
          </cell>
          <cell r="F284">
            <v>4.29</v>
          </cell>
        </row>
        <row r="285">
          <cell r="B285" t="str">
            <v>TECX</v>
          </cell>
          <cell r="F285">
            <v>21.825</v>
          </cell>
        </row>
        <row r="286">
          <cell r="B286" t="str">
            <v>RCEL</v>
          </cell>
          <cell r="F286">
            <v>13.8</v>
          </cell>
        </row>
        <row r="287">
          <cell r="B287" t="str">
            <v>PROK</v>
          </cell>
          <cell r="F287">
            <v>1.44</v>
          </cell>
        </row>
        <row r="288">
          <cell r="B288" t="str">
            <v>SCTX</v>
          </cell>
          <cell r="F288">
            <v>19.81</v>
          </cell>
        </row>
        <row r="289">
          <cell r="B289" t="str">
            <v>CAPR</v>
          </cell>
          <cell r="F289">
            <v>6.755</v>
          </cell>
        </row>
        <row r="290">
          <cell r="B290" t="str">
            <v>MYGN</v>
          </cell>
          <cell r="F290">
            <v>5.54</v>
          </cell>
        </row>
        <row r="291">
          <cell r="B291" t="str">
            <v>EDIT</v>
          </cell>
          <cell r="F291">
            <v>2.58</v>
          </cell>
        </row>
        <row r="292">
          <cell r="B292" t="str">
            <v>ZURA</v>
          </cell>
          <cell r="F292">
            <v>4.0</v>
          </cell>
        </row>
        <row r="293">
          <cell r="B293" t="str">
            <v>KYTX</v>
          </cell>
          <cell r="F293">
            <v>6.04</v>
          </cell>
        </row>
        <row r="294">
          <cell r="B294" t="str">
            <v>GALT</v>
          </cell>
          <cell r="F294">
            <v>3.43</v>
          </cell>
        </row>
        <row r="295">
          <cell r="B295" t="str">
            <v>MPLT</v>
          </cell>
          <cell r="F295">
            <v>8.24</v>
          </cell>
        </row>
        <row r="296">
          <cell r="B296" t="str">
            <v>AVIR</v>
          </cell>
          <cell r="F296">
            <v>4.465</v>
          </cell>
        </row>
        <row r="297">
          <cell r="B297" t="str">
            <v>INDP</v>
          </cell>
          <cell r="F297">
            <v>2.96</v>
          </cell>
        </row>
        <row r="298">
          <cell r="B298" t="str">
            <v>FENC</v>
          </cell>
          <cell r="F298">
            <v>10.46</v>
          </cell>
        </row>
        <row r="299">
          <cell r="B299" t="str">
            <v>RZLT</v>
          </cell>
          <cell r="F299">
            <v>3.7</v>
          </cell>
        </row>
        <row r="300">
          <cell r="B300" t="str">
            <v>TTRX</v>
          </cell>
          <cell r="F300">
            <v>10.47</v>
          </cell>
        </row>
        <row r="301">
          <cell r="B301" t="str">
            <v>EPRX</v>
          </cell>
          <cell r="F301">
            <v>7.59</v>
          </cell>
        </row>
        <row r="302">
          <cell r="B302" t="str">
            <v>RLMD</v>
          </cell>
          <cell r="F302">
            <v>3.36</v>
          </cell>
        </row>
        <row r="303">
          <cell r="B303" t="str">
            <v>CCCC</v>
          </cell>
          <cell r="F303">
            <v>3.16</v>
          </cell>
        </row>
        <row r="304">
          <cell r="B304" t="str">
            <v>SNDL</v>
          </cell>
          <cell r="F304">
            <v>1.28</v>
          </cell>
        </row>
        <row r="305">
          <cell r="B305" t="str">
            <v>EBS</v>
          </cell>
          <cell r="F305">
            <v>6.29</v>
          </cell>
        </row>
        <row r="306">
          <cell r="B306" t="str">
            <v>ENTA</v>
          </cell>
          <cell r="F306">
            <v>11.67</v>
          </cell>
        </row>
        <row r="307">
          <cell r="B307" t="str">
            <v>IRD</v>
          </cell>
          <cell r="F307">
            <v>4.01</v>
          </cell>
        </row>
        <row r="308">
          <cell r="B308" t="str">
            <v>GTBP</v>
          </cell>
          <cell r="F308">
            <v>7.31</v>
          </cell>
        </row>
        <row r="309">
          <cell r="B309" t="str">
            <v>CGC</v>
          </cell>
          <cell r="F309">
            <v>0.72</v>
          </cell>
        </row>
        <row r="310">
          <cell r="B310" t="str">
            <v>ARTV</v>
          </cell>
          <cell r="F310">
            <v>6.56</v>
          </cell>
        </row>
        <row r="311">
          <cell r="B311" t="str">
            <v>BNTC</v>
          </cell>
          <cell r="F311">
            <v>9.04</v>
          </cell>
        </row>
        <row r="312">
          <cell r="B312" t="str">
            <v>ARCT</v>
          </cell>
          <cell r="F312">
            <v>10.98</v>
          </cell>
        </row>
        <row r="313">
          <cell r="B313" t="str">
            <v>IBO</v>
          </cell>
          <cell r="F313">
            <v>3.2</v>
          </cell>
        </row>
        <row r="314">
          <cell r="B314" t="str">
            <v>FULC</v>
          </cell>
          <cell r="F314">
            <v>3.72</v>
          </cell>
        </row>
        <row r="315">
          <cell r="B315" t="str">
            <v>CYPH</v>
          </cell>
          <cell r="F315">
            <v>2.81</v>
          </cell>
        </row>
        <row r="316">
          <cell r="B316" t="str">
            <v>SRZN</v>
          </cell>
          <cell r="F316">
            <v>25.14</v>
          </cell>
        </row>
        <row r="317">
          <cell r="B317" t="str">
            <v>AGEN</v>
          </cell>
          <cell r="F317">
            <v>6.42</v>
          </cell>
        </row>
        <row r="318">
          <cell r="B318" t="str">
            <v>PALI</v>
          </cell>
          <cell r="F318">
            <v>1.43</v>
          </cell>
        </row>
        <row r="319">
          <cell r="B319" t="str">
            <v>ANIK</v>
          </cell>
          <cell r="F319">
            <v>20.44</v>
          </cell>
        </row>
        <row r="320">
          <cell r="B320" t="str">
            <v>CATX</v>
          </cell>
          <cell r="F320">
            <v>2.3</v>
          </cell>
        </row>
        <row r="321">
          <cell r="B321" t="str">
            <v>OCGN</v>
          </cell>
          <cell r="F321">
            <v>0.8125</v>
          </cell>
        </row>
        <row r="322">
          <cell r="B322" t="str">
            <v>XFOR</v>
          </cell>
          <cell r="F322">
            <v>3.02</v>
          </cell>
        </row>
        <row r="323">
          <cell r="B323" t="str">
            <v>PRLD</v>
          </cell>
          <cell r="F323">
            <v>3.53</v>
          </cell>
        </row>
        <row r="324">
          <cell r="B324" t="str">
            <v>RCKT</v>
          </cell>
          <cell r="F324">
            <v>2.34</v>
          </cell>
        </row>
        <row r="325">
          <cell r="B325" t="str">
            <v>EYPT</v>
          </cell>
          <cell r="F325">
            <v>0.4052</v>
          </cell>
        </row>
        <row r="326">
          <cell r="B326" t="str">
            <v>INCR</v>
          </cell>
          <cell r="F326">
            <v>4.43</v>
          </cell>
        </row>
        <row r="327">
          <cell r="B327" t="str">
            <v>ABEO</v>
          </cell>
          <cell r="F327">
            <v>4.6</v>
          </cell>
        </row>
        <row r="328">
          <cell r="B328" t="str">
            <v>LCTX</v>
          </cell>
          <cell r="F328">
            <v>0.9726</v>
          </cell>
        </row>
        <row r="329">
          <cell r="B329" t="str">
            <v>IPSC</v>
          </cell>
          <cell r="F329">
            <v>1.64</v>
          </cell>
        </row>
        <row r="330">
          <cell r="B330" t="str">
            <v>VNDA</v>
          </cell>
          <cell r="F330">
            <v>4.17</v>
          </cell>
        </row>
        <row r="331">
          <cell r="B331" t="str">
            <v>ACIU</v>
          </cell>
          <cell r="F331">
            <v>2.49</v>
          </cell>
        </row>
        <row r="332">
          <cell r="B332" t="str">
            <v>BCYC</v>
          </cell>
          <cell r="F332">
            <v>3.6</v>
          </cell>
        </row>
        <row r="333">
          <cell r="B333" t="str">
            <v>CABA</v>
          </cell>
          <cell r="F333">
            <v>1.61</v>
          </cell>
        </row>
        <row r="334">
          <cell r="B334" t="str">
            <v>VOGX</v>
          </cell>
          <cell r="F334">
            <v>18.75</v>
          </cell>
        </row>
        <row r="335">
          <cell r="B335" t="str">
            <v>AMRN</v>
          </cell>
          <cell r="F335">
            <v>11.48</v>
          </cell>
        </row>
        <row r="336">
          <cell r="B336" t="str">
            <v>IMRX</v>
          </cell>
          <cell r="F336">
            <v>3.73</v>
          </cell>
        </row>
        <row r="337">
          <cell r="B337" t="str">
            <v>IKT</v>
          </cell>
          <cell r="F337">
            <v>1.71</v>
          </cell>
        </row>
        <row r="338">
          <cell r="B338" t="str">
            <v>SABS</v>
          </cell>
          <cell r="F338">
            <v>2.88</v>
          </cell>
        </row>
        <row r="339">
          <cell r="B339" t="str">
            <v>HELP</v>
          </cell>
          <cell r="F339">
            <v>10.94</v>
          </cell>
        </row>
        <row r="340">
          <cell r="B340" t="str">
            <v>SIGA</v>
          </cell>
          <cell r="F340">
            <v>3.15</v>
          </cell>
        </row>
        <row r="341">
          <cell r="B341" t="str">
            <v>LXEO</v>
          </cell>
          <cell r="F341">
            <v>3.02</v>
          </cell>
        </row>
        <row r="342">
          <cell r="B342" t="str">
            <v>BBOT</v>
          </cell>
          <cell r="F342">
            <v>2.72</v>
          </cell>
        </row>
        <row r="343">
          <cell r="B343" t="str">
            <v>ACB</v>
          </cell>
          <cell r="F343">
            <v>3.97</v>
          </cell>
        </row>
        <row r="344">
          <cell r="B344" t="str">
            <v>HITI</v>
          </cell>
          <cell r="F344">
            <v>2.65</v>
          </cell>
        </row>
        <row r="345">
          <cell r="B345" t="str">
            <v>QTTB</v>
          </cell>
          <cell r="F345">
            <v>8.62</v>
          </cell>
        </row>
        <row r="346">
          <cell r="B346" t="str">
            <v>TLSI</v>
          </cell>
          <cell r="F346">
            <v>3.66</v>
          </cell>
        </row>
        <row r="347">
          <cell r="B347" t="str">
            <v>BIOA</v>
          </cell>
          <cell r="F347">
            <v>5.28</v>
          </cell>
        </row>
        <row r="348">
          <cell r="B348" t="str">
            <v>KROS</v>
          </cell>
          <cell r="F348">
            <v>11.4</v>
          </cell>
        </row>
        <row r="349">
          <cell r="B349" t="str">
            <v>FATE</v>
          </cell>
          <cell r="F349">
            <v>2.06</v>
          </cell>
        </row>
        <row r="350">
          <cell r="B350" t="str">
            <v>GLSI</v>
          </cell>
          <cell r="F350">
            <v>16.24</v>
          </cell>
        </row>
        <row r="351">
          <cell r="B351" t="str">
            <v>PLX</v>
          </cell>
          <cell r="F351">
            <v>2.635</v>
          </cell>
        </row>
        <row r="352">
          <cell r="B352" t="str">
            <v>MGNX</v>
          </cell>
          <cell r="F352">
            <v>3.49</v>
          </cell>
        </row>
        <row r="353">
          <cell r="B353" t="str">
            <v>LRMR</v>
          </cell>
          <cell r="F353">
            <v>2.44</v>
          </cell>
        </row>
        <row r="354">
          <cell r="B354" t="str">
            <v>ALEC</v>
          </cell>
          <cell r="F354">
            <v>1.97</v>
          </cell>
        </row>
        <row r="355">
          <cell r="B355" t="str">
            <v>MDCX</v>
          </cell>
          <cell r="F355">
            <v>2.72</v>
          </cell>
        </row>
        <row r="356">
          <cell r="B356" t="str">
            <v>LIMN</v>
          </cell>
          <cell r="F356">
            <v>3.19</v>
          </cell>
        </row>
        <row r="357">
          <cell r="B357" t="str">
            <v>LYEL</v>
          </cell>
          <cell r="F357">
            <v>9.7</v>
          </cell>
        </row>
        <row r="358">
          <cell r="B358" t="str">
            <v>RNAC</v>
          </cell>
          <cell r="F358">
            <v>6.395</v>
          </cell>
        </row>
        <row r="359">
          <cell r="B359" t="str">
            <v>CAMP</v>
          </cell>
          <cell r="F359">
            <v>3.16</v>
          </cell>
        </row>
        <row r="360">
          <cell r="B360" t="str">
            <v>CGEN</v>
          </cell>
          <cell r="F360">
            <v>2.14</v>
          </cell>
        </row>
        <row r="361">
          <cell r="B361" t="str">
            <v>EVMN</v>
          </cell>
          <cell r="F361">
            <v>5.35</v>
          </cell>
        </row>
        <row r="362">
          <cell r="B362" t="str">
            <v>XGN</v>
          </cell>
          <cell r="F362">
            <v>7.41</v>
          </cell>
        </row>
        <row r="363">
          <cell r="B363" t="str">
            <v>TRDA</v>
          </cell>
          <cell r="F363">
            <v>4.99</v>
          </cell>
        </row>
        <row r="364">
          <cell r="B364" t="str">
            <v>AKBA</v>
          </cell>
          <cell r="F364">
            <v>0.6181</v>
          </cell>
        </row>
        <row r="365">
          <cell r="B365" t="str">
            <v>ELDN</v>
          </cell>
          <cell r="F365">
            <v>2.255</v>
          </cell>
        </row>
        <row r="366">
          <cell r="B366" t="str">
            <v>IVVD</v>
          </cell>
          <cell r="F366">
            <v>0.6366</v>
          </cell>
        </row>
        <row r="367">
          <cell r="B367" t="str">
            <v>STRO</v>
          </cell>
          <cell r="F367">
            <v>11.54</v>
          </cell>
        </row>
        <row r="368">
          <cell r="B368" t="str">
            <v>PEPG</v>
          </cell>
          <cell r="F368">
            <v>2.875</v>
          </cell>
        </row>
        <row r="369">
          <cell r="B369" t="str">
            <v>ADCT</v>
          </cell>
          <cell r="F369">
            <v>1.53</v>
          </cell>
        </row>
        <row r="370">
          <cell r="B370" t="str">
            <v>SLGL</v>
          </cell>
          <cell r="F370">
            <v>65.81</v>
          </cell>
        </row>
        <row r="371">
          <cell r="B371" t="str">
            <v>ACOG</v>
          </cell>
          <cell r="F371">
            <v>8.58</v>
          </cell>
        </row>
        <row r="372">
          <cell r="B372" t="str">
            <v>SION</v>
          </cell>
          <cell r="F372">
            <v>4.15</v>
          </cell>
        </row>
        <row r="373">
          <cell r="B373" t="str">
            <v>ORMP</v>
          </cell>
          <cell r="F373">
            <v>4.15</v>
          </cell>
        </row>
        <row r="374">
          <cell r="B374" t="str">
            <v>WHWK</v>
          </cell>
          <cell r="F374">
            <v>3.19</v>
          </cell>
        </row>
        <row r="375">
          <cell r="B375" t="str">
            <v>CTNM</v>
          </cell>
          <cell r="F375">
            <v>8.46</v>
          </cell>
        </row>
        <row r="376">
          <cell r="B376" t="str">
            <v>DTIL</v>
          </cell>
          <cell r="F376">
            <v>6.56</v>
          </cell>
        </row>
        <row r="377">
          <cell r="B377" t="str">
            <v>CMPX</v>
          </cell>
          <cell r="F377">
            <v>0.8333</v>
          </cell>
        </row>
        <row r="378">
          <cell r="B378" t="str">
            <v>CHRS</v>
          </cell>
          <cell r="F378">
            <v>1.0</v>
          </cell>
        </row>
        <row r="379">
          <cell r="B379" t="str">
            <v>PRQR</v>
          </cell>
          <cell r="F379">
            <v>1.38</v>
          </cell>
        </row>
        <row r="380">
          <cell r="B380" t="str">
            <v>ZNTL</v>
          </cell>
          <cell r="F380">
            <v>2.39</v>
          </cell>
        </row>
        <row r="381">
          <cell r="B381" t="str">
            <v>MDWD</v>
          </cell>
          <cell r="F381">
            <v>12.1</v>
          </cell>
        </row>
        <row r="382">
          <cell r="B382" t="str">
            <v>KRSA</v>
          </cell>
          <cell r="F382">
            <v>31.03</v>
          </cell>
        </row>
        <row r="383">
          <cell r="B383" t="str">
            <v>UPB</v>
          </cell>
          <cell r="F383">
            <v>2.82</v>
          </cell>
        </row>
        <row r="384">
          <cell r="B384" t="str">
            <v>MENS</v>
          </cell>
          <cell r="F384">
            <v>1.86</v>
          </cell>
        </row>
        <row r="385">
          <cell r="B385" t="str">
            <v>PYXS</v>
          </cell>
          <cell r="F385">
            <v>1.84</v>
          </cell>
        </row>
        <row r="386">
          <cell r="B386" t="str">
            <v>CNTN</v>
          </cell>
          <cell r="F386">
            <v>1.73</v>
          </cell>
        </row>
        <row r="387">
          <cell r="B387" t="str">
            <v>ALXO</v>
          </cell>
          <cell r="F387">
            <v>1.14</v>
          </cell>
        </row>
        <row r="388">
          <cell r="B388" t="str">
            <v>NBP</v>
          </cell>
          <cell r="F388">
            <v>1.425</v>
          </cell>
        </row>
        <row r="389">
          <cell r="B389" t="str">
            <v>CURX</v>
          </cell>
          <cell r="F389">
            <v>4.92</v>
          </cell>
        </row>
        <row r="390">
          <cell r="B390" t="str">
            <v>MOLN</v>
          </cell>
          <cell r="F390">
            <v>3.7</v>
          </cell>
        </row>
        <row r="391">
          <cell r="B391" t="str">
            <v>DERM</v>
          </cell>
          <cell r="F391">
            <v>5.22</v>
          </cell>
        </row>
        <row r="392">
          <cell r="B392" t="str">
            <v>IPHA</v>
          </cell>
          <cell r="F392">
            <v>1.578</v>
          </cell>
        </row>
        <row r="393">
          <cell r="B393" t="str">
            <v>TARA</v>
          </cell>
          <cell r="F393">
            <v>2.56</v>
          </cell>
        </row>
        <row r="394">
          <cell r="B394" t="str">
            <v>RNA</v>
          </cell>
          <cell r="F394">
            <v>7.98</v>
          </cell>
        </row>
        <row r="395">
          <cell r="B395" t="str">
            <v>NKTX</v>
          </cell>
          <cell r="F395">
            <v>1.74</v>
          </cell>
        </row>
        <row r="396">
          <cell r="B396" t="str">
            <v>ORGO</v>
          </cell>
          <cell r="F396">
            <v>1.02</v>
          </cell>
        </row>
        <row r="397">
          <cell r="B397" t="str">
            <v>ANTX</v>
          </cell>
          <cell r="F397">
            <v>3.56</v>
          </cell>
        </row>
        <row r="398">
          <cell r="B398" t="str">
            <v>NGEN</v>
          </cell>
          <cell r="F398">
            <v>1.54</v>
          </cell>
        </row>
        <row r="399">
          <cell r="B399" t="str">
            <v>TLSA</v>
          </cell>
          <cell r="F399">
            <v>1.01</v>
          </cell>
        </row>
        <row r="400">
          <cell r="B400" t="str">
            <v>ARMP</v>
          </cell>
          <cell r="F400">
            <v>3.18</v>
          </cell>
        </row>
        <row r="401">
          <cell r="B401" t="str">
            <v>KRRO</v>
          </cell>
          <cell r="F401">
            <v>9.44</v>
          </cell>
        </row>
        <row r="402">
          <cell r="B402" t="str">
            <v>ABOS</v>
          </cell>
          <cell r="F402">
            <v>2.015</v>
          </cell>
        </row>
        <row r="403">
          <cell r="B403" t="str">
            <v>AVXL</v>
          </cell>
          <cell r="F403">
            <v>1.36</v>
          </cell>
        </row>
        <row r="404">
          <cell r="B404" t="str">
            <v>CUE</v>
          </cell>
          <cell r="F404">
            <v>17.04</v>
          </cell>
        </row>
        <row r="405">
          <cell r="B405" t="str">
            <v>HUMA</v>
          </cell>
          <cell r="F405">
            <v>0.406</v>
          </cell>
        </row>
        <row r="406">
          <cell r="B406" t="str">
            <v>OTLK</v>
          </cell>
          <cell r="F406">
            <v>0.52</v>
          </cell>
        </row>
        <row r="407">
          <cell r="B407" t="str">
            <v>VYGR</v>
          </cell>
          <cell r="F407">
            <v>2.19</v>
          </cell>
        </row>
        <row r="408">
          <cell r="B408" t="str">
            <v>SPRB</v>
          </cell>
          <cell r="F408">
            <v>41.23</v>
          </cell>
        </row>
        <row r="409">
          <cell r="B409" t="str">
            <v>NRXP</v>
          </cell>
          <cell r="F409">
            <v>2.62</v>
          </cell>
        </row>
        <row r="410">
          <cell r="B410" t="str">
            <v>NERV</v>
          </cell>
          <cell r="F410">
            <v>2.53</v>
          </cell>
        </row>
        <row r="411">
          <cell r="B411" t="str">
            <v>HURA</v>
          </cell>
          <cell r="F411">
            <v>1.76</v>
          </cell>
        </row>
        <row r="412">
          <cell r="B412" t="str">
            <v>ENGN</v>
          </cell>
          <cell r="F412">
            <v>1.67</v>
          </cell>
        </row>
        <row r="413">
          <cell r="B413" t="str">
            <v>CRDL</v>
          </cell>
          <cell r="F413">
            <v>1.15</v>
          </cell>
        </row>
        <row r="414">
          <cell r="B414" t="str">
            <v>FHTX</v>
          </cell>
          <cell r="F414">
            <v>2.01</v>
          </cell>
        </row>
        <row r="415">
          <cell r="B415" t="str">
            <v>GNLX</v>
          </cell>
          <cell r="F415">
            <v>2.5</v>
          </cell>
        </row>
        <row r="416">
          <cell r="B416" t="str">
            <v>PYPD</v>
          </cell>
          <cell r="F416">
            <v>5.15</v>
          </cell>
        </row>
        <row r="417">
          <cell r="B417" t="str">
            <v>CPIX</v>
          </cell>
          <cell r="F417">
            <v>7.96</v>
          </cell>
        </row>
        <row r="418">
          <cell r="B418" t="str">
            <v>MSLE</v>
          </cell>
          <cell r="F418">
            <v>7.0</v>
          </cell>
        </row>
        <row r="419">
          <cell r="B419" t="str">
            <v>VTVT</v>
          </cell>
          <cell r="F419">
            <v>27.845</v>
          </cell>
        </row>
        <row r="420">
          <cell r="B420" t="str">
            <v>FRNM</v>
          </cell>
          <cell r="F420">
            <v>14.06</v>
          </cell>
        </row>
        <row r="421">
          <cell r="B421" t="str">
            <v>CLLS</v>
          </cell>
          <cell r="F421">
            <v>0.99</v>
          </cell>
        </row>
        <row r="422">
          <cell r="B422" t="str">
            <v>IFRX</v>
          </cell>
          <cell r="F422">
            <v>1.54</v>
          </cell>
        </row>
        <row r="423">
          <cell r="B423" t="str">
            <v>TNXP</v>
          </cell>
          <cell r="F423">
            <v>5.78</v>
          </cell>
        </row>
        <row r="424">
          <cell r="B424" t="str">
            <v>LENZ</v>
          </cell>
          <cell r="F424">
            <v>3.19</v>
          </cell>
        </row>
        <row r="425">
          <cell r="B425" t="str">
            <v>INO</v>
          </cell>
          <cell r="F425">
            <v>1.01</v>
          </cell>
        </row>
        <row r="426">
          <cell r="B426" t="str">
            <v>COYA</v>
          </cell>
          <cell r="F426">
            <v>4.21</v>
          </cell>
        </row>
        <row r="427">
          <cell r="B427" t="str">
            <v>CBUS</v>
          </cell>
          <cell r="F427">
            <v>1.39</v>
          </cell>
        </row>
        <row r="428">
          <cell r="B428" t="str">
            <v>IMDX</v>
          </cell>
          <cell r="F428">
            <v>3.03</v>
          </cell>
        </row>
        <row r="429">
          <cell r="B429" t="str">
            <v>NRSN</v>
          </cell>
          <cell r="F429">
            <v>2.39</v>
          </cell>
        </row>
        <row r="430">
          <cell r="B430" t="str">
            <v>BDTX</v>
          </cell>
          <cell r="F430">
            <v>2.07</v>
          </cell>
        </row>
        <row r="431">
          <cell r="B431" t="str">
            <v>ICCC</v>
          </cell>
          <cell r="F431">
            <v>10.45</v>
          </cell>
        </row>
        <row r="432">
          <cell r="B432" t="str">
            <v>ADAG</v>
          </cell>
          <cell r="F432">
            <v>2.5</v>
          </cell>
        </row>
        <row r="433">
          <cell r="B433" t="str">
            <v>ATRA</v>
          </cell>
          <cell r="F433">
            <v>9.16</v>
          </cell>
        </row>
        <row r="434">
          <cell r="B434" t="str">
            <v>IMUX</v>
          </cell>
          <cell r="F434">
            <v>7.41</v>
          </cell>
        </row>
        <row r="435">
          <cell r="B435" t="str">
            <v>PLYX</v>
          </cell>
          <cell r="F435">
            <v>1.91</v>
          </cell>
        </row>
        <row r="436">
          <cell r="B436" t="str">
            <v>UNCY</v>
          </cell>
          <cell r="F436">
            <v>3.8</v>
          </cell>
        </row>
        <row r="437">
          <cell r="B437" t="str">
            <v>ANIX</v>
          </cell>
          <cell r="F437">
            <v>2.68</v>
          </cell>
        </row>
        <row r="438">
          <cell r="B438" t="str">
            <v>QUCY</v>
          </cell>
          <cell r="F438">
            <v>1.07</v>
          </cell>
        </row>
        <row r="439">
          <cell r="B439" t="str">
            <v>TNYA</v>
          </cell>
          <cell r="F439">
            <v>0.41</v>
          </cell>
        </row>
        <row r="440">
          <cell r="B440" t="str">
            <v>RANI</v>
          </cell>
          <cell r="F440">
            <v>0.6528</v>
          </cell>
        </row>
        <row r="441">
          <cell r="B441" t="str">
            <v>RLYB</v>
          </cell>
          <cell r="F441">
            <v>16.38</v>
          </cell>
        </row>
        <row r="442">
          <cell r="B442" t="str">
            <v>NMRA</v>
          </cell>
          <cell r="F442">
            <v>0.465</v>
          </cell>
        </row>
        <row r="443">
          <cell r="B443" t="str">
            <v>MIST</v>
          </cell>
          <cell r="F443">
            <v>0.7185</v>
          </cell>
        </row>
        <row r="444">
          <cell r="B444" t="str">
            <v>CRBP</v>
          </cell>
          <cell r="F444">
            <v>4.42</v>
          </cell>
        </row>
        <row r="445">
          <cell r="B445" t="str">
            <v>CNXU</v>
          </cell>
          <cell r="F445">
            <v>2.99</v>
          </cell>
        </row>
        <row r="446">
          <cell r="B446" t="str">
            <v>OKUR</v>
          </cell>
          <cell r="F446">
            <v>2.36</v>
          </cell>
        </row>
        <row r="447">
          <cell r="B447" t="str">
            <v>AARD</v>
          </cell>
          <cell r="F447">
            <v>3.9</v>
          </cell>
        </row>
        <row r="448">
          <cell r="B448" t="str">
            <v>ALP</v>
          </cell>
          <cell r="F448">
            <v>3.38</v>
          </cell>
        </row>
        <row r="449">
          <cell r="B449" t="str">
            <v>PTHS</v>
          </cell>
          <cell r="F449">
            <v>20.5</v>
          </cell>
        </row>
        <row r="450">
          <cell r="B450" t="str">
            <v>NTRB</v>
          </cell>
          <cell r="F450">
            <v>5.85</v>
          </cell>
        </row>
        <row r="451">
          <cell r="B451" t="str">
            <v>EQ</v>
          </cell>
          <cell r="F451">
            <v>1.38</v>
          </cell>
        </row>
        <row r="452">
          <cell r="B452" t="str">
            <v>OKYO</v>
          </cell>
          <cell r="F452">
            <v>1.37</v>
          </cell>
        </row>
        <row r="453">
          <cell r="B453" t="str">
            <v>PMN</v>
          </cell>
          <cell r="F453">
            <v>8.09</v>
          </cell>
        </row>
        <row r="454">
          <cell r="B454" t="str">
            <v>TELO</v>
          </cell>
          <cell r="F454">
            <v>1.01</v>
          </cell>
        </row>
        <row r="455">
          <cell r="B455" t="str">
            <v>RFL</v>
          </cell>
          <cell r="F455">
            <v>1.31</v>
          </cell>
        </row>
        <row r="456">
          <cell r="B456" t="str">
            <v>CTOR</v>
          </cell>
          <cell r="F456">
            <v>0.671</v>
          </cell>
        </row>
        <row r="457">
          <cell r="B457" t="str">
            <v>LEXX</v>
          </cell>
          <cell r="F457">
            <v>2.65</v>
          </cell>
        </row>
        <row r="458">
          <cell r="B458" t="str">
            <v>ACRV</v>
          </cell>
          <cell r="F458">
            <v>1.795</v>
          </cell>
        </row>
        <row r="459">
          <cell r="B459" t="str">
            <v>CRDF</v>
          </cell>
          <cell r="F459">
            <v>0.9315</v>
          </cell>
        </row>
        <row r="460">
          <cell r="B460" t="str">
            <v>NTHI</v>
          </cell>
          <cell r="F460">
            <v>2.77</v>
          </cell>
        </row>
        <row r="461">
          <cell r="B461" t="str">
            <v>MNOV</v>
          </cell>
          <cell r="F461">
            <v>1.36</v>
          </cell>
        </row>
        <row r="462">
          <cell r="B462" t="str">
            <v>CGTX</v>
          </cell>
          <cell r="F462">
            <v>0.7338</v>
          </cell>
        </row>
        <row r="463">
          <cell r="B463" t="str">
            <v>HRTX</v>
          </cell>
          <cell r="F463">
            <v>0.3545</v>
          </cell>
        </row>
        <row r="464">
          <cell r="B464" t="str">
            <v>MAIA</v>
          </cell>
          <cell r="F464">
            <v>1.12</v>
          </cell>
        </row>
        <row r="465">
          <cell r="B465" t="str">
            <v>ZYBT</v>
          </cell>
          <cell r="F465">
            <v>1.49</v>
          </cell>
        </row>
        <row r="466">
          <cell r="B466" t="str">
            <v>SPRO</v>
          </cell>
          <cell r="F466">
            <v>1.22</v>
          </cell>
        </row>
        <row r="467">
          <cell r="B467" t="str">
            <v>OSTX</v>
          </cell>
          <cell r="F467">
            <v>1.27</v>
          </cell>
        </row>
        <row r="468">
          <cell r="B468" t="str">
            <v>PMVP</v>
          </cell>
          <cell r="F468">
            <v>1.39</v>
          </cell>
        </row>
        <row r="469">
          <cell r="B469" t="str">
            <v>XBIT</v>
          </cell>
          <cell r="F469">
            <v>2.02</v>
          </cell>
        </row>
        <row r="470">
          <cell r="B470" t="str">
            <v>ONCY</v>
          </cell>
          <cell r="F470">
            <v>0.4986</v>
          </cell>
        </row>
        <row r="471">
          <cell r="B471" t="str">
            <v>CING</v>
          </cell>
          <cell r="F471">
            <v>4.53</v>
          </cell>
        </row>
        <row r="472">
          <cell r="B472" t="str">
            <v>PDSB</v>
          </cell>
          <cell r="F472">
            <v>0.9605</v>
          </cell>
        </row>
        <row r="473">
          <cell r="B473" t="str">
            <v>NMAD</v>
          </cell>
          <cell r="F473">
            <v>3.72</v>
          </cell>
        </row>
        <row r="474">
          <cell r="B474" t="str">
            <v>FBIO</v>
          </cell>
          <cell r="F474">
            <v>1.94</v>
          </cell>
        </row>
        <row r="475">
          <cell r="B475" t="str">
            <v>VRCA</v>
          </cell>
          <cell r="F475">
            <v>3.47</v>
          </cell>
        </row>
        <row r="476">
          <cell r="B476" t="str">
            <v>BMEA</v>
          </cell>
          <cell r="F476">
            <v>0.7356</v>
          </cell>
        </row>
        <row r="477">
          <cell r="B477" t="str">
            <v>GANX</v>
          </cell>
          <cell r="F477">
            <v>1.19</v>
          </cell>
        </row>
        <row r="478">
          <cell r="B478" t="str">
            <v>CNTB</v>
          </cell>
          <cell r="F478">
            <v>0.8752</v>
          </cell>
        </row>
        <row r="479">
          <cell r="B479" t="str">
            <v>ALPS</v>
          </cell>
          <cell r="F479">
            <v>0.33</v>
          </cell>
        </row>
        <row r="480">
          <cell r="B480" t="str">
            <v>XLO</v>
          </cell>
          <cell r="F480">
            <v>8.54</v>
          </cell>
        </row>
        <row r="481">
          <cell r="B481" t="str">
            <v>PLRX</v>
          </cell>
          <cell r="F481">
            <v>0.9124</v>
          </cell>
        </row>
        <row r="482">
          <cell r="B482" t="str">
            <v>TLPH</v>
          </cell>
          <cell r="F482">
            <v>1.07</v>
          </cell>
        </row>
        <row r="483">
          <cell r="B483" t="str">
            <v>SKYE</v>
          </cell>
          <cell r="F483">
            <v>1.62</v>
          </cell>
        </row>
        <row r="484">
          <cell r="B484" t="str">
            <v>RNTX</v>
          </cell>
          <cell r="F484">
            <v>0.5951</v>
          </cell>
        </row>
        <row r="485">
          <cell r="B485" t="str">
            <v>RNXT</v>
          </cell>
          <cell r="F485">
            <v>1.2</v>
          </cell>
        </row>
        <row r="486">
          <cell r="B486" t="str">
            <v>YARW</v>
          </cell>
          <cell r="F486">
            <v>20.21</v>
          </cell>
        </row>
        <row r="487">
          <cell r="B487" t="str">
            <v>BOLD</v>
          </cell>
          <cell r="F487">
            <v>2.43</v>
          </cell>
        </row>
        <row r="488">
          <cell r="B488" t="str">
            <v>KLRS</v>
          </cell>
          <cell r="F488">
            <v>2.07</v>
          </cell>
        </row>
        <row r="489">
          <cell r="B489" t="str">
            <v>TENX</v>
          </cell>
          <cell r="F489">
            <v>1.63</v>
          </cell>
        </row>
        <row r="490">
          <cell r="B490" t="str">
            <v>INKT</v>
          </cell>
          <cell r="F490">
            <v>9.86</v>
          </cell>
        </row>
        <row r="491">
          <cell r="B491" t="str">
            <v>CRBU</v>
          </cell>
          <cell r="F491">
            <v>0.519</v>
          </cell>
        </row>
        <row r="492">
          <cell r="B492" t="str">
            <v>LONA</v>
          </cell>
          <cell r="F492">
            <v>5.27</v>
          </cell>
        </row>
        <row r="493">
          <cell r="B493" t="str">
            <v>ATHE</v>
          </cell>
          <cell r="F493">
            <v>2.37</v>
          </cell>
        </row>
        <row r="494">
          <cell r="B494" t="str">
            <v>IBIO</v>
          </cell>
          <cell r="F494">
            <v>0.821</v>
          </cell>
        </row>
        <row r="495">
          <cell r="B495" t="str">
            <v>HYPD</v>
          </cell>
          <cell r="F495">
            <v>2.975</v>
          </cell>
        </row>
        <row r="496">
          <cell r="B496" t="str">
            <v>ENLV</v>
          </cell>
          <cell r="F496">
            <v>0.2237</v>
          </cell>
        </row>
        <row r="497">
          <cell r="B497" t="str">
            <v>MREO</v>
          </cell>
          <cell r="F497">
            <v>0.2951</v>
          </cell>
        </row>
        <row r="498">
          <cell r="B498" t="str">
            <v>HOWL</v>
          </cell>
          <cell r="F498">
            <v>1.05</v>
          </cell>
        </row>
        <row r="499">
          <cell r="B499" t="str">
            <v>CLGN</v>
          </cell>
          <cell r="F499">
            <v>3.88</v>
          </cell>
        </row>
        <row r="500">
          <cell r="B500" t="str">
            <v>ELTX</v>
          </cell>
          <cell r="F500">
            <v>1.57</v>
          </cell>
        </row>
        <row r="501">
          <cell r="B501" t="str">
            <v>APLM</v>
          </cell>
          <cell r="F501">
            <v>22.0481</v>
          </cell>
        </row>
        <row r="502">
          <cell r="B502" t="str">
            <v>TVGN</v>
          </cell>
          <cell r="F502">
            <v>6.43</v>
          </cell>
        </row>
        <row r="503">
          <cell r="B503" t="str">
            <v>INMB</v>
          </cell>
          <cell r="F503">
            <v>1.6</v>
          </cell>
        </row>
        <row r="504">
          <cell r="B504" t="str">
            <v>IMA</v>
          </cell>
          <cell r="F504">
            <v>4.13</v>
          </cell>
        </row>
        <row r="505">
          <cell r="B505" t="str">
            <v>SER</v>
          </cell>
          <cell r="F505">
            <v>1.66</v>
          </cell>
        </row>
        <row r="506">
          <cell r="B506" t="str">
            <v>SDEV</v>
          </cell>
          <cell r="F506">
            <v>0.8935</v>
          </cell>
        </row>
        <row r="507">
          <cell r="B507" t="str">
            <v>LGVN</v>
          </cell>
          <cell r="F507">
            <v>1.5</v>
          </cell>
        </row>
        <row r="508">
          <cell r="B508" t="str">
            <v>ACET</v>
          </cell>
          <cell r="F508">
            <v>4.52</v>
          </cell>
        </row>
        <row r="509">
          <cell r="B509" t="str">
            <v>ANVS</v>
          </cell>
          <cell r="F509">
            <v>0.9932</v>
          </cell>
        </row>
        <row r="510">
          <cell r="B510" t="str">
            <v>ALDX</v>
          </cell>
          <cell r="F510">
            <v>0.6651</v>
          </cell>
        </row>
        <row r="511">
          <cell r="B511" t="str">
            <v>DWTX</v>
          </cell>
          <cell r="F511">
            <v>1.15</v>
          </cell>
        </row>
        <row r="512">
          <cell r="B512" t="str">
            <v>CELU</v>
          </cell>
          <cell r="F512">
            <v>1.26</v>
          </cell>
        </row>
        <row r="513">
          <cell r="B513" t="str">
            <v>TIL</v>
          </cell>
          <cell r="F513">
            <v>5.94</v>
          </cell>
        </row>
        <row r="514">
          <cell r="B514" t="str">
            <v>CLNN</v>
          </cell>
          <cell r="F514">
            <v>3.73</v>
          </cell>
        </row>
        <row r="515">
          <cell r="B515" t="str">
            <v>GRCE</v>
          </cell>
          <cell r="F515">
            <v>1.98</v>
          </cell>
        </row>
        <row r="516">
          <cell r="B516" t="str">
            <v>VERU</v>
          </cell>
          <cell r="F516">
            <v>2.38</v>
          </cell>
        </row>
        <row r="517">
          <cell r="B517" t="str">
            <v>BTMD</v>
          </cell>
          <cell r="F517">
            <v>1.07</v>
          </cell>
        </row>
        <row r="518">
          <cell r="B518" t="str">
            <v>BRTX</v>
          </cell>
          <cell r="F518">
            <v>1.56</v>
          </cell>
        </row>
        <row r="519">
          <cell r="B519" t="str">
            <v>EXOZ</v>
          </cell>
          <cell r="F519">
            <v>4.12</v>
          </cell>
        </row>
        <row r="520">
          <cell r="B520" t="str">
            <v>BSEM</v>
          </cell>
          <cell r="F520">
            <v>1.64</v>
          </cell>
        </row>
        <row r="521">
          <cell r="B521" t="str">
            <v>SCYX</v>
          </cell>
          <cell r="F521">
            <v>3.8</v>
          </cell>
        </row>
        <row r="522">
          <cell r="B522" t="str">
            <v>MTNB</v>
          </cell>
          <cell r="F522">
            <v>1.7</v>
          </cell>
        </row>
        <row r="523">
          <cell r="B523" t="str">
            <v>CALC</v>
          </cell>
          <cell r="F523">
            <v>1.065</v>
          </cell>
        </row>
        <row r="524">
          <cell r="B524" t="str">
            <v>IXHL</v>
          </cell>
          <cell r="F524">
            <v>2.78</v>
          </cell>
        </row>
        <row r="525">
          <cell r="B525" t="str">
            <v>NNVC</v>
          </cell>
          <cell r="F525">
            <v>1.5</v>
          </cell>
        </row>
        <row r="526">
          <cell r="B526" t="str">
            <v>ELUT</v>
          </cell>
          <cell r="F526">
            <v>0.8105</v>
          </cell>
        </row>
        <row r="527">
          <cell r="B527" t="str">
            <v>LITS</v>
          </cell>
          <cell r="F527">
            <v>1.19</v>
          </cell>
        </row>
        <row r="528">
          <cell r="B528" t="str">
            <v>FLNA</v>
          </cell>
          <cell r="F528">
            <v>0.6885</v>
          </cell>
        </row>
        <row r="529">
          <cell r="B529" t="str">
            <v>CRVO</v>
          </cell>
          <cell r="F529">
            <v>2.29</v>
          </cell>
        </row>
        <row r="530">
          <cell r="B530" t="str">
            <v>ATNM</v>
          </cell>
          <cell r="F530">
            <v>1.395</v>
          </cell>
        </row>
        <row r="531">
          <cell r="B531" t="str">
            <v>QNCX</v>
          </cell>
          <cell r="F531">
            <v>40.27</v>
          </cell>
        </row>
        <row r="532">
          <cell r="B532" t="str">
            <v>BIAF</v>
          </cell>
          <cell r="F532">
            <v>3.66</v>
          </cell>
        </row>
        <row r="533">
          <cell r="B533" t="str">
            <v>CVM</v>
          </cell>
          <cell r="F533">
            <v>1.56</v>
          </cell>
        </row>
        <row r="534">
          <cell r="B534" t="str">
            <v>ALGS</v>
          </cell>
          <cell r="F534">
            <v>5.03</v>
          </cell>
        </row>
        <row r="535">
          <cell r="B535" t="str">
            <v>GRDX</v>
          </cell>
          <cell r="F535">
            <v>4.63</v>
          </cell>
        </row>
        <row r="536">
          <cell r="B536" t="str">
            <v>MGX</v>
          </cell>
          <cell r="F536">
            <v>0.8313</v>
          </cell>
        </row>
        <row r="537">
          <cell r="B537" t="str">
            <v>BCTX</v>
          </cell>
          <cell r="F537">
            <v>3.46</v>
          </cell>
        </row>
        <row r="538">
          <cell r="B538" t="str">
            <v>CPHI</v>
          </cell>
          <cell r="F538">
            <v>0.7243</v>
          </cell>
        </row>
        <row r="539">
          <cell r="B539" t="str">
            <v>ATOS</v>
          </cell>
          <cell r="F539">
            <v>2.54</v>
          </cell>
        </row>
        <row r="540">
          <cell r="B540" t="str">
            <v>RNAZ</v>
          </cell>
          <cell r="F540">
            <v>1.66</v>
          </cell>
        </row>
        <row r="541">
          <cell r="B541" t="str">
            <v>NXTC</v>
          </cell>
          <cell r="F541">
            <v>5.44</v>
          </cell>
        </row>
        <row r="542">
          <cell r="B542" t="str">
            <v>NSRX</v>
          </cell>
          <cell r="F542">
            <v>3.24</v>
          </cell>
        </row>
        <row r="543">
          <cell r="B543" t="str">
            <v>MIRA</v>
          </cell>
          <cell r="F543">
            <v>0.6501</v>
          </cell>
        </row>
        <row r="544">
          <cell r="B544" t="str">
            <v>SHPH</v>
          </cell>
          <cell r="F544">
            <v>4.91</v>
          </cell>
        </row>
        <row r="545">
          <cell r="B545" t="str">
            <v>IGC</v>
          </cell>
          <cell r="F545">
            <v>0.245</v>
          </cell>
        </row>
        <row r="546">
          <cell r="B546" t="str">
            <v>VBIO</v>
          </cell>
          <cell r="F546">
            <v>1.19</v>
          </cell>
        </row>
        <row r="547">
          <cell r="B547" t="str">
            <v>MCRB</v>
          </cell>
          <cell r="F547">
            <v>2.31</v>
          </cell>
        </row>
        <row r="548">
          <cell r="B548" t="str">
            <v>EDSA</v>
          </cell>
          <cell r="F548">
            <v>2.82</v>
          </cell>
        </row>
        <row r="549">
          <cell r="B549" t="str">
            <v>LNAI</v>
          </cell>
          <cell r="F549">
            <v>0.515</v>
          </cell>
        </row>
        <row r="550">
          <cell r="B550" t="str">
            <v>ABVC</v>
          </cell>
          <cell r="F550">
            <v>0.93</v>
          </cell>
        </row>
        <row r="551">
          <cell r="B551" t="str">
            <v>SCLX</v>
          </cell>
          <cell r="F551">
            <v>2.53</v>
          </cell>
        </row>
        <row r="552">
          <cell r="B552" t="str">
            <v>FFR</v>
          </cell>
          <cell r="F552">
            <v>1.08</v>
          </cell>
        </row>
        <row r="553">
          <cell r="B553" t="str">
            <v>EVAX</v>
          </cell>
          <cell r="F553">
            <v>4.05</v>
          </cell>
        </row>
        <row r="554">
          <cell r="B554" t="str">
            <v>BYSI</v>
          </cell>
          <cell r="F554">
            <v>0.5227</v>
          </cell>
        </row>
        <row r="555">
          <cell r="B555" t="str">
            <v>CNTX</v>
          </cell>
          <cell r="F555">
            <v>0.2438</v>
          </cell>
        </row>
        <row r="556">
          <cell r="B556" t="str">
            <v>TXMD</v>
          </cell>
          <cell r="F556">
            <v>1.88</v>
          </cell>
        </row>
        <row r="557">
          <cell r="B557" t="str">
            <v>KYNB</v>
          </cell>
          <cell r="F557">
            <v>5.28</v>
          </cell>
        </row>
        <row r="558">
          <cell r="B558" t="str">
            <v>AYTU</v>
          </cell>
          <cell r="F558">
            <v>2.01</v>
          </cell>
        </row>
        <row r="559">
          <cell r="B559" t="str">
            <v>COCP</v>
          </cell>
          <cell r="F559">
            <v>0.9429</v>
          </cell>
        </row>
        <row r="560">
          <cell r="B560" t="str">
            <v>ESLA</v>
          </cell>
          <cell r="F560">
            <v>0.4</v>
          </cell>
        </row>
        <row r="561">
          <cell r="B561" t="str">
            <v>JAGX</v>
          </cell>
          <cell r="F561">
            <v>2.63</v>
          </cell>
        </row>
        <row r="562">
          <cell r="B562" t="str">
            <v>XTLB</v>
          </cell>
          <cell r="F562">
            <v>1.94</v>
          </cell>
        </row>
        <row r="563">
          <cell r="B563" t="str">
            <v>NEUP</v>
          </cell>
          <cell r="F563">
            <v>3.39</v>
          </cell>
        </row>
        <row r="564">
          <cell r="B564" t="str">
            <v>MRKR</v>
          </cell>
          <cell r="F564">
            <v>1.16</v>
          </cell>
        </row>
        <row r="565">
          <cell r="B565" t="str">
            <v>ATYR</v>
          </cell>
          <cell r="F565">
            <v>0.1733</v>
          </cell>
        </row>
        <row r="566">
          <cell r="B566" t="str">
            <v>AKTX</v>
          </cell>
          <cell r="F566">
            <v>9.29</v>
          </cell>
        </row>
        <row r="567">
          <cell r="B567" t="str">
            <v>JSPR</v>
          </cell>
          <cell r="F567">
            <v>0.4999</v>
          </cell>
        </row>
        <row r="568">
          <cell r="B568" t="str">
            <v>KAPA</v>
          </cell>
          <cell r="F568">
            <v>0.5837</v>
          </cell>
        </row>
        <row r="569">
          <cell r="B569" t="str">
            <v>GNTA</v>
          </cell>
          <cell r="F569">
            <v>0.615</v>
          </cell>
        </row>
        <row r="570">
          <cell r="B570" t="str">
            <v>TCRX</v>
          </cell>
          <cell r="F570">
            <v>0.224</v>
          </cell>
        </row>
        <row r="571">
          <cell r="B571" t="str">
            <v>DYAI</v>
          </cell>
          <cell r="F571">
            <v>0.3851</v>
          </cell>
        </row>
        <row r="572">
          <cell r="B572" t="str">
            <v>PLRZ</v>
          </cell>
          <cell r="F572">
            <v>9.15</v>
          </cell>
        </row>
        <row r="573">
          <cell r="B573" t="str">
            <v>ACTU</v>
          </cell>
          <cell r="F573">
            <v>0.6161</v>
          </cell>
        </row>
        <row r="574">
          <cell r="B574" t="str">
            <v>ALLR</v>
          </cell>
          <cell r="F574">
            <v>0.8758</v>
          </cell>
        </row>
        <row r="575">
          <cell r="B575" t="str">
            <v>KTTA</v>
          </cell>
          <cell r="F575">
            <v>0.41</v>
          </cell>
        </row>
        <row r="576">
          <cell r="B576" t="str">
            <v>BCDA</v>
          </cell>
          <cell r="F576">
            <v>1.04</v>
          </cell>
        </row>
        <row r="577">
          <cell r="B577" t="str">
            <v>LPCN</v>
          </cell>
          <cell r="F577">
            <v>1.62</v>
          </cell>
        </row>
        <row r="578">
          <cell r="B578" t="str">
            <v>NCEL</v>
          </cell>
          <cell r="F578">
            <v>2.61</v>
          </cell>
        </row>
        <row r="579">
          <cell r="B579" t="str">
            <v>TVRD</v>
          </cell>
          <cell r="F579">
            <v>0.992</v>
          </cell>
        </row>
        <row r="580">
          <cell r="B580" t="str">
            <v>RKTO</v>
          </cell>
          <cell r="F580">
            <v>0.5311</v>
          </cell>
        </row>
        <row r="581">
          <cell r="B581" t="str">
            <v>HIND</v>
          </cell>
          <cell r="F581">
            <v>1.84</v>
          </cell>
        </row>
        <row r="582">
          <cell r="B582" t="str">
            <v>CNSY</v>
          </cell>
          <cell r="F582">
            <v>1.68</v>
          </cell>
        </row>
        <row r="583">
          <cell r="B583" t="str">
            <v>CTXR</v>
          </cell>
          <cell r="F583">
            <v>0.4175</v>
          </cell>
        </row>
        <row r="584">
          <cell r="B584" t="str">
            <v>ARTL</v>
          </cell>
          <cell r="F584">
            <v>2.62</v>
          </cell>
        </row>
        <row r="585">
          <cell r="B585" t="str">
            <v>BFRI</v>
          </cell>
          <cell r="F585">
            <v>0.804</v>
          </cell>
        </row>
        <row r="586">
          <cell r="B586" t="str">
            <v>AEON</v>
          </cell>
          <cell r="F586">
            <v>0.2315</v>
          </cell>
        </row>
        <row r="587">
          <cell r="B587" t="str">
            <v>ASBP</v>
          </cell>
          <cell r="F587">
            <v>8.72</v>
          </cell>
        </row>
        <row r="588">
          <cell r="B588" t="str">
            <v>KZIA</v>
          </cell>
          <cell r="F588">
            <v>7.88</v>
          </cell>
        </row>
        <row r="589">
          <cell r="B589" t="str">
            <v>ENSC</v>
          </cell>
          <cell r="F589">
            <v>0.4986</v>
          </cell>
        </row>
        <row r="590">
          <cell r="B590" t="str">
            <v>PTN</v>
          </cell>
          <cell r="F590">
            <v>5.52</v>
          </cell>
        </row>
        <row r="591">
          <cell r="B591" t="str">
            <v>PASG</v>
          </cell>
          <cell r="F591">
            <v>3.6</v>
          </cell>
        </row>
        <row r="592">
          <cell r="B592" t="str">
            <v>DARE</v>
          </cell>
          <cell r="F592">
            <v>0.689</v>
          </cell>
        </row>
        <row r="593">
          <cell r="B593" t="str">
            <v>PLUR</v>
          </cell>
          <cell r="F593">
            <v>0.9</v>
          </cell>
        </row>
        <row r="594">
          <cell r="B594" t="str">
            <v>INAB</v>
          </cell>
          <cell r="F594">
            <v>1.14</v>
          </cell>
        </row>
        <row r="595">
          <cell r="B595" t="str">
            <v>INTS</v>
          </cell>
          <cell r="F595">
            <v>3.28</v>
          </cell>
        </row>
        <row r="596">
          <cell r="B596" t="str">
            <v>CLRB</v>
          </cell>
          <cell r="F596">
            <v>1.23</v>
          </cell>
        </row>
        <row r="597">
          <cell r="B597" t="str">
            <v>KPRX</v>
          </cell>
          <cell r="F597">
            <v>2.33</v>
          </cell>
        </row>
        <row r="598">
          <cell r="B598" t="str">
            <v>MDXH</v>
          </cell>
          <cell r="F598">
            <v>0.1944</v>
          </cell>
        </row>
        <row r="599">
          <cell r="B599" t="str">
            <v>QNTM</v>
          </cell>
          <cell r="F599">
            <v>2.43</v>
          </cell>
        </row>
        <row r="600">
          <cell r="B600" t="str">
            <v>GDTC</v>
          </cell>
          <cell r="F600">
            <v>0.8715</v>
          </cell>
        </row>
        <row r="601">
          <cell r="B601" t="str">
            <v>PHIO</v>
          </cell>
          <cell r="F601">
            <v>0.8921</v>
          </cell>
        </row>
        <row r="602">
          <cell r="B602" t="str">
            <v>TPST</v>
          </cell>
          <cell r="F602">
            <v>0.5762</v>
          </cell>
        </row>
        <row r="603">
          <cell r="B603" t="str">
            <v>PBM</v>
          </cell>
          <cell r="F603">
            <v>4.24</v>
          </cell>
        </row>
        <row r="604">
          <cell r="B604" t="str">
            <v>TOVX</v>
          </cell>
          <cell r="F604">
            <v>0.2047</v>
          </cell>
        </row>
        <row r="605">
          <cell r="B605" t="str">
            <v>LSTA</v>
          </cell>
          <cell r="F605">
            <v>1.04</v>
          </cell>
        </row>
        <row r="606">
          <cell r="B606" t="str">
            <v>CMMB</v>
          </cell>
          <cell r="F606">
            <v>1.18</v>
          </cell>
        </row>
        <row r="607">
          <cell r="B607" t="str">
            <v>ADIL</v>
          </cell>
          <cell r="F607">
            <v>3.82</v>
          </cell>
        </row>
        <row r="608">
          <cell r="B608" t="str">
            <v>MTVA</v>
          </cell>
          <cell r="F608">
            <v>1.29</v>
          </cell>
        </row>
        <row r="609">
          <cell r="B609" t="str">
            <v>VTGN</v>
          </cell>
          <cell r="F609">
            <v>0.1978</v>
          </cell>
        </row>
        <row r="610">
          <cell r="B610" t="str">
            <v>KPTI</v>
          </cell>
          <cell r="F610">
            <v>0.3586</v>
          </cell>
        </row>
        <row r="611">
          <cell r="B611" t="str">
            <v>LTRN</v>
          </cell>
          <cell r="F611">
            <v>0.6564</v>
          </cell>
        </row>
        <row r="612">
          <cell r="B612" t="str">
            <v>BIVI</v>
          </cell>
          <cell r="F612">
            <v>1.37</v>
          </cell>
        </row>
        <row r="613">
          <cell r="B613" t="str">
            <v>IMCC</v>
          </cell>
          <cell r="F613">
            <v>1.4</v>
          </cell>
        </row>
        <row r="614">
          <cell r="B614" t="str">
            <v>BOLT</v>
          </cell>
          <cell r="F614">
            <v>4.31</v>
          </cell>
        </row>
        <row r="615">
          <cell r="B615" t="str">
            <v>RGNT</v>
          </cell>
          <cell r="F615">
            <v>1.47</v>
          </cell>
        </row>
        <row r="616">
          <cell r="B616" t="str">
            <v>IMRN</v>
          </cell>
          <cell r="F616">
            <v>0.9564</v>
          </cell>
        </row>
        <row r="617">
          <cell r="B617" t="str">
            <v>SNGX</v>
          </cell>
          <cell r="F617">
            <v>0.3546</v>
          </cell>
        </row>
        <row r="618">
          <cell r="B618" t="str">
            <v>APRE</v>
          </cell>
          <cell r="F618">
            <v>0.5612</v>
          </cell>
        </row>
        <row r="619">
          <cell r="B619" t="str">
            <v>INM</v>
          </cell>
          <cell r="F619">
            <v>1.34</v>
          </cell>
        </row>
        <row r="620">
          <cell r="B620" t="str">
            <v>XCUR</v>
          </cell>
          <cell r="F620">
            <v>0.9987</v>
          </cell>
        </row>
        <row r="621">
          <cell r="B621" t="str">
            <v>CNSP</v>
          </cell>
          <cell r="F621">
            <v>4.99</v>
          </cell>
        </row>
        <row r="622">
          <cell r="B622" t="str">
            <v>SNTI</v>
          </cell>
          <cell r="F622">
            <v>0.2277</v>
          </cell>
        </row>
        <row r="623">
          <cell r="B623" t="str">
            <v>TCRT</v>
          </cell>
          <cell r="F623">
            <v>2.97</v>
          </cell>
        </row>
        <row r="624">
          <cell r="B624" t="str">
            <v>FBLG</v>
          </cell>
          <cell r="F624">
            <v>0.9199</v>
          </cell>
        </row>
        <row r="625">
          <cell r="B625" t="str">
            <v>ALZN</v>
          </cell>
          <cell r="F625">
            <v>1.3</v>
          </cell>
        </row>
        <row r="626">
          <cell r="B626" t="str">
            <v>TRAW</v>
          </cell>
          <cell r="F626">
            <v>0.3767</v>
          </cell>
        </row>
        <row r="627">
          <cell r="B627" t="str">
            <v>ENVB</v>
          </cell>
          <cell r="F627">
            <v>1.44</v>
          </cell>
        </row>
        <row r="628">
          <cell r="B628" t="str">
            <v>BGMS</v>
          </cell>
          <cell r="F628">
            <v>0.94</v>
          </cell>
        </row>
        <row r="629">
          <cell r="B629" t="str">
            <v>APUS</v>
          </cell>
          <cell r="F629">
            <v>3.41</v>
          </cell>
        </row>
        <row r="630">
          <cell r="B630" t="str">
            <v>HLSQ</v>
          </cell>
          <cell r="F630">
            <v>0.2323</v>
          </cell>
        </row>
        <row r="631">
          <cell r="B631" t="str">
            <v>ACXP</v>
          </cell>
          <cell r="F631">
            <v>1.14</v>
          </cell>
        </row>
        <row r="632">
          <cell r="B632" t="str">
            <v>IMNN</v>
          </cell>
          <cell r="F632">
            <v>1.005</v>
          </cell>
        </row>
        <row r="633">
          <cell r="B633" t="str">
            <v>AQB</v>
          </cell>
          <cell r="F633">
            <v>1.15</v>
          </cell>
        </row>
        <row r="634">
          <cell r="B634" t="str">
            <v>MBRX</v>
          </cell>
          <cell r="F634">
            <v>6.19</v>
          </cell>
        </row>
        <row r="635">
          <cell r="B635" t="str">
            <v>SNOA</v>
          </cell>
          <cell r="F635">
            <v>1.15</v>
          </cell>
        </row>
        <row r="636">
          <cell r="B636" t="str">
            <v>PULM</v>
          </cell>
          <cell r="F636">
            <v>1.43</v>
          </cell>
        </row>
        <row r="637">
          <cell r="B637" t="str">
            <v>AIM</v>
          </cell>
          <cell r="F637">
            <v>0.1679</v>
          </cell>
        </row>
        <row r="638">
          <cell r="B638" t="str">
            <v>CDIO</v>
          </cell>
          <cell r="F638">
            <v>1.72</v>
          </cell>
        </row>
        <row r="639">
          <cell r="B639" t="str">
            <v>CELZ</v>
          </cell>
          <cell r="F639">
            <v>0.7547</v>
          </cell>
        </row>
        <row r="640">
          <cell r="B640" t="str">
            <v>GELS</v>
          </cell>
          <cell r="F640">
            <v>0.448</v>
          </cell>
        </row>
        <row r="641">
          <cell r="B641" t="str">
            <v>PCSA</v>
          </cell>
          <cell r="F641">
            <v>1.79</v>
          </cell>
        </row>
        <row r="642">
          <cell r="B642" t="str">
            <v>XBIO</v>
          </cell>
          <cell r="F642">
            <v>2.0</v>
          </cell>
        </row>
        <row r="643">
          <cell r="B643" t="str">
            <v>QCLS</v>
          </cell>
          <cell r="F643">
            <v>0.5</v>
          </cell>
        </row>
        <row r="644">
          <cell r="B644" t="str">
            <v>AZTR</v>
          </cell>
          <cell r="F644">
            <v>0.0715</v>
          </cell>
        </row>
        <row r="645">
          <cell r="B645" t="str">
            <v>NCNA</v>
          </cell>
          <cell r="F645">
            <v>1.0056</v>
          </cell>
        </row>
        <row r="646">
          <cell r="B646" t="str">
            <v>YCBD</v>
          </cell>
          <cell r="F646">
            <v>0.3873</v>
          </cell>
        </row>
        <row r="647">
          <cell r="B647" t="str">
            <v>CVKD</v>
          </cell>
          <cell r="F647">
            <v>1.04</v>
          </cell>
        </row>
        <row r="648">
          <cell r="B648" t="str">
            <v>PMCB</v>
          </cell>
          <cell r="F648">
            <v>0.3422</v>
          </cell>
        </row>
        <row r="649">
          <cell r="B649" t="str">
            <v>KALA</v>
          </cell>
          <cell r="F649">
            <v>0.1897</v>
          </cell>
        </row>
        <row r="650">
          <cell r="B650" t="str">
            <v>ERNA</v>
          </cell>
          <cell r="F650">
            <v>2.24</v>
          </cell>
        </row>
        <row r="651">
          <cell r="B651" t="str">
            <v>SNES</v>
          </cell>
          <cell r="F651">
            <v>0.6893</v>
          </cell>
        </row>
        <row r="652">
          <cell r="B652" t="str">
            <v>DRMA</v>
          </cell>
          <cell r="F652">
            <v>0.8699</v>
          </cell>
        </row>
        <row r="653">
          <cell r="B653" t="str">
            <v>EVGN</v>
          </cell>
          <cell r="F653">
            <v>0.3716</v>
          </cell>
        </row>
        <row r="654">
          <cell r="B654" t="str">
            <v>APVO</v>
          </cell>
          <cell r="F654">
            <v>1.615</v>
          </cell>
        </row>
        <row r="655">
          <cell r="B655" t="str">
            <v>SXTP</v>
          </cell>
          <cell r="F655">
            <v>0.9222</v>
          </cell>
        </row>
        <row r="656">
          <cell r="B656" t="str">
            <v>GRI</v>
          </cell>
          <cell r="F656">
            <v>1.46</v>
          </cell>
        </row>
        <row r="657">
          <cell r="B657" t="str">
            <v>EOCN</v>
          </cell>
          <cell r="F657">
            <v>3.07</v>
          </cell>
        </row>
        <row r="658">
          <cell r="B658" t="str">
            <v>MBIO</v>
          </cell>
          <cell r="F658">
            <v>0.3795</v>
          </cell>
        </row>
        <row r="659">
          <cell r="B659" t="str">
            <v>SCNI</v>
          </cell>
          <cell r="F659">
            <v>0.6813</v>
          </cell>
        </row>
        <row r="660">
          <cell r="B660" t="str">
            <v>RDHL</v>
          </cell>
          <cell r="F660">
            <v>0.5073</v>
          </cell>
        </row>
        <row r="661">
          <cell r="B661" t="str">
            <v>CANF</v>
          </cell>
          <cell r="F661">
            <v>1.89</v>
          </cell>
        </row>
        <row r="662">
          <cell r="B662" t="str">
            <v>AKAN</v>
          </cell>
          <cell r="F662">
            <v>1.08</v>
          </cell>
        </row>
        <row r="663">
          <cell r="B663" t="str">
            <v>UPC</v>
          </cell>
          <cell r="F663">
            <v>3.54</v>
          </cell>
        </row>
        <row r="664">
          <cell r="B664" t="str">
            <v>VIVS</v>
          </cell>
          <cell r="F664">
            <v>0.1713</v>
          </cell>
        </row>
        <row r="665">
          <cell r="B665" t="str">
            <v>HCWB</v>
          </cell>
          <cell r="F665">
            <v>1.23</v>
          </cell>
        </row>
        <row r="666">
          <cell r="B666" t="str">
            <v>CLDI</v>
          </cell>
          <cell r="F666">
            <v>0.77</v>
          </cell>
        </row>
        <row r="667">
          <cell r="B667" t="str">
            <v>JUNS</v>
          </cell>
          <cell r="F667">
            <v>2.8</v>
          </cell>
        </row>
        <row r="668">
          <cell r="B668" t="str">
            <v>PPCB</v>
          </cell>
          <cell r="F668">
            <v>0.321</v>
          </cell>
        </row>
        <row r="669">
          <cell r="B669" t="str">
            <v>OGEN</v>
          </cell>
          <cell r="F669">
            <v>0.434</v>
          </cell>
        </row>
        <row r="670">
          <cell r="B670" t="str">
            <v>REVB</v>
          </cell>
          <cell r="F670">
            <v>3.75</v>
          </cell>
        </row>
        <row r="671">
          <cell r="B671" t="str">
            <v>ONCO</v>
          </cell>
          <cell r="F671">
            <v>0.4064</v>
          </cell>
        </row>
        <row r="672">
          <cell r="B672" t="str">
            <v>SILO</v>
          </cell>
          <cell r="F672">
            <v>1.2</v>
          </cell>
        </row>
        <row r="673">
          <cell r="B673" t="str">
            <v>GOVX</v>
          </cell>
          <cell r="F673">
            <v>0.2271</v>
          </cell>
        </row>
        <row r="674">
          <cell r="B674" t="str">
            <v>GNPX</v>
          </cell>
          <cell r="F674">
            <v>2.13</v>
          </cell>
        </row>
        <row r="675">
          <cell r="B675" t="str">
            <v>LABT</v>
          </cell>
          <cell r="F675">
            <v>0.5775</v>
          </cell>
        </row>
        <row r="676">
          <cell r="B676" t="str">
            <v>BBLG</v>
          </cell>
          <cell r="F676">
            <v>0.43</v>
          </cell>
        </row>
        <row r="677">
          <cell r="B677" t="str">
            <v>PPBT</v>
          </cell>
          <cell r="F677">
            <v>1.085</v>
          </cell>
        </row>
        <row r="678">
          <cell r="B678" t="str">
            <v>BDRX</v>
          </cell>
          <cell r="F678">
            <v>0.3855</v>
          </cell>
        </row>
        <row r="679">
          <cell r="B679" t="str">
            <v>CMND</v>
          </cell>
          <cell r="F679">
            <v>6.12</v>
          </cell>
        </row>
        <row r="680">
          <cell r="B680" t="str">
            <v>SBFM</v>
          </cell>
          <cell r="F680">
            <v>0.2418</v>
          </cell>
        </row>
        <row r="681">
          <cell r="B681" t="str">
            <v>CRIS</v>
          </cell>
          <cell r="F681">
            <v>0.3996</v>
          </cell>
        </row>
        <row r="682">
          <cell r="B682" t="str">
            <v>SLXN</v>
          </cell>
          <cell r="F682">
            <v>0.153</v>
          </cell>
        </row>
        <row r="683">
          <cell r="B683" t="str">
            <v>DCOY</v>
          </cell>
          <cell r="F683">
            <v>1.135</v>
          </cell>
        </row>
        <row r="684">
          <cell r="B684" t="str">
            <v>PRFX</v>
          </cell>
          <cell r="F684">
            <v>0.7246</v>
          </cell>
        </row>
        <row r="685">
          <cell r="B685" t="str">
            <v>SPRC</v>
          </cell>
          <cell r="F685">
            <v>1.33</v>
          </cell>
        </row>
        <row r="686">
          <cell r="B686" t="str">
            <v>SXTC</v>
          </cell>
          <cell r="F686">
            <v>0.0653</v>
          </cell>
        </row>
        <row r="687">
          <cell r="B687" t="str">
            <v>ADRX</v>
          </cell>
          <cell r="F687">
            <v>17.68</v>
          </cell>
        </row>
        <row r="688">
          <cell r="B688" t="str">
            <v>ADXN</v>
          </cell>
          <cell r="F688">
            <v>3.05</v>
          </cell>
        </row>
        <row r="689">
          <cell r="B689" t="str">
            <v>AGMB</v>
          </cell>
          <cell r="F689">
            <v>8.73</v>
          </cell>
        </row>
        <row r="690">
          <cell r="B690" t="str">
            <v>ANL</v>
          </cell>
          <cell r="F690">
            <v>10.64</v>
          </cell>
        </row>
        <row r="691">
          <cell r="B691" t="str">
            <v>BNR</v>
          </cell>
          <cell r="F691">
            <v>12.66</v>
          </cell>
        </row>
        <row r="692">
          <cell r="B692" t="str">
            <v>CUVL</v>
          </cell>
          <cell r="F692">
            <v>5.19</v>
          </cell>
        </row>
        <row r="693">
          <cell r="B693" t="str">
            <v>DRUG</v>
          </cell>
          <cell r="F693">
            <v>55.2</v>
          </cell>
        </row>
        <row r="694">
          <cell r="B694" t="str">
            <v>ETRA</v>
          </cell>
          <cell r="F694">
            <v>8.81</v>
          </cell>
        </row>
        <row r="695">
          <cell r="B695" t="str">
            <v>GRFS</v>
          </cell>
          <cell r="F695">
            <v>7.64</v>
          </cell>
        </row>
        <row r="696">
          <cell r="B696" t="str">
            <v>NIKI</v>
          </cell>
          <cell r="F696">
            <v>2.03</v>
          </cell>
        </row>
        <row r="697">
          <cell r="B697" t="str">
            <v>OGI</v>
          </cell>
          <cell r="F697">
            <v>0.937</v>
          </cell>
        </row>
        <row r="698">
          <cell r="B698" t="str">
            <v>OPTH</v>
          </cell>
          <cell r="F698">
            <v>3.36</v>
          </cell>
        </row>
        <row r="699">
          <cell r="B699" t="str">
            <v>QNRX</v>
          </cell>
          <cell r="F699">
            <v>4.04</v>
          </cell>
        </row>
        <row r="700">
          <cell r="B700" t="str">
            <v>RADX</v>
          </cell>
          <cell r="F700">
            <v>0.99</v>
          </cell>
        </row>
        <row r="701">
          <cell r="B701" t="str">
            <v>SERA</v>
          </cell>
          <cell r="F701">
            <v>2.03</v>
          </cell>
        </row>
        <row r="702">
          <cell r="B702" t="str">
            <v>SLBT</v>
          </cell>
          <cell r="F702">
            <v>1.5</v>
          </cell>
        </row>
        <row r="703">
          <cell r="B703" t="str">
            <v>VCRE</v>
          </cell>
          <cell r="F703">
            <v>9.0</v>
          </cell>
        </row>
        <row r="704">
          <cell r="B704" t="str">
            <v>VRXA</v>
          </cell>
          <cell r="F704">
            <v>1.01</v>
          </cell>
        </row>
        <row r="705">
          <cell r="B705" t="str">
            <v>XRTX</v>
          </cell>
          <cell r="F705">
            <v>0.9555</v>
          </cell>
        </row>
      </sheetData>
      <sheetData sheetId="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showGridLines="0" zoomScale="150" workbookViewId="0">
      <selection activeCell="C17" sqref="C17"/>
    </sheetView>
  </sheetViews>
  <sheetFormatPr baseColWidth="10" defaultRowHeight="16"/>
  <cols>
    <col width="3.33203125" customWidth="1" style="9" min="1" max="1"/>
    <col width="12.6640625" customWidth="1" style="9" min="2" max="2"/>
    <col width="11" customWidth="1" style="9" min="5" max="5"/>
  </cols>
  <sheetData>
    <row r="1"/>
    <row r="2">
      <c r="B2" s="8" t="inlineStr">
        <is>
          <t>Taysha Gene Therapies, Inc.</t>
        </is>
      </c>
      <c r="C2" s="10" t="n"/>
    </row>
    <row r="3">
      <c r="B3" t="inlineStr">
        <is>
          <t>Price</t>
        </is>
      </c>
      <c r="C3" s="11">
        <f>INDEX([1]Pharma!$F$1:$F$1000,MATCH("TSHA",[1]Pharma!$B$1:$B$1000,0))</f>
        <v>4.11</v>
      </c>
      <c r="F3" s="1" t="n"/>
    </row>
    <row r="4">
      <c r="B4" t="inlineStr">
        <is>
          <t>Shares</t>
        </is>
      </c>
      <c r="C4" s="21" t="n">
        <v>325.833545</v>
      </c>
      <c r="F4" s="1" t="n"/>
    </row>
    <row r="5">
      <c r="B5" t="inlineStr">
        <is>
          <t>Market Cap.</t>
        </is>
      </c>
      <c r="C5" s="13">
        <f>C3*C4</f>
        <v>1339.17586995</v>
      </c>
      <c r="F5" s="1" t="n"/>
    </row>
    <row r="6"/>
    <row r="7">
      <c r="B7" t="inlineStr">
        <is>
          <t>Cash</t>
        </is>
      </c>
      <c r="C7" s="21" t="n">
        <v>455.407</v>
      </c>
    </row>
    <row r="8">
      <c r="B8" t="inlineStr">
        <is>
          <t>Debt</t>
        </is>
      </c>
      <c r="C8" s="21" t="n">
        <v>49.26</v>
      </c>
    </row>
    <row r="9">
      <c r="B9" t="inlineStr">
        <is>
          <t>Enterprise V.</t>
        </is>
      </c>
      <c r="C9" s="13">
        <f>C5-C7+C8</f>
        <v>933.0288699500002</v>
      </c>
    </row>
    <row r="10"/>
    <row r="11">
      <c r="B11" s="14" t="inlineStr">
        <is>
          <t>rNPV / Share</t>
        </is>
      </c>
      <c r="C11" s="11">
        <f>NPV!B27</f>
        <v>1.2631325043867196</v>
      </c>
    </row>
    <row r="12">
      <c r="B12" s="14" t="inlineStr">
        <is>
          <t>Upside</t>
        </is>
      </c>
      <c r="C12" s="15">
        <f>IFERROR(C11/C3-1,"")</f>
        <v>-0.6926684904168565</v>
      </c>
    </row>
    <row r="13">
      <c r="B13" s="14" t="inlineStr">
        <is>
          <t>Cash / Share</t>
        </is>
      </c>
      <c r="C13" s="11">
        <f>IFERROR((C7-C8)/C4,"")</f>
        <v>1.2464861467839352</v>
      </c>
    </row>
    <row r="14">
      <c r="B14" s="14" t="inlineStr">
        <is>
          <t>Scenario</t>
        </is>
      </c>
      <c r="C14" s="14" t="str">
        <f>Assumptions!C4</f>
        <v>Base</v>
      </c>
    </row>
    <row r="15">
      <c r="B15" s="14" t="inlineStr">
        <is>
          <t>Model</t>
        </is>
      </c>
      <c r="C15" s="14" t="inlineStr">
        <is>
          <t>Pipeline rNPV</t>
        </is>
      </c>
    </row>
    <row r="16"/>
    <row r="17">
      <c r="B17" s="14" t="inlineStr">
        <is>
          <t>TTM Operating Cash Flow</t>
        </is>
      </c>
      <c r="C17" s="21" t="n">
        <v>-132.191</v>
      </c>
    </row>
    <row r="18">
      <c r="B18" s="14" t="inlineStr">
        <is>
          <t>Runway (years)</t>
        </is>
      </c>
      <c r="C18" s="22">
        <f>IF(AND(ISNUMBER(C17),C17&lt;0),IF(C7&gt;C8,(C7-C8)/-C17,"net debt"),"n/a")</f>
        <v>3.0724255055185297</v>
      </c>
    </row>
    <row r="19">
      <c r="B19" s="14" t="inlineStr">
        <is>
          <t>Implied Pipeline Value</t>
        </is>
      </c>
      <c r="C19" s="13">
        <f>C9</f>
        <v>933.0288699500002</v>
      </c>
    </row>
    <row r="20"/>
    <row r="21"/>
    <row r="22"/>
    <row r="23"/>
    <row r="24"/>
  </sheetData>
  <mergeCells count="1">
    <mergeCell ref="B2:C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19"/>
  <sheetViews>
    <sheetView tabSelected="1" zoomScale="138" workbookViewId="0">
      <selection activeCell="K20" sqref="K20"/>
    </sheetView>
  </sheetViews>
  <sheetFormatPr baseColWidth="10" defaultRowHeight="16"/>
  <cols>
    <col width="22" customWidth="1" style="2" min="1" max="1"/>
    <col width="11" customWidth="1" style="9" min="2" max="2"/>
    <col width="11" customWidth="1" style="9" min="3" max="3"/>
    <col width="11" customWidth="1" style="9" min="4" max="4"/>
    <col width="11" customWidth="1" style="9" min="5" max="5"/>
    <col width="11" customWidth="1" style="9" min="6" max="6"/>
    <col width="11" customWidth="1" style="9" min="7" max="7"/>
    <col width="11" customWidth="1" style="9" min="8" max="8"/>
    <col width="11" customWidth="1" style="9" min="9" max="9"/>
    <col width="11" customWidth="1" style="9" min="10" max="10"/>
    <col width="11" customWidth="1" style="9" min="11" max="11"/>
    <col width="11" customWidth="1" style="9" min="12" max="12"/>
    <col width="11" customWidth="1" style="9" min="13" max="13"/>
    <col width="11" customWidth="1" style="9" min="14" max="14"/>
    <col width="11" customWidth="1" style="9" min="15" max="15"/>
    <col width="11" customWidth="1" style="9" min="16" max="16"/>
    <col width="11" customWidth="1" style="9" min="17" max="17"/>
    <col width="11" customWidth="1" style="9" min="18" max="18"/>
    <col width="11" customWidth="1" style="9" min="19" max="19"/>
    <col width="11" customWidth="1" style="9" min="20" max="20"/>
    <col width="11" customWidth="1" style="9" min="21" max="21"/>
    <col width="11" customWidth="1" style="9" min="22" max="22"/>
    <col width="11" customWidth="1" style="9" min="23" max="23"/>
    <col width="11" customWidth="1" style="9" min="24" max="24"/>
    <col width="11" customWidth="1" style="9" min="25" max="25"/>
    <col width="11" customWidth="1" style="9" min="26" max="26"/>
    <col width="11" customWidth="1" style="9" min="27" max="27"/>
    <col width="11" customWidth="1" style="9" min="28" max="28"/>
    <col width="11" customWidth="1" style="9" min="29" max="29"/>
    <col width="11" customWidth="1" style="9" min="30" max="30"/>
    <col width="11" customWidth="1" style="9" min="31" max="31"/>
    <col width="11" customWidth="1" style="9" min="32" max="32"/>
    <col width="11" customWidth="1" style="9" min="33" max="33"/>
    <col width="11" customWidth="1" style="9" min="34" max="34"/>
    <col width="11" customWidth="1" style="9" min="35" max="35"/>
    <col width="11" customWidth="1" style="9" min="36" max="36"/>
    <col width="11" customWidth="1" style="9" min="37" max="37"/>
    <col width="11" customWidth="1" style="9" min="38" max="38"/>
    <col width="11" customWidth="1" style="9" min="39" max="39"/>
  </cols>
  <sheetData>
    <row r="1" customFormat="1" s="6">
      <c r="A1" s="7" t="n"/>
      <c r="B1" s="17" t="n">
        <v>2020</v>
      </c>
      <c r="C1" s="17" t="n">
        <v>2021</v>
      </c>
      <c r="D1" s="17" t="n">
        <v>2022</v>
      </c>
      <c r="E1" s="17" t="n">
        <v>2023</v>
      </c>
      <c r="F1" s="17" t="n">
        <v>2024</v>
      </c>
      <c r="G1" s="17" t="n">
        <v>2025</v>
      </c>
      <c r="H1" s="6" t="n"/>
      <c r="I1" s="6" t="n"/>
      <c r="J1" s="6" t="n"/>
      <c r="K1" s="6" t="n"/>
      <c r="L1" s="6" t="n"/>
      <c r="M1" s="6" t="n"/>
      <c r="N1" s="6" t="n"/>
      <c r="O1" s="6" t="n"/>
      <c r="P1" s="6" t="n"/>
      <c r="Q1" s="6" t="n"/>
      <c r="R1" s="6" t="n"/>
      <c r="S1" s="6" t="n"/>
      <c r="T1" s="6" t="n"/>
      <c r="U1" s="6" t="n"/>
      <c r="V1" s="6" t="n"/>
      <c r="W1" s="6" t="n"/>
      <c r="X1" s="6" t="n"/>
      <c r="Y1" s="6" t="n"/>
      <c r="Z1" s="6" t="n"/>
      <c r="AA1" s="6" t="n"/>
      <c r="AB1" s="6" t="n"/>
      <c r="AC1" s="6" t="n"/>
      <c r="AD1" s="6" t="n"/>
      <c r="AE1" s="6" t="n"/>
      <c r="AF1" s="6" t="n"/>
      <c r="AG1" s="6" t="n"/>
      <c r="AH1" s="6" t="n"/>
      <c r="AI1" s="6" t="n"/>
      <c r="AJ1" s="6" t="n"/>
    </row>
    <row r="2" customFormat="1" s="1">
      <c r="A2" s="5" t="inlineStr">
        <is>
          <t>Revenue</t>
        </is>
      </c>
      <c r="B2" s="23" t="n">
        <v>0</v>
      </c>
      <c r="C2" s="23" t="n">
        <v>0</v>
      </c>
      <c r="D2" s="23" t="n">
        <v>2.502</v>
      </c>
      <c r="E2" s="23" t="n">
        <v>15.451</v>
      </c>
      <c r="F2" s="23" t="n">
        <v>8.333</v>
      </c>
      <c r="G2" s="23" t="n">
        <v>9.773</v>
      </c>
      <c r="I2" s="1" t="n"/>
      <c r="J2" s="1" t="n"/>
      <c r="K2" s="1" t="n"/>
    </row>
    <row r="3" customFormat="1" s="1">
      <c r="A3" s="5" t="inlineStr">
        <is>
          <t>Cost of Sales</t>
        </is>
      </c>
      <c r="B3" s="23" t="n">
        <v>0</v>
      </c>
      <c r="C3" s="23" t="n">
        <v>0</v>
      </c>
      <c r="D3" s="23" t="n">
        <v>0</v>
      </c>
      <c r="E3" s="23" t="n">
        <v>0</v>
      </c>
      <c r="F3" s="23" t="n">
        <v>0</v>
      </c>
      <c r="G3" s="23" t="n">
        <v>0</v>
      </c>
      <c r="I3" s="1" t="n"/>
      <c r="J3" s="1" t="n"/>
      <c r="K3" s="1" t="n"/>
    </row>
    <row r="4" customFormat="1" s="1">
      <c r="A4" s="5" t="inlineStr">
        <is>
          <t>Gross Margin</t>
        </is>
      </c>
      <c r="B4" s="23">
        <f>B2-B3</f>
        <v>0.0</v>
      </c>
      <c r="C4" s="23">
        <f>C2-C3</f>
        <v>0.0</v>
      </c>
      <c r="D4" s="23">
        <f>D2-D3</f>
        <v>2.502</v>
      </c>
      <c r="E4" s="23">
        <f>E2-E3</f>
        <v>15.451</v>
      </c>
      <c r="F4" s="23">
        <f>F2-F3</f>
        <v>8.333</v>
      </c>
      <c r="G4" s="23">
        <f>G2-G3</f>
        <v>9.773</v>
      </c>
      <c r="I4" s="1" t="n"/>
      <c r="J4" s="1" t="n"/>
      <c r="K4" s="1" t="n"/>
    </row>
    <row r="5">
      <c r="A5" s="2" t="inlineStr">
        <is>
          <t>Research &amp; Dev.</t>
        </is>
      </c>
      <c r="B5" s="23" t="n">
        <v>31.893</v>
      </c>
      <c r="C5" s="23" t="n">
        <v>131.943</v>
      </c>
      <c r="D5" s="23" t="n">
        <v>91.169</v>
      </c>
      <c r="E5" s="23" t="n">
        <v>56.778</v>
      </c>
      <c r="F5" s="23" t="n">
        <v>66.001</v>
      </c>
      <c r="G5" s="23" t="n">
        <v>86.40300000000001</v>
      </c>
      <c r="I5" s="1" t="n"/>
      <c r="J5" s="1" t="n"/>
      <c r="K5" s="1" t="n"/>
    </row>
    <row r="6">
      <c r="A6" s="19" t="inlineStr">
        <is>
          <t>SG&amp;A &amp; Other</t>
        </is>
      </c>
      <c r="B6" s="23" t="n">
        <v>11.109</v>
      </c>
      <c r="C6" s="23" t="n">
        <v>41.324</v>
      </c>
      <c r="D6" s="23" t="n">
        <v>73.78</v>
      </c>
      <c r="E6" s="23" t="n">
        <v>31.112</v>
      </c>
      <c r="F6" s="23" t="n">
        <v>33.791</v>
      </c>
      <c r="G6" s="23" t="n">
        <v>33.868</v>
      </c>
      <c r="I6" s="1" t="n"/>
      <c r="J6" s="1" t="n"/>
      <c r="K6" s="1" t="n"/>
    </row>
    <row r="7">
      <c r="A7" s="2" t="inlineStr">
        <is>
          <t>Operating Expense</t>
        </is>
      </c>
      <c r="B7" s="23">
        <f>SUM(B5:B6)</f>
        <v>43.002</v>
      </c>
      <c r="C7" s="23">
        <f>SUM(C5:C6)</f>
        <v>173.267</v>
      </c>
      <c r="D7" s="23">
        <f>SUM(D5:D6)</f>
        <v>164.949</v>
      </c>
      <c r="E7" s="23">
        <f>SUM(E5:E6)</f>
        <v>87.89</v>
      </c>
      <c r="F7" s="23">
        <f>SUM(F5:F6)</f>
        <v>99.792</v>
      </c>
      <c r="G7" s="23">
        <f>SUM(G5:G6)</f>
        <v>120.27100000000002</v>
      </c>
      <c r="I7" s="1" t="n"/>
      <c r="J7" s="1" t="n"/>
      <c r="K7" s="1" t="n"/>
    </row>
    <row r="8">
      <c r="A8" s="2" t="inlineStr">
        <is>
          <t>Operating Income</t>
        </is>
      </c>
      <c r="B8" s="23">
        <f>B4-B7</f>
        <v>-43.002</v>
      </c>
      <c r="C8" s="23">
        <f>C4-C7</f>
        <v>-173.267</v>
      </c>
      <c r="D8" s="23">
        <f>D4-D7</f>
        <v>-162.447</v>
      </c>
      <c r="E8" s="23">
        <f>E4-E7</f>
        <v>-72.439</v>
      </c>
      <c r="F8" s="23">
        <f>F4-F7</f>
        <v>-91.459</v>
      </c>
      <c r="G8" s="23">
        <f>G4-G7</f>
        <v>-110.49800000000002</v>
      </c>
      <c r="I8" s="1" t="n"/>
      <c r="J8" s="1" t="n"/>
      <c r="K8" s="1" t="n"/>
    </row>
    <row r="9">
      <c r="A9" s="19" t="inlineStr">
        <is>
          <t>Interest &amp; Other</t>
        </is>
      </c>
      <c r="B9" s="23" t="n">
        <v>-17.009</v>
      </c>
      <c r="C9" s="23" t="n">
        <v>-1.256</v>
      </c>
      <c r="D9" s="23" t="n">
        <v>-3.567</v>
      </c>
      <c r="E9" s="23" t="n">
        <v>-39.127</v>
      </c>
      <c r="F9" s="23" t="n">
        <v>2.161</v>
      </c>
      <c r="G9" s="23" t="n">
        <v>1.503</v>
      </c>
    </row>
    <row r="10">
      <c r="A10" s="2" t="inlineStr">
        <is>
          <t>Pretax</t>
        </is>
      </c>
      <c r="B10" s="23">
        <f>B8+B9</f>
        <v>-60.011</v>
      </c>
      <c r="C10" s="23">
        <f>C8+C9</f>
        <v>-174.523</v>
      </c>
      <c r="D10" s="23">
        <f>D8+D9</f>
        <v>-166.014</v>
      </c>
      <c r="E10" s="23">
        <f>E8+E9</f>
        <v>-111.566</v>
      </c>
      <c r="F10" s="23">
        <f>F8+F9</f>
        <v>-89.298</v>
      </c>
      <c r="G10" s="23">
        <f>G8+G9</f>
        <v>-108.99500000000002</v>
      </c>
      <c r="I10" s="1" t="n"/>
      <c r="J10" s="1" t="n"/>
      <c r="K10" s="1" t="n"/>
    </row>
    <row r="11">
      <c r="A11" s="2" t="inlineStr">
        <is>
          <t>Taxes</t>
        </is>
      </c>
      <c r="B11" s="23" t="n">
        <v>0</v>
      </c>
      <c r="C11" s="23" t="n">
        <v>0</v>
      </c>
      <c r="D11" s="23" t="n">
        <v>0</v>
      </c>
      <c r="E11" s="23" t="n">
        <v>0</v>
      </c>
      <c r="F11" s="23" t="n">
        <v>0</v>
      </c>
      <c r="G11" s="23" t="n">
        <v>0</v>
      </c>
    </row>
    <row r="12">
      <c r="A12" s="2" t="inlineStr">
        <is>
          <t>Net Income</t>
        </is>
      </c>
      <c r="B12" s="23" t="n">
        <v>-60.011</v>
      </c>
      <c r="C12" s="23" t="n">
        <v>-174.523</v>
      </c>
      <c r="D12" s="23" t="n">
        <v>-166.014</v>
      </c>
      <c r="E12" s="23" t="n">
        <v>-111.566</v>
      </c>
      <c r="F12" s="23" t="n">
        <v>-89.298</v>
      </c>
      <c r="G12" s="23" t="n">
        <v>-108.995</v>
      </c>
      <c r="I12" s="1" t="n"/>
      <c r="J12" s="1" t="n"/>
      <c r="K12" s="1" t="n"/>
    </row>
    <row r="13">
      <c r="A13" s="2" t="inlineStr">
        <is>
          <t>Earnings per Share</t>
        </is>
      </c>
      <c r="B13" s="11">
        <f>IFERROR(B12/B14,0)</f>
        <v>-3.396977244424318</v>
      </c>
      <c r="C13" s="11">
        <f>IFERROR(C12/C14,0)</f>
        <v>-4.635281931422804</v>
      </c>
      <c r="D13" s="11">
        <f>IFERROR(D12/D14,0)</f>
        <v>-3.7771659992719333</v>
      </c>
      <c r="E13" s="11">
        <f>IFERROR(E12/E14,0)</f>
        <v>-0.9607736757347939</v>
      </c>
      <c r="F13" s="11">
        <f>IFERROR(F12/F14,0)</f>
        <v>-0.3570006476528581</v>
      </c>
      <c r="G13" s="11">
        <f>IFERROR(G12/G14,0)</f>
        <v>-0.34091619957962166</v>
      </c>
    </row>
    <row r="14">
      <c r="A14" s="2" t="inlineStr">
        <is>
          <t>Shares</t>
        </is>
      </c>
      <c r="B14" s="23" t="n">
        <v>17.666</v>
      </c>
      <c r="C14" s="23" t="n">
        <v>37.651</v>
      </c>
      <c r="D14" s="23" t="n">
        <v>43.952</v>
      </c>
      <c r="E14" s="23" t="n">
        <v>116.121</v>
      </c>
      <c r="F14" s="23" t="n">
        <v>250.134</v>
      </c>
      <c r="G14" s="23" t="n">
        <v>319.712</v>
      </c>
    </row>
    <row r="15"/>
    <row r="16" customFormat="1" s="4">
      <c r="A16" s="3" t="inlineStr">
        <is>
          <t>Revenue Change</t>
        </is>
      </c>
      <c r="C16" s="15">
        <f>IFERROR(C2/B2-1,"")</f>
        <v/>
      </c>
      <c r="D16" s="15">
        <f>IFERROR(D2/C2-1,"")</f>
        <v/>
      </c>
      <c r="E16" s="15">
        <f>IFERROR(E2/D2-1,"")</f>
        <v>5.1754596322941655</v>
      </c>
      <c r="F16" s="15">
        <f>IFERROR(F2/E2-1,"")</f>
        <v>-0.4606821564947252</v>
      </c>
      <c r="G16" s="15">
        <f>IFERROR(G2/F2-1,"")</f>
        <v>0.17280691227649103</v>
      </c>
      <c r="H16" s="4" t="n"/>
      <c r="I16" s="4" t="n"/>
      <c r="J16" s="4" t="n"/>
      <c r="K16" s="4" t="n"/>
    </row>
    <row r="17" customFormat="1" s="4">
      <c r="A17" s="3" t="inlineStr">
        <is>
          <t>Gross Margin</t>
        </is>
      </c>
      <c r="B17" s="15">
        <f>IFERROR(B4/B2,"")</f>
        <v/>
      </c>
      <c r="C17" s="15">
        <f>IFERROR(C4/C2,"")</f>
        <v/>
      </c>
      <c r="D17" s="15">
        <f>IFERROR(D4/D2,"")</f>
        <v>1.0</v>
      </c>
      <c r="E17" s="15">
        <f>IFERROR(E4/E2,"")</f>
        <v>1.0</v>
      </c>
      <c r="F17" s="15">
        <f>IFERROR(F4/F2,"")</f>
        <v>1.0</v>
      </c>
      <c r="G17" s="15">
        <f>IFERROR(G4/G2,"")</f>
        <v>1.0</v>
      </c>
      <c r="H17" s="4" t="n"/>
      <c r="I17" s="4" t="n"/>
      <c r="J17" s="4" t="n"/>
      <c r="K17" s="4" t="n"/>
    </row>
    <row r="18">
      <c r="A18" s="14" t="inlineStr">
        <is>
          <t>Operating Margin</t>
        </is>
      </c>
      <c r="B18" s="15">
        <f>IFERROR(B8/B2,"")</f>
        <v/>
      </c>
      <c r="C18" s="15">
        <f>IFERROR(C8/C2,"")</f>
        <v/>
      </c>
      <c r="D18" s="15">
        <f>IFERROR(D8/D2,"")</f>
        <v>-64.92685851318946</v>
      </c>
      <c r="E18" s="15">
        <f>IFERROR(E8/E2,"")</f>
        <v>-4.688304964079994</v>
      </c>
      <c r="F18" s="15">
        <f>IFERROR(F8/F2,"")</f>
        <v>-10.97551902076083</v>
      </c>
      <c r="G18" s="15">
        <f>IFERROR(G8/G2,"")</f>
        <v>-11.306456564002866</v>
      </c>
    </row>
    <row r="19">
      <c r="A19" s="14" t="inlineStr">
        <is>
          <t>Actual / Estimate</t>
        </is>
      </c>
      <c r="B19" s="20" t="inlineStr">
        <is>
          <t>A</t>
        </is>
      </c>
      <c r="C19" s="20" t="inlineStr">
        <is>
          <t>A</t>
        </is>
      </c>
      <c r="D19" s="20" t="inlineStr">
        <is>
          <t>A</t>
        </is>
      </c>
      <c r="E19" s="20" t="inlineStr">
        <is>
          <t>A</t>
        </is>
      </c>
      <c r="F19" s="20" t="inlineStr">
        <is>
          <t>A</t>
        </is>
      </c>
      <c r="G19" s="20" t="inlineStr">
        <is>
          <t>A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6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selection activeCell="A1" sqref="A1"/>
    </sheetView>
  </sheetViews>
  <sheetFormatPr baseColWidth="8" defaultRowHeight="15"/>
  <cols>
    <col width="46" customWidth="1" style="9" min="1" max="1"/>
    <col width="13" customWidth="1" style="9" min="2" max="2"/>
    <col width="13" customWidth="1" style="9" min="3" max="3"/>
    <col width="13" customWidth="1" style="9" min="4" max="4"/>
    <col width="13" customWidth="1" style="9" min="5" max="5"/>
    <col width="13" customWidth="1" style="9" min="6" max="6"/>
    <col width="13" customWidth="1" style="9" min="7" max="7"/>
  </cols>
  <sheetData>
    <row r="1">
      <c r="A1" s="24" t="inlineStr">
        <is>
          <t>Taysha Gene Therapies, Inc.: pipeline rNPV assumptions</t>
        </is>
      </c>
    </row>
    <row r="2">
      <c r="A2" s="25" t="inlineStr">
        <is>
          <t>Blue = input, black = formula, green = link. $mm unless noted.</t>
        </is>
      </c>
    </row>
    <row r="4">
      <c r="A4" s="24" t="inlineStr">
        <is>
          <t>Scenario (1 Bear, 2 Base, 3 Bull)</t>
        </is>
      </c>
      <c r="B4" s="26" t="n">
        <v>2</v>
      </c>
      <c r="C4" s="24" t="str">
        <f>CHOOSE($B$4,"Bear","Base","Bull")</f>
        <v>Base</v>
      </c>
    </row>
    <row r="6">
      <c r="A6" s="14" t="inlineStr">
        <is>
          <t>Discount rate override (blank = scenario)</t>
        </is>
      </c>
      <c r="B6" s="27" t="n"/>
    </row>
    <row r="7">
      <c r="A7" s="14" t="inlineStr">
        <is>
          <t>Approval-odds multiplier override</t>
        </is>
      </c>
      <c r="B7" s="28" t="n"/>
    </row>
    <row r="8">
      <c r="A8" s="14" t="inlineStr">
        <is>
          <t>Peak-sales multiplier override</t>
        </is>
      </c>
      <c r="B8" s="28" t="n"/>
    </row>
    <row r="9">
      <c r="A9" s="29" t="inlineStr">
        <is>
          <t>Parameter</t>
        </is>
      </c>
      <c r="B9" s="30" t="inlineStr">
        <is>
          <t>Bear</t>
        </is>
      </c>
      <c r="C9" s="30" t="inlineStr">
        <is>
          <t>Base</t>
        </is>
      </c>
      <c r="D9" s="30" t="inlineStr">
        <is>
          <t>Bull</t>
        </is>
      </c>
      <c r="E9" s="30" t="inlineStr">
        <is>
          <t>Live</t>
        </is>
      </c>
    </row>
    <row r="10">
      <c r="A10" s="14" t="inlineStr">
        <is>
          <t>Discount rate</t>
        </is>
      </c>
      <c r="B10" s="27" t="n">
        <v>0.14</v>
      </c>
      <c r="C10" s="27" t="n">
        <v>0.12</v>
      </c>
      <c r="D10" s="27" t="n">
        <v>0.1</v>
      </c>
      <c r="E10" s="31">
        <f>IF(ISNUMBER($B$6),$B$6,CHOOSE($B$4,B10,C10,D10))</f>
        <v>0.12</v>
      </c>
    </row>
    <row r="11">
      <c r="A11" s="14" t="inlineStr">
        <is>
          <t>Peak-sales multiplier (× indication table)</t>
        </is>
      </c>
      <c r="B11" s="28" t="n">
        <v>0.6</v>
      </c>
      <c r="C11" s="28" t="n">
        <v>1</v>
      </c>
      <c r="D11" s="28" t="n">
        <v>1.4</v>
      </c>
      <c r="E11" s="32">
        <f>IF(ISNUMBER($B$8),$B$8,CHOOSE($B$4,B11,C11,D11))</f>
        <v>1</v>
      </c>
    </row>
    <row r="12">
      <c r="A12" s="14" t="inlineStr">
        <is>
          <t>Approval-odds multiplier (× BIO rates)</t>
        </is>
      </c>
      <c r="B12" s="28" t="n">
        <v>0.8</v>
      </c>
      <c r="C12" s="28" t="n">
        <v>1</v>
      </c>
      <c r="D12" s="28" t="n">
        <v>1.15</v>
      </c>
      <c r="E12" s="32">
        <f>IF(ISNUMBER($B$7),$B$7,CHOOSE($B$4,B12,C12,D12))</f>
        <v>1</v>
      </c>
    </row>
    <row r="13">
      <c r="A13" s="14" t="inlineStr">
        <is>
          <t>Net margin on owned product sales at peak</t>
        </is>
      </c>
      <c r="B13" s="33" t="n">
        <v>0.4</v>
      </c>
      <c r="C13" s="33" t="n">
        <v>0.4</v>
      </c>
      <c r="D13" s="33" t="n">
        <v>0.4</v>
      </c>
      <c r="E13" s="34">
        <f>CHOOSE($B$4,B13,C13,D13)</f>
        <v>0.4</v>
      </c>
    </row>
    <row r="14">
      <c r="A14" s="14" t="inlineStr">
        <is>
          <t>Royalty / economics on partnered sales</t>
        </is>
      </c>
      <c r="B14" s="33" t="n">
        <v>0.12</v>
      </c>
      <c r="C14" s="33" t="n">
        <v>0.12</v>
      </c>
      <c r="D14" s="33" t="n">
        <v>0.12</v>
      </c>
      <c r="E14" s="34">
        <f>CHOOSE($B$4,B14,C14,D14)</f>
        <v>0.12</v>
      </c>
    </row>
    <row r="15">
      <c r="A15" s="14" t="inlineStr">
        <is>
          <t>Tax rate</t>
        </is>
      </c>
      <c r="B15" s="33" t="n">
        <v>0.21</v>
      </c>
      <c r="C15" s="33" t="n">
        <v>0.21</v>
      </c>
      <c r="D15" s="33" t="n">
        <v>0.21</v>
      </c>
      <c r="E15" s="34">
        <f>CHOOSE($B$4,B15,C15,D15)</f>
        <v>0.21</v>
      </c>
    </row>
    <row r="16">
      <c r="A16" s="14" t="inlineStr">
        <is>
          <t>Probability at least one owned program is approved</t>
        </is>
      </c>
      <c r="B16" s="35">
        <f>1-PRODUCT(Pipeline!AG4:AG4)</f>
        <v>0.5653</v>
      </c>
    </row>
    <row r="17">
      <c r="A17" s="36" t="inlineStr">
        <is>
          <t>Company costs and timing</t>
        </is>
      </c>
      <c r="B17" s="37" t="n"/>
      <c r="C17" s="37" t="n"/>
      <c r="D17" s="37" t="n"/>
      <c r="E17" s="37" t="n"/>
      <c r="F17" s="37" t="n"/>
      <c r="G17" s="37" t="n"/>
    </row>
    <row r="18">
      <c r="A18" s="14" t="inlineStr">
        <is>
          <t>Net operating burn, TTM (operating loss)</t>
        </is>
      </c>
      <c r="B18" s="38" t="n">
        <v>153.159</v>
      </c>
    </row>
    <row r="19">
      <c r="A19" s="14" t="inlineStr">
        <is>
          <t>Years of full burn (until the first launch, max 4)</t>
        </is>
      </c>
      <c r="B19" s="39">
        <f>MIN(4,MAX(1,MIN(Pipeline!I4:I4)-2026))</f>
        <v>3.0</v>
      </c>
    </row>
    <row r="20">
      <c r="A20" s="14" t="inlineStr">
        <is>
          <t>Burn after that, % of TTM (platform R&amp;D and G&amp;A), if a product is approved</t>
        </is>
      </c>
      <c r="B20" s="33" t="n">
        <v>0.3</v>
      </c>
    </row>
    <row r="21">
      <c r="A21" s="14" t="inlineStr">
        <is>
          <t>Tax-loss carryforward at start</t>
        </is>
      </c>
      <c r="B21" s="40" t="n">
        <v>710.4</v>
      </c>
    </row>
    <row r="22">
      <c r="A22" s="14" t="inlineStr">
        <is>
          <t>First year, fraction after the balance sheet date</t>
        </is>
      </c>
      <c r="B22" s="28" t="n">
        <v>0.5041</v>
      </c>
    </row>
    <row r="23">
      <c r="A23" s="14" t="inlineStr">
        <is>
          <t>Balance sheet date</t>
        </is>
      </c>
      <c r="B23" s="41" t="n">
        <v>46203</v>
      </c>
    </row>
    <row r="24">
      <c r="A24" s="14" t="inlineStr">
        <is>
          <t>Launch ramp, share of peak in years 1-6</t>
        </is>
      </c>
      <c r="B24" s="33" t="n">
        <v>0.1</v>
      </c>
      <c r="C24" s="33" t="n">
        <v>0.25</v>
      </c>
      <c r="D24" s="33" t="n">
        <v>0.45</v>
      </c>
      <c r="E24" s="33" t="n">
        <v>0.65</v>
      </c>
      <c r="F24" s="33" t="n">
        <v>0.85</v>
      </c>
      <c r="G24" s="33" t="n">
        <v>1</v>
      </c>
    </row>
    <row r="25">
      <c r="A25" s="14" t="inlineStr">
        <is>
          <t>Patent / exclusivity life after launch (years)</t>
        </is>
      </c>
      <c r="B25" s="26" t="n">
        <v>12</v>
      </c>
    </row>
    <row r="26">
      <c r="A26" s="14" t="inlineStr">
        <is>
          <t>Sales erosion per year after exclusivity</t>
        </is>
      </c>
      <c r="B26" s="33" t="n">
        <v>0.5</v>
      </c>
    </row>
    <row r="27">
      <c r="A27" s="36" t="inlineStr">
        <is>
          <t>Scenario summary</t>
        </is>
      </c>
    </row>
    <row r="28">
      <c r="A28" s="29" t="inlineStr">
        <is>
          <t>Scenario</t>
        </is>
      </c>
      <c r="B28" s="30" t="inlineStr">
        <is>
          <t>Pipeline rNPV (ops)</t>
        </is>
      </c>
      <c r="C28" s="30" t="inlineStr">
        <is>
          <t>Equity value</t>
        </is>
      </c>
      <c r="D28" s="30" t="inlineStr">
        <is>
          <t>rNPV / share</t>
        </is>
      </c>
      <c r="E28" s="30" t="inlineStr">
        <is>
          <t>Upside</t>
        </is>
      </c>
    </row>
    <row r="29">
      <c r="A29" s="25" t="inlineStr">
        <is>
          <t>Live</t>
        </is>
      </c>
      <c r="B29" s="42">
        <f>NPV!B22</f>
        <v>5.423941709052924</v>
      </c>
      <c r="C29" s="42">
        <f>NPV!B25</f>
        <v>411.57094170905293</v>
      </c>
      <c r="D29" s="43">
        <f>NPV!B27</f>
        <v>1.2631325043867196</v>
      </c>
      <c r="E29" s="44">
        <f>NPV!B29</f>
        <v>-0.6926684904168565</v>
      </c>
    </row>
    <row r="30">
      <c r="A30" s="45" t="n">
        <v>1</v>
      </c>
      <c r="B30" s="46">
        <f t="dataTable" ref="B30:E32" r1="B4"/>
        <v>-230.45863090320665</v>
      </c>
      <c r="C30" s="46">
        <v>175.68836909679334</v>
      </c>
      <c r="D30" s="47">
        <v>0.5391966904352753</v>
      </c>
      <c r="E30" s="48">
        <v>-0.8688085911349696</v>
      </c>
    </row>
    <row r="31">
      <c r="A31" s="45" t="n">
        <v>2</v>
      </c>
      <c r="B31" s="46">
        <v>5.423941709052924</v>
      </c>
      <c r="C31" s="46">
        <v>411.57094170905293</v>
      </c>
      <c r="D31" s="47">
        <v>1.2631325043867196</v>
      </c>
      <c r="E31" s="48">
        <v>-0.6926684904168565</v>
      </c>
    </row>
    <row r="32">
      <c r="A32" s="45" t="n">
        <v>3</v>
      </c>
      <c r="B32" s="46">
        <v>346.0363740346628</v>
      </c>
      <c r="C32" s="46">
        <v>752.1833740346628</v>
      </c>
      <c r="D32" s="47">
        <v>2.3084896738752385</v>
      </c>
      <c r="E32" s="48">
        <v>-0.4383236803223265</v>
      </c>
    </row>
    <row r="35">
      <c r="A35" s="36" t="inlineStr">
        <is>
          <t>rNPV / share: approval-odds multiplier (rows) x peak-sales multiplier (columns)</t>
        </is>
      </c>
    </row>
    <row r="36">
      <c r="A36" s="43">
        <f>NPV!B27</f>
        <v>1.2631325043867196</v>
      </c>
      <c r="B36" s="49" t="n">
        <v>0.5</v>
      </c>
      <c r="C36" s="49" t="n">
        <v>0.75</v>
      </c>
      <c r="D36" s="49" t="n">
        <v>1</v>
      </c>
      <c r="E36" s="49" t="n">
        <v>1.5</v>
      </c>
      <c r="F36" s="49" t="n">
        <v>2</v>
      </c>
    </row>
    <row r="37">
      <c r="A37" s="50" t="n">
        <v>0.6</v>
      </c>
      <c r="B37" s="47">
        <f t="dataTable" ref="B37:F41" dt2D="1" r1="B8" r2="B7"/>
        <v>0.3987810983492574</v>
      </c>
      <c r="C37" s="47">
        <v>0.6227624721723733</v>
      </c>
      <c r="D37" s="47">
        <v>0.8467438459954887</v>
      </c>
      <c r="E37" s="47">
        <v>1.2947065936417197</v>
      </c>
      <c r="F37" s="47">
        <v>1.6947894708207358</v>
      </c>
    </row>
    <row r="38">
      <c r="A38" s="50" t="n">
        <v>0.8</v>
      </c>
      <c r="B38" s="47">
        <v>0.45765451166279625</v>
      </c>
      <c r="C38" s="47">
        <v>0.7562963434269503</v>
      </c>
      <c r="D38" s="47">
        <v>1.0549381751911042</v>
      </c>
      <c r="E38" s="47">
        <v>1.6147610902211011</v>
      </c>
      <c r="F38" s="47">
        <v>2.124215524843806</v>
      </c>
    </row>
    <row r="39">
      <c r="A39" s="50" t="n">
        <v>1</v>
      </c>
      <c r="B39" s="47">
        <v>0.5165279249763346</v>
      </c>
      <c r="C39" s="47">
        <v>0.8898302146815273</v>
      </c>
      <c r="D39" s="47">
        <v>1.2631325043867196</v>
      </c>
      <c r="E39" s="47">
        <v>1.9196731447193365</v>
      </c>
      <c r="F39" s="47">
        <v>2.544222633766467</v>
      </c>
    </row>
    <row r="40">
      <c r="A40" s="50" t="n">
        <v>1.2</v>
      </c>
      <c r="B40" s="47">
        <v>0.575401338289873</v>
      </c>
      <c r="C40" s="47">
        <v>1.0233640859361042</v>
      </c>
      <c r="D40" s="47">
        <v>1.4531688898838424</v>
      </c>
      <c r="E40" s="47">
        <v>2.2187391428571046</v>
      </c>
      <c r="F40" s="47">
        <v>2.9598043017662268</v>
      </c>
    </row>
    <row r="41">
      <c r="A41" s="50" t="n">
        <v>1.4</v>
      </c>
      <c r="B41" s="47">
        <v>0.6342747516034117</v>
      </c>
      <c r="C41" s="47">
        <v>1.1568979571906812</v>
      </c>
      <c r="D41" s="47">
        <v>1.633021677019482</v>
      </c>
      <c r="E41" s="47">
        <v>2.514299157655289</v>
      </c>
      <c r="F41" s="47">
        <v>3.3707833975892396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G6"/>
  <sheetViews>
    <sheetView workbookViewId="0">
      <selection activeCell="A1" sqref="A1"/>
    </sheetView>
  </sheetViews>
  <sheetFormatPr baseColWidth="8" defaultRowHeight="15"/>
  <cols>
    <col width="4" customWidth="1" style="9" min="1" max="1"/>
    <col width="34" customWidth="1" style="9" min="2" max="2"/>
    <col width="28" customWidth="1" style="9" min="3" max="3"/>
    <col width="15" customWidth="1" style="9" min="4" max="4"/>
    <col width="18" customWidth="1" style="9" min="5" max="5"/>
    <col width="12" customWidth="1" style="9" min="6" max="6"/>
    <col width="10" customWidth="1" style="9" min="7" max="7"/>
    <col width="9" customWidth="1" style="9" min="8" max="8"/>
    <col width="8" customWidth="1" style="9" min="9" max="9"/>
    <col width="8" customWidth="1" style="9" min="10" max="10"/>
    <col width="10" customWidth="1" style="9" min="11" max="11"/>
    <col width="11" customWidth="1" style="9" min="12" max="12"/>
    <col width="9" customWidth="1" style="9" min="13" max="13"/>
    <col width="9" customWidth="1" style="9" min="14" max="14"/>
    <col width="9" customWidth="1" style="9" min="15" max="15"/>
    <col width="9" customWidth="1" style="9" min="16" max="16"/>
    <col width="9" customWidth="1" style="9" min="17" max="17"/>
    <col width="9" customWidth="1" style="9" min="18" max="18"/>
    <col width="9" customWidth="1" style="9" min="19" max="19"/>
    <col width="9" customWidth="1" style="9" min="20" max="20"/>
    <col width="9" customWidth="1" style="9" min="21" max="21"/>
    <col width="9" customWidth="1" style="9" min="22" max="22"/>
    <col width="9" customWidth="1" style="9" min="23" max="23"/>
    <col width="9" customWidth="1" style="9" min="24" max="24"/>
    <col width="9" customWidth="1" style="9" min="25" max="25"/>
    <col width="9" customWidth="1" style="9" min="26" max="26"/>
    <col width="9" customWidth="1" style="9" min="27" max="27"/>
    <col width="9" customWidth="1" style="9" min="28" max="28"/>
    <col width="9" customWidth="1" style="9" min="29" max="29"/>
    <col width="9" customWidth="1" style="9" min="30" max="30"/>
    <col width="9" customWidth="1" style="9" min="31" max="31"/>
    <col width="9" customWidth="1" style="9" min="32" max="32"/>
    <col width="13" customWidth="1" style="9" min="33" max="33"/>
  </cols>
  <sheetData>
    <row r="1">
      <c r="A1" s="24" t="inlineStr">
        <is>
          <t>Taysha Gene Therapies, Inc.: pipeline (risked revenue, $mm)</t>
        </is>
      </c>
    </row>
    <row r="2">
      <c r="A2" s="25" t="inlineStr">
        <is>
          <t>Programs from ClinicalTrials.gov (company as lead sponsor, or partner of an industry sponsor), one row per indication; approval odds from BIO 2011-2020 phase-transition rates.</t>
        </is>
      </c>
    </row>
    <row r="3">
      <c r="A3" s="29" t="inlineStr">
        <is>
          <t>No.</t>
        </is>
      </c>
      <c r="B3" s="51" t="inlineStr">
        <is>
          <t>Program (indication)</t>
        </is>
      </c>
      <c r="C3" s="51" t="inlineStr">
        <is>
          <t>Drug(s)</t>
        </is>
      </c>
      <c r="D3" s="51" t="inlineStr">
        <is>
          <t>Stage</t>
        </is>
      </c>
      <c r="E3" s="51" t="inlineStr">
        <is>
          <t>Area / rate class</t>
        </is>
      </c>
      <c r="F3" s="51" t="inlineStr">
        <is>
          <t>Economics</t>
        </is>
      </c>
      <c r="G3" s="51" t="inlineStr">
        <is>
          <t>Peak</t>
        </is>
      </c>
      <c r="H3" s="51" t="inlineStr">
        <is>
          <t>PoS</t>
        </is>
      </c>
      <c r="I3" s="51" t="inlineStr">
        <is>
          <t>Launch</t>
        </is>
      </c>
      <c r="J3" s="51" t="inlineStr">
        <is>
          <t>LOE</t>
        </is>
      </c>
      <c r="K3" s="51" t="inlineStr">
        <is>
          <t>Share</t>
        </is>
      </c>
      <c r="L3" s="51" t="inlineStr">
        <is>
          <t>Risked PV</t>
        </is>
      </c>
      <c r="M3" s="52" t="n">
        <v>2026</v>
      </c>
      <c r="N3" s="52" t="n">
        <v>2027</v>
      </c>
      <c r="O3" s="52" t="n">
        <v>2028</v>
      </c>
      <c r="P3" s="52" t="n">
        <v>2029</v>
      </c>
      <c r="Q3" s="52" t="n">
        <v>2030</v>
      </c>
      <c r="R3" s="52" t="n">
        <v>2031</v>
      </c>
      <c r="S3" s="52" t="n">
        <v>2032</v>
      </c>
      <c r="T3" s="52" t="n">
        <v>2033</v>
      </c>
      <c r="U3" s="52" t="n">
        <v>2034</v>
      </c>
      <c r="V3" s="52" t="n">
        <v>2035</v>
      </c>
      <c r="W3" s="52" t="n">
        <v>2036</v>
      </c>
      <c r="X3" s="52" t="n">
        <v>2037</v>
      </c>
      <c r="Y3" s="52" t="n">
        <v>2038</v>
      </c>
      <c r="Z3" s="52" t="n">
        <v>2039</v>
      </c>
      <c r="AA3" s="52" t="n">
        <v>2040</v>
      </c>
      <c r="AB3" s="52" t="n">
        <v>2041</v>
      </c>
      <c r="AC3" s="52" t="n">
        <v>2042</v>
      </c>
      <c r="AD3" s="52" t="n">
        <v>2043</v>
      </c>
      <c r="AE3" s="52" t="n">
        <v>2044</v>
      </c>
      <c r="AF3" s="52" t="n">
        <v>2045</v>
      </c>
      <c r="AG3" s="29" t="inlineStr">
        <is>
          <t>1 - PoS (owned)</t>
        </is>
      </c>
    </row>
    <row r="4">
      <c r="A4" s="39" t="n">
        <v>1</v>
      </c>
      <c r="B4" s="14" t="inlineStr">
        <is>
          <t>Rare neurodevelopmental</t>
        </is>
      </c>
      <c r="C4" s="14" t="inlineStr">
        <is>
          <t>TSHA-102</t>
        </is>
      </c>
      <c r="D4" s="14" t="inlineStr">
        <is>
          <t>Phase 3</t>
        </is>
      </c>
      <c r="E4" s="14" t="inlineStr">
        <is>
          <t>Neurology / rare</t>
        </is>
      </c>
      <c r="F4" s="14" t="inlineStr">
        <is>
          <t>Owned</t>
        </is>
      </c>
      <c r="G4" s="40" t="n">
        <v>600</v>
      </c>
      <c r="H4" s="27" t="n">
        <v>0.5653</v>
      </c>
      <c r="I4" s="26" t="n">
        <v>2029</v>
      </c>
      <c r="J4" s="39">
        <f>I4+Assumptions!$B$25</f>
        <v>2041.0</v>
      </c>
      <c r="K4" s="53">
        <f>Assumptions!$E$13</f>
        <v>0.4</v>
      </c>
      <c r="L4" s="23">
        <f>K4*SUMPRODUCT(M4:AF4,NPV!$C$15:$V$15)</f>
        <v>486.5376336450396</v>
      </c>
      <c r="M4" s="23">
        <f>IF(M$3&lt;$I4,0,$G4*Assumptions!$E$11*INDEX(Assumptions!$B$24:$G$24,MIN(6,M$3-$I4+1))*IF(M$3&gt;$J4,(1-Assumptions!$B$26)^(M$3-$J4),1)*IF($H4&gt;=1,1,MIN(0.97,$H4*Assumptions!$E$12)))</f>
        <v>0</v>
      </c>
      <c r="N4" s="23">
        <f>IF(N$3&lt;$I4,0,$G4*Assumptions!$E$11*INDEX(Assumptions!$B$24:$G$24,MIN(6,N$3-$I4+1))*IF(N$3&gt;$J4,(1-Assumptions!$B$26)^(N$3-$J4),1)*IF($H4&gt;=1,1,MIN(0.97,$H4*Assumptions!$E$12)))</f>
        <v>0</v>
      </c>
      <c r="O4" s="23">
        <f>IF(O$3&lt;$I4,0,$G4*Assumptions!$E$11*INDEX(Assumptions!$B$24:$G$24,MIN(6,O$3-$I4+1))*IF(O$3&gt;$J4,(1-Assumptions!$B$26)^(O$3-$J4),1)*IF($H4&gt;=1,1,MIN(0.97,$H4*Assumptions!$E$12)))</f>
        <v>0</v>
      </c>
      <c r="P4" s="23">
        <f>IF(P$3&lt;$I4,0,$G4*Assumptions!$E$11*INDEX(Assumptions!$B$24:$G$24,MIN(6,P$3-$I4+1))*IF(P$3&gt;$J4,(1-Assumptions!$B$26)^(P$3-$J4),1)*IF($H4&gt;=1,1,MIN(0.97,$H4*Assumptions!$E$12)))</f>
        <v>33.918</v>
      </c>
      <c r="Q4" s="23">
        <f>IF(Q$3&lt;$I4,0,$G4*Assumptions!$E$11*INDEX(Assumptions!$B$24:$G$24,MIN(6,Q$3-$I4+1))*IF(Q$3&gt;$J4,(1-Assumptions!$B$26)^(Q$3-$J4),1)*IF($H4&gt;=1,1,MIN(0.97,$H4*Assumptions!$E$12)))</f>
        <v>84.795</v>
      </c>
      <c r="R4" s="23">
        <f>IF(R$3&lt;$I4,0,$G4*Assumptions!$E$11*INDEX(Assumptions!$B$24:$G$24,MIN(6,R$3-$I4+1))*IF(R$3&gt;$J4,(1-Assumptions!$B$26)^(R$3-$J4),1)*IF($H4&gt;=1,1,MIN(0.97,$H4*Assumptions!$E$12)))</f>
        <v>152.631</v>
      </c>
      <c r="S4" s="23">
        <f>IF(S$3&lt;$I4,0,$G4*Assumptions!$E$11*INDEX(Assumptions!$B$24:$G$24,MIN(6,S$3-$I4+1))*IF(S$3&gt;$J4,(1-Assumptions!$B$26)^(S$3-$J4),1)*IF($H4&gt;=1,1,MIN(0.97,$H4*Assumptions!$E$12)))</f>
        <v>220.467</v>
      </c>
      <c r="T4" s="23">
        <f>IF(T$3&lt;$I4,0,$G4*Assumptions!$E$11*INDEX(Assumptions!$B$24:$G$24,MIN(6,T$3-$I4+1))*IF(T$3&gt;$J4,(1-Assumptions!$B$26)^(T$3-$J4),1)*IF($H4&gt;=1,1,MIN(0.97,$H4*Assumptions!$E$12)))</f>
        <v>288.303</v>
      </c>
      <c r="U4" s="23">
        <f>IF(U$3&lt;$I4,0,$G4*Assumptions!$E$11*INDEX(Assumptions!$B$24:$G$24,MIN(6,U$3-$I4+1))*IF(U$3&gt;$J4,(1-Assumptions!$B$26)^(U$3-$J4),1)*IF($H4&gt;=1,1,MIN(0.97,$H4*Assumptions!$E$12)))</f>
        <v>339.18</v>
      </c>
      <c r="V4" s="23">
        <f>IF(V$3&lt;$I4,0,$G4*Assumptions!$E$11*INDEX(Assumptions!$B$24:$G$24,MIN(6,V$3-$I4+1))*IF(V$3&gt;$J4,(1-Assumptions!$B$26)^(V$3-$J4),1)*IF($H4&gt;=1,1,MIN(0.97,$H4*Assumptions!$E$12)))</f>
        <v>339.18</v>
      </c>
      <c r="W4" s="23">
        <f>IF(W$3&lt;$I4,0,$G4*Assumptions!$E$11*INDEX(Assumptions!$B$24:$G$24,MIN(6,W$3-$I4+1))*IF(W$3&gt;$J4,(1-Assumptions!$B$26)^(W$3-$J4),1)*IF($H4&gt;=1,1,MIN(0.97,$H4*Assumptions!$E$12)))</f>
        <v>339.18</v>
      </c>
      <c r="X4" s="23">
        <f>IF(X$3&lt;$I4,0,$G4*Assumptions!$E$11*INDEX(Assumptions!$B$24:$G$24,MIN(6,X$3-$I4+1))*IF(X$3&gt;$J4,(1-Assumptions!$B$26)^(X$3-$J4),1)*IF($H4&gt;=1,1,MIN(0.97,$H4*Assumptions!$E$12)))</f>
        <v>339.18</v>
      </c>
      <c r="Y4" s="23">
        <f>IF(Y$3&lt;$I4,0,$G4*Assumptions!$E$11*INDEX(Assumptions!$B$24:$G$24,MIN(6,Y$3-$I4+1))*IF(Y$3&gt;$J4,(1-Assumptions!$B$26)^(Y$3-$J4),1)*IF($H4&gt;=1,1,MIN(0.97,$H4*Assumptions!$E$12)))</f>
        <v>339.18</v>
      </c>
      <c r="Z4" s="23">
        <f>IF(Z$3&lt;$I4,0,$G4*Assumptions!$E$11*INDEX(Assumptions!$B$24:$G$24,MIN(6,Z$3-$I4+1))*IF(Z$3&gt;$J4,(1-Assumptions!$B$26)^(Z$3-$J4),1)*IF($H4&gt;=1,1,MIN(0.97,$H4*Assumptions!$E$12)))</f>
        <v>339.18</v>
      </c>
      <c r="AA4" s="23">
        <f>IF(AA$3&lt;$I4,0,$G4*Assumptions!$E$11*INDEX(Assumptions!$B$24:$G$24,MIN(6,AA$3-$I4+1))*IF(AA$3&gt;$J4,(1-Assumptions!$B$26)^(AA$3-$J4),1)*IF($H4&gt;=1,1,MIN(0.97,$H4*Assumptions!$E$12)))</f>
        <v>339.18</v>
      </c>
      <c r="AB4" s="23">
        <f>IF(AB$3&lt;$I4,0,$G4*Assumptions!$E$11*INDEX(Assumptions!$B$24:$G$24,MIN(6,AB$3-$I4+1))*IF(AB$3&gt;$J4,(1-Assumptions!$B$26)^(AB$3-$J4),1)*IF($H4&gt;=1,1,MIN(0.97,$H4*Assumptions!$E$12)))</f>
        <v>339.18</v>
      </c>
      <c r="AC4" s="23">
        <f>IF(AC$3&lt;$I4,0,$G4*Assumptions!$E$11*INDEX(Assumptions!$B$24:$G$24,MIN(6,AC$3-$I4+1))*IF(AC$3&gt;$J4,(1-Assumptions!$B$26)^(AC$3-$J4),1)*IF($H4&gt;=1,1,MIN(0.97,$H4*Assumptions!$E$12)))</f>
        <v>169.59</v>
      </c>
      <c r="AD4" s="23">
        <f>IF(AD$3&lt;$I4,0,$G4*Assumptions!$E$11*INDEX(Assumptions!$B$24:$G$24,MIN(6,AD$3-$I4+1))*IF(AD$3&gt;$J4,(1-Assumptions!$B$26)^(AD$3-$J4),1)*IF($H4&gt;=1,1,MIN(0.97,$H4*Assumptions!$E$12)))</f>
        <v>84.795</v>
      </c>
      <c r="AE4" s="23">
        <f>IF(AE$3&lt;$I4,0,$G4*Assumptions!$E$11*INDEX(Assumptions!$B$24:$G$24,MIN(6,AE$3-$I4+1))*IF(AE$3&gt;$J4,(1-Assumptions!$B$26)^(AE$3-$J4),1)*IF($H4&gt;=1,1,MIN(0.97,$H4*Assumptions!$E$12)))</f>
        <v>42.3975</v>
      </c>
      <c r="AF4" s="23">
        <f>IF(AF$3&lt;$I4,0,$G4*Assumptions!$E$11*INDEX(Assumptions!$B$24:$G$24,MIN(6,AF$3-$I4+1))*IF(AF$3&gt;$J4,(1-Assumptions!$B$26)^(AF$3-$J4),1)*IF($H4&gt;=1,1,MIN(0.97,$H4*Assumptions!$E$12)))</f>
        <v>21.19875</v>
      </c>
      <c r="AG4" s="35">
        <f>IF(F4="Owned",1-IF(H4&gt;=1,1,MIN(0.97,H4*Assumptions!$E$12)),1)</f>
        <v>0.4347</v>
      </c>
    </row>
    <row r="5">
      <c r="B5" s="24" t="inlineStr">
        <is>
          <t>Risked revenue</t>
        </is>
      </c>
      <c r="L5" s="54">
        <f>SUM(L4:L4)</f>
        <v>486.5376336450396</v>
      </c>
      <c r="M5" s="54">
        <f>SUM(M4:M4)</f>
        <v>0.0</v>
      </c>
      <c r="N5" s="54">
        <f>SUM(N4:N4)</f>
        <v>0.0</v>
      </c>
      <c r="O5" s="54">
        <f>SUM(O4:O4)</f>
        <v>0.0</v>
      </c>
      <c r="P5" s="54">
        <f>SUM(P4:P4)</f>
        <v>33.918</v>
      </c>
      <c r="Q5" s="54">
        <f>SUM(Q4:Q4)</f>
        <v>84.795</v>
      </c>
      <c r="R5" s="54">
        <f>SUM(R4:R4)</f>
        <v>152.631</v>
      </c>
      <c r="S5" s="54">
        <f>SUM(S4:S4)</f>
        <v>220.467</v>
      </c>
      <c r="T5" s="54">
        <f>SUM(T4:T4)</f>
        <v>288.303</v>
      </c>
      <c r="U5" s="54">
        <f>SUM(U4:U4)</f>
        <v>339.18</v>
      </c>
      <c r="V5" s="54">
        <f>SUM(V4:V4)</f>
        <v>339.18</v>
      </c>
      <c r="W5" s="54">
        <f>SUM(W4:W4)</f>
        <v>339.18</v>
      </c>
      <c r="X5" s="54">
        <f>SUM(X4:X4)</f>
        <v>339.18</v>
      </c>
      <c r="Y5" s="54">
        <f>SUM(Y4:Y4)</f>
        <v>339.18</v>
      </c>
      <c r="Z5" s="54">
        <f>SUM(Z4:Z4)</f>
        <v>339.18</v>
      </c>
      <c r="AA5" s="54">
        <f>SUM(AA4:AA4)</f>
        <v>339.18</v>
      </c>
      <c r="AB5" s="54">
        <f>SUM(AB4:AB4)</f>
        <v>339.18</v>
      </c>
      <c r="AC5" s="54">
        <f>SUM(AC4:AC4)</f>
        <v>169.59</v>
      </c>
      <c r="AD5" s="54">
        <f>SUM(AD4:AD4)</f>
        <v>84.795</v>
      </c>
      <c r="AE5" s="54">
        <f>SUM(AE4:AE4)</f>
        <v>42.3975</v>
      </c>
      <c r="AF5" s="54">
        <f>SUM(AF4:AF4)</f>
        <v>21.19875</v>
      </c>
    </row>
    <row r="6">
      <c r="B6" s="24" t="inlineStr">
        <is>
          <t>Risked contribution (revenue x share)</t>
        </is>
      </c>
      <c r="M6" s="55">
        <f>SUMPRODUCT(M4:M4,$K$4:$K$4)</f>
        <v>0.0</v>
      </c>
      <c r="N6" s="55">
        <f>SUMPRODUCT(N4:N4,$K$4:$K$4)</f>
        <v>0.0</v>
      </c>
      <c r="O6" s="55">
        <f>SUMPRODUCT(O4:O4,$K$4:$K$4)</f>
        <v>0.0</v>
      </c>
      <c r="P6" s="55">
        <f>SUMPRODUCT(P4:P4,$K$4:$K$4)</f>
        <v>13.5672</v>
      </c>
      <c r="Q6" s="55">
        <f>SUMPRODUCT(Q4:Q4,$K$4:$K$4)</f>
        <v>33.918</v>
      </c>
      <c r="R6" s="55">
        <f>SUMPRODUCT(R4:R4,$K$4:$K$4)</f>
        <v>61.052400000000006</v>
      </c>
      <c r="S6" s="55">
        <f>SUMPRODUCT(S4:S4,$K$4:$K$4)</f>
        <v>88.1868</v>
      </c>
      <c r="T6" s="55">
        <f>SUMPRODUCT(T4:T4,$K$4:$K$4)</f>
        <v>115.3212</v>
      </c>
      <c r="U6" s="55">
        <f>SUMPRODUCT(U4:U4,$K$4:$K$4)</f>
        <v>135.672</v>
      </c>
      <c r="V6" s="55">
        <f>SUMPRODUCT(V4:V4,$K$4:$K$4)</f>
        <v>135.672</v>
      </c>
      <c r="W6" s="55">
        <f>SUMPRODUCT(W4:W4,$K$4:$K$4)</f>
        <v>135.672</v>
      </c>
      <c r="X6" s="55">
        <f>SUMPRODUCT(X4:X4,$K$4:$K$4)</f>
        <v>135.672</v>
      </c>
      <c r="Y6" s="55">
        <f>SUMPRODUCT(Y4:Y4,$K$4:$K$4)</f>
        <v>135.672</v>
      </c>
      <c r="Z6" s="55">
        <f>SUMPRODUCT(Z4:Z4,$K$4:$K$4)</f>
        <v>135.672</v>
      </c>
      <c r="AA6" s="55">
        <f>SUMPRODUCT(AA4:AA4,$K$4:$K$4)</f>
        <v>135.672</v>
      </c>
      <c r="AB6" s="55">
        <f>SUMPRODUCT(AB4:AB4,$K$4:$K$4)</f>
        <v>135.672</v>
      </c>
      <c r="AC6" s="55">
        <f>SUMPRODUCT(AC4:AC4,$K$4:$K$4)</f>
        <v>67.836</v>
      </c>
      <c r="AD6" s="55">
        <f>SUMPRODUCT(AD4:AD4,$K$4:$K$4)</f>
        <v>33.918</v>
      </c>
      <c r="AE6" s="55">
        <f>SUMPRODUCT(AE4:AE4,$K$4:$K$4)</f>
        <v>16.959</v>
      </c>
      <c r="AF6" s="55">
        <f>SUMPRODUCT(AF4:AF4,$K$4:$K$4)</f>
        <v>8.4795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cols>
    <col width="40" customWidth="1" style="9" min="1" max="1"/>
    <col width="13" customWidth="1" style="9" min="2" max="2"/>
    <col width="9" customWidth="1" style="9" min="3" max="3"/>
    <col width="9" customWidth="1" style="9" min="4" max="4"/>
    <col width="9" customWidth="1" style="9" min="5" max="5"/>
    <col width="9" customWidth="1" style="9" min="6" max="6"/>
    <col width="9" customWidth="1" style="9" min="7" max="7"/>
    <col width="9" customWidth="1" style="9" min="8" max="8"/>
    <col width="9" customWidth="1" style="9" min="9" max="9"/>
    <col width="9" customWidth="1" style="9" min="10" max="10"/>
    <col width="9" customWidth="1" style="9" min="11" max="11"/>
    <col width="9" customWidth="1" style="9" min="12" max="12"/>
    <col width="9" customWidth="1" style="9" min="13" max="13"/>
    <col width="9" customWidth="1" style="9" min="14" max="14"/>
    <col width="9" customWidth="1" style="9" min="15" max="15"/>
    <col width="9" customWidth="1" style="9" min="16" max="16"/>
    <col width="9" customWidth="1" style="9" min="17" max="17"/>
    <col width="9" customWidth="1" style="9" min="18" max="18"/>
    <col width="9" customWidth="1" style="9" min="19" max="19"/>
    <col width="9" customWidth="1" style="9" min="20" max="20"/>
    <col width="9" customWidth="1" style="9" min="21" max="21"/>
    <col width="9" customWidth="1" style="9" min="22" max="22"/>
  </cols>
  <sheetData>
    <row r="1">
      <c r="A1" s="24" t="inlineStr">
        <is>
          <t>Taysha Gene Therapies, Inc.: risk-adjusted NPV ($mm)</t>
        </is>
      </c>
    </row>
    <row r="3">
      <c r="A3" s="24" t="inlineStr">
        <is>
          <t>Year</t>
        </is>
      </c>
      <c r="C3" s="56" t="n">
        <v>2026</v>
      </c>
      <c r="D3" s="56" t="n">
        <v>2027</v>
      </c>
      <c r="E3" s="56" t="n">
        <v>2028</v>
      </c>
      <c r="F3" s="56" t="n">
        <v>2029</v>
      </c>
      <c r="G3" s="56" t="n">
        <v>2030</v>
      </c>
      <c r="H3" s="56" t="n">
        <v>2031</v>
      </c>
      <c r="I3" s="56" t="n">
        <v>2032</v>
      </c>
      <c r="J3" s="56" t="n">
        <v>2033</v>
      </c>
      <c r="K3" s="56" t="n">
        <v>2034</v>
      </c>
      <c r="L3" s="56" t="n">
        <v>2035</v>
      </c>
      <c r="M3" s="56" t="n">
        <v>2036</v>
      </c>
      <c r="N3" s="56" t="n">
        <v>2037</v>
      </c>
      <c r="O3" s="56" t="n">
        <v>2038</v>
      </c>
      <c r="P3" s="56" t="n">
        <v>2039</v>
      </c>
      <c r="Q3" s="56" t="n">
        <v>2040</v>
      </c>
      <c r="R3" s="56" t="n">
        <v>2041</v>
      </c>
      <c r="S3" s="56" t="n">
        <v>2042</v>
      </c>
      <c r="T3" s="56" t="n">
        <v>2043</v>
      </c>
      <c r="U3" s="56" t="n">
        <v>2044</v>
      </c>
      <c r="V3" s="56" t="n">
        <v>2045</v>
      </c>
    </row>
    <row r="4">
      <c r="A4" s="14" t="inlineStr">
        <is>
          <t>Risked pipeline revenue</t>
        </is>
      </c>
      <c r="C4" s="57">
        <f>Pipeline!M5</f>
        <v>0.0</v>
      </c>
      <c r="D4" s="57">
        <f>Pipeline!N5</f>
        <v>0.0</v>
      </c>
      <c r="E4" s="57">
        <f>Pipeline!O5</f>
        <v>0.0</v>
      </c>
      <c r="F4" s="57">
        <f>Pipeline!P5</f>
        <v>33.918</v>
      </c>
      <c r="G4" s="57">
        <f>Pipeline!Q5</f>
        <v>84.795</v>
      </c>
      <c r="H4" s="57">
        <f>Pipeline!R5</f>
        <v>152.631</v>
      </c>
      <c r="I4" s="57">
        <f>Pipeline!S5</f>
        <v>220.467</v>
      </c>
      <c r="J4" s="57">
        <f>Pipeline!T5</f>
        <v>288.303</v>
      </c>
      <c r="K4" s="57">
        <f>Pipeline!U5</f>
        <v>339.18</v>
      </c>
      <c r="L4" s="57">
        <f>Pipeline!V5</f>
        <v>339.18</v>
      </c>
      <c r="M4" s="57">
        <f>Pipeline!W5</f>
        <v>339.18</v>
      </c>
      <c r="N4" s="57">
        <f>Pipeline!X5</f>
        <v>339.18</v>
      </c>
      <c r="O4" s="57">
        <f>Pipeline!Y5</f>
        <v>339.18</v>
      </c>
      <c r="P4" s="57">
        <f>Pipeline!Z5</f>
        <v>339.18</v>
      </c>
      <c r="Q4" s="57">
        <f>Pipeline!AA5</f>
        <v>339.18</v>
      </c>
      <c r="R4" s="57">
        <f>Pipeline!AB5</f>
        <v>339.18</v>
      </c>
      <c r="S4" s="57">
        <f>Pipeline!AC5</f>
        <v>169.59</v>
      </c>
      <c r="T4" s="57">
        <f>Pipeline!AD5</f>
        <v>84.795</v>
      </c>
      <c r="U4" s="57">
        <f>Pipeline!AE5</f>
        <v>42.3975</v>
      </c>
      <c r="V4" s="57">
        <f>Pipeline!AF5</f>
        <v>21.19875</v>
      </c>
    </row>
    <row r="5">
      <c r="A5" s="14" t="inlineStr">
        <is>
          <t>Risked contribution</t>
        </is>
      </c>
      <c r="C5" s="57">
        <f>Pipeline!M6</f>
        <v>0.0</v>
      </c>
      <c r="D5" s="57">
        <f>Pipeline!N6</f>
        <v>0.0</v>
      </c>
      <c r="E5" s="57">
        <f>Pipeline!O6</f>
        <v>0.0</v>
      </c>
      <c r="F5" s="57">
        <f>Pipeline!P6</f>
        <v>13.5672</v>
      </c>
      <c r="G5" s="57">
        <f>Pipeline!Q6</f>
        <v>33.918</v>
      </c>
      <c r="H5" s="57">
        <f>Pipeline!R6</f>
        <v>61.052400000000006</v>
      </c>
      <c r="I5" s="57">
        <f>Pipeline!S6</f>
        <v>88.1868</v>
      </c>
      <c r="J5" s="57">
        <f>Pipeline!T6</f>
        <v>115.3212</v>
      </c>
      <c r="K5" s="57">
        <f>Pipeline!U6</f>
        <v>135.672</v>
      </c>
      <c r="L5" s="57">
        <f>Pipeline!V6</f>
        <v>135.672</v>
      </c>
      <c r="M5" s="57">
        <f>Pipeline!W6</f>
        <v>135.672</v>
      </c>
      <c r="N5" s="57">
        <f>Pipeline!X6</f>
        <v>135.672</v>
      </c>
      <c r="O5" s="57">
        <f>Pipeline!Y6</f>
        <v>135.672</v>
      </c>
      <c r="P5" s="57">
        <f>Pipeline!Z6</f>
        <v>135.672</v>
      </c>
      <c r="Q5" s="57">
        <f>Pipeline!AA6</f>
        <v>135.672</v>
      </c>
      <c r="R5" s="57">
        <f>Pipeline!AB6</f>
        <v>135.672</v>
      </c>
      <c r="S5" s="57">
        <f>Pipeline!AC6</f>
        <v>67.836</v>
      </c>
      <c r="T5" s="57">
        <f>Pipeline!AD6</f>
        <v>33.918</v>
      </c>
      <c r="U5" s="57">
        <f>Pipeline!AE6</f>
        <v>16.959</v>
      </c>
      <c r="V5" s="57">
        <f>Pipeline!AF6</f>
        <v>8.4795</v>
      </c>
    </row>
    <row r="6">
      <c r="A6" s="14" t="inlineStr">
        <is>
          <t>Corporate burn</t>
        </is>
      </c>
      <c r="C6" s="23">
        <f>-IF(C3-2026&lt;Assumptions!$B$19,Assumptions!$B$18,Assumptions!$B$18*Assumptions!$B$20*Assumptions!$B$16)</f>
        <v>-153.159</v>
      </c>
      <c r="D6" s="23">
        <f>-IF(D3-2026&lt;Assumptions!$B$19,Assumptions!$B$18,Assumptions!$B$18*Assumptions!$B$20*Assumptions!$B$16)</f>
        <v>-153.159</v>
      </c>
      <c r="E6" s="23">
        <f>-IF(E3-2026&lt;Assumptions!$B$19,Assumptions!$B$18,Assumptions!$B$18*Assumptions!$B$20*Assumptions!$B$16)</f>
        <v>-153.159</v>
      </c>
      <c r="F6" s="23">
        <f>-IF(F3-2026&lt;Assumptions!$B$19,Assumptions!$B$18,Assumptions!$B$18*Assumptions!$B$20*Assumptions!$B$16)</f>
        <v>-25.97423481</v>
      </c>
      <c r="G6" s="23">
        <f>-IF(G3-2026&lt;Assumptions!$B$19,Assumptions!$B$18,Assumptions!$B$18*Assumptions!$B$20*Assumptions!$B$16)</f>
        <v>-25.97423481</v>
      </c>
      <c r="H6" s="23">
        <f>-IF(H3-2026&lt;Assumptions!$B$19,Assumptions!$B$18,Assumptions!$B$18*Assumptions!$B$20*Assumptions!$B$16)</f>
        <v>-25.97423481</v>
      </c>
      <c r="I6" s="23">
        <f>-IF(I3-2026&lt;Assumptions!$B$19,Assumptions!$B$18,Assumptions!$B$18*Assumptions!$B$20*Assumptions!$B$16)</f>
        <v>-25.97423481</v>
      </c>
      <c r="J6" s="23">
        <f>-IF(J3-2026&lt;Assumptions!$B$19,Assumptions!$B$18,Assumptions!$B$18*Assumptions!$B$20*Assumptions!$B$16)</f>
        <v>-25.97423481</v>
      </c>
      <c r="K6" s="23">
        <f>-IF(K3-2026&lt;Assumptions!$B$19,Assumptions!$B$18,Assumptions!$B$18*Assumptions!$B$20*Assumptions!$B$16)</f>
        <v>-25.97423481</v>
      </c>
      <c r="L6" s="23">
        <f>-IF(L3-2026&lt;Assumptions!$B$19,Assumptions!$B$18,Assumptions!$B$18*Assumptions!$B$20*Assumptions!$B$16)</f>
        <v>-25.97423481</v>
      </c>
      <c r="M6" s="23">
        <f>-IF(M3-2026&lt;Assumptions!$B$19,Assumptions!$B$18,Assumptions!$B$18*Assumptions!$B$20*Assumptions!$B$16)</f>
        <v>-25.97423481</v>
      </c>
      <c r="N6" s="23">
        <f>-IF(N3-2026&lt;Assumptions!$B$19,Assumptions!$B$18,Assumptions!$B$18*Assumptions!$B$20*Assumptions!$B$16)</f>
        <v>-25.97423481</v>
      </c>
      <c r="O6" s="23">
        <f>-IF(O3-2026&lt;Assumptions!$B$19,Assumptions!$B$18,Assumptions!$B$18*Assumptions!$B$20*Assumptions!$B$16)</f>
        <v>-25.97423481</v>
      </c>
      <c r="P6" s="23">
        <f>-IF(P3-2026&lt;Assumptions!$B$19,Assumptions!$B$18,Assumptions!$B$18*Assumptions!$B$20*Assumptions!$B$16)</f>
        <v>-25.97423481</v>
      </c>
      <c r="Q6" s="23">
        <f>-IF(Q3-2026&lt;Assumptions!$B$19,Assumptions!$B$18,Assumptions!$B$18*Assumptions!$B$20*Assumptions!$B$16)</f>
        <v>-25.97423481</v>
      </c>
      <c r="R6" s="23">
        <f>-IF(R3-2026&lt;Assumptions!$B$19,Assumptions!$B$18,Assumptions!$B$18*Assumptions!$B$20*Assumptions!$B$16)</f>
        <v>-25.97423481</v>
      </c>
      <c r="S6" s="23">
        <f>-IF(S3-2026&lt;Assumptions!$B$19,Assumptions!$B$18,Assumptions!$B$18*Assumptions!$B$20*Assumptions!$B$16)</f>
        <v>-25.97423481</v>
      </c>
      <c r="T6" s="23">
        <f>-IF(T3-2026&lt;Assumptions!$B$19,Assumptions!$B$18,Assumptions!$B$18*Assumptions!$B$20*Assumptions!$B$16)</f>
        <v>-25.97423481</v>
      </c>
      <c r="U6" s="23">
        <f>-IF(U3-2026&lt;Assumptions!$B$19,Assumptions!$B$18,Assumptions!$B$18*Assumptions!$B$20*Assumptions!$B$16)</f>
        <v>-25.97423481</v>
      </c>
      <c r="V6" s="23">
        <f>-IF(V3-2026&lt;Assumptions!$B$19,Assumptions!$B$18,Assumptions!$B$18*Assumptions!$B$20*Assumptions!$B$16)</f>
        <v>-25.97423481</v>
      </c>
    </row>
    <row r="7">
      <c r="A7" s="14" t="inlineStr">
        <is>
          <t>Pre-tax cash flow</t>
        </is>
      </c>
      <c r="C7" s="23">
        <f>C5+C6</f>
        <v>-153.159</v>
      </c>
      <c r="D7" s="23">
        <f>D5+D6</f>
        <v>-153.159</v>
      </c>
      <c r="E7" s="23">
        <f>E5+E6</f>
        <v>-153.159</v>
      </c>
      <c r="F7" s="23">
        <f>F5+F6</f>
        <v>-12.407034809999999</v>
      </c>
      <c r="G7" s="23">
        <f>G5+G6</f>
        <v>7.943765190000001</v>
      </c>
      <c r="H7" s="23">
        <f>H5+H6</f>
        <v>35.07816519000001</v>
      </c>
      <c r="I7" s="23">
        <f>I5+I6</f>
        <v>62.21256519000001</v>
      </c>
      <c r="J7" s="23">
        <f>J5+J6</f>
        <v>89.34696519</v>
      </c>
      <c r="K7" s="23">
        <f>K5+K6</f>
        <v>109.69776519</v>
      </c>
      <c r="L7" s="23">
        <f>L5+L6</f>
        <v>109.69776519</v>
      </c>
      <c r="M7" s="23">
        <f>M5+M6</f>
        <v>109.69776519</v>
      </c>
      <c r="N7" s="23">
        <f>N5+N6</f>
        <v>109.69776519</v>
      </c>
      <c r="O7" s="23">
        <f>O5+O6</f>
        <v>109.69776519</v>
      </c>
      <c r="P7" s="23">
        <f>P5+P6</f>
        <v>109.69776519</v>
      </c>
      <c r="Q7" s="23">
        <f>Q5+Q6</f>
        <v>109.69776519</v>
      </c>
      <c r="R7" s="23">
        <f>R5+R6</f>
        <v>109.69776519</v>
      </c>
      <c r="S7" s="23">
        <f>S5+S6</f>
        <v>41.86176519</v>
      </c>
      <c r="T7" s="23">
        <f>T5+T6</f>
        <v>7.943765190000001</v>
      </c>
      <c r="U7" s="23">
        <f>U5+U6</f>
        <v>-9.015234809999999</v>
      </c>
      <c r="V7" s="23">
        <f>V5+V6</f>
        <v>-17.494734809999997</v>
      </c>
    </row>
    <row r="8">
      <c r="A8" s="14" t="inlineStr">
        <is>
          <t>Tax-loss carryforward used</t>
        </is>
      </c>
      <c r="C8" s="23">
        <f>MIN(Assumptions!$B$21,MAX(0,C7))</f>
        <v>0</v>
      </c>
      <c r="D8" s="23">
        <f>MIN(C17,MAX(0,D7))</f>
        <v>0</v>
      </c>
      <c r="E8" s="23">
        <f>MIN(D17,MAX(0,E7))</f>
        <v>0</v>
      </c>
      <c r="F8" s="23">
        <f>MIN(E17,MAX(0,F7))</f>
        <v>0</v>
      </c>
      <c r="G8" s="23">
        <f>MIN(F17,MAX(0,G7))</f>
        <v>7.943765190000001</v>
      </c>
      <c r="H8" s="23">
        <f>MIN(G17,MAX(0,H7))</f>
        <v>35.07816519000001</v>
      </c>
      <c r="I8" s="23">
        <f>MIN(H17,MAX(0,I7))</f>
        <v>62.21256519000001</v>
      </c>
      <c r="J8" s="23">
        <f>MIN(I17,MAX(0,J7))</f>
        <v>89.34696519</v>
      </c>
      <c r="K8" s="23">
        <f>MIN(J17,MAX(0,K7))</f>
        <v>109.69776519</v>
      </c>
      <c r="L8" s="23">
        <f>MIN(K17,MAX(0,L7))</f>
        <v>109.69776519</v>
      </c>
      <c r="M8" s="23">
        <f>MIN(L17,MAX(0,M7))</f>
        <v>109.69776519</v>
      </c>
      <c r="N8" s="23">
        <f>MIN(M17,MAX(0,N7))</f>
        <v>109.69776519</v>
      </c>
      <c r="O8" s="23">
        <f>MIN(N17,MAX(0,O7))</f>
        <v>109.69776519</v>
      </c>
      <c r="P8" s="23">
        <f>MIN(O17,MAX(0,P7))</f>
        <v>109.69776519</v>
      </c>
      <c r="Q8" s="23">
        <f>MIN(P17,MAX(0,Q7))</f>
        <v>109.69776519</v>
      </c>
      <c r="R8" s="23">
        <f>MIN(Q17,MAX(0,R7))</f>
        <v>109.69776519</v>
      </c>
      <c r="S8" s="23">
        <f>MIN(R17,MAX(0,S7))</f>
        <v>41.86176519</v>
      </c>
      <c r="T8" s="23">
        <f>MIN(S17,MAX(0,T7))</f>
        <v>7.943765190000001</v>
      </c>
      <c r="U8" s="23">
        <f>MIN(T17,MAX(0,U7))</f>
        <v>0</v>
      </c>
      <c r="V8" s="23">
        <f>MIN(U17,MAX(0,V7))</f>
        <v>0</v>
      </c>
    </row>
    <row r="9">
      <c r="A9" s="14" t="inlineStr">
        <is>
          <t>Taxable income</t>
        </is>
      </c>
      <c r="C9" s="23">
        <f>MAX(0,C7)-C8</f>
        <v>0.0</v>
      </c>
      <c r="D9" s="23">
        <f>MAX(0,D7)-D8</f>
        <v>0.0</v>
      </c>
      <c r="E9" s="23">
        <f>MAX(0,E7)-E8</f>
        <v>0.0</v>
      </c>
      <c r="F9" s="23">
        <f>MAX(0,F7)-F8</f>
        <v>0.0</v>
      </c>
      <c r="G9" s="23">
        <f>MAX(0,G7)-G8</f>
        <v>0.0</v>
      </c>
      <c r="H9" s="23">
        <f>MAX(0,H7)-H8</f>
        <v>0.0</v>
      </c>
      <c r="I9" s="23">
        <f>MAX(0,I7)-I8</f>
        <v>0.0</v>
      </c>
      <c r="J9" s="23">
        <f>MAX(0,J7)-J8</f>
        <v>0.0</v>
      </c>
      <c r="K9" s="23">
        <f>MAX(0,K7)-K8</f>
        <v>0.0</v>
      </c>
      <c r="L9" s="23">
        <f>MAX(0,L7)-L8</f>
        <v>0.0</v>
      </c>
      <c r="M9" s="23">
        <f>MAX(0,M7)-M8</f>
        <v>0.0</v>
      </c>
      <c r="N9" s="23">
        <f>MAX(0,N7)-N8</f>
        <v>0.0</v>
      </c>
      <c r="O9" s="23">
        <f>MAX(0,O7)-O8</f>
        <v>0.0</v>
      </c>
      <c r="P9" s="23">
        <f>MAX(0,P7)-P8</f>
        <v>0.0</v>
      </c>
      <c r="Q9" s="23">
        <f>MAX(0,Q7)-Q8</f>
        <v>0.0</v>
      </c>
      <c r="R9" s="23">
        <f>MAX(0,R7)-R8</f>
        <v>0.0</v>
      </c>
      <c r="S9" s="23">
        <f>MAX(0,S7)-S8</f>
        <v>0.0</v>
      </c>
      <c r="T9" s="23">
        <f>MAX(0,T7)-T8</f>
        <v>0.0</v>
      </c>
      <c r="U9" s="23">
        <f>MAX(0,U7)-U8</f>
        <v>0.0</v>
      </c>
      <c r="V9" s="23">
        <f>MAX(0,V7)-V8</f>
        <v>0.0</v>
      </c>
    </row>
    <row r="10">
      <c r="A10" s="14" t="inlineStr">
        <is>
          <t>Tax</t>
        </is>
      </c>
      <c r="C10" s="23">
        <f>C9*Assumptions!$E$15</f>
        <v>0.0</v>
      </c>
      <c r="D10" s="23">
        <f>D9*Assumptions!$E$15</f>
        <v>0.0</v>
      </c>
      <c r="E10" s="23">
        <f>E9*Assumptions!$E$15</f>
        <v>0.0</v>
      </c>
      <c r="F10" s="23">
        <f>F9*Assumptions!$E$15</f>
        <v>0.0</v>
      </c>
      <c r="G10" s="23">
        <f>G9*Assumptions!$E$15</f>
        <v>0.0</v>
      </c>
      <c r="H10" s="23">
        <f>H9*Assumptions!$E$15</f>
        <v>0.0</v>
      </c>
      <c r="I10" s="23">
        <f>I9*Assumptions!$E$15</f>
        <v>0.0</v>
      </c>
      <c r="J10" s="23">
        <f>J9*Assumptions!$E$15</f>
        <v>0.0</v>
      </c>
      <c r="K10" s="23">
        <f>K9*Assumptions!$E$15</f>
        <v>0.0</v>
      </c>
      <c r="L10" s="23">
        <f>L9*Assumptions!$E$15</f>
        <v>0.0</v>
      </c>
      <c r="M10" s="23">
        <f>M9*Assumptions!$E$15</f>
        <v>0.0</v>
      </c>
      <c r="N10" s="23">
        <f>N9*Assumptions!$E$15</f>
        <v>0.0</v>
      </c>
      <c r="O10" s="23">
        <f>O9*Assumptions!$E$15</f>
        <v>0.0</v>
      </c>
      <c r="P10" s="23">
        <f>P9*Assumptions!$E$15</f>
        <v>0.0</v>
      </c>
      <c r="Q10" s="23">
        <f>Q9*Assumptions!$E$15</f>
        <v>0.0</v>
      </c>
      <c r="R10" s="23">
        <f>R9*Assumptions!$E$15</f>
        <v>0.0</v>
      </c>
      <c r="S10" s="23">
        <f>S9*Assumptions!$E$15</f>
        <v>0.0</v>
      </c>
      <c r="T10" s="23">
        <f>T9*Assumptions!$E$15</f>
        <v>0.0</v>
      </c>
      <c r="U10" s="23">
        <f>U9*Assumptions!$E$15</f>
        <v>0.0</v>
      </c>
      <c r="V10" s="23">
        <f>V9*Assumptions!$E$15</f>
        <v>0.0</v>
      </c>
    </row>
    <row r="11">
      <c r="A11" s="24" t="inlineStr">
        <is>
          <t>Free cash flow</t>
        </is>
      </c>
      <c r="C11" s="55">
        <f>C7-C10</f>
        <v>-153.159</v>
      </c>
      <c r="D11" s="55">
        <f>D7-D10</f>
        <v>-153.159</v>
      </c>
      <c r="E11" s="55">
        <f>E7-E10</f>
        <v>-153.159</v>
      </c>
      <c r="F11" s="55">
        <f>F7-F10</f>
        <v>-12.407034809999999</v>
      </c>
      <c r="G11" s="55">
        <f>G7-G10</f>
        <v>7.943765190000001</v>
      </c>
      <c r="H11" s="55">
        <f>H7-H10</f>
        <v>35.07816519000001</v>
      </c>
      <c r="I11" s="55">
        <f>I7-I10</f>
        <v>62.21256519000001</v>
      </c>
      <c r="J11" s="55">
        <f>J7-J10</f>
        <v>89.34696519</v>
      </c>
      <c r="K11" s="55">
        <f>K7-K10</f>
        <v>109.69776519</v>
      </c>
      <c r="L11" s="55">
        <f>L7-L10</f>
        <v>109.69776519</v>
      </c>
      <c r="M11" s="55">
        <f>M7-M10</f>
        <v>109.69776519</v>
      </c>
      <c r="N11" s="55">
        <f>N7-N10</f>
        <v>109.69776519</v>
      </c>
      <c r="O11" s="55">
        <f>O7-O10</f>
        <v>109.69776519</v>
      </c>
      <c r="P11" s="55">
        <f>P7-P10</f>
        <v>109.69776519</v>
      </c>
      <c r="Q11" s="55">
        <f>Q7-Q10</f>
        <v>109.69776519</v>
      </c>
      <c r="R11" s="55">
        <f>R7-R10</f>
        <v>109.69776519</v>
      </c>
      <c r="S11" s="55">
        <f>S7-S10</f>
        <v>41.86176519</v>
      </c>
      <c r="T11" s="55">
        <f>T7-T10</f>
        <v>7.943765190000001</v>
      </c>
      <c r="U11" s="55">
        <f>U7-U10</f>
        <v>-9.015234809999999</v>
      </c>
      <c r="V11" s="55">
        <f>V7-V10</f>
        <v>-17.494734809999997</v>
      </c>
    </row>
    <row r="12">
      <c r="A12" s="14" t="inlineStr">
        <is>
          <t>Year fraction</t>
        </is>
      </c>
      <c r="C12" s="58">
        <f>Assumptions!$B$22</f>
        <v>0.5041</v>
      </c>
      <c r="D12" s="11" t="n">
        <v>1</v>
      </c>
      <c r="E12" s="11" t="n">
        <v>1</v>
      </c>
      <c r="F12" s="11" t="n">
        <v>1</v>
      </c>
      <c r="G12" s="11" t="n">
        <v>1</v>
      </c>
      <c r="H12" s="11" t="n">
        <v>1</v>
      </c>
      <c r="I12" s="11" t="n">
        <v>1</v>
      </c>
      <c r="J12" s="11" t="n">
        <v>1</v>
      </c>
      <c r="K12" s="11" t="n">
        <v>1</v>
      </c>
      <c r="L12" s="11" t="n">
        <v>1</v>
      </c>
      <c r="M12" s="11" t="n">
        <v>1</v>
      </c>
      <c r="N12" s="11" t="n">
        <v>1</v>
      </c>
      <c r="O12" s="11" t="n">
        <v>1</v>
      </c>
      <c r="P12" s="11" t="n">
        <v>1</v>
      </c>
      <c r="Q12" s="11" t="n">
        <v>1</v>
      </c>
      <c r="R12" s="11" t="n">
        <v>1</v>
      </c>
      <c r="S12" s="11" t="n">
        <v>1</v>
      </c>
      <c r="T12" s="11" t="n">
        <v>1</v>
      </c>
      <c r="U12" s="11" t="n">
        <v>1</v>
      </c>
      <c r="V12" s="11" t="n">
        <v>1</v>
      </c>
    </row>
    <row r="13">
      <c r="A13" s="14" t="inlineStr">
        <is>
          <t>Discount time (mid-year)</t>
        </is>
      </c>
      <c r="C13" s="11">
        <f>C12/2</f>
        <v>0.25205</v>
      </c>
      <c r="D13" s="11">
        <f>C13+C12/2+D12/2</f>
        <v>1.0041</v>
      </c>
      <c r="E13" s="11">
        <f>D13+D12/2+E12/2</f>
        <v>2.0041</v>
      </c>
      <c r="F13" s="11">
        <f>E13+E12/2+F12/2</f>
        <v>3.0041</v>
      </c>
      <c r="G13" s="11">
        <f>F13+F12/2+G12/2</f>
        <v>4.0041</v>
      </c>
      <c r="H13" s="11">
        <f>G13+G12/2+H12/2</f>
        <v>5.0041</v>
      </c>
      <c r="I13" s="11">
        <f>H13+H12/2+I12/2</f>
        <v>6.0041</v>
      </c>
      <c r="J13" s="11">
        <f>I13+I12/2+J12/2</f>
        <v>7.0041</v>
      </c>
      <c r="K13" s="11">
        <f>J13+J12/2+K12/2</f>
        <v>8.004100000000001</v>
      </c>
      <c r="L13" s="11">
        <f>K13+K12/2+L12/2</f>
        <v>9.004100000000001</v>
      </c>
      <c r="M13" s="11">
        <f>L13+L12/2+M12/2</f>
        <v>10.004100000000001</v>
      </c>
      <c r="N13" s="11">
        <f>M13+M12/2+N12/2</f>
        <v>11.004100000000001</v>
      </c>
      <c r="O13" s="11">
        <f>N13+N12/2+O12/2</f>
        <v>12.004100000000001</v>
      </c>
      <c r="P13" s="11">
        <f>O13+O12/2+P12/2</f>
        <v>13.004100000000001</v>
      </c>
      <c r="Q13" s="11">
        <f>P13+P12/2+Q12/2</f>
        <v>14.004100000000001</v>
      </c>
      <c r="R13" s="11">
        <f>Q13+Q12/2+R12/2</f>
        <v>15.004100000000001</v>
      </c>
      <c r="S13" s="11">
        <f>R13+R12/2+S12/2</f>
        <v>16.0041</v>
      </c>
      <c r="T13" s="11">
        <f>S13+S12/2+T12/2</f>
        <v>17.0041</v>
      </c>
      <c r="U13" s="11">
        <f>T13+T12/2+U12/2</f>
        <v>18.0041</v>
      </c>
      <c r="V13" s="11">
        <f>U13+U12/2+V12/2</f>
        <v>19.0041</v>
      </c>
    </row>
    <row r="14">
      <c r="A14" s="14" t="inlineStr">
        <is>
          <t>Discount factor</t>
        </is>
      </c>
      <c r="C14" s="59">
        <f>1/(1+Assumptions!$E$10)^C13</f>
        <v>0.9718396132010737</v>
      </c>
      <c r="D14" s="59">
        <f>1/(1+Assumptions!$E$10)^D13</f>
        <v>0.8924423752877004</v>
      </c>
      <c r="E14" s="59">
        <f>1/(1+Assumptions!$E$10)^E13</f>
        <v>0.796823549364018</v>
      </c>
      <c r="F14" s="59">
        <f>1/(1+Assumptions!$E$10)^F13</f>
        <v>0.7114495976464447</v>
      </c>
      <c r="G14" s="59">
        <f>1/(1+Assumptions!$E$10)^G13</f>
        <v>0.6352228550414684</v>
      </c>
      <c r="H14" s="59">
        <f>1/(1+Assumptions!$E$10)^H13</f>
        <v>0.5671632634298824</v>
      </c>
      <c r="I14" s="59">
        <f>1/(1+Assumptions!$E$10)^I13</f>
        <v>0.5063957709195378</v>
      </c>
      <c r="J14" s="59">
        <f>1/(1+Assumptions!$E$10)^J13</f>
        <v>0.45213908117815876</v>
      </c>
      <c r="K14" s="59">
        <f>1/(1+Assumptions!$E$10)^K13</f>
        <v>0.4036956081947845</v>
      </c>
      <c r="L14" s="59">
        <f>1/(1+Assumptions!$E$10)^L13</f>
        <v>0.36044250731677185</v>
      </c>
      <c r="M14" s="59">
        <f>1/(1+Assumptions!$E$10)^M13</f>
        <v>0.3218236672471177</v>
      </c>
      <c r="N14" s="59">
        <f>1/(1+Assumptions!$E$10)^N13</f>
        <v>0.2873425600420693</v>
      </c>
      <c r="O14" s="59">
        <f>1/(1+Assumptions!$E$10)^O13</f>
        <v>0.256555857180419</v>
      </c>
      <c r="P14" s="59">
        <f>1/(1+Assumptions!$E$10)^P13</f>
        <v>0.22906772962537408</v>
      </c>
      <c r="Q14" s="59">
        <f>1/(1+Assumptions!$E$10)^Q13</f>
        <v>0.204524758594084</v>
      </c>
      <c r="R14" s="59">
        <f>1/(1+Assumptions!$E$10)^R13</f>
        <v>0.1826113916018607</v>
      </c>
      <c r="S14" s="59">
        <f>1/(1+Assumptions!$E$10)^S13</f>
        <v>0.16304588535880418</v>
      </c>
      <c r="T14" s="59">
        <f>1/(1+Assumptions!$E$10)^T13</f>
        <v>0.14557668335607515</v>
      </c>
      <c r="U14" s="59">
        <f>1/(1+Assumptions!$E$10)^U13</f>
        <v>0.12997918156792423</v>
      </c>
      <c r="V14" s="59">
        <f>1/(1+Assumptions!$E$10)^V13</f>
        <v>0.11605284068564661</v>
      </c>
    </row>
    <row r="15">
      <c r="A15" s="14" t="inlineStr">
        <is>
          <t>PV factor</t>
        </is>
      </c>
      <c r="C15" s="59">
        <f>C12*C14</f>
        <v>0.48990434901466123</v>
      </c>
      <c r="D15" s="59">
        <f>D12*D14</f>
        <v>0.8924423752877004</v>
      </c>
      <c r="E15" s="59">
        <f>E12*E14</f>
        <v>0.796823549364018</v>
      </c>
      <c r="F15" s="59">
        <f>F12*F14</f>
        <v>0.7114495976464447</v>
      </c>
      <c r="G15" s="59">
        <f>G12*G14</f>
        <v>0.6352228550414684</v>
      </c>
      <c r="H15" s="59">
        <f>H12*H14</f>
        <v>0.5671632634298824</v>
      </c>
      <c r="I15" s="59">
        <f>I12*I14</f>
        <v>0.5063957709195378</v>
      </c>
      <c r="J15" s="59">
        <f>J12*J14</f>
        <v>0.45213908117815876</v>
      </c>
      <c r="K15" s="59">
        <f>K12*K14</f>
        <v>0.4036956081947845</v>
      </c>
      <c r="L15" s="59">
        <f>L12*L14</f>
        <v>0.36044250731677185</v>
      </c>
      <c r="M15" s="59">
        <f>M12*M14</f>
        <v>0.3218236672471177</v>
      </c>
      <c r="N15" s="59">
        <f>N12*N14</f>
        <v>0.2873425600420693</v>
      </c>
      <c r="O15" s="59">
        <f>O12*O14</f>
        <v>0.256555857180419</v>
      </c>
      <c r="P15" s="59">
        <f>P12*P14</f>
        <v>0.22906772962537408</v>
      </c>
      <c r="Q15" s="59">
        <f>Q12*Q14</f>
        <v>0.204524758594084</v>
      </c>
      <c r="R15" s="59">
        <f>R12*R14</f>
        <v>0.1826113916018607</v>
      </c>
      <c r="S15" s="59">
        <f>S12*S14</f>
        <v>0.16304588535880418</v>
      </c>
      <c r="T15" s="59">
        <f>T12*T14</f>
        <v>0.14557668335607515</v>
      </c>
      <c r="U15" s="59">
        <f>U12*U14</f>
        <v>0.12997918156792423</v>
      </c>
      <c r="V15" s="59">
        <f>V12*V14</f>
        <v>0.11605284068564661</v>
      </c>
    </row>
    <row r="16">
      <c r="A16" s="24" t="inlineStr">
        <is>
          <t>PV of free cash flow</t>
        </is>
      </c>
      <c r="C16" s="55">
        <f>C11*C15</f>
        <v>-75.0332601907365</v>
      </c>
      <c r="D16" s="55">
        <f>D11*D15</f>
        <v>-136.6855817566889</v>
      </c>
      <c r="E16" s="55">
        <f>E11*E15</f>
        <v>-122.04069799704362</v>
      </c>
      <c r="F16" s="55">
        <f>F11*F15</f>
        <v>-8.826979923559932</v>
      </c>
      <c r="G16" s="55">
        <f>G11*G15</f>
        <v>5.046061203770833</v>
      </c>
      <c r="H16" s="55">
        <f>H11*H15</f>
        <v>19.895046644292908</v>
      </c>
      <c r="I16" s="55">
        <f>I11*I15</f>
        <v>31.504179910272054</v>
      </c>
      <c r="J16" s="55">
        <f>J11*J15</f>
        <v>40.397254747063535</v>
      </c>
      <c r="K16" s="55">
        <f>K11*K15</f>
        <v>44.28450603598571</v>
      </c>
      <c r="L16" s="55">
        <f>L11*L15</f>
        <v>39.5397375321301</v>
      </c>
      <c r="M16" s="55">
        <f>M11*M15</f>
        <v>35.30333708225901</v>
      </c>
      <c r="N16" s="55">
        <f>N11*N15</f>
        <v>31.520836680588395</v>
      </c>
      <c r="O16" s="55">
        <f>O11*O15</f>
        <v>28.14360417909678</v>
      </c>
      <c r="P16" s="55">
        <f>P11*P15</f>
        <v>25.128218017050692</v>
      </c>
      <c r="Q16" s="55">
        <f>Q11*Q15</f>
        <v>22.435908943795262</v>
      </c>
      <c r="R16" s="55">
        <f>R11*R15</f>
        <v>20.032061556960056</v>
      </c>
      <c r="S16" s="55">
        <f>S11*S15</f>
        <v>6.82538856808592</v>
      </c>
      <c r="T16" s="55">
        <f>T11*T15</f>
        <v>1.1564269897196422</v>
      </c>
      <c r="U16" s="55">
        <f>U11*U15</f>
        <v>-1.1717928422464607</v>
      </c>
      <c r="V16" s="55">
        <f>V11*V15</f>
        <v>-2.0303136717425656</v>
      </c>
    </row>
    <row r="17">
      <c r="A17" s="14" t="inlineStr">
        <is>
          <t>Tax-loss carryforward, end of year</t>
        </is>
      </c>
      <c r="C17" s="23">
        <f>Assumptions!$B$21-C8+MAX(0,-C7)</f>
        <v>863.559</v>
      </c>
      <c r="D17" s="23">
        <f>C17-D8+MAX(0,-D7)</f>
        <v>1016.718</v>
      </c>
      <c r="E17" s="23">
        <f>D17-E8+MAX(0,-E7)</f>
        <v>1169.877</v>
      </c>
      <c r="F17" s="23">
        <f>E17-F8+MAX(0,-F7)</f>
        <v>1182.2840348099999</v>
      </c>
      <c r="G17" s="23">
        <f>F17-G8+MAX(0,-G7)</f>
        <v>1174.3402696199998</v>
      </c>
      <c r="H17" s="23">
        <f>G17-H8+MAX(0,-H7)</f>
        <v>1139.26210443</v>
      </c>
      <c r="I17" s="23">
        <f>H17-I8+MAX(0,-I7)</f>
        <v>1077.0495392399998</v>
      </c>
      <c r="J17" s="23">
        <f>I17-J8+MAX(0,-J7)</f>
        <v>987.7025740499998</v>
      </c>
      <c r="K17" s="23">
        <f>J17-K8+MAX(0,-K7)</f>
        <v>878.0048088599998</v>
      </c>
      <c r="L17" s="23">
        <f>K17-L8+MAX(0,-L7)</f>
        <v>768.3070436699998</v>
      </c>
      <c r="M17" s="23">
        <f>L17-M8+MAX(0,-M7)</f>
        <v>658.6092784799997</v>
      </c>
      <c r="N17" s="23">
        <f>M17-N8+MAX(0,-N7)</f>
        <v>548.9115132899997</v>
      </c>
      <c r="O17" s="23">
        <f>N17-O8+MAX(0,-O7)</f>
        <v>439.2137480999997</v>
      </c>
      <c r="P17" s="23">
        <f>O17-P8+MAX(0,-P7)</f>
        <v>329.5159829099997</v>
      </c>
      <c r="Q17" s="23">
        <f>P17-Q8+MAX(0,-Q7)</f>
        <v>219.81821771999972</v>
      </c>
      <c r="R17" s="23">
        <f>Q17-R8+MAX(0,-R7)</f>
        <v>110.12045252999972</v>
      </c>
      <c r="S17" s="23">
        <f>R17-S8+MAX(0,-S7)</f>
        <v>68.25868733999972</v>
      </c>
      <c r="T17" s="23">
        <f>S17-T8+MAX(0,-T7)</f>
        <v>60.314922149999724</v>
      </c>
      <c r="U17" s="23">
        <f>T17-U8+MAX(0,-U7)</f>
        <v>69.33015695999973</v>
      </c>
      <c r="V17" s="23">
        <f>U17-V8+MAX(0,-V7)</f>
        <v>86.82489176999972</v>
      </c>
    </row>
    <row r="19">
      <c r="A19" s="14" t="inlineStr">
        <is>
          <t>PV of risked pipeline contribution</t>
        </is>
      </c>
      <c r="B19" s="23">
        <f>SUMPRODUCT(C5:V5,C15:V15)</f>
        <v>486.5376336450395</v>
      </c>
    </row>
    <row r="20">
      <c r="A20" s="14" t="inlineStr">
        <is>
          <t>PV of corporate burn</t>
        </is>
      </c>
      <c r="B20" s="23">
        <f>SUMPRODUCT(C6:V6,C15:V15)</f>
        <v>-481.11369193598654</v>
      </c>
    </row>
    <row r="21">
      <c r="A21" s="14" t="inlineStr">
        <is>
          <t>PV of taxes</t>
        </is>
      </c>
      <c r="B21" s="23">
        <f>-SUMPRODUCT(C10:V10,C15:V15)</f>
        <v>-0.0</v>
      </c>
    </row>
    <row r="22">
      <c r="A22" s="24" t="inlineStr">
        <is>
          <t>Pipeline rNPV (operations)</t>
        </is>
      </c>
      <c r="B22" s="54">
        <f>SUM(C16:V16)</f>
        <v>5.423941709052924</v>
      </c>
    </row>
    <row r="23">
      <c r="A23" s="14" t="inlineStr">
        <is>
          <t>Cash &amp; investments</t>
        </is>
      </c>
      <c r="B23" s="57">
        <f>Main!C7</f>
        <v>455.407</v>
      </c>
    </row>
    <row r="24">
      <c r="A24" s="14" t="inlineStr">
        <is>
          <t>Debt</t>
        </is>
      </c>
      <c r="B24" s="57">
        <f>Main!C8</f>
        <v>49.26</v>
      </c>
    </row>
    <row r="25">
      <c r="A25" s="24" t="inlineStr">
        <is>
          <t>Equity value</t>
        </is>
      </c>
      <c r="B25" s="54">
        <f>B22+B23-B24</f>
        <v>411.57094170905293</v>
      </c>
    </row>
    <row r="26">
      <c r="A26" s="14" t="inlineStr">
        <is>
          <t>Shares (mm)</t>
        </is>
      </c>
      <c r="B26" s="57">
        <f>Main!C4</f>
        <v>325.833545</v>
      </c>
    </row>
    <row r="27">
      <c r="A27" s="24" t="inlineStr">
        <is>
          <t>rNPV / share</t>
        </is>
      </c>
      <c r="B27" s="60">
        <f>B25/B26</f>
        <v>1.2631325043867196</v>
      </c>
    </row>
    <row r="28">
      <c r="A28" s="14" t="inlineStr">
        <is>
          <t>Price</t>
        </is>
      </c>
      <c r="B28" s="61">
        <f>Main!C3</f>
        <v>4.11</v>
      </c>
    </row>
    <row r="29">
      <c r="A29" s="14" t="inlineStr">
        <is>
          <t>Upside</t>
        </is>
      </c>
      <c r="B29" s="62">
        <f>B27/B28-1</f>
        <v>-0.6926684904168565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Wang, Eric</dc:creator>
  <dcterms:created xsi:type="dcterms:W3CDTF">2026-10-02T01:24:56Z</dcterms:created>
  <dcterms:modified xsi:type="dcterms:W3CDTF">2026-10-21T06:23:37Z</dcterms:modified>
  <cp:lastModifiedBy>Wang, Eric</cp:lastModifiedBy>
</cp:coreProperties>
</file>