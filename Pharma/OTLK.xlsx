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Outlook Therapeutics Inc</t>
        </is>
      </c>
      <c r="C2" s="10" t="n"/>
    </row>
    <row r="3">
      <c r="B3" t="inlineStr">
        <is>
          <t>Price</t>
        </is>
      </c>
      <c r="C3" s="11">
        <f>INDEX([1]Pharma!$F$1:$F$1000,MATCH("OTLK",[1]Pharma!$B$1:$B$1000,0))</f>
        <v>0.52</v>
      </c>
      <c r="F3" s="1" t="n"/>
    </row>
    <row r="4">
      <c r="B4" t="inlineStr">
        <is>
          <t>Shares</t>
        </is>
      </c>
      <c r="C4" s="21" t="n">
        <v>243.447554</v>
      </c>
      <c r="F4" s="1" t="n"/>
    </row>
    <row r="5">
      <c r="B5" t="inlineStr">
        <is>
          <t>Market Cap.</t>
        </is>
      </c>
      <c r="C5" s="13">
        <f>C3*C4</f>
        <v>126.59272808</v>
      </c>
      <c r="F5" s="1" t="n"/>
    </row>
    <row r="6"/>
    <row r="7">
      <c r="B7" t="inlineStr">
        <is>
          <t>Cash</t>
        </is>
      </c>
      <c r="C7" s="21" t="n">
        <v>11.242068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115.35066008</v>
      </c>
    </row>
    <row r="10"/>
    <row r="11">
      <c r="B11" s="14" t="inlineStr">
        <is>
          <t>Net Cash / Share</t>
        </is>
      </c>
      <c r="C11" s="11">
        <f>(C7-C8)/C4</f>
        <v>0.04617860321570534</v>
      </c>
    </row>
    <row r="12">
      <c r="B12" s="14" t="inlineStr">
        <is>
          <t>Upside</t>
        </is>
      </c>
      <c r="C12" s="15">
        <f>IFERROR(C11/C3-1,"")</f>
        <v>-0.9111949938159513</v>
      </c>
    </row>
    <row r="13">
      <c r="B13" s="14" t="inlineStr">
        <is>
          <t>Cash / Share</t>
        </is>
      </c>
      <c r="C13" s="11">
        <f>IFERROR((C7-C8)/C4,"")</f>
        <v>0.04617860321570534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-56.155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0.20019709731991808</v>
      </c>
    </row>
    <row r="19">
      <c r="B19" s="14" t="inlineStr">
        <is>
          <t>Implied Pipeline Value</t>
        </is>
      </c>
      <c r="C19" s="13">
        <f>C9</f>
        <v>115.35066008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5.219</v>
      </c>
      <c r="C2" s="23" t="n">
        <v>2.98</v>
      </c>
      <c r="D2" s="23" t="n">
        <v>3.812</v>
      </c>
      <c r="E2" s="23" t="n">
        <v>3.088</v>
      </c>
      <c r="F2" s="23" t="n">
        <v>8.146000000000001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1.414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1.356</v>
      </c>
    </row>
    <row r="4" customFormat="1" s="1">
      <c r="A4" s="5" t="inlineStr">
        <is>
          <t>Gross Margin</t>
        </is>
      </c>
      <c r="B4" s="23">
        <f>B2-B3</f>
        <v>5.219</v>
      </c>
      <c r="C4" s="23">
        <f>C2-C3</f>
        <v>2.98</v>
      </c>
      <c r="D4" s="23">
        <f>D2-D3</f>
        <v>3.812</v>
      </c>
      <c r="E4" s="23">
        <f>E2-E3</f>
        <v>3.088</v>
      </c>
      <c r="F4" s="23">
        <f>F2-F3</f>
        <v>8.146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0.05799999999999983</v>
      </c>
    </row>
    <row r="5">
      <c r="A5" s="2" t="inlineStr">
        <is>
          <t>Research &amp; Dev.</t>
        </is>
      </c>
      <c r="B5" s="23" t="n">
        <v>38.876</v>
      </c>
      <c r="C5" s="23" t="n">
        <v>32.763</v>
      </c>
      <c r="D5" s="23" t="n">
        <v>23.81</v>
      </c>
      <c r="E5" s="23" t="n">
        <v>18.504</v>
      </c>
      <c r="F5" s="23" t="n">
        <v>23.805</v>
      </c>
      <c r="G5" s="23" t="n">
        <v>26.342</v>
      </c>
      <c r="H5" s="23" t="n">
        <v>38.958</v>
      </c>
      <c r="I5" s="23" t="n">
        <v>42.331</v>
      </c>
      <c r="J5" s="23" t="n">
        <v>26.453</v>
      </c>
      <c r="K5" s="23" t="n">
        <v>41.763</v>
      </c>
      <c r="L5" s="23" t="n">
        <v>27.181</v>
      </c>
    </row>
    <row r="6">
      <c r="A6" s="19" t="inlineStr">
        <is>
          <t>SG&amp;A &amp; Other</t>
        </is>
      </c>
      <c r="B6" s="23" t="n">
        <v>12.906</v>
      </c>
      <c r="C6" s="23" t="n">
        <v>21.564</v>
      </c>
      <c r="D6" s="23" t="n">
        <v>15.882</v>
      </c>
      <c r="E6" s="23" t="n">
        <v>14.228</v>
      </c>
      <c r="F6" s="23" t="n">
        <v>20.64</v>
      </c>
      <c r="G6" s="23" t="n">
        <v>10.499</v>
      </c>
      <c r="H6" s="23" t="n">
        <v>12.769</v>
      </c>
      <c r="I6" s="23" t="n">
        <v>20.74</v>
      </c>
      <c r="J6" s="23" t="n">
        <v>26.673</v>
      </c>
      <c r="K6" s="23" t="n">
        <v>29.94</v>
      </c>
      <c r="L6" s="23" t="n">
        <v>39.938</v>
      </c>
    </row>
    <row r="7">
      <c r="A7" s="2" t="inlineStr">
        <is>
          <t>Operating Expense</t>
        </is>
      </c>
      <c r="B7" s="23">
        <f>SUM(B5:B6)</f>
        <v>51.782</v>
      </c>
      <c r="C7" s="23">
        <f>SUM(C5:C6)</f>
        <v>54.327</v>
      </c>
      <c r="D7" s="23">
        <f>SUM(D5:D6)</f>
        <v>39.692</v>
      </c>
      <c r="E7" s="23">
        <f>SUM(E5:E6)</f>
        <v>32.732</v>
      </c>
      <c r="F7" s="23">
        <f>SUM(F5:F6)</f>
        <v>44.445</v>
      </c>
      <c r="G7" s="23">
        <f>SUM(G5:G6)</f>
        <v>36.841</v>
      </c>
      <c r="H7" s="23">
        <f>SUM(H5:H6)</f>
        <v>51.727</v>
      </c>
      <c r="I7" s="23">
        <f>SUM(I5:I6)</f>
        <v>63.071</v>
      </c>
      <c r="J7" s="23">
        <f>SUM(J5:J6)</f>
        <v>53.126</v>
      </c>
      <c r="K7" s="23">
        <f>SUM(K5:K6)</f>
        <v>71.703</v>
      </c>
      <c r="L7" s="23">
        <f>SUM(L5:L6)</f>
        <v>67.119</v>
      </c>
    </row>
    <row r="8">
      <c r="A8" s="2" t="inlineStr">
        <is>
          <t>Operating Income</t>
        </is>
      </c>
      <c r="B8" s="23">
        <f>B4-B7</f>
        <v>-46.562999999999995</v>
      </c>
      <c r="C8" s="23">
        <f>C4-C7</f>
        <v>-51.347</v>
      </c>
      <c r="D8" s="23">
        <f>D4-D7</f>
        <v>-35.88</v>
      </c>
      <c r="E8" s="23">
        <f>E4-E7</f>
        <v>-29.644</v>
      </c>
      <c r="F8" s="23">
        <f>F4-F7</f>
        <v>-36.299</v>
      </c>
      <c r="G8" s="23">
        <f>G4-G7</f>
        <v>-36.841</v>
      </c>
      <c r="H8" s="23">
        <f>H4-H7</f>
        <v>-51.727</v>
      </c>
      <c r="I8" s="23">
        <f>I4-I7</f>
        <v>-63.071</v>
      </c>
      <c r="J8" s="23">
        <f>J4-J7</f>
        <v>-53.126</v>
      </c>
      <c r="K8" s="23">
        <f>K4-K7</f>
        <v>-71.703</v>
      </c>
      <c r="L8" s="23">
        <f>L4-L7</f>
        <v>-67.061</v>
      </c>
    </row>
    <row r="9">
      <c r="A9" s="19" t="inlineStr">
        <is>
          <t>Interest &amp; Other</t>
        </is>
      </c>
      <c r="B9" s="23" t="n">
        <v>-1.021</v>
      </c>
      <c r="C9" s="23" t="n">
        <v>-1.852</v>
      </c>
      <c r="D9" s="23" t="n">
        <v>0.181</v>
      </c>
      <c r="E9" s="23" t="n">
        <v>-4.096</v>
      </c>
      <c r="F9" s="23" t="n">
        <v>-1.636</v>
      </c>
      <c r="G9" s="23" t="n">
        <v>-1.671</v>
      </c>
      <c r="H9" s="23" t="n">
        <v>-1.435</v>
      </c>
      <c r="I9" s="23" t="n">
        <v>-2.979</v>
      </c>
      <c r="J9" s="23" t="n">
        <v>-5.853</v>
      </c>
      <c r="K9" s="23" t="n">
        <v>-3.661</v>
      </c>
      <c r="L9" s="23" t="n">
        <v>3.085</v>
      </c>
    </row>
    <row r="10">
      <c r="A10" s="2" t="inlineStr">
        <is>
          <t>Pretax</t>
        </is>
      </c>
      <c r="B10" s="23">
        <f>B8+B9</f>
        <v>-47.583999999999996</v>
      </c>
      <c r="C10" s="23">
        <f>C8+C9</f>
        <v>-53.199</v>
      </c>
      <c r="D10" s="23">
        <f>D8+D9</f>
        <v>-35.699000000000005</v>
      </c>
      <c r="E10" s="23">
        <f>E8+E9</f>
        <v>-33.739999999999995</v>
      </c>
      <c r="F10" s="23">
        <f>F8+F9</f>
        <v>-37.935</v>
      </c>
      <c r="G10" s="23">
        <f>G8+G9</f>
        <v>-38.512</v>
      </c>
      <c r="H10" s="23">
        <f>H8+H9</f>
        <v>-53.162</v>
      </c>
      <c r="I10" s="23">
        <f>I8+I9</f>
        <v>-66.05</v>
      </c>
      <c r="J10" s="23">
        <f>J8+J9</f>
        <v>-58.979</v>
      </c>
      <c r="K10" s="23">
        <f>K8+K9</f>
        <v>-75.364</v>
      </c>
      <c r="L10" s="23">
        <f>L8+L9</f>
        <v>-63.976000000000006</v>
      </c>
    </row>
    <row r="11">
      <c r="A11" s="2" t="inlineStr">
        <is>
          <t>Taxes</t>
        </is>
      </c>
      <c r="B11" s="23" t="n">
        <v>-0.19</v>
      </c>
      <c r="C11" s="23" t="n">
        <v>0.103</v>
      </c>
      <c r="D11" s="23" t="n">
        <v>3.15</v>
      </c>
      <c r="E11" s="23" t="n">
        <v>-3.648</v>
      </c>
      <c r="F11" s="23" t="n">
        <v>-3.411</v>
      </c>
      <c r="G11" s="23" t="n">
        <v>-3.272</v>
      </c>
      <c r="H11" s="23" t="n">
        <v>0.002</v>
      </c>
      <c r="I11" s="23" t="n">
        <v>0.003</v>
      </c>
      <c r="J11" s="23" t="n">
        <v>0.003</v>
      </c>
      <c r="K11" s="23" t="n">
        <v>0.003</v>
      </c>
      <c r="L11" s="23" t="n">
        <v>-1.552</v>
      </c>
    </row>
    <row r="12">
      <c r="A12" s="2" t="inlineStr">
        <is>
          <t>Net Income</t>
        </is>
      </c>
      <c r="B12" s="23" t="n">
        <v>-47.393</v>
      </c>
      <c r="C12" s="23" t="n">
        <v>-53.302</v>
      </c>
      <c r="D12" s="23" t="n">
        <v>-38.849</v>
      </c>
      <c r="E12" s="23" t="n">
        <v>-30.092</v>
      </c>
      <c r="F12" s="23" t="n">
        <v>-34.524</v>
      </c>
      <c r="G12" s="23" t="n">
        <v>-35.239</v>
      </c>
      <c r="H12" s="23" t="n">
        <v>-53.163</v>
      </c>
      <c r="I12" s="23" t="n">
        <v>-66.05200000000001</v>
      </c>
      <c r="J12" s="23" t="n">
        <v>-58.983</v>
      </c>
      <c r="K12" s="23" t="n">
        <v>-75.367</v>
      </c>
      <c r="L12" s="23" t="n">
        <v>-62.425</v>
      </c>
    </row>
    <row r="13">
      <c r="A13" s="2" t="inlineStr">
        <is>
          <t>Earnings per Share</t>
        </is>
      </c>
      <c r="B13" s="11">
        <f>IFERROR(B12/B14,0)</f>
        <v>-20.65054466230937</v>
      </c>
      <c r="C13" s="11">
        <f>IFERROR(C12/C14,0)</f>
        <v>-13.160987654320989</v>
      </c>
      <c r="D13" s="11">
        <f>IFERROR(D12/D14,0)</f>
        <v>-6.867420894467031</v>
      </c>
      <c r="E13" s="11">
        <f>IFERROR(E12/E14,0)</f>
        <v>-3.2412753123653593</v>
      </c>
      <c r="F13" s="11">
        <f>IFERROR(F12/F14,0)</f>
        <v>-8.066355140186916</v>
      </c>
      <c r="G13" s="11">
        <f>IFERROR(G12/G14,0)</f>
        <v>-8.25656044985942</v>
      </c>
      <c r="H13" s="11">
        <f>IFERROR(H12/H14,0)</f>
        <v>-5.9194967152878295</v>
      </c>
      <c r="I13" s="11">
        <f>IFERROR(I12/I14,0)</f>
        <v>-5.294749498997997</v>
      </c>
      <c r="J13" s="11">
        <f>IFERROR(J12/J14,0)</f>
        <v>-4.7152450235830194</v>
      </c>
      <c r="K13" s="11">
        <f>IFERROR(K12/K14,0)</f>
        <v>-4.063130087875358</v>
      </c>
      <c r="L13" s="11">
        <f>IFERROR(L12/L14,0)</f>
        <v>-1.7940280492010576</v>
      </c>
    </row>
    <row r="14">
      <c r="A14" s="2" t="inlineStr">
        <is>
          <t>Shares</t>
        </is>
      </c>
      <c r="B14" s="23" t="n">
        <v>2.295</v>
      </c>
      <c r="C14" s="23" t="n">
        <v>4.05</v>
      </c>
      <c r="D14" s="23" t="n">
        <v>5.657</v>
      </c>
      <c r="E14" s="23" t="n">
        <v>9.284000000000001</v>
      </c>
      <c r="F14" s="23" t="n">
        <v>4.28</v>
      </c>
      <c r="G14" s="23" t="n">
        <v>4.268</v>
      </c>
      <c r="H14" s="23" t="n">
        <v>8.981</v>
      </c>
      <c r="I14" s="23" t="n">
        <v>12.475</v>
      </c>
      <c r="J14" s="23" t="n">
        <v>12.509</v>
      </c>
      <c r="K14" s="23" t="n">
        <v>18.549</v>
      </c>
      <c r="L14" s="23" t="n">
        <v>34.796</v>
      </c>
    </row>
    <row r="15"/>
    <row r="16" customFormat="1" s="4">
      <c r="A16" s="3" t="inlineStr">
        <is>
          <t>Revenue Change</t>
        </is>
      </c>
      <c r="C16" s="15">
        <f>IFERROR(C2/B2-1,"")</f>
        <v>-0.4290093887717954</v>
      </c>
      <c r="D16" s="15">
        <f>IFERROR(D2/C2-1,"")</f>
        <v>0.2791946308724831</v>
      </c>
      <c r="E16" s="15">
        <f>IFERROR(E2/D2-1,"")</f>
        <v>-0.18992654774396633</v>
      </c>
      <c r="F16" s="15">
        <f>IFERROR(F2/E2-1,"")</f>
        <v>1.6379533678756477</v>
      </c>
      <c r="G16" s="15">
        <f>IFERROR(G2/F2-1,"")</f>
        <v>-1.0</v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>0.0410183875530409</v>
      </c>
    </row>
    <row r="18">
      <c r="A18" s="14" t="inlineStr">
        <is>
          <t>Operating Margin</t>
        </is>
      </c>
      <c r="B18" s="15">
        <f>IFERROR(B8/B2,"")</f>
        <v>-8.921824104234526</v>
      </c>
      <c r="C18" s="15">
        <f>IFERROR(C8/C2,"")</f>
        <v>-17.230536912751678</v>
      </c>
      <c r="D18" s="15">
        <f>IFERROR(D8/D2,"")</f>
        <v>-9.412381951731376</v>
      </c>
      <c r="E18" s="15">
        <f>IFERROR(E8/E2,"")</f>
        <v>-9.599740932642487</v>
      </c>
      <c r="F18" s="15">
        <f>IFERROR(F8/F2,"")</f>
        <v>-4.4560520500859315</v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>-47.426449787835935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2026-10-21T01:05:52Z</dcterms:modified>
  <cp:lastModifiedBy>Wang, Eric</cp:lastModifiedBy>
</cp:coreProperties>
</file>