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SIGA Technologies Inc</t>
        </is>
      </c>
      <c r="C2" s="10" t="n"/>
    </row>
    <row r="3">
      <c r="B3" t="inlineStr">
        <is>
          <t>Price</t>
        </is>
      </c>
      <c r="C3" s="11">
        <f>INDEX([1]Pharma!$F$1:$F$1000,MATCH("SIGA",[1]Pharma!$B$1:$B$1000,0))</f>
        <v>3.15</v>
      </c>
      <c r="F3" s="1" t="n"/>
    </row>
    <row r="4">
      <c r="B4" t="inlineStr">
        <is>
          <t>Shares</t>
        </is>
      </c>
      <c r="C4" s="51" t="n">
        <v>71.849716</v>
      </c>
      <c r="F4" s="1" t="n"/>
    </row>
    <row r="5">
      <c r="B5" t="inlineStr">
        <is>
          <t>Market Cap.</t>
        </is>
      </c>
      <c r="C5" s="13">
        <f>C3*C4</f>
        <v>226.3266054</v>
      </c>
      <c r="F5" s="1" t="n"/>
    </row>
    <row r="6"/>
    <row r="7">
      <c r="B7" t="inlineStr">
        <is>
          <t>Cash</t>
        </is>
      </c>
      <c r="C7" s="51" t="n">
        <v>117.584444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108.7421614</v>
      </c>
    </row>
    <row r="10"/>
    <row r="11">
      <c r="B11" s="14" t="inlineStr">
        <is>
          <t>NPV / Share</t>
        </is>
      </c>
      <c r="C11" s="11">
        <f>NPV!B28</f>
        <v>4.6607217903431035</v>
      </c>
    </row>
    <row r="12">
      <c r="B12" s="14" t="inlineStr">
        <is>
          <t>Upside</t>
        </is>
      </c>
      <c r="C12" s="15">
        <f>IFERROR(C11/C3-1,"")</f>
        <v>0.47959421915654077</v>
      </c>
    </row>
    <row r="13">
      <c r="B13" s="14" t="inlineStr">
        <is>
          <t>Cash / Share</t>
        </is>
      </c>
      <c r="C13" s="11">
        <f>IFERROR((C7-C8)/C4,"")</f>
        <v>1.6365331771109577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14.988</v>
      </c>
      <c r="J2" s="52" t="n">
        <v>12.269</v>
      </c>
      <c r="K2" s="52" t="n">
        <v>477.054</v>
      </c>
      <c r="L2" s="52" t="n">
        <v>26.742</v>
      </c>
      <c r="M2" s="52" t="n">
        <v>124.959</v>
      </c>
      <c r="N2" s="52" t="n">
        <v>133.67</v>
      </c>
      <c r="O2" s="52" t="n">
        <v>110.776</v>
      </c>
      <c r="P2" s="52" t="n">
        <v>139.917</v>
      </c>
      <c r="Q2" s="52" t="n">
        <v>138.719</v>
      </c>
      <c r="R2" s="52" t="n">
        <v>94.575</v>
      </c>
      <c r="S2" s="52">
        <f>R2*(1+NPV!C5)</f>
        <v>85.1175</v>
      </c>
      <c r="T2" s="52">
        <f>S2*(1+NPV!D5)</f>
        <v>77.7879375</v>
      </c>
      <c r="U2" s="52">
        <f>T2*(1+NPV!E5)</f>
        <v>72.16991979166667</v>
      </c>
      <c r="V2" s="52">
        <f>U2*(1+NPV!F5)</f>
        <v>67.96000780381945</v>
      </c>
      <c r="W2" s="52">
        <f>V2*(1+NPV!G5)</f>
        <v>64.93956301253858</v>
      </c>
      <c r="X2" s="52">
        <f>W2*(1+NPV!H5)</f>
        <v>62.95529858715546</v>
      </c>
      <c r="Y2" s="52">
        <f>X2*(1+NPV!I5)</f>
        <v>61.906043610702866</v>
      </c>
      <c r="Z2" s="52">
        <f>Y2*(1+NPV!J5)</f>
        <v>61.734082378450914</v>
      </c>
      <c r="AA2" s="52">
        <f>Z2*(1+NPV!K5)</f>
        <v>62.42001662710037</v>
      </c>
      <c r="AB2" s="52">
        <f>AA2*(1+NPV!L5)</f>
        <v>63.98051704277787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95.26900000000001</v>
      </c>
      <c r="L3" s="52" t="n">
        <v>1.783</v>
      </c>
      <c r="M3" s="52" t="n">
        <v>14.797</v>
      </c>
      <c r="N3" s="52" t="n">
        <v>16.602</v>
      </c>
      <c r="O3" s="52" t="n">
        <v>10.433</v>
      </c>
      <c r="P3" s="52" t="n">
        <v>17.825</v>
      </c>
      <c r="Q3" s="52" t="n">
        <v>31.289</v>
      </c>
      <c r="R3" s="52" t="n">
        <v>29.704</v>
      </c>
      <c r="S3" s="52">
        <f>S2*(1-Assumptions!$B$19)</f>
        <v>26.735406750000006</v>
      </c>
      <c r="T3" s="52">
        <f>T2*(1-Assumptions!$B$19)</f>
        <v>24.433191168750003</v>
      </c>
      <c r="U3" s="52">
        <f>U2*(1-Assumptions!$B$19)</f>
        <v>22.668571806562504</v>
      </c>
      <c r="V3" s="52">
        <f>V2*(1-Assumptions!$B$19)</f>
        <v>21.346238451179694</v>
      </c>
      <c r="W3" s="52">
        <f>W2*(1-Assumptions!$B$19)</f>
        <v>20.397516742238373</v>
      </c>
      <c r="X3" s="52">
        <f>X2*(1-Assumptions!$B$19)</f>
        <v>19.774259286225533</v>
      </c>
      <c r="Y3" s="52">
        <f>Y2*(1-Assumptions!$B$19)</f>
        <v>19.444688298121772</v>
      </c>
      <c r="Z3" s="52">
        <f>Z2*(1-Assumptions!$B$19)</f>
        <v>19.390675275071434</v>
      </c>
      <c r="AA3" s="52">
        <f>AA2*(1-Assumptions!$B$19)</f>
        <v>19.606127222572226</v>
      </c>
      <c r="AB3" s="52">
        <f>AB2*(1-Assumptions!$B$19)</f>
        <v>20.096280403136532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14.988</v>
      </c>
      <c r="J4" s="52">
        <f>J2-J3</f>
        <v>12.269</v>
      </c>
      <c r="K4" s="52">
        <f>K2-K3</f>
        <v>381.78499999999997</v>
      </c>
      <c r="L4" s="52">
        <f>L2-L3</f>
        <v>24.959</v>
      </c>
      <c r="M4" s="52">
        <f>M2-M3</f>
        <v>110.162</v>
      </c>
      <c r="N4" s="52">
        <f>N2-N3</f>
        <v>117.06799999999998</v>
      </c>
      <c r="O4" s="52">
        <f>O2-O3</f>
        <v>100.34299999999999</v>
      </c>
      <c r="P4" s="52">
        <f>P2-P3</f>
        <v>122.092</v>
      </c>
      <c r="Q4" s="52">
        <f>Q2-Q3</f>
        <v>107.42999999999999</v>
      </c>
      <c r="R4" s="52">
        <f>R2-R3</f>
        <v>64.87100000000001</v>
      </c>
      <c r="S4" s="52">
        <f>S2-S3</f>
        <v>58.38209325</v>
      </c>
      <c r="T4" s="52">
        <f>T2-T3</f>
        <v>53.35474633125</v>
      </c>
      <c r="U4" s="52">
        <f>U2-U3</f>
        <v>49.50134798510417</v>
      </c>
      <c r="V4" s="52">
        <f>V2-V3</f>
        <v>46.61376935263976</v>
      </c>
      <c r="W4" s="52">
        <f>W2-W3</f>
        <v>44.54204627030021</v>
      </c>
      <c r="X4" s="52">
        <f>X2-X3</f>
        <v>43.181039300929925</v>
      </c>
      <c r="Y4" s="52">
        <f>Y2-Y3</f>
        <v>42.46135531258109</v>
      </c>
      <c r="Z4" s="52">
        <f>Z2-Z3</f>
        <v>42.34340710337948</v>
      </c>
      <c r="AA4" s="52">
        <f>AA2-AA3</f>
        <v>42.81388940452814</v>
      </c>
      <c r="AB4" s="52">
        <f>AB2-AB3</f>
        <v>43.88423663964134</v>
      </c>
    </row>
    <row r="5">
      <c r="A5" s="2" t="inlineStr">
        <is>
          <t>Research &amp; Dev.</t>
        </is>
      </c>
      <c r="B5" s="52" t="n">
        <v>17.423</v>
      </c>
      <c r="C5" s="52" t="n">
        <v>22.659</v>
      </c>
      <c r="D5" s="52" t="n">
        <v>18.367</v>
      </c>
      <c r="E5" s="52" t="n">
        <v>18.213</v>
      </c>
      <c r="F5" s="52" t="n">
        <v>13.785</v>
      </c>
      <c r="G5" s="52" t="n">
        <v>10.707</v>
      </c>
      <c r="H5" s="52" t="n">
        <v>13.131</v>
      </c>
      <c r="I5" s="52" t="n">
        <v>19.711</v>
      </c>
      <c r="J5" s="52" t="n">
        <v>16.68</v>
      </c>
      <c r="K5" s="52" t="n">
        <v>13.016</v>
      </c>
      <c r="L5" s="52" t="n">
        <v>13.303</v>
      </c>
      <c r="M5" s="52" t="n">
        <v>10.939</v>
      </c>
      <c r="N5" s="52" t="n">
        <v>9.942</v>
      </c>
      <c r="O5" s="52" t="n">
        <v>22.526</v>
      </c>
      <c r="P5" s="52" t="n">
        <v>16.428</v>
      </c>
      <c r="Q5" s="52" t="n">
        <v>12.311</v>
      </c>
      <c r="R5" s="52" t="n">
        <v>19.956</v>
      </c>
      <c r="S5" s="52">
        <f>S7*Assumptions!$B$20</f>
        <v>8.0074648172025</v>
      </c>
      <c r="T5" s="52">
        <f>T7*Assumptions!$B$20</f>
        <v>7.796394515466379</v>
      </c>
      <c r="U5" s="52">
        <f>U7*Assumptions!$B$20</f>
        <v>7.677227424199383</v>
      </c>
      <c r="V5" s="52">
        <f>V7*Assumptions!$B$20</f>
        <v>7.64740049606782</v>
      </c>
      <c r="W5" s="52">
        <f>W7*Assumptions!$B$20</f>
        <v>7.706949086154649</v>
      </c>
      <c r="X5" s="52">
        <f>X7*Assumptions!$B$20</f>
        <v>7.858687132816527</v>
      </c>
      <c r="Y5" s="52">
        <f>Y7*Assumptions!$B$20</f>
        <v>8.108483368936836</v>
      </c>
      <c r="Z5" s="52">
        <f>Z7*Assumptions!$B$20</f>
        <v>8.465676452482041</v>
      </c>
      <c r="AA5" s="52">
        <f>AA7*Assumptions!$B$20</f>
        <v>8.943675246506972</v>
      </c>
      <c r="AB5" s="52">
        <f>AB7*Assumptions!$B$20</f>
        <v>9.560801243058595</v>
      </c>
    </row>
    <row r="6">
      <c r="A6" s="18" t="inlineStr">
        <is>
          <t>SG&amp;A &amp; Other</t>
        </is>
      </c>
      <c r="B6" s="52" t="n">
        <v>-5.545</v>
      </c>
      <c r="C6" s="52" t="n">
        <v>-9.936999999999999</v>
      </c>
      <c r="D6" s="52" t="n">
        <v>13.014</v>
      </c>
      <c r="E6" s="52" t="n">
        <v>4.323</v>
      </c>
      <c r="F6" s="52" t="n">
        <v>9.731</v>
      </c>
      <c r="G6" s="52" t="n">
        <v>198.96</v>
      </c>
      <c r="H6" s="52" t="n">
        <v>17.823</v>
      </c>
      <c r="I6" s="52" t="n">
        <v>26.292</v>
      </c>
      <c r="J6" s="52" t="n">
        <v>14.438</v>
      </c>
      <c r="K6" s="52" t="n">
        <v>13.669</v>
      </c>
      <c r="L6" s="52" t="n">
        <v>13.978</v>
      </c>
      <c r="M6" s="52" t="n">
        <v>14.722</v>
      </c>
      <c r="N6" s="52" t="n">
        <v>18.034</v>
      </c>
      <c r="O6" s="52" t="n">
        <v>35.117</v>
      </c>
      <c r="P6" s="52" t="n">
        <v>22.043</v>
      </c>
      <c r="Q6" s="52" t="n">
        <v>25.136</v>
      </c>
      <c r="R6" s="52" t="n">
        <v>21.213</v>
      </c>
      <c r="S6" s="52">
        <f>S7-S5</f>
        <v>8.5129907577975</v>
      </c>
      <c r="T6" s="52">
        <f>T7-T5</f>
        <v>8.288595200783629</v>
      </c>
      <c r="U6" s="52">
        <f>U7-U5</f>
        <v>8.161904872477702</v>
      </c>
      <c r="V6" s="52">
        <f>V7-V5</f>
        <v>8.130194915666902</v>
      </c>
      <c r="W6" s="52">
        <f>W7-W5</f>
        <v>8.193502917465423</v>
      </c>
      <c r="X6" s="52">
        <f>X7-X5</f>
        <v>8.354820465319488</v>
      </c>
      <c r="Y6" s="52">
        <f>Y7-Y5</f>
        <v>8.620386795983395</v>
      </c>
      <c r="Z6" s="52">
        <f>Z7-Z5</f>
        <v>9.000130134029286</v>
      </c>
      <c r="AA6" s="52">
        <f>AA7-AA5</f>
        <v>9.508305868630169</v>
      </c>
      <c r="AB6" s="52">
        <f>AB7-AB5</f>
        <v>10.16439216122982</v>
      </c>
    </row>
    <row r="7">
      <c r="A7" s="2" t="inlineStr">
        <is>
          <t>Operating Expense</t>
        </is>
      </c>
      <c r="B7" s="52">
        <f>SUM(B5:B6)</f>
        <v>11.877999999999998</v>
      </c>
      <c r="C7" s="52">
        <f>SUM(C5:C6)</f>
        <v>12.722</v>
      </c>
      <c r="D7" s="52">
        <f>SUM(D5:D6)</f>
        <v>31.381</v>
      </c>
      <c r="E7" s="52">
        <f>SUM(E5:E6)</f>
        <v>22.536</v>
      </c>
      <c r="F7" s="52">
        <f>SUM(F5:F6)</f>
        <v>23.516</v>
      </c>
      <c r="G7" s="52">
        <f>SUM(G5:G6)</f>
        <v>209.667</v>
      </c>
      <c r="H7" s="52">
        <f>SUM(H5:H6)</f>
        <v>30.954</v>
      </c>
      <c r="I7" s="52">
        <f>SUM(I5:I6)</f>
        <v>46.003</v>
      </c>
      <c r="J7" s="52">
        <f>SUM(J5:J6)</f>
        <v>31.118000000000002</v>
      </c>
      <c r="K7" s="52">
        <f>SUM(K5:K6)</f>
        <v>26.685000000000002</v>
      </c>
      <c r="L7" s="52">
        <f>SUM(L5:L6)</f>
        <v>27.281</v>
      </c>
      <c r="M7" s="52">
        <f>SUM(M5:M6)</f>
        <v>25.661</v>
      </c>
      <c r="N7" s="52">
        <f>SUM(N5:N6)</f>
        <v>27.976</v>
      </c>
      <c r="O7" s="52">
        <f>SUM(O5:O6)</f>
        <v>57.643</v>
      </c>
      <c r="P7" s="52">
        <f>SUM(P5:P6)</f>
        <v>38.471000000000004</v>
      </c>
      <c r="Q7" s="52">
        <f>SUM(Q5:Q6)</f>
        <v>37.447</v>
      </c>
      <c r="R7" s="52">
        <f>SUM(R5:R6)</f>
        <v>41.169</v>
      </c>
      <c r="S7" s="52">
        <f>S4-S2*NPV!C6</f>
        <v>16.520455575</v>
      </c>
      <c r="T7" s="52">
        <f>T4-T2*NPV!D6</f>
        <v>16.084989716250007</v>
      </c>
      <c r="U7" s="52">
        <f>U4-U2*NPV!E6</f>
        <v>15.839132296677086</v>
      </c>
      <c r="V7" s="52">
        <f>V4-V2*NPV!F6</f>
        <v>15.777595411734723</v>
      </c>
      <c r="W7" s="52">
        <f>W4-W2*NPV!G6</f>
        <v>15.900452003620071</v>
      </c>
      <c r="X7" s="52">
        <f>X4-X2*NPV!H6</f>
        <v>16.213507598136015</v>
      </c>
      <c r="Y7" s="52">
        <f>Y4-Y2*NPV!I6</f>
        <v>16.72887016492023</v>
      </c>
      <c r="Z7" s="52">
        <f>Z4-Z2*NPV!J6</f>
        <v>17.465806586511327</v>
      </c>
      <c r="AA7" s="52">
        <f>AA4-AA2*NPV!K6</f>
        <v>18.45198111513714</v>
      </c>
      <c r="AB7" s="52">
        <f>AB4-AB2*NPV!L6</f>
        <v>19.725193404288415</v>
      </c>
    </row>
    <row r="8">
      <c r="A8" s="2" t="inlineStr">
        <is>
          <t>Operating Income</t>
        </is>
      </c>
      <c r="B8" s="52">
        <f>B4-B7</f>
        <v>-11.877999999999998</v>
      </c>
      <c r="C8" s="52">
        <f>C4-C7</f>
        <v>-12.722</v>
      </c>
      <c r="D8" s="52">
        <f>D4-D7</f>
        <v>-31.381</v>
      </c>
      <c r="E8" s="52">
        <f>E4-E7</f>
        <v>-22.536</v>
      </c>
      <c r="F8" s="52">
        <f>F4-F7</f>
        <v>-23.516</v>
      </c>
      <c r="G8" s="52">
        <f>G4-G7</f>
        <v>-209.667</v>
      </c>
      <c r="H8" s="52">
        <f>H4-H7</f>
        <v>-30.954</v>
      </c>
      <c r="I8" s="52">
        <f>I4-I7</f>
        <v>-31.015</v>
      </c>
      <c r="J8" s="52">
        <f>J4-J7</f>
        <v>-18.849000000000004</v>
      </c>
      <c r="K8" s="52">
        <f>K4-K7</f>
        <v>355.09999999999997</v>
      </c>
      <c r="L8" s="52">
        <f>L4-L7</f>
        <v>-2.321999999999999</v>
      </c>
      <c r="M8" s="52">
        <f>M4-M7</f>
        <v>84.501</v>
      </c>
      <c r="N8" s="52">
        <f>N4-N7</f>
        <v>89.09199999999998</v>
      </c>
      <c r="O8" s="52">
        <f>O4-O7</f>
        <v>42.69999999999999</v>
      </c>
      <c r="P8" s="52">
        <f>P4-P7</f>
        <v>83.621</v>
      </c>
      <c r="Q8" s="52">
        <f>Q4-Q7</f>
        <v>69.98299999999999</v>
      </c>
      <c r="R8" s="52">
        <f>R4-R7</f>
        <v>23.702000000000012</v>
      </c>
      <c r="S8" s="52">
        <f>S4-S7</f>
        <v>41.861637675</v>
      </c>
      <c r="T8" s="52">
        <f>T4-T7</f>
        <v>37.26975661499999</v>
      </c>
      <c r="U8" s="52">
        <f>U4-U7</f>
        <v>33.66221568842708</v>
      </c>
      <c r="V8" s="52">
        <f>V4-V7</f>
        <v>30.836173940905034</v>
      </c>
      <c r="W8" s="52">
        <f>W4-W7</f>
        <v>28.64159426668014</v>
      </c>
      <c r="X8" s="52">
        <f>X4-X7</f>
        <v>26.96753170279391</v>
      </c>
      <c r="Y8" s="52">
        <f>Y4-Y7</f>
        <v>25.73248514766086</v>
      </c>
      <c r="Z8" s="52">
        <f>Z4-Z7</f>
        <v>24.87760051686815</v>
      </c>
      <c r="AA8" s="52">
        <f>AA4-AA7</f>
        <v>24.361908289391</v>
      </c>
      <c r="AB8" s="52">
        <f>AB4-AB7</f>
        <v>24.15904323535292</v>
      </c>
    </row>
    <row r="9">
      <c r="A9" s="18" t="inlineStr">
        <is>
          <t>Interest &amp; Other</t>
        </is>
      </c>
      <c r="B9" s="52" t="n">
        <v>-7.521</v>
      </c>
      <c r="C9" s="52" t="n">
        <v>-37.451</v>
      </c>
      <c r="D9" s="52" t="n">
        <v>24.449</v>
      </c>
      <c r="E9" s="52" t="n">
        <v>0.632</v>
      </c>
      <c r="F9" s="52" t="n">
        <v>-1.28</v>
      </c>
      <c r="G9" s="52" t="n">
        <v>-2.268</v>
      </c>
      <c r="H9" s="52" t="n">
        <v>-8.036</v>
      </c>
      <c r="I9" s="52" t="n">
        <v>-8.669</v>
      </c>
      <c r="J9" s="52" t="n">
        <v>-19.48</v>
      </c>
      <c r="K9" s="52" t="n">
        <v>56.54</v>
      </c>
      <c r="L9" s="52" t="n">
        <v>-7.856</v>
      </c>
      <c r="M9" s="52" t="n">
        <v>-10.992</v>
      </c>
      <c r="N9" s="52" t="n">
        <v>0.219</v>
      </c>
      <c r="O9" s="52" t="n">
        <v>1.433</v>
      </c>
      <c r="P9" s="52" t="n">
        <v>4.156</v>
      </c>
      <c r="Q9" s="52" t="n">
        <v>6.087</v>
      </c>
      <c r="R9" s="52" t="n">
        <v>6.68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-19.398999999999997</v>
      </c>
      <c r="C10" s="52">
        <f>C8+C9</f>
        <v>-50.173</v>
      </c>
      <c r="D10" s="52">
        <f>D8+D9</f>
        <v>-6.931999999999999</v>
      </c>
      <c r="E10" s="52">
        <f>E8+E9</f>
        <v>-21.904</v>
      </c>
      <c r="F10" s="52">
        <f>F8+F9</f>
        <v>-24.796</v>
      </c>
      <c r="G10" s="52">
        <f>G8+G9</f>
        <v>-211.935</v>
      </c>
      <c r="H10" s="52">
        <f>H8+H9</f>
        <v>-38.99</v>
      </c>
      <c r="I10" s="52">
        <f>I8+I9</f>
        <v>-39.684</v>
      </c>
      <c r="J10" s="52">
        <f>J8+J9</f>
        <v>-38.32900000000001</v>
      </c>
      <c r="K10" s="52">
        <f>K8+K9</f>
        <v>411.64</v>
      </c>
      <c r="L10" s="52">
        <f>L8+L9</f>
        <v>-10.177999999999999</v>
      </c>
      <c r="M10" s="52">
        <f>M8+M9</f>
        <v>73.509</v>
      </c>
      <c r="N10" s="52">
        <f>N8+N9</f>
        <v>89.31099999999998</v>
      </c>
      <c r="O10" s="52">
        <f>O8+O9</f>
        <v>44.13299999999999</v>
      </c>
      <c r="P10" s="52">
        <f>P8+P9</f>
        <v>87.777</v>
      </c>
      <c r="Q10" s="52">
        <f>Q8+Q9</f>
        <v>76.07</v>
      </c>
      <c r="R10" s="52">
        <f>R8+R9</f>
        <v>30.382000000000012</v>
      </c>
      <c r="S10" s="52">
        <f>S8+S9</f>
        <v>41.861637675</v>
      </c>
      <c r="T10" s="52">
        <f>T8+T9</f>
        <v>37.26975661499999</v>
      </c>
      <c r="U10" s="52">
        <f>U8+U9</f>
        <v>33.66221568842708</v>
      </c>
      <c r="V10" s="52">
        <f>V8+V9</f>
        <v>30.836173940905034</v>
      </c>
      <c r="W10" s="52">
        <f>W8+W9</f>
        <v>28.64159426668014</v>
      </c>
      <c r="X10" s="52">
        <f>X8+X9</f>
        <v>26.96753170279391</v>
      </c>
      <c r="Y10" s="52">
        <f>Y8+Y9</f>
        <v>25.73248514766086</v>
      </c>
      <c r="Z10" s="52">
        <f>Z8+Z9</f>
        <v>24.87760051686815</v>
      </c>
      <c r="AA10" s="52">
        <f>AA8+AA9</f>
        <v>24.361908289391</v>
      </c>
      <c r="AB10" s="52">
        <f>AB8+AB9</f>
        <v>24.15904323535292</v>
      </c>
    </row>
    <row r="11">
      <c r="A11" s="2" t="inlineStr">
        <is>
          <t>Taxes</t>
        </is>
      </c>
      <c r="B11" s="52" t="n">
        <v>0</v>
      </c>
      <c r="C11" s="52" t="n">
        <v>0.175</v>
      </c>
      <c r="D11" s="52" t="n">
        <v>-36.032</v>
      </c>
      <c r="E11" s="52" t="n">
        <v>-7.844</v>
      </c>
      <c r="F11" s="52" t="n">
        <v>-7.618</v>
      </c>
      <c r="G11" s="52" t="n">
        <v>53.528</v>
      </c>
      <c r="H11" s="52" t="n">
        <v>0.462</v>
      </c>
      <c r="I11" s="52" t="n">
        <v>0.014</v>
      </c>
      <c r="J11" s="52" t="n">
        <v>-2.094</v>
      </c>
      <c r="K11" s="52" t="n">
        <v>-10.168</v>
      </c>
      <c r="L11" s="52" t="n">
        <v>-2.937</v>
      </c>
      <c r="M11" s="52" t="n">
        <v>17.167</v>
      </c>
      <c r="N11" s="52" t="n">
        <v>19.861</v>
      </c>
      <c r="O11" s="52" t="n">
        <v>10.228</v>
      </c>
      <c r="P11" s="52" t="n">
        <v>19.708</v>
      </c>
      <c r="Q11" s="52" t="n">
        <v>16.856</v>
      </c>
      <c r="R11" s="52" t="n">
        <v>7.103</v>
      </c>
      <c r="S11" s="52">
        <f>MAX(0,S10)*Assumptions!$E$14</f>
        <v>7.11647840475</v>
      </c>
      <c r="T11" s="52">
        <f>MAX(0,T10)*Assumptions!$E$14</f>
        <v>6.335858624549999</v>
      </c>
      <c r="U11" s="52">
        <f>MAX(0,U10)*Assumptions!$E$14</f>
        <v>5.722576667032604</v>
      </c>
      <c r="V11" s="52">
        <f>MAX(0,V10)*Assumptions!$E$14</f>
        <v>5.242149569953856</v>
      </c>
      <c r="W11" s="52">
        <f>MAX(0,W10)*Assumptions!$E$14</f>
        <v>4.869071025335624</v>
      </c>
      <c r="X11" s="52">
        <f>MAX(0,X10)*Assumptions!$E$14</f>
        <v>4.584480389474965</v>
      </c>
      <c r="Y11" s="52">
        <f>MAX(0,Y10)*Assumptions!$E$14</f>
        <v>4.374522475102347</v>
      </c>
      <c r="Z11" s="52">
        <f>MAX(0,Z10)*Assumptions!$E$14</f>
        <v>4.2291920878675855</v>
      </c>
      <c r="AA11" s="52">
        <f>MAX(0,AA10)*Assumptions!$E$14</f>
        <v>4.14152440919647</v>
      </c>
      <c r="AB11" s="52">
        <f>MAX(0,AB10)*Assumptions!$E$14</f>
        <v>4.107037350009997</v>
      </c>
    </row>
    <row r="12">
      <c r="A12" s="2" t="inlineStr">
        <is>
          <t>Net Income</t>
        </is>
      </c>
      <c r="B12" s="52" t="n">
        <v>-19.4</v>
      </c>
      <c r="C12" s="52" t="n">
        <v>-50.348</v>
      </c>
      <c r="D12" s="52" t="n">
        <v>29.1</v>
      </c>
      <c r="E12" s="52" t="n">
        <v>-14.06</v>
      </c>
      <c r="F12" s="52" t="n">
        <v>-17.177</v>
      </c>
      <c r="G12" s="52" t="n">
        <v>-265.463</v>
      </c>
      <c r="H12" s="52" t="n">
        <v>-39.451</v>
      </c>
      <c r="I12" s="52" t="n">
        <v>-39.698</v>
      </c>
      <c r="J12" s="52" t="n">
        <v>-36.235</v>
      </c>
      <c r="K12" s="52" t="n">
        <v>421.808</v>
      </c>
      <c r="L12" s="52" t="n">
        <v>-7.241</v>
      </c>
      <c r="M12" s="52" t="n">
        <v>56.342</v>
      </c>
      <c r="N12" s="52" t="n">
        <v>69.45099999999999</v>
      </c>
      <c r="O12" s="52" t="n">
        <v>33.905</v>
      </c>
      <c r="P12" s="52" t="n">
        <v>68.069</v>
      </c>
      <c r="Q12" s="52" t="n">
        <v>59.214</v>
      </c>
      <c r="R12" s="52" t="n">
        <v>23.279</v>
      </c>
      <c r="S12" s="52">
        <f>S10-S11</f>
        <v>34.74515927025</v>
      </c>
      <c r="T12" s="52">
        <f>T10-T11</f>
        <v>30.933897990449992</v>
      </c>
      <c r="U12" s="52">
        <f>U10-U11</f>
        <v>27.939639021394477</v>
      </c>
      <c r="V12" s="52">
        <f>V10-V11</f>
        <v>25.59402437095118</v>
      </c>
      <c r="W12" s="52">
        <f>W10-W11</f>
        <v>23.772523241344516</v>
      </c>
      <c r="X12" s="52">
        <f>X10-X11</f>
        <v>22.383051313318944</v>
      </c>
      <c r="Y12" s="52">
        <f>Y10-Y11</f>
        <v>21.357962672558514</v>
      </c>
      <c r="Z12" s="52">
        <f>Z10-Z11</f>
        <v>20.648408429000565</v>
      </c>
      <c r="AA12" s="52">
        <f>AA10-AA11</f>
        <v>20.22038388019453</v>
      </c>
      <c r="AB12" s="52">
        <f>AB10-AB11</f>
        <v>20.052005885342925</v>
      </c>
    </row>
    <row r="13">
      <c r="A13" s="2" t="inlineStr">
        <is>
          <t>Earnings per Share</t>
        </is>
      </c>
      <c r="B13" s="11">
        <f>IFERROR(B12/B14,0)</f>
        <v>-0.5178442730160424</v>
      </c>
      <c r="C13" s="11">
        <f>IFERROR(C12/C14,0)</f>
        <v>-1.115077958894401</v>
      </c>
      <c r="D13" s="11">
        <f>IFERROR(D12/D14,0)</f>
        <v>0.5382708741814953</v>
      </c>
      <c r="E13" s="11">
        <f>IFERROR(E12/E14,0)</f>
        <v>-0.27226955848179707</v>
      </c>
      <c r="F13" s="11">
        <f>IFERROR(F12/F14,0)</f>
        <v>-0.3279993889514789</v>
      </c>
      <c r="G13" s="11">
        <f>IFERROR(G12/G14,0)</f>
        <v>-4.9693560464245605</v>
      </c>
      <c r="H13" s="11">
        <f>IFERROR(H12/H14,0)</f>
        <v>-0.7335899438432073</v>
      </c>
      <c r="I13" s="11">
        <f>IFERROR(I12/I14,0)</f>
        <v>-0.6941544702652608</v>
      </c>
      <c r="J13" s="11">
        <f>IFERROR(J12/J14,0)</f>
        <v>-0.4594036057509446</v>
      </c>
      <c r="K13" s="11">
        <f>IFERROR(K12/K14,0)</f>
        <v>5.099966145959279</v>
      </c>
      <c r="L13" s="11">
        <f>IFERROR(L12/L14,0)</f>
        <v>-0.08811682385153635</v>
      </c>
      <c r="M13" s="11">
        <f>IFERROR(M12/M14,0)</f>
        <v>0.7092664627314728</v>
      </c>
      <c r="N13" s="11">
        <f>IFERROR(N12/N14,0)</f>
        <v>0.9090088085546377</v>
      </c>
      <c r="O13" s="11">
        <f>IFERROR(O12/O14,0)</f>
        <v>0.46099772934314115</v>
      </c>
      <c r="P13" s="11">
        <f>IFERROR(P12/P14,0)</f>
        <v>0.9496365741709566</v>
      </c>
      <c r="Q13" s="11">
        <f>IFERROR(Q12/Q14,0)</f>
        <v>0.8234917809362222</v>
      </c>
      <c r="R13" s="11">
        <f>IFERROR(R12/R14,0)</f>
        <v>0.3239132854678021</v>
      </c>
      <c r="S13" s="11">
        <f>IFERROR(S12/S14,0)</f>
        <v>0.48358102445735485</v>
      </c>
      <c r="T13" s="11">
        <f>IFERROR(T12/T14,0)</f>
        <v>0.4305361205665725</v>
      </c>
      <c r="U13" s="11">
        <f>IFERROR(U12/U14,0)</f>
        <v>0.38886220540376915</v>
      </c>
      <c r="V13" s="11">
        <f>IFERROR(V12/V14,0)</f>
        <v>0.35621608262099713</v>
      </c>
      <c r="W13" s="11">
        <f>IFERROR(W12/W14,0)</f>
        <v>0.3308645401095881</v>
      </c>
      <c r="X13" s="11">
        <f>IFERROR(X12/X14,0)</f>
        <v>0.31152595388573207</v>
      </c>
      <c r="Y13" s="11">
        <f>IFERROR(Y12/Y14,0)</f>
        <v>0.29725883220691524</v>
      </c>
      <c r="Z13" s="11">
        <f>IFERROR(Z12/Z14,0)</f>
        <v>0.28738329917686195</v>
      </c>
      <c r="AA13" s="11">
        <f>IFERROR(AA12/AA14,0)</f>
        <v>0.28142607940432957</v>
      </c>
      <c r="AB13" s="11">
        <f>IFERROR(AB12/AB14,0)</f>
        <v>0.2790826046597446</v>
      </c>
    </row>
    <row r="14">
      <c r="A14" s="2" t="inlineStr">
        <is>
          <t>Shares</t>
        </is>
      </c>
      <c r="B14" s="52" t="n">
        <v>37.463</v>
      </c>
      <c r="C14" s="52" t="n">
        <v>45.152</v>
      </c>
      <c r="D14" s="52" t="n">
        <v>54.062</v>
      </c>
      <c r="E14" s="52" t="n">
        <v>51.64</v>
      </c>
      <c r="F14" s="52" t="n">
        <v>52.369</v>
      </c>
      <c r="G14" s="52" t="n">
        <v>53.42</v>
      </c>
      <c r="H14" s="52" t="n">
        <v>53.778</v>
      </c>
      <c r="I14" s="52" t="n">
        <v>57.189</v>
      </c>
      <c r="J14" s="52" t="n">
        <v>78.874</v>
      </c>
      <c r="K14" s="52" t="n">
        <v>82.708</v>
      </c>
      <c r="L14" s="52" t="n">
        <v>82.175</v>
      </c>
      <c r="M14" s="52" t="n">
        <v>79.437</v>
      </c>
      <c r="N14" s="52" t="n">
        <v>76.40300000000001</v>
      </c>
      <c r="O14" s="52" t="n">
        <v>73.547</v>
      </c>
      <c r="P14" s="52" t="n">
        <v>71.679</v>
      </c>
      <c r="Q14" s="52" t="n">
        <v>71.90600000000001</v>
      </c>
      <c r="R14" s="52" t="n">
        <v>71.86799999999999</v>
      </c>
      <c r="S14" s="52">
        <f>Main!$C$4</f>
        <v>71.849716</v>
      </c>
      <c r="T14" s="52">
        <f>Main!$C$4</f>
        <v>71.849716</v>
      </c>
      <c r="U14" s="52">
        <f>Main!$C$4</f>
        <v>71.849716</v>
      </c>
      <c r="V14" s="52">
        <f>Main!$C$4</f>
        <v>71.849716</v>
      </c>
      <c r="W14" s="52">
        <f>Main!$C$4</f>
        <v>71.849716</v>
      </c>
      <c r="X14" s="52">
        <f>Main!$C$4</f>
        <v>71.849716</v>
      </c>
      <c r="Y14" s="52">
        <f>Main!$C$4</f>
        <v>71.849716</v>
      </c>
      <c r="Z14" s="52">
        <f>Main!$C$4</f>
        <v>71.849716</v>
      </c>
      <c r="AA14" s="52">
        <f>Main!$C$4</f>
        <v>71.849716</v>
      </c>
      <c r="AB14" s="52">
        <f>Main!$C$4</f>
        <v>71.849716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-0.18141179610354952</v>
      </c>
      <c r="K16" s="15">
        <f>IFERROR(K2/J2-1,"")</f>
        <v>37.882875539978805</v>
      </c>
      <c r="L16" s="15">
        <f>IFERROR(L2/K2-1,"")</f>
        <v>-0.9439434529424342</v>
      </c>
      <c r="M16" s="15">
        <f>IFERROR(M2/L2-1,"")</f>
        <v>3.6727619474983175</v>
      </c>
      <c r="N16" s="15">
        <f>IFERROR(N2/M2-1,"")</f>
        <v>0.06971086516377367</v>
      </c>
      <c r="O16" s="15">
        <f>IFERROR(O2/N2-1,"")</f>
        <v>-0.17127253684446764</v>
      </c>
      <c r="P16" s="15">
        <f>IFERROR(P2/O2-1,"")</f>
        <v>0.26306239618689964</v>
      </c>
      <c r="Q16" s="15">
        <f>IFERROR(Q2/P2-1,"")</f>
        <v>-0.008562219029853435</v>
      </c>
      <c r="R16" s="15">
        <f>IFERROR(R2/Q2-1,"")</f>
        <v>-0.31822605410938654</v>
      </c>
      <c r="S16" s="15">
        <f>IFERROR(S2/R2-1,"")</f>
        <v>-0.09999999999999998</v>
      </c>
      <c r="T16" s="15">
        <f>IFERROR(T2/S2-1,"")</f>
        <v>-0.08611111111111125</v>
      </c>
      <c r="U16" s="15">
        <f>IFERROR(U2/T2-1,"")</f>
        <v>-0.07222222222222219</v>
      </c>
      <c r="V16" s="15">
        <f>IFERROR(V2/U2-1,"")</f>
        <v>-0.05833333333333335</v>
      </c>
      <c r="W16" s="15">
        <f>IFERROR(W2/V2-1,"")</f>
        <v>-0.04444444444444451</v>
      </c>
      <c r="X16" s="15">
        <f>IFERROR(X2/W2-1,"")</f>
        <v>-0.030555555555555558</v>
      </c>
      <c r="Y16" s="15">
        <f>IFERROR(Y2/X2-1,"")</f>
        <v>-0.01666666666666672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0.800297240983201</v>
      </c>
      <c r="L17" s="15">
        <f>IFERROR(L4/L2,"")</f>
        <v>0.9333258544611472</v>
      </c>
      <c r="M17" s="15">
        <f>IFERROR(M4/M2,"")</f>
        <v>0.8815851599324579</v>
      </c>
      <c r="N17" s="15">
        <f>IFERROR(N4/N2,"")</f>
        <v>0.8757986085135033</v>
      </c>
      <c r="O17" s="15">
        <f>IFERROR(O4/O2,"")</f>
        <v>0.9058189499530583</v>
      </c>
      <c r="P17" s="15">
        <f>IFERROR(P4/P2,"")</f>
        <v>0.8726030432327737</v>
      </c>
      <c r="Q17" s="15">
        <f>IFERROR(Q4/Q2,"")</f>
        <v>0.7744432990433898</v>
      </c>
      <c r="R17" s="15">
        <f>IFERROR(R4/R2,"")</f>
        <v>0.6859212265397833</v>
      </c>
      <c r="S17" s="15">
        <f>IFERROR(S4/S2,"")</f>
        <v>0.6859</v>
      </c>
      <c r="T17" s="15">
        <f>IFERROR(T4/T2,"")</f>
        <v>0.6859</v>
      </c>
      <c r="U17" s="15">
        <f>IFERROR(U4/U2,"")</f>
        <v>0.6859</v>
      </c>
      <c r="V17" s="15">
        <f>IFERROR(V4/V2,"")</f>
        <v>0.6859</v>
      </c>
      <c r="W17" s="15">
        <f>IFERROR(W4/W2,"")</f>
        <v>0.6859</v>
      </c>
      <c r="X17" s="15">
        <f>IFERROR(X4/X2,"")</f>
        <v>0.6859</v>
      </c>
      <c r="Y17" s="15">
        <f>IFERROR(Y4/Y2,"")</f>
        <v>0.6859</v>
      </c>
      <c r="Z17" s="15">
        <f>IFERROR(Z4/Z2,"")</f>
        <v>0.6859</v>
      </c>
      <c r="AA17" s="15">
        <f>IFERROR(AA4/AA2,"")</f>
        <v>0.6859</v>
      </c>
      <c r="AB17" s="15">
        <f>IFERROR(AB4/AB2,"")</f>
        <v>0.6859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-2.0693221243661597</v>
      </c>
      <c r="J18" s="15">
        <f>IFERROR(J8/J2,"")</f>
        <v>-1.5363110277936265</v>
      </c>
      <c r="K18" s="15">
        <f>IFERROR(K8/K2,"")</f>
        <v>0.7443601772545665</v>
      </c>
      <c r="L18" s="15">
        <f>IFERROR(L8/L2,"")</f>
        <v>-0.08682970608032306</v>
      </c>
      <c r="M18" s="15">
        <f>IFERROR(M8/M2,"")</f>
        <v>0.6762298033755072</v>
      </c>
      <c r="N18" s="15">
        <f>IFERROR(N8/N2,"")</f>
        <v>0.6665070696491359</v>
      </c>
      <c r="O18" s="15">
        <f>IFERROR(O8/O2,"")</f>
        <v>0.3854625550660792</v>
      </c>
      <c r="P18" s="15">
        <f>IFERROR(P8/P2,"")</f>
        <v>0.5976471765403775</v>
      </c>
      <c r="Q18" s="15">
        <f>IFERROR(Q8/Q2,"")</f>
        <v>0.504494697914489</v>
      </c>
      <c r="R18" s="15">
        <f>IFERROR(R8/R2,"")</f>
        <v>0.25061591329632577</v>
      </c>
      <c r="S18" s="15">
        <f>IFERROR(S8/S2,"")</f>
        <v>0.4918099999999999</v>
      </c>
      <c r="T18" s="15">
        <f>IFERROR(T8/T2,"")</f>
        <v>0.4791199999999999</v>
      </c>
      <c r="U18" s="15">
        <f>IFERROR(U8/U2,"")</f>
        <v>0.46642999999999996</v>
      </c>
      <c r="V18" s="15">
        <f>IFERROR(V8/V2,"")</f>
        <v>0.45374</v>
      </c>
      <c r="W18" s="15">
        <f>IFERROR(W8/W2,"")</f>
        <v>0.44104999999999994</v>
      </c>
      <c r="X18" s="15">
        <f>IFERROR(X8/X2,"")</f>
        <v>0.42835999999999996</v>
      </c>
      <c r="Y18" s="15">
        <f>IFERROR(Y8/Y2,"")</f>
        <v>0.41567</v>
      </c>
      <c r="Z18" s="15">
        <f>IFERROR(Z8/Z2,"")</f>
        <v>0.40298</v>
      </c>
      <c r="AA18" s="15">
        <f>IFERROR(AA8/AA2,"")</f>
        <v>0.39028999999999997</v>
      </c>
      <c r="AB18" s="15">
        <f>IFERROR(AB8/AB2,"")</f>
        <v>0.3776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SIGA Technologies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0.3276</v>
      </c>
      <c r="C13" s="53" t="n">
        <v>0.3776</v>
      </c>
      <c r="D13" s="53" t="n">
        <v>0.4276</v>
      </c>
      <c r="E13" s="54">
        <f>CHOOSE($B$4,B13,C13,D13)</f>
        <v>0.3776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0.5044999999999999</v>
      </c>
    </row>
    <row r="19">
      <c r="A19" s="14" t="inlineStr">
        <is>
          <t>Gross margin (forecast)</t>
        </is>
      </c>
      <c r="B19" s="53" t="n">
        <v>0.6859</v>
      </c>
    </row>
    <row r="20">
      <c r="A20" s="14" t="inlineStr">
        <is>
          <t>R&amp;D share of operating expense (forecast)</t>
        </is>
      </c>
      <c r="B20" s="53" t="n">
        <v>0.4847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94.575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217.28709299116355</v>
      </c>
      <c r="C29" s="56">
        <f>NPV!B26</f>
        <v>334.87153699116357</v>
      </c>
      <c r="D29" s="35">
        <f>NPV!B28</f>
        <v>4.6607217903431035</v>
      </c>
      <c r="E29" s="57">
        <f>NPV!B30</f>
        <v>0.47959421915654077</v>
      </c>
    </row>
    <row r="30">
      <c r="A30" s="58" t="n">
        <v>1</v>
      </c>
      <c r="B30" s="59">
        <f t="dataTable" ref="B30:E32" r1="B4"/>
        <v>154.39682378730058</v>
      </c>
      <c r="C30" s="59">
        <v>271.98126778730057</v>
      </c>
      <c r="D30" s="39">
        <v>3.7854188287578</v>
      </c>
      <c r="E30" s="60">
        <v>0.2017202630977144</v>
      </c>
    </row>
    <row r="31">
      <c r="A31" s="58" t="n">
        <v>2</v>
      </c>
      <c r="B31" s="59">
        <v>217.28709299116355</v>
      </c>
      <c r="C31" s="59">
        <v>334.87153699116357</v>
      </c>
      <c r="D31" s="39">
        <v>4.6607217903431035</v>
      </c>
      <c r="E31" s="60">
        <v>0.47959421915654077</v>
      </c>
    </row>
    <row r="32">
      <c r="A32" s="58" t="n">
        <v>3</v>
      </c>
      <c r="B32" s="59">
        <v>320.0627918216659</v>
      </c>
      <c r="C32" s="59">
        <v>437.6472358216659</v>
      </c>
      <c r="D32" s="39">
        <v>6.091147748192434</v>
      </c>
      <c r="E32" s="60">
        <v>0.9336976978388678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4.6607217903431035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5.001300102349998</v>
      </c>
      <c r="C37" s="39">
        <v>5.112327575000047</v>
      </c>
      <c r="D37" s="39">
        <v>5.236754462572154</v>
      </c>
      <c r="E37" s="39">
        <v>5.377255696159503</v>
      </c>
      <c r="F37" s="39">
        <v>5.537270417231285</v>
      </c>
    </row>
    <row r="38">
      <c r="A38" s="62" t="n">
        <v>0.115</v>
      </c>
      <c r="B38" s="39">
        <v>4.734519692080292</v>
      </c>
      <c r="C38" s="39">
        <v>4.821540858543212</v>
      </c>
      <c r="D38" s="39">
        <v>4.91782279257457</v>
      </c>
      <c r="E38" s="39">
        <v>5.024995576269336</v>
      </c>
      <c r="F38" s="39">
        <v>5.145096765655124</v>
      </c>
    </row>
    <row r="39">
      <c r="A39" s="62" t="n">
        <v>0.125</v>
      </c>
      <c r="B39" s="39">
        <v>4.5145851607762255</v>
      </c>
      <c r="C39" s="39">
        <v>4.584341819614017</v>
      </c>
      <c r="D39" s="39">
        <v>4.6607217903431035</v>
      </c>
      <c r="E39" s="39">
        <v>4.744767297298688</v>
      </c>
      <c r="F39" s="39">
        <v>4.837752130627206</v>
      </c>
    </row>
    <row r="40">
      <c r="A40" s="62" t="n">
        <v>0.135</v>
      </c>
      <c r="B40" s="39">
        <v>4.329838751116877</v>
      </c>
      <c r="C40" s="39">
        <v>4.386809541068522</v>
      </c>
      <c r="D40" s="39">
        <v>4.448652245241395</v>
      </c>
      <c r="E40" s="39">
        <v>4.516059776347195</v>
      </c>
      <c r="F40" s="39">
        <v>4.589863595588631</v>
      </c>
    </row>
    <row r="41">
      <c r="A41" s="62" t="n">
        <v>0.145</v>
      </c>
      <c r="B41" s="39">
        <v>4.172209755009049</v>
      </c>
      <c r="C41" s="39">
        <v>4.219477785718845</v>
      </c>
      <c r="D41" s="39">
        <v>4.270414604873146</v>
      </c>
      <c r="E41" s="39">
        <v>4.325496071305753</v>
      </c>
      <c r="F41" s="39">
        <v>4.385284534076032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SIGA Technologies Inc: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0.25061591329632577</v>
      </c>
      <c r="C6" s="63">
        <f>Assumptions!$B$18+(Assumptions!$E$13-Assumptions!$B$18)*C4/Assumptions!$B$21</f>
        <v>0.49180999999999997</v>
      </c>
      <c r="D6" s="63">
        <f>Assumptions!$B$18+(Assumptions!$E$13-Assumptions!$B$18)*D4/Assumptions!$B$21</f>
        <v>0.47911999999999993</v>
      </c>
      <c r="E6" s="63">
        <f>Assumptions!$B$18+(Assumptions!$E$13-Assumptions!$B$18)*E4/Assumptions!$B$21</f>
        <v>0.46642999999999996</v>
      </c>
      <c r="F6" s="63">
        <f>Assumptions!$B$18+(Assumptions!$E$13-Assumptions!$B$18)*F4/Assumptions!$B$21</f>
        <v>0.45374</v>
      </c>
      <c r="G6" s="63">
        <f>Assumptions!$B$18+(Assumptions!$E$13-Assumptions!$B$18)*G4/Assumptions!$B$21</f>
        <v>0.44104999999999994</v>
      </c>
      <c r="H6" s="63">
        <f>Assumptions!$B$18+(Assumptions!$E$13-Assumptions!$B$18)*H4/Assumptions!$B$21</f>
        <v>0.42835999999999996</v>
      </c>
      <c r="I6" s="63">
        <f>Assumptions!$B$18+(Assumptions!$E$13-Assumptions!$B$18)*I4/Assumptions!$B$21</f>
        <v>0.41567</v>
      </c>
      <c r="J6" s="63">
        <f>Assumptions!$B$18+(Assumptions!$E$13-Assumptions!$B$18)*J4/Assumptions!$B$21</f>
        <v>0.40298</v>
      </c>
      <c r="K6" s="63">
        <f>Assumptions!$B$18+(Assumptions!$E$13-Assumptions!$B$18)*K4/Assumptions!$B$21</f>
        <v>0.39028999999999997</v>
      </c>
      <c r="L6" s="63">
        <f>Assumptions!$B$18+(Assumptions!$E$13-Assumptions!$B$18)*L4/Assumptions!$B$21</f>
        <v>0.3776</v>
      </c>
    </row>
    <row r="7">
      <c r="A7" s="14" t="inlineStr">
        <is>
          <t>Revenue</t>
        </is>
      </c>
      <c r="B7" s="55">
        <f>'Yearly Model'!R2</f>
        <v>94.575</v>
      </c>
      <c r="C7" s="55">
        <f>'Yearly Model'!S2</f>
        <v>85.1175</v>
      </c>
      <c r="D7" s="55">
        <f>'Yearly Model'!T2</f>
        <v>77.7879375</v>
      </c>
      <c r="E7" s="55">
        <f>'Yearly Model'!U2</f>
        <v>72.16991979166667</v>
      </c>
      <c r="F7" s="55">
        <f>'Yearly Model'!V2</f>
        <v>67.96000780381945</v>
      </c>
      <c r="G7" s="55">
        <f>'Yearly Model'!W2</f>
        <v>64.93956301253858</v>
      </c>
      <c r="H7" s="55">
        <f>'Yearly Model'!X2</f>
        <v>62.95529858715546</v>
      </c>
      <c r="I7" s="55">
        <f>'Yearly Model'!Y2</f>
        <v>61.906043610702866</v>
      </c>
      <c r="J7" s="55">
        <f>'Yearly Model'!Z2</f>
        <v>61.734082378450914</v>
      </c>
      <c r="K7" s="55">
        <f>'Yearly Model'!AA2</f>
        <v>62.42001662710037</v>
      </c>
      <c r="L7" s="55">
        <f>'Yearly Model'!AB2</f>
        <v>63.98051704277787</v>
      </c>
    </row>
    <row r="8">
      <c r="A8" s="14" t="inlineStr">
        <is>
          <t>Operating income</t>
        </is>
      </c>
      <c r="B8" s="55">
        <f>'Yearly Model'!R8</f>
        <v>23.702000000000012</v>
      </c>
      <c r="C8" s="55">
        <f>'Yearly Model'!S8</f>
        <v>41.861637675</v>
      </c>
      <c r="D8" s="55">
        <f>'Yearly Model'!T8</f>
        <v>37.26975661499999</v>
      </c>
      <c r="E8" s="55">
        <f>'Yearly Model'!U8</f>
        <v>33.66221568842708</v>
      </c>
      <c r="F8" s="55">
        <f>'Yearly Model'!V8</f>
        <v>30.836173940905034</v>
      </c>
      <c r="G8" s="55">
        <f>'Yearly Model'!W8</f>
        <v>28.64159426668014</v>
      </c>
      <c r="H8" s="55">
        <f>'Yearly Model'!X8</f>
        <v>26.96753170279391</v>
      </c>
      <c r="I8" s="55">
        <f>'Yearly Model'!Y8</f>
        <v>25.73248514766086</v>
      </c>
      <c r="J8" s="55">
        <f>'Yearly Model'!Z8</f>
        <v>24.87760051686815</v>
      </c>
      <c r="K8" s="55">
        <f>'Yearly Model'!AA8</f>
        <v>24.361908289391</v>
      </c>
      <c r="L8" s="55">
        <f>'Yearly Model'!AB8</f>
        <v>24.15904323535292</v>
      </c>
    </row>
    <row r="9">
      <c r="A9" s="14" t="inlineStr">
        <is>
          <t>Tax on operating income</t>
        </is>
      </c>
      <c r="C9" s="52">
        <f>MAX(0,C8)*Assumptions!$E$14</f>
        <v>7.11647840475</v>
      </c>
      <c r="D9" s="52">
        <f>MAX(0,D8)*Assumptions!$E$14</f>
        <v>6.335858624549999</v>
      </c>
      <c r="E9" s="52">
        <f>MAX(0,E8)*Assumptions!$E$14</f>
        <v>5.722576667032604</v>
      </c>
      <c r="F9" s="52">
        <f>MAX(0,F8)*Assumptions!$E$14</f>
        <v>5.242149569953856</v>
      </c>
      <c r="G9" s="52">
        <f>MAX(0,G8)*Assumptions!$E$14</f>
        <v>4.869071025335624</v>
      </c>
      <c r="H9" s="52">
        <f>MAX(0,H8)*Assumptions!$E$14</f>
        <v>4.584480389474965</v>
      </c>
      <c r="I9" s="52">
        <f>MAX(0,I8)*Assumptions!$E$14</f>
        <v>4.374522475102347</v>
      </c>
      <c r="J9" s="52">
        <f>MAX(0,J8)*Assumptions!$E$14</f>
        <v>4.2291920878675855</v>
      </c>
      <c r="K9" s="52">
        <f>MAX(0,K8)*Assumptions!$E$14</f>
        <v>4.14152440919647</v>
      </c>
      <c r="L9" s="52">
        <f>MAX(0,L8)*Assumptions!$E$14</f>
        <v>4.107037350009997</v>
      </c>
    </row>
    <row r="10">
      <c r="A10" s="14" t="inlineStr">
        <is>
          <t>NOPAT</t>
        </is>
      </c>
      <c r="C10" s="52">
        <f>C8-C9</f>
        <v>34.74515927025</v>
      </c>
      <c r="D10" s="52">
        <f>D8-D9</f>
        <v>30.933897990449992</v>
      </c>
      <c r="E10" s="52">
        <f>E8-E9</f>
        <v>27.939639021394477</v>
      </c>
      <c r="F10" s="52">
        <f>F8-F9</f>
        <v>25.59402437095118</v>
      </c>
      <c r="G10" s="52">
        <f>G8-G9</f>
        <v>23.772523241344516</v>
      </c>
      <c r="H10" s="52">
        <f>H8-H9</f>
        <v>22.383051313318944</v>
      </c>
      <c r="I10" s="52">
        <f>I8-I9</f>
        <v>21.357962672558514</v>
      </c>
      <c r="J10" s="52">
        <f>J8-J9</f>
        <v>20.648408429000565</v>
      </c>
      <c r="K10" s="52">
        <f>K8-K9</f>
        <v>20.22038388019453</v>
      </c>
      <c r="L10" s="52">
        <f>L8-L9</f>
        <v>20.052005885342925</v>
      </c>
    </row>
    <row r="11">
      <c r="A11" s="14" t="inlineStr">
        <is>
          <t>Reinvestment</t>
        </is>
      </c>
      <c r="C11" s="52">
        <f>(C7-B7)*Assumptions!$E$15</f>
        <v>-2.364374999999999</v>
      </c>
      <c r="D11" s="52">
        <f>(D7-C7)*Assumptions!$E$15</f>
        <v>-1.8323906250000022</v>
      </c>
      <c r="E11" s="52">
        <f>(E7-D7)*Assumptions!$E$15</f>
        <v>-1.4045044270833316</v>
      </c>
      <c r="F11" s="52">
        <f>(F7-E7)*Assumptions!$E$15</f>
        <v>-1.0524779969618052</v>
      </c>
      <c r="G11" s="52">
        <f>(G7-F7)*Assumptions!$E$15</f>
        <v>-0.7551111978202165</v>
      </c>
      <c r="H11" s="52">
        <f>(H7-G7)*Assumptions!$E$15</f>
        <v>-0.49606610634578097</v>
      </c>
      <c r="I11" s="52">
        <f>(I7-H7)*Assumptions!$E$15</f>
        <v>-0.2623137441131487</v>
      </c>
      <c r="J11" s="52">
        <f>(J7-I7)*Assumptions!$E$15</f>
        <v>-0.04299030806298809</v>
      </c>
      <c r="K11" s="52">
        <f>(K7-J7)*Assumptions!$E$15</f>
        <v>0.17148356216236316</v>
      </c>
      <c r="L11" s="52">
        <f>(L7-K7)*Assumptions!$E$15</f>
        <v>0.3901251039193756</v>
      </c>
    </row>
    <row r="12">
      <c r="A12" s="20" t="inlineStr">
        <is>
          <t>Free cash flow</t>
        </is>
      </c>
      <c r="C12" s="64">
        <f>C10-C11</f>
        <v>37.109534270249995</v>
      </c>
      <c r="D12" s="64">
        <f>D10-D11</f>
        <v>32.766288615449994</v>
      </c>
      <c r="E12" s="64">
        <f>E10-E11</f>
        <v>29.34414344847781</v>
      </c>
      <c r="F12" s="64">
        <f>F10-F11</f>
        <v>26.646502367912984</v>
      </c>
      <c r="G12" s="64">
        <f>G10-G11</f>
        <v>24.527634439164732</v>
      </c>
      <c r="H12" s="64">
        <f>H10-H11</f>
        <v>22.879117419664723</v>
      </c>
      <c r="I12" s="64">
        <f>I10-I11</f>
        <v>21.620276416671665</v>
      </c>
      <c r="J12" s="64">
        <f>J10-J11</f>
        <v>20.69139873706355</v>
      </c>
      <c r="K12" s="64">
        <f>K10-K11</f>
        <v>20.048900318032167</v>
      </c>
      <c r="L12" s="64">
        <f>L10-L11</f>
        <v>19.661880781423548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18.15972251387097</v>
      </c>
      <c r="D16" s="64">
        <f>D12*D13*D15</f>
        <v>29.11152822432884</v>
      </c>
      <c r="E16" s="64">
        <f>E12*E13*E15</f>
        <v>23.174302242832667</v>
      </c>
      <c r="F16" s="64">
        <f>F12*F13*F15</f>
        <v>18.705654939974202</v>
      </c>
      <c r="G16" s="64">
        <f>G12*G13*G15</f>
        <v>15.305088658017134</v>
      </c>
      <c r="H16" s="64">
        <f>H12*H13*H15</f>
        <v>12.690155085410126</v>
      </c>
      <c r="I16" s="64">
        <f>I12*I13*I15</f>
        <v>10.659488910419855</v>
      </c>
      <c r="J16" s="64">
        <f>J12*J13*J15</f>
        <v>9.068019961267181</v>
      </c>
      <c r="K16" s="64">
        <f>K12*K13*K15</f>
        <v>7.810172959977692</v>
      </c>
      <c r="L16" s="64">
        <f>L12*L13*L15</f>
        <v>6.808361874569628</v>
      </c>
    </row>
    <row r="19">
      <c r="A19" s="14" t="inlineStr">
        <is>
          <t>PV of forecast free cash flow</t>
        </is>
      </c>
      <c r="B19" s="52">
        <f>SUM(C16:L16)</f>
        <v>151.49249537066834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20.153427800959133</v>
      </c>
    </row>
    <row r="21">
      <c r="A21" s="14" t="inlineStr">
        <is>
          <t>Terminal value</t>
        </is>
      </c>
      <c r="B21" s="52">
        <f>B20/(Assumptions!$E$10-Assumptions!$E$11)</f>
        <v>201.5342780095913</v>
      </c>
    </row>
    <row r="22">
      <c r="A22" s="14" t="inlineStr">
        <is>
          <t>PV of terminal value</t>
        </is>
      </c>
      <c r="B22" s="52">
        <f>B21/(1+Assumptions!$E$10)^(L14+0.5)</f>
        <v>65.79459762049521</v>
      </c>
    </row>
    <row r="23">
      <c r="A23" s="20" t="inlineStr">
        <is>
          <t>Enterprise value</t>
        </is>
      </c>
      <c r="B23" s="66">
        <f>B19+B22</f>
        <v>217.28709299116355</v>
      </c>
    </row>
    <row r="24">
      <c r="A24" s="14" t="inlineStr">
        <is>
          <t>Cash &amp; investments</t>
        </is>
      </c>
      <c r="B24" s="55">
        <f>Main!C7</f>
        <v>117.584444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334.87153699116357</v>
      </c>
    </row>
    <row r="27">
      <c r="A27" s="14" t="inlineStr">
        <is>
          <t>Shares (mm)</t>
        </is>
      </c>
      <c r="B27" s="55">
        <f>Main!C4</f>
        <v>71.849716</v>
      </c>
    </row>
    <row r="28">
      <c r="A28" s="20" t="inlineStr">
        <is>
          <t>NPV / share</t>
        </is>
      </c>
      <c r="B28" s="49">
        <f>B26/B27</f>
        <v>4.6607217903431035</v>
      </c>
    </row>
    <row r="29">
      <c r="A29" s="14" t="inlineStr">
        <is>
          <t>Price</t>
        </is>
      </c>
      <c r="B29" s="50">
        <f>Main!C3</f>
        <v>3.15</v>
      </c>
    </row>
    <row r="30">
      <c r="A30" s="14" t="inlineStr">
        <is>
          <t>Upside</t>
        </is>
      </c>
      <c r="B30" s="63">
        <f>B28/B29-1</f>
        <v>0.47959421915654077</v>
      </c>
    </row>
    <row r="31">
      <c r="A31" s="14" t="inlineStr">
        <is>
          <t>Terminal value, % of EV</t>
        </is>
      </c>
      <c r="B31" s="63">
        <f>IFERROR(B22/B23,0)</f>
        <v>0.30280030311405054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2026-10-21T01:05:32Z</dcterms:modified>
  <cp:lastModifiedBy>Wang, Eric</cp:lastModifiedBy>
</cp:coreProperties>
</file>