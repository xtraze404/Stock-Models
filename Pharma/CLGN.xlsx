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Collplant Biotechnologies Ltd</t>
        </is>
      </c>
      <c r="C2" s="10" t="n"/>
    </row>
    <row r="3">
      <c r="B3" t="inlineStr">
        <is>
          <t>Price</t>
        </is>
      </c>
      <c r="C3" s="11">
        <f>INDEX([1]Pharma!$F$1:$F$1000,MATCH("CLGN",[1]Pharma!$B$1:$B$1000,0))</f>
        <v>3.88</v>
      </c>
      <c r="F3" s="1" t="n"/>
    </row>
    <row r="4">
      <c r="B4" t="inlineStr">
        <is>
          <t>Shares</t>
        </is>
      </c>
      <c r="C4" s="21" t="n">
        <v>12.803006</v>
      </c>
      <c r="F4" s="1" t="n"/>
    </row>
    <row r="5">
      <c r="B5" t="inlineStr">
        <is>
          <t>Market Cap.</t>
        </is>
      </c>
      <c r="C5" s="13">
        <f>C3*C4</f>
        <v>49.675663279999995</v>
      </c>
      <c r="F5" s="1" t="n"/>
    </row>
    <row r="6"/>
    <row r="7">
      <c r="B7" t="inlineStr">
        <is>
          <t>Cash</t>
        </is>
      </c>
      <c r="C7" s="21" t="n">
        <v>5.591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44.084663279999994</v>
      </c>
    </row>
    <row r="10"/>
    <row r="11">
      <c r="B11" s="14" t="inlineStr">
        <is>
          <t>Net Cash / Share</t>
        </is>
      </c>
      <c r="C11" s="11">
        <f>(C7-C8)/C4</f>
        <v>0.43669432006827147</v>
      </c>
    </row>
    <row r="12">
      <c r="B12" s="14" t="inlineStr">
        <is>
          <t>Upside</t>
        </is>
      </c>
      <c r="C12" s="15">
        <f>IFERROR(C11/C3-1,"")</f>
        <v>-0.8874499175081775</v>
      </c>
    </row>
    <row r="13">
      <c r="B13" s="14" t="inlineStr">
        <is>
          <t>Cash / Share</t>
        </is>
      </c>
      <c r="C13" s="11">
        <f>IFERROR((C7-C8)/C4,"")</f>
        <v>0.43669432006827147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-9.419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0.5935874296634462</v>
      </c>
    </row>
    <row r="19">
      <c r="B19" s="14" t="inlineStr">
        <is>
          <t>Implied Pipeline Value</t>
        </is>
      </c>
      <c r="C19" s="13">
        <f>C9</f>
        <v>44.084663279999994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0.094</v>
      </c>
      <c r="D2" s="23" t="n">
        <v>0.539</v>
      </c>
      <c r="E2" s="23" t="n">
        <v>5.014</v>
      </c>
      <c r="F2" s="23" t="n">
        <v>2.318</v>
      </c>
      <c r="G2" s="23" t="n">
        <v>6.137</v>
      </c>
      <c r="H2" s="23" t="n">
        <v>15.641</v>
      </c>
      <c r="I2" s="23" t="n">
        <v>0.299</v>
      </c>
      <c r="J2" s="23" t="n">
        <v>10.959</v>
      </c>
      <c r="K2" s="23" t="n">
        <v>0.515</v>
      </c>
      <c r="L2" s="23" t="n">
        <v>2.371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0.048</v>
      </c>
      <c r="E3" s="23" t="n">
        <v>1.659</v>
      </c>
      <c r="F3" s="23" t="n">
        <v>1.879</v>
      </c>
      <c r="G3" s="23" t="n">
        <v>3.002</v>
      </c>
      <c r="H3" s="23" t="n">
        <v>2.005</v>
      </c>
      <c r="I3" s="23" t="n">
        <v>0.4</v>
      </c>
      <c r="J3" s="23" t="n">
        <v>1.991</v>
      </c>
      <c r="K3" s="23" t="n">
        <v>1.625</v>
      </c>
      <c r="L3" s="23" t="n">
        <v>0.835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0.094</v>
      </c>
      <c r="D4" s="23">
        <f>D2-D3</f>
        <v>0.49100000000000005</v>
      </c>
      <c r="E4" s="23">
        <f>E2-E3</f>
        <v>3.3550000000000004</v>
      </c>
      <c r="F4" s="23">
        <f>F2-F3</f>
        <v>0.43900000000000006</v>
      </c>
      <c r="G4" s="23">
        <f>G2-G3</f>
        <v>3.135</v>
      </c>
      <c r="H4" s="23">
        <f>H2-H3</f>
        <v>13.636</v>
      </c>
      <c r="I4" s="23">
        <f>I2-I3</f>
        <v>-0.10100000000000003</v>
      </c>
      <c r="J4" s="23">
        <f>J2-J3</f>
        <v>8.968</v>
      </c>
      <c r="K4" s="23">
        <f>K2-K3</f>
        <v>-1.1099999999999999</v>
      </c>
      <c r="L4" s="23">
        <f>L2-L3</f>
        <v>1.536</v>
      </c>
    </row>
    <row r="5">
      <c r="A5" s="2" t="inlineStr">
        <is>
          <t>Research &amp; Dev.</t>
        </is>
      </c>
      <c r="B5" s="23" t="n">
        <v>7.406</v>
      </c>
      <c r="C5" s="23" t="n">
        <v>9.436</v>
      </c>
      <c r="D5" s="23" t="n">
        <v>3.906</v>
      </c>
      <c r="E5" s="23" t="n">
        <v>3.877</v>
      </c>
      <c r="F5" s="23" t="n">
        <v>4.414</v>
      </c>
      <c r="G5" s="23" t="n">
        <v>4.065</v>
      </c>
      <c r="H5" s="23" t="n">
        <v>7.631</v>
      </c>
      <c r="I5" s="23" t="n">
        <v>10.255</v>
      </c>
      <c r="J5" s="23" t="n">
        <v>10.484</v>
      </c>
      <c r="K5" s="23" t="n">
        <v>10.515</v>
      </c>
      <c r="L5" s="23" t="n">
        <v>8.186999999999999</v>
      </c>
    </row>
    <row r="6">
      <c r="A6" s="19" t="inlineStr">
        <is>
          <t>SG&amp;A &amp; Other</t>
        </is>
      </c>
      <c r="B6" s="23" t="n">
        <v>-1.327</v>
      </c>
      <c r="C6" s="23" t="n">
        <v>-0.44</v>
      </c>
      <c r="D6" s="23" t="n">
        <v>2.542</v>
      </c>
      <c r="E6" s="23" t="n">
        <v>3.723</v>
      </c>
      <c r="F6" s="23" t="n">
        <v>3.656</v>
      </c>
      <c r="G6" s="23" t="n">
        <v>4.669</v>
      </c>
      <c r="H6" s="23" t="n">
        <v>5.94</v>
      </c>
      <c r="I6" s="23" t="n">
        <v>6.741</v>
      </c>
      <c r="J6" s="23" t="n">
        <v>5.996</v>
      </c>
      <c r="K6" s="23" t="n">
        <v>5.626</v>
      </c>
      <c r="L6" s="23" t="n">
        <v>4.832</v>
      </c>
    </row>
    <row r="7">
      <c r="A7" s="2" t="inlineStr">
        <is>
          <t>Operating Expense</t>
        </is>
      </c>
      <c r="B7" s="23">
        <f>SUM(B5:B6)</f>
        <v>6.079</v>
      </c>
      <c r="C7" s="23">
        <f>SUM(C5:C6)</f>
        <v>8.996</v>
      </c>
      <c r="D7" s="23">
        <f>SUM(D5:D6)</f>
        <v>6.448</v>
      </c>
      <c r="E7" s="23">
        <f>SUM(E5:E6)</f>
        <v>7.6</v>
      </c>
      <c r="F7" s="23">
        <f>SUM(F5:F6)</f>
        <v>8.07</v>
      </c>
      <c r="G7" s="23">
        <f>SUM(G5:G6)</f>
        <v>8.734</v>
      </c>
      <c r="H7" s="23">
        <f>SUM(H5:H6)</f>
        <v>13.571000000000002</v>
      </c>
      <c r="I7" s="23">
        <f>SUM(I5:I6)</f>
        <v>16.996000000000002</v>
      </c>
      <c r="J7" s="23">
        <f>SUM(J5:J6)</f>
        <v>16.48</v>
      </c>
      <c r="K7" s="23">
        <f>SUM(K5:K6)</f>
        <v>16.141000000000002</v>
      </c>
      <c r="L7" s="23">
        <f>SUM(L5:L6)</f>
        <v>13.018999999999998</v>
      </c>
    </row>
    <row r="8">
      <c r="A8" s="2" t="inlineStr">
        <is>
          <t>Operating Income</t>
        </is>
      </c>
      <c r="B8" s="23">
        <f>B4-B7</f>
        <v>-6.079</v>
      </c>
      <c r="C8" s="23">
        <f>C4-C7</f>
        <v>-8.902000000000001</v>
      </c>
      <c r="D8" s="23">
        <f>D4-D7</f>
        <v>-5.957000000000001</v>
      </c>
      <c r="E8" s="23">
        <f>E4-E7</f>
        <v>-4.244999999999999</v>
      </c>
      <c r="F8" s="23">
        <f>F4-F7</f>
        <v>-7.631</v>
      </c>
      <c r="G8" s="23">
        <f>G4-G7</f>
        <v>-5.599</v>
      </c>
      <c r="H8" s="23">
        <f>H4-H7</f>
        <v>0.06499999999999773</v>
      </c>
      <c r="I8" s="23">
        <f>I4-I7</f>
        <v>-17.097</v>
      </c>
      <c r="J8" s="23">
        <f>J4-J7</f>
        <v>-7.5120000000000005</v>
      </c>
      <c r="K8" s="23">
        <f>K4-K7</f>
        <v>-17.251</v>
      </c>
      <c r="L8" s="23">
        <f>L4-L7</f>
        <v>-11.482999999999999</v>
      </c>
    </row>
    <row r="9">
      <c r="A9" s="19" t="inlineStr">
        <is>
          <t>Interest &amp; Other</t>
        </is>
      </c>
      <c r="B9" s="23" t="n">
        <v>0.053</v>
      </c>
      <c r="C9" s="23" t="n">
        <v>-0.112</v>
      </c>
      <c r="D9" s="23" t="n">
        <v>-0.094</v>
      </c>
      <c r="E9" s="23" t="n">
        <v>-2.004</v>
      </c>
      <c r="F9" s="23" t="n">
        <v>-3.533</v>
      </c>
      <c r="G9" s="23" t="n">
        <v>-0.175</v>
      </c>
      <c r="H9" s="23" t="n">
        <v>0.172</v>
      </c>
      <c r="I9" s="23" t="n">
        <v>0.172</v>
      </c>
      <c r="J9" s="23" t="n">
        <v>60.486</v>
      </c>
      <c r="K9" s="23" t="n">
        <v>46.633</v>
      </c>
      <c r="L9" s="23" t="n">
        <v>-0.006</v>
      </c>
    </row>
    <row r="10">
      <c r="A10" s="2" t="inlineStr">
        <is>
          <t>Pretax</t>
        </is>
      </c>
      <c r="B10" s="23">
        <f>B8+B9</f>
        <v>-6.026</v>
      </c>
      <c r="C10" s="23">
        <f>C8+C9</f>
        <v>-9.014000000000001</v>
      </c>
      <c r="D10" s="23">
        <f>D8+D9</f>
        <v>-6.051000000000001</v>
      </c>
      <c r="E10" s="23">
        <f>E8+E9</f>
        <v>-6.248999999999999</v>
      </c>
      <c r="F10" s="23">
        <f>F8+F9</f>
        <v>-11.164</v>
      </c>
      <c r="G10" s="23">
        <f>G8+G9</f>
        <v>-5.774</v>
      </c>
      <c r="H10" s="23">
        <f>H8+H9</f>
        <v>0.2369999999999977</v>
      </c>
      <c r="I10" s="23">
        <f>I8+I9</f>
        <v>-16.925</v>
      </c>
      <c r="J10" s="23">
        <f>J8+J9</f>
        <v>52.974</v>
      </c>
      <c r="K10" s="23">
        <f>K8+K9</f>
        <v>29.382</v>
      </c>
      <c r="L10" s="23">
        <f>L8+L9</f>
        <v>-11.488999999999999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59.993</v>
      </c>
      <c r="K11" s="23" t="n">
        <v>45.991</v>
      </c>
      <c r="L11" s="23" t="n">
        <v>0</v>
      </c>
    </row>
    <row r="12">
      <c r="A12" s="2" t="inlineStr">
        <is>
          <t>Net Income</t>
        </is>
      </c>
      <c r="B12" s="23" t="n">
        <v>-6.027</v>
      </c>
      <c r="C12" s="23" t="n">
        <v>-9.013999999999999</v>
      </c>
      <c r="D12" s="23" t="n">
        <v>-6.051</v>
      </c>
      <c r="E12" s="23" t="n">
        <v>-6.249</v>
      </c>
      <c r="F12" s="23" t="n">
        <v>-11.164</v>
      </c>
      <c r="G12" s="23" t="n">
        <v>-5.774</v>
      </c>
      <c r="H12" s="23" t="n">
        <v>0.237</v>
      </c>
      <c r="I12" s="23" t="n">
        <v>-16.925</v>
      </c>
      <c r="J12" s="23" t="n">
        <v>-7.019</v>
      </c>
      <c r="K12" s="23" t="n">
        <v>-16.609</v>
      </c>
      <c r="L12" s="23" t="n">
        <v>-11.489</v>
      </c>
    </row>
    <row r="13">
      <c r="A13" s="2" t="inlineStr">
        <is>
          <t>Earnings per Share</t>
        </is>
      </c>
      <c r="B13" s="11">
        <f>IFERROR(B12/B14,0)</f>
        <v>-2.7051166965888687</v>
      </c>
      <c r="C13" s="11">
        <f>IFERROR(C12/C14,0)</f>
        <v>-3.404078549848942</v>
      </c>
      <c r="D13" s="11">
        <f>IFERROR(D12/D14,0)</f>
        <v>-2.2713963963963963</v>
      </c>
      <c r="E13" s="11">
        <f>IFERROR(E12/E14,0)</f>
        <v>-1.4250855188141391</v>
      </c>
      <c r="F13" s="11">
        <f>IFERROR(F12/F14,0)</f>
        <v>-2.2390693943040514</v>
      </c>
      <c r="G13" s="11">
        <f>IFERROR(G12/G14,0)</f>
        <v>-0.8383911717729056</v>
      </c>
      <c r="H13" s="11">
        <f>IFERROR(H12/H14,0)</f>
        <v>0.019804462271245923</v>
      </c>
      <c r="I13" s="11">
        <f>IFERROR(I12/I14,0)</f>
        <v>-1.5340342608538025</v>
      </c>
      <c r="J13" s="11">
        <f>IFERROR(J12/J14,0)</f>
        <v>-0.6162964263763281</v>
      </c>
      <c r="K13" s="11">
        <f>IFERROR(K12/K14,0)</f>
        <v>-1.4500611140213027</v>
      </c>
      <c r="L13" s="11">
        <f>IFERROR(L12/L14,0)</f>
        <v>-0.9414897975907565</v>
      </c>
    </row>
    <row r="14">
      <c r="A14" s="2" t="inlineStr">
        <is>
          <t>Shares</t>
        </is>
      </c>
      <c r="B14" s="23" t="n">
        <v>2.228</v>
      </c>
      <c r="C14" s="23" t="n">
        <v>2.648</v>
      </c>
      <c r="D14" s="23" t="n">
        <v>2.664</v>
      </c>
      <c r="E14" s="23" t="n">
        <v>4.385</v>
      </c>
      <c r="F14" s="23" t="n">
        <v>4.986</v>
      </c>
      <c r="G14" s="23" t="n">
        <v>6.887</v>
      </c>
      <c r="H14" s="23" t="n">
        <v>11.967</v>
      </c>
      <c r="I14" s="23" t="n">
        <v>11.033</v>
      </c>
      <c r="J14" s="23" t="n">
        <v>11.389</v>
      </c>
      <c r="K14" s="23" t="n">
        <v>11.454</v>
      </c>
      <c r="L14" s="23" t="n">
        <v>12.203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4.73404255319149</v>
      </c>
      <c r="E16" s="15">
        <f>IFERROR(E2/D2-1,"")</f>
        <v>8.302411873840445</v>
      </c>
      <c r="F16" s="15">
        <f>IFERROR(F2/E2-1,"")</f>
        <v>-0.5376944555245313</v>
      </c>
      <c r="G16" s="15">
        <f>IFERROR(G2/F2-1,"")</f>
        <v>1.6475409836065573</v>
      </c>
      <c r="H16" s="15">
        <f>IFERROR(H2/G2-1,"")</f>
        <v>1.5486394003584816</v>
      </c>
      <c r="I16" s="15">
        <f>IFERROR(I2/H2-1,"")</f>
        <v>-0.9808835752189757</v>
      </c>
      <c r="J16" s="15">
        <f>IFERROR(J2/I2-1,"")</f>
        <v>35.65217391304348</v>
      </c>
      <c r="K16" s="15">
        <f>IFERROR(K2/J2-1,"")</f>
        <v>-0.9530066611917146</v>
      </c>
      <c r="L16" s="15">
        <f>IFERROR(L2/K2-1,"")</f>
        <v>3.603883495145631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0.9109461966604824</v>
      </c>
      <c r="E17" s="15">
        <f>IFERROR(E4/E2,"")</f>
        <v>0.6691264459513363</v>
      </c>
      <c r="F17" s="15">
        <f>IFERROR(F4/F2,"")</f>
        <v>0.18938740293356343</v>
      </c>
      <c r="G17" s="15">
        <f>IFERROR(G4/G2,"")</f>
        <v>0.5108359133126935</v>
      </c>
      <c r="H17" s="15">
        <f>IFERROR(H4/H2,"")</f>
        <v>0.8718112652643693</v>
      </c>
      <c r="I17" s="15">
        <f>IFERROR(I4/I2,"")</f>
        <v>-0.33779264214046834</v>
      </c>
      <c r="J17" s="15">
        <f>IFERROR(J4/J2,"")</f>
        <v>0.8183228396751528</v>
      </c>
      <c r="K17" s="15">
        <f>IFERROR(K4/K2,"")</f>
        <v>-2.155339805825242</v>
      </c>
      <c r="L17" s="15">
        <f>IFERROR(L4/L2,"")</f>
        <v>0.6478279207085618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-94.70212765957447</v>
      </c>
      <c r="D18" s="15">
        <f>IFERROR(D8/D2,"")</f>
        <v>-11.051948051948052</v>
      </c>
      <c r="E18" s="15">
        <f>IFERROR(E8/E2,"")</f>
        <v>-0.8466294375747904</v>
      </c>
      <c r="F18" s="15">
        <f>IFERROR(F8/F2,"")</f>
        <v>-3.2920621225194133</v>
      </c>
      <c r="G18" s="15">
        <f>IFERROR(G8/G2,"")</f>
        <v>-0.912335017109337</v>
      </c>
      <c r="H18" s="15">
        <f>IFERROR(H8/H2,"")</f>
        <v>0.0041557445176138175</v>
      </c>
      <c r="I18" s="15">
        <f>IFERROR(I8/I2,"")</f>
        <v>-57.18060200668897</v>
      </c>
      <c r="J18" s="15">
        <f>IFERROR(J8/J2,"")</f>
        <v>-0.6854640021899809</v>
      </c>
      <c r="K18" s="15">
        <f>IFERROR(K8/K2,"")</f>
        <v>-33.49708737864078</v>
      </c>
      <c r="L18" s="15">
        <f>IFERROR(L8/L2,"")</f>
        <v>-4.843104175453394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2026-10-21T06:29:24Z</dcterms:modified>
  <cp:lastModifiedBy>Wang, Eric</cp:lastModifiedBy>
</cp:coreProperties>
</file>