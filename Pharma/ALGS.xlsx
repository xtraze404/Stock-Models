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Aligos Therapeutics, Inc.</t>
        </is>
      </c>
      <c r="C2" s="10" t="n"/>
    </row>
    <row r="3">
      <c r="B3" t="inlineStr">
        <is>
          <t>Price</t>
        </is>
      </c>
      <c r="C3" s="11">
        <f>INDEX([1]Pharma!$F$1:$F$1000,MATCH("ALGS",[1]Pharma!$B$1:$B$1000,0))</f>
        <v>5.03</v>
      </c>
      <c r="F3" s="1" t="n"/>
    </row>
    <row r="4">
      <c r="B4" t="inlineStr">
        <is>
          <t>Shares</t>
        </is>
      </c>
      <c r="C4" s="21" t="n">
        <v>6.236828</v>
      </c>
      <c r="F4" s="1" t="n"/>
    </row>
    <row r="5">
      <c r="B5" t="inlineStr">
        <is>
          <t>Market Cap.</t>
        </is>
      </c>
      <c r="C5" s="13">
        <f>C3*C4</f>
        <v>31.371244840000003</v>
      </c>
      <c r="F5" s="1" t="n"/>
    </row>
    <row r="6"/>
    <row r="7">
      <c r="B7" t="inlineStr">
        <is>
          <t>Cash</t>
        </is>
      </c>
      <c r="C7" s="21" t="n">
        <v>30.381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0.9902448400000026</v>
      </c>
    </row>
    <row r="10"/>
    <row r="11">
      <c r="B11" s="14" t="inlineStr">
        <is>
          <t>Net Cash / Share</t>
        </is>
      </c>
      <c r="C11" s="11">
        <f>(C7-C8)/C4</f>
        <v>4.87122620665505</v>
      </c>
    </row>
    <row r="12">
      <c r="B12" s="14" t="inlineStr">
        <is>
          <t>Upside</t>
        </is>
      </c>
      <c r="C12" s="15">
        <f>IFERROR(C11/C3-1,"")</f>
        <v>-0.031565366470169165</v>
      </c>
    </row>
    <row r="13">
      <c r="B13" s="14" t="inlineStr">
        <is>
          <t>Cash / Share</t>
        </is>
      </c>
      <c r="C13" s="11">
        <f>IFERROR((C7-C8)/C4,"")</f>
        <v>4.87122620665505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-94.16800000000001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0.32262552034661457</v>
      </c>
    </row>
    <row r="19">
      <c r="B19" s="14" t="inlineStr">
        <is>
          <t>Implied Pipeline Value</t>
        </is>
      </c>
      <c r="C19" s="13">
        <f>C9</f>
        <v>0.9902448400000026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6.191</v>
      </c>
      <c r="G2" s="23" t="n">
        <v>3.611</v>
      </c>
      <c r="H2" s="23" t="n">
        <v>2.186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6.191</v>
      </c>
      <c r="G4" s="23">
        <f>G2-G3</f>
        <v>3.611</v>
      </c>
      <c r="H4" s="23">
        <f>H2-H3</f>
        <v>2.186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44.038</v>
      </c>
      <c r="C5" s="23" t="n">
        <v>79.89</v>
      </c>
      <c r="D5" s="23" t="n">
        <v>104.153</v>
      </c>
      <c r="E5" s="23" t="n">
        <v>85.077</v>
      </c>
      <c r="F5" s="23" t="n">
        <v>73.04000000000001</v>
      </c>
      <c r="G5" s="23" t="n">
        <v>70.26900000000001</v>
      </c>
      <c r="H5" s="23" t="n">
        <v>69.453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10.005</v>
      </c>
      <c r="C6" s="23" t="n">
        <v>17.944</v>
      </c>
      <c r="D6" s="23" t="n">
        <v>24.168</v>
      </c>
      <c r="E6" s="23" t="n">
        <v>12.503</v>
      </c>
      <c r="F6" s="23" t="n">
        <v>21.278</v>
      </c>
      <c r="G6" s="23" t="n">
        <v>22.496</v>
      </c>
      <c r="H6" s="23" t="n">
        <v>20.718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54.043</v>
      </c>
      <c r="C7" s="23">
        <f>SUM(C5:C6)</f>
        <v>97.834</v>
      </c>
      <c r="D7" s="23">
        <f>SUM(D5:D6)</f>
        <v>128.321</v>
      </c>
      <c r="E7" s="23">
        <f>SUM(E5:E6)</f>
        <v>97.58</v>
      </c>
      <c r="F7" s="23">
        <f>SUM(F5:F6)</f>
        <v>94.31800000000001</v>
      </c>
      <c r="G7" s="23">
        <f>SUM(G5:G6)</f>
        <v>92.765</v>
      </c>
      <c r="H7" s="23">
        <f>SUM(H5:H6)</f>
        <v>90.171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-54.043</v>
      </c>
      <c r="C8" s="23">
        <f>C4-C7</f>
        <v>-97.834</v>
      </c>
      <c r="D8" s="23">
        <f>D4-D7</f>
        <v>-128.321</v>
      </c>
      <c r="E8" s="23">
        <f>E4-E7</f>
        <v>-97.58</v>
      </c>
      <c r="F8" s="23">
        <f>F4-F7</f>
        <v>-88.12700000000001</v>
      </c>
      <c r="G8" s="23">
        <f>G4-G7</f>
        <v>-89.154</v>
      </c>
      <c r="H8" s="23">
        <f>H4-H7</f>
        <v>-87.98500000000001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1.864</v>
      </c>
      <c r="C9" s="23" t="n">
        <v>-10.548</v>
      </c>
      <c r="D9" s="23" t="n">
        <v>0.132</v>
      </c>
      <c r="E9" s="23" t="n">
        <v>1.64</v>
      </c>
      <c r="F9" s="23" t="n">
        <v>1.243</v>
      </c>
      <c r="G9" s="23" t="n">
        <v>-41.726</v>
      </c>
      <c r="H9" s="23" t="n">
        <v>64.10599999999999</v>
      </c>
    </row>
    <row r="10">
      <c r="A10" s="2" t="inlineStr">
        <is>
          <t>Pretax</t>
        </is>
      </c>
      <c r="B10" s="23">
        <f>B8+B9</f>
        <v>-52.179</v>
      </c>
      <c r="C10" s="23">
        <f>C8+C9</f>
        <v>-108.382</v>
      </c>
      <c r="D10" s="23">
        <f>D8+D9</f>
        <v>-128.189</v>
      </c>
      <c r="E10" s="23">
        <f>E8+E9</f>
        <v>-95.94</v>
      </c>
      <c r="F10" s="23">
        <f>F8+F9</f>
        <v>-86.88400000000001</v>
      </c>
      <c r="G10" s="23">
        <f>G8+G9</f>
        <v>-130.88</v>
      </c>
      <c r="H10" s="23">
        <f>H8+H9</f>
        <v>-23.87900000000002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0.08500000000000001</v>
      </c>
      <c r="C11" s="23" t="n">
        <v>0.161</v>
      </c>
      <c r="D11" s="23" t="n">
        <v>0.143</v>
      </c>
      <c r="E11" s="23" t="n">
        <v>0.106</v>
      </c>
      <c r="F11" s="23" t="n">
        <v>0.795</v>
      </c>
      <c r="G11" s="23" t="n">
        <v>0.331</v>
      </c>
      <c r="H11" s="23" t="n">
        <v>0.314</v>
      </c>
    </row>
    <row r="12">
      <c r="A12" s="2" t="inlineStr">
        <is>
          <t>Net Income</t>
        </is>
      </c>
      <c r="B12" s="23" t="n">
        <v>-52.264</v>
      </c>
      <c r="C12" s="23" t="n">
        <v>-108.543</v>
      </c>
      <c r="D12" s="23" t="n">
        <v>-128.332</v>
      </c>
      <c r="E12" s="23" t="n">
        <v>-96.04600000000001</v>
      </c>
      <c r="F12" s="23" t="n">
        <v>-87.679</v>
      </c>
      <c r="G12" s="23" t="n">
        <v>-131.211</v>
      </c>
      <c r="H12" s="23" t="n">
        <v>-24.193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-1.301945544677777</v>
      </c>
      <c r="C13" s="11">
        <f>IFERROR(C12/C14,0)</f>
        <v>-2.7167672014617175</v>
      </c>
      <c r="D13" s="11">
        <f>IFERROR(D12/D14,0)</f>
        <v>-3.219972399949818</v>
      </c>
      <c r="E13" s="11">
        <f>IFERROR(E12/E14,0)</f>
        <v>-2.2495842604520435</v>
      </c>
      <c r="F13" s="11">
        <f>IFERROR(F12/F14,0)</f>
        <v>-34.209520093640265</v>
      </c>
      <c r="G13" s="11">
        <f>IFERROR(G12/G14,0)</f>
        <v>-20.94349561053472</v>
      </c>
      <c r="H13" s="11">
        <f>IFERROR(H12/H14,0)</f>
        <v>-2.4474456246838647</v>
      </c>
    </row>
    <row r="14">
      <c r="A14" s="2" t="inlineStr">
        <is>
          <t>Shares</t>
        </is>
      </c>
      <c r="B14" s="23" t="n">
        <v>40.143</v>
      </c>
      <c r="C14" s="23" t="n">
        <v>39.953</v>
      </c>
      <c r="D14" s="23" t="n">
        <v>39.855</v>
      </c>
      <c r="E14" s="23" t="n">
        <v>42.695</v>
      </c>
      <c r="F14" s="23" t="n">
        <v>2.563</v>
      </c>
      <c r="G14" s="23" t="n">
        <v>6.265</v>
      </c>
      <c r="H14" s="23" t="n">
        <v>9.885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-0.4167339686641899</v>
      </c>
      <c r="H16" s="15">
        <f>IFERROR(H2/G2-1,"")</f>
        <v>-0.3946275270008308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-14.234695525763206</v>
      </c>
      <c r="G18" s="15">
        <f>IFERROR(G8/G2,"")</f>
        <v>-24.689559678759345</v>
      </c>
      <c r="H18" s="15">
        <f>IFERROR(H8/H2,"")</f>
        <v>-40.24931381518756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2026-10-21T01:06:21Z</dcterms:modified>
  <cp:lastModifiedBy>Wang, Eric</cp:lastModifiedBy>
</cp:coreProperties>
</file>