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Aurinia Pharmaceuticals Inc.</t>
        </is>
      </c>
      <c r="C2" s="10" t="n"/>
    </row>
    <row r="3">
      <c r="B3" t="inlineStr">
        <is>
          <t>Price</t>
        </is>
      </c>
      <c r="C3" s="11">
        <f>INDEX([1]Pharma!$F$1:$F$1000,MATCH("AUPH",[1]Pharma!$B$1:$B$1000,0))</f>
        <v>16.74</v>
      </c>
      <c r="F3" s="1" t="n"/>
    </row>
    <row r="4">
      <c r="B4" t="inlineStr">
        <is>
          <t>Shares</t>
        </is>
      </c>
      <c r="C4" s="51" t="n">
        <v>133.051168</v>
      </c>
      <c r="F4" s="1" t="n"/>
    </row>
    <row r="5">
      <c r="B5" t="inlineStr">
        <is>
          <t>Market Cap.</t>
        </is>
      </c>
      <c r="C5" s="13">
        <f>C3*C4</f>
        <v>2227.2765523199996</v>
      </c>
      <c r="F5" s="1" t="n"/>
    </row>
    <row r="6"/>
    <row r="7">
      <c r="B7" t="inlineStr">
        <is>
          <t>Cash</t>
        </is>
      </c>
      <c r="C7" s="51">
        <f>179.732+263.291</f>
        <v>443.023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1784.2535523199995</v>
      </c>
    </row>
    <row r="10"/>
    <row r="11">
      <c r="B11" s="14" t="inlineStr">
        <is>
          <t>NPV / Share</t>
        </is>
      </c>
      <c r="C11" s="11">
        <f>NPV!B28</f>
        <v>14.629782246270619</v>
      </c>
    </row>
    <row r="12">
      <c r="B12" s="14" t="inlineStr">
        <is>
          <t>Upside</t>
        </is>
      </c>
      <c r="C12" s="15">
        <f>IFERROR(C11/C3-1,"")</f>
        <v>-0.12605840822756154</v>
      </c>
    </row>
    <row r="13">
      <c r="B13" s="14" t="inlineStr">
        <is>
          <t>Cash / Share</t>
        </is>
      </c>
      <c r="C13" s="11">
        <f>IFERROR((C7-C8)/C4,"")</f>
        <v>3.3297189845037667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0.173</v>
      </c>
      <c r="C2" s="52" t="n">
        <v>0.418</v>
      </c>
      <c r="D2" s="52" t="n">
        <v>0.463</v>
      </c>
      <c r="E2" s="52" t="n">
        <v>0.318</v>
      </c>
      <c r="F2" s="52" t="n">
        <v>50.118</v>
      </c>
      <c r="G2" s="52" t="n">
        <v>45.605</v>
      </c>
      <c r="H2" s="52" t="n">
        <v>134.03</v>
      </c>
      <c r="I2" s="52" t="n">
        <v>175.513</v>
      </c>
      <c r="J2" s="52" t="n">
        <v>235.133</v>
      </c>
      <c r="K2" s="52" t="n">
        <v>283.055</v>
      </c>
      <c r="L2" s="52">
        <f>K2*(1+NPV!C5)</f>
        <v>343.855214</v>
      </c>
      <c r="M2" s="52">
        <f>L2*(1+NPV!D5)</f>
        <v>410.4637895652889</v>
      </c>
      <c r="N2" s="52">
        <f>M2*(1+NPV!E5)</f>
        <v>481.31896106180363</v>
      </c>
      <c r="O2" s="52">
        <f>N2*(1+NPV!F5)</f>
        <v>554.2548276280356</v>
      </c>
      <c r="P2" s="52">
        <f>O2*(1+NPV!G5)</f>
        <v>626.554290698626</v>
      </c>
      <c r="Q2" s="52">
        <f>P2*(1+NPV!H5)</f>
        <v>695.0714832436913</v>
      </c>
      <c r="R2" s="52">
        <f>Q2*(1+NPV!I5)</f>
        <v>756.4231261646678</v>
      </c>
      <c r="S2" s="52">
        <f>R2*(1+NPV!J5)</f>
        <v>807.2379508401298</v>
      </c>
      <c r="T2" s="52">
        <f>S2*(1+NPV!K5)</f>
        <v>844.4426510632949</v>
      </c>
      <c r="U2" s="52">
        <f>T2*(1+NPV!L5)</f>
        <v>865.5537173398772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1.091</v>
      </c>
      <c r="H3" s="52" t="n">
        <v>5.664</v>
      </c>
      <c r="I3" s="52" t="n">
        <v>14.148</v>
      </c>
      <c r="J3" s="52" t="n">
        <v>28.248</v>
      </c>
      <c r="K3" s="52" t="n">
        <v>32.665</v>
      </c>
      <c r="L3" s="52">
        <f>L2*(1-Assumptions!$B$19)</f>
        <v>39.68089169559998</v>
      </c>
      <c r="M3" s="52">
        <f>M2*(1-Assumptions!$B$19)</f>
        <v>47.36752131583432</v>
      </c>
      <c r="N3" s="52">
        <f>N2*(1-Assumptions!$B$19)</f>
        <v>55.54420810653211</v>
      </c>
      <c r="O3" s="52">
        <f>O2*(1-Assumptions!$B$19)</f>
        <v>63.96100710827528</v>
      </c>
      <c r="P3" s="52">
        <f>P2*(1-Assumptions!$B$19)</f>
        <v>72.30436514662141</v>
      </c>
      <c r="Q3" s="52">
        <f>Q2*(1-Assumptions!$B$19)</f>
        <v>80.21124916632193</v>
      </c>
      <c r="R3" s="52">
        <f>R2*(1-Assumptions!$B$19)</f>
        <v>87.29122875940263</v>
      </c>
      <c r="S3" s="52">
        <f>S2*(1-Assumptions!$B$19)</f>
        <v>93.15525952695093</v>
      </c>
      <c r="T3" s="52">
        <f>T2*(1-Assumptions!$B$19)</f>
        <v>97.44868193270419</v>
      </c>
      <c r="U3" s="52">
        <f>U2*(1-Assumptions!$B$19)</f>
        <v>99.88489898102178</v>
      </c>
    </row>
    <row r="4" customFormat="1" s="1">
      <c r="A4" s="5" t="inlineStr">
        <is>
          <t>Gross Margin</t>
        </is>
      </c>
      <c r="B4" s="52">
        <f>B2-B3</f>
        <v>0.173</v>
      </c>
      <c r="C4" s="52">
        <f>C2-C3</f>
        <v>0.418</v>
      </c>
      <c r="D4" s="52">
        <f>D2-D3</f>
        <v>0.463</v>
      </c>
      <c r="E4" s="52">
        <f>E2-E3</f>
        <v>0.318</v>
      </c>
      <c r="F4" s="52">
        <f>F2-F3</f>
        <v>50.118</v>
      </c>
      <c r="G4" s="52">
        <f>G2-G3</f>
        <v>44.513999999999996</v>
      </c>
      <c r="H4" s="52">
        <f>H2-H3</f>
        <v>128.366</v>
      </c>
      <c r="I4" s="52">
        <f>I2-I3</f>
        <v>161.365</v>
      </c>
      <c r="J4" s="52">
        <f>J2-J3</f>
        <v>206.88500000000002</v>
      </c>
      <c r="K4" s="52">
        <f>K2-K3</f>
        <v>250.39000000000001</v>
      </c>
      <c r="L4" s="52">
        <f>L2-L3</f>
        <v>304.1743223044</v>
      </c>
      <c r="M4" s="52">
        <f>M2-M3</f>
        <v>363.09626824945457</v>
      </c>
      <c r="N4" s="52">
        <f>N2-N3</f>
        <v>425.77475295527154</v>
      </c>
      <c r="O4" s="52">
        <f>O2-O3</f>
        <v>490.29382051976035</v>
      </c>
      <c r="P4" s="52">
        <f>P2-P3</f>
        <v>554.2499255520046</v>
      </c>
      <c r="Q4" s="52">
        <f>Q2-Q3</f>
        <v>614.8602340773693</v>
      </c>
      <c r="R4" s="52">
        <f>R2-R3</f>
        <v>669.1318974052651</v>
      </c>
      <c r="S4" s="52">
        <f>S2-S3</f>
        <v>714.0826913131789</v>
      </c>
      <c r="T4" s="52">
        <f>T2-T3</f>
        <v>746.9939691305907</v>
      </c>
      <c r="U4" s="52">
        <f>U2-U3</f>
        <v>765.6688183588553</v>
      </c>
    </row>
    <row r="5">
      <c r="A5" s="2" t="inlineStr">
        <is>
          <t>Research &amp; Dev.</t>
        </is>
      </c>
      <c r="B5" s="52" t="n">
        <v>14.534</v>
      </c>
      <c r="C5" s="52" t="n">
        <v>33.93</v>
      </c>
      <c r="D5" s="52" t="n">
        <v>41.382</v>
      </c>
      <c r="E5" s="52" t="n">
        <v>52.866</v>
      </c>
      <c r="F5" s="52" t="n">
        <v>50.327</v>
      </c>
      <c r="G5" s="52" t="n">
        <v>51.139</v>
      </c>
      <c r="H5" s="52" t="n">
        <v>44.988</v>
      </c>
      <c r="I5" s="52" t="n">
        <v>49.641</v>
      </c>
      <c r="J5" s="52" t="n">
        <v>20.785</v>
      </c>
      <c r="K5" s="52" t="n">
        <v>32.505</v>
      </c>
      <c r="L5" s="52">
        <f>L7*Assumptions!$B$20</f>
        <v>32.96151586539308</v>
      </c>
      <c r="M5" s="52">
        <f>M7*Assumptions!$B$20</f>
        <v>41.94982289220336</v>
      </c>
      <c r="N5" s="52">
        <f>N7*Assumptions!$B$20</f>
        <v>52.24397630271941</v>
      </c>
      <c r="O5" s="52">
        <f>O7*Assumptions!$B$20</f>
        <v>63.675944982348966</v>
      </c>
      <c r="P5" s="52">
        <f>P7*Assumptions!$B$20</f>
        <v>75.95592981835594</v>
      </c>
      <c r="Q5" s="52">
        <f>Q7*Assumptions!$B$20</f>
        <v>88.67050266141607</v>
      </c>
      <c r="R5" s="52">
        <f>R7*Assumptions!$B$20</f>
        <v>101.29463442307251</v>
      </c>
      <c r="S5" s="52">
        <f>S7*Assumptions!$B$20</f>
        <v>113.219149108227</v>
      </c>
      <c r="T5" s="52">
        <f>T7*Assumptions!$B$20</f>
        <v>123.79302447291828</v>
      </c>
      <c r="U5" s="52">
        <f>U7*Assumptions!$B$20</f>
        <v>132.37747393062256</v>
      </c>
    </row>
    <row r="6">
      <c r="A6" s="18" t="inlineStr">
        <is>
          <t>SG&amp;A &amp; Other</t>
        </is>
      </c>
      <c r="B6" s="52" t="n">
        <v>10.666</v>
      </c>
      <c r="C6" s="52" t="n">
        <v>13.356</v>
      </c>
      <c r="D6" s="52" t="n">
        <v>14.321</v>
      </c>
      <c r="E6" s="52" t="n">
        <v>38.395</v>
      </c>
      <c r="F6" s="52" t="n">
        <v>104.081</v>
      </c>
      <c r="G6" s="52" t="n">
        <v>174.11</v>
      </c>
      <c r="H6" s="52" t="n">
        <v>194.848</v>
      </c>
      <c r="I6" s="52" t="n">
        <v>203.415</v>
      </c>
      <c r="J6" s="52" t="n">
        <v>190.787</v>
      </c>
      <c r="K6" s="52" t="n">
        <v>112.971</v>
      </c>
      <c r="L6" s="52">
        <f>L7-L5</f>
        <v>114.58331790986692</v>
      </c>
      <c r="M6" s="52">
        <f>M7-M5</f>
        <v>145.82915155812503</v>
      </c>
      <c r="N6" s="52">
        <f>N7-N5</f>
        <v>181.61446730837915</v>
      </c>
      <c r="O6" s="52">
        <f>O7-O5</f>
        <v>221.35514267364462</v>
      </c>
      <c r="P6" s="52">
        <f>P7-P5</f>
        <v>264.0437560292535</v>
      </c>
      <c r="Q6" s="52">
        <f>Q7-Q5</f>
        <v>308.24311713006136</v>
      </c>
      <c r="R6" s="52">
        <f>R7-R5</f>
        <v>352.1280800938143</v>
      </c>
      <c r="S6" s="52">
        <f>S7-S5</f>
        <v>393.58098118822335</v>
      </c>
      <c r="T6" s="52">
        <f>T7-T5</f>
        <v>430.3386875813265</v>
      </c>
      <c r="U6" s="52">
        <f>U7-U5</f>
        <v>460.1806009602573</v>
      </c>
    </row>
    <row r="7">
      <c r="A7" s="2" t="inlineStr">
        <is>
          <t>Operating Expense</t>
        </is>
      </c>
      <c r="B7" s="52">
        <f>SUM(B5:B6)</f>
        <v>25.200000000000003</v>
      </c>
      <c r="C7" s="52">
        <f>SUM(C5:C6)</f>
        <v>47.286</v>
      </c>
      <c r="D7" s="52">
        <f>SUM(D5:D6)</f>
        <v>55.702999999999996</v>
      </c>
      <c r="E7" s="52">
        <f>SUM(E5:E6)</f>
        <v>91.261</v>
      </c>
      <c r="F7" s="52">
        <f>SUM(F5:F6)</f>
        <v>154.40800000000002</v>
      </c>
      <c r="G7" s="52">
        <f>SUM(G5:G6)</f>
        <v>225.24900000000002</v>
      </c>
      <c r="H7" s="52">
        <f>SUM(H5:H6)</f>
        <v>239.836</v>
      </c>
      <c r="I7" s="52">
        <f>SUM(I5:I6)</f>
        <v>253.05599999999998</v>
      </c>
      <c r="J7" s="52">
        <f>SUM(J5:J6)</f>
        <v>211.572</v>
      </c>
      <c r="K7" s="52">
        <f>SUM(K5:K6)</f>
        <v>145.476</v>
      </c>
      <c r="L7" s="52">
        <f>L4-L2*NPV!C6</f>
        <v>147.54483377526</v>
      </c>
      <c r="M7" s="52">
        <f>M4-M2*NPV!D6</f>
        <v>187.77897445032838</v>
      </c>
      <c r="N7" s="52">
        <f>N4-N2*NPV!E6</f>
        <v>233.85844361109855</v>
      </c>
      <c r="O7" s="52">
        <f>O4-O2*NPV!F6</f>
        <v>285.0310876559936</v>
      </c>
      <c r="P7" s="52">
        <f>P4-P2*NPV!G6</f>
        <v>339.99968584760944</v>
      </c>
      <c r="Q7" s="52">
        <f>Q4-Q2*NPV!H6</f>
        <v>396.91361979147746</v>
      </c>
      <c r="R7" s="52">
        <f>R4-R2*NPV!I6</f>
        <v>453.4227145168868</v>
      </c>
      <c r="S7" s="52">
        <f>S4-S2*NPV!J6</f>
        <v>506.80013029645033</v>
      </c>
      <c r="T7" s="52">
        <f>T4-T2*NPV!K6</f>
        <v>554.1317120542448</v>
      </c>
      <c r="U7" s="52">
        <f>U4-U2*NPV!L6</f>
        <v>592.5580748908799</v>
      </c>
    </row>
    <row r="8">
      <c r="A8" s="2" t="inlineStr">
        <is>
          <t>Operating Income</t>
        </is>
      </c>
      <c r="B8" s="52">
        <f>B4-B7</f>
        <v>-25.027000000000005</v>
      </c>
      <c r="C8" s="52">
        <f>C4-C7</f>
        <v>-46.868</v>
      </c>
      <c r="D8" s="52">
        <f>D4-D7</f>
        <v>-55.239999999999995</v>
      </c>
      <c r="E8" s="52">
        <f>E4-E7</f>
        <v>-90.943</v>
      </c>
      <c r="F8" s="52">
        <f>F4-F7</f>
        <v>-104.29000000000002</v>
      </c>
      <c r="G8" s="52">
        <f>G4-G7</f>
        <v>-180.735</v>
      </c>
      <c r="H8" s="52">
        <f>H4-H7</f>
        <v>-111.47</v>
      </c>
      <c r="I8" s="52">
        <f>I4-I7</f>
        <v>-91.69099999999997</v>
      </c>
      <c r="J8" s="52">
        <f>J4-J7</f>
        <v>-4.686999999999983</v>
      </c>
      <c r="K8" s="52">
        <f>K4-K7</f>
        <v>104.91400000000002</v>
      </c>
      <c r="L8" s="52">
        <f>L4-L7</f>
        <v>156.62948852914</v>
      </c>
      <c r="M8" s="52">
        <f>M4-M7</f>
        <v>175.3172937991262</v>
      </c>
      <c r="N8" s="52">
        <f>N4-N7</f>
        <v>191.916309344173</v>
      </c>
      <c r="O8" s="52">
        <f>O4-O7</f>
        <v>205.26273286376676</v>
      </c>
      <c r="P8" s="52">
        <f>P4-P7</f>
        <v>214.25023970439514</v>
      </c>
      <c r="Q8" s="52">
        <f>Q4-Q7</f>
        <v>217.94661428589188</v>
      </c>
      <c r="R8" s="52">
        <f>R4-R7</f>
        <v>215.70918288837834</v>
      </c>
      <c r="S8" s="52">
        <f>S4-S7</f>
        <v>207.28256101672855</v>
      </c>
      <c r="T8" s="52">
        <f>T4-T7</f>
        <v>192.86225707634594</v>
      </c>
      <c r="U8" s="52">
        <f>U4-U7</f>
        <v>173.11074346797545</v>
      </c>
    </row>
    <row r="9">
      <c r="A9" s="18" t="inlineStr">
        <is>
          <t>Interest &amp; Other</t>
        </is>
      </c>
      <c r="B9" s="52" t="n">
        <v>1.732</v>
      </c>
      <c r="C9" s="52" t="n">
        <v>-23.924</v>
      </c>
      <c r="D9" s="52" t="n">
        <v>2.234</v>
      </c>
      <c r="E9" s="52" t="n">
        <v>2.702</v>
      </c>
      <c r="F9" s="52" t="n">
        <v>1.516</v>
      </c>
      <c r="G9" s="52" t="n">
        <v>0.495</v>
      </c>
      <c r="H9" s="52" t="n">
        <v>5.098</v>
      </c>
      <c r="I9" s="52" t="n">
        <v>14.242</v>
      </c>
      <c r="J9" s="52" t="n">
        <v>12.183</v>
      </c>
      <c r="K9" s="52" t="n">
        <v>9.241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</row>
    <row r="10">
      <c r="A10" s="2" t="inlineStr">
        <is>
          <t>Pretax</t>
        </is>
      </c>
      <c r="B10" s="52">
        <f>B8+B9</f>
        <v>-23.295000000000005</v>
      </c>
      <c r="C10" s="52">
        <f>C8+C9</f>
        <v>-70.792</v>
      </c>
      <c r="D10" s="52">
        <f>D8+D9</f>
        <v>-53.00599999999999</v>
      </c>
      <c r="E10" s="52">
        <f>E8+E9</f>
        <v>-88.241</v>
      </c>
      <c r="F10" s="52">
        <f>F8+F9</f>
        <v>-102.77400000000002</v>
      </c>
      <c r="G10" s="52">
        <f>G8+G9</f>
        <v>-180.24</v>
      </c>
      <c r="H10" s="52">
        <f>H8+H9</f>
        <v>-106.372</v>
      </c>
      <c r="I10" s="52">
        <f>I8+I9</f>
        <v>-77.44899999999997</v>
      </c>
      <c r="J10" s="52">
        <f>J8+J9</f>
        <v>7.496000000000016</v>
      </c>
      <c r="K10" s="52">
        <f>K8+K9</f>
        <v>114.15500000000002</v>
      </c>
      <c r="L10" s="52">
        <f>L8+L9</f>
        <v>156.62948852914</v>
      </c>
      <c r="M10" s="52">
        <f>M8+M9</f>
        <v>175.3172937991262</v>
      </c>
      <c r="N10" s="52">
        <f>N8+N9</f>
        <v>191.916309344173</v>
      </c>
      <c r="O10" s="52">
        <f>O8+O9</f>
        <v>205.26273286376676</v>
      </c>
      <c r="P10" s="52">
        <f>P8+P9</f>
        <v>214.25023970439514</v>
      </c>
      <c r="Q10" s="52">
        <f>Q8+Q9</f>
        <v>217.94661428589188</v>
      </c>
      <c r="R10" s="52">
        <f>R8+R9</f>
        <v>215.70918288837834</v>
      </c>
      <c r="S10" s="52">
        <f>S8+S9</f>
        <v>207.28256101672855</v>
      </c>
      <c r="T10" s="52">
        <f>T8+T9</f>
        <v>192.86225707634594</v>
      </c>
      <c r="U10" s="52">
        <f>U8+U9</f>
        <v>173.11074346797545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0.073</v>
      </c>
      <c r="E11" s="52" t="n">
        <v>0.144</v>
      </c>
      <c r="F11" s="52" t="n">
        <v>-0.094</v>
      </c>
      <c r="G11" s="52" t="n">
        <v>0.76</v>
      </c>
      <c r="H11" s="52" t="n">
        <v>1.828</v>
      </c>
      <c r="I11" s="52" t="n">
        <v>0.551</v>
      </c>
      <c r="J11" s="52" t="n">
        <v>1.696</v>
      </c>
      <c r="K11" s="52" t="n">
        <v>-173.045</v>
      </c>
      <c r="L11" s="52">
        <f>MAX(0,L10)*Assumptions!$E$14</f>
        <v>26.6270130499538</v>
      </c>
      <c r="M11" s="52">
        <f>MAX(0,M10)*Assumptions!$E$14</f>
        <v>29.803939945851454</v>
      </c>
      <c r="N11" s="52">
        <f>MAX(0,N10)*Assumptions!$E$14</f>
        <v>32.62577258850941</v>
      </c>
      <c r="O11" s="52">
        <f>MAX(0,O10)*Assumptions!$E$14</f>
        <v>34.89466458684035</v>
      </c>
      <c r="P11" s="52">
        <f>MAX(0,P10)*Assumptions!$E$14</f>
        <v>36.42254074974718</v>
      </c>
      <c r="Q11" s="52">
        <f>MAX(0,Q10)*Assumptions!$E$14</f>
        <v>37.050924428601625</v>
      </c>
      <c r="R11" s="52">
        <f>MAX(0,R10)*Assumptions!$E$14</f>
        <v>36.67056109102432</v>
      </c>
      <c r="S11" s="52">
        <f>MAX(0,S10)*Assumptions!$E$14</f>
        <v>35.238035372843854</v>
      </c>
      <c r="T11" s="52">
        <f>MAX(0,T10)*Assumptions!$E$14</f>
        <v>32.78658370297881</v>
      </c>
      <c r="U11" s="52">
        <f>MAX(0,U10)*Assumptions!$E$14</f>
        <v>29.42882638955583</v>
      </c>
    </row>
    <row r="12">
      <c r="A12" s="2" t="inlineStr">
        <is>
          <t>Net Income</t>
        </is>
      </c>
      <c r="B12" s="52" t="n">
        <v>-23.295</v>
      </c>
      <c r="C12" s="52" t="n">
        <v>-70.792</v>
      </c>
      <c r="D12" s="52" t="n">
        <v>-53.079</v>
      </c>
      <c r="E12" s="52" t="n">
        <v>-88.38500000000001</v>
      </c>
      <c r="F12" s="52" t="n">
        <v>-102.68</v>
      </c>
      <c r="G12" s="52" t="n">
        <v>-181</v>
      </c>
      <c r="H12" s="52" t="n">
        <v>-108.2</v>
      </c>
      <c r="I12" s="52" t="n">
        <v>-78</v>
      </c>
      <c r="J12" s="52" t="n">
        <v>5.8</v>
      </c>
      <c r="K12" s="52" t="n">
        <v>287.2</v>
      </c>
      <c r="L12" s="52">
        <f>L10-L11</f>
        <v>130.0024754791862</v>
      </c>
      <c r="M12" s="52">
        <f>M10-M11</f>
        <v>145.51335385327474</v>
      </c>
      <c r="N12" s="52">
        <f>N10-N11</f>
        <v>159.29053675566357</v>
      </c>
      <c r="O12" s="52">
        <f>O10-O11</f>
        <v>170.3680682769264</v>
      </c>
      <c r="P12" s="52">
        <f>P10-P11</f>
        <v>177.82769895464796</v>
      </c>
      <c r="Q12" s="52">
        <f>Q10-Q11</f>
        <v>180.89568985729025</v>
      </c>
      <c r="R12" s="52">
        <f>R10-R11</f>
        <v>179.038621797354</v>
      </c>
      <c r="S12" s="52">
        <f>S10-S11</f>
        <v>172.0445256438847</v>
      </c>
      <c r="T12" s="52">
        <f>T10-T11</f>
        <v>160.07567337336712</v>
      </c>
      <c r="U12" s="52">
        <f>U10-U11</f>
        <v>143.68191707841962</v>
      </c>
    </row>
    <row r="13">
      <c r="A13" s="2" t="inlineStr">
        <is>
          <t>Earnings per Share</t>
        </is>
      </c>
      <c r="B13" s="11">
        <f>IFERROR(B12/B14,0)</f>
        <v>-0.660195550517217</v>
      </c>
      <c r="C13" s="11">
        <f>IFERROR(C12/C14,0)</f>
        <v>-0.9203567435450739</v>
      </c>
      <c r="D13" s="11">
        <f>IFERROR(D12/D14,0)</f>
        <v>-0.6260644948220141</v>
      </c>
      <c r="E13" s="11">
        <f>IFERROR(E12/E14,0)</f>
        <v>-0.9501311489508084</v>
      </c>
      <c r="F13" s="11">
        <f>IFERROR(F12/F14,0)</f>
        <v>-0.8666953651886928</v>
      </c>
      <c r="G13" s="11">
        <f>IFERROR(G12/G14,0)</f>
        <v>-1.3990987021620327</v>
      </c>
      <c r="H13" s="11">
        <f>IFERROR(H12/H14,0)</f>
        <v>-0.7624282140718036</v>
      </c>
      <c r="I13" s="11">
        <f>IFERROR(I12/I14,0)</f>
        <v>-0.5445558379178419</v>
      </c>
      <c r="J13" s="11">
        <f>IFERROR(J12/J14,0)</f>
        <v>0.039673310806189035</v>
      </c>
      <c r="K13" s="11">
        <f>IFERROR(K12/K14,0)</f>
        <v>2.070656092285508</v>
      </c>
      <c r="L13" s="11">
        <f>IFERROR(L12/L14,0)</f>
        <v>0.977086315237655</v>
      </c>
      <c r="M13" s="11">
        <f>IFERROR(M12/M14,0)</f>
        <v>1.0936646106952985</v>
      </c>
      <c r="N13" s="11">
        <f>IFERROR(N12/N14,0)</f>
        <v>1.1972126148916151</v>
      </c>
      <c r="O13" s="11">
        <f>IFERROR(O12/O14,0)</f>
        <v>1.2804702945330508</v>
      </c>
      <c r="P13" s="11">
        <f>IFERROR(P12/P14,0)</f>
        <v>1.3365361734716072</v>
      </c>
      <c r="Q13" s="11">
        <f>IFERROR(Q12/Q14,0)</f>
        <v>1.3595949030473018</v>
      </c>
      <c r="R13" s="11">
        <f>IFERROR(R12/R14,0)</f>
        <v>1.3456373550764622</v>
      </c>
      <c r="S13" s="11">
        <f>IFERROR(S12/S14,0)</f>
        <v>1.2930703896104445</v>
      </c>
      <c r="T13" s="11">
        <f>IFERROR(T12/T14,0)</f>
        <v>1.2031136274832788</v>
      </c>
      <c r="U13" s="11">
        <f>IFERROR(U12/U14,0)</f>
        <v>1.0798997050399408</v>
      </c>
    </row>
    <row r="14">
      <c r="A14" s="2" t="inlineStr">
        <is>
          <t>Shares</t>
        </is>
      </c>
      <c r="B14" s="52" t="n">
        <v>35.285</v>
      </c>
      <c r="C14" s="52" t="n">
        <v>76.91800000000001</v>
      </c>
      <c r="D14" s="52" t="n">
        <v>84.782</v>
      </c>
      <c r="E14" s="52" t="n">
        <v>93.024</v>
      </c>
      <c r="F14" s="52" t="n">
        <v>118.473</v>
      </c>
      <c r="G14" s="52" t="n">
        <v>129.369</v>
      </c>
      <c r="H14" s="52" t="n">
        <v>141.915</v>
      </c>
      <c r="I14" s="52" t="n">
        <v>143.236</v>
      </c>
      <c r="J14" s="52" t="n">
        <v>146.194</v>
      </c>
      <c r="K14" s="52" t="n">
        <v>138.7</v>
      </c>
      <c r="L14" s="52">
        <f>Main!$C$4</f>
        <v>133.051168</v>
      </c>
      <c r="M14" s="52">
        <f>Main!$C$4</f>
        <v>133.051168</v>
      </c>
      <c r="N14" s="52">
        <f>Main!$C$4</f>
        <v>133.051168</v>
      </c>
      <c r="O14" s="52">
        <f>Main!$C$4</f>
        <v>133.051168</v>
      </c>
      <c r="P14" s="52">
        <f>Main!$C$4</f>
        <v>133.051168</v>
      </c>
      <c r="Q14" s="52">
        <f>Main!$C$4</f>
        <v>133.051168</v>
      </c>
      <c r="R14" s="52">
        <f>Main!$C$4</f>
        <v>133.051168</v>
      </c>
      <c r="S14" s="52">
        <f>Main!$C$4</f>
        <v>133.051168</v>
      </c>
      <c r="T14" s="52">
        <f>Main!$C$4</f>
        <v>133.051168</v>
      </c>
      <c r="U14" s="52">
        <f>Main!$C$4</f>
        <v>133.051168</v>
      </c>
    </row>
    <row r="15"/>
    <row r="16" customFormat="1" s="4">
      <c r="A16" s="3" t="inlineStr">
        <is>
          <t>Revenue Change</t>
        </is>
      </c>
      <c r="C16" s="15">
        <f>IFERROR(C2/B2-1,"")</f>
        <v>1.4161849710982661</v>
      </c>
      <c r="D16" s="15">
        <f>IFERROR(D2/C2-1,"")</f>
        <v>0.10765550239234467</v>
      </c>
      <c r="E16" s="15">
        <f>IFERROR(E2/D2-1,"")</f>
        <v>-0.3131749460043197</v>
      </c>
      <c r="F16" s="15">
        <f>IFERROR(F2/E2-1,"")</f>
        <v>156.60377358490567</v>
      </c>
      <c r="G16" s="15">
        <f>IFERROR(G2/F2-1,"")</f>
        <v>-0.09004748792848882</v>
      </c>
      <c r="H16" s="15">
        <f>IFERROR(H2/G2-1,"")</f>
        <v>1.9389321346343604</v>
      </c>
      <c r="I16" s="15">
        <f>IFERROR(I2/H2-1,"")</f>
        <v>0.30950533462657615</v>
      </c>
      <c r="J16" s="15">
        <f>IFERROR(J2/I2-1,"")</f>
        <v>0.3396899374975073</v>
      </c>
      <c r="K16" s="15">
        <f>IFERROR(K2/J2-1,"")</f>
        <v>0.20380805756741927</v>
      </c>
      <c r="L16" s="15">
        <f>IFERROR(L2/K2-1,"")</f>
        <v>0.21479999999999988</v>
      </c>
      <c r="M16" s="15">
        <f>IFERROR(M2/L2-1,"")</f>
        <v>0.19371111111111117</v>
      </c>
      <c r="N16" s="15">
        <f>IFERROR(N2/M2-1,"")</f>
        <v>0.17262222222222223</v>
      </c>
      <c r="O16" s="15">
        <f>IFERROR(O2/N2-1,"")</f>
        <v>0.1515333333333333</v>
      </c>
      <c r="P16" s="15">
        <f>IFERROR(P2/O2-1,"")</f>
        <v>0.13044444444444436</v>
      </c>
      <c r="Q16" s="15">
        <f>IFERROR(Q2/P2-1,"")</f>
        <v>0.10935555555555565</v>
      </c>
      <c r="R16" s="15">
        <f>IFERROR(R2/Q2-1,"")</f>
        <v>0.08826666666666672</v>
      </c>
      <c r="S16" s="15">
        <f>IFERROR(S2/R2-1,"")</f>
        <v>0.06717777777777778</v>
      </c>
      <c r="T16" s="15">
        <f>IFERROR(T2/S2-1,"")</f>
        <v>0.046088888888888846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0.9760771845192413</v>
      </c>
      <c r="H17" s="15">
        <f>IFERROR(H4/H2,"")</f>
        <v>0.9577408042975454</v>
      </c>
      <c r="I17" s="15">
        <f>IFERROR(I4/I2,"")</f>
        <v>0.9193905864522857</v>
      </c>
      <c r="J17" s="15">
        <f>IFERROR(J4/J2,"")</f>
        <v>0.8798637366937011</v>
      </c>
      <c r="K17" s="15">
        <f>IFERROR(K4/K2,"")</f>
        <v>0.8845983996043172</v>
      </c>
      <c r="L17" s="15">
        <f>IFERROR(L4/L2,"")</f>
        <v>0.8846</v>
      </c>
      <c r="M17" s="15">
        <f>IFERROR(M4/M2,"")</f>
        <v>0.8846</v>
      </c>
      <c r="N17" s="15">
        <f>IFERROR(N4/N2,"")</f>
        <v>0.8846</v>
      </c>
      <c r="O17" s="15">
        <f>IFERROR(O4/O2,"")</f>
        <v>0.8846</v>
      </c>
      <c r="P17" s="15">
        <f>IFERROR(P4/P2,"")</f>
        <v>0.8846</v>
      </c>
      <c r="Q17" s="15">
        <f>IFERROR(Q4/Q2,"")</f>
        <v>0.8846</v>
      </c>
      <c r="R17" s="15">
        <f>IFERROR(R4/R2,"")</f>
        <v>0.8846</v>
      </c>
      <c r="S17" s="15">
        <f>IFERROR(S4/S2,"")</f>
        <v>0.8846000000000002</v>
      </c>
      <c r="T17" s="15">
        <f>IFERROR(T4/T2,"")</f>
        <v>0.8846</v>
      </c>
      <c r="U17" s="15">
        <f>IFERROR(U4/U2,"")</f>
        <v>0.8846</v>
      </c>
    </row>
    <row r="18">
      <c r="A18" s="14" t="inlineStr">
        <is>
          <t>Operating Margin</t>
        </is>
      </c>
      <c r="B18" s="15">
        <f>IFERROR(B8/B2,"")</f>
        <v>-144.6647398843931</v>
      </c>
      <c r="C18" s="15">
        <f>IFERROR(C8/C2,"")</f>
        <v>-112.1244019138756</v>
      </c>
      <c r="D18" s="15">
        <f>IFERROR(D8/D2,"")</f>
        <v>-119.30885529157666</v>
      </c>
      <c r="E18" s="15">
        <f>IFERROR(E8/E2,"")</f>
        <v>-285.9842767295597</v>
      </c>
      <c r="F18" s="15">
        <f>IFERROR(F8/F2,"")</f>
        <v>-2.0808891017199413</v>
      </c>
      <c r="G18" s="15">
        <f>IFERROR(G8/G2,"")</f>
        <v>-3.9630522968972706</v>
      </c>
      <c r="H18" s="15">
        <f>IFERROR(H8/H2,"")</f>
        <v>-0.8316794747444601</v>
      </c>
      <c r="I18" s="15">
        <f>IFERROR(I8/I2,"")</f>
        <v>-0.5224171428897003</v>
      </c>
      <c r="J18" s="15">
        <f>IFERROR(J8/J2,"")</f>
        <v>-0.019933399395235817</v>
      </c>
      <c r="K18" s="15">
        <f>IFERROR(K8/K2,"")</f>
        <v>0.37064881383476717</v>
      </c>
      <c r="L18" s="15">
        <f>IFERROR(L8/L2,"")</f>
        <v>0.45550999999999997</v>
      </c>
      <c r="M18" s="15">
        <f>IFERROR(M8/M2,"")</f>
        <v>0.42712</v>
      </c>
      <c r="N18" s="15">
        <f>IFERROR(N8/N2,"")</f>
        <v>0.39873000000000003</v>
      </c>
      <c r="O18" s="15">
        <f>IFERROR(O8/O2,"")</f>
        <v>0.37034000000000006</v>
      </c>
      <c r="P18" s="15">
        <f>IFERROR(P8/P2,"")</f>
        <v>0.34195</v>
      </c>
      <c r="Q18" s="15">
        <f>IFERROR(Q8/Q2,"")</f>
        <v>0.31356000000000006</v>
      </c>
      <c r="R18" s="15">
        <f>IFERROR(R8/R2,"")</f>
        <v>0.28517000000000003</v>
      </c>
      <c r="S18" s="15">
        <f>IFERROR(S8/S2,"")</f>
        <v>0.25678</v>
      </c>
      <c r="T18" s="15">
        <f>IFERROR(T8/T2,"")</f>
        <v>0.22839000000000004</v>
      </c>
      <c r="U18" s="15">
        <f>IFERROR(U8/U2,"")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Aurinia Pharmaceuticals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0.1648</v>
      </c>
      <c r="C12" s="53" t="n">
        <v>0.2148</v>
      </c>
      <c r="D12" s="53" t="n">
        <v>0.2648</v>
      </c>
      <c r="E12" s="54">
        <f>CHOOSE($B$4,B12,C12,D12)</f>
        <v>0.2148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0.4839</v>
      </c>
    </row>
    <row r="19">
      <c r="A19" s="14" t="inlineStr">
        <is>
          <t>Gross margin (forecast)</t>
        </is>
      </c>
      <c r="B19" s="53" t="n">
        <v>0.8846000000000001</v>
      </c>
    </row>
    <row r="20">
      <c r="A20" s="14" t="inlineStr">
        <is>
          <t>R&amp;D share of operating expense (forecast)</t>
        </is>
      </c>
      <c r="B20" s="53" t="n">
        <v>0.2234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Model'!K2</f>
        <v>283.055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1503.486615451969</v>
      </c>
      <c r="C29" s="56">
        <f>NPV!B26</f>
        <v>1946.5096154519692</v>
      </c>
      <c r="D29" s="35">
        <f>NPV!B28</f>
        <v>14.629782246270619</v>
      </c>
      <c r="E29" s="57">
        <f>NPV!B30</f>
        <v>-0.12605840822756154</v>
      </c>
    </row>
    <row r="30">
      <c r="A30" s="58" t="n">
        <v>1</v>
      </c>
      <c r="B30" s="59">
        <f t="dataTable" ref="B30:E32" r1="B4"/>
        <v>958.0369146344963</v>
      </c>
      <c r="C30" s="59">
        <v>1401.0599146344962</v>
      </c>
      <c r="D30" s="39">
        <v>10.53023386186656</v>
      </c>
      <c r="E30" s="60">
        <v>-0.37095377169255916</v>
      </c>
    </row>
    <row r="31">
      <c r="A31" s="58" t="n">
        <v>2</v>
      </c>
      <c r="B31" s="59">
        <v>1503.486615451969</v>
      </c>
      <c r="C31" s="59">
        <v>1946.5096154519692</v>
      </c>
      <c r="D31" s="39">
        <v>14.629782246270619</v>
      </c>
      <c r="E31" s="60">
        <v>-0.12605840822756154</v>
      </c>
    </row>
    <row r="32">
      <c r="A32" s="58" t="n">
        <v>3</v>
      </c>
      <c r="B32" s="59">
        <v>2472.2216477593</v>
      </c>
      <c r="C32" s="59">
        <v>2915.2446477593003</v>
      </c>
      <c r="D32" s="39">
        <v>21.910703164659935</v>
      </c>
      <c r="E32" s="60">
        <v>0.30888310422102383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14.629782246270619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16.450540758191362</v>
      </c>
      <c r="C37" s="39">
        <v>17.04982850545416</v>
      </c>
      <c r="D37" s="39">
        <v>17.73863953502593</v>
      </c>
      <c r="E37" s="39">
        <v>18.539325101655802</v>
      </c>
      <c r="F37" s="39">
        <v>19.482363878705655</v>
      </c>
    </row>
    <row r="38">
      <c r="A38" s="62" t="n">
        <v>0.1</v>
      </c>
      <c r="B38" s="39">
        <v>15.033089124656865</v>
      </c>
      <c r="C38" s="39">
        <v>15.478142367602706</v>
      </c>
      <c r="D38" s="39">
        <v>15.980335755209286</v>
      </c>
      <c r="E38" s="39">
        <v>16.551889735251333</v>
      </c>
      <c r="F38" s="39">
        <v>17.20878464726684</v>
      </c>
    </row>
    <row r="39">
      <c r="A39" s="62" t="n">
        <v>0.11</v>
      </c>
      <c r="B39" s="39">
        <v>13.909492087836474</v>
      </c>
      <c r="C39" s="39">
        <v>14.250499706353343</v>
      </c>
      <c r="D39" s="39">
        <v>14.629782246270619</v>
      </c>
      <c r="E39" s="39">
        <v>15.054496575098614</v>
      </c>
      <c r="F39" s="39">
        <v>15.533707858523286</v>
      </c>
    </row>
    <row r="40">
      <c r="A40" s="62" t="n">
        <v>0.12</v>
      </c>
      <c r="B40" s="39">
        <v>12.995978471649904</v>
      </c>
      <c r="C40" s="39">
        <v>13.263905722948214</v>
      </c>
      <c r="D40" s="39">
        <v>13.558468596083681</v>
      </c>
      <c r="E40" s="39">
        <v>13.884089869586148</v>
      </c>
      <c r="F40" s="39">
        <v>14.246232810418585</v>
      </c>
    </row>
    <row r="41">
      <c r="A41" s="62" t="n">
        <v>0.13</v>
      </c>
      <c r="B41" s="39">
        <v>12.237914637664163</v>
      </c>
      <c r="C41" s="39">
        <v>12.452816802620788</v>
      </c>
      <c r="D41" s="39">
        <v>12.686837925391108</v>
      </c>
      <c r="E41" s="39">
        <v>12.942831850584088</v>
      </c>
      <c r="F41" s="39">
        <v>13.224253093403531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Aurinia Pharmaceuticals Inc.: free-cash-flow DCF ($mm)</t>
        </is>
      </c>
    </row>
    <row r="3">
      <c r="A3" s="20" t="inlineStr">
        <is>
          <t>Fiscal year</t>
        </is>
      </c>
      <c r="B3" s="43">
        <f>'Yearly Model'!K1</f>
        <v>2025</v>
      </c>
      <c r="C3" s="43">
        <f>'Yearly Model'!L1</f>
        <v>2026</v>
      </c>
      <c r="D3" s="43">
        <f>'Yearly Model'!M1</f>
        <v>2027</v>
      </c>
      <c r="E3" s="43">
        <f>'Yearly Model'!N1</f>
        <v>2028</v>
      </c>
      <c r="F3" s="43">
        <f>'Yearly Model'!O1</f>
        <v>2029</v>
      </c>
      <c r="G3" s="43">
        <f>'Yearly Model'!P1</f>
        <v>2030</v>
      </c>
      <c r="H3" s="43">
        <f>'Yearly Model'!Q1</f>
        <v>2031</v>
      </c>
      <c r="I3" s="43">
        <f>'Yearly Model'!R1</f>
        <v>2032</v>
      </c>
      <c r="J3" s="43">
        <f>'Yearly Model'!S1</f>
        <v>2033</v>
      </c>
      <c r="K3" s="43">
        <f>'Yearly Model'!T1</f>
        <v>2034</v>
      </c>
      <c r="L3" s="43">
        <f>'Yearly Model'!U1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0.2148</v>
      </c>
      <c r="D5" s="63">
        <f>Assumptions!$E$12+(Assumptions!$E$11-Assumptions!$E$12)*(D4-1)/(Assumptions!$B$21-1)</f>
        <v>0.1937111111111111</v>
      </c>
      <c r="E5" s="63">
        <f>Assumptions!$E$12+(Assumptions!$E$11-Assumptions!$E$12)*(E4-1)/(Assumptions!$B$21-1)</f>
        <v>0.1726222222222222</v>
      </c>
      <c r="F5" s="63">
        <f>Assumptions!$E$12+(Assumptions!$E$11-Assumptions!$E$12)*(F4-1)/(Assumptions!$B$21-1)</f>
        <v>0.15153333333333333</v>
      </c>
      <c r="G5" s="63">
        <f>Assumptions!$E$12+(Assumptions!$E$11-Assumptions!$E$12)*(G4-1)/(Assumptions!$B$21-1)</f>
        <v>0.13044444444444442</v>
      </c>
      <c r="H5" s="63">
        <f>Assumptions!$E$12+(Assumptions!$E$11-Assumptions!$E$12)*(H4-1)/(Assumptions!$B$21-1)</f>
        <v>0.10935555555555555</v>
      </c>
      <c r="I5" s="63">
        <f>Assumptions!$E$12+(Assumptions!$E$11-Assumptions!$E$12)*(I4-1)/(Assumptions!$B$21-1)</f>
        <v>0.08826666666666666</v>
      </c>
      <c r="J5" s="63">
        <f>Assumptions!$E$12+(Assumptions!$E$11-Assumptions!$E$12)*(J4-1)/(Assumptions!$B$21-1)</f>
        <v>0.06717777777777778</v>
      </c>
      <c r="K5" s="63">
        <f>Assumptions!$E$12+(Assumptions!$E$11-Assumptions!$E$12)*(K4-1)/(Assumptions!$B$21-1)</f>
        <v>0.046088888888888874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0.37064881383476717</v>
      </c>
      <c r="C6" s="63">
        <f>Assumptions!$B$18+(Assumptions!$E$13-Assumptions!$B$18)*C4/Assumptions!$B$21</f>
        <v>0.45550999999999997</v>
      </c>
      <c r="D6" s="63">
        <f>Assumptions!$B$18+(Assumptions!$E$13-Assumptions!$B$18)*D4/Assumptions!$B$21</f>
        <v>0.42712</v>
      </c>
      <c r="E6" s="63">
        <f>Assumptions!$B$18+(Assumptions!$E$13-Assumptions!$B$18)*E4/Assumptions!$B$21</f>
        <v>0.39873000000000003</v>
      </c>
      <c r="F6" s="63">
        <f>Assumptions!$B$18+(Assumptions!$E$13-Assumptions!$B$18)*F4/Assumptions!$B$21</f>
        <v>0.37034</v>
      </c>
      <c r="G6" s="63">
        <f>Assumptions!$B$18+(Assumptions!$E$13-Assumptions!$B$18)*G4/Assumptions!$B$21</f>
        <v>0.34195</v>
      </c>
      <c r="H6" s="63">
        <f>Assumptions!$B$18+(Assumptions!$E$13-Assumptions!$B$18)*H4/Assumptions!$B$21</f>
        <v>0.31356</v>
      </c>
      <c r="I6" s="63">
        <f>Assumptions!$B$18+(Assumptions!$E$13-Assumptions!$B$18)*I4/Assumptions!$B$21</f>
        <v>0.28517000000000003</v>
      </c>
      <c r="J6" s="63">
        <f>Assumptions!$B$18+(Assumptions!$E$13-Assumptions!$B$18)*J4/Assumptions!$B$21</f>
        <v>0.25678</v>
      </c>
      <c r="K6" s="63">
        <f>Assumptions!$B$18+(Assumptions!$E$13-Assumptions!$B$18)*K4/Assumptions!$B$21</f>
        <v>0.22838999999999998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Model'!K2</f>
        <v>283.055</v>
      </c>
      <c r="C7" s="55">
        <f>'Yearly Model'!L2</f>
        <v>343.855214</v>
      </c>
      <c r="D7" s="55">
        <f>'Yearly Model'!M2</f>
        <v>410.4637895652889</v>
      </c>
      <c r="E7" s="55">
        <f>'Yearly Model'!N2</f>
        <v>481.31896106180363</v>
      </c>
      <c r="F7" s="55">
        <f>'Yearly Model'!O2</f>
        <v>554.2548276280356</v>
      </c>
      <c r="G7" s="55">
        <f>'Yearly Model'!P2</f>
        <v>626.554290698626</v>
      </c>
      <c r="H7" s="55">
        <f>'Yearly Model'!Q2</f>
        <v>695.0714832436913</v>
      </c>
      <c r="I7" s="55">
        <f>'Yearly Model'!R2</f>
        <v>756.4231261646678</v>
      </c>
      <c r="J7" s="55">
        <f>'Yearly Model'!S2</f>
        <v>807.2379508401298</v>
      </c>
      <c r="K7" s="55">
        <f>'Yearly Model'!T2</f>
        <v>844.4426510632949</v>
      </c>
      <c r="L7" s="55">
        <f>'Yearly Model'!U2</f>
        <v>865.5537173398772</v>
      </c>
    </row>
    <row r="8">
      <c r="A8" s="14" t="inlineStr">
        <is>
          <t>Operating income</t>
        </is>
      </c>
      <c r="B8" s="55">
        <f>'Yearly Model'!K8</f>
        <v>104.91400000000002</v>
      </c>
      <c r="C8" s="55">
        <f>'Yearly Model'!L8</f>
        <v>156.62948852914</v>
      </c>
      <c r="D8" s="55">
        <f>'Yearly Model'!M8</f>
        <v>175.3172937991262</v>
      </c>
      <c r="E8" s="55">
        <f>'Yearly Model'!N8</f>
        <v>191.916309344173</v>
      </c>
      <c r="F8" s="55">
        <f>'Yearly Model'!O8</f>
        <v>205.26273286376676</v>
      </c>
      <c r="G8" s="55">
        <f>'Yearly Model'!P8</f>
        <v>214.25023970439514</v>
      </c>
      <c r="H8" s="55">
        <f>'Yearly Model'!Q8</f>
        <v>217.94661428589188</v>
      </c>
      <c r="I8" s="55">
        <f>'Yearly Model'!R8</f>
        <v>215.70918288837834</v>
      </c>
      <c r="J8" s="55">
        <f>'Yearly Model'!S8</f>
        <v>207.28256101672855</v>
      </c>
      <c r="K8" s="55">
        <f>'Yearly Model'!T8</f>
        <v>192.86225707634594</v>
      </c>
      <c r="L8" s="55">
        <f>'Yearly Model'!U8</f>
        <v>173.11074346797545</v>
      </c>
    </row>
    <row r="9">
      <c r="A9" s="14" t="inlineStr">
        <is>
          <t>Tax on operating income</t>
        </is>
      </c>
      <c r="C9" s="52">
        <f>MAX(0,C8)*Assumptions!$E$14</f>
        <v>26.6270130499538</v>
      </c>
      <c r="D9" s="52">
        <f>MAX(0,D8)*Assumptions!$E$14</f>
        <v>29.803939945851454</v>
      </c>
      <c r="E9" s="52">
        <f>MAX(0,E8)*Assumptions!$E$14</f>
        <v>32.62577258850941</v>
      </c>
      <c r="F9" s="52">
        <f>MAX(0,F8)*Assumptions!$E$14</f>
        <v>34.89466458684035</v>
      </c>
      <c r="G9" s="52">
        <f>MAX(0,G8)*Assumptions!$E$14</f>
        <v>36.42254074974718</v>
      </c>
      <c r="H9" s="52">
        <f>MAX(0,H8)*Assumptions!$E$14</f>
        <v>37.050924428601625</v>
      </c>
      <c r="I9" s="52">
        <f>MAX(0,I8)*Assumptions!$E$14</f>
        <v>36.67056109102432</v>
      </c>
      <c r="J9" s="52">
        <f>MAX(0,J8)*Assumptions!$E$14</f>
        <v>35.238035372843854</v>
      </c>
      <c r="K9" s="52">
        <f>MAX(0,K8)*Assumptions!$E$14</f>
        <v>32.78658370297881</v>
      </c>
      <c r="L9" s="52">
        <f>MAX(0,L8)*Assumptions!$E$14</f>
        <v>29.42882638955583</v>
      </c>
    </row>
    <row r="10">
      <c r="A10" s="14" t="inlineStr">
        <is>
          <t>NOPAT</t>
        </is>
      </c>
      <c r="C10" s="52">
        <f>C8-C9</f>
        <v>130.0024754791862</v>
      </c>
      <c r="D10" s="52">
        <f>D8-D9</f>
        <v>145.51335385327474</v>
      </c>
      <c r="E10" s="52">
        <f>E8-E9</f>
        <v>159.29053675566357</v>
      </c>
      <c r="F10" s="52">
        <f>F8-F9</f>
        <v>170.3680682769264</v>
      </c>
      <c r="G10" s="52">
        <f>G8-G9</f>
        <v>177.82769895464796</v>
      </c>
      <c r="H10" s="52">
        <f>H8-H9</f>
        <v>180.89568985729025</v>
      </c>
      <c r="I10" s="52">
        <f>I8-I9</f>
        <v>179.038621797354</v>
      </c>
      <c r="J10" s="52">
        <f>J8-J9</f>
        <v>172.0445256438847</v>
      </c>
      <c r="K10" s="52">
        <f>K8-K9</f>
        <v>160.07567337336712</v>
      </c>
      <c r="L10" s="52">
        <f>L8-L9</f>
        <v>143.68191707841962</v>
      </c>
    </row>
    <row r="11">
      <c r="A11" s="14" t="inlineStr">
        <is>
          <t>Reinvestment</t>
        </is>
      </c>
      <c r="C11" s="52">
        <f>(C7-B7)*Assumptions!$E$15</f>
        <v>15.200053499999996</v>
      </c>
      <c r="D11" s="52">
        <f>(D7-C7)*Assumptions!$E$15</f>
        <v>16.652143891322225</v>
      </c>
      <c r="E11" s="52">
        <f>(E7-D7)*Assumptions!$E$15</f>
        <v>17.713792874128686</v>
      </c>
      <c r="F11" s="52">
        <f>(F7-E7)*Assumptions!$E$15</f>
        <v>18.233966641558</v>
      </c>
      <c r="G11" s="52">
        <f>(G7-F7)*Assumptions!$E$15</f>
        <v>18.074865767647594</v>
      </c>
      <c r="H11" s="52">
        <f>(H7-G7)*Assumptions!$E$15</f>
        <v>17.12929813626633</v>
      </c>
      <c r="I11" s="52">
        <f>(I7-H7)*Assumptions!$E$15</f>
        <v>15.337910730244118</v>
      </c>
      <c r="J11" s="52">
        <f>(J7-I7)*Assumptions!$E$15</f>
        <v>12.703706168865494</v>
      </c>
      <c r="K11" s="52">
        <f>(K7-J7)*Assumptions!$E$15</f>
        <v>9.301175055791276</v>
      </c>
      <c r="L11" s="52">
        <f>(L7-K7)*Assumptions!$E$15</f>
        <v>5.2777665691455695</v>
      </c>
    </row>
    <row r="12">
      <c r="A12" s="20" t="inlineStr">
        <is>
          <t>Free cash flow</t>
        </is>
      </c>
      <c r="C12" s="64">
        <f>C10-C11</f>
        <v>114.80242197918619</v>
      </c>
      <c r="D12" s="64">
        <f>D10-D11</f>
        <v>128.8612099619525</v>
      </c>
      <c r="E12" s="64">
        <f>E10-E11</f>
        <v>141.57674388153487</v>
      </c>
      <c r="F12" s="64">
        <f>F10-F11</f>
        <v>152.1341016353684</v>
      </c>
      <c r="G12" s="64">
        <f>G10-G11</f>
        <v>159.75283318700036</v>
      </c>
      <c r="H12" s="64">
        <f>H10-H11</f>
        <v>163.76639172102392</v>
      </c>
      <c r="I12" s="64">
        <f>I10-I11</f>
        <v>163.7007110671099</v>
      </c>
      <c r="J12" s="64">
        <f>J10-J11</f>
        <v>159.3408194750192</v>
      </c>
      <c r="K12" s="64">
        <f>K10-K11</f>
        <v>150.77449831757585</v>
      </c>
      <c r="L12" s="64">
        <f>L10-L11</f>
        <v>138.40415050927405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56.36948811723802</v>
      </c>
      <c r="D16" s="64">
        <f>D12*D13*D15</f>
        <v>116.04151813416381</v>
      </c>
      <c r="E16" s="64">
        <f>E12*E13*E15</f>
        <v>114.85770598142575</v>
      </c>
      <c r="F16" s="64">
        <f>F12*F13*F15</f>
        <v>111.1915575320758</v>
      </c>
      <c r="G16" s="64">
        <f>G12*G13*G15</f>
        <v>105.18912189009306</v>
      </c>
      <c r="H16" s="64">
        <f>H12*H13*H15</f>
        <v>97.14580739871477</v>
      </c>
      <c r="I16" s="64">
        <f>I12*I13*I15</f>
        <v>87.4836448664175</v>
      </c>
      <c r="J16" s="64">
        <f>J12*J13*J15</f>
        <v>76.71501435665873</v>
      </c>
      <c r="K16" s="64">
        <f>K12*K13*K15</f>
        <v>65.39706196141174</v>
      </c>
      <c r="L16" s="64">
        <f>L12*L13*L15</f>
        <v>54.08246536043255</v>
      </c>
    </row>
    <row r="19">
      <c r="A19" s="14" t="inlineStr">
        <is>
          <t>PV of forecast free cash flow</t>
        </is>
      </c>
      <c r="B19" s="52">
        <f>SUM(C16:L16)</f>
        <v>884.4733855986318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141.86425427200587</v>
      </c>
    </row>
    <row r="21">
      <c r="A21" s="14" t="inlineStr">
        <is>
          <t>Terminal value</t>
        </is>
      </c>
      <c r="B21" s="52">
        <f>B20/(Assumptions!$E$10-Assumptions!$E$11)</f>
        <v>1668.991226729481</v>
      </c>
    </row>
    <row r="22">
      <c r="A22" s="14" t="inlineStr">
        <is>
          <t>PV of terminal value</t>
        </is>
      </c>
      <c r="B22" s="52">
        <f>B21/(1+Assumptions!$E$10)^(L14+0.5)</f>
        <v>619.0132298533372</v>
      </c>
    </row>
    <row r="23">
      <c r="A23" s="20" t="inlineStr">
        <is>
          <t>Enterprise value</t>
        </is>
      </c>
      <c r="B23" s="66">
        <f>B19+B22</f>
        <v>1503.486615451969</v>
      </c>
    </row>
    <row r="24">
      <c r="A24" s="14" t="inlineStr">
        <is>
          <t>Cash &amp; investments</t>
        </is>
      </c>
      <c r="B24" s="55">
        <f>Main!C7</f>
        <v>443.023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1946.5096154519692</v>
      </c>
    </row>
    <row r="27">
      <c r="A27" s="14" t="inlineStr">
        <is>
          <t>Shares (mm)</t>
        </is>
      </c>
      <c r="B27" s="55">
        <f>Main!C4</f>
        <v>133.051168</v>
      </c>
    </row>
    <row r="28">
      <c r="A28" s="20" t="inlineStr">
        <is>
          <t>NPV / share</t>
        </is>
      </c>
      <c r="B28" s="49">
        <f>B26/B27</f>
        <v>14.629782246270619</v>
      </c>
    </row>
    <row r="29">
      <c r="A29" s="14" t="inlineStr">
        <is>
          <t>Price</t>
        </is>
      </c>
      <c r="B29" s="50">
        <f>Main!C3</f>
        <v>16.74</v>
      </c>
    </row>
    <row r="30">
      <c r="A30" s="14" t="inlineStr">
        <is>
          <t>Upside</t>
        </is>
      </c>
      <c r="B30" s="63">
        <f>B28/B29-1</f>
        <v>-0.12605840822756154</v>
      </c>
    </row>
    <row r="31">
      <c r="A31" s="14" t="inlineStr">
        <is>
          <t>Terminal value, % of EV</t>
        </is>
      </c>
      <c r="B31" s="63">
        <f>IFERROR(B22/B23,0)</f>
        <v>0.4117184838837113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2026-10-21T06:22:31Z</dcterms:modified>
  <cp:lastModifiedBy>Wang, Eric</cp:lastModifiedBy>
</cp:coreProperties>
</file>