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MetaVia Inc</t>
        </is>
      </c>
      <c r="C2" s="10" t="n"/>
    </row>
    <row r="3">
      <c r="B3" t="inlineStr">
        <is>
          <t>Price</t>
        </is>
      </c>
      <c r="C3" s="11">
        <f>INDEX([1]Pharma!$F$1:$F$1000,MATCH("MTVA",[1]Pharma!$B$1:$B$1000,0))</f>
        <v>1.29</v>
      </c>
      <c r="F3" s="1" t="n"/>
    </row>
    <row r="4">
      <c r="B4" t="inlineStr">
        <is>
          <t>Shares</t>
        </is>
      </c>
      <c r="C4" s="21" t="n">
        <v>6.588101</v>
      </c>
      <c r="F4" s="1" t="n"/>
    </row>
    <row r="5">
      <c r="B5" t="inlineStr">
        <is>
          <t>Market Cap.</t>
        </is>
      </c>
      <c r="C5" s="13">
        <f>C3*C4</f>
        <v>8.49865029</v>
      </c>
      <c r="F5" s="1" t="n"/>
    </row>
    <row r="6"/>
    <row r="7">
      <c r="B7" t="inlineStr">
        <is>
          <t>Cash</t>
        </is>
      </c>
      <c r="C7" s="21" t="n">
        <v>12.634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-4.13534971</v>
      </c>
    </row>
    <row r="10"/>
    <row r="11">
      <c r="B11" s="14" t="inlineStr">
        <is>
          <t>Net Cash / Share</t>
        </is>
      </c>
      <c r="C11" s="11">
        <f>(C7-C8)/C4</f>
        <v>1.9176998045415516</v>
      </c>
    </row>
    <row r="12">
      <c r="B12" s="14" t="inlineStr">
        <is>
          <t>Upside</t>
        </is>
      </c>
      <c r="C12" s="15">
        <f>IFERROR(C11/C3-1,"")</f>
        <v>0.48658899576864467</v>
      </c>
    </row>
    <row r="13">
      <c r="B13" s="14" t="inlineStr">
        <is>
          <t>Cash / Share</t>
        </is>
      </c>
      <c r="C13" s="11">
        <f>IFERROR((C7-C8)/C4,"")</f>
        <v>1.9176998045415516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-15.835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0.7978528575939374</v>
      </c>
    </row>
    <row r="19">
      <c r="B19" s="14" t="inlineStr">
        <is>
          <t>Implied Pipeline Value</t>
        </is>
      </c>
      <c r="C19" s="13">
        <f>C9</f>
        <v>-4.13534971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2014</v>
      </c>
      <c r="C1" s="17" t="n">
        <v>2015</v>
      </c>
      <c r="D1" s="17" t="n">
        <v>2016</v>
      </c>
      <c r="E1" s="17" t="n">
        <v>2017</v>
      </c>
      <c r="F1" s="17" t="n">
        <v>2018</v>
      </c>
      <c r="G1" s="17" t="n">
        <v>2019</v>
      </c>
      <c r="H1" s="17" t="n">
        <v>2020</v>
      </c>
      <c r="I1" s="17" t="n">
        <v>2021</v>
      </c>
      <c r="J1" s="17" t="n">
        <v>2022</v>
      </c>
      <c r="K1" s="17" t="n">
        <v>2023</v>
      </c>
      <c r="L1" s="17" t="n">
        <v>2024</v>
      </c>
      <c r="M1" s="17" t="n">
        <v>2025</v>
      </c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</row>
    <row r="5">
      <c r="A5" s="2" t="inlineStr">
        <is>
          <t>Research &amp; Dev.</t>
        </is>
      </c>
      <c r="B5" s="23" t="n">
        <v>0.052</v>
      </c>
      <c r="C5" s="23" t="n">
        <v>3.991</v>
      </c>
      <c r="D5" s="23" t="n">
        <v>8.74</v>
      </c>
      <c r="E5" s="23" t="n">
        <v>22.686</v>
      </c>
      <c r="F5" s="23" t="n">
        <v>5.066</v>
      </c>
      <c r="G5" s="23" t="n">
        <v>5.324</v>
      </c>
      <c r="H5" s="23" t="n">
        <v>4.531</v>
      </c>
      <c r="I5" s="23" t="n">
        <v>6.546</v>
      </c>
      <c r="J5" s="23" t="n">
        <v>2.778</v>
      </c>
      <c r="K5" s="23" t="n">
        <v>9.157999999999999</v>
      </c>
      <c r="L5" s="23" t="n">
        <v>21.553</v>
      </c>
      <c r="M5" s="23" t="n">
        <v>6.802</v>
      </c>
    </row>
    <row r="6">
      <c r="A6" s="19" t="inlineStr">
        <is>
          <t>SG&amp;A &amp; Other</t>
        </is>
      </c>
      <c r="B6" s="23" t="n">
        <v>0.214</v>
      </c>
      <c r="C6" s="23" t="n">
        <v>4.085</v>
      </c>
      <c r="D6" s="23" t="n">
        <v>5.956</v>
      </c>
      <c r="E6" s="23" t="n">
        <v>10.438</v>
      </c>
      <c r="F6" s="23" t="n">
        <v>10.42</v>
      </c>
      <c r="G6" s="23" t="n">
        <v>14.852</v>
      </c>
      <c r="H6" s="23" t="n">
        <v>25.185</v>
      </c>
      <c r="I6" s="23" t="n">
        <v>8.752000000000001</v>
      </c>
      <c r="J6" s="23" t="n">
        <v>16.85</v>
      </c>
      <c r="K6" s="23" t="n">
        <v>6.728</v>
      </c>
      <c r="L6" s="23" t="n">
        <v>7.256</v>
      </c>
      <c r="M6" s="23" t="n">
        <v>6.906</v>
      </c>
    </row>
    <row r="7">
      <c r="A7" s="2" t="inlineStr">
        <is>
          <t>Operating Expense</t>
        </is>
      </c>
      <c r="B7" s="23">
        <f>SUM(B5:B6)</f>
        <v>0.266</v>
      </c>
      <c r="C7" s="23">
        <f>SUM(C5:C6)</f>
        <v>8.076</v>
      </c>
      <c r="D7" s="23">
        <f>SUM(D5:D6)</f>
        <v>14.696000000000002</v>
      </c>
      <c r="E7" s="23">
        <f>SUM(E5:E6)</f>
        <v>33.124</v>
      </c>
      <c r="F7" s="23">
        <f>SUM(F5:F6)</f>
        <v>15.486</v>
      </c>
      <c r="G7" s="23">
        <f>SUM(G5:G6)</f>
        <v>20.176000000000002</v>
      </c>
      <c r="H7" s="23">
        <f>SUM(H5:H6)</f>
        <v>29.715999999999998</v>
      </c>
      <c r="I7" s="23">
        <f>SUM(I5:I6)</f>
        <v>15.298000000000002</v>
      </c>
      <c r="J7" s="23">
        <f>SUM(J5:J6)</f>
        <v>19.628</v>
      </c>
      <c r="K7" s="23">
        <f>SUM(K5:K6)</f>
        <v>15.886</v>
      </c>
      <c r="L7" s="23">
        <f>SUM(L5:L6)</f>
        <v>28.809</v>
      </c>
      <c r="M7" s="23">
        <f>SUM(M5:M6)</f>
        <v>13.707999999999998</v>
      </c>
    </row>
    <row r="8">
      <c r="A8" s="2" t="inlineStr">
        <is>
          <t>Operating Income</t>
        </is>
      </c>
      <c r="B8" s="23">
        <f>B4-B7</f>
        <v>-0.266</v>
      </c>
      <c r="C8" s="23">
        <f>C4-C7</f>
        <v>-8.076</v>
      </c>
      <c r="D8" s="23">
        <f>D4-D7</f>
        <v>-14.696000000000002</v>
      </c>
      <c r="E8" s="23">
        <f>E4-E7</f>
        <v>-33.124</v>
      </c>
      <c r="F8" s="23">
        <f>F4-F7</f>
        <v>-15.486</v>
      </c>
      <c r="G8" s="23">
        <f>G4-G7</f>
        <v>-20.176000000000002</v>
      </c>
      <c r="H8" s="23">
        <f>H4-H7</f>
        <v>-29.715999999999998</v>
      </c>
      <c r="I8" s="23">
        <f>I4-I7</f>
        <v>-15.298000000000002</v>
      </c>
      <c r="J8" s="23">
        <f>J4-J7</f>
        <v>-19.628</v>
      </c>
      <c r="K8" s="23">
        <f>K4-K7</f>
        <v>-15.886</v>
      </c>
      <c r="L8" s="23">
        <f>L4-L7</f>
        <v>-28.809</v>
      </c>
      <c r="M8" s="23">
        <f>M4-M7</f>
        <v>-13.707999999999998</v>
      </c>
    </row>
    <row r="9">
      <c r="A9" s="19" t="inlineStr">
        <is>
          <t>Interest &amp; Other</t>
        </is>
      </c>
      <c r="B9" s="23" t="n">
        <v>-0.054</v>
      </c>
      <c r="C9" s="23" t="n">
        <v>-0.953</v>
      </c>
      <c r="D9" s="23" t="n">
        <v>0.11</v>
      </c>
      <c r="E9" s="23" t="n">
        <v>-0.291</v>
      </c>
      <c r="F9" s="23" t="n">
        <v>-0.043</v>
      </c>
      <c r="G9" s="23" t="n">
        <v>-1.136</v>
      </c>
      <c r="H9" s="23" t="n">
        <v>0.038</v>
      </c>
      <c r="I9" s="23" t="n">
        <v>0.014</v>
      </c>
      <c r="J9" s="23" t="n">
        <v>5.661</v>
      </c>
      <c r="K9" s="23" t="n">
        <v>3.416</v>
      </c>
      <c r="L9" s="23" t="n">
        <v>1.217</v>
      </c>
      <c r="M9" s="23" t="n">
        <v>0.735</v>
      </c>
    </row>
    <row r="10">
      <c r="A10" s="2" t="inlineStr">
        <is>
          <t>Pretax</t>
        </is>
      </c>
      <c r="B10" s="23">
        <f>B8+B9</f>
        <v>-0.32</v>
      </c>
      <c r="C10" s="23">
        <f>C8+C9</f>
        <v>-9.029</v>
      </c>
      <c r="D10" s="23">
        <f>D8+D9</f>
        <v>-14.586000000000002</v>
      </c>
      <c r="E10" s="23">
        <f>E8+E9</f>
        <v>-33.415</v>
      </c>
      <c r="F10" s="23">
        <f>F8+F9</f>
        <v>-15.529</v>
      </c>
      <c r="G10" s="23">
        <f>G8+G9</f>
        <v>-21.312</v>
      </c>
      <c r="H10" s="23">
        <f>H8+H9</f>
        <v>-29.677999999999997</v>
      </c>
      <c r="I10" s="23">
        <f>I8+I9</f>
        <v>-15.284000000000002</v>
      </c>
      <c r="J10" s="23">
        <f>J8+J9</f>
        <v>-13.967</v>
      </c>
      <c r="K10" s="23">
        <f>K8+K9</f>
        <v>-12.469999999999999</v>
      </c>
      <c r="L10" s="23">
        <f>L8+L9</f>
        <v>-27.592000000000002</v>
      </c>
      <c r="M10" s="23">
        <f>M8+M9</f>
        <v>-12.972999999999999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</row>
    <row r="12">
      <c r="A12" s="2" t="inlineStr">
        <is>
          <t>Net Income</t>
        </is>
      </c>
      <c r="B12" s="23" t="n">
        <v>-0.32</v>
      </c>
      <c r="C12" s="23" t="n">
        <v>-9.029</v>
      </c>
      <c r="D12" s="23" t="n">
        <v>-14.586</v>
      </c>
      <c r="E12" s="23" t="n">
        <v>-33.415</v>
      </c>
      <c r="F12" s="23" t="n">
        <v>-15.529</v>
      </c>
      <c r="G12" s="23" t="n">
        <v>-21.312</v>
      </c>
      <c r="H12" s="23" t="n">
        <v>-29.678</v>
      </c>
      <c r="I12" s="23" t="n">
        <v>-15.284</v>
      </c>
      <c r="J12" s="23" t="n">
        <v>-13.967</v>
      </c>
      <c r="K12" s="23" t="n">
        <v>-12.47</v>
      </c>
      <c r="L12" s="23" t="n">
        <v>-27.592</v>
      </c>
      <c r="M12" s="23" t="n">
        <v>-12.973</v>
      </c>
    </row>
    <row r="13">
      <c r="A13" s="2" t="inlineStr">
        <is>
          <t>Earnings per Share</t>
        </is>
      </c>
      <c r="B13" s="11">
        <f>IFERROR(B12/B14,0)</f>
        <v>-0.1379905131522208</v>
      </c>
      <c r="C13" s="11">
        <f>IFERROR(C12/C14,0)</f>
        <v>-2.0609449897283723</v>
      </c>
      <c r="D13" s="11">
        <f>IFERROR(D12/D14,0)</f>
        <v>-3.295526434704022</v>
      </c>
      <c r="E13" s="11">
        <f>IFERROR(E12/E14,0)</f>
        <v>-4.237793278376665</v>
      </c>
      <c r="F13" s="11">
        <f>IFERROR(F12/F14,0)</f>
        <v>-4.794380981784501</v>
      </c>
      <c r="G13" s="11">
        <f>IFERROR(G12/G14,0)</f>
        <v>-5.354773869346734</v>
      </c>
      <c r="H13" s="11">
        <f>IFERROR(H12/H14,0)</f>
        <v>-2.4019100032372935</v>
      </c>
      <c r="I13" s="11">
        <f>IFERROR(I12/I14,0)</f>
        <v>-1.2382727051770235</v>
      </c>
      <c r="J13" s="11">
        <f>IFERROR(J12/J14,0)</f>
        <v>-2.7136195842238195</v>
      </c>
      <c r="K13" s="11">
        <f>IFERROR(K12/K14,0)</f>
        <v>-2.4590810491027413</v>
      </c>
      <c r="L13" s="11">
        <f>IFERROR(L12/L14,0)</f>
        <v>-39.13758865248227</v>
      </c>
      <c r="M13" s="11">
        <f>IFERROR(M12/M14,0)</f>
        <v>-7.345979614949038</v>
      </c>
    </row>
    <row r="14">
      <c r="A14" s="2" t="inlineStr">
        <is>
          <t>Shares</t>
        </is>
      </c>
      <c r="B14" s="23" t="n">
        <v>2.319</v>
      </c>
      <c r="C14" s="23" t="n">
        <v>4.381</v>
      </c>
      <c r="D14" s="23" t="n">
        <v>4.426</v>
      </c>
      <c r="E14" s="23" t="n">
        <v>7.885</v>
      </c>
      <c r="F14" s="23" t="n">
        <v>3.239</v>
      </c>
      <c r="G14" s="23" t="n">
        <v>3.98</v>
      </c>
      <c r="H14" s="23" t="n">
        <v>12.356</v>
      </c>
      <c r="I14" s="23" t="n">
        <v>12.343</v>
      </c>
      <c r="J14" s="23" t="n">
        <v>5.147</v>
      </c>
      <c r="K14" s="23" t="n">
        <v>5.071</v>
      </c>
      <c r="L14" s="23" t="n">
        <v>0.705</v>
      </c>
      <c r="M14" s="23" t="n">
        <v>1.766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2026-10-21T06:31:00Z</dcterms:modified>
  <cp:lastModifiedBy>Wang, Eric</cp:lastModifiedBy>
</cp:coreProperties>
</file>