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GT Biopharma Inc</t>
        </is>
      </c>
      <c r="C2" s="10" t="n"/>
    </row>
    <row r="3">
      <c r="B3" t="inlineStr">
        <is>
          <t>Price</t>
        </is>
      </c>
      <c r="C3" s="11">
        <f>INDEX([1]Pharma!$F$1:$F$1000,MATCH("GTBP",[1]Pharma!$B$1:$B$1000,0))</f>
        <v>7.31</v>
      </c>
      <c r="F3" s="1" t="n"/>
    </row>
    <row r="4">
      <c r="B4" t="inlineStr">
        <is>
          <t>Shares</t>
        </is>
      </c>
      <c r="C4" s="21" t="n">
        <v>45.109497</v>
      </c>
      <c r="F4" s="1" t="n"/>
    </row>
    <row r="5">
      <c r="B5" t="inlineStr">
        <is>
          <t>Market Cap.</t>
        </is>
      </c>
      <c r="C5" s="13">
        <f>C3*C4</f>
        <v>329.75042306999995</v>
      </c>
      <c r="F5" s="1" t="n"/>
    </row>
    <row r="6"/>
    <row r="7">
      <c r="B7" t="inlineStr">
        <is>
          <t>Cash</t>
        </is>
      </c>
      <c r="C7" s="21" t="n">
        <v>6.811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322.93942307</v>
      </c>
    </row>
    <row r="10"/>
    <row r="11">
      <c r="B11" s="14" t="inlineStr">
        <is>
          <t>Net Cash / Share</t>
        </is>
      </c>
      <c r="C11" s="11">
        <f>(C7-C8)/C4</f>
        <v>0.15098816109609914</v>
      </c>
    </row>
    <row r="12">
      <c r="B12" s="14" t="inlineStr">
        <is>
          <t>Upside</t>
        </is>
      </c>
      <c r="C12" s="15">
        <f>IFERROR(C11/C3-1,"")</f>
        <v>-0.9793449848021752</v>
      </c>
    </row>
    <row r="13">
      <c r="B13" s="14" t="inlineStr">
        <is>
          <t>Cash / Share</t>
        </is>
      </c>
      <c r="C13" s="11">
        <f>IFERROR((C7-C8)/C4,"")</f>
        <v>0.15098816109609914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-14.426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0.47213364758075693</v>
      </c>
    </row>
    <row r="19">
      <c r="B19" s="14" t="inlineStr">
        <is>
          <t>Implied Pipeline Value</t>
        </is>
      </c>
      <c r="C19" s="13">
        <f>C9</f>
        <v>322.93942307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0.011</v>
      </c>
      <c r="C2" s="23" t="n">
        <v>0.026</v>
      </c>
      <c r="D2" s="23" t="n">
        <v>0.342</v>
      </c>
      <c r="E2" s="23" t="n">
        <v>0.368</v>
      </c>
      <c r="F2" s="23" t="n">
        <v>0.061</v>
      </c>
      <c r="G2" s="23" t="n">
        <v>0.027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</row>
    <row r="3" customFormat="1" s="1">
      <c r="A3" s="5" t="inlineStr">
        <is>
          <t>Cost of Sales</t>
        </is>
      </c>
      <c r="B3" s="23" t="n">
        <v>0.065</v>
      </c>
      <c r="C3" s="23" t="n">
        <v>0.048</v>
      </c>
      <c r="D3" s="23" t="n">
        <v>0.094</v>
      </c>
      <c r="E3" s="23" t="n">
        <v>0.226</v>
      </c>
      <c r="F3" s="23" t="n">
        <v>0.057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-0.054000000000000006</v>
      </c>
      <c r="C4" s="23">
        <f>C2-C3</f>
        <v>-0.022000000000000002</v>
      </c>
      <c r="D4" s="23">
        <f>D2-D3</f>
        <v>0.24800000000000003</v>
      </c>
      <c r="E4" s="23">
        <f>E2-E3</f>
        <v>0.142</v>
      </c>
      <c r="F4" s="23">
        <f>F2-F3</f>
        <v>0.003999999999999997</v>
      </c>
      <c r="G4" s="23">
        <f>G2-G3</f>
        <v>0.027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</row>
    <row r="5">
      <c r="A5" s="2" t="inlineStr">
        <is>
          <t>Research &amp; Dev.</t>
        </is>
      </c>
      <c r="B5" s="23" t="n">
        <v>0.179</v>
      </c>
      <c r="C5" s="23" t="n">
        <v>0.017</v>
      </c>
      <c r="D5" s="23" t="n">
        <v>0</v>
      </c>
      <c r="E5" s="23" t="n">
        <v>0</v>
      </c>
      <c r="F5" s="23" t="n">
        <v>0</v>
      </c>
      <c r="G5" s="23" t="n">
        <v>1</v>
      </c>
      <c r="H5" s="23" t="n">
        <v>0.975</v>
      </c>
      <c r="I5" s="23" t="n">
        <v>1.068</v>
      </c>
      <c r="J5" s="23" t="n">
        <v>9.067</v>
      </c>
      <c r="K5" s="23" t="n">
        <v>1.667</v>
      </c>
      <c r="L5" s="23" t="n">
        <v>0.485</v>
      </c>
      <c r="M5" s="23" t="n">
        <v>9.590999999999999</v>
      </c>
      <c r="N5" s="23" t="n">
        <v>8.811</v>
      </c>
      <c r="O5" s="23" t="n">
        <v>6.466</v>
      </c>
      <c r="P5" s="23" t="n">
        <v>5.798</v>
      </c>
      <c r="Q5" s="23" t="n">
        <v>3.472</v>
      </c>
    </row>
    <row r="6">
      <c r="A6" s="19" t="inlineStr">
        <is>
          <t>SG&amp;A &amp; Other</t>
        </is>
      </c>
      <c r="B6" s="23" t="n">
        <v>2.264</v>
      </c>
      <c r="C6" s="23" t="n">
        <v>3.889</v>
      </c>
      <c r="D6" s="23" t="n">
        <v>3.762</v>
      </c>
      <c r="E6" s="23" t="n">
        <v>0.9350000000000001</v>
      </c>
      <c r="F6" s="23" t="n">
        <v>2.4</v>
      </c>
      <c r="G6" s="23" t="n">
        <v>7.954</v>
      </c>
      <c r="H6" s="23" t="n">
        <v>8.398999999999999</v>
      </c>
      <c r="I6" s="23" t="n">
        <v>134.502</v>
      </c>
      <c r="J6" s="23" t="n">
        <v>241.002</v>
      </c>
      <c r="K6" s="23" t="n">
        <v>-17.723</v>
      </c>
      <c r="L6" s="23" t="n">
        <v>6.279</v>
      </c>
      <c r="M6" s="23" t="n">
        <v>47.924</v>
      </c>
      <c r="N6" s="23" t="n">
        <v>12.446</v>
      </c>
      <c r="O6" s="23" t="n">
        <v>7.11</v>
      </c>
      <c r="P6" s="23" t="n">
        <v>8.566000000000001</v>
      </c>
      <c r="Q6" s="23" t="n">
        <v>8.949999999999999</v>
      </c>
    </row>
    <row r="7">
      <c r="A7" s="2" t="inlineStr">
        <is>
          <t>Operating Expense</t>
        </is>
      </c>
      <c r="B7" s="23">
        <f>SUM(B5:B6)</f>
        <v>2.4429999999999996</v>
      </c>
      <c r="C7" s="23">
        <f>SUM(C5:C6)</f>
        <v>3.9059999999999997</v>
      </c>
      <c r="D7" s="23">
        <f>SUM(D5:D6)</f>
        <v>3.762</v>
      </c>
      <c r="E7" s="23">
        <f>SUM(E5:E6)</f>
        <v>0.935</v>
      </c>
      <c r="F7" s="23">
        <f>SUM(F5:F6)</f>
        <v>2.4</v>
      </c>
      <c r="G7" s="23">
        <f>SUM(G5:G6)</f>
        <v>8.954</v>
      </c>
      <c r="H7" s="23">
        <f>SUM(H5:H6)</f>
        <v>9.373999999999999</v>
      </c>
      <c r="I7" s="23">
        <f>SUM(I5:I6)</f>
        <v>135.57000000000002</v>
      </c>
      <c r="J7" s="23">
        <f>SUM(J5:J6)</f>
        <v>250.06900000000002</v>
      </c>
      <c r="K7" s="23">
        <f>SUM(K5:K6)</f>
        <v>-16.055999999999997</v>
      </c>
      <c r="L7" s="23">
        <f>SUM(L5:L6)</f>
        <v>6.764</v>
      </c>
      <c r="M7" s="23">
        <f>SUM(M5:M6)</f>
        <v>57.515</v>
      </c>
      <c r="N7" s="23">
        <f>SUM(N5:N6)</f>
        <v>21.256999999999998</v>
      </c>
      <c r="O7" s="23">
        <f>SUM(O5:O6)</f>
        <v>13.576</v>
      </c>
      <c r="P7" s="23">
        <f>SUM(P5:P6)</f>
        <v>14.364</v>
      </c>
      <c r="Q7" s="23">
        <f>SUM(Q5:Q6)</f>
        <v>12.421999999999999</v>
      </c>
    </row>
    <row r="8">
      <c r="A8" s="2" t="inlineStr">
        <is>
          <t>Operating Income</t>
        </is>
      </c>
      <c r="B8" s="23">
        <f>B4-B7</f>
        <v>-2.4969999999999994</v>
      </c>
      <c r="C8" s="23">
        <f>C4-C7</f>
        <v>-3.9279999999999995</v>
      </c>
      <c r="D8" s="23">
        <f>D4-D7</f>
        <v>-3.514</v>
      </c>
      <c r="E8" s="23">
        <f>E4-E7</f>
        <v>-0.793</v>
      </c>
      <c r="F8" s="23">
        <f>F4-F7</f>
        <v>-2.396</v>
      </c>
      <c r="G8" s="23">
        <f>G4-G7</f>
        <v>-8.927000000000001</v>
      </c>
      <c r="H8" s="23">
        <f>H4-H7</f>
        <v>-9.373999999999999</v>
      </c>
      <c r="I8" s="23">
        <f>I4-I7</f>
        <v>-135.57000000000002</v>
      </c>
      <c r="J8" s="23">
        <f>J4-J7</f>
        <v>-250.06900000000002</v>
      </c>
      <c r="K8" s="23">
        <f>K4-K7</f>
        <v>16.055999999999997</v>
      </c>
      <c r="L8" s="23">
        <f>L4-L7</f>
        <v>-6.764</v>
      </c>
      <c r="M8" s="23">
        <f>M4-M7</f>
        <v>-57.515</v>
      </c>
      <c r="N8" s="23">
        <f>N4-N7</f>
        <v>-21.256999999999998</v>
      </c>
      <c r="O8" s="23">
        <f>O4-O7</f>
        <v>-13.576</v>
      </c>
      <c r="P8" s="23">
        <f>P4-P7</f>
        <v>-14.364</v>
      </c>
      <c r="Q8" s="23">
        <f>Q4-Q7</f>
        <v>-12.421999999999999</v>
      </c>
    </row>
    <row r="9">
      <c r="A9" s="19" t="inlineStr">
        <is>
          <t>Interest &amp; Other</t>
        </is>
      </c>
      <c r="B9" s="23" t="n">
        <v>-0.498</v>
      </c>
      <c r="C9" s="23" t="n">
        <v>0.228</v>
      </c>
      <c r="D9" s="23" t="n">
        <v>-1.657</v>
      </c>
      <c r="E9" s="23" t="n">
        <v>0.292</v>
      </c>
      <c r="F9" s="23" t="n">
        <v>-21.093</v>
      </c>
      <c r="G9" s="23" t="n">
        <v>-12.534</v>
      </c>
      <c r="H9" s="23" t="n">
        <v>19.142</v>
      </c>
      <c r="I9" s="23" t="n">
        <v>-8.602</v>
      </c>
      <c r="J9" s="23" t="n">
        <v>-9.117000000000001</v>
      </c>
      <c r="K9" s="23" t="n">
        <v>-54.703</v>
      </c>
      <c r="L9" s="23" t="n">
        <v>-21.532</v>
      </c>
      <c r="M9" s="23" t="n">
        <v>-0.498</v>
      </c>
      <c r="N9" s="23" t="n">
        <v>0.373</v>
      </c>
      <c r="O9" s="23" t="n">
        <v>5.979</v>
      </c>
      <c r="P9" s="23" t="n">
        <v>1.202</v>
      </c>
      <c r="Q9" s="23" t="n">
        <v>-15.932</v>
      </c>
    </row>
    <row r="10">
      <c r="A10" s="2" t="inlineStr">
        <is>
          <t>Pretax</t>
        </is>
      </c>
      <c r="B10" s="23">
        <f>B8+B9</f>
        <v>-2.994999999999999</v>
      </c>
      <c r="C10" s="23">
        <f>C8+C9</f>
        <v>-3.6999999999999993</v>
      </c>
      <c r="D10" s="23">
        <f>D8+D9</f>
        <v>-5.170999999999999</v>
      </c>
      <c r="E10" s="23">
        <f>E8+E9</f>
        <v>-0.5010000000000001</v>
      </c>
      <c r="F10" s="23">
        <f>F8+F9</f>
        <v>-23.489</v>
      </c>
      <c r="G10" s="23">
        <f>G8+G9</f>
        <v>-21.461000000000002</v>
      </c>
      <c r="H10" s="23">
        <f>H8+H9</f>
        <v>9.768</v>
      </c>
      <c r="I10" s="23">
        <f>I8+I9</f>
        <v>-144.17200000000003</v>
      </c>
      <c r="J10" s="23">
        <f>J8+J9</f>
        <v>-259.18600000000004</v>
      </c>
      <c r="K10" s="23">
        <f>K8+K9</f>
        <v>-38.647000000000006</v>
      </c>
      <c r="L10" s="23">
        <f>L8+L9</f>
        <v>-28.296</v>
      </c>
      <c r="M10" s="23">
        <f>M8+M9</f>
        <v>-58.013</v>
      </c>
      <c r="N10" s="23">
        <f>N8+N9</f>
        <v>-20.883999999999997</v>
      </c>
      <c r="O10" s="23">
        <f>O8+O9</f>
        <v>-7.597</v>
      </c>
      <c r="P10" s="23">
        <f>P8+P9</f>
        <v>-13.162</v>
      </c>
      <c r="Q10" s="23">
        <f>Q8+Q9</f>
        <v>-28.354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</row>
    <row r="12">
      <c r="A12" s="2" t="inlineStr">
        <is>
          <t>Net Income</t>
        </is>
      </c>
      <c r="B12" s="23" t="n">
        <v>-2.995</v>
      </c>
      <c r="C12" s="23" t="n">
        <v>-3.7</v>
      </c>
      <c r="D12" s="23" t="n">
        <v>-5.171</v>
      </c>
      <c r="E12" s="23" t="n">
        <v>-0.501</v>
      </c>
      <c r="F12" s="23" t="n">
        <v>-23.489</v>
      </c>
      <c r="G12" s="23" t="n">
        <v>-21.461</v>
      </c>
      <c r="H12" s="23" t="n">
        <v>9.768000000000001</v>
      </c>
      <c r="I12" s="23" t="n">
        <v>-144.172</v>
      </c>
      <c r="J12" s="23" t="n">
        <v>-259.186</v>
      </c>
      <c r="K12" s="23" t="n">
        <v>-38.647</v>
      </c>
      <c r="L12" s="23" t="n">
        <v>-28.296</v>
      </c>
      <c r="M12" s="23" t="n">
        <v>-58.013</v>
      </c>
      <c r="N12" s="23" t="n">
        <v>-20.884</v>
      </c>
      <c r="O12" s="23" t="n">
        <v>-7.597</v>
      </c>
      <c r="P12" s="23" t="n">
        <v>-13.162</v>
      </c>
      <c r="Q12" s="23" t="n">
        <v>-28.354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-86.046511627907</v>
      </c>
      <c r="D13" s="11">
        <f>IFERROR(D12/D14,0)</f>
        <v>-65.45569620253166</v>
      </c>
      <c r="E13" s="11">
        <f>IFERROR(E12/E14,0)</f>
        <v>-4.140495867768595</v>
      </c>
      <c r="F13" s="11">
        <f>IFERROR(F12/F14,0)</f>
        <v>-194.12396694214877</v>
      </c>
      <c r="G13" s="11">
        <f>IFERROR(G12/G14,0)</f>
        <v>-173.07258064516128</v>
      </c>
      <c r="H13" s="11">
        <f>IFERROR(H12/H14,0)</f>
        <v>78.7741935483871</v>
      </c>
      <c r="I13" s="11">
        <f>IFERROR(I12/I14,0)</f>
        <v>-1162.6774193548388</v>
      </c>
      <c r="J13" s="11">
        <f>IFERROR(J12/J14,0)</f>
        <v>-2090.2096774193546</v>
      </c>
      <c r="K13" s="11">
        <f>IFERROR(K12/K14,0)</f>
        <v>-309.176</v>
      </c>
      <c r="L13" s="11">
        <f>IFERROR(L12/L14,0)</f>
        <v>-174.66666666666666</v>
      </c>
      <c r="M13" s="11">
        <f>IFERROR(M12/M14,0)</f>
        <v>-55.621284755512946</v>
      </c>
      <c r="N13" s="11">
        <f>IFERROR(N12/N14,0)</f>
        <v>-19.66478342749529</v>
      </c>
      <c r="O13" s="11">
        <f>IFERROR(O12/O14,0)</f>
        <v>-5.635756676557864</v>
      </c>
      <c r="P13" s="11">
        <f>IFERROR(P12/P14,0)</f>
        <v>-6.938323668950976</v>
      </c>
      <c r="Q13" s="11">
        <f>IFERROR(Q12/Q14,0)</f>
        <v>-5.143116270633049</v>
      </c>
    </row>
    <row r="14">
      <c r="A14" s="2" t="inlineStr">
        <is>
          <t>Shares</t>
        </is>
      </c>
      <c r="B14" s="23" t="n"/>
      <c r="C14" s="23" t="n">
        <v>0.043</v>
      </c>
      <c r="D14" s="23" t="n">
        <v>0.079</v>
      </c>
      <c r="E14" s="23" t="n">
        <v>0.121</v>
      </c>
      <c r="F14" s="23" t="n">
        <v>0.121</v>
      </c>
      <c r="G14" s="23" t="n">
        <v>0.124</v>
      </c>
      <c r="H14" s="23" t="n">
        <v>0.124</v>
      </c>
      <c r="I14" s="23" t="n">
        <v>0.124</v>
      </c>
      <c r="J14" s="23" t="n">
        <v>0.124</v>
      </c>
      <c r="K14" s="23" t="n">
        <v>0.125</v>
      </c>
      <c r="L14" s="23" t="n">
        <v>0.162</v>
      </c>
      <c r="M14" s="23" t="n">
        <v>1.043</v>
      </c>
      <c r="N14" s="23" t="n">
        <v>1.062</v>
      </c>
      <c r="O14" s="23" t="n">
        <v>1.348</v>
      </c>
      <c r="P14" s="23" t="n">
        <v>1.897</v>
      </c>
      <c r="Q14" s="23" t="n">
        <v>5.513</v>
      </c>
    </row>
    <row r="15"/>
    <row r="16" customFormat="1" s="4">
      <c r="A16" s="3" t="inlineStr">
        <is>
          <t>Revenue Change</t>
        </is>
      </c>
      <c r="C16" s="15">
        <f>IFERROR(C2/B2-1,"")</f>
        <v>1.3636363636363638</v>
      </c>
      <c r="D16" s="15">
        <f>IFERROR(D2/C2-1,"")</f>
        <v>12.153846153846155</v>
      </c>
      <c r="E16" s="15">
        <f>IFERROR(E2/D2-1,"")</f>
        <v>0.07602339181286544</v>
      </c>
      <c r="F16" s="15">
        <f>IFERROR(F2/E2-1,"")</f>
        <v>-0.8342391304347826</v>
      </c>
      <c r="G16" s="15">
        <f>IFERROR(G2/F2-1,"")</f>
        <v>-0.5573770491803278</v>
      </c>
      <c r="H16" s="15">
        <f>IFERROR(H2/G2-1,"")</f>
        <v>-1.0</v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</row>
    <row r="17" customFormat="1" s="4">
      <c r="A17" s="3" t="inlineStr">
        <is>
          <t>Gross Margin</t>
        </is>
      </c>
      <c r="B17" s="15">
        <f>IFERROR(B4/B2,"")</f>
        <v>-4.90909090909091</v>
      </c>
      <c r="C17" s="15">
        <f>IFERROR(C4/C2,"")</f>
        <v>-0.8461538461538463</v>
      </c>
      <c r="D17" s="15">
        <f>IFERROR(D4/D2,"")</f>
        <v>0.7251461988304094</v>
      </c>
      <c r="E17" s="15">
        <f>IFERROR(E4/E2,"")</f>
        <v>0.3858695652173913</v>
      </c>
      <c r="F17" s="15">
        <f>IFERROR(F4/F2,"")</f>
        <v>0.06557377049180323</v>
      </c>
      <c r="G17" s="15">
        <f>IFERROR(G4/G2,"")</f>
        <v>1.0</v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</row>
    <row r="18">
      <c r="A18" s="14" t="inlineStr">
        <is>
          <t>Operating Margin</t>
        </is>
      </c>
      <c r="B18" s="15">
        <f>IFERROR(B8/B2,"")</f>
        <v>-226.99999999999997</v>
      </c>
      <c r="C18" s="15">
        <f>IFERROR(C8/C2,"")</f>
        <v>-151.07692307692307</v>
      </c>
      <c r="D18" s="15">
        <f>IFERROR(D8/D2,"")</f>
        <v>-10.27485380116959</v>
      </c>
      <c r="E18" s="15">
        <f>IFERROR(E8/E2,"")</f>
        <v>-2.154891304347826</v>
      </c>
      <c r="F18" s="15">
        <f>IFERROR(F8/F2,"")</f>
        <v>-39.278688524590166</v>
      </c>
      <c r="G18" s="15">
        <f>IFERROR(G8/G2,"")</f>
        <v>-330.6296296296297</v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2026-10-21T01:05:22Z</dcterms:modified>
  <cp:lastModifiedBy>Wang, Eric</cp:lastModifiedBy>
</cp:coreProperties>
</file>