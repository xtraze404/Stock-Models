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Quantum Cyber NV</t>
        </is>
      </c>
      <c r="C2" s="10" t="n"/>
    </row>
    <row r="3">
      <c r="B3" t="inlineStr">
        <is>
          <t>Price</t>
        </is>
      </c>
      <c r="C3" s="11">
        <f>INDEX([1]Pharma!$F$1:$F$1000,MATCH("QUCY",[1]Pharma!$B$1:$B$1000,0))</f>
        <v>1.07</v>
      </c>
      <c r="F3" s="1" t="n"/>
    </row>
    <row r="4">
      <c r="B4" t="inlineStr">
        <is>
          <t>Shares</t>
        </is>
      </c>
      <c r="C4" s="21" t="n">
        <v>84.068192</v>
      </c>
      <c r="F4" s="1" t="n"/>
    </row>
    <row r="5">
      <c r="B5" t="inlineStr">
        <is>
          <t>Market Cap.</t>
        </is>
      </c>
      <c r="C5" s="13">
        <f>C3*C4</f>
        <v>89.95296544</v>
      </c>
      <c r="F5" s="1" t="n"/>
    </row>
    <row r="6"/>
    <row r="7">
      <c r="B7" t="inlineStr">
        <is>
          <t>Cash</t>
        </is>
      </c>
      <c r="C7" s="21" t="n">
        <v>13.4</v>
      </c>
    </row>
    <row r="8">
      <c r="B8" t="inlineStr">
        <is>
          <t>Debt</t>
        </is>
      </c>
      <c r="C8" s="21" t="n">
        <v>0.16867</v>
      </c>
    </row>
    <row r="9">
      <c r="B9" t="inlineStr">
        <is>
          <t>Enterprise V.</t>
        </is>
      </c>
      <c r="C9" s="13">
        <f>C5-C7+C8</f>
        <v>76.72163544</v>
      </c>
    </row>
    <row r="10"/>
    <row r="11">
      <c r="B11" s="14" t="inlineStr">
        <is>
          <t>Net Cash / Share</t>
        </is>
      </c>
      <c r="C11" s="11">
        <f>(C7-C8)/C4</f>
        <v>0.15738806420387869</v>
      </c>
    </row>
    <row r="12">
      <c r="B12" s="14" t="inlineStr">
        <is>
          <t>Upside</t>
        </is>
      </c>
      <c r="C12" s="15">
        <f>IFERROR(C11/C3-1,"")</f>
        <v>-0.8529083512113284</v>
      </c>
    </row>
    <row r="13">
      <c r="B13" s="14" t="inlineStr">
        <is>
          <t>Cash / Share</t>
        </is>
      </c>
      <c r="C13" s="11">
        <f>IFERROR((C7-C8)/C4,"")</f>
        <v>0.15738806420387869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-14.252</v>
      </c>
    </row>
    <row r="18">
      <c r="B18" s="14" t="inlineStr">
        <is>
          <t>Runway (years)</t>
        </is>
      </c>
      <c r="C18" s="22">
        <f>IF(AND(ISNUMBER(C17),C17&lt;0),IF(C7&gt;C8,(C7-C8)/-C17,"net debt"),"n/a")</f>
        <v>0.9283840864440078</v>
      </c>
    </row>
    <row r="19">
      <c r="B19" s="14" t="inlineStr">
        <is>
          <t>Implied Pipeline Value</t>
        </is>
      </c>
      <c r="C19" s="13">
        <f>C9</f>
        <v>76.72163544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2019</v>
      </c>
      <c r="C1" s="17" t="n">
        <v>2020</v>
      </c>
      <c r="D1" s="17" t="n">
        <v>2021</v>
      </c>
      <c r="E1" s="17" t="n">
        <v>2022</v>
      </c>
      <c r="F1" s="17" t="n">
        <v>2023</v>
      </c>
      <c r="G1" s="17" t="n">
        <v>2024</v>
      </c>
      <c r="H1" s="17" t="n">
        <v>2025</v>
      </c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0.281</v>
      </c>
      <c r="C2" s="23" t="n">
        <v>0.494</v>
      </c>
      <c r="D2" s="23" t="n">
        <v>0.577</v>
      </c>
      <c r="E2" s="23" t="n">
        <v>0.53</v>
      </c>
      <c r="F2" s="23" t="n">
        <v>0.895</v>
      </c>
      <c r="G2" s="23" t="n">
        <v>0.894</v>
      </c>
      <c r="H2" s="23" t="n">
        <v>0.537</v>
      </c>
      <c r="I2" s="1" t="n"/>
      <c r="J2" s="1" t="n"/>
      <c r="K2" s="1" t="n"/>
    </row>
    <row r="3" customFormat="1" s="1">
      <c r="A3" s="5" t="inlineStr">
        <is>
          <t>Cost of Sales</t>
        </is>
      </c>
      <c r="B3" s="23" t="n">
        <v>0.343</v>
      </c>
      <c r="C3" s="23" t="n">
        <v>0.37</v>
      </c>
      <c r="D3" s="23" t="n">
        <v>0.4</v>
      </c>
      <c r="E3" s="23" t="n">
        <v>0.348</v>
      </c>
      <c r="F3" s="23" t="n">
        <v>0.386</v>
      </c>
      <c r="G3" s="23" t="n">
        <v>0.319</v>
      </c>
      <c r="H3" s="23" t="n">
        <v>0.147</v>
      </c>
      <c r="I3" s="1" t="n"/>
      <c r="J3" s="1" t="n"/>
      <c r="K3" s="1" t="n"/>
    </row>
    <row r="4" customFormat="1" s="1">
      <c r="A4" s="5" t="inlineStr">
        <is>
          <t>Gross Margin</t>
        </is>
      </c>
      <c r="B4" s="23">
        <f>B2-B3</f>
        <v>-0.062</v>
      </c>
      <c r="C4" s="23">
        <f>C2-C3</f>
        <v>0.124</v>
      </c>
      <c r="D4" s="23">
        <f>D2-D3</f>
        <v>0.17699999999999994</v>
      </c>
      <c r="E4" s="23">
        <f>E2-E3</f>
        <v>0.18200000000000005</v>
      </c>
      <c r="F4" s="23">
        <f>F2-F3</f>
        <v>0.509</v>
      </c>
      <c r="G4" s="23">
        <f>G2-G3</f>
        <v>0.575</v>
      </c>
      <c r="H4" s="23">
        <f>H2-H3</f>
        <v>0.39</v>
      </c>
      <c r="I4" s="1" t="n"/>
      <c r="J4" s="1" t="n"/>
      <c r="K4" s="1" t="n"/>
    </row>
    <row r="5">
      <c r="A5" s="2" t="inlineStr">
        <is>
          <t>Research &amp; Dev.</t>
        </is>
      </c>
      <c r="B5" s="23" t="n">
        <v>0.25</v>
      </c>
      <c r="C5" s="23" t="n">
        <v>0.312</v>
      </c>
      <c r="D5" s="23" t="n">
        <v>0.482</v>
      </c>
      <c r="E5" s="23" t="n">
        <v>5.019</v>
      </c>
      <c r="F5" s="23" t="n">
        <v>9.59</v>
      </c>
      <c r="G5" s="23" t="n">
        <v>5.839</v>
      </c>
      <c r="H5" s="23" t="n">
        <v>4.906</v>
      </c>
      <c r="I5" s="1" t="n"/>
      <c r="J5" s="1" t="n"/>
      <c r="K5" s="1" t="n"/>
    </row>
    <row r="6">
      <c r="A6" s="19" t="inlineStr">
        <is>
          <t>SG&amp;A &amp; Other</t>
        </is>
      </c>
      <c r="B6" s="23" t="n">
        <v>0.61</v>
      </c>
      <c r="C6" s="23" t="n">
        <v>0.485</v>
      </c>
      <c r="D6" s="23" t="n">
        <v>9.42</v>
      </c>
      <c r="E6" s="23" t="n">
        <v>21.607</v>
      </c>
      <c r="F6" s="23" t="n">
        <v>17.564</v>
      </c>
      <c r="G6" s="23" t="n">
        <v>13.509</v>
      </c>
      <c r="H6" s="23" t="n">
        <v>11.623</v>
      </c>
      <c r="I6" s="1" t="n"/>
      <c r="J6" s="1" t="n"/>
      <c r="K6" s="1" t="n"/>
    </row>
    <row r="7">
      <c r="A7" s="2" t="inlineStr">
        <is>
          <t>Operating Expense</t>
        </is>
      </c>
      <c r="B7" s="23">
        <f>SUM(B5:B6)</f>
        <v>0.86</v>
      </c>
      <c r="C7" s="23">
        <f>SUM(C5:C6)</f>
        <v>0.7969999999999999</v>
      </c>
      <c r="D7" s="23">
        <f>SUM(D5:D6)</f>
        <v>9.902</v>
      </c>
      <c r="E7" s="23">
        <f>SUM(E5:E6)</f>
        <v>26.625999999999998</v>
      </c>
      <c r="F7" s="23">
        <f>SUM(F5:F6)</f>
        <v>27.154</v>
      </c>
      <c r="G7" s="23">
        <f>SUM(G5:G6)</f>
        <v>19.348</v>
      </c>
      <c r="H7" s="23">
        <f>SUM(H5:H6)</f>
        <v>16.529</v>
      </c>
      <c r="I7" s="1" t="n"/>
      <c r="J7" s="1" t="n"/>
      <c r="K7" s="1" t="n"/>
    </row>
    <row r="8">
      <c r="A8" s="2" t="inlineStr">
        <is>
          <t>Operating Income</t>
        </is>
      </c>
      <c r="B8" s="23">
        <f>B4-B7</f>
        <v>-0.9219999999999999</v>
      </c>
      <c r="C8" s="23">
        <f>C4-C7</f>
        <v>-0.6729999999999999</v>
      </c>
      <c r="D8" s="23">
        <f>D4-D7</f>
        <v>-9.725</v>
      </c>
      <c r="E8" s="23">
        <f>E4-E7</f>
        <v>-26.444</v>
      </c>
      <c r="F8" s="23">
        <f>F4-F7</f>
        <v>-26.645</v>
      </c>
      <c r="G8" s="23">
        <f>G4-G7</f>
        <v>-18.773</v>
      </c>
      <c r="H8" s="23">
        <f>H4-H7</f>
        <v>-16.139</v>
      </c>
      <c r="I8" s="1" t="n"/>
      <c r="J8" s="1" t="n"/>
      <c r="K8" s="1" t="n"/>
    </row>
    <row r="9">
      <c r="A9" s="19" t="inlineStr">
        <is>
          <t>Interest &amp; Other</t>
        </is>
      </c>
      <c r="B9" s="23" t="n">
        <v>-0.035</v>
      </c>
      <c r="C9" s="23" t="n">
        <v>0.08699999999999999</v>
      </c>
      <c r="D9" s="23" t="n">
        <v>-1.965</v>
      </c>
      <c r="E9" s="23" t="n">
        <v>0.057</v>
      </c>
      <c r="F9" s="23" t="n">
        <v>0.3</v>
      </c>
      <c r="G9" s="23" t="n">
        <v>-2.826</v>
      </c>
      <c r="H9" s="23" t="n">
        <v>-0.07199999999999999</v>
      </c>
    </row>
    <row r="10">
      <c r="A10" s="2" t="inlineStr">
        <is>
          <t>Pretax</t>
        </is>
      </c>
      <c r="B10" s="23">
        <f>B8+B9</f>
        <v>-0.957</v>
      </c>
      <c r="C10" s="23">
        <f>C8+C9</f>
        <v>-0.586</v>
      </c>
      <c r="D10" s="23">
        <f>D8+D9</f>
        <v>-11.69</v>
      </c>
      <c r="E10" s="23">
        <f>E8+E9</f>
        <v>-26.387</v>
      </c>
      <c r="F10" s="23">
        <f>F8+F9</f>
        <v>-26.345</v>
      </c>
      <c r="G10" s="23">
        <f>G8+G9</f>
        <v>-21.599</v>
      </c>
      <c r="H10" s="23">
        <f>H8+H9</f>
        <v>-16.211</v>
      </c>
      <c r="I10" s="1" t="n"/>
      <c r="J10" s="1" t="n"/>
      <c r="K10" s="1" t="n"/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</row>
    <row r="12">
      <c r="A12" s="2" t="inlineStr">
        <is>
          <t>Net Income</t>
        </is>
      </c>
      <c r="B12" s="23" t="n">
        <v>-0.957</v>
      </c>
      <c r="C12" s="23" t="n">
        <v>-0.587</v>
      </c>
      <c r="D12" s="23" t="n">
        <v>-11.69</v>
      </c>
      <c r="E12" s="23" t="n">
        <v>-26.387</v>
      </c>
      <c r="F12" s="23" t="n">
        <v>-26.344</v>
      </c>
      <c r="G12" s="23" t="n">
        <v>-21.599</v>
      </c>
      <c r="H12" s="23" t="n">
        <v>-16.211</v>
      </c>
      <c r="I12" s="1" t="n"/>
      <c r="J12" s="1" t="n"/>
      <c r="K12" s="1" t="n"/>
    </row>
    <row r="13">
      <c r="A13" s="2" t="inlineStr">
        <is>
          <t>Earnings per Share</t>
        </is>
      </c>
      <c r="B13" s="11">
        <f>IFERROR(B12/B14,0)</f>
        <v>-0.49791883454734653</v>
      </c>
      <c r="C13" s="11">
        <f>IFERROR(C12/C14,0)</f>
        <v>-0.3054110301768991</v>
      </c>
      <c r="D13" s="11">
        <f>IFERROR(D12/D14,0)</f>
        <v>-4.7289644012944985</v>
      </c>
      <c r="E13" s="11">
        <f>IFERROR(E12/E14,0)</f>
        <v>-10.872270292542233</v>
      </c>
      <c r="F13" s="11">
        <f>IFERROR(F12/F14,0)</f>
        <v>-10.814449917898195</v>
      </c>
      <c r="G13" s="11">
        <f>IFERROR(G12/G14,0)</f>
        <v>-3.652181264795401</v>
      </c>
      <c r="H13" s="11">
        <f>IFERROR(H12/H14,0)</f>
        <v>-2.703184925796231</v>
      </c>
    </row>
    <row r="14">
      <c r="A14" s="2" t="inlineStr">
        <is>
          <t>Shares</t>
        </is>
      </c>
      <c r="B14" s="23" t="n">
        <v>1.922</v>
      </c>
      <c r="C14" s="23" t="n">
        <v>1.922</v>
      </c>
      <c r="D14" s="23" t="n">
        <v>2.472</v>
      </c>
      <c r="E14" s="23" t="n">
        <v>2.427</v>
      </c>
      <c r="F14" s="23" t="n">
        <v>2.436</v>
      </c>
      <c r="G14" s="23" t="n">
        <v>5.914</v>
      </c>
      <c r="H14" s="23" t="n">
        <v>5.997</v>
      </c>
    </row>
    <row r="15"/>
    <row r="16" customFormat="1" s="4">
      <c r="A16" s="3" t="inlineStr">
        <is>
          <t>Revenue Change</t>
        </is>
      </c>
      <c r="C16" s="15">
        <f>IFERROR(C2/B2-1,"")</f>
        <v>0.7580071174377223</v>
      </c>
      <c r="D16" s="15">
        <f>IFERROR(D2/C2-1,"")</f>
        <v>0.16801619433198378</v>
      </c>
      <c r="E16" s="15">
        <f>IFERROR(E2/D2-1,"")</f>
        <v>-0.08145580589254753</v>
      </c>
      <c r="F16" s="15">
        <f>IFERROR(F2/E2-1,"")</f>
        <v>0.6886792452830188</v>
      </c>
      <c r="G16" s="15">
        <f>IFERROR(G2/F2-1,"")</f>
        <v>-0.0011173184357542443</v>
      </c>
      <c r="H16" s="15">
        <f>IFERROR(H2/G2-1,"")</f>
        <v>-0.3993288590604026</v>
      </c>
      <c r="I16" s="4" t="n"/>
      <c r="J16" s="4" t="n"/>
      <c r="K16" s="4" t="n"/>
    </row>
    <row r="17" customFormat="1" s="4">
      <c r="A17" s="3" t="inlineStr">
        <is>
          <t>Gross Margin</t>
        </is>
      </c>
      <c r="B17" s="15">
        <f>IFERROR(B4/B2,"")</f>
        <v>-0.22064056939501778</v>
      </c>
      <c r="C17" s="15">
        <f>IFERROR(C4/C2,"")</f>
        <v>0.25101214574898784</v>
      </c>
      <c r="D17" s="15">
        <f>IFERROR(D4/D2,"")</f>
        <v>0.30675909878682833</v>
      </c>
      <c r="E17" s="15">
        <f>IFERROR(E4/E2,"")</f>
        <v>0.34339622641509443</v>
      </c>
      <c r="F17" s="15">
        <f>IFERROR(F4/F2,"")</f>
        <v>0.5687150837988827</v>
      </c>
      <c r="G17" s="15">
        <f>IFERROR(G4/G2,"")</f>
        <v>0.6431767337807606</v>
      </c>
      <c r="H17" s="15">
        <f>IFERROR(H4/H2,"")</f>
        <v>0.7262569832402235</v>
      </c>
      <c r="I17" s="4" t="n"/>
      <c r="J17" s="4" t="n"/>
      <c r="K17" s="4" t="n"/>
    </row>
    <row r="18">
      <c r="A18" s="14" t="inlineStr">
        <is>
          <t>Operating Margin</t>
        </is>
      </c>
      <c r="B18" s="15">
        <f>IFERROR(B8/B2,"")</f>
        <v>-3.2811387900355866</v>
      </c>
      <c r="C18" s="15">
        <f>IFERROR(C8/C2,"")</f>
        <v>-1.3623481781376516</v>
      </c>
      <c r="D18" s="15">
        <f>IFERROR(D8/D2,"")</f>
        <v>-16.854419410745233</v>
      </c>
      <c r="E18" s="15">
        <f>IFERROR(E8/E2,"")</f>
        <v>-49.8943396226415</v>
      </c>
      <c r="F18" s="15">
        <f>IFERROR(F8/F2,"")</f>
        <v>-29.77094972067039</v>
      </c>
      <c r="G18" s="15">
        <f>IFERROR(G8/G2,"")</f>
        <v>-20.998881431767337</v>
      </c>
      <c r="H18" s="15">
        <f>IFERROR(H8/H2,"")</f>
        <v>-30.054003724394782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2026-10-21T01:05:59Z</dcterms:modified>
  <cp:lastModifiedBy>Wang, Eric</cp:lastModifiedBy>
</cp:coreProperties>
</file>