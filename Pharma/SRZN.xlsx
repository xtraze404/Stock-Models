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Surrozen, Inc.</t>
        </is>
      </c>
      <c r="C2" s="10" t="n"/>
    </row>
    <row r="3">
      <c r="B3" t="inlineStr">
        <is>
          <t>Price</t>
        </is>
      </c>
      <c r="C3" s="11">
        <f>INDEX([1]Pharma!$F$1:$F$1000,MATCH("SRZN",[1]Pharma!$B$1:$B$1000,0))</f>
        <v>25.14</v>
      </c>
      <c r="F3" s="1" t="n"/>
    </row>
    <row r="4">
      <c r="B4" t="inlineStr">
        <is>
          <t>Shares</t>
        </is>
      </c>
      <c r="C4" s="21" t="n">
        <v>11.753558</v>
      </c>
      <c r="F4" s="1" t="n"/>
    </row>
    <row r="5">
      <c r="B5" t="inlineStr">
        <is>
          <t>Market Cap.</t>
        </is>
      </c>
      <c r="C5" s="13">
        <f>C3*C4</f>
        <v>295.48444812</v>
      </c>
      <c r="F5" s="1" t="n"/>
    </row>
    <row r="6"/>
    <row r="7">
      <c r="B7" t="inlineStr">
        <is>
          <t>Cash</t>
        </is>
      </c>
      <c r="C7" s="21" t="n">
        <v>102.039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193.44544812000004</v>
      </c>
    </row>
    <row r="10"/>
    <row r="11">
      <c r="B11" s="14" t="inlineStr">
        <is>
          <t>Net Cash / Share</t>
        </is>
      </c>
      <c r="C11" s="11">
        <f>(C7-C8)/C4</f>
        <v>8.681541368154223</v>
      </c>
    </row>
    <row r="12">
      <c r="B12" s="14" t="inlineStr">
        <is>
          <t>Upside</t>
        </is>
      </c>
      <c r="C12" s="15">
        <f>IFERROR(C11/C3-1,"")</f>
        <v>-0.6546721810598957</v>
      </c>
    </row>
    <row r="13">
      <c r="B13" s="14" t="inlineStr">
        <is>
          <t>Cash / Share</t>
        </is>
      </c>
      <c r="C13" s="11">
        <f>IFERROR((C7-C8)/C4,"")</f>
        <v>8.681541368154223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-34.762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2.9353604510672575</v>
      </c>
    </row>
    <row r="19">
      <c r="B19" s="14" t="inlineStr">
        <is>
          <t>Implied Pipeline Value</t>
        </is>
      </c>
      <c r="C19" s="13">
        <f>C9</f>
        <v>193.44544812000004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12.5</v>
      </c>
      <c r="E2" s="23" t="n">
        <v>0</v>
      </c>
      <c r="F2" s="23" t="n">
        <v>10.655</v>
      </c>
      <c r="G2" s="23" t="n">
        <v>3.477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12.5</v>
      </c>
      <c r="E4" s="23">
        <f>E2-E3</f>
        <v>0.0</v>
      </c>
      <c r="F4" s="23">
        <f>F2-F3</f>
        <v>10.655</v>
      </c>
      <c r="G4" s="23">
        <f>G2-G3</f>
        <v>3.477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25.684</v>
      </c>
      <c r="C5" s="23" t="n">
        <v>40.177</v>
      </c>
      <c r="D5" s="23" t="n">
        <v>37.013</v>
      </c>
      <c r="E5" s="23" t="n">
        <v>27.23</v>
      </c>
      <c r="F5" s="23" t="n">
        <v>21.132</v>
      </c>
      <c r="G5" s="23" t="n">
        <v>29.365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7.123</v>
      </c>
      <c r="C6" s="23" t="n">
        <v>14.214</v>
      </c>
      <c r="D6" s="23" t="n">
        <v>19.826</v>
      </c>
      <c r="E6" s="23" t="n">
        <v>18.55</v>
      </c>
      <c r="F6" s="23" t="n">
        <v>15.062</v>
      </c>
      <c r="G6" s="23" t="n">
        <v>16.204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32.807</v>
      </c>
      <c r="C7" s="23">
        <f>SUM(C5:C6)</f>
        <v>54.391</v>
      </c>
      <c r="D7" s="23">
        <f>SUM(D5:D6)</f>
        <v>56.839</v>
      </c>
      <c r="E7" s="23">
        <f>SUM(E5:E6)</f>
        <v>45.78</v>
      </c>
      <c r="F7" s="23">
        <f>SUM(F5:F6)</f>
        <v>36.194</v>
      </c>
      <c r="G7" s="23">
        <f>SUM(G5:G6)</f>
        <v>45.569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-32.807</v>
      </c>
      <c r="C8" s="23">
        <f>C4-C7</f>
        <v>-54.391</v>
      </c>
      <c r="D8" s="23">
        <f>D4-D7</f>
        <v>-44.339</v>
      </c>
      <c r="E8" s="23">
        <f>E4-E7</f>
        <v>-45.78</v>
      </c>
      <c r="F8" s="23">
        <f>F4-F7</f>
        <v>-25.539</v>
      </c>
      <c r="G8" s="23">
        <f>G4-G7</f>
        <v>-42.092000000000006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0.091</v>
      </c>
      <c r="C9" s="23" t="n">
        <v>-0.257</v>
      </c>
      <c r="D9" s="23" t="n">
        <v>8.335000000000001</v>
      </c>
      <c r="E9" s="23" t="n">
        <v>2.738</v>
      </c>
      <c r="F9" s="23" t="n">
        <v>-38.025</v>
      </c>
      <c r="G9" s="23" t="n">
        <v>-199.934</v>
      </c>
    </row>
    <row r="10">
      <c r="A10" s="2" t="inlineStr">
        <is>
          <t>Pretax</t>
        </is>
      </c>
      <c r="B10" s="23">
        <f>B8+B9</f>
        <v>-32.716</v>
      </c>
      <c r="C10" s="23">
        <f>C8+C9</f>
        <v>-54.647999999999996</v>
      </c>
      <c r="D10" s="23">
        <f>D8+D9</f>
        <v>-36.004</v>
      </c>
      <c r="E10" s="23">
        <f>E8+E9</f>
        <v>-43.042</v>
      </c>
      <c r="F10" s="23">
        <f>F8+F9</f>
        <v>-63.564</v>
      </c>
      <c r="G10" s="23">
        <f>G8+G9</f>
        <v>-242.026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-32.716</v>
      </c>
      <c r="C12" s="23" t="n">
        <v>-54.648</v>
      </c>
      <c r="D12" s="23" t="n">
        <v>-36.004</v>
      </c>
      <c r="E12" s="23" t="n">
        <v>-43.042</v>
      </c>
      <c r="F12" s="23" t="n">
        <v>-63.564</v>
      </c>
      <c r="G12" s="23" t="n">
        <v>-242.026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-8.568884232582503</v>
      </c>
      <c r="C13" s="11">
        <f>IFERROR(C12/C14,0)</f>
        <v>-9.260803253685816</v>
      </c>
      <c r="D13" s="11">
        <f>IFERROR(D12/D14,0)</f>
        <v>-6.101338756143027</v>
      </c>
      <c r="E13" s="11">
        <f>IFERROR(E12/E14,0)</f>
        <v>-8.364166342790517</v>
      </c>
      <c r="F13" s="11">
        <f>IFERROR(F12/F14,0)</f>
        <v>-8.498997192137987</v>
      </c>
      <c r="G13" s="11">
        <f>IFERROR(G12/G14,0)</f>
        <v>-32.3650708745654</v>
      </c>
    </row>
    <row r="14">
      <c r="A14" s="2" t="inlineStr">
        <is>
          <t>Shares</t>
        </is>
      </c>
      <c r="B14" s="23" t="n">
        <v>3.818</v>
      </c>
      <c r="C14" s="23" t="n">
        <v>5.901</v>
      </c>
      <c r="D14" s="23" t="n">
        <v>5.901</v>
      </c>
      <c r="E14" s="23" t="n">
        <v>5.146</v>
      </c>
      <c r="F14" s="23" t="n">
        <v>7.479</v>
      </c>
      <c r="G14" s="23" t="n">
        <v>7.478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-1.0</v>
      </c>
      <c r="F16" s="15">
        <f>IFERROR(F2/E2-1,"")</f>
        <v/>
      </c>
      <c r="G16" s="15">
        <f>IFERROR(G2/F2-1,"")</f>
        <v>-0.6736743312998592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-3.54712</v>
      </c>
      <c r="E18" s="15">
        <f>IFERROR(E8/E2,"")</f>
        <v/>
      </c>
      <c r="F18" s="15">
        <f>IFERROR(F8/F2,"")</f>
        <v>-2.396902862505866</v>
      </c>
      <c r="G18" s="15">
        <f>IFERROR(G8/G2,"")</f>
        <v>-12.105838366407825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2026-10-21T01:05:26Z</dcterms:modified>
  <cp:lastModifiedBy>Wang, Eric</cp:lastModifiedBy>
</cp:coreProperties>
</file>