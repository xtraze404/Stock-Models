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Surrozen, Inc.</t>
        </is>
      </c>
      <c r="C2" s="10" t="n"/>
    </row>
    <row r="3">
      <c r="B3" t="inlineStr">
        <is>
          <t>Price</t>
        </is>
      </c>
      <c r="C3" s="11">
        <f>INDEX([1]Pharma!$F$1:$F$1000,MATCH("SRZN",[1]Pharma!$B$1:$B$1000,0))</f>
        <v>25.14</v>
      </c>
      <c r="F3" s="1" t="n"/>
    </row>
    <row r="4">
      <c r="B4" t="inlineStr">
        <is>
          <t>Shares</t>
        </is>
      </c>
      <c r="C4" s="21" t="n">
        <v>11.753558</v>
      </c>
      <c r="F4" s="1" t="n"/>
    </row>
    <row r="5">
      <c r="B5" t="inlineStr">
        <is>
          <t>Market Cap.</t>
        </is>
      </c>
      <c r="C5" s="13">
        <f>C3*C4</f>
        <v>295.48444812</v>
      </c>
      <c r="F5" s="1" t="n"/>
    </row>
    <row r="6"/>
    <row r="7">
      <c r="B7" t="inlineStr">
        <is>
          <t>Cash</t>
        </is>
      </c>
      <c r="C7" s="21" t="n">
        <v>102.039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193.44544812000004</v>
      </c>
    </row>
    <row r="10"/>
    <row r="11">
      <c r="B11" s="14" t="inlineStr">
        <is>
          <t>rNPV / Share</t>
        </is>
      </c>
      <c r="C11" s="11">
        <f>NPV!B27</f>
        <v>17.78126959431182</v>
      </c>
    </row>
    <row r="12">
      <c r="B12" s="14" t="inlineStr">
        <is>
          <t>Upside</t>
        </is>
      </c>
      <c r="C12" s="15">
        <f>IFERROR(C11/C3-1,"")</f>
        <v>-0.29271004000350764</v>
      </c>
    </row>
    <row r="13">
      <c r="B13" s="14" t="inlineStr">
        <is>
          <t>Cash / Share</t>
        </is>
      </c>
      <c r="C13" s="11">
        <f>IFERROR((C7-C8)/C4,"")</f>
        <v>8.681541368154223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-34.762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2.9353604510672575</v>
      </c>
    </row>
    <row r="19">
      <c r="B19" s="14" t="inlineStr">
        <is>
          <t>Implied Pipeline Value</t>
        </is>
      </c>
      <c r="C19" s="13">
        <f>C9</f>
        <v>193.44544812000004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12.5</v>
      </c>
      <c r="E2" s="23" t="n">
        <v>0</v>
      </c>
      <c r="F2" s="23" t="n">
        <v>10.655</v>
      </c>
      <c r="G2" s="23" t="n">
        <v>3.477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12.5</v>
      </c>
      <c r="E4" s="23">
        <f>E2-E3</f>
        <v>0.0</v>
      </c>
      <c r="F4" s="23">
        <f>F2-F3</f>
        <v>10.655</v>
      </c>
      <c r="G4" s="23">
        <f>G2-G3</f>
        <v>3.477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25.684</v>
      </c>
      <c r="C5" s="23" t="n">
        <v>40.177</v>
      </c>
      <c r="D5" s="23" t="n">
        <v>37.013</v>
      </c>
      <c r="E5" s="23" t="n">
        <v>27.23</v>
      </c>
      <c r="F5" s="23" t="n">
        <v>21.132</v>
      </c>
      <c r="G5" s="23" t="n">
        <v>29.365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7.123</v>
      </c>
      <c r="C6" s="23" t="n">
        <v>14.214</v>
      </c>
      <c r="D6" s="23" t="n">
        <v>19.826</v>
      </c>
      <c r="E6" s="23" t="n">
        <v>18.55</v>
      </c>
      <c r="F6" s="23" t="n">
        <v>15.062</v>
      </c>
      <c r="G6" s="23" t="n">
        <v>16.204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32.807</v>
      </c>
      <c r="C7" s="23">
        <f>SUM(C5:C6)</f>
        <v>54.391</v>
      </c>
      <c r="D7" s="23">
        <f>SUM(D5:D6)</f>
        <v>56.839</v>
      </c>
      <c r="E7" s="23">
        <f>SUM(E5:E6)</f>
        <v>45.78</v>
      </c>
      <c r="F7" s="23">
        <f>SUM(F5:F6)</f>
        <v>36.194</v>
      </c>
      <c r="G7" s="23">
        <f>SUM(G5:G6)</f>
        <v>45.569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-32.807</v>
      </c>
      <c r="C8" s="23">
        <f>C4-C7</f>
        <v>-54.391</v>
      </c>
      <c r="D8" s="23">
        <f>D4-D7</f>
        <v>-44.339</v>
      </c>
      <c r="E8" s="23">
        <f>E4-E7</f>
        <v>-45.78</v>
      </c>
      <c r="F8" s="23">
        <f>F4-F7</f>
        <v>-25.539</v>
      </c>
      <c r="G8" s="23">
        <f>G4-G7</f>
        <v>-42.092000000000006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0.091</v>
      </c>
      <c r="C9" s="23" t="n">
        <v>-0.257</v>
      </c>
      <c r="D9" s="23" t="n">
        <v>8.335000000000001</v>
      </c>
      <c r="E9" s="23" t="n">
        <v>2.738</v>
      </c>
      <c r="F9" s="23" t="n">
        <v>-38.025</v>
      </c>
      <c r="G9" s="23" t="n">
        <v>-199.934</v>
      </c>
    </row>
    <row r="10">
      <c r="A10" s="2" t="inlineStr">
        <is>
          <t>Pretax</t>
        </is>
      </c>
      <c r="B10" s="23">
        <f>B8+B9</f>
        <v>-32.716</v>
      </c>
      <c r="C10" s="23">
        <f>C8+C9</f>
        <v>-54.647999999999996</v>
      </c>
      <c r="D10" s="23">
        <f>D8+D9</f>
        <v>-36.004</v>
      </c>
      <c r="E10" s="23">
        <f>E8+E9</f>
        <v>-43.042</v>
      </c>
      <c r="F10" s="23">
        <f>F8+F9</f>
        <v>-63.564</v>
      </c>
      <c r="G10" s="23">
        <f>G8+G9</f>
        <v>-242.026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-32.716</v>
      </c>
      <c r="C12" s="23" t="n">
        <v>-54.648</v>
      </c>
      <c r="D12" s="23" t="n">
        <v>-36.004</v>
      </c>
      <c r="E12" s="23" t="n">
        <v>-43.042</v>
      </c>
      <c r="F12" s="23" t="n">
        <v>-63.564</v>
      </c>
      <c r="G12" s="23" t="n">
        <v>-242.026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-8.568884232582503</v>
      </c>
      <c r="C13" s="11">
        <f>IFERROR(C12/C14,0)</f>
        <v>-9.260803253685816</v>
      </c>
      <c r="D13" s="11">
        <f>IFERROR(D12/D14,0)</f>
        <v>-6.101338756143027</v>
      </c>
      <c r="E13" s="11">
        <f>IFERROR(E12/E14,0)</f>
        <v>-8.364166342790517</v>
      </c>
      <c r="F13" s="11">
        <f>IFERROR(F12/F14,0)</f>
        <v>-8.498997192137987</v>
      </c>
      <c r="G13" s="11">
        <f>IFERROR(G12/G14,0)</f>
        <v>-32.3650708745654</v>
      </c>
    </row>
    <row r="14">
      <c r="A14" s="2" t="inlineStr">
        <is>
          <t>Shares</t>
        </is>
      </c>
      <c r="B14" s="23" t="n">
        <v>3.818</v>
      </c>
      <c r="C14" s="23" t="n">
        <v>5.901</v>
      </c>
      <c r="D14" s="23" t="n">
        <v>5.901</v>
      </c>
      <c r="E14" s="23" t="n">
        <v>5.146</v>
      </c>
      <c r="F14" s="23" t="n">
        <v>7.479</v>
      </c>
      <c r="G14" s="23" t="n">
        <v>7.478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-1.0</v>
      </c>
      <c r="F16" s="15">
        <f>IFERROR(F2/E2-1,"")</f>
        <v/>
      </c>
      <c r="G16" s="15">
        <f>IFERROR(G2/F2-1,"")</f>
        <v>-0.6736743312998592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/>
      </c>
      <c r="F17" s="15">
        <f>IFERROR(F4/F2,"")</f>
        <v>1.0</v>
      </c>
      <c r="G17" s="15">
        <f>IFERROR(G4/G2,"")</f>
        <v>1.0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-3.54712</v>
      </c>
      <c r="E18" s="15">
        <f>IFERROR(E8/E2,"")</f>
        <v/>
      </c>
      <c r="F18" s="15">
        <f>IFERROR(F8/F2,"")</f>
        <v>-2.396902862505866</v>
      </c>
      <c r="G18" s="15">
        <f>IFERROR(G8/G2,"")</f>
        <v>-12.105838366407825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Surrozen,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0.11860000000000004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44.35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472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106.95418349038043</v>
      </c>
      <c r="C29" s="42">
        <f>NPV!B25</f>
        <v>208.99318349038043</v>
      </c>
      <c r="D29" s="43">
        <f>NPV!B27</f>
        <v>17.78126959431182</v>
      </c>
      <c r="E29" s="44">
        <f>NPV!B29</f>
        <v>-0.29271004000350764</v>
      </c>
    </row>
    <row r="30">
      <c r="A30" s="45" t="n">
        <v>1</v>
      </c>
      <c r="B30" s="46">
        <f t="dataTable" ref="B30:E32" r1="B4"/>
        <v>-30.86917302285278</v>
      </c>
      <c r="C30" s="46">
        <v>71.16982697714722</v>
      </c>
      <c r="D30" s="47">
        <v>6.055172993330805</v>
      </c>
      <c r="E30" s="48">
        <v>-0.7591418857068097</v>
      </c>
    </row>
    <row r="31">
      <c r="A31" s="45" t="n">
        <v>2</v>
      </c>
      <c r="B31" s="46">
        <v>106.95418349038043</v>
      </c>
      <c r="C31" s="46">
        <v>208.99318349038043</v>
      </c>
      <c r="D31" s="47">
        <v>17.78126959431182</v>
      </c>
      <c r="E31" s="48">
        <v>-0.29271004000350764</v>
      </c>
    </row>
    <row r="32">
      <c r="A32" s="45" t="n">
        <v>3</v>
      </c>
      <c r="B32" s="46">
        <v>327.9228704031362</v>
      </c>
      <c r="C32" s="46">
        <v>429.9618704031362</v>
      </c>
      <c r="D32" s="47">
        <v>36.581422442730634</v>
      </c>
      <c r="E32" s="48">
        <v>0.4551082912780682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17.78126959431182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4.001627058695482</v>
      </c>
      <c r="C37" s="47">
        <v>7.315132086506169</v>
      </c>
      <c r="D37" s="47">
        <v>10.486810288455306</v>
      </c>
      <c r="E37" s="47">
        <v>16.16906347113262</v>
      </c>
      <c r="F37" s="47">
        <v>21.675136465807533</v>
      </c>
    </row>
    <row r="38">
      <c r="A38" s="50" t="n">
        <v>0.8</v>
      </c>
      <c r="B38" s="47">
        <v>6.077405503017634</v>
      </c>
      <c r="C38" s="47">
        <v>10.36405558775046</v>
      </c>
      <c r="D38" s="47">
        <v>14.180280910580759</v>
      </c>
      <c r="E38" s="47">
        <v>21.558754591222236</v>
      </c>
      <c r="F38" s="47">
        <v>28.783560115331436</v>
      </c>
    </row>
    <row r="39">
      <c r="A39" s="50" t="n">
        <v>1</v>
      </c>
      <c r="B39" s="47">
        <v>8.153183947339784</v>
      </c>
      <c r="C39" s="47">
        <v>13.117889001816323</v>
      </c>
      <c r="D39" s="47">
        <v>17.78126959431182</v>
      </c>
      <c r="E39" s="47">
        <v>26.867847348645697</v>
      </c>
      <c r="F39" s="47">
        <v>35.81289933604358</v>
      </c>
    </row>
    <row r="40">
      <c r="A40" s="50" t="n">
        <v>1.2</v>
      </c>
      <c r="B40" s="47">
        <v>10.118546186340764</v>
      </c>
      <c r="C40" s="47">
        <v>15.815840266765504</v>
      </c>
      <c r="D40" s="47">
        <v>21.325990842051628</v>
      </c>
      <c r="E40" s="47">
        <v>32.136310319485226</v>
      </c>
      <c r="F40" s="47">
        <v>42.82526839603292</v>
      </c>
    </row>
    <row r="41">
      <c r="A41" s="50" t="n">
        <v>1.4</v>
      </c>
      <c r="B41" s="47">
        <v>11.926782661021477</v>
      </c>
      <c r="C41" s="47">
        <v>18.469631587779045</v>
      </c>
      <c r="D41" s="47">
        <v>24.837136613521494</v>
      </c>
      <c r="E41" s="47">
        <v>37.367186366716616</v>
      </c>
      <c r="F41" s="47">
        <v>49.78444039277985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Surrozen,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Retinal disease (AMD / DME)</t>
        </is>
      </c>
      <c r="C4" s="14" t="inlineStr">
        <is>
          <t>SZN-8141 for Injection</t>
        </is>
      </c>
      <c r="D4" s="14" t="inlineStr">
        <is>
          <t>Phase 1</t>
        </is>
      </c>
      <c r="E4" s="14" t="inlineStr">
        <is>
          <t>Ophthalmology / area</t>
        </is>
      </c>
      <c r="F4" s="14" t="inlineStr">
        <is>
          <t>Owned</t>
        </is>
      </c>
      <c r="G4" s="40" t="n">
        <v>2500</v>
      </c>
      <c r="H4" s="27" t="n">
        <v>0.1186</v>
      </c>
      <c r="I4" s="26" t="n">
        <v>2033</v>
      </c>
      <c r="J4" s="39">
        <f>I4+Assumptions!$B$25</f>
        <v>2045.0</v>
      </c>
      <c r="K4" s="53">
        <f>Assumptions!$E$13</f>
        <v>0.4</v>
      </c>
      <c r="L4" s="23">
        <f>K4*SUMPRODUCT(M4:AF4,NPV!$C$15:$V$15)</f>
        <v>259.63649018443004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0</v>
      </c>
      <c r="T4" s="23">
        <f>IF(T$3&lt;$I4,0,$G4*Assumptions!$E$11*INDEX(Assumptions!$B$24:$G$24,MIN(6,T$3-$I4+1))*IF(T$3&gt;$J4,(1-Assumptions!$B$26)^(T$3-$J4),1)*IF($H4&gt;=1,1,MIN(0.97,$H4*Assumptions!$E$12)))</f>
        <v>29.65</v>
      </c>
      <c r="U4" s="23">
        <f>IF(U$3&lt;$I4,0,$G4*Assumptions!$E$11*INDEX(Assumptions!$B$24:$G$24,MIN(6,U$3-$I4+1))*IF(U$3&gt;$J4,(1-Assumptions!$B$26)^(U$3-$J4),1)*IF($H4&gt;=1,1,MIN(0.97,$H4*Assumptions!$E$12)))</f>
        <v>74.125</v>
      </c>
      <c r="V4" s="23">
        <f>IF(V$3&lt;$I4,0,$G4*Assumptions!$E$11*INDEX(Assumptions!$B$24:$G$24,MIN(6,V$3-$I4+1))*IF(V$3&gt;$J4,(1-Assumptions!$B$26)^(V$3-$J4),1)*IF($H4&gt;=1,1,MIN(0.97,$H4*Assumptions!$E$12)))</f>
        <v>133.42499999999998</v>
      </c>
      <c r="W4" s="23">
        <f>IF(W$3&lt;$I4,0,$G4*Assumptions!$E$11*INDEX(Assumptions!$B$24:$G$24,MIN(6,W$3-$I4+1))*IF(W$3&gt;$J4,(1-Assumptions!$B$26)^(W$3-$J4),1)*IF($H4&gt;=1,1,MIN(0.97,$H4*Assumptions!$E$12)))</f>
        <v>192.725</v>
      </c>
      <c r="X4" s="23">
        <f>IF(X$3&lt;$I4,0,$G4*Assumptions!$E$11*INDEX(Assumptions!$B$24:$G$24,MIN(6,X$3-$I4+1))*IF(X$3&gt;$J4,(1-Assumptions!$B$26)^(X$3-$J4),1)*IF($H4&gt;=1,1,MIN(0.97,$H4*Assumptions!$E$12)))</f>
        <v>252.025</v>
      </c>
      <c r="Y4" s="23">
        <f>IF(Y$3&lt;$I4,0,$G4*Assumptions!$E$11*INDEX(Assumptions!$B$24:$G$24,MIN(6,Y$3-$I4+1))*IF(Y$3&gt;$J4,(1-Assumptions!$B$26)^(Y$3-$J4),1)*IF($H4&gt;=1,1,MIN(0.97,$H4*Assumptions!$E$12)))</f>
        <v>296.5</v>
      </c>
      <c r="Z4" s="23">
        <f>IF(Z$3&lt;$I4,0,$G4*Assumptions!$E$11*INDEX(Assumptions!$B$24:$G$24,MIN(6,Z$3-$I4+1))*IF(Z$3&gt;$J4,(1-Assumptions!$B$26)^(Z$3-$J4),1)*IF($H4&gt;=1,1,MIN(0.97,$H4*Assumptions!$E$12)))</f>
        <v>296.5</v>
      </c>
      <c r="AA4" s="23">
        <f>IF(AA$3&lt;$I4,0,$G4*Assumptions!$E$11*INDEX(Assumptions!$B$24:$G$24,MIN(6,AA$3-$I4+1))*IF(AA$3&gt;$J4,(1-Assumptions!$B$26)^(AA$3-$J4),1)*IF($H4&gt;=1,1,MIN(0.97,$H4*Assumptions!$E$12)))</f>
        <v>296.5</v>
      </c>
      <c r="AB4" s="23">
        <f>IF(AB$3&lt;$I4,0,$G4*Assumptions!$E$11*INDEX(Assumptions!$B$24:$G$24,MIN(6,AB$3-$I4+1))*IF(AB$3&gt;$J4,(1-Assumptions!$B$26)^(AB$3-$J4),1)*IF($H4&gt;=1,1,MIN(0.97,$H4*Assumptions!$E$12)))</f>
        <v>296.5</v>
      </c>
      <c r="AC4" s="23">
        <f>IF(AC$3&lt;$I4,0,$G4*Assumptions!$E$11*INDEX(Assumptions!$B$24:$G$24,MIN(6,AC$3-$I4+1))*IF(AC$3&gt;$J4,(1-Assumptions!$B$26)^(AC$3-$J4),1)*IF($H4&gt;=1,1,MIN(0.97,$H4*Assumptions!$E$12)))</f>
        <v>296.5</v>
      </c>
      <c r="AD4" s="23">
        <f>IF(AD$3&lt;$I4,0,$G4*Assumptions!$E$11*INDEX(Assumptions!$B$24:$G$24,MIN(6,AD$3-$I4+1))*IF(AD$3&gt;$J4,(1-Assumptions!$B$26)^(AD$3-$J4),1)*IF($H4&gt;=1,1,MIN(0.97,$H4*Assumptions!$E$12)))</f>
        <v>296.5</v>
      </c>
      <c r="AE4" s="23">
        <f>IF(AE$3&lt;$I4,0,$G4*Assumptions!$E$11*INDEX(Assumptions!$B$24:$G$24,MIN(6,AE$3-$I4+1))*IF(AE$3&gt;$J4,(1-Assumptions!$B$26)^(AE$3-$J4),1)*IF($H4&gt;=1,1,MIN(0.97,$H4*Assumptions!$E$12)))</f>
        <v>296.5</v>
      </c>
      <c r="AF4" s="23">
        <f>IF(AF$3&lt;$I4,0,$G4*Assumptions!$E$11*INDEX(Assumptions!$B$24:$G$24,MIN(6,AF$3-$I4+1))*IF(AF$3&gt;$J4,(1-Assumptions!$B$26)^(AF$3-$J4),1)*IF($H4&gt;=1,1,MIN(0.97,$H4*Assumptions!$E$12)))</f>
        <v>296.5</v>
      </c>
      <c r="AG4" s="35">
        <f>IF(F4="Owned",1-IF(H4&gt;=1,1,MIN(0.97,H4*Assumptions!$E$12)),1)</f>
        <v>0.8814</v>
      </c>
    </row>
    <row r="5">
      <c r="B5" s="24" t="inlineStr">
        <is>
          <t>Risked revenue</t>
        </is>
      </c>
      <c r="L5" s="54">
        <f>SUM(L4:L4)</f>
        <v>259.63649018443004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0.0</v>
      </c>
      <c r="S5" s="54">
        <f>SUM(S4:S4)</f>
        <v>0.0</v>
      </c>
      <c r="T5" s="54">
        <f>SUM(T4:T4)</f>
        <v>29.65</v>
      </c>
      <c r="U5" s="54">
        <f>SUM(U4:U4)</f>
        <v>74.125</v>
      </c>
      <c r="V5" s="54">
        <f>SUM(V4:V4)</f>
        <v>133.42499999999998</v>
      </c>
      <c r="W5" s="54">
        <f>SUM(W4:W4)</f>
        <v>192.725</v>
      </c>
      <c r="X5" s="54">
        <f>SUM(X4:X4)</f>
        <v>252.025</v>
      </c>
      <c r="Y5" s="54">
        <f>SUM(Y4:Y4)</f>
        <v>296.5</v>
      </c>
      <c r="Z5" s="54">
        <f>SUM(Z4:Z4)</f>
        <v>296.5</v>
      </c>
      <c r="AA5" s="54">
        <f>SUM(AA4:AA4)</f>
        <v>296.5</v>
      </c>
      <c r="AB5" s="54">
        <f>SUM(AB4:AB4)</f>
        <v>296.5</v>
      </c>
      <c r="AC5" s="54">
        <f>SUM(AC4:AC4)</f>
        <v>296.5</v>
      </c>
      <c r="AD5" s="54">
        <f>SUM(AD4:AD4)</f>
        <v>296.5</v>
      </c>
      <c r="AE5" s="54">
        <f>SUM(AE4:AE4)</f>
        <v>296.5</v>
      </c>
      <c r="AF5" s="54">
        <f>SUM(AF4:AF4)</f>
        <v>296.5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0.0</v>
      </c>
      <c r="S6" s="55">
        <f>SUMPRODUCT(S4:S4,$K$4:$K$4)</f>
        <v>0.0</v>
      </c>
      <c r="T6" s="55">
        <f>SUMPRODUCT(T4:T4,$K$4:$K$4)</f>
        <v>11.86</v>
      </c>
      <c r="U6" s="55">
        <f>SUMPRODUCT(U4:U4,$K$4:$K$4)</f>
        <v>29.650000000000002</v>
      </c>
      <c r="V6" s="55">
        <f>SUMPRODUCT(V4:V4,$K$4:$K$4)</f>
        <v>53.37</v>
      </c>
      <c r="W6" s="55">
        <f>SUMPRODUCT(W4:W4,$K$4:$K$4)</f>
        <v>77.09</v>
      </c>
      <c r="X6" s="55">
        <f>SUMPRODUCT(X4:X4,$K$4:$K$4)</f>
        <v>100.81</v>
      </c>
      <c r="Y6" s="55">
        <f>SUMPRODUCT(Y4:Y4,$K$4:$K$4)</f>
        <v>118.60000000000001</v>
      </c>
      <c r="Z6" s="55">
        <f>SUMPRODUCT(Z4:Z4,$K$4:$K$4)</f>
        <v>118.60000000000001</v>
      </c>
      <c r="AA6" s="55">
        <f>SUMPRODUCT(AA4:AA4,$K$4:$K$4)</f>
        <v>118.60000000000001</v>
      </c>
      <c r="AB6" s="55">
        <f>SUMPRODUCT(AB4:AB4,$K$4:$K$4)</f>
        <v>118.60000000000001</v>
      </c>
      <c r="AC6" s="55">
        <f>SUMPRODUCT(AC4:AC4,$K$4:$K$4)</f>
        <v>118.60000000000001</v>
      </c>
      <c r="AD6" s="55">
        <f>SUMPRODUCT(AD4:AD4,$K$4:$K$4)</f>
        <v>118.60000000000001</v>
      </c>
      <c r="AE6" s="55">
        <f>SUMPRODUCT(AE4:AE4,$K$4:$K$4)</f>
        <v>118.60000000000001</v>
      </c>
      <c r="AF6" s="55">
        <f>SUMPRODUCT(AF4:AF4,$K$4:$K$4)</f>
        <v>118.60000000000001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Surrozen,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0.0</v>
      </c>
      <c r="I4" s="57">
        <f>Pipeline!S5</f>
        <v>0.0</v>
      </c>
      <c r="J4" s="57">
        <f>Pipeline!T5</f>
        <v>29.65</v>
      </c>
      <c r="K4" s="57">
        <f>Pipeline!U5</f>
        <v>74.125</v>
      </c>
      <c r="L4" s="57">
        <f>Pipeline!V5</f>
        <v>133.42499999999998</v>
      </c>
      <c r="M4" s="57">
        <f>Pipeline!W5</f>
        <v>192.725</v>
      </c>
      <c r="N4" s="57">
        <f>Pipeline!X5</f>
        <v>252.025</v>
      </c>
      <c r="O4" s="57">
        <f>Pipeline!Y5</f>
        <v>296.5</v>
      </c>
      <c r="P4" s="57">
        <f>Pipeline!Z5</f>
        <v>296.5</v>
      </c>
      <c r="Q4" s="57">
        <f>Pipeline!AA5</f>
        <v>296.5</v>
      </c>
      <c r="R4" s="57">
        <f>Pipeline!AB5</f>
        <v>296.5</v>
      </c>
      <c r="S4" s="57">
        <f>Pipeline!AC5</f>
        <v>296.5</v>
      </c>
      <c r="T4" s="57">
        <f>Pipeline!AD5</f>
        <v>296.5</v>
      </c>
      <c r="U4" s="57">
        <f>Pipeline!AE5</f>
        <v>296.5</v>
      </c>
      <c r="V4" s="57">
        <f>Pipeline!AF5</f>
        <v>296.5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0.0</v>
      </c>
      <c r="I5" s="57">
        <f>Pipeline!S6</f>
        <v>0.0</v>
      </c>
      <c r="J5" s="57">
        <f>Pipeline!T6</f>
        <v>11.86</v>
      </c>
      <c r="K5" s="57">
        <f>Pipeline!U6</f>
        <v>29.650000000000002</v>
      </c>
      <c r="L5" s="57">
        <f>Pipeline!V6</f>
        <v>53.37</v>
      </c>
      <c r="M5" s="57">
        <f>Pipeline!W6</f>
        <v>77.09</v>
      </c>
      <c r="N5" s="57">
        <f>Pipeline!X6</f>
        <v>100.81</v>
      </c>
      <c r="O5" s="57">
        <f>Pipeline!Y6</f>
        <v>118.60000000000001</v>
      </c>
      <c r="P5" s="57">
        <f>Pipeline!Z6</f>
        <v>118.60000000000001</v>
      </c>
      <c r="Q5" s="57">
        <f>Pipeline!AA6</f>
        <v>118.60000000000001</v>
      </c>
      <c r="R5" s="57">
        <f>Pipeline!AB6</f>
        <v>118.60000000000001</v>
      </c>
      <c r="S5" s="57">
        <f>Pipeline!AC6</f>
        <v>118.60000000000001</v>
      </c>
      <c r="T5" s="57">
        <f>Pipeline!AD6</f>
        <v>118.60000000000001</v>
      </c>
      <c r="U5" s="57">
        <f>Pipeline!AE6</f>
        <v>118.60000000000001</v>
      </c>
      <c r="V5" s="57">
        <f>Pipeline!AF6</f>
        <v>118.60000000000001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-44.35</v>
      </c>
      <c r="D6" s="23">
        <f>-IF(D3-2026&lt;Assumptions!$B$19,Assumptions!$B$18,Assumptions!$B$18*Assumptions!$B$20*Assumptions!$B$16)</f>
        <v>-44.35</v>
      </c>
      <c r="E6" s="23">
        <f>-IF(E3-2026&lt;Assumptions!$B$19,Assumptions!$B$18,Assumptions!$B$18*Assumptions!$B$20*Assumptions!$B$16)</f>
        <v>-44.35</v>
      </c>
      <c r="F6" s="23">
        <f>-IF(F3-2026&lt;Assumptions!$B$19,Assumptions!$B$18,Assumptions!$B$18*Assumptions!$B$20*Assumptions!$B$16)</f>
        <v>-44.35</v>
      </c>
      <c r="G6" s="23">
        <f>-IF(G3-2026&lt;Assumptions!$B$19,Assumptions!$B$18,Assumptions!$B$18*Assumptions!$B$20*Assumptions!$B$16)</f>
        <v>-1.5779730000000005</v>
      </c>
      <c r="H6" s="23">
        <f>-IF(H3-2026&lt;Assumptions!$B$19,Assumptions!$B$18,Assumptions!$B$18*Assumptions!$B$20*Assumptions!$B$16)</f>
        <v>-1.5779730000000005</v>
      </c>
      <c r="I6" s="23">
        <f>-IF(I3-2026&lt;Assumptions!$B$19,Assumptions!$B$18,Assumptions!$B$18*Assumptions!$B$20*Assumptions!$B$16)</f>
        <v>-1.5779730000000005</v>
      </c>
      <c r="J6" s="23">
        <f>-IF(J3-2026&lt;Assumptions!$B$19,Assumptions!$B$18,Assumptions!$B$18*Assumptions!$B$20*Assumptions!$B$16)</f>
        <v>-1.5779730000000005</v>
      </c>
      <c r="K6" s="23">
        <f>-IF(K3-2026&lt;Assumptions!$B$19,Assumptions!$B$18,Assumptions!$B$18*Assumptions!$B$20*Assumptions!$B$16)</f>
        <v>-1.5779730000000005</v>
      </c>
      <c r="L6" s="23">
        <f>-IF(L3-2026&lt;Assumptions!$B$19,Assumptions!$B$18,Assumptions!$B$18*Assumptions!$B$20*Assumptions!$B$16)</f>
        <v>-1.5779730000000005</v>
      </c>
      <c r="M6" s="23">
        <f>-IF(M3-2026&lt;Assumptions!$B$19,Assumptions!$B$18,Assumptions!$B$18*Assumptions!$B$20*Assumptions!$B$16)</f>
        <v>-1.5779730000000005</v>
      </c>
      <c r="N6" s="23">
        <f>-IF(N3-2026&lt;Assumptions!$B$19,Assumptions!$B$18,Assumptions!$B$18*Assumptions!$B$20*Assumptions!$B$16)</f>
        <v>-1.5779730000000005</v>
      </c>
      <c r="O6" s="23">
        <f>-IF(O3-2026&lt;Assumptions!$B$19,Assumptions!$B$18,Assumptions!$B$18*Assumptions!$B$20*Assumptions!$B$16)</f>
        <v>-1.5779730000000005</v>
      </c>
      <c r="P6" s="23">
        <f>-IF(P3-2026&lt;Assumptions!$B$19,Assumptions!$B$18,Assumptions!$B$18*Assumptions!$B$20*Assumptions!$B$16)</f>
        <v>-1.5779730000000005</v>
      </c>
      <c r="Q6" s="23">
        <f>-IF(Q3-2026&lt;Assumptions!$B$19,Assumptions!$B$18,Assumptions!$B$18*Assumptions!$B$20*Assumptions!$B$16)</f>
        <v>-1.5779730000000005</v>
      </c>
      <c r="R6" s="23">
        <f>-IF(R3-2026&lt;Assumptions!$B$19,Assumptions!$B$18,Assumptions!$B$18*Assumptions!$B$20*Assumptions!$B$16)</f>
        <v>-1.5779730000000005</v>
      </c>
      <c r="S6" s="23">
        <f>-IF(S3-2026&lt;Assumptions!$B$19,Assumptions!$B$18,Assumptions!$B$18*Assumptions!$B$20*Assumptions!$B$16)</f>
        <v>-1.5779730000000005</v>
      </c>
      <c r="T6" s="23">
        <f>-IF(T3-2026&lt;Assumptions!$B$19,Assumptions!$B$18,Assumptions!$B$18*Assumptions!$B$20*Assumptions!$B$16)</f>
        <v>-1.5779730000000005</v>
      </c>
      <c r="U6" s="23">
        <f>-IF(U3-2026&lt;Assumptions!$B$19,Assumptions!$B$18,Assumptions!$B$18*Assumptions!$B$20*Assumptions!$B$16)</f>
        <v>-1.5779730000000005</v>
      </c>
      <c r="V6" s="23">
        <f>-IF(V3-2026&lt;Assumptions!$B$19,Assumptions!$B$18,Assumptions!$B$18*Assumptions!$B$20*Assumptions!$B$16)</f>
        <v>-1.5779730000000005</v>
      </c>
    </row>
    <row r="7">
      <c r="A7" s="14" t="inlineStr">
        <is>
          <t>Pre-tax cash flow</t>
        </is>
      </c>
      <c r="C7" s="23">
        <f>C5+C6</f>
        <v>-44.35</v>
      </c>
      <c r="D7" s="23">
        <f>D5+D6</f>
        <v>-44.35</v>
      </c>
      <c r="E7" s="23">
        <f>E5+E6</f>
        <v>-44.35</v>
      </c>
      <c r="F7" s="23">
        <f>F5+F6</f>
        <v>-44.35</v>
      </c>
      <c r="G7" s="23">
        <f>G5+G6</f>
        <v>-1.5779730000000005</v>
      </c>
      <c r="H7" s="23">
        <f>H5+H6</f>
        <v>-1.5779730000000005</v>
      </c>
      <c r="I7" s="23">
        <f>I5+I6</f>
        <v>-1.5779730000000005</v>
      </c>
      <c r="J7" s="23">
        <f>J5+J6</f>
        <v>10.282027</v>
      </c>
      <c r="K7" s="23">
        <f>K5+K6</f>
        <v>28.072027000000002</v>
      </c>
      <c r="L7" s="23">
        <f>L5+L6</f>
        <v>51.792027</v>
      </c>
      <c r="M7" s="23">
        <f>M5+M6</f>
        <v>75.512027</v>
      </c>
      <c r="N7" s="23">
        <f>N5+N6</f>
        <v>99.232027</v>
      </c>
      <c r="O7" s="23">
        <f>O5+O6</f>
        <v>117.02202700000001</v>
      </c>
      <c r="P7" s="23">
        <f>P5+P6</f>
        <v>117.02202700000001</v>
      </c>
      <c r="Q7" s="23">
        <f>Q5+Q6</f>
        <v>117.02202700000001</v>
      </c>
      <c r="R7" s="23">
        <f>R5+R6</f>
        <v>117.02202700000001</v>
      </c>
      <c r="S7" s="23">
        <f>S5+S6</f>
        <v>117.02202700000001</v>
      </c>
      <c r="T7" s="23">
        <f>T5+T6</f>
        <v>117.02202700000001</v>
      </c>
      <c r="U7" s="23">
        <f>U5+U6</f>
        <v>117.02202700000001</v>
      </c>
      <c r="V7" s="23">
        <f>V5+V6</f>
        <v>117.02202700000001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0</v>
      </c>
      <c r="J8" s="23">
        <f>MIN(I17,MAX(0,J7))</f>
        <v>10.282027</v>
      </c>
      <c r="K8" s="23">
        <f>MIN(J17,MAX(0,K7))</f>
        <v>28.072027000000002</v>
      </c>
      <c r="L8" s="23">
        <f>MIN(K17,MAX(0,L7))</f>
        <v>51.792027</v>
      </c>
      <c r="M8" s="23">
        <f>MIN(L17,MAX(0,M7))</f>
        <v>75.512027</v>
      </c>
      <c r="N8" s="23">
        <f>MIN(M17,MAX(0,N7))</f>
        <v>99.232027</v>
      </c>
      <c r="O8" s="23">
        <f>MIN(N17,MAX(0,O7))</f>
        <v>117.02202700000001</v>
      </c>
      <c r="P8" s="23">
        <f>MIN(O17,MAX(0,P7))</f>
        <v>117.02202700000001</v>
      </c>
      <c r="Q8" s="23">
        <f>MIN(P17,MAX(0,Q7))</f>
        <v>117.02202700000001</v>
      </c>
      <c r="R8" s="23">
        <f>MIN(Q17,MAX(0,R7))</f>
        <v>38.177703000000236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78.84432399999977</v>
      </c>
      <c r="S9" s="23">
        <f>MAX(0,S7)-S8</f>
        <v>117.02202700000001</v>
      </c>
      <c r="T9" s="23">
        <f>MAX(0,T7)-T8</f>
        <v>117.02202700000001</v>
      </c>
      <c r="U9" s="23">
        <f>MAX(0,U7)-U8</f>
        <v>117.02202700000001</v>
      </c>
      <c r="V9" s="23">
        <f>MAX(0,V7)-V8</f>
        <v>117.02202700000001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16.557308039999953</v>
      </c>
      <c r="S10" s="23">
        <f>S9*Assumptions!$E$15</f>
        <v>24.57462567</v>
      </c>
      <c r="T10" s="23">
        <f>T9*Assumptions!$E$15</f>
        <v>24.57462567</v>
      </c>
      <c r="U10" s="23">
        <f>U9*Assumptions!$E$15</f>
        <v>24.57462567</v>
      </c>
      <c r="V10" s="23">
        <f>V9*Assumptions!$E$15</f>
        <v>24.57462567</v>
      </c>
    </row>
    <row r="11">
      <c r="A11" s="24" t="inlineStr">
        <is>
          <t>Free cash flow</t>
        </is>
      </c>
      <c r="C11" s="55">
        <f>C7-C10</f>
        <v>-44.35</v>
      </c>
      <c r="D11" s="55">
        <f>D7-D10</f>
        <v>-44.35</v>
      </c>
      <c r="E11" s="55">
        <f>E7-E10</f>
        <v>-44.35</v>
      </c>
      <c r="F11" s="55">
        <f>F7-F10</f>
        <v>-44.35</v>
      </c>
      <c r="G11" s="55">
        <f>G7-G10</f>
        <v>-1.5779730000000005</v>
      </c>
      <c r="H11" s="55">
        <f>H7-H10</f>
        <v>-1.5779730000000005</v>
      </c>
      <c r="I11" s="55">
        <f>I7-I10</f>
        <v>-1.5779730000000005</v>
      </c>
      <c r="J11" s="55">
        <f>J7-J10</f>
        <v>10.282027</v>
      </c>
      <c r="K11" s="55">
        <f>K7-K10</f>
        <v>28.072027000000002</v>
      </c>
      <c r="L11" s="55">
        <f>L7-L10</f>
        <v>51.792027</v>
      </c>
      <c r="M11" s="55">
        <f>M7-M10</f>
        <v>75.512027</v>
      </c>
      <c r="N11" s="55">
        <f>N7-N10</f>
        <v>99.232027</v>
      </c>
      <c r="O11" s="55">
        <f>O7-O10</f>
        <v>117.02202700000001</v>
      </c>
      <c r="P11" s="55">
        <f>P7-P10</f>
        <v>117.02202700000001</v>
      </c>
      <c r="Q11" s="55">
        <f>Q7-Q10</f>
        <v>117.02202700000001</v>
      </c>
      <c r="R11" s="55">
        <f>R7-R10</f>
        <v>100.46471896000006</v>
      </c>
      <c r="S11" s="55">
        <f>S7-S10</f>
        <v>92.44740133</v>
      </c>
      <c r="T11" s="55">
        <f>T7-T10</f>
        <v>92.44740133</v>
      </c>
      <c r="U11" s="55">
        <f>U7-U10</f>
        <v>92.44740133</v>
      </c>
      <c r="V11" s="55">
        <f>V7-V10</f>
        <v>92.44740133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-21.727257878800227</v>
      </c>
      <c r="D16" s="55">
        <f>D11*D15</f>
        <v>-39.579819344009515</v>
      </c>
      <c r="E16" s="55">
        <f>E11*E15</f>
        <v>-35.3391244142942</v>
      </c>
      <c r="F16" s="55">
        <f>F11*F15</f>
        <v>-31.552789655619822</v>
      </c>
      <c r="G16" s="55">
        <f>G11*G15</f>
        <v>-1.0023645142383513</v>
      </c>
      <c r="H16" s="55">
        <f>H11*H15</f>
        <v>-0.8949683162842421</v>
      </c>
      <c r="I16" s="55">
        <f>I11*I15</f>
        <v>-0.799078853825216</v>
      </c>
      <c r="J16" s="55">
        <f>J11*J15</f>
        <v>4.64890624042902</v>
      </c>
      <c r="K16" s="55">
        <f>K11*K15</f>
        <v>11.332554013025412</v>
      </c>
      <c r="L16" s="55">
        <f>L11*L15</f>
        <v>18.668048070897946</v>
      </c>
      <c r="M16" s="55">
        <f>M11*M15</f>
        <v>24.30155745040337</v>
      </c>
      <c r="N16" s="55">
        <f>N11*N15</f>
        <v>28.513584676343743</v>
      </c>
      <c r="O16" s="55">
        <f>O11*O15</f>
        <v>30.02268644597514</v>
      </c>
      <c r="P16" s="55">
        <f>P11*P15</f>
        <v>26.80597004104923</v>
      </c>
      <c r="Q16" s="55">
        <f>Q11*Q15</f>
        <v>23.93390182236538</v>
      </c>
      <c r="R16" s="55">
        <f>R11*R15</f>
        <v>18.34600213617545</v>
      </c>
      <c r="S16" s="55">
        <f>S11*S15</f>
        <v>15.073168398970543</v>
      </c>
      <c r="T16" s="55">
        <f>T11*T15</f>
        <v>13.458186070509411</v>
      </c>
      <c r="U16" s="55">
        <f>U11*U15</f>
        <v>12.016237562954831</v>
      </c>
      <c r="V16" s="55">
        <f>V11*V15</f>
        <v>10.728783538352525</v>
      </c>
    </row>
    <row r="17">
      <c r="A17" s="14" t="inlineStr">
        <is>
          <t>Tax-loss carryforward, end of year</t>
        </is>
      </c>
      <c r="C17" s="23">
        <f>Assumptions!$B$21-C8+MAX(0,-C7)</f>
        <v>516.35</v>
      </c>
      <c r="D17" s="23">
        <f>C17-D8+MAX(0,-D7)</f>
        <v>560.7</v>
      </c>
      <c r="E17" s="23">
        <f>D17-E8+MAX(0,-E7)</f>
        <v>605.0500000000001</v>
      </c>
      <c r="F17" s="23">
        <f>E17-F8+MAX(0,-F7)</f>
        <v>649.4000000000001</v>
      </c>
      <c r="G17" s="23">
        <f>F17-G8+MAX(0,-G7)</f>
        <v>650.9779730000001</v>
      </c>
      <c r="H17" s="23">
        <f>G17-H8+MAX(0,-H7)</f>
        <v>652.5559460000002</v>
      </c>
      <c r="I17" s="23">
        <f>H17-I8+MAX(0,-I7)</f>
        <v>654.1339190000002</v>
      </c>
      <c r="J17" s="23">
        <f>I17-J8+MAX(0,-J7)</f>
        <v>643.8518920000002</v>
      </c>
      <c r="K17" s="23">
        <f>J17-K8+MAX(0,-K7)</f>
        <v>615.7798650000002</v>
      </c>
      <c r="L17" s="23">
        <f>K17-L8+MAX(0,-L7)</f>
        <v>563.9878380000002</v>
      </c>
      <c r="M17" s="23">
        <f>L17-M8+MAX(0,-M7)</f>
        <v>488.47581100000025</v>
      </c>
      <c r="N17" s="23">
        <f>M17-N8+MAX(0,-N7)</f>
        <v>389.24378400000023</v>
      </c>
      <c r="O17" s="23">
        <f>N17-O8+MAX(0,-O7)</f>
        <v>272.22175700000025</v>
      </c>
      <c r="P17" s="23">
        <f>O17-P8+MAX(0,-P7)</f>
        <v>155.19973000000024</v>
      </c>
      <c r="Q17" s="23">
        <f>P17-Q8+MAX(0,-Q7)</f>
        <v>38.177703000000236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259.63649018443004</v>
      </c>
    </row>
    <row r="20">
      <c r="A20" s="14" t="inlineStr">
        <is>
          <t>PV of corporate burn</t>
        </is>
      </c>
      <c r="B20" s="23">
        <f>SUMPRODUCT(C6:V6,C15:V15)</f>
        <v>-136.02832468248792</v>
      </c>
    </row>
    <row r="21">
      <c r="A21" s="14" t="inlineStr">
        <is>
          <t>PV of taxes</t>
        </is>
      </c>
      <c r="B21" s="23">
        <f>-SUMPRODUCT(C10:V10,C15:V15)</f>
        <v>-16.653982011561695</v>
      </c>
    </row>
    <row r="22">
      <c r="A22" s="24" t="inlineStr">
        <is>
          <t>Pipeline rNPV (operations)</t>
        </is>
      </c>
      <c r="B22" s="54">
        <f>SUM(C16:V16)</f>
        <v>106.95418349038043</v>
      </c>
    </row>
    <row r="23">
      <c r="A23" s="14" t="inlineStr">
        <is>
          <t>Cash &amp; investments</t>
        </is>
      </c>
      <c r="B23" s="57">
        <f>Main!C7</f>
        <v>102.039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208.99318349038043</v>
      </c>
    </row>
    <row r="26">
      <c r="A26" s="14" t="inlineStr">
        <is>
          <t>Shares (mm)</t>
        </is>
      </c>
      <c r="B26" s="57">
        <f>Main!C4</f>
        <v>11.753558</v>
      </c>
    </row>
    <row r="27">
      <c r="A27" s="24" t="inlineStr">
        <is>
          <t>rNPV / share</t>
        </is>
      </c>
      <c r="B27" s="60">
        <f>B25/B26</f>
        <v>17.78126959431182</v>
      </c>
    </row>
    <row r="28">
      <c r="A28" s="14" t="inlineStr">
        <is>
          <t>Price</t>
        </is>
      </c>
      <c r="B28" s="61">
        <f>Main!C3</f>
        <v>25.14</v>
      </c>
    </row>
    <row r="29">
      <c r="A29" s="14" t="inlineStr">
        <is>
          <t>Upside</t>
        </is>
      </c>
      <c r="B29" s="62">
        <f>B27/B28-1</f>
        <v>-0.29271004000350764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2026-10-21T06:26:06Z</dcterms:modified>
  <cp:lastModifiedBy>Wang, Eric</cp:lastModifiedBy>
</cp:coreProperties>
</file>