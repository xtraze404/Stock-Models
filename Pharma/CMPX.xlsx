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Compass Therapeutics Inc.</t>
        </is>
      </c>
      <c r="C2" s="10" t="n"/>
    </row>
    <row r="3">
      <c r="B3" t="inlineStr">
        <is>
          <t>Price</t>
        </is>
      </c>
      <c r="C3" s="11">
        <f>INDEX([1]Pharma!$F$1:$F$1000,MATCH("CMPX",[1]Pharma!$B$1:$B$1000,0))</f>
        <v>0.8333</v>
      </c>
      <c r="F3" s="1" t="n"/>
    </row>
    <row r="4">
      <c r="B4" t="inlineStr">
        <is>
          <t>Shares</t>
        </is>
      </c>
      <c r="C4" s="21" t="n">
        <v>180.087915</v>
      </c>
      <c r="F4" s="1" t="n"/>
    </row>
    <row r="5">
      <c r="B5" t="inlineStr">
        <is>
          <t>Market Cap.</t>
        </is>
      </c>
      <c r="C5" s="13">
        <f>C3*C4</f>
        <v>150.0672595695</v>
      </c>
      <c r="F5" s="1" t="n"/>
    </row>
    <row r="6"/>
    <row r="7">
      <c r="B7" t="inlineStr">
        <is>
          <t>Cash</t>
        </is>
      </c>
      <c r="C7" s="21">
        <f>35.453+144.426</f>
        <v>179.879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-29.81174043049998</v>
      </c>
    </row>
    <row r="10"/>
    <row r="11">
      <c r="B11" s="14" t="inlineStr">
        <is>
          <t>Net Cash / Share</t>
        </is>
      </c>
      <c r="C11" s="11">
        <f>(C7-C8)/C4</f>
        <v>0.998839927709752</v>
      </c>
    </row>
    <row r="12">
      <c r="B12" s="14" t="inlineStr">
        <is>
          <t>Upside</t>
        </is>
      </c>
      <c r="C12" s="15">
        <f>IFERROR(C11/C3-1,"")</f>
        <v>0.1986558594860819</v>
      </c>
    </row>
    <row r="13">
      <c r="B13" s="14" t="inlineStr">
        <is>
          <t>Cash / Share</t>
        </is>
      </c>
      <c r="C13" s="11">
        <f>IFERROR((C7-C8)/C4,"")</f>
        <v>0.998839927709752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-56.11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3.205827838175013</v>
      </c>
    </row>
    <row r="19">
      <c r="B19" s="14" t="inlineStr">
        <is>
          <t>Implied Pipeline Value</t>
        </is>
      </c>
      <c r="C19" s="13">
        <f>C9</f>
        <v>-29.81174043049998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0.85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0.85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22.449</v>
      </c>
      <c r="C5" s="23" t="n">
        <v>14.904</v>
      </c>
      <c r="D5" s="23" t="n">
        <v>20.337</v>
      </c>
      <c r="E5" s="23" t="n">
        <v>29.997</v>
      </c>
      <c r="F5" s="23" t="n">
        <v>38.12</v>
      </c>
      <c r="G5" s="23" t="n">
        <v>42.342</v>
      </c>
      <c r="H5" s="23" t="n">
        <v>55.969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11.603</v>
      </c>
      <c r="C6" s="23" t="n">
        <v>12.908</v>
      </c>
      <c r="D6" s="23" t="n">
        <v>61.545</v>
      </c>
      <c r="E6" s="23" t="n">
        <v>11.658</v>
      </c>
      <c r="F6" s="23" t="n">
        <v>12.243</v>
      </c>
      <c r="G6" s="23" t="n">
        <v>15.133</v>
      </c>
      <c r="H6" s="23" t="n">
        <v>16.87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34.052</v>
      </c>
      <c r="C7" s="23">
        <f>SUM(C5:C6)</f>
        <v>27.811999999999998</v>
      </c>
      <c r="D7" s="23">
        <f>SUM(D5:D6)</f>
        <v>81.882</v>
      </c>
      <c r="E7" s="23">
        <f>SUM(E5:E6)</f>
        <v>41.655</v>
      </c>
      <c r="F7" s="23">
        <f>SUM(F5:F6)</f>
        <v>50.363</v>
      </c>
      <c r="G7" s="23">
        <f>SUM(G5:G6)</f>
        <v>57.474999999999994</v>
      </c>
      <c r="H7" s="23">
        <f>SUM(H5:H6)</f>
        <v>72.839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-34.052</v>
      </c>
      <c r="C8" s="23">
        <f>C4-C7</f>
        <v>-27.811999999999998</v>
      </c>
      <c r="D8" s="23">
        <f>D4-D7</f>
        <v>-81.882</v>
      </c>
      <c r="E8" s="23">
        <f>E4-E7</f>
        <v>-41.655</v>
      </c>
      <c r="F8" s="23">
        <f>F4-F7</f>
        <v>-50.363</v>
      </c>
      <c r="G8" s="23">
        <f>G4-G7</f>
        <v>-56.62499999999999</v>
      </c>
      <c r="H8" s="23">
        <f>H4-H7</f>
        <v>-72.839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-0.601</v>
      </c>
      <c r="C9" s="23" t="n">
        <v>-1.656</v>
      </c>
      <c r="D9" s="23" t="n">
        <v>-0.299</v>
      </c>
      <c r="E9" s="23" t="n">
        <v>2.43</v>
      </c>
      <c r="F9" s="23" t="n">
        <v>7.869</v>
      </c>
      <c r="G9" s="23" t="n">
        <v>7.25</v>
      </c>
      <c r="H9" s="23" t="n">
        <v>6.35</v>
      </c>
    </row>
    <row r="10">
      <c r="A10" s="2" t="inlineStr">
        <is>
          <t>Pretax</t>
        </is>
      </c>
      <c r="B10" s="23">
        <f>B8+B9</f>
        <v>-34.653</v>
      </c>
      <c r="C10" s="23">
        <f>C8+C9</f>
        <v>-29.467999999999996</v>
      </c>
      <c r="D10" s="23">
        <f>D8+D9</f>
        <v>-82.18100000000001</v>
      </c>
      <c r="E10" s="23">
        <f>E8+E9</f>
        <v>-39.225</v>
      </c>
      <c r="F10" s="23">
        <f>F8+F9</f>
        <v>-42.494</v>
      </c>
      <c r="G10" s="23">
        <f>G8+G9</f>
        <v>-49.37499999999999</v>
      </c>
      <c r="H10" s="23">
        <f>H8+H9</f>
        <v>-66.489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0.091</v>
      </c>
      <c r="C11" s="23" t="n">
        <v>0.032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-34.744</v>
      </c>
      <c r="C12" s="23" t="n">
        <v>-29.5</v>
      </c>
      <c r="D12" s="23" t="n">
        <v>-82.181</v>
      </c>
      <c r="E12" s="23" t="n">
        <v>-39.225</v>
      </c>
      <c r="F12" s="23" t="n">
        <v>-42.494</v>
      </c>
      <c r="G12" s="23" t="n">
        <v>-49.375</v>
      </c>
      <c r="H12" s="23" t="n">
        <v>-66.489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-5.192646839037513</v>
      </c>
      <c r="C13" s="11">
        <f>IFERROR(C12/C14,0)</f>
        <v>-0.9585391213932934</v>
      </c>
      <c r="D13" s="11">
        <f>IFERROR(D12/D14,0)</f>
        <v>-1.3071576268490537</v>
      </c>
      <c r="E13" s="11">
        <f>IFERROR(E12/E14,0)</f>
        <v>-0.3729108436483943</v>
      </c>
      <c r="F13" s="11">
        <f>IFERROR(F12/F14,0)</f>
        <v>-0.3345273052185756</v>
      </c>
      <c r="G13" s="11">
        <f>IFERROR(G12/G14,0)</f>
        <v>-0.35935225618631733</v>
      </c>
      <c r="H13" s="11">
        <f>IFERROR(H12/H14,0)</f>
        <v>-0.42163036240844676</v>
      </c>
    </row>
    <row r="14">
      <c r="A14" s="2" t="inlineStr">
        <is>
          <t>Shares</t>
        </is>
      </c>
      <c r="B14" s="23" t="n">
        <v>6.691</v>
      </c>
      <c r="C14" s="23" t="n">
        <v>30.776</v>
      </c>
      <c r="D14" s="23" t="n">
        <v>62.87</v>
      </c>
      <c r="E14" s="23" t="n">
        <v>105.186</v>
      </c>
      <c r="F14" s="23" t="n">
        <v>127.027</v>
      </c>
      <c r="G14" s="23" t="n">
        <v>137.4</v>
      </c>
      <c r="H14" s="23" t="n">
        <v>157.695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-1.0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1.0</v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-66.61764705882352</v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2026-10-21T01:05:44Z</dcterms:modified>
  <cp:lastModifiedBy>Wang, Eric</cp:lastModifiedBy>
</cp:coreProperties>
</file>