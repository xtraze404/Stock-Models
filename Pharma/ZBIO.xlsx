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Zenas BioPharma, Inc.</t>
        </is>
      </c>
      <c r="C2" s="10" t="n"/>
    </row>
    <row r="3">
      <c r="B3" t="inlineStr">
        <is>
          <t>Price</t>
        </is>
      </c>
      <c r="C3" s="11">
        <f>INDEX([1]Pharma!$F$1:$F$1000,MATCH("ZBIO",[1]Pharma!$B$1:$B$1000,0))</f>
        <v>28.18</v>
      </c>
      <c r="F3" s="1" t="n"/>
    </row>
    <row r="4">
      <c r="B4" t="inlineStr">
        <is>
          <t>Shares</t>
        </is>
      </c>
      <c r="C4" s="21" t="n">
        <v>65.176723</v>
      </c>
      <c r="F4" s="1" t="n"/>
    </row>
    <row r="5">
      <c r="B5" t="inlineStr">
        <is>
          <t>Market Cap.</t>
        </is>
      </c>
      <c r="C5" s="13">
        <f>C3*C4</f>
        <v>1836.6800541399998</v>
      </c>
      <c r="F5" s="1" t="n"/>
    </row>
    <row r="6"/>
    <row r="7">
      <c r="B7" t="inlineStr">
        <is>
          <t>Cash</t>
        </is>
      </c>
      <c r="C7" s="21" t="n">
        <v>673.9</v>
      </c>
    </row>
    <row r="8">
      <c r="B8" t="inlineStr">
        <is>
          <t>Debt</t>
        </is>
      </c>
      <c r="C8" s="21">
        <f>222.956+74.06</f>
        <v>297.01599999999996</v>
      </c>
    </row>
    <row r="9">
      <c r="B9" t="inlineStr">
        <is>
          <t>Enterprise V.</t>
        </is>
      </c>
      <c r="C9" s="13">
        <f>C5-C7+C8</f>
        <v>1459.7960541399998</v>
      </c>
    </row>
    <row r="10"/>
    <row r="11">
      <c r="B11" s="14" t="inlineStr">
        <is>
          <t>Net Cash / Share</t>
        </is>
      </c>
      <c r="C11" s="11">
        <f>(C7-C8)/C4</f>
        <v>5.782493851370834</v>
      </c>
    </row>
    <row r="12">
      <c r="B12" s="14" t="inlineStr">
        <is>
          <t>Upside</t>
        </is>
      </c>
      <c r="C12" s="15">
        <f>IFERROR(C11/C3-1,"")</f>
        <v>-0.7948014956930152</v>
      </c>
    </row>
    <row r="13">
      <c r="B13" s="14" t="inlineStr">
        <is>
          <t>Cash / Share</t>
        </is>
      </c>
      <c r="C13" s="11">
        <f>IFERROR((C7-C8)/C4,"")</f>
        <v>5.782493851370834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-225.972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1.667834953003027</v>
      </c>
    </row>
    <row r="19">
      <c r="B19" s="14" t="inlineStr">
        <is>
          <t>Implied Pipeline Value</t>
        </is>
      </c>
      <c r="C19" s="13">
        <f>C9</f>
        <v>1459.7960541399998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50</v>
      </c>
      <c r="C2" s="23" t="n">
        <v>5</v>
      </c>
      <c r="D2" s="23" t="n">
        <v>10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50.0</v>
      </c>
      <c r="C4" s="23">
        <f>C2-C3</f>
        <v>5.0</v>
      </c>
      <c r="D4" s="23">
        <f>D2-D3</f>
        <v>10.0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60.033</v>
      </c>
      <c r="C5" s="23" t="n">
        <v>139.139</v>
      </c>
      <c r="D5" s="23" t="n">
        <v>168.063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27.114</v>
      </c>
      <c r="C6" s="23" t="n">
        <v>29.749</v>
      </c>
      <c r="D6" s="23" t="n">
        <v>224.994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87.147</v>
      </c>
      <c r="C7" s="23">
        <f>SUM(C5:C6)</f>
        <v>168.888</v>
      </c>
      <c r="D7" s="23">
        <f>SUM(D5:D6)</f>
        <v>393.057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-37.147000000000006</v>
      </c>
      <c r="C8" s="23">
        <f>C4-C7</f>
        <v>-163.888</v>
      </c>
      <c r="D8" s="23">
        <f>D4-D7</f>
        <v>-383.057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0.324</v>
      </c>
      <c r="C9" s="23" t="n">
        <v>7.329</v>
      </c>
      <c r="D9" s="23" t="n">
        <v>5.241</v>
      </c>
    </row>
    <row r="10">
      <c r="A10" s="2" t="inlineStr">
        <is>
          <t>Pretax</t>
        </is>
      </c>
      <c r="B10" s="23">
        <f>B8+B9</f>
        <v>-36.82300000000001</v>
      </c>
      <c r="C10" s="23">
        <f>C8+C9</f>
        <v>-156.559</v>
      </c>
      <c r="D10" s="23">
        <f>D8+D9</f>
        <v>-377.81600000000003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0.301</v>
      </c>
      <c r="C11" s="23" t="n">
        <v>0.429</v>
      </c>
      <c r="D11" s="23" t="n">
        <v>-0.079</v>
      </c>
    </row>
    <row r="12">
      <c r="A12" s="2" t="inlineStr">
        <is>
          <t>Net Income</t>
        </is>
      </c>
      <c r="B12" s="23" t="n">
        <v>-37.124</v>
      </c>
      <c r="C12" s="23" t="n">
        <v>-156.988</v>
      </c>
      <c r="D12" s="23" t="n">
        <v>-377.737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-24.248203788373615</v>
      </c>
      <c r="C13" s="11">
        <f>IFERROR(C12/C14,0)</f>
        <v>-11.893931358436244</v>
      </c>
      <c r="D13" s="11">
        <f>IFERROR(D12/D14,0)</f>
        <v>-8.444824502570983</v>
      </c>
    </row>
    <row r="14">
      <c r="A14" s="2" t="inlineStr">
        <is>
          <t>Shares</t>
        </is>
      </c>
      <c r="B14" s="23" t="n">
        <v>1.531</v>
      </c>
      <c r="C14" s="23" t="n">
        <v>13.199</v>
      </c>
      <c r="D14" s="23" t="n">
        <v>44.73</v>
      </c>
    </row>
    <row r="15"/>
    <row r="16" customFormat="1" s="4">
      <c r="A16" s="3" t="inlineStr">
        <is>
          <t>Revenue Change</t>
        </is>
      </c>
      <c r="C16" s="15">
        <f>IFERROR(C2/B2-1,"")</f>
        <v>-0.9</v>
      </c>
      <c r="D16" s="15">
        <f>IFERROR(D2/C2-1,"")</f>
        <v>1.0</v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-0.7429400000000002</v>
      </c>
      <c r="C18" s="15">
        <f>IFERROR(C8/C2,"")</f>
        <v>-32.7776</v>
      </c>
      <c r="D18" s="15">
        <f>IFERROR(D8/D2,"")</f>
        <v>-38.3057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2026-10-21T01:04:36Z</dcterms:modified>
  <cp:lastModifiedBy>Wang, Eric</cp:lastModifiedBy>
</cp:coreProperties>
</file>