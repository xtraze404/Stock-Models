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Zenas BioPharma, Inc.</t>
        </is>
      </c>
      <c r="C2" s="10" t="n"/>
    </row>
    <row r="3">
      <c r="B3" t="inlineStr">
        <is>
          <t>Price</t>
        </is>
      </c>
      <c r="C3" s="11">
        <f>INDEX([1]Pharma!$F$1:$F$1000,MATCH("ZBIO",[1]Pharma!$B$1:$B$1000,0))</f>
        <v>28.18</v>
      </c>
      <c r="F3" s="1" t="n"/>
    </row>
    <row r="4">
      <c r="B4" t="inlineStr">
        <is>
          <t>Shares</t>
        </is>
      </c>
      <c r="C4" s="21" t="n">
        <v>65.176723</v>
      </c>
      <c r="F4" s="1" t="n"/>
    </row>
    <row r="5">
      <c r="B5" t="inlineStr">
        <is>
          <t>Market Cap.</t>
        </is>
      </c>
      <c r="C5" s="13">
        <f>C3*C4</f>
        <v>1836.6800541399998</v>
      </c>
      <c r="F5" s="1" t="n"/>
    </row>
    <row r="6"/>
    <row r="7">
      <c r="B7" t="inlineStr">
        <is>
          <t>Cash</t>
        </is>
      </c>
      <c r="C7" s="21" t="n">
        <v>673.9</v>
      </c>
    </row>
    <row r="8">
      <c r="B8" t="inlineStr">
        <is>
          <t>Debt</t>
        </is>
      </c>
      <c r="C8" s="21">
        <f>222.956+74.06</f>
        <v>297.01599999999996</v>
      </c>
    </row>
    <row r="9">
      <c r="B9" t="inlineStr">
        <is>
          <t>Enterprise V.</t>
        </is>
      </c>
      <c r="C9" s="13">
        <f>C5-C7+C8</f>
        <v>1459.7960541399998</v>
      </c>
    </row>
    <row r="10"/>
    <row r="11">
      <c r="B11" s="14" t="inlineStr">
        <is>
          <t>rNPV / Share</t>
        </is>
      </c>
      <c r="C11" s="11">
        <f>NPV!B27</f>
        <v>29.99798730954797</v>
      </c>
    </row>
    <row r="12">
      <c r="B12" s="14" t="inlineStr">
        <is>
          <t>Upside</t>
        </is>
      </c>
      <c r="C12" s="15">
        <f>IFERROR(C11/C3-1,"")</f>
        <v>0.06451338926713879</v>
      </c>
    </row>
    <row r="13">
      <c r="B13" s="14" t="inlineStr">
        <is>
          <t>Cash / Share</t>
        </is>
      </c>
      <c r="C13" s="11">
        <f>IFERROR((C7-C8)/C4,"")</f>
        <v>5.782493851370834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-225.972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1.667834953003027</v>
      </c>
    </row>
    <row r="19">
      <c r="B19" s="14" t="inlineStr">
        <is>
          <t>Implied Pipeline Value</t>
        </is>
      </c>
      <c r="C19" s="13">
        <f>C9</f>
        <v>1459.7960541399998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2023</v>
      </c>
      <c r="C1" s="17" t="n">
        <v>2024</v>
      </c>
      <c r="D1" s="17" t="n">
        <v>2025</v>
      </c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50</v>
      </c>
      <c r="C2" s="23" t="n">
        <v>5</v>
      </c>
      <c r="D2" s="23" t="n">
        <v>10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50.0</v>
      </c>
      <c r="C4" s="23">
        <f>C2-C3</f>
        <v>5.0</v>
      </c>
      <c r="D4" s="23">
        <f>D2-D3</f>
        <v>10.0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60.033</v>
      </c>
      <c r="C5" s="23" t="n">
        <v>139.139</v>
      </c>
      <c r="D5" s="23" t="n">
        <v>168.063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27.114</v>
      </c>
      <c r="C6" s="23" t="n">
        <v>29.749</v>
      </c>
      <c r="D6" s="23" t="n">
        <v>224.994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87.147</v>
      </c>
      <c r="C7" s="23">
        <f>SUM(C5:C6)</f>
        <v>168.888</v>
      </c>
      <c r="D7" s="23">
        <f>SUM(D5:D6)</f>
        <v>393.057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-37.147000000000006</v>
      </c>
      <c r="C8" s="23">
        <f>C4-C7</f>
        <v>-163.888</v>
      </c>
      <c r="D8" s="23">
        <f>D4-D7</f>
        <v>-383.057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0.324</v>
      </c>
      <c r="C9" s="23" t="n">
        <v>7.329</v>
      </c>
      <c r="D9" s="23" t="n">
        <v>5.241</v>
      </c>
    </row>
    <row r="10">
      <c r="A10" s="2" t="inlineStr">
        <is>
          <t>Pretax</t>
        </is>
      </c>
      <c r="B10" s="23">
        <f>B8+B9</f>
        <v>-36.82300000000001</v>
      </c>
      <c r="C10" s="23">
        <f>C8+C9</f>
        <v>-156.559</v>
      </c>
      <c r="D10" s="23">
        <f>D8+D9</f>
        <v>-377.81600000000003</v>
      </c>
      <c r="I10" s="1" t="n"/>
      <c r="J10" s="1" t="n"/>
      <c r="K10" s="1" t="n"/>
    </row>
    <row r="11">
      <c r="A11" s="2" t="inlineStr">
        <is>
          <t>Taxes</t>
        </is>
      </c>
      <c r="B11" s="23" t="n">
        <v>0.301</v>
      </c>
      <c r="C11" s="23" t="n">
        <v>0.429</v>
      </c>
      <c r="D11" s="23" t="n">
        <v>-0.079</v>
      </c>
    </row>
    <row r="12">
      <c r="A12" s="2" t="inlineStr">
        <is>
          <t>Net Income</t>
        </is>
      </c>
      <c r="B12" s="23" t="n">
        <v>-37.124</v>
      </c>
      <c r="C12" s="23" t="n">
        <v>-156.988</v>
      </c>
      <c r="D12" s="23" t="n">
        <v>-377.737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-24.248203788373615</v>
      </c>
      <c r="C13" s="11">
        <f>IFERROR(C12/C14,0)</f>
        <v>-11.893931358436244</v>
      </c>
      <c r="D13" s="11">
        <f>IFERROR(D12/D14,0)</f>
        <v>-8.444824502570983</v>
      </c>
    </row>
    <row r="14">
      <c r="A14" s="2" t="inlineStr">
        <is>
          <t>Shares</t>
        </is>
      </c>
      <c r="B14" s="23" t="n">
        <v>1.531</v>
      </c>
      <c r="C14" s="23" t="n">
        <v>13.199</v>
      </c>
      <c r="D14" s="23" t="n">
        <v>44.73</v>
      </c>
    </row>
    <row r="15"/>
    <row r="16" customFormat="1" s="4">
      <c r="A16" s="3" t="inlineStr">
        <is>
          <t>Revenue Change</t>
        </is>
      </c>
      <c r="C16" s="15">
        <f>IFERROR(C2/B2-1,"")</f>
        <v>-0.9</v>
      </c>
      <c r="D16" s="15">
        <f>IFERROR(D2/C2-1,"")</f>
        <v>1.0</v>
      </c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-0.7429400000000002</v>
      </c>
      <c r="C18" s="15">
        <f>IFERROR(C8/C2,"")</f>
        <v>-32.7776</v>
      </c>
      <c r="D18" s="15">
        <f>IFERROR(D8/D2,"")</f>
        <v>-38.3057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Zenas BioPharma, Inc.: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1-PRODUCT(Pipeline!AG4:AG7)</f>
        <v>0.97509572982656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475.573</v>
      </c>
    </row>
    <row r="19">
      <c r="A19" s="14" t="inlineStr">
        <is>
          <t>Years of full burn (until the first launch, max 4)</t>
        </is>
      </c>
      <c r="B19" s="39">
        <f>MIN(4,MAX(1,MIN(Pipeline!I4:I7)-2026))</f>
        <v>1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571.8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1578.2865094319234</v>
      </c>
      <c r="C29" s="42">
        <f>NPV!B25</f>
        <v>1955.1705094319232</v>
      </c>
      <c r="D29" s="43">
        <f>NPV!B27</f>
        <v>29.99798730954797</v>
      </c>
      <c r="E29" s="44">
        <f>NPV!B29</f>
        <v>0.06451338926713879</v>
      </c>
    </row>
    <row r="30">
      <c r="A30" s="45" t="n">
        <v>1</v>
      </c>
      <c r="B30" s="46">
        <f t="dataTable" ref="B30:E32" r1="B4"/>
        <v>206.23731502698539</v>
      </c>
      <c r="C30" s="46">
        <v>583.1213150269854</v>
      </c>
      <c r="D30" s="47">
        <v>8.946772531460127</v>
      </c>
      <c r="E30" s="48">
        <v>-0.6825133949091509</v>
      </c>
    </row>
    <row r="31">
      <c r="A31" s="45" t="n">
        <v>2</v>
      </c>
      <c r="B31" s="46">
        <v>1578.2865094319234</v>
      </c>
      <c r="C31" s="46">
        <v>1955.1705094319232</v>
      </c>
      <c r="D31" s="47">
        <v>29.99798730954797</v>
      </c>
      <c r="E31" s="48">
        <v>0.06451338926713879</v>
      </c>
    </row>
    <row r="32">
      <c r="A32" s="45" t="n">
        <v>3</v>
      </c>
      <c r="B32" s="46">
        <v>3544.0944901996054</v>
      </c>
      <c r="C32" s="46">
        <v>3920.978490199605</v>
      </c>
      <c r="D32" s="47">
        <v>60.15918428730461</v>
      </c>
      <c r="E32" s="48">
        <v>1.1348184629987443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29.99798730954797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4.985550370749494</v>
      </c>
      <c r="C37" s="47">
        <v>11.304970813472162</v>
      </c>
      <c r="D37" s="47">
        <v>17.36656115494215</v>
      </c>
      <c r="E37" s="47">
        <v>29.246965237904135</v>
      </c>
      <c r="F37" s="47">
        <v>41.00406025230093</v>
      </c>
    </row>
    <row r="38">
      <c r="A38" s="50" t="n">
        <v>0.8</v>
      </c>
      <c r="B38" s="47">
        <v>7.247264688090872</v>
      </c>
      <c r="C38" s="47">
        <v>15.441683399951382</v>
      </c>
      <c r="D38" s="47">
        <v>23.420270070150533</v>
      </c>
      <c r="E38" s="47">
        <v>39.15418007674555</v>
      </c>
      <c r="F38" s="47">
        <v>54.76693429287522</v>
      </c>
    </row>
    <row r="39">
      <c r="A39" s="50" t="n">
        <v>1</v>
      </c>
      <c r="B39" s="47">
        <v>10.007944176149868</v>
      </c>
      <c r="C39" s="47">
        <v>20.10576033951857</v>
      </c>
      <c r="D39" s="47">
        <v>29.99798730954797</v>
      </c>
      <c r="E39" s="47">
        <v>49.56971312164695</v>
      </c>
      <c r="F39" s="47">
        <v>69.03723907751078</v>
      </c>
    </row>
    <row r="40">
      <c r="A40" s="50" t="n">
        <v>1.2</v>
      </c>
      <c r="B40" s="47">
        <v>12.433617157273035</v>
      </c>
      <c r="C40" s="47">
        <v>23.752151932812513</v>
      </c>
      <c r="D40" s="47">
        <v>34.887959219458565</v>
      </c>
      <c r="E40" s="47">
        <v>56.97385870049535</v>
      </c>
      <c r="F40" s="47">
        <v>78.94798288887812</v>
      </c>
    </row>
    <row r="41">
      <c r="A41" s="50" t="n">
        <v>1.4</v>
      </c>
      <c r="B41" s="47">
        <v>14.717110105153823</v>
      </c>
      <c r="C41" s="47">
        <v>27.115443574069328</v>
      </c>
      <c r="D41" s="47">
        <v>39.34669867397394</v>
      </c>
      <c r="E41" s="47">
        <v>63.64807994244644</v>
      </c>
      <c r="F41" s="47">
        <v>87.83376794347303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9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Zenas BioPharma, Inc.: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Rare autoimmune</t>
        </is>
      </c>
      <c r="C4" s="14" t="inlineStr">
        <is>
          <t>Obexelimab, ZB001 for injection</t>
        </is>
      </c>
      <c r="D4" s="14" t="inlineStr">
        <is>
          <t>Filed (NDA/BLA)</t>
        </is>
      </c>
      <c r="E4" s="14" t="inlineStr">
        <is>
          <t>Autoimmune / rare</t>
        </is>
      </c>
      <c r="F4" s="14" t="inlineStr">
        <is>
          <t>Owned</t>
        </is>
      </c>
      <c r="G4" s="40" t="n">
        <v>800</v>
      </c>
      <c r="H4" s="27" t="n">
        <v>0.9360000000000001</v>
      </c>
      <c r="I4" s="26" t="n">
        <v>2027</v>
      </c>
      <c r="J4" s="39">
        <f>I4+Assumptions!$B$25</f>
        <v>2039.0</v>
      </c>
      <c r="K4" s="53">
        <f>Assumptions!$E$13</f>
        <v>0.4</v>
      </c>
      <c r="L4" s="23">
        <f>K4*SUMPRODUCT(M4:AF4,NPV!$C$15:$V$15)</f>
        <v>1349.1334878560206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74.88000000000001</v>
      </c>
      <c r="O4" s="23">
        <f>IF(O$3&lt;$I4,0,$G4*Assumptions!$E$11*INDEX(Assumptions!$B$24:$G$24,MIN(6,O$3-$I4+1))*IF(O$3&gt;$J4,(1-Assumptions!$B$26)^(O$3-$J4),1)*IF($H4&gt;=1,1,MIN(0.97,$H4*Assumptions!$E$12)))</f>
        <v>187.20000000000002</v>
      </c>
      <c r="P4" s="23">
        <f>IF(P$3&lt;$I4,0,$G4*Assumptions!$E$11*INDEX(Assumptions!$B$24:$G$24,MIN(6,P$3-$I4+1))*IF(P$3&gt;$J4,(1-Assumptions!$B$26)^(P$3-$J4),1)*IF($H4&gt;=1,1,MIN(0.97,$H4*Assumptions!$E$12)))</f>
        <v>336.96000000000004</v>
      </c>
      <c r="Q4" s="23">
        <f>IF(Q$3&lt;$I4,0,$G4*Assumptions!$E$11*INDEX(Assumptions!$B$24:$G$24,MIN(6,Q$3-$I4+1))*IF(Q$3&gt;$J4,(1-Assumptions!$B$26)^(Q$3-$J4),1)*IF($H4&gt;=1,1,MIN(0.97,$H4*Assumptions!$E$12)))</f>
        <v>486.72</v>
      </c>
      <c r="R4" s="23">
        <f>IF(R$3&lt;$I4,0,$G4*Assumptions!$E$11*INDEX(Assumptions!$B$24:$G$24,MIN(6,R$3-$I4+1))*IF(R$3&gt;$J4,(1-Assumptions!$B$26)^(R$3-$J4),1)*IF($H4&gt;=1,1,MIN(0.97,$H4*Assumptions!$E$12)))</f>
        <v>636.48</v>
      </c>
      <c r="S4" s="23">
        <f>IF(S$3&lt;$I4,0,$G4*Assumptions!$E$11*INDEX(Assumptions!$B$24:$G$24,MIN(6,S$3-$I4+1))*IF(S$3&gt;$J4,(1-Assumptions!$B$26)^(S$3-$J4),1)*IF($H4&gt;=1,1,MIN(0.97,$H4*Assumptions!$E$12)))</f>
        <v>748.8000000000001</v>
      </c>
      <c r="T4" s="23">
        <f>IF(T$3&lt;$I4,0,$G4*Assumptions!$E$11*INDEX(Assumptions!$B$24:$G$24,MIN(6,T$3-$I4+1))*IF(T$3&gt;$J4,(1-Assumptions!$B$26)^(T$3-$J4),1)*IF($H4&gt;=1,1,MIN(0.97,$H4*Assumptions!$E$12)))</f>
        <v>748.8000000000001</v>
      </c>
      <c r="U4" s="23">
        <f>IF(U$3&lt;$I4,0,$G4*Assumptions!$E$11*INDEX(Assumptions!$B$24:$G$24,MIN(6,U$3-$I4+1))*IF(U$3&gt;$J4,(1-Assumptions!$B$26)^(U$3-$J4),1)*IF($H4&gt;=1,1,MIN(0.97,$H4*Assumptions!$E$12)))</f>
        <v>748.8000000000001</v>
      </c>
      <c r="V4" s="23">
        <f>IF(V$3&lt;$I4,0,$G4*Assumptions!$E$11*INDEX(Assumptions!$B$24:$G$24,MIN(6,V$3-$I4+1))*IF(V$3&gt;$J4,(1-Assumptions!$B$26)^(V$3-$J4),1)*IF($H4&gt;=1,1,MIN(0.97,$H4*Assumptions!$E$12)))</f>
        <v>748.8000000000001</v>
      </c>
      <c r="W4" s="23">
        <f>IF(W$3&lt;$I4,0,$G4*Assumptions!$E$11*INDEX(Assumptions!$B$24:$G$24,MIN(6,W$3-$I4+1))*IF(W$3&gt;$J4,(1-Assumptions!$B$26)^(W$3-$J4),1)*IF($H4&gt;=1,1,MIN(0.97,$H4*Assumptions!$E$12)))</f>
        <v>748.8000000000001</v>
      </c>
      <c r="X4" s="23">
        <f>IF(X$3&lt;$I4,0,$G4*Assumptions!$E$11*INDEX(Assumptions!$B$24:$G$24,MIN(6,X$3-$I4+1))*IF(X$3&gt;$J4,(1-Assumptions!$B$26)^(X$3-$J4),1)*IF($H4&gt;=1,1,MIN(0.97,$H4*Assumptions!$E$12)))</f>
        <v>748.8000000000001</v>
      </c>
      <c r="Y4" s="23">
        <f>IF(Y$3&lt;$I4,0,$G4*Assumptions!$E$11*INDEX(Assumptions!$B$24:$G$24,MIN(6,Y$3-$I4+1))*IF(Y$3&gt;$J4,(1-Assumptions!$B$26)^(Y$3-$J4),1)*IF($H4&gt;=1,1,MIN(0.97,$H4*Assumptions!$E$12)))</f>
        <v>748.8000000000001</v>
      </c>
      <c r="Z4" s="23">
        <f>IF(Z$3&lt;$I4,0,$G4*Assumptions!$E$11*INDEX(Assumptions!$B$24:$G$24,MIN(6,Z$3-$I4+1))*IF(Z$3&gt;$J4,(1-Assumptions!$B$26)^(Z$3-$J4),1)*IF($H4&gt;=1,1,MIN(0.97,$H4*Assumptions!$E$12)))</f>
        <v>748.8000000000001</v>
      </c>
      <c r="AA4" s="23">
        <f>IF(AA$3&lt;$I4,0,$G4*Assumptions!$E$11*INDEX(Assumptions!$B$24:$G$24,MIN(6,AA$3-$I4+1))*IF(AA$3&gt;$J4,(1-Assumptions!$B$26)^(AA$3-$J4),1)*IF($H4&gt;=1,1,MIN(0.97,$H4*Assumptions!$E$12)))</f>
        <v>374.40000000000003</v>
      </c>
      <c r="AB4" s="23">
        <f>IF(AB$3&lt;$I4,0,$G4*Assumptions!$E$11*INDEX(Assumptions!$B$24:$G$24,MIN(6,AB$3-$I4+1))*IF(AB$3&gt;$J4,(1-Assumptions!$B$26)^(AB$3-$J4),1)*IF($H4&gt;=1,1,MIN(0.97,$H4*Assumptions!$E$12)))</f>
        <v>187.20000000000002</v>
      </c>
      <c r="AC4" s="23">
        <f>IF(AC$3&lt;$I4,0,$G4*Assumptions!$E$11*INDEX(Assumptions!$B$24:$G$24,MIN(6,AC$3-$I4+1))*IF(AC$3&gt;$J4,(1-Assumptions!$B$26)^(AC$3-$J4),1)*IF($H4&gt;=1,1,MIN(0.97,$H4*Assumptions!$E$12)))</f>
        <v>93.60000000000001</v>
      </c>
      <c r="AD4" s="23">
        <f>IF(AD$3&lt;$I4,0,$G4*Assumptions!$E$11*INDEX(Assumptions!$B$24:$G$24,MIN(6,AD$3-$I4+1))*IF(AD$3&gt;$J4,(1-Assumptions!$B$26)^(AD$3-$J4),1)*IF($H4&gt;=1,1,MIN(0.97,$H4*Assumptions!$E$12)))</f>
        <v>46.800000000000004</v>
      </c>
      <c r="AE4" s="23">
        <f>IF(AE$3&lt;$I4,0,$G4*Assumptions!$E$11*INDEX(Assumptions!$B$24:$G$24,MIN(6,AE$3-$I4+1))*IF(AE$3&gt;$J4,(1-Assumptions!$B$26)^(AE$3-$J4),1)*IF($H4&gt;=1,1,MIN(0.97,$H4*Assumptions!$E$12)))</f>
        <v>23.400000000000002</v>
      </c>
      <c r="AF4" s="23">
        <f>IF(AF$3&lt;$I4,0,$G4*Assumptions!$E$11*INDEX(Assumptions!$B$24:$G$24,MIN(6,AF$3-$I4+1))*IF(AF$3&gt;$J4,(1-Assumptions!$B$26)^(AF$3-$J4),1)*IF($H4&gt;=1,1,MIN(0.97,$H4*Assumptions!$E$12)))</f>
        <v>11.700000000000001</v>
      </c>
      <c r="AG4" s="35">
        <f>IF(F4="Owned",1-IF(H4&gt;=1,1,MIN(0.97,H4*Assumptions!$E$12)),1)</f>
        <v>0.06399999999999995</v>
      </c>
    </row>
    <row r="5">
      <c r="A5" s="39" t="n">
        <v>2</v>
      </c>
      <c r="B5" s="14" t="inlineStr">
        <is>
          <t>Multiple sclerosis</t>
        </is>
      </c>
      <c r="C5" s="14" t="inlineStr">
        <is>
          <t>Orelabrutinib, Obexelimab</t>
        </is>
      </c>
      <c r="D5" s="14" t="inlineStr">
        <is>
          <t>Phase 3</t>
        </is>
      </c>
      <c r="E5" s="14" t="inlineStr">
        <is>
          <t>Neurology / area</t>
        </is>
      </c>
      <c r="F5" s="14" t="inlineStr">
        <is>
          <t>Owned</t>
        </is>
      </c>
      <c r="G5" s="40" t="n">
        <v>2000</v>
      </c>
      <c r="H5" s="27" t="n">
        <v>0.4604</v>
      </c>
      <c r="I5" s="26" t="n">
        <v>2029</v>
      </c>
      <c r="J5" s="39">
        <f>I5+Assumptions!$B$25</f>
        <v>2041.0</v>
      </c>
      <c r="K5" s="53">
        <f>Assumptions!$E$13</f>
        <v>0.4</v>
      </c>
      <c r="L5" s="23">
        <f>K5*SUMPRODUCT(M5:AF5,NPV!$C$15:$V$15)</f>
        <v>1320.8439561894934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92.08</v>
      </c>
      <c r="Q5" s="23">
        <f>IF(Q$3&lt;$I5,0,$G5*Assumptions!$E$11*INDEX(Assumptions!$B$24:$G$24,MIN(6,Q$3-$I5+1))*IF(Q$3&gt;$J5,(1-Assumptions!$B$26)^(Q$3-$J5),1)*IF($H5&gt;=1,1,MIN(0.97,$H5*Assumptions!$E$12)))</f>
        <v>230.2</v>
      </c>
      <c r="R5" s="23">
        <f>IF(R$3&lt;$I5,0,$G5*Assumptions!$E$11*INDEX(Assumptions!$B$24:$G$24,MIN(6,R$3-$I5+1))*IF(R$3&gt;$J5,(1-Assumptions!$B$26)^(R$3-$J5),1)*IF($H5&gt;=1,1,MIN(0.97,$H5*Assumptions!$E$12)))</f>
        <v>414.35999999999996</v>
      </c>
      <c r="S5" s="23">
        <f>IF(S$3&lt;$I5,0,$G5*Assumptions!$E$11*INDEX(Assumptions!$B$24:$G$24,MIN(6,S$3-$I5+1))*IF(S$3&gt;$J5,(1-Assumptions!$B$26)^(S$3-$J5),1)*IF($H5&gt;=1,1,MIN(0.97,$H5*Assumptions!$E$12)))</f>
        <v>598.52</v>
      </c>
      <c r="T5" s="23">
        <f>IF(T$3&lt;$I5,0,$G5*Assumptions!$E$11*INDEX(Assumptions!$B$24:$G$24,MIN(6,T$3-$I5+1))*IF(T$3&gt;$J5,(1-Assumptions!$B$26)^(T$3-$J5),1)*IF($H5&gt;=1,1,MIN(0.97,$H5*Assumptions!$E$12)))</f>
        <v>782.68</v>
      </c>
      <c r="U5" s="23">
        <f>IF(U$3&lt;$I5,0,$G5*Assumptions!$E$11*INDEX(Assumptions!$B$24:$G$24,MIN(6,U$3-$I5+1))*IF(U$3&gt;$J5,(1-Assumptions!$B$26)^(U$3-$J5),1)*IF($H5&gt;=1,1,MIN(0.97,$H5*Assumptions!$E$12)))</f>
        <v>920.8</v>
      </c>
      <c r="V5" s="23">
        <f>IF(V$3&lt;$I5,0,$G5*Assumptions!$E$11*INDEX(Assumptions!$B$24:$G$24,MIN(6,V$3-$I5+1))*IF(V$3&gt;$J5,(1-Assumptions!$B$26)^(V$3-$J5),1)*IF($H5&gt;=1,1,MIN(0.97,$H5*Assumptions!$E$12)))</f>
        <v>920.8</v>
      </c>
      <c r="W5" s="23">
        <f>IF(W$3&lt;$I5,0,$G5*Assumptions!$E$11*INDEX(Assumptions!$B$24:$G$24,MIN(6,W$3-$I5+1))*IF(W$3&gt;$J5,(1-Assumptions!$B$26)^(W$3-$J5),1)*IF($H5&gt;=1,1,MIN(0.97,$H5*Assumptions!$E$12)))</f>
        <v>920.8</v>
      </c>
      <c r="X5" s="23">
        <f>IF(X$3&lt;$I5,0,$G5*Assumptions!$E$11*INDEX(Assumptions!$B$24:$G$24,MIN(6,X$3-$I5+1))*IF(X$3&gt;$J5,(1-Assumptions!$B$26)^(X$3-$J5),1)*IF($H5&gt;=1,1,MIN(0.97,$H5*Assumptions!$E$12)))</f>
        <v>920.8</v>
      </c>
      <c r="Y5" s="23">
        <f>IF(Y$3&lt;$I5,0,$G5*Assumptions!$E$11*INDEX(Assumptions!$B$24:$G$24,MIN(6,Y$3-$I5+1))*IF(Y$3&gt;$J5,(1-Assumptions!$B$26)^(Y$3-$J5),1)*IF($H5&gt;=1,1,MIN(0.97,$H5*Assumptions!$E$12)))</f>
        <v>920.8</v>
      </c>
      <c r="Z5" s="23">
        <f>IF(Z$3&lt;$I5,0,$G5*Assumptions!$E$11*INDEX(Assumptions!$B$24:$G$24,MIN(6,Z$3-$I5+1))*IF(Z$3&gt;$J5,(1-Assumptions!$B$26)^(Z$3-$J5),1)*IF($H5&gt;=1,1,MIN(0.97,$H5*Assumptions!$E$12)))</f>
        <v>920.8</v>
      </c>
      <c r="AA5" s="23">
        <f>IF(AA$3&lt;$I5,0,$G5*Assumptions!$E$11*INDEX(Assumptions!$B$24:$G$24,MIN(6,AA$3-$I5+1))*IF(AA$3&gt;$J5,(1-Assumptions!$B$26)^(AA$3-$J5),1)*IF($H5&gt;=1,1,MIN(0.97,$H5*Assumptions!$E$12)))</f>
        <v>920.8</v>
      </c>
      <c r="AB5" s="23">
        <f>IF(AB$3&lt;$I5,0,$G5*Assumptions!$E$11*INDEX(Assumptions!$B$24:$G$24,MIN(6,AB$3-$I5+1))*IF(AB$3&gt;$J5,(1-Assumptions!$B$26)^(AB$3-$J5),1)*IF($H5&gt;=1,1,MIN(0.97,$H5*Assumptions!$E$12)))</f>
        <v>920.8</v>
      </c>
      <c r="AC5" s="23">
        <f>IF(AC$3&lt;$I5,0,$G5*Assumptions!$E$11*INDEX(Assumptions!$B$24:$G$24,MIN(6,AC$3-$I5+1))*IF(AC$3&gt;$J5,(1-Assumptions!$B$26)^(AC$3-$J5),1)*IF($H5&gt;=1,1,MIN(0.97,$H5*Assumptions!$E$12)))</f>
        <v>460.4</v>
      </c>
      <c r="AD5" s="23">
        <f>IF(AD$3&lt;$I5,0,$G5*Assumptions!$E$11*INDEX(Assumptions!$B$24:$G$24,MIN(6,AD$3-$I5+1))*IF(AD$3&gt;$J5,(1-Assumptions!$B$26)^(AD$3-$J5),1)*IF($H5&gt;=1,1,MIN(0.97,$H5*Assumptions!$E$12)))</f>
        <v>230.2</v>
      </c>
      <c r="AE5" s="23">
        <f>IF(AE$3&lt;$I5,0,$G5*Assumptions!$E$11*INDEX(Assumptions!$B$24:$G$24,MIN(6,AE$3-$I5+1))*IF(AE$3&gt;$J5,(1-Assumptions!$B$26)^(AE$3-$J5),1)*IF($H5&gt;=1,1,MIN(0.97,$H5*Assumptions!$E$12)))</f>
        <v>115.1</v>
      </c>
      <c r="AF5" s="23">
        <f>IF(AF$3&lt;$I5,0,$G5*Assumptions!$E$11*INDEX(Assumptions!$B$24:$G$24,MIN(6,AF$3-$I5+1))*IF(AF$3&gt;$J5,(1-Assumptions!$B$26)^(AF$3-$J5),1)*IF($H5&gt;=1,1,MIN(0.97,$H5*Assumptions!$E$12)))</f>
        <v>57.55</v>
      </c>
      <c r="AG5" s="35">
        <f>IF(F5="Owned",1-IF(H5&gt;=1,1,MIN(0.97,H5*Assumptions!$E$12)),1)</f>
        <v>0.5396000000000001</v>
      </c>
    </row>
    <row r="6">
      <c r="A6" s="39" t="n">
        <v>3</v>
      </c>
      <c r="B6" s="14" t="inlineStr">
        <is>
          <t>Lupus / Sjogren's</t>
        </is>
      </c>
      <c r="C6" s="14" t="inlineStr">
        <is>
          <t>Obexelimab</t>
        </is>
      </c>
      <c r="D6" s="14" t="inlineStr">
        <is>
          <t>Phase 2</t>
        </is>
      </c>
      <c r="E6" s="14" t="inlineStr">
        <is>
          <t>Autoimmune / area</t>
        </is>
      </c>
      <c r="F6" s="14" t="inlineStr">
        <is>
          <t>Owned</t>
        </is>
      </c>
      <c r="G6" s="40" t="n">
        <v>1500</v>
      </c>
      <c r="H6" s="27" t="n">
        <v>0.1929</v>
      </c>
      <c r="I6" s="26" t="n">
        <v>2031</v>
      </c>
      <c r="J6" s="39">
        <f>I6+Assumptions!$B$25</f>
        <v>2043.0</v>
      </c>
      <c r="K6" s="53">
        <f>Assumptions!$E$13</f>
        <v>0.4</v>
      </c>
      <c r="L6" s="23">
        <f>K6*SUMPRODUCT(M6:AF6,NPV!$C$15:$V$15)</f>
        <v>328.71403812758155</v>
      </c>
      <c r="M6" s="23">
        <f>IF(M$3&lt;$I6,0,$G6*Assumptions!$E$11*INDEX(Assumptions!$B$24:$G$24,MIN(6,M$3-$I6+1))*IF(M$3&gt;$J6,(1-Assumptions!$B$26)^(M$3-$J6),1)*IF($H6&gt;=1,1,MIN(0.97,$H6*Assumptions!$E$12)))</f>
        <v>0</v>
      </c>
      <c r="N6" s="23">
        <f>IF(N$3&lt;$I6,0,$G6*Assumptions!$E$11*INDEX(Assumptions!$B$24:$G$24,MIN(6,N$3-$I6+1))*IF(N$3&gt;$J6,(1-Assumptions!$B$26)^(N$3-$J6),1)*IF($H6&gt;=1,1,MIN(0.97,$H6*Assumptions!$E$12)))</f>
        <v>0</v>
      </c>
      <c r="O6" s="23">
        <f>IF(O$3&lt;$I6,0,$G6*Assumptions!$E$11*INDEX(Assumptions!$B$24:$G$24,MIN(6,O$3-$I6+1))*IF(O$3&gt;$J6,(1-Assumptions!$B$26)^(O$3-$J6),1)*IF($H6&gt;=1,1,MIN(0.97,$H6*Assumptions!$E$12)))</f>
        <v>0</v>
      </c>
      <c r="P6" s="23">
        <f>IF(P$3&lt;$I6,0,$G6*Assumptions!$E$11*INDEX(Assumptions!$B$24:$G$24,MIN(6,P$3-$I6+1))*IF(P$3&gt;$J6,(1-Assumptions!$B$26)^(P$3-$J6),1)*IF($H6&gt;=1,1,MIN(0.97,$H6*Assumptions!$E$12)))</f>
        <v>0</v>
      </c>
      <c r="Q6" s="23">
        <f>IF(Q$3&lt;$I6,0,$G6*Assumptions!$E$11*INDEX(Assumptions!$B$24:$G$24,MIN(6,Q$3-$I6+1))*IF(Q$3&gt;$J6,(1-Assumptions!$B$26)^(Q$3-$J6),1)*IF($H6&gt;=1,1,MIN(0.97,$H6*Assumptions!$E$12)))</f>
        <v>0</v>
      </c>
      <c r="R6" s="23">
        <f>IF(R$3&lt;$I6,0,$G6*Assumptions!$E$11*INDEX(Assumptions!$B$24:$G$24,MIN(6,R$3-$I6+1))*IF(R$3&gt;$J6,(1-Assumptions!$B$26)^(R$3-$J6),1)*IF($H6&gt;=1,1,MIN(0.97,$H6*Assumptions!$E$12)))</f>
        <v>28.935</v>
      </c>
      <c r="S6" s="23">
        <f>IF(S$3&lt;$I6,0,$G6*Assumptions!$E$11*INDEX(Assumptions!$B$24:$G$24,MIN(6,S$3-$I6+1))*IF(S$3&gt;$J6,(1-Assumptions!$B$26)^(S$3-$J6),1)*IF($H6&gt;=1,1,MIN(0.97,$H6*Assumptions!$E$12)))</f>
        <v>72.33749999999999</v>
      </c>
      <c r="T6" s="23">
        <f>IF(T$3&lt;$I6,0,$G6*Assumptions!$E$11*INDEX(Assumptions!$B$24:$G$24,MIN(6,T$3-$I6+1))*IF(T$3&gt;$J6,(1-Assumptions!$B$26)^(T$3-$J6),1)*IF($H6&gt;=1,1,MIN(0.97,$H6*Assumptions!$E$12)))</f>
        <v>130.20749999999998</v>
      </c>
      <c r="U6" s="23">
        <f>IF(U$3&lt;$I6,0,$G6*Assumptions!$E$11*INDEX(Assumptions!$B$24:$G$24,MIN(6,U$3-$I6+1))*IF(U$3&gt;$J6,(1-Assumptions!$B$26)^(U$3-$J6),1)*IF($H6&gt;=1,1,MIN(0.97,$H6*Assumptions!$E$12)))</f>
        <v>188.0775</v>
      </c>
      <c r="V6" s="23">
        <f>IF(V$3&lt;$I6,0,$G6*Assumptions!$E$11*INDEX(Assumptions!$B$24:$G$24,MIN(6,V$3-$I6+1))*IF(V$3&gt;$J6,(1-Assumptions!$B$26)^(V$3-$J6),1)*IF($H6&gt;=1,1,MIN(0.97,$H6*Assumptions!$E$12)))</f>
        <v>245.9475</v>
      </c>
      <c r="W6" s="23">
        <f>IF(W$3&lt;$I6,0,$G6*Assumptions!$E$11*INDEX(Assumptions!$B$24:$G$24,MIN(6,W$3-$I6+1))*IF(W$3&gt;$J6,(1-Assumptions!$B$26)^(W$3-$J6),1)*IF($H6&gt;=1,1,MIN(0.97,$H6*Assumptions!$E$12)))</f>
        <v>289.34999999999997</v>
      </c>
      <c r="X6" s="23">
        <f>IF(X$3&lt;$I6,0,$G6*Assumptions!$E$11*INDEX(Assumptions!$B$24:$G$24,MIN(6,X$3-$I6+1))*IF(X$3&gt;$J6,(1-Assumptions!$B$26)^(X$3-$J6),1)*IF($H6&gt;=1,1,MIN(0.97,$H6*Assumptions!$E$12)))</f>
        <v>289.34999999999997</v>
      </c>
      <c r="Y6" s="23">
        <f>IF(Y$3&lt;$I6,0,$G6*Assumptions!$E$11*INDEX(Assumptions!$B$24:$G$24,MIN(6,Y$3-$I6+1))*IF(Y$3&gt;$J6,(1-Assumptions!$B$26)^(Y$3-$J6),1)*IF($H6&gt;=1,1,MIN(0.97,$H6*Assumptions!$E$12)))</f>
        <v>289.34999999999997</v>
      </c>
      <c r="Z6" s="23">
        <f>IF(Z$3&lt;$I6,0,$G6*Assumptions!$E$11*INDEX(Assumptions!$B$24:$G$24,MIN(6,Z$3-$I6+1))*IF(Z$3&gt;$J6,(1-Assumptions!$B$26)^(Z$3-$J6),1)*IF($H6&gt;=1,1,MIN(0.97,$H6*Assumptions!$E$12)))</f>
        <v>289.34999999999997</v>
      </c>
      <c r="AA6" s="23">
        <f>IF(AA$3&lt;$I6,0,$G6*Assumptions!$E$11*INDEX(Assumptions!$B$24:$G$24,MIN(6,AA$3-$I6+1))*IF(AA$3&gt;$J6,(1-Assumptions!$B$26)^(AA$3-$J6),1)*IF($H6&gt;=1,1,MIN(0.97,$H6*Assumptions!$E$12)))</f>
        <v>289.34999999999997</v>
      </c>
      <c r="AB6" s="23">
        <f>IF(AB$3&lt;$I6,0,$G6*Assumptions!$E$11*INDEX(Assumptions!$B$24:$G$24,MIN(6,AB$3-$I6+1))*IF(AB$3&gt;$J6,(1-Assumptions!$B$26)^(AB$3-$J6),1)*IF($H6&gt;=1,1,MIN(0.97,$H6*Assumptions!$E$12)))</f>
        <v>289.34999999999997</v>
      </c>
      <c r="AC6" s="23">
        <f>IF(AC$3&lt;$I6,0,$G6*Assumptions!$E$11*INDEX(Assumptions!$B$24:$G$24,MIN(6,AC$3-$I6+1))*IF(AC$3&gt;$J6,(1-Assumptions!$B$26)^(AC$3-$J6),1)*IF($H6&gt;=1,1,MIN(0.97,$H6*Assumptions!$E$12)))</f>
        <v>289.34999999999997</v>
      </c>
      <c r="AD6" s="23">
        <f>IF(AD$3&lt;$I6,0,$G6*Assumptions!$E$11*INDEX(Assumptions!$B$24:$G$24,MIN(6,AD$3-$I6+1))*IF(AD$3&gt;$J6,(1-Assumptions!$B$26)^(AD$3-$J6),1)*IF($H6&gt;=1,1,MIN(0.97,$H6*Assumptions!$E$12)))</f>
        <v>289.34999999999997</v>
      </c>
      <c r="AE6" s="23">
        <f>IF(AE$3&lt;$I6,0,$G6*Assumptions!$E$11*INDEX(Assumptions!$B$24:$G$24,MIN(6,AE$3-$I6+1))*IF(AE$3&gt;$J6,(1-Assumptions!$B$26)^(AE$3-$J6),1)*IF($H6&gt;=1,1,MIN(0.97,$H6*Assumptions!$E$12)))</f>
        <v>144.67499999999998</v>
      </c>
      <c r="AF6" s="23">
        <f>IF(AF$3&lt;$I6,0,$G6*Assumptions!$E$11*INDEX(Assumptions!$B$24:$G$24,MIN(6,AF$3-$I6+1))*IF(AF$3&gt;$J6,(1-Assumptions!$B$26)^(AF$3-$J6),1)*IF($H6&gt;=1,1,MIN(0.97,$H6*Assumptions!$E$12)))</f>
        <v>72.33749999999999</v>
      </c>
      <c r="AG6" s="35">
        <f>IF(F6="Owned",1-IF(H6&gt;=1,1,MIN(0.97,H6*Assumptions!$E$12)),1)</f>
        <v>0.8071</v>
      </c>
    </row>
    <row r="7">
      <c r="A7" s="39" t="n">
        <v>4</v>
      </c>
      <c r="B7" s="14" t="inlineStr">
        <is>
          <t>Rheumatoid / spondyloarthritis</t>
        </is>
      </c>
      <c r="C7" s="14" t="inlineStr">
        <is>
          <t>ZB002</t>
        </is>
      </c>
      <c r="D7" s="14" t="inlineStr">
        <is>
          <t>Phase 1</t>
        </is>
      </c>
      <c r="E7" s="14" t="inlineStr">
        <is>
          <t>Autoimmune / area</t>
        </is>
      </c>
      <c r="F7" s="14" t="inlineStr">
        <is>
          <t>Owned</t>
        </is>
      </c>
      <c r="G7" s="40" t="n">
        <v>2000</v>
      </c>
      <c r="H7" s="27" t="n">
        <v>0.1065</v>
      </c>
      <c r="I7" s="26" t="n">
        <v>2033</v>
      </c>
      <c r="J7" s="39">
        <f>I7+Assumptions!$B$25</f>
        <v>2045.0</v>
      </c>
      <c r="K7" s="53">
        <f>Assumptions!$E$13</f>
        <v>0.4</v>
      </c>
      <c r="L7" s="23">
        <f>K7*SUMPRODUCT(M7:AF7,NPV!$C$15:$V$15)</f>
        <v>186.5179507901639</v>
      </c>
      <c r="M7" s="23">
        <f>IF(M$3&lt;$I7,0,$G7*Assumptions!$E$11*INDEX(Assumptions!$B$24:$G$24,MIN(6,M$3-$I7+1))*IF(M$3&gt;$J7,(1-Assumptions!$B$26)^(M$3-$J7),1)*IF($H7&gt;=1,1,MIN(0.97,$H7*Assumptions!$E$12)))</f>
        <v>0</v>
      </c>
      <c r="N7" s="23">
        <f>IF(N$3&lt;$I7,0,$G7*Assumptions!$E$11*INDEX(Assumptions!$B$24:$G$24,MIN(6,N$3-$I7+1))*IF(N$3&gt;$J7,(1-Assumptions!$B$26)^(N$3-$J7),1)*IF($H7&gt;=1,1,MIN(0.97,$H7*Assumptions!$E$12)))</f>
        <v>0</v>
      </c>
      <c r="O7" s="23">
        <f>IF(O$3&lt;$I7,0,$G7*Assumptions!$E$11*INDEX(Assumptions!$B$24:$G$24,MIN(6,O$3-$I7+1))*IF(O$3&gt;$J7,(1-Assumptions!$B$26)^(O$3-$J7),1)*IF($H7&gt;=1,1,MIN(0.97,$H7*Assumptions!$E$12)))</f>
        <v>0</v>
      </c>
      <c r="P7" s="23">
        <f>IF(P$3&lt;$I7,0,$G7*Assumptions!$E$11*INDEX(Assumptions!$B$24:$G$24,MIN(6,P$3-$I7+1))*IF(P$3&gt;$J7,(1-Assumptions!$B$26)^(P$3-$J7),1)*IF($H7&gt;=1,1,MIN(0.97,$H7*Assumptions!$E$12)))</f>
        <v>0</v>
      </c>
      <c r="Q7" s="23">
        <f>IF(Q$3&lt;$I7,0,$G7*Assumptions!$E$11*INDEX(Assumptions!$B$24:$G$24,MIN(6,Q$3-$I7+1))*IF(Q$3&gt;$J7,(1-Assumptions!$B$26)^(Q$3-$J7),1)*IF($H7&gt;=1,1,MIN(0.97,$H7*Assumptions!$E$12)))</f>
        <v>0</v>
      </c>
      <c r="R7" s="23">
        <f>IF(R$3&lt;$I7,0,$G7*Assumptions!$E$11*INDEX(Assumptions!$B$24:$G$24,MIN(6,R$3-$I7+1))*IF(R$3&gt;$J7,(1-Assumptions!$B$26)^(R$3-$J7),1)*IF($H7&gt;=1,1,MIN(0.97,$H7*Assumptions!$E$12)))</f>
        <v>0</v>
      </c>
      <c r="S7" s="23">
        <f>IF(S$3&lt;$I7,0,$G7*Assumptions!$E$11*INDEX(Assumptions!$B$24:$G$24,MIN(6,S$3-$I7+1))*IF(S$3&gt;$J7,(1-Assumptions!$B$26)^(S$3-$J7),1)*IF($H7&gt;=1,1,MIN(0.97,$H7*Assumptions!$E$12)))</f>
        <v>0</v>
      </c>
      <c r="T7" s="23">
        <f>IF(T$3&lt;$I7,0,$G7*Assumptions!$E$11*INDEX(Assumptions!$B$24:$G$24,MIN(6,T$3-$I7+1))*IF(T$3&gt;$J7,(1-Assumptions!$B$26)^(T$3-$J7),1)*IF($H7&gt;=1,1,MIN(0.97,$H7*Assumptions!$E$12)))</f>
        <v>21.3</v>
      </c>
      <c r="U7" s="23">
        <f>IF(U$3&lt;$I7,0,$G7*Assumptions!$E$11*INDEX(Assumptions!$B$24:$G$24,MIN(6,U$3-$I7+1))*IF(U$3&gt;$J7,(1-Assumptions!$B$26)^(U$3-$J7),1)*IF($H7&gt;=1,1,MIN(0.97,$H7*Assumptions!$E$12)))</f>
        <v>53.25</v>
      </c>
      <c r="V7" s="23">
        <f>IF(V$3&lt;$I7,0,$G7*Assumptions!$E$11*INDEX(Assumptions!$B$24:$G$24,MIN(6,V$3-$I7+1))*IF(V$3&gt;$J7,(1-Assumptions!$B$26)^(V$3-$J7),1)*IF($H7&gt;=1,1,MIN(0.97,$H7*Assumptions!$E$12)))</f>
        <v>95.85</v>
      </c>
      <c r="W7" s="23">
        <f>IF(W$3&lt;$I7,0,$G7*Assumptions!$E$11*INDEX(Assumptions!$B$24:$G$24,MIN(6,W$3-$I7+1))*IF(W$3&gt;$J7,(1-Assumptions!$B$26)^(W$3-$J7),1)*IF($H7&gt;=1,1,MIN(0.97,$H7*Assumptions!$E$12)))</f>
        <v>138.45</v>
      </c>
      <c r="X7" s="23">
        <f>IF(X$3&lt;$I7,0,$G7*Assumptions!$E$11*INDEX(Assumptions!$B$24:$G$24,MIN(6,X$3-$I7+1))*IF(X$3&gt;$J7,(1-Assumptions!$B$26)^(X$3-$J7),1)*IF($H7&gt;=1,1,MIN(0.97,$H7*Assumptions!$E$12)))</f>
        <v>181.04999999999998</v>
      </c>
      <c r="Y7" s="23">
        <f>IF(Y$3&lt;$I7,0,$G7*Assumptions!$E$11*INDEX(Assumptions!$B$24:$G$24,MIN(6,Y$3-$I7+1))*IF(Y$3&gt;$J7,(1-Assumptions!$B$26)^(Y$3-$J7),1)*IF($H7&gt;=1,1,MIN(0.97,$H7*Assumptions!$E$12)))</f>
        <v>213.0</v>
      </c>
      <c r="Z7" s="23">
        <f>IF(Z$3&lt;$I7,0,$G7*Assumptions!$E$11*INDEX(Assumptions!$B$24:$G$24,MIN(6,Z$3-$I7+1))*IF(Z$3&gt;$J7,(1-Assumptions!$B$26)^(Z$3-$J7),1)*IF($H7&gt;=1,1,MIN(0.97,$H7*Assumptions!$E$12)))</f>
        <v>213.0</v>
      </c>
      <c r="AA7" s="23">
        <f>IF(AA$3&lt;$I7,0,$G7*Assumptions!$E$11*INDEX(Assumptions!$B$24:$G$24,MIN(6,AA$3-$I7+1))*IF(AA$3&gt;$J7,(1-Assumptions!$B$26)^(AA$3-$J7),1)*IF($H7&gt;=1,1,MIN(0.97,$H7*Assumptions!$E$12)))</f>
        <v>213.0</v>
      </c>
      <c r="AB7" s="23">
        <f>IF(AB$3&lt;$I7,0,$G7*Assumptions!$E$11*INDEX(Assumptions!$B$24:$G$24,MIN(6,AB$3-$I7+1))*IF(AB$3&gt;$J7,(1-Assumptions!$B$26)^(AB$3-$J7),1)*IF($H7&gt;=1,1,MIN(0.97,$H7*Assumptions!$E$12)))</f>
        <v>213.0</v>
      </c>
      <c r="AC7" s="23">
        <f>IF(AC$3&lt;$I7,0,$G7*Assumptions!$E$11*INDEX(Assumptions!$B$24:$G$24,MIN(6,AC$3-$I7+1))*IF(AC$3&gt;$J7,(1-Assumptions!$B$26)^(AC$3-$J7),1)*IF($H7&gt;=1,1,MIN(0.97,$H7*Assumptions!$E$12)))</f>
        <v>213.0</v>
      </c>
      <c r="AD7" s="23">
        <f>IF(AD$3&lt;$I7,0,$G7*Assumptions!$E$11*INDEX(Assumptions!$B$24:$G$24,MIN(6,AD$3-$I7+1))*IF(AD$3&gt;$J7,(1-Assumptions!$B$26)^(AD$3-$J7),1)*IF($H7&gt;=1,1,MIN(0.97,$H7*Assumptions!$E$12)))</f>
        <v>213.0</v>
      </c>
      <c r="AE7" s="23">
        <f>IF(AE$3&lt;$I7,0,$G7*Assumptions!$E$11*INDEX(Assumptions!$B$24:$G$24,MIN(6,AE$3-$I7+1))*IF(AE$3&gt;$J7,(1-Assumptions!$B$26)^(AE$3-$J7),1)*IF($H7&gt;=1,1,MIN(0.97,$H7*Assumptions!$E$12)))</f>
        <v>213.0</v>
      </c>
      <c r="AF7" s="23">
        <f>IF(AF$3&lt;$I7,0,$G7*Assumptions!$E$11*INDEX(Assumptions!$B$24:$G$24,MIN(6,AF$3-$I7+1))*IF(AF$3&gt;$J7,(1-Assumptions!$B$26)^(AF$3-$J7),1)*IF($H7&gt;=1,1,MIN(0.97,$H7*Assumptions!$E$12)))</f>
        <v>213.0</v>
      </c>
      <c r="AG7" s="35">
        <f>IF(F7="Owned",1-IF(H7&gt;=1,1,MIN(0.97,H7*Assumptions!$E$12)),1)</f>
        <v>0.8935</v>
      </c>
    </row>
    <row r="8">
      <c r="B8" s="24" t="inlineStr">
        <is>
          <t>Risked revenue</t>
        </is>
      </c>
      <c r="L8" s="54">
        <f>SUM(L4:L7)</f>
        <v>3185.2094329632596</v>
      </c>
      <c r="M8" s="54">
        <f>SUM(M4:M7)</f>
        <v>0.0</v>
      </c>
      <c r="N8" s="54">
        <f>SUM(N4:N7)</f>
        <v>74.88000000000001</v>
      </c>
      <c r="O8" s="54">
        <f>SUM(O4:O7)</f>
        <v>187.20000000000002</v>
      </c>
      <c r="P8" s="54">
        <f>SUM(P4:P7)</f>
        <v>429.04</v>
      </c>
      <c r="Q8" s="54">
        <f>SUM(Q4:Q7)</f>
        <v>716.9200000000001</v>
      </c>
      <c r="R8" s="54">
        <f>SUM(R4:R7)</f>
        <v>1079.7749999999999</v>
      </c>
      <c r="S8" s="54">
        <f>SUM(S4:S7)</f>
        <v>1419.6575000000003</v>
      </c>
      <c r="T8" s="54">
        <f>SUM(T4:T7)</f>
        <v>1682.9875</v>
      </c>
      <c r="U8" s="54">
        <f>SUM(U4:U7)</f>
        <v>1910.9274999999998</v>
      </c>
      <c r="V8" s="54">
        <f>SUM(V4:V7)</f>
        <v>2011.3974999999998</v>
      </c>
      <c r="W8" s="54">
        <f>SUM(W4:W7)</f>
        <v>2097.3999999999996</v>
      </c>
      <c r="X8" s="54">
        <f>SUM(X4:X7)</f>
        <v>2140.0</v>
      </c>
      <c r="Y8" s="54">
        <f>SUM(Y4:Y7)</f>
        <v>2171.95</v>
      </c>
      <c r="Z8" s="54">
        <f>SUM(Z4:Z7)</f>
        <v>2171.95</v>
      </c>
      <c r="AA8" s="54">
        <f>SUM(AA4:AA7)</f>
        <v>1797.55</v>
      </c>
      <c r="AB8" s="54">
        <f>SUM(AB4:AB7)</f>
        <v>1610.35</v>
      </c>
      <c r="AC8" s="54">
        <f>SUM(AC4:AC7)</f>
        <v>1056.35</v>
      </c>
      <c r="AD8" s="54">
        <f>SUM(AD4:AD7)</f>
        <v>779.3499999999999</v>
      </c>
      <c r="AE8" s="54">
        <f>SUM(AE4:AE7)</f>
        <v>496.17499999999995</v>
      </c>
      <c r="AF8" s="54">
        <f>SUM(AF4:AF7)</f>
        <v>354.5875</v>
      </c>
    </row>
    <row r="9">
      <c r="B9" s="24" t="inlineStr">
        <is>
          <t>Risked contribution (revenue x share)</t>
        </is>
      </c>
      <c r="M9" s="55">
        <f>SUMPRODUCT(M4:M7,$K$4:$K$7)</f>
        <v>0.0</v>
      </c>
      <c r="N9" s="55">
        <f>SUMPRODUCT(N4:N7,$K$4:$K$7)</f>
        <v>29.952000000000005</v>
      </c>
      <c r="O9" s="55">
        <f>SUMPRODUCT(O4:O7,$K$4:$K$7)</f>
        <v>74.88000000000001</v>
      </c>
      <c r="P9" s="55">
        <f>SUMPRODUCT(P4:P7,$K$4:$K$7)</f>
        <v>171.616</v>
      </c>
      <c r="Q9" s="55">
        <f>SUMPRODUCT(Q4:Q7,$K$4:$K$7)</f>
        <v>286.76800000000003</v>
      </c>
      <c r="R9" s="55">
        <f>SUMPRODUCT(R4:R7,$K$4:$K$7)</f>
        <v>431.91</v>
      </c>
      <c r="S9" s="55">
        <f>SUMPRODUCT(S4:S7,$K$4:$K$7)</f>
        <v>567.863</v>
      </c>
      <c r="T9" s="55">
        <f>SUMPRODUCT(T4:T7,$K$4:$K$7)</f>
        <v>673.195</v>
      </c>
      <c r="U9" s="55">
        <f>SUMPRODUCT(U4:U7,$K$4:$K$7)</f>
        <v>764.371</v>
      </c>
      <c r="V9" s="55">
        <f>SUMPRODUCT(V4:V7,$K$4:$K$7)</f>
        <v>804.5590000000001</v>
      </c>
      <c r="W9" s="55">
        <f>SUMPRODUCT(W4:W7,$K$4:$K$7)</f>
        <v>838.96</v>
      </c>
      <c r="X9" s="55">
        <f>SUMPRODUCT(X4:X7,$K$4:$K$7)</f>
        <v>856.0</v>
      </c>
      <c r="Y9" s="55">
        <f>SUMPRODUCT(Y4:Y7,$K$4:$K$7)</f>
        <v>868.7800000000001</v>
      </c>
      <c r="Z9" s="55">
        <f>SUMPRODUCT(Z4:Z7,$K$4:$K$7)</f>
        <v>868.7800000000001</v>
      </c>
      <c r="AA9" s="55">
        <f>SUMPRODUCT(AA4:AA7,$K$4:$K$7)</f>
        <v>719.0200000000001</v>
      </c>
      <c r="AB9" s="55">
        <f>SUMPRODUCT(AB4:AB7,$K$4:$K$7)</f>
        <v>644.14</v>
      </c>
      <c r="AC9" s="55">
        <f>SUMPRODUCT(AC4:AC7,$K$4:$K$7)</f>
        <v>422.53999999999996</v>
      </c>
      <c r="AD9" s="55">
        <f>SUMPRODUCT(AD4:AD7,$K$4:$K$7)</f>
        <v>311.74</v>
      </c>
      <c r="AE9" s="55">
        <f>SUMPRODUCT(AE4:AE7,$K$4:$K$7)</f>
        <v>198.47</v>
      </c>
      <c r="AF9" s="55">
        <f>SUMPRODUCT(AF4:AF7,$K$4:$K$7)</f>
        <v>141.835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Zenas BioPharma, Inc.: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Pipeline!M8</f>
        <v>0.0</v>
      </c>
      <c r="D4" s="57">
        <f>Pipeline!N8</f>
        <v>74.88000000000001</v>
      </c>
      <c r="E4" s="57">
        <f>Pipeline!O8</f>
        <v>187.20000000000002</v>
      </c>
      <c r="F4" s="57">
        <f>Pipeline!P8</f>
        <v>429.04</v>
      </c>
      <c r="G4" s="57">
        <f>Pipeline!Q8</f>
        <v>716.9200000000001</v>
      </c>
      <c r="H4" s="57">
        <f>Pipeline!R8</f>
        <v>1079.7749999999999</v>
      </c>
      <c r="I4" s="57">
        <f>Pipeline!S8</f>
        <v>1419.6575000000003</v>
      </c>
      <c r="J4" s="57">
        <f>Pipeline!T8</f>
        <v>1682.9875</v>
      </c>
      <c r="K4" s="57">
        <f>Pipeline!U8</f>
        <v>1910.9274999999998</v>
      </c>
      <c r="L4" s="57">
        <f>Pipeline!V8</f>
        <v>2011.3974999999998</v>
      </c>
      <c r="M4" s="57">
        <f>Pipeline!W8</f>
        <v>2097.3999999999996</v>
      </c>
      <c r="N4" s="57">
        <f>Pipeline!X8</f>
        <v>2140.0</v>
      </c>
      <c r="O4" s="57">
        <f>Pipeline!Y8</f>
        <v>2171.95</v>
      </c>
      <c r="P4" s="57">
        <f>Pipeline!Z8</f>
        <v>2171.95</v>
      </c>
      <c r="Q4" s="57">
        <f>Pipeline!AA8</f>
        <v>1797.55</v>
      </c>
      <c r="R4" s="57">
        <f>Pipeline!AB8</f>
        <v>1610.35</v>
      </c>
      <c r="S4" s="57">
        <f>Pipeline!AC8</f>
        <v>1056.35</v>
      </c>
      <c r="T4" s="57">
        <f>Pipeline!AD8</f>
        <v>779.3499999999999</v>
      </c>
      <c r="U4" s="57">
        <f>Pipeline!AE8</f>
        <v>496.17499999999995</v>
      </c>
      <c r="V4" s="57">
        <f>Pipeline!AF8</f>
        <v>354.5875</v>
      </c>
    </row>
    <row r="5">
      <c r="A5" s="14" t="inlineStr">
        <is>
          <t>Risked contribution</t>
        </is>
      </c>
      <c r="C5" s="57">
        <f>Pipeline!M9</f>
        <v>0.0</v>
      </c>
      <c r="D5" s="57">
        <f>Pipeline!N9</f>
        <v>29.952000000000005</v>
      </c>
      <c r="E5" s="57">
        <f>Pipeline!O9</f>
        <v>74.88000000000001</v>
      </c>
      <c r="F5" s="57">
        <f>Pipeline!P9</f>
        <v>171.616</v>
      </c>
      <c r="G5" s="57">
        <f>Pipeline!Q9</f>
        <v>286.76800000000003</v>
      </c>
      <c r="H5" s="57">
        <f>Pipeline!R9</f>
        <v>431.91</v>
      </c>
      <c r="I5" s="57">
        <f>Pipeline!S9</f>
        <v>567.863</v>
      </c>
      <c r="J5" s="57">
        <f>Pipeline!T9</f>
        <v>673.195</v>
      </c>
      <c r="K5" s="57">
        <f>Pipeline!U9</f>
        <v>764.371</v>
      </c>
      <c r="L5" s="57">
        <f>Pipeline!V9</f>
        <v>804.5590000000001</v>
      </c>
      <c r="M5" s="57">
        <f>Pipeline!W9</f>
        <v>838.96</v>
      </c>
      <c r="N5" s="57">
        <f>Pipeline!X9</f>
        <v>856.0</v>
      </c>
      <c r="O5" s="57">
        <f>Pipeline!Y9</f>
        <v>868.7800000000001</v>
      </c>
      <c r="P5" s="57">
        <f>Pipeline!Z9</f>
        <v>868.7800000000001</v>
      </c>
      <c r="Q5" s="57">
        <f>Pipeline!AA9</f>
        <v>719.0200000000001</v>
      </c>
      <c r="R5" s="57">
        <f>Pipeline!AB9</f>
        <v>644.14</v>
      </c>
      <c r="S5" s="57">
        <f>Pipeline!AC9</f>
        <v>422.53999999999996</v>
      </c>
      <c r="T5" s="57">
        <f>Pipeline!AD9</f>
        <v>311.74</v>
      </c>
      <c r="U5" s="57">
        <f>Pipeline!AE9</f>
        <v>198.47</v>
      </c>
      <c r="V5" s="57">
        <f>Pipeline!AF9</f>
        <v>141.835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-475.573</v>
      </c>
      <c r="D6" s="23">
        <f>-IF(D3-2026&lt;Assumptions!$B$19,Assumptions!$B$18,Assumptions!$B$18*Assumptions!$B$20*Assumptions!$B$16)</f>
        <v>-139.11876045624197</v>
      </c>
      <c r="E6" s="23">
        <f>-IF(E3-2026&lt;Assumptions!$B$19,Assumptions!$B$18,Assumptions!$B$18*Assumptions!$B$20*Assumptions!$B$16)</f>
        <v>-139.11876045624197</v>
      </c>
      <c r="F6" s="23">
        <f>-IF(F3-2026&lt;Assumptions!$B$19,Assumptions!$B$18,Assumptions!$B$18*Assumptions!$B$20*Assumptions!$B$16)</f>
        <v>-139.11876045624197</v>
      </c>
      <c r="G6" s="23">
        <f>-IF(G3-2026&lt;Assumptions!$B$19,Assumptions!$B$18,Assumptions!$B$18*Assumptions!$B$20*Assumptions!$B$16)</f>
        <v>-139.11876045624197</v>
      </c>
      <c r="H6" s="23">
        <f>-IF(H3-2026&lt;Assumptions!$B$19,Assumptions!$B$18,Assumptions!$B$18*Assumptions!$B$20*Assumptions!$B$16)</f>
        <v>-139.11876045624197</v>
      </c>
      <c r="I6" s="23">
        <f>-IF(I3-2026&lt;Assumptions!$B$19,Assumptions!$B$18,Assumptions!$B$18*Assumptions!$B$20*Assumptions!$B$16)</f>
        <v>-139.11876045624197</v>
      </c>
      <c r="J6" s="23">
        <f>-IF(J3-2026&lt;Assumptions!$B$19,Assumptions!$B$18,Assumptions!$B$18*Assumptions!$B$20*Assumptions!$B$16)</f>
        <v>-139.11876045624197</v>
      </c>
      <c r="K6" s="23">
        <f>-IF(K3-2026&lt;Assumptions!$B$19,Assumptions!$B$18,Assumptions!$B$18*Assumptions!$B$20*Assumptions!$B$16)</f>
        <v>-139.11876045624197</v>
      </c>
      <c r="L6" s="23">
        <f>-IF(L3-2026&lt;Assumptions!$B$19,Assumptions!$B$18,Assumptions!$B$18*Assumptions!$B$20*Assumptions!$B$16)</f>
        <v>-139.11876045624197</v>
      </c>
      <c r="M6" s="23">
        <f>-IF(M3-2026&lt;Assumptions!$B$19,Assumptions!$B$18,Assumptions!$B$18*Assumptions!$B$20*Assumptions!$B$16)</f>
        <v>-139.11876045624197</v>
      </c>
      <c r="N6" s="23">
        <f>-IF(N3-2026&lt;Assumptions!$B$19,Assumptions!$B$18,Assumptions!$B$18*Assumptions!$B$20*Assumptions!$B$16)</f>
        <v>-139.11876045624197</v>
      </c>
      <c r="O6" s="23">
        <f>-IF(O3-2026&lt;Assumptions!$B$19,Assumptions!$B$18,Assumptions!$B$18*Assumptions!$B$20*Assumptions!$B$16)</f>
        <v>-139.11876045624197</v>
      </c>
      <c r="P6" s="23">
        <f>-IF(P3-2026&lt;Assumptions!$B$19,Assumptions!$B$18,Assumptions!$B$18*Assumptions!$B$20*Assumptions!$B$16)</f>
        <v>-139.11876045624197</v>
      </c>
      <c r="Q6" s="23">
        <f>-IF(Q3-2026&lt;Assumptions!$B$19,Assumptions!$B$18,Assumptions!$B$18*Assumptions!$B$20*Assumptions!$B$16)</f>
        <v>-139.11876045624197</v>
      </c>
      <c r="R6" s="23">
        <f>-IF(R3-2026&lt;Assumptions!$B$19,Assumptions!$B$18,Assumptions!$B$18*Assumptions!$B$20*Assumptions!$B$16)</f>
        <v>-139.11876045624197</v>
      </c>
      <c r="S6" s="23">
        <f>-IF(S3-2026&lt;Assumptions!$B$19,Assumptions!$B$18,Assumptions!$B$18*Assumptions!$B$20*Assumptions!$B$16)</f>
        <v>-139.11876045624197</v>
      </c>
      <c r="T6" s="23">
        <f>-IF(T3-2026&lt;Assumptions!$B$19,Assumptions!$B$18,Assumptions!$B$18*Assumptions!$B$20*Assumptions!$B$16)</f>
        <v>-139.11876045624197</v>
      </c>
      <c r="U6" s="23">
        <f>-IF(U3-2026&lt;Assumptions!$B$19,Assumptions!$B$18,Assumptions!$B$18*Assumptions!$B$20*Assumptions!$B$16)</f>
        <v>-139.11876045624197</v>
      </c>
      <c r="V6" s="23">
        <f>-IF(V3-2026&lt;Assumptions!$B$19,Assumptions!$B$18,Assumptions!$B$18*Assumptions!$B$20*Assumptions!$B$16)</f>
        <v>-139.11876045624197</v>
      </c>
    </row>
    <row r="7">
      <c r="A7" s="14" t="inlineStr">
        <is>
          <t>Pre-tax cash flow</t>
        </is>
      </c>
      <c r="C7" s="23">
        <f>C5+C6</f>
        <v>-475.573</v>
      </c>
      <c r="D7" s="23">
        <f>D5+D6</f>
        <v>-109.16676045624197</v>
      </c>
      <c r="E7" s="23">
        <f>E5+E6</f>
        <v>-64.23876045624196</v>
      </c>
      <c r="F7" s="23">
        <f>F5+F6</f>
        <v>32.49723954375804</v>
      </c>
      <c r="G7" s="23">
        <f>G5+G6</f>
        <v>147.64923954375806</v>
      </c>
      <c r="H7" s="23">
        <f>H5+H6</f>
        <v>292.791239543758</v>
      </c>
      <c r="I7" s="23">
        <f>I5+I6</f>
        <v>428.7442395437581</v>
      </c>
      <c r="J7" s="23">
        <f>J5+J6</f>
        <v>534.0762395437581</v>
      </c>
      <c r="K7" s="23">
        <f>K5+K6</f>
        <v>625.252239543758</v>
      </c>
      <c r="L7" s="23">
        <f>L5+L6</f>
        <v>665.4402395437581</v>
      </c>
      <c r="M7" s="23">
        <f>M5+M6</f>
        <v>699.8412395437581</v>
      </c>
      <c r="N7" s="23">
        <f>N5+N6</f>
        <v>716.881239543758</v>
      </c>
      <c r="O7" s="23">
        <f>O5+O6</f>
        <v>729.6612395437581</v>
      </c>
      <c r="P7" s="23">
        <f>P5+P6</f>
        <v>729.6612395437581</v>
      </c>
      <c r="Q7" s="23">
        <f>Q5+Q6</f>
        <v>579.9012395437582</v>
      </c>
      <c r="R7" s="23">
        <f>R5+R6</f>
        <v>505.02123954375804</v>
      </c>
      <c r="S7" s="23">
        <f>S5+S6</f>
        <v>283.421239543758</v>
      </c>
      <c r="T7" s="23">
        <f>T5+T6</f>
        <v>172.62123954375804</v>
      </c>
      <c r="U7" s="23">
        <f>U5+U6</f>
        <v>59.35123954375803</v>
      </c>
      <c r="V7" s="23">
        <f>V5+V6</f>
        <v>2.716239543758036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32.49723954375804</v>
      </c>
      <c r="G8" s="23">
        <f>MIN(F17,MAX(0,G7))</f>
        <v>147.64923954375806</v>
      </c>
      <c r="H8" s="23">
        <f>MIN(G17,MAX(0,H7))</f>
        <v>292.791239543758</v>
      </c>
      <c r="I8" s="23">
        <f>MIN(H17,MAX(0,I7))</f>
        <v>428.7442395437581</v>
      </c>
      <c r="J8" s="23">
        <f>MIN(I17,MAX(0,J7))</f>
        <v>319.0965627374518</v>
      </c>
      <c r="K8" s="23">
        <f>MIN(J17,MAX(0,K7))</f>
        <v>0.0</v>
      </c>
      <c r="L8" s="23">
        <f>MIN(K17,MAX(0,L7))</f>
        <v>0.0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214.97967680630632</v>
      </c>
      <c r="K9" s="23">
        <f>MAX(0,K7)-K8</f>
        <v>625.252239543758</v>
      </c>
      <c r="L9" s="23">
        <f>MAX(0,L7)-L8</f>
        <v>665.4402395437581</v>
      </c>
      <c r="M9" s="23">
        <f>MAX(0,M7)-M8</f>
        <v>699.8412395437581</v>
      </c>
      <c r="N9" s="23">
        <f>MAX(0,N7)-N8</f>
        <v>716.881239543758</v>
      </c>
      <c r="O9" s="23">
        <f>MAX(0,O7)-O8</f>
        <v>729.6612395437581</v>
      </c>
      <c r="P9" s="23">
        <f>MAX(0,P7)-P8</f>
        <v>729.6612395437581</v>
      </c>
      <c r="Q9" s="23">
        <f>MAX(0,Q7)-Q8</f>
        <v>579.9012395437582</v>
      </c>
      <c r="R9" s="23">
        <f>MAX(0,R7)-R8</f>
        <v>505.02123954375804</v>
      </c>
      <c r="S9" s="23">
        <f>MAX(0,S7)-S8</f>
        <v>283.421239543758</v>
      </c>
      <c r="T9" s="23">
        <f>MAX(0,T7)-T8</f>
        <v>172.62123954375804</v>
      </c>
      <c r="U9" s="23">
        <f>MAX(0,U7)-U8</f>
        <v>59.35123954375803</v>
      </c>
      <c r="V9" s="23">
        <f>MAX(0,V7)-V8</f>
        <v>2.716239543758036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45.14573212932432</v>
      </c>
      <c r="K10" s="23">
        <f>K9*Assumptions!$E$15</f>
        <v>131.3029703041892</v>
      </c>
      <c r="L10" s="23">
        <f>L9*Assumptions!$E$15</f>
        <v>139.7424503041892</v>
      </c>
      <c r="M10" s="23">
        <f>M9*Assumptions!$E$15</f>
        <v>146.9666603041892</v>
      </c>
      <c r="N10" s="23">
        <f>N9*Assumptions!$E$15</f>
        <v>150.54506030418918</v>
      </c>
      <c r="O10" s="23">
        <f>O9*Assumptions!$E$15</f>
        <v>153.2288603041892</v>
      </c>
      <c r="P10" s="23">
        <f>P9*Assumptions!$E$15</f>
        <v>153.2288603041892</v>
      </c>
      <c r="Q10" s="23">
        <f>Q9*Assumptions!$E$15</f>
        <v>121.77926030418921</v>
      </c>
      <c r="R10" s="23">
        <f>R9*Assumptions!$E$15</f>
        <v>106.05446030418919</v>
      </c>
      <c r="S10" s="23">
        <f>S9*Assumptions!$E$15</f>
        <v>59.51846030418918</v>
      </c>
      <c r="T10" s="23">
        <f>T9*Assumptions!$E$15</f>
        <v>36.25046030418919</v>
      </c>
      <c r="U10" s="23">
        <f>U9*Assumptions!$E$15</f>
        <v>12.463760304189185</v>
      </c>
      <c r="V10" s="23">
        <f>V9*Assumptions!$E$15</f>
        <v>0.5704103041891875</v>
      </c>
    </row>
    <row r="11">
      <c r="A11" s="24" t="inlineStr">
        <is>
          <t>Free cash flow</t>
        </is>
      </c>
      <c r="C11" s="55">
        <f>C7-C10</f>
        <v>-475.573</v>
      </c>
      <c r="D11" s="55">
        <f>D7-D10</f>
        <v>-109.16676045624197</v>
      </c>
      <c r="E11" s="55">
        <f>E7-E10</f>
        <v>-64.23876045624196</v>
      </c>
      <c r="F11" s="55">
        <f>F7-F10</f>
        <v>32.49723954375804</v>
      </c>
      <c r="G11" s="55">
        <f>G7-G10</f>
        <v>147.64923954375806</v>
      </c>
      <c r="H11" s="55">
        <f>H7-H10</f>
        <v>292.791239543758</v>
      </c>
      <c r="I11" s="55">
        <f>I7-I10</f>
        <v>428.7442395437581</v>
      </c>
      <c r="J11" s="55">
        <f>J7-J10</f>
        <v>488.9305074144338</v>
      </c>
      <c r="K11" s="55">
        <f>K7-K10</f>
        <v>493.9492692395688</v>
      </c>
      <c r="L11" s="55">
        <f>L7-L10</f>
        <v>525.6977892395689</v>
      </c>
      <c r="M11" s="55">
        <f>M7-M10</f>
        <v>552.8745792395689</v>
      </c>
      <c r="N11" s="55">
        <f>N7-N10</f>
        <v>566.3361792395689</v>
      </c>
      <c r="O11" s="55">
        <f>O7-O10</f>
        <v>576.432379239569</v>
      </c>
      <c r="P11" s="55">
        <f>P7-P10</f>
        <v>576.432379239569</v>
      </c>
      <c r="Q11" s="55">
        <f>Q7-Q10</f>
        <v>458.12197923956893</v>
      </c>
      <c r="R11" s="55">
        <f>R7-R10</f>
        <v>398.96677923956884</v>
      </c>
      <c r="S11" s="55">
        <f>S7-S10</f>
        <v>223.90277923956884</v>
      </c>
      <c r="T11" s="55">
        <f>T7-T10</f>
        <v>136.37077923956883</v>
      </c>
      <c r="U11" s="55">
        <f>U7-U10</f>
        <v>46.88747923956884</v>
      </c>
      <c r="V11" s="55">
        <f>V7-V10</f>
        <v>2.1458292395688483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-232.98528097394947</v>
      </c>
      <c r="D16" s="55">
        <f>D11*D15</f>
        <v>-97.42504300403199</v>
      </c>
      <c r="E16" s="55">
        <f>E11*E15</f>
        <v>-51.186957113487644</v>
      </c>
      <c r="F16" s="55">
        <f>F11*F15</f>
        <v>23.12014799802679</v>
      </c>
      <c r="G16" s="55">
        <f>G11*G15</f>
        <v>93.79017148768766</v>
      </c>
      <c r="H16" s="55">
        <f>H11*H15</f>
        <v>166.06043492331824</v>
      </c>
      <c r="I16" s="55">
        <f>I11*I15</f>
        <v>217.11426971107238</v>
      </c>
      <c r="J16" s="55">
        <f>J11*J15</f>
        <v>221.06459038233305</v>
      </c>
      <c r="K16" s="55">
        <f>K11*K15</f>
        <v>199.4051506630371</v>
      </c>
      <c r="L16" s="55">
        <f>L11*L15</f>
        <v>189.48382924439412</v>
      </c>
      <c r="M16" s="55">
        <f>M11*M15</f>
        <v>177.92812461858523</v>
      </c>
      <c r="N16" s="55">
        <f>N11*N15</f>
        <v>162.73248758714195</v>
      </c>
      <c r="O16" s="55">
        <f>O11*O15</f>
        <v>147.88710316235597</v>
      </c>
      <c r="P16" s="55">
        <f>P11*P15</f>
        <v>132.04205639496067</v>
      </c>
      <c r="Q16" s="55">
        <f>Q11*Q15</f>
        <v>93.69728721061679</v>
      </c>
      <c r="R16" s="55">
        <f>R11*R15</f>
        <v>72.85587875985001</v>
      </c>
      <c r="S16" s="55">
        <f>S11*S15</f>
        <v>36.50642687541238</v>
      </c>
      <c r="T16" s="55">
        <f>T11*T15</f>
        <v>19.85240574837994</v>
      </c>
      <c r="U16" s="55">
        <f>U11*U15</f>
        <v>6.094396177342197</v>
      </c>
      <c r="V16" s="55">
        <f>V11*V15</f>
        <v>0.24902957887828578</v>
      </c>
    </row>
    <row r="17">
      <c r="A17" s="14" t="inlineStr">
        <is>
          <t>Tax-loss carryforward, end of year</t>
        </is>
      </c>
      <c r="C17" s="23">
        <f>Assumptions!$B$21-C8+MAX(0,-C7)</f>
        <v>1047.373</v>
      </c>
      <c r="D17" s="23">
        <f>C17-D8+MAX(0,-D7)</f>
        <v>1156.539760456242</v>
      </c>
      <c r="E17" s="23">
        <f>D17-E8+MAX(0,-E7)</f>
        <v>1220.778520912484</v>
      </c>
      <c r="F17" s="23">
        <f>E17-F8+MAX(0,-F7)</f>
        <v>1188.281281368726</v>
      </c>
      <c r="G17" s="23">
        <f>F17-G8+MAX(0,-G7)</f>
        <v>1040.632041824968</v>
      </c>
      <c r="H17" s="23">
        <f>G17-H8+MAX(0,-H7)</f>
        <v>747.8408022812099</v>
      </c>
      <c r="I17" s="23">
        <f>H17-I8+MAX(0,-I7)</f>
        <v>319.0965627374518</v>
      </c>
      <c r="J17" s="23">
        <f>I17-J8+MAX(0,-J7)</f>
        <v>0.0</v>
      </c>
      <c r="K17" s="23">
        <f>J17-K8+MAX(0,-K7)</f>
        <v>0.0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3185.209432963259</v>
      </c>
    </row>
    <row r="20">
      <c r="A20" s="14" t="inlineStr">
        <is>
          <t>PV of corporate burn</t>
        </is>
      </c>
      <c r="B20" s="23">
        <f>SUMPRODUCT(C6:V6,C15:V15)</f>
        <v>-1257.2270053779002</v>
      </c>
    </row>
    <row r="21">
      <c r="A21" s="14" t="inlineStr">
        <is>
          <t>PV of taxes</t>
        </is>
      </c>
      <c r="B21" s="23">
        <f>-SUMPRODUCT(C10:V10,C15:V15)</f>
        <v>-349.6959181534356</v>
      </c>
    </row>
    <row r="22">
      <c r="A22" s="24" t="inlineStr">
        <is>
          <t>Pipeline rNPV (operations)</t>
        </is>
      </c>
      <c r="B22" s="54">
        <f>SUM(C16:V16)</f>
        <v>1578.2865094319234</v>
      </c>
    </row>
    <row r="23">
      <c r="A23" s="14" t="inlineStr">
        <is>
          <t>Cash &amp; investments</t>
        </is>
      </c>
      <c r="B23" s="57">
        <f>Main!C7</f>
        <v>673.9</v>
      </c>
    </row>
    <row r="24">
      <c r="A24" s="14" t="inlineStr">
        <is>
          <t>Debt</t>
        </is>
      </c>
      <c r="B24" s="57">
        <f>Main!C8</f>
        <v>297.01599999999996</v>
      </c>
    </row>
    <row r="25">
      <c r="A25" s="24" t="inlineStr">
        <is>
          <t>Equity value</t>
        </is>
      </c>
      <c r="B25" s="54">
        <f>B22+B23-B24</f>
        <v>1955.1705094319232</v>
      </c>
    </row>
    <row r="26">
      <c r="A26" s="14" t="inlineStr">
        <is>
          <t>Shares (mm)</t>
        </is>
      </c>
      <c r="B26" s="57">
        <f>Main!C4</f>
        <v>65.176723</v>
      </c>
    </row>
    <row r="27">
      <c r="A27" s="24" t="inlineStr">
        <is>
          <t>rNPV / share</t>
        </is>
      </c>
      <c r="B27" s="60">
        <f>B25/B26</f>
        <v>29.99798730954797</v>
      </c>
    </row>
    <row r="28">
      <c r="A28" s="14" t="inlineStr">
        <is>
          <t>Price</t>
        </is>
      </c>
      <c r="B28" s="61">
        <f>Main!C3</f>
        <v>28.18</v>
      </c>
    </row>
    <row r="29">
      <c r="A29" s="14" t="inlineStr">
        <is>
          <t>Upside</t>
        </is>
      </c>
      <c r="B29" s="62">
        <f>B27/B28-1</f>
        <v>0.06451338926713879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2026-10-21T06:22:55Z</dcterms:modified>
  <cp:lastModifiedBy>Wang, Eric</cp:lastModifiedBy>
</cp:coreProperties>
</file>