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Cartesian Therapeutics, Inc.</t>
        </is>
      </c>
      <c r="C2" s="10" t="n"/>
    </row>
    <row r="3">
      <c r="B3" t="inlineStr">
        <is>
          <t>Price</t>
        </is>
      </c>
      <c r="C3" s="11">
        <f>INDEX([1]Pharma!$F$1:$F$1000,MATCH("RNAC",[1]Pharma!$B$1:$B$1000,0))</f>
        <v>6.395</v>
      </c>
      <c r="F3" s="1" t="n"/>
    </row>
    <row r="4">
      <c r="B4" t="inlineStr">
        <is>
          <t>Shares</t>
        </is>
      </c>
      <c r="C4" s="21" t="n">
        <v>30.255352</v>
      </c>
      <c r="F4" s="1" t="n"/>
    </row>
    <row r="5">
      <c r="B5" t="inlineStr">
        <is>
          <t>Market Cap.</t>
        </is>
      </c>
      <c r="C5" s="13">
        <f>C3*C4</f>
        <v>193.48297603999998</v>
      </c>
      <c r="F5" s="1" t="n"/>
    </row>
    <row r="6"/>
    <row r="7">
      <c r="B7" t="inlineStr">
        <is>
          <t>Cash</t>
        </is>
      </c>
      <c r="C7" s="21" t="n">
        <v>147.606</v>
      </c>
    </row>
    <row r="8">
      <c r="B8" t="inlineStr">
        <is>
          <t>Debt</t>
        </is>
      </c>
      <c r="C8" s="21" t="n">
        <v>52.851</v>
      </c>
    </row>
    <row r="9">
      <c r="B9" t="inlineStr">
        <is>
          <t>Enterprise V.</t>
        </is>
      </c>
      <c r="C9" s="13">
        <f>C5-C7+C8</f>
        <v>98.72797603999999</v>
      </c>
    </row>
    <row r="10"/>
    <row r="11">
      <c r="B11" s="14" t="inlineStr">
        <is>
          <t>Net Cash / Share</t>
        </is>
      </c>
      <c r="C11" s="11">
        <f>(C7-C8)/C4</f>
        <v>3.1318425910232346</v>
      </c>
    </row>
    <row r="12">
      <c r="B12" s="14" t="inlineStr">
        <is>
          <t>Upside</t>
        </is>
      </c>
      <c r="C12" s="15">
        <f>IFERROR(C11/C3-1,"")</f>
        <v>-0.5102669912395255</v>
      </c>
    </row>
    <row r="13">
      <c r="B13" s="14" t="inlineStr">
        <is>
          <t>Cash / Share</t>
        </is>
      </c>
      <c r="C13" s="11">
        <f>IFERROR((C7-C8)/C4,"")</f>
        <v>3.1318425910232346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-76.529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1.2381580838636335</v>
      </c>
    </row>
    <row r="19">
      <c r="B19" s="14" t="inlineStr">
        <is>
          <t>Implied Pipeline Value</t>
        </is>
      </c>
      <c r="C19" s="13">
        <f>C9</f>
        <v>98.72797603999999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3.04</v>
      </c>
      <c r="C2" s="23" t="n">
        <v>6.011</v>
      </c>
      <c r="D2" s="23" t="n">
        <v>8.083</v>
      </c>
      <c r="E2" s="23" t="n">
        <v>0.207</v>
      </c>
      <c r="F2" s="23" t="n">
        <v>0.903</v>
      </c>
      <c r="G2" s="23" t="n">
        <v>6.677</v>
      </c>
      <c r="H2" s="23" t="n">
        <v>16.597</v>
      </c>
      <c r="I2" s="23" t="n">
        <v>85.077</v>
      </c>
      <c r="J2" s="23" t="n">
        <v>110.777</v>
      </c>
      <c r="K2" s="23" t="n">
        <v>26.004</v>
      </c>
      <c r="L2" s="23" t="n">
        <v>38.913</v>
      </c>
      <c r="M2" s="23" t="n">
        <v>2.797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3.04</v>
      </c>
      <c r="C4" s="23">
        <f>C2-C3</f>
        <v>6.011</v>
      </c>
      <c r="D4" s="23">
        <f>D2-D3</f>
        <v>8.083</v>
      </c>
      <c r="E4" s="23">
        <f>E2-E3</f>
        <v>0.207</v>
      </c>
      <c r="F4" s="23">
        <f>F2-F3</f>
        <v>0.903</v>
      </c>
      <c r="G4" s="23">
        <f>G2-G3</f>
        <v>6.677</v>
      </c>
      <c r="H4" s="23">
        <f>H2-H3</f>
        <v>16.597</v>
      </c>
      <c r="I4" s="23">
        <f>I2-I3</f>
        <v>85.077</v>
      </c>
      <c r="J4" s="23">
        <f>J2-J3</f>
        <v>110.777</v>
      </c>
      <c r="K4" s="23">
        <f>K2-K3</f>
        <v>26.004</v>
      </c>
      <c r="L4" s="23">
        <f>L2-L3</f>
        <v>38.913</v>
      </c>
      <c r="M4" s="23">
        <f>M2-M3</f>
        <v>2.797</v>
      </c>
    </row>
    <row r="5">
      <c r="A5" s="2" t="inlineStr">
        <is>
          <t>Research &amp; Dev.</t>
        </is>
      </c>
      <c r="B5" s="23" t="n">
        <v>10.486</v>
      </c>
      <c r="C5" s="23" t="n">
        <v>22.98</v>
      </c>
      <c r="D5" s="23" t="n">
        <v>29.702</v>
      </c>
      <c r="E5" s="23" t="n">
        <v>45.165</v>
      </c>
      <c r="F5" s="23" t="n">
        <v>47.687</v>
      </c>
      <c r="G5" s="23" t="n">
        <v>42.743</v>
      </c>
      <c r="H5" s="23" t="n">
        <v>54.505</v>
      </c>
      <c r="I5" s="23" t="n">
        <v>68.736</v>
      </c>
      <c r="J5" s="23" t="n">
        <v>72.377</v>
      </c>
      <c r="K5" s="23" t="n">
        <v>71.26000000000001</v>
      </c>
      <c r="L5" s="23" t="n">
        <v>45.105</v>
      </c>
      <c r="M5" s="23" t="n">
        <v>58.034</v>
      </c>
    </row>
    <row r="6">
      <c r="A6" s="19" t="inlineStr">
        <is>
          <t>SG&amp;A &amp; Other</t>
        </is>
      </c>
      <c r="B6" s="23" t="n">
        <v>7.953</v>
      </c>
      <c r="C6" s="23" t="n">
        <v>8.335000000000001</v>
      </c>
      <c r="D6" s="23" t="n">
        <v>13.051</v>
      </c>
      <c r="E6" s="23" t="n">
        <v>18.826</v>
      </c>
      <c r="F6" s="23" t="n">
        <v>18.238</v>
      </c>
      <c r="G6" s="23" t="n">
        <v>16.389</v>
      </c>
      <c r="H6" s="23" t="n">
        <v>18.913</v>
      </c>
      <c r="I6" s="23" t="n">
        <v>20.938</v>
      </c>
      <c r="J6" s="23" t="n">
        <v>23.862</v>
      </c>
      <c r="K6" s="23" t="n">
        <v>41.16</v>
      </c>
      <c r="L6" s="23" t="n">
        <v>37.705</v>
      </c>
      <c r="M6" s="23" t="n">
        <v>88.16800000000001</v>
      </c>
    </row>
    <row r="7">
      <c r="A7" s="2" t="inlineStr">
        <is>
          <t>Operating Expense</t>
        </is>
      </c>
      <c r="B7" s="23">
        <f>SUM(B5:B6)</f>
        <v>18.439</v>
      </c>
      <c r="C7" s="23">
        <f>SUM(C5:C6)</f>
        <v>31.315</v>
      </c>
      <c r="D7" s="23">
        <f>SUM(D5:D6)</f>
        <v>42.753</v>
      </c>
      <c r="E7" s="23">
        <f>SUM(E5:E6)</f>
        <v>63.991</v>
      </c>
      <c r="F7" s="23">
        <f>SUM(F5:F6)</f>
        <v>65.925</v>
      </c>
      <c r="G7" s="23">
        <f>SUM(G5:G6)</f>
        <v>59.132000000000005</v>
      </c>
      <c r="H7" s="23">
        <f>SUM(H5:H6)</f>
        <v>73.418</v>
      </c>
      <c r="I7" s="23">
        <f>SUM(I5:I6)</f>
        <v>89.674</v>
      </c>
      <c r="J7" s="23">
        <f>SUM(J5:J6)</f>
        <v>96.23899999999999</v>
      </c>
      <c r="K7" s="23">
        <f>SUM(K5:K6)</f>
        <v>112.42</v>
      </c>
      <c r="L7" s="23">
        <f>SUM(L5:L6)</f>
        <v>82.81</v>
      </c>
      <c r="M7" s="23">
        <f>SUM(M5:M6)</f>
        <v>146.202</v>
      </c>
    </row>
    <row r="8">
      <c r="A8" s="2" t="inlineStr">
        <is>
          <t>Operating Income</t>
        </is>
      </c>
      <c r="B8" s="23">
        <f>B4-B7</f>
        <v>-15.399000000000001</v>
      </c>
      <c r="C8" s="23">
        <f>C4-C7</f>
        <v>-25.304000000000002</v>
      </c>
      <c r="D8" s="23">
        <f>D4-D7</f>
        <v>-34.67</v>
      </c>
      <c r="E8" s="23">
        <f>E4-E7</f>
        <v>-63.784</v>
      </c>
      <c r="F8" s="23">
        <f>F4-F7</f>
        <v>-65.02199999999999</v>
      </c>
      <c r="G8" s="23">
        <f>G4-G7</f>
        <v>-52.455000000000005</v>
      </c>
      <c r="H8" s="23">
        <f>H4-H7</f>
        <v>-56.821000000000005</v>
      </c>
      <c r="I8" s="23">
        <f>I4-I7</f>
        <v>-4.597000000000008</v>
      </c>
      <c r="J8" s="23">
        <f>J4-J7</f>
        <v>14.538000000000011</v>
      </c>
      <c r="K8" s="23">
        <f>K4-K7</f>
        <v>-86.416</v>
      </c>
      <c r="L8" s="23">
        <f>L4-L7</f>
        <v>-43.897000000000006</v>
      </c>
      <c r="M8" s="23">
        <f>M4-M7</f>
        <v>-143.405</v>
      </c>
    </row>
    <row r="9">
      <c r="A9" s="19" t="inlineStr">
        <is>
          <t>Interest &amp; Other</t>
        </is>
      </c>
      <c r="B9" s="23" t="n">
        <v>2.519</v>
      </c>
      <c r="C9" s="23" t="n">
        <v>0.13</v>
      </c>
      <c r="D9" s="23" t="n">
        <v>-1.54</v>
      </c>
      <c r="E9" s="23" t="n">
        <v>-1.537</v>
      </c>
      <c r="F9" s="23" t="n">
        <v>-0.314</v>
      </c>
      <c r="G9" s="23" t="n">
        <v>-2.895</v>
      </c>
      <c r="H9" s="23" t="n">
        <v>-12.055</v>
      </c>
      <c r="I9" s="23" t="n">
        <v>-5.124</v>
      </c>
      <c r="J9" s="23" t="n">
        <v>20.232</v>
      </c>
      <c r="K9" s="23" t="n">
        <v>-152.294</v>
      </c>
      <c r="L9" s="23" t="n">
        <v>-33.24</v>
      </c>
      <c r="M9" s="23" t="n">
        <v>3.91</v>
      </c>
    </row>
    <row r="10">
      <c r="A10" s="2" t="inlineStr">
        <is>
          <t>Pretax</t>
        </is>
      </c>
      <c r="B10" s="23">
        <f>B8+B9</f>
        <v>-12.88</v>
      </c>
      <c r="C10" s="23">
        <f>C8+C9</f>
        <v>-25.174000000000003</v>
      </c>
      <c r="D10" s="23">
        <f>D8+D9</f>
        <v>-36.21</v>
      </c>
      <c r="E10" s="23">
        <f>E8+E9</f>
        <v>-65.321</v>
      </c>
      <c r="F10" s="23">
        <f>F8+F9</f>
        <v>-65.33599999999998</v>
      </c>
      <c r="G10" s="23">
        <f>G8+G9</f>
        <v>-55.35000000000001</v>
      </c>
      <c r="H10" s="23">
        <f>H8+H9</f>
        <v>-68.876</v>
      </c>
      <c r="I10" s="23">
        <f>I8+I9</f>
        <v>-9.721000000000007</v>
      </c>
      <c r="J10" s="23">
        <f>J8+J9</f>
        <v>34.77000000000001</v>
      </c>
      <c r="K10" s="23">
        <f>K8+K9</f>
        <v>-238.71</v>
      </c>
      <c r="L10" s="23">
        <f>L8+L9</f>
        <v>-77.137</v>
      </c>
      <c r="M10" s="23">
        <f>M8+M9</f>
        <v>-139.495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15.966</v>
      </c>
      <c r="J11" s="23" t="n">
        <v>-0.609</v>
      </c>
      <c r="K11" s="23" t="n">
        <v>-19</v>
      </c>
      <c r="L11" s="23" t="n">
        <v>0.287</v>
      </c>
      <c r="M11" s="23" t="n">
        <v>-9.193</v>
      </c>
    </row>
    <row r="12">
      <c r="A12" s="2" t="inlineStr">
        <is>
          <t>Net Income</t>
        </is>
      </c>
      <c r="B12" s="23" t="n">
        <v>-12.88</v>
      </c>
      <c r="C12" s="23" t="n">
        <v>-25.174</v>
      </c>
      <c r="D12" s="23" t="n">
        <v>-36.21</v>
      </c>
      <c r="E12" s="23" t="n">
        <v>-65.321</v>
      </c>
      <c r="F12" s="23" t="n">
        <v>-65.336</v>
      </c>
      <c r="G12" s="23" t="n">
        <v>-55.35</v>
      </c>
      <c r="H12" s="23" t="n">
        <v>-68.876</v>
      </c>
      <c r="I12" s="23" t="n">
        <v>-25.687</v>
      </c>
      <c r="J12" s="23" t="n">
        <v>35.379</v>
      </c>
      <c r="K12" s="23" t="n">
        <v>-219.71</v>
      </c>
      <c r="L12" s="23" t="n">
        <v>-77.42400000000001</v>
      </c>
      <c r="M12" s="23" t="n">
        <v>-130.302</v>
      </c>
    </row>
    <row r="13">
      <c r="A13" s="2" t="inlineStr">
        <is>
          <t>Earnings per Share</t>
        </is>
      </c>
      <c r="B13" s="11">
        <f>IFERROR(B12/B14,0)</f>
        <v>-86.44295302013424</v>
      </c>
      <c r="C13" s="11">
        <f>IFERROR(C12/C14,0)</f>
        <v>-163.46753246753246</v>
      </c>
      <c r="D13" s="11">
        <f>IFERROR(D12/D14,0)</f>
        <v>-48.28</v>
      </c>
      <c r="E13" s="11">
        <f>IFERROR(E12/E14,0)</f>
        <v>-44.77107607950651</v>
      </c>
      <c r="F13" s="11">
        <f>IFERROR(F12/F14,0)</f>
        <v>-40.86053783614759</v>
      </c>
      <c r="G13" s="11">
        <f>IFERROR(G12/G14,0)</f>
        <v>-34.01966810079902</v>
      </c>
      <c r="H13" s="11">
        <f>IFERROR(H12/H14,0)</f>
        <v>-19.058107360265634</v>
      </c>
      <c r="I13" s="11">
        <f>IFERROR(I12/I14,0)</f>
        <v>-6.291207445505756</v>
      </c>
      <c r="J13" s="11">
        <f>IFERROR(J12/J14,0)</f>
        <v>6.790595009596928</v>
      </c>
      <c r="K13" s="11">
        <f>IFERROR(K12/K14,0)</f>
        <v>-42.49709864603482</v>
      </c>
      <c r="L13" s="11">
        <f>IFERROR(L12/L14,0)</f>
        <v>-4.460421707569997</v>
      </c>
      <c r="M13" s="11">
        <f>IFERROR(M12/M14,0)</f>
        <v>-5.016825164594001</v>
      </c>
    </row>
    <row r="14">
      <c r="A14" s="2" t="inlineStr">
        <is>
          <t>Shares</t>
        </is>
      </c>
      <c r="B14" s="23" t="n">
        <v>0.149</v>
      </c>
      <c r="C14" s="23" t="n">
        <v>0.154</v>
      </c>
      <c r="D14" s="23" t="n">
        <v>0.75</v>
      </c>
      <c r="E14" s="23" t="n">
        <v>1.459</v>
      </c>
      <c r="F14" s="23" t="n">
        <v>1.599</v>
      </c>
      <c r="G14" s="23" t="n">
        <v>1.627</v>
      </c>
      <c r="H14" s="23" t="n">
        <v>3.614</v>
      </c>
      <c r="I14" s="23" t="n">
        <v>4.083</v>
      </c>
      <c r="J14" s="23" t="n">
        <v>5.21</v>
      </c>
      <c r="K14" s="23" t="n">
        <v>5.17</v>
      </c>
      <c r="L14" s="23" t="n">
        <v>17.358</v>
      </c>
      <c r="M14" s="23" t="n">
        <v>25.973</v>
      </c>
    </row>
    <row r="15"/>
    <row r="16" customFormat="1" s="4">
      <c r="A16" s="3" t="inlineStr">
        <is>
          <t>Revenue Change</t>
        </is>
      </c>
      <c r="C16" s="15">
        <f>IFERROR(C2/B2-1,"")</f>
        <v>0.9773026315789475</v>
      </c>
      <c r="D16" s="15">
        <f>IFERROR(D2/C2-1,"")</f>
        <v>0.3447013808018633</v>
      </c>
      <c r="E16" s="15">
        <f>IFERROR(E2/D2-1,"")</f>
        <v>-0.974390696523568</v>
      </c>
      <c r="F16" s="15">
        <f>IFERROR(F2/E2-1,"")</f>
        <v>3.362318840579711</v>
      </c>
      <c r="G16" s="15">
        <f>IFERROR(G2/F2-1,"")</f>
        <v>6.394241417497231</v>
      </c>
      <c r="H16" s="15">
        <f>IFERROR(H2/G2-1,"")</f>
        <v>1.48569716938745</v>
      </c>
      <c r="I16" s="15">
        <f>IFERROR(I2/H2-1,"")</f>
        <v>4.126046875941435</v>
      </c>
      <c r="J16" s="15">
        <f>IFERROR(J2/I2-1,"")</f>
        <v>0.3020792928758653</v>
      </c>
      <c r="K16" s="15">
        <f>IFERROR(K2/J2-1,"")</f>
        <v>-0.76525813120052</v>
      </c>
      <c r="L16" s="15">
        <f>IFERROR(L2/K2-1,"")</f>
        <v>0.4964236271342868</v>
      </c>
      <c r="M16" s="15">
        <f>IFERROR(M2/L2-1,"")</f>
        <v>-0.9281217073985557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</row>
    <row r="18">
      <c r="A18" s="14" t="inlineStr">
        <is>
          <t>Operating Margin</t>
        </is>
      </c>
      <c r="B18" s="15">
        <f>IFERROR(B8/B2,"")</f>
        <v>-5.06546052631579</v>
      </c>
      <c r="C18" s="15">
        <f>IFERROR(C8/C2,"")</f>
        <v>-4.209615704541674</v>
      </c>
      <c r="D18" s="15">
        <f>IFERROR(D8/D2,"")</f>
        <v>-4.289249041197575</v>
      </c>
      <c r="E18" s="15">
        <f>IFERROR(E8/E2,"")</f>
        <v>-308.1352657004831</v>
      </c>
      <c r="F18" s="15">
        <f>IFERROR(F8/F2,"")</f>
        <v>-72.00664451827241</v>
      </c>
      <c r="G18" s="15">
        <f>IFERROR(G8/G2,"")</f>
        <v>-7.856073086715592</v>
      </c>
      <c r="H18" s="15">
        <f>IFERROR(H8/H2,"")</f>
        <v>-3.4235705247936377</v>
      </c>
      <c r="I18" s="15">
        <f>IFERROR(I8/I2,"")</f>
        <v>-0.054033405033087775</v>
      </c>
      <c r="J18" s="15">
        <f>IFERROR(J8/J2,"")</f>
        <v>0.13123662854202597</v>
      </c>
      <c r="K18" s="15">
        <f>IFERROR(K8/K2,"")</f>
        <v>-3.323181049069374</v>
      </c>
      <c r="L18" s="15">
        <f>IFERROR(L8/L2,"")</f>
        <v>-1.128080590034179</v>
      </c>
      <c r="M18" s="15">
        <f>IFERROR(M8/M2,"")</f>
        <v>-51.27100464783697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2026-10-21T01:05:38Z</dcterms:modified>
  <cp:lastModifiedBy>Wang, Eric</cp:lastModifiedBy>
</cp:coreProperties>
</file>