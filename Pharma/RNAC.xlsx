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Cartesian Therapeutics, Inc.</t>
        </is>
      </c>
      <c r="C2" s="10" t="n"/>
    </row>
    <row r="3">
      <c r="B3" t="inlineStr">
        <is>
          <t>Price</t>
        </is>
      </c>
      <c r="C3" s="11">
        <f>INDEX([1]Pharma!$F$1:$F$1000,MATCH("RNAC",[1]Pharma!$B$1:$B$1000,0))</f>
        <v>6.395</v>
      </c>
      <c r="F3" s="1" t="n"/>
    </row>
    <row r="4">
      <c r="B4" t="inlineStr">
        <is>
          <t>Shares</t>
        </is>
      </c>
      <c r="C4" s="21" t="n">
        <v>30.255352</v>
      </c>
      <c r="F4" s="1" t="n"/>
    </row>
    <row r="5">
      <c r="B5" t="inlineStr">
        <is>
          <t>Market Cap.</t>
        </is>
      </c>
      <c r="C5" s="13">
        <f>C3*C4</f>
        <v>193.48297603999998</v>
      </c>
      <c r="F5" s="1" t="n"/>
    </row>
    <row r="6"/>
    <row r="7">
      <c r="B7" t="inlineStr">
        <is>
          <t>Cash</t>
        </is>
      </c>
      <c r="C7" s="21" t="n">
        <v>147.606</v>
      </c>
    </row>
    <row r="8">
      <c r="B8" t="inlineStr">
        <is>
          <t>Debt</t>
        </is>
      </c>
      <c r="C8" s="21" t="n">
        <v>52.851</v>
      </c>
    </row>
    <row r="9">
      <c r="B9" t="inlineStr">
        <is>
          <t>Enterprise V.</t>
        </is>
      </c>
      <c r="C9" s="13">
        <f>C5-C7+C8</f>
        <v>98.72797603999999</v>
      </c>
    </row>
    <row r="10"/>
    <row r="11">
      <c r="B11" s="14" t="inlineStr">
        <is>
          <t>rNPV / Share</t>
        </is>
      </c>
      <c r="C11" s="11">
        <f>NPV!B27</f>
        <v>12.522490262797348</v>
      </c>
    </row>
    <row r="12">
      <c r="B12" s="14" t="inlineStr">
        <is>
          <t>Upside</t>
        </is>
      </c>
      <c r="C12" s="15">
        <f>IFERROR(C11/C3-1,"")</f>
        <v>0.9581689230332053</v>
      </c>
    </row>
    <row r="13">
      <c r="B13" s="14" t="inlineStr">
        <is>
          <t>Cash / Share</t>
        </is>
      </c>
      <c r="C13" s="11">
        <f>IFERROR((C7-C8)/C4,"")</f>
        <v>3.1318425910232346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-76.529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1.2381580838636335</v>
      </c>
    </row>
    <row r="19">
      <c r="B19" s="14" t="inlineStr">
        <is>
          <t>Implied Pipeline Value</t>
        </is>
      </c>
      <c r="C19" s="13">
        <f>C9</f>
        <v>98.72797603999999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2014</v>
      </c>
      <c r="C1" s="17" t="n">
        <v>2015</v>
      </c>
      <c r="D1" s="17" t="n">
        <v>2016</v>
      </c>
      <c r="E1" s="17" t="n">
        <v>2017</v>
      </c>
      <c r="F1" s="17" t="n">
        <v>2018</v>
      </c>
      <c r="G1" s="17" t="n">
        <v>2019</v>
      </c>
      <c r="H1" s="17" t="n">
        <v>2020</v>
      </c>
      <c r="I1" s="17" t="n">
        <v>2021</v>
      </c>
      <c r="J1" s="17" t="n">
        <v>2022</v>
      </c>
      <c r="K1" s="17" t="n">
        <v>2023</v>
      </c>
      <c r="L1" s="17" t="n">
        <v>2024</v>
      </c>
      <c r="M1" s="17" t="n">
        <v>2025</v>
      </c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3.04</v>
      </c>
      <c r="C2" s="23" t="n">
        <v>6.011</v>
      </c>
      <c r="D2" s="23" t="n">
        <v>8.083</v>
      </c>
      <c r="E2" s="23" t="n">
        <v>0.207</v>
      </c>
      <c r="F2" s="23" t="n">
        <v>0.903</v>
      </c>
      <c r="G2" s="23" t="n">
        <v>6.677</v>
      </c>
      <c r="H2" s="23" t="n">
        <v>16.597</v>
      </c>
      <c r="I2" s="23" t="n">
        <v>85.077</v>
      </c>
      <c r="J2" s="23" t="n">
        <v>110.777</v>
      </c>
      <c r="K2" s="23" t="n">
        <v>26.004</v>
      </c>
      <c r="L2" s="23" t="n">
        <v>38.913</v>
      </c>
      <c r="M2" s="23" t="n">
        <v>2.797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</row>
    <row r="4" customFormat="1" s="1">
      <c r="A4" s="5" t="inlineStr">
        <is>
          <t>Gross Margin</t>
        </is>
      </c>
      <c r="B4" s="23">
        <f>B2-B3</f>
        <v>3.04</v>
      </c>
      <c r="C4" s="23">
        <f>C2-C3</f>
        <v>6.011</v>
      </c>
      <c r="D4" s="23">
        <f>D2-D3</f>
        <v>8.083</v>
      </c>
      <c r="E4" s="23">
        <f>E2-E3</f>
        <v>0.207</v>
      </c>
      <c r="F4" s="23">
        <f>F2-F3</f>
        <v>0.903</v>
      </c>
      <c r="G4" s="23">
        <f>G2-G3</f>
        <v>6.677</v>
      </c>
      <c r="H4" s="23">
        <f>H2-H3</f>
        <v>16.597</v>
      </c>
      <c r="I4" s="23">
        <f>I2-I3</f>
        <v>85.077</v>
      </c>
      <c r="J4" s="23">
        <f>J2-J3</f>
        <v>110.777</v>
      </c>
      <c r="K4" s="23">
        <f>K2-K3</f>
        <v>26.004</v>
      </c>
      <c r="L4" s="23">
        <f>L2-L3</f>
        <v>38.913</v>
      </c>
      <c r="M4" s="23">
        <f>M2-M3</f>
        <v>2.797</v>
      </c>
    </row>
    <row r="5">
      <c r="A5" s="2" t="inlineStr">
        <is>
          <t>Research &amp; Dev.</t>
        </is>
      </c>
      <c r="B5" s="23" t="n">
        <v>10.486</v>
      </c>
      <c r="C5" s="23" t="n">
        <v>22.98</v>
      </c>
      <c r="D5" s="23" t="n">
        <v>29.702</v>
      </c>
      <c r="E5" s="23" t="n">
        <v>45.165</v>
      </c>
      <c r="F5" s="23" t="n">
        <v>47.687</v>
      </c>
      <c r="G5" s="23" t="n">
        <v>42.743</v>
      </c>
      <c r="H5" s="23" t="n">
        <v>54.505</v>
      </c>
      <c r="I5" s="23" t="n">
        <v>68.736</v>
      </c>
      <c r="J5" s="23" t="n">
        <v>72.377</v>
      </c>
      <c r="K5" s="23" t="n">
        <v>71.26000000000001</v>
      </c>
      <c r="L5" s="23" t="n">
        <v>45.105</v>
      </c>
      <c r="M5" s="23" t="n">
        <v>58.034</v>
      </c>
    </row>
    <row r="6">
      <c r="A6" s="19" t="inlineStr">
        <is>
          <t>SG&amp;A &amp; Other</t>
        </is>
      </c>
      <c r="B6" s="23" t="n">
        <v>7.953</v>
      </c>
      <c r="C6" s="23" t="n">
        <v>8.335000000000001</v>
      </c>
      <c r="D6" s="23" t="n">
        <v>13.051</v>
      </c>
      <c r="E6" s="23" t="n">
        <v>18.826</v>
      </c>
      <c r="F6" s="23" t="n">
        <v>18.238</v>
      </c>
      <c r="G6" s="23" t="n">
        <v>16.389</v>
      </c>
      <c r="H6" s="23" t="n">
        <v>18.913</v>
      </c>
      <c r="I6" s="23" t="n">
        <v>20.938</v>
      </c>
      <c r="J6" s="23" t="n">
        <v>23.862</v>
      </c>
      <c r="K6" s="23" t="n">
        <v>41.16</v>
      </c>
      <c r="L6" s="23" t="n">
        <v>37.705</v>
      </c>
      <c r="M6" s="23" t="n">
        <v>88.16800000000001</v>
      </c>
    </row>
    <row r="7">
      <c r="A7" s="2" t="inlineStr">
        <is>
          <t>Operating Expense</t>
        </is>
      </c>
      <c r="B7" s="23">
        <f>SUM(B5:B6)</f>
        <v>18.439</v>
      </c>
      <c r="C7" s="23">
        <f>SUM(C5:C6)</f>
        <v>31.315</v>
      </c>
      <c r="D7" s="23">
        <f>SUM(D5:D6)</f>
        <v>42.753</v>
      </c>
      <c r="E7" s="23">
        <f>SUM(E5:E6)</f>
        <v>63.991</v>
      </c>
      <c r="F7" s="23">
        <f>SUM(F5:F6)</f>
        <v>65.925</v>
      </c>
      <c r="G7" s="23">
        <f>SUM(G5:G6)</f>
        <v>59.132000000000005</v>
      </c>
      <c r="H7" s="23">
        <f>SUM(H5:H6)</f>
        <v>73.418</v>
      </c>
      <c r="I7" s="23">
        <f>SUM(I5:I6)</f>
        <v>89.674</v>
      </c>
      <c r="J7" s="23">
        <f>SUM(J5:J6)</f>
        <v>96.23899999999999</v>
      </c>
      <c r="K7" s="23">
        <f>SUM(K5:K6)</f>
        <v>112.42</v>
      </c>
      <c r="L7" s="23">
        <f>SUM(L5:L6)</f>
        <v>82.81</v>
      </c>
      <c r="M7" s="23">
        <f>SUM(M5:M6)</f>
        <v>146.202</v>
      </c>
    </row>
    <row r="8">
      <c r="A8" s="2" t="inlineStr">
        <is>
          <t>Operating Income</t>
        </is>
      </c>
      <c r="B8" s="23">
        <f>B4-B7</f>
        <v>-15.399000000000001</v>
      </c>
      <c r="C8" s="23">
        <f>C4-C7</f>
        <v>-25.304000000000002</v>
      </c>
      <c r="D8" s="23">
        <f>D4-D7</f>
        <v>-34.67</v>
      </c>
      <c r="E8" s="23">
        <f>E4-E7</f>
        <v>-63.784</v>
      </c>
      <c r="F8" s="23">
        <f>F4-F7</f>
        <v>-65.02199999999999</v>
      </c>
      <c r="G8" s="23">
        <f>G4-G7</f>
        <v>-52.455000000000005</v>
      </c>
      <c r="H8" s="23">
        <f>H4-H7</f>
        <v>-56.821000000000005</v>
      </c>
      <c r="I8" s="23">
        <f>I4-I7</f>
        <v>-4.597000000000008</v>
      </c>
      <c r="J8" s="23">
        <f>J4-J7</f>
        <v>14.538000000000011</v>
      </c>
      <c r="K8" s="23">
        <f>K4-K7</f>
        <v>-86.416</v>
      </c>
      <c r="L8" s="23">
        <f>L4-L7</f>
        <v>-43.897000000000006</v>
      </c>
      <c r="M8" s="23">
        <f>M4-M7</f>
        <v>-143.405</v>
      </c>
    </row>
    <row r="9">
      <c r="A9" s="19" t="inlineStr">
        <is>
          <t>Interest &amp; Other</t>
        </is>
      </c>
      <c r="B9" s="23" t="n">
        <v>2.519</v>
      </c>
      <c r="C9" s="23" t="n">
        <v>0.13</v>
      </c>
      <c r="D9" s="23" t="n">
        <v>-1.54</v>
      </c>
      <c r="E9" s="23" t="n">
        <v>-1.537</v>
      </c>
      <c r="F9" s="23" t="n">
        <v>-0.314</v>
      </c>
      <c r="G9" s="23" t="n">
        <v>-2.895</v>
      </c>
      <c r="H9" s="23" t="n">
        <v>-12.055</v>
      </c>
      <c r="I9" s="23" t="n">
        <v>-5.124</v>
      </c>
      <c r="J9" s="23" t="n">
        <v>20.232</v>
      </c>
      <c r="K9" s="23" t="n">
        <v>-152.294</v>
      </c>
      <c r="L9" s="23" t="n">
        <v>-33.24</v>
      </c>
      <c r="M9" s="23" t="n">
        <v>3.91</v>
      </c>
    </row>
    <row r="10">
      <c r="A10" s="2" t="inlineStr">
        <is>
          <t>Pretax</t>
        </is>
      </c>
      <c r="B10" s="23">
        <f>B8+B9</f>
        <v>-12.88</v>
      </c>
      <c r="C10" s="23">
        <f>C8+C9</f>
        <v>-25.174000000000003</v>
      </c>
      <c r="D10" s="23">
        <f>D8+D9</f>
        <v>-36.21</v>
      </c>
      <c r="E10" s="23">
        <f>E8+E9</f>
        <v>-65.321</v>
      </c>
      <c r="F10" s="23">
        <f>F8+F9</f>
        <v>-65.33599999999998</v>
      </c>
      <c r="G10" s="23">
        <f>G8+G9</f>
        <v>-55.35000000000001</v>
      </c>
      <c r="H10" s="23">
        <f>H8+H9</f>
        <v>-68.876</v>
      </c>
      <c r="I10" s="23">
        <f>I8+I9</f>
        <v>-9.721000000000007</v>
      </c>
      <c r="J10" s="23">
        <f>J8+J9</f>
        <v>34.77000000000001</v>
      </c>
      <c r="K10" s="23">
        <f>K8+K9</f>
        <v>-238.71</v>
      </c>
      <c r="L10" s="23">
        <f>L8+L9</f>
        <v>-77.137</v>
      </c>
      <c r="M10" s="23">
        <f>M8+M9</f>
        <v>-139.495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15.966</v>
      </c>
      <c r="J11" s="23" t="n">
        <v>-0.609</v>
      </c>
      <c r="K11" s="23" t="n">
        <v>-19</v>
      </c>
      <c r="L11" s="23" t="n">
        <v>0.287</v>
      </c>
      <c r="M11" s="23" t="n">
        <v>-9.193</v>
      </c>
    </row>
    <row r="12">
      <c r="A12" s="2" t="inlineStr">
        <is>
          <t>Net Income</t>
        </is>
      </c>
      <c r="B12" s="23" t="n">
        <v>-12.88</v>
      </c>
      <c r="C12" s="23" t="n">
        <v>-25.174</v>
      </c>
      <c r="D12" s="23" t="n">
        <v>-36.21</v>
      </c>
      <c r="E12" s="23" t="n">
        <v>-65.321</v>
      </c>
      <c r="F12" s="23" t="n">
        <v>-65.336</v>
      </c>
      <c r="G12" s="23" t="n">
        <v>-55.35</v>
      </c>
      <c r="H12" s="23" t="n">
        <v>-68.876</v>
      </c>
      <c r="I12" s="23" t="n">
        <v>-25.687</v>
      </c>
      <c r="J12" s="23" t="n">
        <v>35.379</v>
      </c>
      <c r="K12" s="23" t="n">
        <v>-219.71</v>
      </c>
      <c r="L12" s="23" t="n">
        <v>-77.42400000000001</v>
      </c>
      <c r="M12" s="23" t="n">
        <v>-130.302</v>
      </c>
    </row>
    <row r="13">
      <c r="A13" s="2" t="inlineStr">
        <is>
          <t>Earnings per Share</t>
        </is>
      </c>
      <c r="B13" s="11">
        <f>IFERROR(B12/B14,0)</f>
        <v>-86.44295302013424</v>
      </c>
      <c r="C13" s="11">
        <f>IFERROR(C12/C14,0)</f>
        <v>-163.46753246753246</v>
      </c>
      <c r="D13" s="11">
        <f>IFERROR(D12/D14,0)</f>
        <v>-48.28</v>
      </c>
      <c r="E13" s="11">
        <f>IFERROR(E12/E14,0)</f>
        <v>-44.77107607950651</v>
      </c>
      <c r="F13" s="11">
        <f>IFERROR(F12/F14,0)</f>
        <v>-40.86053783614759</v>
      </c>
      <c r="G13" s="11">
        <f>IFERROR(G12/G14,0)</f>
        <v>-34.01966810079902</v>
      </c>
      <c r="H13" s="11">
        <f>IFERROR(H12/H14,0)</f>
        <v>-19.058107360265634</v>
      </c>
      <c r="I13" s="11">
        <f>IFERROR(I12/I14,0)</f>
        <v>-6.291207445505756</v>
      </c>
      <c r="J13" s="11">
        <f>IFERROR(J12/J14,0)</f>
        <v>6.790595009596928</v>
      </c>
      <c r="K13" s="11">
        <f>IFERROR(K12/K14,0)</f>
        <v>-42.49709864603482</v>
      </c>
      <c r="L13" s="11">
        <f>IFERROR(L12/L14,0)</f>
        <v>-4.460421707569997</v>
      </c>
      <c r="M13" s="11">
        <f>IFERROR(M12/M14,0)</f>
        <v>-5.016825164594001</v>
      </c>
    </row>
    <row r="14">
      <c r="A14" s="2" t="inlineStr">
        <is>
          <t>Shares</t>
        </is>
      </c>
      <c r="B14" s="23" t="n">
        <v>0.149</v>
      </c>
      <c r="C14" s="23" t="n">
        <v>0.154</v>
      </c>
      <c r="D14" s="23" t="n">
        <v>0.75</v>
      </c>
      <c r="E14" s="23" t="n">
        <v>1.459</v>
      </c>
      <c r="F14" s="23" t="n">
        <v>1.599</v>
      </c>
      <c r="G14" s="23" t="n">
        <v>1.627</v>
      </c>
      <c r="H14" s="23" t="n">
        <v>3.614</v>
      </c>
      <c r="I14" s="23" t="n">
        <v>4.083</v>
      </c>
      <c r="J14" s="23" t="n">
        <v>5.21</v>
      </c>
      <c r="K14" s="23" t="n">
        <v>5.17</v>
      </c>
      <c r="L14" s="23" t="n">
        <v>17.358</v>
      </c>
      <c r="M14" s="23" t="n">
        <v>25.973</v>
      </c>
    </row>
    <row r="15"/>
    <row r="16" customFormat="1" s="4">
      <c r="A16" s="3" t="inlineStr">
        <is>
          <t>Revenue Change</t>
        </is>
      </c>
      <c r="C16" s="15">
        <f>IFERROR(C2/B2-1,"")</f>
        <v>0.9773026315789475</v>
      </c>
      <c r="D16" s="15">
        <f>IFERROR(D2/C2-1,"")</f>
        <v>0.3447013808018633</v>
      </c>
      <c r="E16" s="15">
        <f>IFERROR(E2/D2-1,"")</f>
        <v>-0.974390696523568</v>
      </c>
      <c r="F16" s="15">
        <f>IFERROR(F2/E2-1,"")</f>
        <v>3.362318840579711</v>
      </c>
      <c r="G16" s="15">
        <f>IFERROR(G2/F2-1,"")</f>
        <v>6.394241417497231</v>
      </c>
      <c r="H16" s="15">
        <f>IFERROR(H2/G2-1,"")</f>
        <v>1.48569716938745</v>
      </c>
      <c r="I16" s="15">
        <f>IFERROR(I2/H2-1,"")</f>
        <v>4.126046875941435</v>
      </c>
      <c r="J16" s="15">
        <f>IFERROR(J2/I2-1,"")</f>
        <v>0.3020792928758653</v>
      </c>
      <c r="K16" s="15">
        <f>IFERROR(K2/J2-1,"")</f>
        <v>-0.76525813120052</v>
      </c>
      <c r="L16" s="15">
        <f>IFERROR(L2/K2-1,"")</f>
        <v>0.4964236271342868</v>
      </c>
      <c r="M16" s="15">
        <f>IFERROR(M2/L2-1,"")</f>
        <v>-0.9281217073985557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</row>
    <row r="18">
      <c r="A18" s="14" t="inlineStr">
        <is>
          <t>Operating Margin</t>
        </is>
      </c>
      <c r="B18" s="15">
        <f>IFERROR(B8/B2,"")</f>
        <v>-5.06546052631579</v>
      </c>
      <c r="C18" s="15">
        <f>IFERROR(C8/C2,"")</f>
        <v>-4.209615704541674</v>
      </c>
      <c r="D18" s="15">
        <f>IFERROR(D8/D2,"")</f>
        <v>-4.289249041197575</v>
      </c>
      <c r="E18" s="15">
        <f>IFERROR(E8/E2,"")</f>
        <v>-308.1352657004831</v>
      </c>
      <c r="F18" s="15">
        <f>IFERROR(F8/F2,"")</f>
        <v>-72.00664451827241</v>
      </c>
      <c r="G18" s="15">
        <f>IFERROR(G8/G2,"")</f>
        <v>-7.856073086715592</v>
      </c>
      <c r="H18" s="15">
        <f>IFERROR(H8/H2,"")</f>
        <v>-3.4235705247936377</v>
      </c>
      <c r="I18" s="15">
        <f>IFERROR(I8/I2,"")</f>
        <v>-0.054033405033087775</v>
      </c>
      <c r="J18" s="15">
        <f>IFERROR(J8/J2,"")</f>
        <v>0.13123662854202597</v>
      </c>
      <c r="K18" s="15">
        <f>IFERROR(K8/K2,"")</f>
        <v>-3.323181049069374</v>
      </c>
      <c r="L18" s="15">
        <f>IFERROR(L8/L2,"")</f>
        <v>-1.128080590034179</v>
      </c>
      <c r="M18" s="15">
        <f>IFERROR(M8/M2,"")</f>
        <v>-51.27100464783697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Cartesian Therapeutics,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1-PRODUCT(Pipeline!AG4:AG6)</f>
        <v>0.52132133863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155.359</v>
      </c>
    </row>
    <row r="19">
      <c r="A19" s="14" t="inlineStr">
        <is>
          <t>Years of full burn (until the first launch, max 4)</t>
        </is>
      </c>
      <c r="B19" s="39">
        <f>MIN(4,MAX(1,MIN(Pipeline!I4:I6)-2026))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782.3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284.11735081750624</v>
      </c>
      <c r="C29" s="42">
        <f>NPV!B25</f>
        <v>378.87235081750623</v>
      </c>
      <c r="D29" s="43">
        <f>NPV!B27</f>
        <v>12.522490262797348</v>
      </c>
      <c r="E29" s="44">
        <f>NPV!B29</f>
        <v>0.9581689230332053</v>
      </c>
    </row>
    <row r="30">
      <c r="A30" s="45" t="n">
        <v>1</v>
      </c>
      <c r="B30" s="46">
        <f t="dataTable" ref="B30:E32" r1="B4"/>
        <v>-160.08192303710743</v>
      </c>
      <c r="C30" s="46">
        <v>-65.32692303710743</v>
      </c>
      <c r="D30" s="47">
        <v>-2.1591856884397655</v>
      </c>
      <c r="E30" s="48">
        <v>-1.337636542367438</v>
      </c>
    </row>
    <row r="31">
      <c r="A31" s="45" t="n">
        <v>2</v>
      </c>
      <c r="B31" s="46">
        <v>284.11735081750624</v>
      </c>
      <c r="C31" s="46">
        <v>378.87235081750623</v>
      </c>
      <c r="D31" s="47">
        <v>12.522490262797348</v>
      </c>
      <c r="E31" s="48">
        <v>0.9581689230332053</v>
      </c>
    </row>
    <row r="32">
      <c r="A32" s="45" t="n">
        <v>3</v>
      </c>
      <c r="B32" s="46">
        <v>991.0886350352392</v>
      </c>
      <c r="C32" s="46">
        <v>1085.843635035239</v>
      </c>
      <c r="D32" s="47">
        <v>35.88930761854098</v>
      </c>
      <c r="E32" s="48">
        <v>4.612088759740576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12.522490262797348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-5.1630653587203055</v>
      </c>
      <c r="C37" s="47">
        <v>-0.5792573132273247</v>
      </c>
      <c r="D37" s="47">
        <v>3.4504452341907395</v>
      </c>
      <c r="E37" s="47">
        <v>11.170093851004557</v>
      </c>
      <c r="F37" s="47">
        <v>18.689803852812023</v>
      </c>
    </row>
    <row r="38">
      <c r="A38" s="50" t="n">
        <v>0.8</v>
      </c>
      <c r="B38" s="47">
        <v>-2.8254417878443467</v>
      </c>
      <c r="C38" s="47">
        <v>2.811847745613132</v>
      </c>
      <c r="D38" s="47">
        <v>8.004494821439794</v>
      </c>
      <c r="E38" s="47">
        <v>18.08482924641678</v>
      </c>
      <c r="F38" s="47">
        <v>27.995058130624653</v>
      </c>
    </row>
    <row r="39">
      <c r="A39" s="50" t="n">
        <v>1</v>
      </c>
      <c r="B39" s="47">
        <v>-0.45047621052760006</v>
      </c>
      <c r="C39" s="47">
        <v>6.152484481342972</v>
      </c>
      <c r="D39" s="47">
        <v>12.522490262797348</v>
      </c>
      <c r="E39" s="47">
        <v>24.991835143294534</v>
      </c>
      <c r="F39" s="47">
        <v>37.29371700988715</v>
      </c>
    </row>
    <row r="40">
      <c r="A40" s="50" t="n">
        <v>1.2</v>
      </c>
      <c r="B40" s="47">
        <v>1.7158627575947203</v>
      </c>
      <c r="C40" s="47">
        <v>9.491562711519625</v>
      </c>
      <c r="D40" s="47">
        <v>17.051904903053394</v>
      </c>
      <c r="E40" s="47">
        <v>31.89315124828058</v>
      </c>
      <c r="F40" s="47">
        <v>46.61279857282135</v>
      </c>
    </row>
    <row r="41">
      <c r="A41" s="50" t="n">
        <v>1.4</v>
      </c>
      <c r="B41" s="47">
        <v>3.892564685961751</v>
      </c>
      <c r="C41" s="47">
        <v>12.845502832322845</v>
      </c>
      <c r="D41" s="47">
        <v>21.585690615463964</v>
      </c>
      <c r="E41" s="47">
        <v>38.84198027193401</v>
      </c>
      <c r="F41" s="47">
        <v>55.94978546015033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Cartesian Therapeutics,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Myasthenia gravis / neuromuscular</t>
        </is>
      </c>
      <c r="C4" s="14" t="inlineStr">
        <is>
          <t>Descartes-08</t>
        </is>
      </c>
      <c r="D4" s="14" t="inlineStr">
        <is>
          <t>Phase 2</t>
        </is>
      </c>
      <c r="E4" s="14" t="inlineStr">
        <is>
          <t>Neurology / rare</t>
        </is>
      </c>
      <c r="F4" s="14" t="inlineStr">
        <is>
          <t>Owned</t>
        </is>
      </c>
      <c r="G4" s="40" t="n">
        <v>1500</v>
      </c>
      <c r="H4" s="27" t="n">
        <v>0.2521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429.5946553238118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37.815</v>
      </c>
      <c r="S4" s="23">
        <f>IF(S$3&lt;$I4,0,$G4*Assumptions!$E$11*INDEX(Assumptions!$B$24:$G$24,MIN(6,S$3-$I4+1))*IF(S$3&gt;$J4,(1-Assumptions!$B$26)^(S$3-$J4),1)*IF($H4&gt;=1,1,MIN(0.97,$H4*Assumptions!$E$12)))</f>
        <v>94.5375</v>
      </c>
      <c r="T4" s="23">
        <f>IF(T$3&lt;$I4,0,$G4*Assumptions!$E$11*INDEX(Assumptions!$B$24:$G$24,MIN(6,T$3-$I4+1))*IF(T$3&gt;$J4,(1-Assumptions!$B$26)^(T$3-$J4),1)*IF($H4&gt;=1,1,MIN(0.97,$H4*Assumptions!$E$12)))</f>
        <v>170.1675</v>
      </c>
      <c r="U4" s="23">
        <f>IF(U$3&lt;$I4,0,$G4*Assumptions!$E$11*INDEX(Assumptions!$B$24:$G$24,MIN(6,U$3-$I4+1))*IF(U$3&gt;$J4,(1-Assumptions!$B$26)^(U$3-$J4),1)*IF($H4&gt;=1,1,MIN(0.97,$H4*Assumptions!$E$12)))</f>
        <v>245.79749999999999</v>
      </c>
      <c r="V4" s="23">
        <f>IF(V$3&lt;$I4,0,$G4*Assumptions!$E$11*INDEX(Assumptions!$B$24:$G$24,MIN(6,V$3-$I4+1))*IF(V$3&gt;$J4,(1-Assumptions!$B$26)^(V$3-$J4),1)*IF($H4&gt;=1,1,MIN(0.97,$H4*Assumptions!$E$12)))</f>
        <v>321.4275</v>
      </c>
      <c r="W4" s="23">
        <f>IF(W$3&lt;$I4,0,$G4*Assumptions!$E$11*INDEX(Assumptions!$B$24:$G$24,MIN(6,W$3-$I4+1))*IF(W$3&gt;$J4,(1-Assumptions!$B$26)^(W$3-$J4),1)*IF($H4&gt;=1,1,MIN(0.97,$H4*Assumptions!$E$12)))</f>
        <v>378.15</v>
      </c>
      <c r="X4" s="23">
        <f>IF(X$3&lt;$I4,0,$G4*Assumptions!$E$11*INDEX(Assumptions!$B$24:$G$24,MIN(6,X$3-$I4+1))*IF(X$3&gt;$J4,(1-Assumptions!$B$26)^(X$3-$J4),1)*IF($H4&gt;=1,1,MIN(0.97,$H4*Assumptions!$E$12)))</f>
        <v>378.15</v>
      </c>
      <c r="Y4" s="23">
        <f>IF(Y$3&lt;$I4,0,$G4*Assumptions!$E$11*INDEX(Assumptions!$B$24:$G$24,MIN(6,Y$3-$I4+1))*IF(Y$3&gt;$J4,(1-Assumptions!$B$26)^(Y$3-$J4),1)*IF($H4&gt;=1,1,MIN(0.97,$H4*Assumptions!$E$12)))</f>
        <v>378.15</v>
      </c>
      <c r="Z4" s="23">
        <f>IF(Z$3&lt;$I4,0,$G4*Assumptions!$E$11*INDEX(Assumptions!$B$24:$G$24,MIN(6,Z$3-$I4+1))*IF(Z$3&gt;$J4,(1-Assumptions!$B$26)^(Z$3-$J4),1)*IF($H4&gt;=1,1,MIN(0.97,$H4*Assumptions!$E$12)))</f>
        <v>378.15</v>
      </c>
      <c r="AA4" s="23">
        <f>IF(AA$3&lt;$I4,0,$G4*Assumptions!$E$11*INDEX(Assumptions!$B$24:$G$24,MIN(6,AA$3-$I4+1))*IF(AA$3&gt;$J4,(1-Assumptions!$B$26)^(AA$3-$J4),1)*IF($H4&gt;=1,1,MIN(0.97,$H4*Assumptions!$E$12)))</f>
        <v>378.15</v>
      </c>
      <c r="AB4" s="23">
        <f>IF(AB$3&lt;$I4,0,$G4*Assumptions!$E$11*INDEX(Assumptions!$B$24:$G$24,MIN(6,AB$3-$I4+1))*IF(AB$3&gt;$J4,(1-Assumptions!$B$26)^(AB$3-$J4),1)*IF($H4&gt;=1,1,MIN(0.97,$H4*Assumptions!$E$12)))</f>
        <v>378.15</v>
      </c>
      <c r="AC4" s="23">
        <f>IF(AC$3&lt;$I4,0,$G4*Assumptions!$E$11*INDEX(Assumptions!$B$24:$G$24,MIN(6,AC$3-$I4+1))*IF(AC$3&gt;$J4,(1-Assumptions!$B$26)^(AC$3-$J4),1)*IF($H4&gt;=1,1,MIN(0.97,$H4*Assumptions!$E$12)))</f>
        <v>378.15</v>
      </c>
      <c r="AD4" s="23">
        <f>IF(AD$3&lt;$I4,0,$G4*Assumptions!$E$11*INDEX(Assumptions!$B$24:$G$24,MIN(6,AD$3-$I4+1))*IF(AD$3&gt;$J4,(1-Assumptions!$B$26)^(AD$3-$J4),1)*IF($H4&gt;=1,1,MIN(0.97,$H4*Assumptions!$E$12)))</f>
        <v>378.15</v>
      </c>
      <c r="AE4" s="23">
        <f>IF(AE$3&lt;$I4,0,$G4*Assumptions!$E$11*INDEX(Assumptions!$B$24:$G$24,MIN(6,AE$3-$I4+1))*IF(AE$3&gt;$J4,(1-Assumptions!$B$26)^(AE$3-$J4),1)*IF($H4&gt;=1,1,MIN(0.97,$H4*Assumptions!$E$12)))</f>
        <v>189.075</v>
      </c>
      <c r="AF4" s="23">
        <f>IF(AF$3&lt;$I4,0,$G4*Assumptions!$E$11*INDEX(Assumptions!$B$24:$G$24,MIN(6,AF$3-$I4+1))*IF(AF$3&gt;$J4,(1-Assumptions!$B$26)^(AF$3-$J4),1)*IF($H4&gt;=1,1,MIN(0.97,$H4*Assumptions!$E$12)))</f>
        <v>94.5375</v>
      </c>
      <c r="AG4" s="35">
        <f>IF(F4="Owned",1-IF(H4&gt;=1,1,MIN(0.97,H4*Assumptions!$E$12)),1)</f>
        <v>0.7479</v>
      </c>
    </row>
    <row r="5">
      <c r="A5" s="39" t="n">
        <v>2</v>
      </c>
      <c r="B5" s="14" t="inlineStr">
        <is>
          <t>Lupus / Sjogren's</t>
        </is>
      </c>
      <c r="C5" s="14" t="inlineStr">
        <is>
          <t>Descartes-08</t>
        </is>
      </c>
      <c r="D5" s="14" t="inlineStr">
        <is>
          <t>Phase 2</t>
        </is>
      </c>
      <c r="E5" s="14" t="inlineStr">
        <is>
          <t>Autoimmune / area</t>
        </is>
      </c>
      <c r="F5" s="14" t="inlineStr">
        <is>
          <t>Owned</t>
        </is>
      </c>
      <c r="G5" s="40" t="n">
        <v>1500</v>
      </c>
      <c r="H5" s="27" t="n">
        <v>0.1929</v>
      </c>
      <c r="I5" s="26" t="n">
        <v>2031</v>
      </c>
      <c r="J5" s="39">
        <f>I5+Assumptions!$B$25</f>
        <v>2043.0</v>
      </c>
      <c r="K5" s="53">
        <f>Assumptions!$E$13</f>
        <v>0.4</v>
      </c>
      <c r="L5" s="23">
        <f>K5*SUMPRODUCT(M5:AF5,NPV!$C$15:$V$15)</f>
        <v>328.71403812758155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28.935</v>
      </c>
      <c r="S5" s="23">
        <f>IF(S$3&lt;$I5,0,$G5*Assumptions!$E$11*INDEX(Assumptions!$B$24:$G$24,MIN(6,S$3-$I5+1))*IF(S$3&gt;$J5,(1-Assumptions!$B$26)^(S$3-$J5),1)*IF($H5&gt;=1,1,MIN(0.97,$H5*Assumptions!$E$12)))</f>
        <v>72.33749999999999</v>
      </c>
      <c r="T5" s="23">
        <f>IF(T$3&lt;$I5,0,$G5*Assumptions!$E$11*INDEX(Assumptions!$B$24:$G$24,MIN(6,T$3-$I5+1))*IF(T$3&gt;$J5,(1-Assumptions!$B$26)^(T$3-$J5),1)*IF($H5&gt;=1,1,MIN(0.97,$H5*Assumptions!$E$12)))</f>
        <v>130.20749999999998</v>
      </c>
      <c r="U5" s="23">
        <f>IF(U$3&lt;$I5,0,$G5*Assumptions!$E$11*INDEX(Assumptions!$B$24:$G$24,MIN(6,U$3-$I5+1))*IF(U$3&gt;$J5,(1-Assumptions!$B$26)^(U$3-$J5),1)*IF($H5&gt;=1,1,MIN(0.97,$H5*Assumptions!$E$12)))</f>
        <v>188.0775</v>
      </c>
      <c r="V5" s="23">
        <f>IF(V$3&lt;$I5,0,$G5*Assumptions!$E$11*INDEX(Assumptions!$B$24:$G$24,MIN(6,V$3-$I5+1))*IF(V$3&gt;$J5,(1-Assumptions!$B$26)^(V$3-$J5),1)*IF($H5&gt;=1,1,MIN(0.97,$H5*Assumptions!$E$12)))</f>
        <v>245.9475</v>
      </c>
      <c r="W5" s="23">
        <f>IF(W$3&lt;$I5,0,$G5*Assumptions!$E$11*INDEX(Assumptions!$B$24:$G$24,MIN(6,W$3-$I5+1))*IF(W$3&gt;$J5,(1-Assumptions!$B$26)^(W$3-$J5),1)*IF($H5&gt;=1,1,MIN(0.97,$H5*Assumptions!$E$12)))</f>
        <v>289.34999999999997</v>
      </c>
      <c r="X5" s="23">
        <f>IF(X$3&lt;$I5,0,$G5*Assumptions!$E$11*INDEX(Assumptions!$B$24:$G$24,MIN(6,X$3-$I5+1))*IF(X$3&gt;$J5,(1-Assumptions!$B$26)^(X$3-$J5),1)*IF($H5&gt;=1,1,MIN(0.97,$H5*Assumptions!$E$12)))</f>
        <v>289.34999999999997</v>
      </c>
      <c r="Y5" s="23">
        <f>IF(Y$3&lt;$I5,0,$G5*Assumptions!$E$11*INDEX(Assumptions!$B$24:$G$24,MIN(6,Y$3-$I5+1))*IF(Y$3&gt;$J5,(1-Assumptions!$B$26)^(Y$3-$J5),1)*IF($H5&gt;=1,1,MIN(0.97,$H5*Assumptions!$E$12)))</f>
        <v>289.34999999999997</v>
      </c>
      <c r="Z5" s="23">
        <f>IF(Z$3&lt;$I5,0,$G5*Assumptions!$E$11*INDEX(Assumptions!$B$24:$G$24,MIN(6,Z$3-$I5+1))*IF(Z$3&gt;$J5,(1-Assumptions!$B$26)^(Z$3-$J5),1)*IF($H5&gt;=1,1,MIN(0.97,$H5*Assumptions!$E$12)))</f>
        <v>289.34999999999997</v>
      </c>
      <c r="AA5" s="23">
        <f>IF(AA$3&lt;$I5,0,$G5*Assumptions!$E$11*INDEX(Assumptions!$B$24:$G$24,MIN(6,AA$3-$I5+1))*IF(AA$3&gt;$J5,(1-Assumptions!$B$26)^(AA$3-$J5),1)*IF($H5&gt;=1,1,MIN(0.97,$H5*Assumptions!$E$12)))</f>
        <v>289.34999999999997</v>
      </c>
      <c r="AB5" s="23">
        <f>IF(AB$3&lt;$I5,0,$G5*Assumptions!$E$11*INDEX(Assumptions!$B$24:$G$24,MIN(6,AB$3-$I5+1))*IF(AB$3&gt;$J5,(1-Assumptions!$B$26)^(AB$3-$J5),1)*IF($H5&gt;=1,1,MIN(0.97,$H5*Assumptions!$E$12)))</f>
        <v>289.34999999999997</v>
      </c>
      <c r="AC5" s="23">
        <f>IF(AC$3&lt;$I5,0,$G5*Assumptions!$E$11*INDEX(Assumptions!$B$24:$G$24,MIN(6,AC$3-$I5+1))*IF(AC$3&gt;$J5,(1-Assumptions!$B$26)^(AC$3-$J5),1)*IF($H5&gt;=1,1,MIN(0.97,$H5*Assumptions!$E$12)))</f>
        <v>289.34999999999997</v>
      </c>
      <c r="AD5" s="23">
        <f>IF(AD$3&lt;$I5,0,$G5*Assumptions!$E$11*INDEX(Assumptions!$B$24:$G$24,MIN(6,AD$3-$I5+1))*IF(AD$3&gt;$J5,(1-Assumptions!$B$26)^(AD$3-$J5),1)*IF($H5&gt;=1,1,MIN(0.97,$H5*Assumptions!$E$12)))</f>
        <v>289.34999999999997</v>
      </c>
      <c r="AE5" s="23">
        <f>IF(AE$3&lt;$I5,0,$G5*Assumptions!$E$11*INDEX(Assumptions!$B$24:$G$24,MIN(6,AE$3-$I5+1))*IF(AE$3&gt;$J5,(1-Assumptions!$B$26)^(AE$3-$J5),1)*IF($H5&gt;=1,1,MIN(0.97,$H5*Assumptions!$E$12)))</f>
        <v>144.67499999999998</v>
      </c>
      <c r="AF5" s="23">
        <f>IF(AF$3&lt;$I5,0,$G5*Assumptions!$E$11*INDEX(Assumptions!$B$24:$G$24,MIN(6,AF$3-$I5+1))*IF(AF$3&gt;$J5,(1-Assumptions!$B$26)^(AF$3-$J5),1)*IF($H5&gt;=1,1,MIN(0.97,$H5*Assumptions!$E$12)))</f>
        <v>72.33749999999999</v>
      </c>
      <c r="AG5" s="35">
        <f>IF(F5="Owned",1-IF(H5&gt;=1,1,MIN(0.97,H5*Assumptions!$E$12)),1)</f>
        <v>0.8071</v>
      </c>
    </row>
    <row r="6">
      <c r="A6" s="39" t="n">
        <v>3</v>
      </c>
      <c r="B6" s="14" t="inlineStr">
        <is>
          <t>Rare autoimmune</t>
        </is>
      </c>
      <c r="C6" s="14" t="inlineStr">
        <is>
          <t>Descartes-08</t>
        </is>
      </c>
      <c r="D6" s="14" t="inlineStr">
        <is>
          <t>Phase 1/2</t>
        </is>
      </c>
      <c r="E6" s="14" t="inlineStr">
        <is>
          <t>Autoimmune / rare</t>
        </is>
      </c>
      <c r="F6" s="14" t="inlineStr">
        <is>
          <t>Owned</t>
        </is>
      </c>
      <c r="G6" s="40" t="n">
        <v>800</v>
      </c>
      <c r="H6" s="27" t="n">
        <v>0.207</v>
      </c>
      <c r="I6" s="26" t="n">
        <v>2032</v>
      </c>
      <c r="J6" s="39">
        <f>I6+Assumptions!$B$25</f>
        <v>2044.0</v>
      </c>
      <c r="K6" s="53">
        <f>Assumptions!$E$13</f>
        <v>0.4</v>
      </c>
      <c r="L6" s="23">
        <f>K6*SUMPRODUCT(M6:AF6,NPV!$C$15:$V$15)</f>
        <v>166.25614599408743</v>
      </c>
      <c r="M6" s="23">
        <f>IF(M$3&lt;$I6,0,$G6*Assumptions!$E$11*INDEX(Assumptions!$B$24:$G$24,MIN(6,M$3-$I6+1))*IF(M$3&gt;$J6,(1-Assumptions!$B$26)^(M$3-$J6),1)*IF($H6&gt;=1,1,MIN(0.97,$H6*Assumptions!$E$12)))</f>
        <v>0</v>
      </c>
      <c r="N6" s="23">
        <f>IF(N$3&lt;$I6,0,$G6*Assumptions!$E$11*INDEX(Assumptions!$B$24:$G$24,MIN(6,N$3-$I6+1))*IF(N$3&gt;$J6,(1-Assumptions!$B$26)^(N$3-$J6),1)*IF($H6&gt;=1,1,MIN(0.97,$H6*Assumptions!$E$12)))</f>
        <v>0</v>
      </c>
      <c r="O6" s="23">
        <f>IF(O$3&lt;$I6,0,$G6*Assumptions!$E$11*INDEX(Assumptions!$B$24:$G$24,MIN(6,O$3-$I6+1))*IF(O$3&gt;$J6,(1-Assumptions!$B$26)^(O$3-$J6),1)*IF($H6&gt;=1,1,MIN(0.97,$H6*Assumptions!$E$12)))</f>
        <v>0</v>
      </c>
      <c r="P6" s="23">
        <f>IF(P$3&lt;$I6,0,$G6*Assumptions!$E$11*INDEX(Assumptions!$B$24:$G$24,MIN(6,P$3-$I6+1))*IF(P$3&gt;$J6,(1-Assumptions!$B$26)^(P$3-$J6),1)*IF($H6&gt;=1,1,MIN(0.97,$H6*Assumptions!$E$12)))</f>
        <v>0</v>
      </c>
      <c r="Q6" s="23">
        <f>IF(Q$3&lt;$I6,0,$G6*Assumptions!$E$11*INDEX(Assumptions!$B$24:$G$24,MIN(6,Q$3-$I6+1))*IF(Q$3&gt;$J6,(1-Assumptions!$B$26)^(Q$3-$J6),1)*IF($H6&gt;=1,1,MIN(0.97,$H6*Assumptions!$E$12)))</f>
        <v>0</v>
      </c>
      <c r="R6" s="23">
        <f>IF(R$3&lt;$I6,0,$G6*Assumptions!$E$11*INDEX(Assumptions!$B$24:$G$24,MIN(6,R$3-$I6+1))*IF(R$3&gt;$J6,(1-Assumptions!$B$26)^(R$3-$J6),1)*IF($H6&gt;=1,1,MIN(0.97,$H6*Assumptions!$E$12)))</f>
        <v>0</v>
      </c>
      <c r="S6" s="23">
        <f>IF(S$3&lt;$I6,0,$G6*Assumptions!$E$11*INDEX(Assumptions!$B$24:$G$24,MIN(6,S$3-$I6+1))*IF(S$3&gt;$J6,(1-Assumptions!$B$26)^(S$3-$J6),1)*IF($H6&gt;=1,1,MIN(0.97,$H6*Assumptions!$E$12)))</f>
        <v>16.56</v>
      </c>
      <c r="T6" s="23">
        <f>IF(T$3&lt;$I6,0,$G6*Assumptions!$E$11*INDEX(Assumptions!$B$24:$G$24,MIN(6,T$3-$I6+1))*IF(T$3&gt;$J6,(1-Assumptions!$B$26)^(T$3-$J6),1)*IF($H6&gt;=1,1,MIN(0.97,$H6*Assumptions!$E$12)))</f>
        <v>41.4</v>
      </c>
      <c r="U6" s="23">
        <f>IF(U$3&lt;$I6,0,$G6*Assumptions!$E$11*INDEX(Assumptions!$B$24:$G$24,MIN(6,U$3-$I6+1))*IF(U$3&gt;$J6,(1-Assumptions!$B$26)^(U$3-$J6),1)*IF($H6&gt;=1,1,MIN(0.97,$H6*Assumptions!$E$12)))</f>
        <v>74.52</v>
      </c>
      <c r="V6" s="23">
        <f>IF(V$3&lt;$I6,0,$G6*Assumptions!$E$11*INDEX(Assumptions!$B$24:$G$24,MIN(6,V$3-$I6+1))*IF(V$3&gt;$J6,(1-Assumptions!$B$26)^(V$3-$J6),1)*IF($H6&gt;=1,1,MIN(0.97,$H6*Assumptions!$E$12)))</f>
        <v>107.64</v>
      </c>
      <c r="W6" s="23">
        <f>IF(W$3&lt;$I6,0,$G6*Assumptions!$E$11*INDEX(Assumptions!$B$24:$G$24,MIN(6,W$3-$I6+1))*IF(W$3&gt;$J6,(1-Assumptions!$B$26)^(W$3-$J6),1)*IF($H6&gt;=1,1,MIN(0.97,$H6*Assumptions!$E$12)))</f>
        <v>140.76</v>
      </c>
      <c r="X6" s="23">
        <f>IF(X$3&lt;$I6,0,$G6*Assumptions!$E$11*INDEX(Assumptions!$B$24:$G$24,MIN(6,X$3-$I6+1))*IF(X$3&gt;$J6,(1-Assumptions!$B$26)^(X$3-$J6),1)*IF($H6&gt;=1,1,MIN(0.97,$H6*Assumptions!$E$12)))</f>
        <v>165.6</v>
      </c>
      <c r="Y6" s="23">
        <f>IF(Y$3&lt;$I6,0,$G6*Assumptions!$E$11*INDEX(Assumptions!$B$24:$G$24,MIN(6,Y$3-$I6+1))*IF(Y$3&gt;$J6,(1-Assumptions!$B$26)^(Y$3-$J6),1)*IF($H6&gt;=1,1,MIN(0.97,$H6*Assumptions!$E$12)))</f>
        <v>165.6</v>
      </c>
      <c r="Z6" s="23">
        <f>IF(Z$3&lt;$I6,0,$G6*Assumptions!$E$11*INDEX(Assumptions!$B$24:$G$24,MIN(6,Z$3-$I6+1))*IF(Z$3&gt;$J6,(1-Assumptions!$B$26)^(Z$3-$J6),1)*IF($H6&gt;=1,1,MIN(0.97,$H6*Assumptions!$E$12)))</f>
        <v>165.6</v>
      </c>
      <c r="AA6" s="23">
        <f>IF(AA$3&lt;$I6,0,$G6*Assumptions!$E$11*INDEX(Assumptions!$B$24:$G$24,MIN(6,AA$3-$I6+1))*IF(AA$3&gt;$J6,(1-Assumptions!$B$26)^(AA$3-$J6),1)*IF($H6&gt;=1,1,MIN(0.97,$H6*Assumptions!$E$12)))</f>
        <v>165.6</v>
      </c>
      <c r="AB6" s="23">
        <f>IF(AB$3&lt;$I6,0,$G6*Assumptions!$E$11*INDEX(Assumptions!$B$24:$G$24,MIN(6,AB$3-$I6+1))*IF(AB$3&gt;$J6,(1-Assumptions!$B$26)^(AB$3-$J6),1)*IF($H6&gt;=1,1,MIN(0.97,$H6*Assumptions!$E$12)))</f>
        <v>165.6</v>
      </c>
      <c r="AC6" s="23">
        <f>IF(AC$3&lt;$I6,0,$G6*Assumptions!$E$11*INDEX(Assumptions!$B$24:$G$24,MIN(6,AC$3-$I6+1))*IF(AC$3&gt;$J6,(1-Assumptions!$B$26)^(AC$3-$J6),1)*IF($H6&gt;=1,1,MIN(0.97,$H6*Assumptions!$E$12)))</f>
        <v>165.6</v>
      </c>
      <c r="AD6" s="23">
        <f>IF(AD$3&lt;$I6,0,$G6*Assumptions!$E$11*INDEX(Assumptions!$B$24:$G$24,MIN(6,AD$3-$I6+1))*IF(AD$3&gt;$J6,(1-Assumptions!$B$26)^(AD$3-$J6),1)*IF($H6&gt;=1,1,MIN(0.97,$H6*Assumptions!$E$12)))</f>
        <v>165.6</v>
      </c>
      <c r="AE6" s="23">
        <f>IF(AE$3&lt;$I6,0,$G6*Assumptions!$E$11*INDEX(Assumptions!$B$24:$G$24,MIN(6,AE$3-$I6+1))*IF(AE$3&gt;$J6,(1-Assumptions!$B$26)^(AE$3-$J6),1)*IF($H6&gt;=1,1,MIN(0.97,$H6*Assumptions!$E$12)))</f>
        <v>165.6</v>
      </c>
      <c r="AF6" s="23">
        <f>IF(AF$3&lt;$I6,0,$G6*Assumptions!$E$11*INDEX(Assumptions!$B$24:$G$24,MIN(6,AF$3-$I6+1))*IF(AF$3&gt;$J6,(1-Assumptions!$B$26)^(AF$3-$J6),1)*IF($H6&gt;=1,1,MIN(0.97,$H6*Assumptions!$E$12)))</f>
        <v>82.8</v>
      </c>
      <c r="AG6" s="35">
        <f>IF(F6="Owned",1-IF(H6&gt;=1,1,MIN(0.97,H6*Assumptions!$E$12)),1)</f>
        <v>0.793</v>
      </c>
    </row>
    <row r="7">
      <c r="B7" s="24" t="inlineStr">
        <is>
          <t>Risked revenue</t>
        </is>
      </c>
      <c r="L7" s="54">
        <f>SUM(L4:L6)</f>
        <v>924.5648394454807</v>
      </c>
      <c r="M7" s="54">
        <f>SUM(M4:M6)</f>
        <v>0.0</v>
      </c>
      <c r="N7" s="54">
        <f>SUM(N4:N6)</f>
        <v>0.0</v>
      </c>
      <c r="O7" s="54">
        <f>SUM(O4:O6)</f>
        <v>0.0</v>
      </c>
      <c r="P7" s="54">
        <f>SUM(P4:P6)</f>
        <v>0.0</v>
      </c>
      <c r="Q7" s="54">
        <f>SUM(Q4:Q6)</f>
        <v>0.0</v>
      </c>
      <c r="R7" s="54">
        <f>SUM(R4:R6)</f>
        <v>66.75</v>
      </c>
      <c r="S7" s="54">
        <f>SUM(S4:S6)</f>
        <v>183.435</v>
      </c>
      <c r="T7" s="54">
        <f>SUM(T4:T6)</f>
        <v>341.775</v>
      </c>
      <c r="U7" s="54">
        <f>SUM(U4:U6)</f>
        <v>508.395</v>
      </c>
      <c r="V7" s="54">
        <f>SUM(V4:V6)</f>
        <v>675.015</v>
      </c>
      <c r="W7" s="54">
        <f>SUM(W4:W6)</f>
        <v>808.26</v>
      </c>
      <c r="X7" s="54">
        <f>SUM(X4:X6)</f>
        <v>833.1</v>
      </c>
      <c r="Y7" s="54">
        <f>SUM(Y4:Y6)</f>
        <v>833.1</v>
      </c>
      <c r="Z7" s="54">
        <f>SUM(Z4:Z6)</f>
        <v>833.1</v>
      </c>
      <c r="AA7" s="54">
        <f>SUM(AA4:AA6)</f>
        <v>833.1</v>
      </c>
      <c r="AB7" s="54">
        <f>SUM(AB4:AB6)</f>
        <v>833.1</v>
      </c>
      <c r="AC7" s="54">
        <f>SUM(AC4:AC6)</f>
        <v>833.1</v>
      </c>
      <c r="AD7" s="54">
        <f>SUM(AD4:AD6)</f>
        <v>833.1</v>
      </c>
      <c r="AE7" s="54">
        <f>SUM(AE4:AE6)</f>
        <v>499.35</v>
      </c>
      <c r="AF7" s="54">
        <f>SUM(AF4:AF6)</f>
        <v>249.675</v>
      </c>
    </row>
    <row r="8">
      <c r="B8" s="24" t="inlineStr">
        <is>
          <t>Risked contribution (revenue x share)</t>
        </is>
      </c>
      <c r="M8" s="55">
        <f>SUMPRODUCT(M4:M6,$K$4:$K$6)</f>
        <v>0.0</v>
      </c>
      <c r="N8" s="55">
        <f>SUMPRODUCT(N4:N6,$K$4:$K$6)</f>
        <v>0.0</v>
      </c>
      <c r="O8" s="55">
        <f>SUMPRODUCT(O4:O6,$K$4:$K$6)</f>
        <v>0.0</v>
      </c>
      <c r="P8" s="55">
        <f>SUMPRODUCT(P4:P6,$K$4:$K$6)</f>
        <v>0.0</v>
      </c>
      <c r="Q8" s="55">
        <f>SUMPRODUCT(Q4:Q6,$K$4:$K$6)</f>
        <v>0.0</v>
      </c>
      <c r="R8" s="55">
        <f>SUMPRODUCT(R4:R6,$K$4:$K$6)</f>
        <v>26.7</v>
      </c>
      <c r="S8" s="55">
        <f>SUMPRODUCT(S4:S6,$K$4:$K$6)</f>
        <v>73.374</v>
      </c>
      <c r="T8" s="55">
        <f>SUMPRODUCT(T4:T6,$K$4:$K$6)</f>
        <v>136.70999999999998</v>
      </c>
      <c r="U8" s="55">
        <f>SUMPRODUCT(U4:U6,$K$4:$K$6)</f>
        <v>203.358</v>
      </c>
      <c r="V8" s="55">
        <f>SUMPRODUCT(V4:V6,$K$4:$K$6)</f>
        <v>270.006</v>
      </c>
      <c r="W8" s="55">
        <f>SUMPRODUCT(W4:W6,$K$4:$K$6)</f>
        <v>323.304</v>
      </c>
      <c r="X8" s="55">
        <f>SUMPRODUCT(X4:X6,$K$4:$K$6)</f>
        <v>333.24</v>
      </c>
      <c r="Y8" s="55">
        <f>SUMPRODUCT(Y4:Y6,$K$4:$K$6)</f>
        <v>333.24</v>
      </c>
      <c r="Z8" s="55">
        <f>SUMPRODUCT(Z4:Z6,$K$4:$K$6)</f>
        <v>333.24</v>
      </c>
      <c r="AA8" s="55">
        <f>SUMPRODUCT(AA4:AA6,$K$4:$K$6)</f>
        <v>333.24</v>
      </c>
      <c r="AB8" s="55">
        <f>SUMPRODUCT(AB4:AB6,$K$4:$K$6)</f>
        <v>333.24</v>
      </c>
      <c r="AC8" s="55">
        <f>SUMPRODUCT(AC4:AC6,$K$4:$K$6)</f>
        <v>333.24</v>
      </c>
      <c r="AD8" s="55">
        <f>SUMPRODUCT(AD4:AD6,$K$4:$K$6)</f>
        <v>333.24</v>
      </c>
      <c r="AE8" s="55">
        <f>SUMPRODUCT(AE4:AE6,$K$4:$K$6)</f>
        <v>199.74</v>
      </c>
      <c r="AF8" s="55">
        <f>SUMPRODUCT(AF4:AF6,$K$4:$K$6)</f>
        <v>99.87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Cartesian Therapeutics,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Pipeline!M7</f>
        <v>0.0</v>
      </c>
      <c r="D4" s="57">
        <f>Pipeline!N7</f>
        <v>0.0</v>
      </c>
      <c r="E4" s="57">
        <f>Pipeline!O7</f>
        <v>0.0</v>
      </c>
      <c r="F4" s="57">
        <f>Pipeline!P7</f>
        <v>0.0</v>
      </c>
      <c r="G4" s="57">
        <f>Pipeline!Q7</f>
        <v>0.0</v>
      </c>
      <c r="H4" s="57">
        <f>Pipeline!R7</f>
        <v>66.75</v>
      </c>
      <c r="I4" s="57">
        <f>Pipeline!S7</f>
        <v>183.435</v>
      </c>
      <c r="J4" s="57">
        <f>Pipeline!T7</f>
        <v>341.775</v>
      </c>
      <c r="K4" s="57">
        <f>Pipeline!U7</f>
        <v>508.395</v>
      </c>
      <c r="L4" s="57">
        <f>Pipeline!V7</f>
        <v>675.015</v>
      </c>
      <c r="M4" s="57">
        <f>Pipeline!W7</f>
        <v>808.26</v>
      </c>
      <c r="N4" s="57">
        <f>Pipeline!X7</f>
        <v>833.1</v>
      </c>
      <c r="O4" s="57">
        <f>Pipeline!Y7</f>
        <v>833.1</v>
      </c>
      <c r="P4" s="57">
        <f>Pipeline!Z7</f>
        <v>833.1</v>
      </c>
      <c r="Q4" s="57">
        <f>Pipeline!AA7</f>
        <v>833.1</v>
      </c>
      <c r="R4" s="57">
        <f>Pipeline!AB7</f>
        <v>833.1</v>
      </c>
      <c r="S4" s="57">
        <f>Pipeline!AC7</f>
        <v>833.1</v>
      </c>
      <c r="T4" s="57">
        <f>Pipeline!AD7</f>
        <v>833.1</v>
      </c>
      <c r="U4" s="57">
        <f>Pipeline!AE7</f>
        <v>499.35</v>
      </c>
      <c r="V4" s="57">
        <f>Pipeline!AF7</f>
        <v>249.675</v>
      </c>
    </row>
    <row r="5">
      <c r="A5" s="14" t="inlineStr">
        <is>
          <t>Risked contribution</t>
        </is>
      </c>
      <c r="C5" s="57">
        <f>Pipeline!M8</f>
        <v>0.0</v>
      </c>
      <c r="D5" s="57">
        <f>Pipeline!N8</f>
        <v>0.0</v>
      </c>
      <c r="E5" s="57">
        <f>Pipeline!O8</f>
        <v>0.0</v>
      </c>
      <c r="F5" s="57">
        <f>Pipeline!P8</f>
        <v>0.0</v>
      </c>
      <c r="G5" s="57">
        <f>Pipeline!Q8</f>
        <v>0.0</v>
      </c>
      <c r="H5" s="57">
        <f>Pipeline!R8</f>
        <v>26.7</v>
      </c>
      <c r="I5" s="57">
        <f>Pipeline!S8</f>
        <v>73.374</v>
      </c>
      <c r="J5" s="57">
        <f>Pipeline!T8</f>
        <v>136.70999999999998</v>
      </c>
      <c r="K5" s="57">
        <f>Pipeline!U8</f>
        <v>203.358</v>
      </c>
      <c r="L5" s="57">
        <f>Pipeline!V8</f>
        <v>270.006</v>
      </c>
      <c r="M5" s="57">
        <f>Pipeline!W8</f>
        <v>323.304</v>
      </c>
      <c r="N5" s="57">
        <f>Pipeline!X8</f>
        <v>333.24</v>
      </c>
      <c r="O5" s="57">
        <f>Pipeline!Y8</f>
        <v>333.24</v>
      </c>
      <c r="P5" s="57">
        <f>Pipeline!Z8</f>
        <v>333.24</v>
      </c>
      <c r="Q5" s="57">
        <f>Pipeline!AA8</f>
        <v>333.24</v>
      </c>
      <c r="R5" s="57">
        <f>Pipeline!AB8</f>
        <v>333.24</v>
      </c>
      <c r="S5" s="57">
        <f>Pipeline!AC8</f>
        <v>333.24</v>
      </c>
      <c r="T5" s="57">
        <f>Pipeline!AD8</f>
        <v>333.24</v>
      </c>
      <c r="U5" s="57">
        <f>Pipeline!AE8</f>
        <v>199.74</v>
      </c>
      <c r="V5" s="57">
        <f>Pipeline!AF8</f>
        <v>99.87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-155.359</v>
      </c>
      <c r="D6" s="23">
        <f>-IF(D3-2026&lt;Assumptions!$B$19,Assumptions!$B$18,Assumptions!$B$18*Assumptions!$B$20*Assumptions!$B$16)</f>
        <v>-155.359</v>
      </c>
      <c r="E6" s="23">
        <f>-IF(E3-2026&lt;Assumptions!$B$19,Assumptions!$B$18,Assumptions!$B$18*Assumptions!$B$20*Assumptions!$B$16)</f>
        <v>-155.359</v>
      </c>
      <c r="F6" s="23">
        <f>-IF(F3-2026&lt;Assumptions!$B$19,Assumptions!$B$18,Assumptions!$B$18*Assumptions!$B$20*Assumptions!$B$16)</f>
        <v>-155.359</v>
      </c>
      <c r="G6" s="23">
        <f>-IF(G3-2026&lt;Assumptions!$B$19,Assumptions!$B$18,Assumptions!$B$18*Assumptions!$B$20*Assumptions!$B$16)</f>
        <v>-24.29758855446545</v>
      </c>
      <c r="H6" s="23">
        <f>-IF(H3-2026&lt;Assumptions!$B$19,Assumptions!$B$18,Assumptions!$B$18*Assumptions!$B$20*Assumptions!$B$16)</f>
        <v>-24.29758855446545</v>
      </c>
      <c r="I6" s="23">
        <f>-IF(I3-2026&lt;Assumptions!$B$19,Assumptions!$B$18,Assumptions!$B$18*Assumptions!$B$20*Assumptions!$B$16)</f>
        <v>-24.29758855446545</v>
      </c>
      <c r="J6" s="23">
        <f>-IF(J3-2026&lt;Assumptions!$B$19,Assumptions!$B$18,Assumptions!$B$18*Assumptions!$B$20*Assumptions!$B$16)</f>
        <v>-24.29758855446545</v>
      </c>
      <c r="K6" s="23">
        <f>-IF(K3-2026&lt;Assumptions!$B$19,Assumptions!$B$18,Assumptions!$B$18*Assumptions!$B$20*Assumptions!$B$16)</f>
        <v>-24.29758855446545</v>
      </c>
      <c r="L6" s="23">
        <f>-IF(L3-2026&lt;Assumptions!$B$19,Assumptions!$B$18,Assumptions!$B$18*Assumptions!$B$20*Assumptions!$B$16)</f>
        <v>-24.29758855446545</v>
      </c>
      <c r="M6" s="23">
        <f>-IF(M3-2026&lt;Assumptions!$B$19,Assumptions!$B$18,Assumptions!$B$18*Assumptions!$B$20*Assumptions!$B$16)</f>
        <v>-24.29758855446545</v>
      </c>
      <c r="N6" s="23">
        <f>-IF(N3-2026&lt;Assumptions!$B$19,Assumptions!$B$18,Assumptions!$B$18*Assumptions!$B$20*Assumptions!$B$16)</f>
        <v>-24.29758855446545</v>
      </c>
      <c r="O6" s="23">
        <f>-IF(O3-2026&lt;Assumptions!$B$19,Assumptions!$B$18,Assumptions!$B$18*Assumptions!$B$20*Assumptions!$B$16)</f>
        <v>-24.29758855446545</v>
      </c>
      <c r="P6" s="23">
        <f>-IF(P3-2026&lt;Assumptions!$B$19,Assumptions!$B$18,Assumptions!$B$18*Assumptions!$B$20*Assumptions!$B$16)</f>
        <v>-24.29758855446545</v>
      </c>
      <c r="Q6" s="23">
        <f>-IF(Q3-2026&lt;Assumptions!$B$19,Assumptions!$B$18,Assumptions!$B$18*Assumptions!$B$20*Assumptions!$B$16)</f>
        <v>-24.29758855446545</v>
      </c>
      <c r="R6" s="23">
        <f>-IF(R3-2026&lt;Assumptions!$B$19,Assumptions!$B$18,Assumptions!$B$18*Assumptions!$B$20*Assumptions!$B$16)</f>
        <v>-24.29758855446545</v>
      </c>
      <c r="S6" s="23">
        <f>-IF(S3-2026&lt;Assumptions!$B$19,Assumptions!$B$18,Assumptions!$B$18*Assumptions!$B$20*Assumptions!$B$16)</f>
        <v>-24.29758855446545</v>
      </c>
      <c r="T6" s="23">
        <f>-IF(T3-2026&lt;Assumptions!$B$19,Assumptions!$B$18,Assumptions!$B$18*Assumptions!$B$20*Assumptions!$B$16)</f>
        <v>-24.29758855446545</v>
      </c>
      <c r="U6" s="23">
        <f>-IF(U3-2026&lt;Assumptions!$B$19,Assumptions!$B$18,Assumptions!$B$18*Assumptions!$B$20*Assumptions!$B$16)</f>
        <v>-24.29758855446545</v>
      </c>
      <c r="V6" s="23">
        <f>-IF(V3-2026&lt;Assumptions!$B$19,Assumptions!$B$18,Assumptions!$B$18*Assumptions!$B$20*Assumptions!$B$16)</f>
        <v>-24.29758855446545</v>
      </c>
    </row>
    <row r="7">
      <c r="A7" s="14" t="inlineStr">
        <is>
          <t>Pre-tax cash flow</t>
        </is>
      </c>
      <c r="C7" s="23">
        <f>C5+C6</f>
        <v>-155.359</v>
      </c>
      <c r="D7" s="23">
        <f>D5+D6</f>
        <v>-155.359</v>
      </c>
      <c r="E7" s="23">
        <f>E5+E6</f>
        <v>-155.359</v>
      </c>
      <c r="F7" s="23">
        <f>F5+F6</f>
        <v>-155.359</v>
      </c>
      <c r="G7" s="23">
        <f>G5+G6</f>
        <v>-24.29758855446545</v>
      </c>
      <c r="H7" s="23">
        <f>H5+H6</f>
        <v>2.4024114455345504</v>
      </c>
      <c r="I7" s="23">
        <f>I5+I6</f>
        <v>49.076411445534546</v>
      </c>
      <c r="J7" s="23">
        <f>J5+J6</f>
        <v>112.41241144553453</v>
      </c>
      <c r="K7" s="23">
        <f>K5+K6</f>
        <v>179.06041144553456</v>
      </c>
      <c r="L7" s="23">
        <f>L5+L6</f>
        <v>245.70841144553452</v>
      </c>
      <c r="M7" s="23">
        <f>M5+M6</f>
        <v>299.0064114455345</v>
      </c>
      <c r="N7" s="23">
        <f>N5+N6</f>
        <v>308.94241144553456</v>
      </c>
      <c r="O7" s="23">
        <f>O5+O6</f>
        <v>308.94241144553456</v>
      </c>
      <c r="P7" s="23">
        <f>P5+P6</f>
        <v>308.94241144553456</v>
      </c>
      <c r="Q7" s="23">
        <f>Q5+Q6</f>
        <v>308.94241144553456</v>
      </c>
      <c r="R7" s="23">
        <f>R5+R6</f>
        <v>308.94241144553456</v>
      </c>
      <c r="S7" s="23">
        <f>S5+S6</f>
        <v>308.94241144553456</v>
      </c>
      <c r="T7" s="23">
        <f>T5+T6</f>
        <v>308.94241144553456</v>
      </c>
      <c r="U7" s="23">
        <f>U5+U6</f>
        <v>175.44241144553456</v>
      </c>
      <c r="V7" s="23">
        <f>V5+V6</f>
        <v>75.57241144553456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2.4024114455345504</v>
      </c>
      <c r="I8" s="23">
        <f>MIN(H17,MAX(0,I7))</f>
        <v>49.076411445534546</v>
      </c>
      <c r="J8" s="23">
        <f>MIN(I17,MAX(0,J7))</f>
        <v>112.41241144553453</v>
      </c>
      <c r="K8" s="23">
        <f>MIN(J17,MAX(0,K7))</f>
        <v>179.06041144553456</v>
      </c>
      <c r="L8" s="23">
        <f>MIN(K17,MAX(0,L7))</f>
        <v>245.70841144553452</v>
      </c>
      <c r="M8" s="23">
        <f>MIN(L17,MAX(0,M7))</f>
        <v>299.0064114455345</v>
      </c>
      <c r="N8" s="23">
        <f>MIN(M17,MAX(0,N7))</f>
        <v>308.94241144553456</v>
      </c>
      <c r="O8" s="23">
        <f>MIN(N17,MAX(0,O7))</f>
        <v>231.4247084357233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77.51770300981127</v>
      </c>
      <c r="P9" s="23">
        <f>MAX(0,P7)-P8</f>
        <v>308.94241144553456</v>
      </c>
      <c r="Q9" s="23">
        <f>MAX(0,Q7)-Q8</f>
        <v>308.94241144553456</v>
      </c>
      <c r="R9" s="23">
        <f>MAX(0,R7)-R8</f>
        <v>308.94241144553456</v>
      </c>
      <c r="S9" s="23">
        <f>MAX(0,S7)-S8</f>
        <v>308.94241144553456</v>
      </c>
      <c r="T9" s="23">
        <f>MAX(0,T7)-T8</f>
        <v>308.94241144553456</v>
      </c>
      <c r="U9" s="23">
        <f>MAX(0,U7)-U8</f>
        <v>175.44241144553456</v>
      </c>
      <c r="V9" s="23">
        <f>MAX(0,V7)-V8</f>
        <v>75.57241144553456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16.278717632060367</v>
      </c>
      <c r="P10" s="23">
        <f>P9*Assumptions!$E$15</f>
        <v>64.87790640356225</v>
      </c>
      <c r="Q10" s="23">
        <f>Q9*Assumptions!$E$15</f>
        <v>64.87790640356225</v>
      </c>
      <c r="R10" s="23">
        <f>R9*Assumptions!$E$15</f>
        <v>64.87790640356225</v>
      </c>
      <c r="S10" s="23">
        <f>S9*Assumptions!$E$15</f>
        <v>64.87790640356225</v>
      </c>
      <c r="T10" s="23">
        <f>T9*Assumptions!$E$15</f>
        <v>64.87790640356225</v>
      </c>
      <c r="U10" s="23">
        <f>U9*Assumptions!$E$15</f>
        <v>36.84290640356225</v>
      </c>
      <c r="V10" s="23">
        <f>V9*Assumptions!$E$15</f>
        <v>15.870206403562257</v>
      </c>
    </row>
    <row r="11">
      <c r="A11" s="24" t="inlineStr">
        <is>
          <t>Free cash flow</t>
        </is>
      </c>
      <c r="C11" s="55">
        <f>C7-C10</f>
        <v>-155.359</v>
      </c>
      <c r="D11" s="55">
        <f>D7-D10</f>
        <v>-155.359</v>
      </c>
      <c r="E11" s="55">
        <f>E7-E10</f>
        <v>-155.359</v>
      </c>
      <c r="F11" s="55">
        <f>F7-F10</f>
        <v>-155.359</v>
      </c>
      <c r="G11" s="55">
        <f>G7-G10</f>
        <v>-24.29758855446545</v>
      </c>
      <c r="H11" s="55">
        <f>H7-H10</f>
        <v>2.4024114455345504</v>
      </c>
      <c r="I11" s="55">
        <f>I7-I10</f>
        <v>49.076411445534546</v>
      </c>
      <c r="J11" s="55">
        <f>J7-J10</f>
        <v>112.41241144553453</v>
      </c>
      <c r="K11" s="55">
        <f>K7-K10</f>
        <v>179.06041144553456</v>
      </c>
      <c r="L11" s="55">
        <f>L7-L10</f>
        <v>245.70841144553452</v>
      </c>
      <c r="M11" s="55">
        <f>M7-M10</f>
        <v>299.0064114455345</v>
      </c>
      <c r="N11" s="55">
        <f>N7-N10</f>
        <v>308.94241144553456</v>
      </c>
      <c r="O11" s="55">
        <f>O7-O10</f>
        <v>292.6636938134742</v>
      </c>
      <c r="P11" s="55">
        <f>P7-P10</f>
        <v>244.06450504197232</v>
      </c>
      <c r="Q11" s="55">
        <f>Q7-Q10</f>
        <v>244.06450504197232</v>
      </c>
      <c r="R11" s="55">
        <f>R7-R10</f>
        <v>244.06450504197232</v>
      </c>
      <c r="S11" s="55">
        <f>S7-S10</f>
        <v>244.06450504197232</v>
      </c>
      <c r="T11" s="55">
        <f>T7-T10</f>
        <v>244.06450504197232</v>
      </c>
      <c r="U11" s="55">
        <f>U7-U10</f>
        <v>138.5995050419723</v>
      </c>
      <c r="V11" s="55">
        <f>V7-V10</f>
        <v>59.7022050419723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-76.11104975856875</v>
      </c>
      <c r="D16" s="55">
        <f>D11*D15</f>
        <v>-138.64895498232187</v>
      </c>
      <c r="E16" s="55">
        <f>E11*E15</f>
        <v>-123.79370980564448</v>
      </c>
      <c r="F16" s="55">
        <f>F11*F15</f>
        <v>-110.530098040754</v>
      </c>
      <c r="G16" s="55">
        <f>G11*G15</f>
        <v>-15.434383572190447</v>
      </c>
      <c r="H16" s="55">
        <f>H11*H15</f>
        <v>1.362559515550677</v>
      </c>
      <c r="I16" s="55">
        <f>I11*I15</f>
        <v>24.852087207925894</v>
      </c>
      <c r="J16" s="55">
        <f>J11*J15</f>
        <v>50.82604442400512</v>
      </c>
      <c r="K16" s="55">
        <f>K11*K15</f>
        <v>72.28590170211342</v>
      </c>
      <c r="L16" s="55">
        <f>L11*L15</f>
        <v>88.56375589024947</v>
      </c>
      <c r="M16" s="55">
        <f>M11*M15</f>
        <v>96.22733986180246</v>
      </c>
      <c r="N16" s="55">
        <f>N11*N15</f>
        <v>88.7723034103302</v>
      </c>
      <c r="O16" s="55">
        <f>O11*O15</f>
        <v>75.08458483190357</v>
      </c>
      <c r="P16" s="55">
        <f>P11*P15</f>
        <v>55.907302052105265</v>
      </c>
      <c r="Q16" s="55">
        <f>Q11*Q15</f>
        <v>49.917233975093986</v>
      </c>
      <c r="R16" s="55">
        <f>R11*R15</f>
        <v>44.56895890633392</v>
      </c>
      <c r="S16" s="55">
        <f>S11*S15</f>
        <v>39.7937133092267</v>
      </c>
      <c r="T16" s="55">
        <f>T11*T15</f>
        <v>35.53010116895241</v>
      </c>
      <c r="U16" s="55">
        <f>U11*U15</f>
        <v>18.015050231074948</v>
      </c>
      <c r="V16" s="55">
        <f>V11*V15</f>
        <v>6.928610490317819</v>
      </c>
    </row>
    <row r="17">
      <c r="A17" s="14" t="inlineStr">
        <is>
          <t>Tax-loss carryforward, end of year</t>
        </is>
      </c>
      <c r="C17" s="23">
        <f>Assumptions!$B$21-C8+MAX(0,-C7)</f>
        <v>937.659</v>
      </c>
      <c r="D17" s="23">
        <f>C17-D8+MAX(0,-D7)</f>
        <v>1093.018</v>
      </c>
      <c r="E17" s="23">
        <f>D17-E8+MAX(0,-E7)</f>
        <v>1248.377</v>
      </c>
      <c r="F17" s="23">
        <f>E17-F8+MAX(0,-F7)</f>
        <v>1403.7359999999999</v>
      </c>
      <c r="G17" s="23">
        <f>F17-G8+MAX(0,-G7)</f>
        <v>1428.0335885544653</v>
      </c>
      <c r="H17" s="23">
        <f>G17-H8+MAX(0,-H7)</f>
        <v>1425.6311771089306</v>
      </c>
      <c r="I17" s="23">
        <f>H17-I8+MAX(0,-I7)</f>
        <v>1376.554765663396</v>
      </c>
      <c r="J17" s="23">
        <f>I17-J8+MAX(0,-J7)</f>
        <v>1264.1423542178613</v>
      </c>
      <c r="K17" s="23">
        <f>J17-K8+MAX(0,-K7)</f>
        <v>1085.0819427723268</v>
      </c>
      <c r="L17" s="23">
        <f>K17-L8+MAX(0,-L7)</f>
        <v>839.3735313267923</v>
      </c>
      <c r="M17" s="23">
        <f>L17-M8+MAX(0,-M7)</f>
        <v>540.3671198812578</v>
      </c>
      <c r="N17" s="23">
        <f>M17-N8+MAX(0,-N7)</f>
        <v>231.4247084357233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924.564839445481</v>
      </c>
    </row>
    <row r="20">
      <c r="A20" s="14" t="inlineStr">
        <is>
          <t>PV of corporate burn</t>
        </is>
      </c>
      <c r="B20" s="23">
        <f>SUMPRODUCT(C6:V6,C15:V15)</f>
        <v>-569.6396911480936</v>
      </c>
    </row>
    <row r="21">
      <c r="A21" s="14" t="inlineStr">
        <is>
          <t>PV of taxes</t>
        </is>
      </c>
      <c r="B21" s="23">
        <f>-SUMPRODUCT(C10:V10,C15:V15)</f>
        <v>-70.80779747988119</v>
      </c>
    </row>
    <row r="22">
      <c r="A22" s="24" t="inlineStr">
        <is>
          <t>Pipeline rNPV (operations)</t>
        </is>
      </c>
      <c r="B22" s="54">
        <f>SUM(C16:V16)</f>
        <v>284.11735081750624</v>
      </c>
    </row>
    <row r="23">
      <c r="A23" s="14" t="inlineStr">
        <is>
          <t>Cash &amp; investments</t>
        </is>
      </c>
      <c r="B23" s="57">
        <f>Main!C7</f>
        <v>147.606</v>
      </c>
    </row>
    <row r="24">
      <c r="A24" s="14" t="inlineStr">
        <is>
          <t>Debt</t>
        </is>
      </c>
      <c r="B24" s="57">
        <f>Main!C8</f>
        <v>52.851</v>
      </c>
    </row>
    <row r="25">
      <c r="A25" s="24" t="inlineStr">
        <is>
          <t>Equity value</t>
        </is>
      </c>
      <c r="B25" s="54">
        <f>B22+B23-B24</f>
        <v>378.87235081750623</v>
      </c>
    </row>
    <row r="26">
      <c r="A26" s="14" t="inlineStr">
        <is>
          <t>Shares (mm)</t>
        </is>
      </c>
      <c r="B26" s="57">
        <f>Main!C4</f>
        <v>30.255352</v>
      </c>
    </row>
    <row r="27">
      <c r="A27" s="24" t="inlineStr">
        <is>
          <t>rNPV / share</t>
        </is>
      </c>
      <c r="B27" s="60">
        <f>B25/B26</f>
        <v>12.522490262797348</v>
      </c>
    </row>
    <row r="28">
      <c r="A28" s="14" t="inlineStr">
        <is>
          <t>Price</t>
        </is>
      </c>
      <c r="B28" s="61">
        <f>Main!C3</f>
        <v>6.395</v>
      </c>
    </row>
    <row r="29">
      <c r="A29" s="14" t="inlineStr">
        <is>
          <t>Upside</t>
        </is>
      </c>
      <c r="B29" s="62">
        <f>B27/B28-1</f>
        <v>0.9581689230332053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2026-10-21T06:26:54Z</dcterms:modified>
  <cp:lastModifiedBy>Wang, Eric</cp:lastModifiedBy>
</cp:coreProperties>
</file>