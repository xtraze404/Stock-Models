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Neumora Therapeutics Inc</t>
        </is>
      </c>
      <c r="C2" s="10" t="n"/>
    </row>
    <row r="3">
      <c r="B3" t="inlineStr">
        <is>
          <t>Price</t>
        </is>
      </c>
      <c r="C3" s="11">
        <f>INDEX([1]Pharma!$F$1:$F$1000,MATCH("NMRA",[1]Pharma!$B$1:$B$1000,0))</f>
        <v>0.465</v>
      </c>
      <c r="F3" s="1" t="n"/>
    </row>
    <row r="4">
      <c r="B4" t="inlineStr">
        <is>
          <t>Shares</t>
        </is>
      </c>
      <c r="C4" s="21" t="n">
        <v>187.895912</v>
      </c>
      <c r="F4" s="1" t="n"/>
    </row>
    <row r="5">
      <c r="B5" t="inlineStr">
        <is>
          <t>Market Cap.</t>
        </is>
      </c>
      <c r="C5" s="13">
        <f>C3*C4</f>
        <v>87.37159908000001</v>
      </c>
      <c r="F5" s="1" t="n"/>
    </row>
    <row r="6"/>
    <row r="7">
      <c r="B7" t="inlineStr">
        <is>
          <t>Cash</t>
        </is>
      </c>
      <c r="C7" s="21" t="n">
        <v>116.834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-29.462400919999993</v>
      </c>
    </row>
    <row r="10"/>
    <row r="11">
      <c r="B11" s="14" t="inlineStr">
        <is>
          <t>rNPV / Share</t>
        </is>
      </c>
      <c r="C11" s="11">
        <f>NPV!B27</f>
        <v>5.357296288249819</v>
      </c>
    </row>
    <row r="12">
      <c r="B12" s="14" t="inlineStr">
        <is>
          <t>Upside</t>
        </is>
      </c>
      <c r="C12" s="15">
        <f>IFERROR(C11/C3-1,"")</f>
        <v>10.52106728655875</v>
      </c>
    </row>
    <row r="13">
      <c r="B13" s="14" t="inlineStr">
        <is>
          <t>Cash / Share</t>
        </is>
      </c>
      <c r="C13" s="11">
        <f>IFERROR((C7-C8)/C4,"")</f>
        <v>0.621801713280489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-180.52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0.6472080655883005</v>
      </c>
    </row>
    <row r="19">
      <c r="B19" s="14" t="inlineStr">
        <is>
          <t>Implied Pipeline Value</t>
        </is>
      </c>
      <c r="C19" s="13">
        <f>C9</f>
        <v>-29.462400919999993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91.749</v>
      </c>
      <c r="C5" s="23" t="n">
        <v>142.719</v>
      </c>
      <c r="D5" s="23" t="n">
        <v>200.927</v>
      </c>
      <c r="E5" s="23" t="n">
        <v>176.065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44.121</v>
      </c>
      <c r="C6" s="23" t="n">
        <v>109.379</v>
      </c>
      <c r="D6" s="23" t="n">
        <v>62.537</v>
      </c>
      <c r="E6" s="23" t="n">
        <v>65.09099999999999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135.87</v>
      </c>
      <c r="C7" s="23">
        <f>SUM(C5:C6)</f>
        <v>252.098</v>
      </c>
      <c r="D7" s="23">
        <f>SUM(D5:D6)</f>
        <v>263.464</v>
      </c>
      <c r="E7" s="23">
        <f>SUM(E5:E6)</f>
        <v>241.156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-135.87</v>
      </c>
      <c r="C8" s="23">
        <f>C4-C7</f>
        <v>-252.098</v>
      </c>
      <c r="D8" s="23">
        <f>D4-D7</f>
        <v>-263.464</v>
      </c>
      <c r="E8" s="23">
        <f>E4-E7</f>
        <v>-241.156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4.966</v>
      </c>
      <c r="C9" s="23" t="n">
        <v>16.441</v>
      </c>
      <c r="D9" s="23" t="n">
        <v>507.429</v>
      </c>
      <c r="E9" s="23" t="n">
        <v>478.214</v>
      </c>
    </row>
    <row r="10">
      <c r="A10" s="2" t="inlineStr">
        <is>
          <t>Pretax</t>
        </is>
      </c>
      <c r="B10" s="23">
        <f>B8+B9</f>
        <v>-130.904</v>
      </c>
      <c r="C10" s="23">
        <f>C8+C9</f>
        <v>-235.657</v>
      </c>
      <c r="D10" s="23">
        <f>D8+D9</f>
        <v>243.96499999999997</v>
      </c>
      <c r="E10" s="23">
        <f>E8+E9</f>
        <v>237.058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0.268</v>
      </c>
      <c r="D11" s="23" t="n">
        <v>0.178</v>
      </c>
      <c r="E11" s="23" t="n">
        <v>0.13</v>
      </c>
    </row>
    <row r="12">
      <c r="A12" s="2" t="inlineStr">
        <is>
          <t>Net Income</t>
        </is>
      </c>
      <c r="B12" s="23" t="n">
        <v>-130.904</v>
      </c>
      <c r="C12" s="23" t="n">
        <v>-235.925</v>
      </c>
      <c r="D12" s="23" t="n">
        <v>243.787</v>
      </c>
      <c r="E12" s="23" t="n">
        <v>236.928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-4.811408828610284</v>
      </c>
      <c r="C13" s="11">
        <f>IFERROR(C12/C14,0)</f>
        <v>-3.62844311837714</v>
      </c>
      <c r="D13" s="11">
        <f>IFERROR(D12/D14,0)</f>
        <v>1.5296247262779448</v>
      </c>
      <c r="E13" s="11">
        <f>IFERROR(E12/E14,0)</f>
        <v>1.450067629183982</v>
      </c>
    </row>
    <row r="14">
      <c r="A14" s="2" t="inlineStr">
        <is>
          <t>Shares</t>
        </is>
      </c>
      <c r="B14" s="23" t="n">
        <v>27.207</v>
      </c>
      <c r="C14" s="23" t="n">
        <v>65.021</v>
      </c>
      <c r="D14" s="23" t="n">
        <v>159.377</v>
      </c>
      <c r="E14" s="23" t="n">
        <v>163.391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Neumora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0.5772665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211.234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366.8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889.7800719349149</v>
      </c>
      <c r="C29" s="42">
        <f>NPV!B25</f>
        <v>1006.6140719349148</v>
      </c>
      <c r="D29" s="43">
        <f>NPV!B27</f>
        <v>5.357296288249819</v>
      </c>
      <c r="E29" s="44">
        <f>NPV!B29</f>
        <v>10.52106728655875</v>
      </c>
    </row>
    <row r="30">
      <c r="A30" s="45" t="n">
        <v>1</v>
      </c>
      <c r="B30" s="46">
        <f t="dataTable" ref="B30:E32" r1="B4"/>
        <v>78.97129655910602</v>
      </c>
      <c r="C30" s="46">
        <v>195.805296559106</v>
      </c>
      <c r="D30" s="47">
        <v>1.0420945004865567</v>
      </c>
      <c r="E30" s="48">
        <v>1.2410634419065736</v>
      </c>
    </row>
    <row r="31">
      <c r="A31" s="45" t="n">
        <v>2</v>
      </c>
      <c r="B31" s="46">
        <v>889.7800719349149</v>
      </c>
      <c r="C31" s="46">
        <v>1006.6140719349148</v>
      </c>
      <c r="D31" s="47">
        <v>5.357296288249819</v>
      </c>
      <c r="E31" s="48">
        <v>10.52106728655875</v>
      </c>
    </row>
    <row r="32">
      <c r="A32" s="45" t="n">
        <v>3</v>
      </c>
      <c r="B32" s="46">
        <v>2152.346547756462</v>
      </c>
      <c r="C32" s="46">
        <v>2269.1805477564617</v>
      </c>
      <c r="D32" s="47">
        <v>12.076795730161823</v>
      </c>
      <c r="E32" s="48">
        <v>24.971603720778113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5.357296288249819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0.2680937459411786</v>
      </c>
      <c r="C37" s="47">
        <v>1.4685410492559576</v>
      </c>
      <c r="D37" s="47">
        <v>2.639834406455254</v>
      </c>
      <c r="E37" s="47">
        <v>4.943981804958737</v>
      </c>
      <c r="F37" s="47">
        <v>7.2301628223513745</v>
      </c>
    </row>
    <row r="38">
      <c r="A38" s="50" t="n">
        <v>0.8</v>
      </c>
      <c r="B38" s="47">
        <v>0.8875763662124276</v>
      </c>
      <c r="C38" s="47">
        <v>2.4592222908143</v>
      </c>
      <c r="D38" s="47">
        <v>4.002404657220992</v>
      </c>
      <c r="E38" s="47">
        <v>7.0546604113455045</v>
      </c>
      <c r="F38" s="47">
        <v>10.089054485671836</v>
      </c>
    </row>
    <row r="39">
      <c r="A39" s="50" t="n">
        <v>1</v>
      </c>
      <c r="B39" s="47">
        <v>1.4996618559144814</v>
      </c>
      <c r="C39" s="47">
        <v>3.441901552305051</v>
      </c>
      <c r="D39" s="47">
        <v>5.357296288249819</v>
      </c>
      <c r="E39" s="47">
        <v>9.158963000875536</v>
      </c>
      <c r="F39" s="47">
        <v>12.943981989602248</v>
      </c>
    </row>
    <row r="40">
      <c r="A40" s="50" t="n">
        <v>1.2</v>
      </c>
      <c r="B40" s="47">
        <v>2.1083244570026176</v>
      </c>
      <c r="C40" s="47">
        <v>4.42382650492989</v>
      </c>
      <c r="D40" s="47">
        <v>6.715683923707231</v>
      </c>
      <c r="E40" s="47">
        <v>11.267275035196725</v>
      </c>
      <c r="F40" s="47">
        <v>15.797044933198814</v>
      </c>
    </row>
    <row r="41">
      <c r="A41" s="50" t="n">
        <v>1.4</v>
      </c>
      <c r="B41" s="47">
        <v>2.7177156856185225</v>
      </c>
      <c r="C41" s="47">
        <v>5.404756317616925</v>
      </c>
      <c r="D41" s="47">
        <v>8.06940688423799</v>
      </c>
      <c r="E41" s="47">
        <v>13.371018872594375</v>
      </c>
      <c r="F41" s="47">
        <v>18.654077684860223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Neumora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Depression / mood</t>
        </is>
      </c>
      <c r="C4" s="14" t="inlineStr">
        <is>
          <t>NMRA-335140, NMRA-335140 80 mg</t>
        </is>
      </c>
      <c r="D4" s="14" t="inlineStr">
        <is>
          <t>Phase 3</t>
        </is>
      </c>
      <c r="E4" s="14" t="inlineStr">
        <is>
          <t>Psychiatry / chronic</t>
        </is>
      </c>
      <c r="F4" s="14" t="inlineStr">
        <is>
          <t>Owned</t>
        </is>
      </c>
      <c r="G4" s="40" t="n">
        <v>2000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1580.7667677246109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110.2</v>
      </c>
      <c r="Q4" s="23">
        <f>IF(Q$3&lt;$I4,0,$G4*Assumptions!$E$11*INDEX(Assumptions!$B$24:$G$24,MIN(6,Q$3-$I4+1))*IF(Q$3&gt;$J4,(1-Assumptions!$B$26)^(Q$3-$J4),1)*IF($H4&gt;=1,1,MIN(0.97,$H4*Assumptions!$E$12)))</f>
        <v>275.5</v>
      </c>
      <c r="R4" s="23">
        <f>IF(R$3&lt;$I4,0,$G4*Assumptions!$E$11*INDEX(Assumptions!$B$24:$G$24,MIN(6,R$3-$I4+1))*IF(R$3&gt;$J4,(1-Assumptions!$B$26)^(R$3-$J4),1)*IF($H4&gt;=1,1,MIN(0.97,$H4*Assumptions!$E$12)))</f>
        <v>495.90000000000003</v>
      </c>
      <c r="S4" s="23">
        <f>IF(S$3&lt;$I4,0,$G4*Assumptions!$E$11*INDEX(Assumptions!$B$24:$G$24,MIN(6,S$3-$I4+1))*IF(S$3&gt;$J4,(1-Assumptions!$B$26)^(S$3-$J4),1)*IF($H4&gt;=1,1,MIN(0.97,$H4*Assumptions!$E$12)))</f>
        <v>716.3000000000001</v>
      </c>
      <c r="T4" s="23">
        <f>IF(T$3&lt;$I4,0,$G4*Assumptions!$E$11*INDEX(Assumptions!$B$24:$G$24,MIN(6,T$3-$I4+1))*IF(T$3&gt;$J4,(1-Assumptions!$B$26)^(T$3-$J4),1)*IF($H4&gt;=1,1,MIN(0.97,$H4*Assumptions!$E$12)))</f>
        <v>936.7</v>
      </c>
      <c r="U4" s="23">
        <f>IF(U$3&lt;$I4,0,$G4*Assumptions!$E$11*INDEX(Assumptions!$B$24:$G$24,MIN(6,U$3-$I4+1))*IF(U$3&gt;$J4,(1-Assumptions!$B$26)^(U$3-$J4),1)*IF($H4&gt;=1,1,MIN(0.97,$H4*Assumptions!$E$12)))</f>
        <v>1102.0</v>
      </c>
      <c r="V4" s="23">
        <f>IF(V$3&lt;$I4,0,$G4*Assumptions!$E$11*INDEX(Assumptions!$B$24:$G$24,MIN(6,V$3-$I4+1))*IF(V$3&gt;$J4,(1-Assumptions!$B$26)^(V$3-$J4),1)*IF($H4&gt;=1,1,MIN(0.97,$H4*Assumptions!$E$12)))</f>
        <v>1102.0</v>
      </c>
      <c r="W4" s="23">
        <f>IF(W$3&lt;$I4,0,$G4*Assumptions!$E$11*INDEX(Assumptions!$B$24:$G$24,MIN(6,W$3-$I4+1))*IF(W$3&gt;$J4,(1-Assumptions!$B$26)^(W$3-$J4),1)*IF($H4&gt;=1,1,MIN(0.97,$H4*Assumptions!$E$12)))</f>
        <v>1102.0</v>
      </c>
      <c r="X4" s="23">
        <f>IF(X$3&lt;$I4,0,$G4*Assumptions!$E$11*INDEX(Assumptions!$B$24:$G$24,MIN(6,X$3-$I4+1))*IF(X$3&gt;$J4,(1-Assumptions!$B$26)^(X$3-$J4),1)*IF($H4&gt;=1,1,MIN(0.97,$H4*Assumptions!$E$12)))</f>
        <v>1102.0</v>
      </c>
      <c r="Y4" s="23">
        <f>IF(Y$3&lt;$I4,0,$G4*Assumptions!$E$11*INDEX(Assumptions!$B$24:$G$24,MIN(6,Y$3-$I4+1))*IF(Y$3&gt;$J4,(1-Assumptions!$B$26)^(Y$3-$J4),1)*IF($H4&gt;=1,1,MIN(0.97,$H4*Assumptions!$E$12)))</f>
        <v>1102.0</v>
      </c>
      <c r="Z4" s="23">
        <f>IF(Z$3&lt;$I4,0,$G4*Assumptions!$E$11*INDEX(Assumptions!$B$24:$G$24,MIN(6,Z$3-$I4+1))*IF(Z$3&gt;$J4,(1-Assumptions!$B$26)^(Z$3-$J4),1)*IF($H4&gt;=1,1,MIN(0.97,$H4*Assumptions!$E$12)))</f>
        <v>1102.0</v>
      </c>
      <c r="AA4" s="23">
        <f>IF(AA$3&lt;$I4,0,$G4*Assumptions!$E$11*INDEX(Assumptions!$B$24:$G$24,MIN(6,AA$3-$I4+1))*IF(AA$3&gt;$J4,(1-Assumptions!$B$26)^(AA$3-$J4),1)*IF($H4&gt;=1,1,MIN(0.97,$H4*Assumptions!$E$12)))</f>
        <v>1102.0</v>
      </c>
      <c r="AB4" s="23">
        <f>IF(AB$3&lt;$I4,0,$G4*Assumptions!$E$11*INDEX(Assumptions!$B$24:$G$24,MIN(6,AB$3-$I4+1))*IF(AB$3&gt;$J4,(1-Assumptions!$B$26)^(AB$3-$J4),1)*IF($H4&gt;=1,1,MIN(0.97,$H4*Assumptions!$E$12)))</f>
        <v>1102.0</v>
      </c>
      <c r="AC4" s="23">
        <f>IF(AC$3&lt;$I4,0,$G4*Assumptions!$E$11*INDEX(Assumptions!$B$24:$G$24,MIN(6,AC$3-$I4+1))*IF(AC$3&gt;$J4,(1-Assumptions!$B$26)^(AC$3-$J4),1)*IF($H4&gt;=1,1,MIN(0.97,$H4*Assumptions!$E$12)))</f>
        <v>551.0</v>
      </c>
      <c r="AD4" s="23">
        <f>IF(AD$3&lt;$I4,0,$G4*Assumptions!$E$11*INDEX(Assumptions!$B$24:$G$24,MIN(6,AD$3-$I4+1))*IF(AD$3&gt;$J4,(1-Assumptions!$B$26)^(AD$3-$J4),1)*IF($H4&gt;=1,1,MIN(0.97,$H4*Assumptions!$E$12)))</f>
        <v>275.5</v>
      </c>
      <c r="AE4" s="23">
        <f>IF(AE$3&lt;$I4,0,$G4*Assumptions!$E$11*INDEX(Assumptions!$B$24:$G$24,MIN(6,AE$3-$I4+1))*IF(AE$3&gt;$J4,(1-Assumptions!$B$26)^(AE$3-$J4),1)*IF($H4&gt;=1,1,MIN(0.97,$H4*Assumptions!$E$12)))</f>
        <v>137.75</v>
      </c>
      <c r="AF4" s="23">
        <f>IF(AF$3&lt;$I4,0,$G4*Assumptions!$E$11*INDEX(Assumptions!$B$24:$G$24,MIN(6,AF$3-$I4+1))*IF(AF$3&gt;$J4,(1-Assumptions!$B$26)^(AF$3-$J4),1)*IF($H4&gt;=1,1,MIN(0.97,$H4*Assumptions!$E$12)))</f>
        <v>68.875</v>
      </c>
      <c r="AG4" s="35">
        <f>IF(F4="Owned",1-IF(H4&gt;=1,1,MIN(0.97,H4*Assumptions!$E$12)),1)</f>
        <v>0.44899999999999995</v>
      </c>
    </row>
    <row r="5">
      <c r="A5" s="39" t="n">
        <v>2</v>
      </c>
      <c r="B5" s="14" t="inlineStr">
        <is>
          <t>Alzheimer's disease</t>
        </is>
      </c>
      <c r="C5" s="14" t="inlineStr">
        <is>
          <t>NMRA-323511</t>
        </is>
      </c>
      <c r="D5" s="14" t="inlineStr">
        <is>
          <t>Phase 1</t>
        </is>
      </c>
      <c r="E5" s="14" t="inlineStr">
        <is>
          <t>Neurology / chronic</t>
        </is>
      </c>
      <c r="F5" s="14" t="inlineStr">
        <is>
          <t>Owned</t>
        </is>
      </c>
      <c r="G5" s="40" t="n">
        <v>4000</v>
      </c>
      <c r="H5" s="27" t="n">
        <v>0.0585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204.90704453003923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23.400000000000002</v>
      </c>
      <c r="U5" s="23">
        <f>IF(U$3&lt;$I5,0,$G5*Assumptions!$E$11*INDEX(Assumptions!$B$24:$G$24,MIN(6,U$3-$I5+1))*IF(U$3&gt;$J5,(1-Assumptions!$B$26)^(U$3-$J5),1)*IF($H5&gt;=1,1,MIN(0.97,$H5*Assumptions!$E$12)))</f>
        <v>58.5</v>
      </c>
      <c r="V5" s="23">
        <f>IF(V$3&lt;$I5,0,$G5*Assumptions!$E$11*INDEX(Assumptions!$B$24:$G$24,MIN(6,V$3-$I5+1))*IF(V$3&gt;$J5,(1-Assumptions!$B$26)^(V$3-$J5),1)*IF($H5&gt;=1,1,MIN(0.97,$H5*Assumptions!$E$12)))</f>
        <v>105.30000000000001</v>
      </c>
      <c r="W5" s="23">
        <f>IF(W$3&lt;$I5,0,$G5*Assumptions!$E$11*INDEX(Assumptions!$B$24:$G$24,MIN(6,W$3-$I5+1))*IF(W$3&gt;$J5,(1-Assumptions!$B$26)^(W$3-$J5),1)*IF($H5&gt;=1,1,MIN(0.97,$H5*Assumptions!$E$12)))</f>
        <v>152.10000000000002</v>
      </c>
      <c r="X5" s="23">
        <f>IF(X$3&lt;$I5,0,$G5*Assumptions!$E$11*INDEX(Assumptions!$B$24:$G$24,MIN(6,X$3-$I5+1))*IF(X$3&gt;$J5,(1-Assumptions!$B$26)^(X$3-$J5),1)*IF($H5&gt;=1,1,MIN(0.97,$H5*Assumptions!$E$12)))</f>
        <v>198.9</v>
      </c>
      <c r="Y5" s="23">
        <f>IF(Y$3&lt;$I5,0,$G5*Assumptions!$E$11*INDEX(Assumptions!$B$24:$G$24,MIN(6,Y$3-$I5+1))*IF(Y$3&gt;$J5,(1-Assumptions!$B$26)^(Y$3-$J5),1)*IF($H5&gt;=1,1,MIN(0.97,$H5*Assumptions!$E$12)))</f>
        <v>234.0</v>
      </c>
      <c r="Z5" s="23">
        <f>IF(Z$3&lt;$I5,0,$G5*Assumptions!$E$11*INDEX(Assumptions!$B$24:$G$24,MIN(6,Z$3-$I5+1))*IF(Z$3&gt;$J5,(1-Assumptions!$B$26)^(Z$3-$J5),1)*IF($H5&gt;=1,1,MIN(0.97,$H5*Assumptions!$E$12)))</f>
        <v>234.0</v>
      </c>
      <c r="AA5" s="23">
        <f>IF(AA$3&lt;$I5,0,$G5*Assumptions!$E$11*INDEX(Assumptions!$B$24:$G$24,MIN(6,AA$3-$I5+1))*IF(AA$3&gt;$J5,(1-Assumptions!$B$26)^(AA$3-$J5),1)*IF($H5&gt;=1,1,MIN(0.97,$H5*Assumptions!$E$12)))</f>
        <v>234.0</v>
      </c>
      <c r="AB5" s="23">
        <f>IF(AB$3&lt;$I5,0,$G5*Assumptions!$E$11*INDEX(Assumptions!$B$24:$G$24,MIN(6,AB$3-$I5+1))*IF(AB$3&gt;$J5,(1-Assumptions!$B$26)^(AB$3-$J5),1)*IF($H5&gt;=1,1,MIN(0.97,$H5*Assumptions!$E$12)))</f>
        <v>234.0</v>
      </c>
      <c r="AC5" s="23">
        <f>IF(AC$3&lt;$I5,0,$G5*Assumptions!$E$11*INDEX(Assumptions!$B$24:$G$24,MIN(6,AC$3-$I5+1))*IF(AC$3&gt;$J5,(1-Assumptions!$B$26)^(AC$3-$J5),1)*IF($H5&gt;=1,1,MIN(0.97,$H5*Assumptions!$E$12)))</f>
        <v>234.0</v>
      </c>
      <c r="AD5" s="23">
        <f>IF(AD$3&lt;$I5,0,$G5*Assumptions!$E$11*INDEX(Assumptions!$B$24:$G$24,MIN(6,AD$3-$I5+1))*IF(AD$3&gt;$J5,(1-Assumptions!$B$26)^(AD$3-$J5),1)*IF($H5&gt;=1,1,MIN(0.97,$H5*Assumptions!$E$12)))</f>
        <v>234.0</v>
      </c>
      <c r="AE5" s="23">
        <f>IF(AE$3&lt;$I5,0,$G5*Assumptions!$E$11*INDEX(Assumptions!$B$24:$G$24,MIN(6,AE$3-$I5+1))*IF(AE$3&gt;$J5,(1-Assumptions!$B$26)^(AE$3-$J5),1)*IF($H5&gt;=1,1,MIN(0.97,$H5*Assumptions!$E$12)))</f>
        <v>234.0</v>
      </c>
      <c r="AF5" s="23">
        <f>IF(AF$3&lt;$I5,0,$G5*Assumptions!$E$11*INDEX(Assumptions!$B$24:$G$24,MIN(6,AF$3-$I5+1))*IF(AF$3&gt;$J5,(1-Assumptions!$B$26)^(AF$3-$J5),1)*IF($H5&gt;=1,1,MIN(0.97,$H5*Assumptions!$E$12)))</f>
        <v>234.0</v>
      </c>
      <c r="AG5" s="35">
        <f>IF(F5="Owned",1-IF(H5&gt;=1,1,MIN(0.97,H5*Assumptions!$E$12)),1)</f>
        <v>0.9415</v>
      </c>
    </row>
    <row r="6">
      <c r="B6" s="24" t="inlineStr">
        <is>
          <t>Risked revenue</t>
        </is>
      </c>
      <c r="L6" s="54">
        <f>SUM(L4:L5)</f>
        <v>1785.67381225465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110.2</v>
      </c>
      <c r="Q6" s="54">
        <f>SUM(Q4:Q5)</f>
        <v>275.5</v>
      </c>
      <c r="R6" s="54">
        <f>SUM(R4:R5)</f>
        <v>495.90000000000003</v>
      </c>
      <c r="S6" s="54">
        <f>SUM(S4:S5)</f>
        <v>716.3000000000001</v>
      </c>
      <c r="T6" s="54">
        <f>SUM(T4:T5)</f>
        <v>960.1</v>
      </c>
      <c r="U6" s="54">
        <f>SUM(U4:U5)</f>
        <v>1160.5</v>
      </c>
      <c r="V6" s="54">
        <f>SUM(V4:V5)</f>
        <v>1207.3</v>
      </c>
      <c r="W6" s="54">
        <f>SUM(W4:W5)</f>
        <v>1254.1</v>
      </c>
      <c r="X6" s="54">
        <f>SUM(X4:X5)</f>
        <v>1300.9</v>
      </c>
      <c r="Y6" s="54">
        <f>SUM(Y4:Y5)</f>
        <v>1336.0</v>
      </c>
      <c r="Z6" s="54">
        <f>SUM(Z4:Z5)</f>
        <v>1336.0</v>
      </c>
      <c r="AA6" s="54">
        <f>SUM(AA4:AA5)</f>
        <v>1336.0</v>
      </c>
      <c r="AB6" s="54">
        <f>SUM(AB4:AB5)</f>
        <v>1336.0</v>
      </c>
      <c r="AC6" s="54">
        <f>SUM(AC4:AC5)</f>
        <v>785.0</v>
      </c>
      <c r="AD6" s="54">
        <f>SUM(AD4:AD5)</f>
        <v>509.5</v>
      </c>
      <c r="AE6" s="54">
        <f>SUM(AE4:AE5)</f>
        <v>371.75</v>
      </c>
      <c r="AF6" s="54">
        <f>SUM(AF4:AF5)</f>
        <v>302.875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44.080000000000005</v>
      </c>
      <c r="Q7" s="55">
        <f>SUMPRODUCT(Q4:Q5,$K$4:$K$5)</f>
        <v>110.2</v>
      </c>
      <c r="R7" s="55">
        <f>SUMPRODUCT(R4:R5,$K$4:$K$5)</f>
        <v>198.36</v>
      </c>
      <c r="S7" s="55">
        <f>SUMPRODUCT(S4:S5,$K$4:$K$5)</f>
        <v>286.52000000000004</v>
      </c>
      <c r="T7" s="55">
        <f>SUMPRODUCT(T4:T5,$K$4:$K$5)</f>
        <v>384.0400000000001</v>
      </c>
      <c r="U7" s="55">
        <f>SUMPRODUCT(U4:U5,$K$4:$K$5)</f>
        <v>464.2</v>
      </c>
      <c r="V7" s="55">
        <f>SUMPRODUCT(V4:V5,$K$4:$K$5)</f>
        <v>482.92</v>
      </c>
      <c r="W7" s="55">
        <f>SUMPRODUCT(W4:W5,$K$4:$K$5)</f>
        <v>501.64000000000004</v>
      </c>
      <c r="X7" s="55">
        <f>SUMPRODUCT(X4:X5,$K$4:$K$5)</f>
        <v>520.36</v>
      </c>
      <c r="Y7" s="55">
        <f>SUMPRODUCT(Y4:Y5,$K$4:$K$5)</f>
        <v>534.4</v>
      </c>
      <c r="Z7" s="55">
        <f>SUMPRODUCT(Z4:Z5,$K$4:$K$5)</f>
        <v>534.4</v>
      </c>
      <c r="AA7" s="55">
        <f>SUMPRODUCT(AA4:AA5,$K$4:$K$5)</f>
        <v>534.4</v>
      </c>
      <c r="AB7" s="55">
        <f>SUMPRODUCT(AB4:AB5,$K$4:$K$5)</f>
        <v>534.4</v>
      </c>
      <c r="AC7" s="55">
        <f>SUMPRODUCT(AC4:AC5,$K$4:$K$5)</f>
        <v>314.0</v>
      </c>
      <c r="AD7" s="55">
        <f>SUMPRODUCT(AD4:AD5,$K$4:$K$5)</f>
        <v>203.8</v>
      </c>
      <c r="AE7" s="55">
        <f>SUMPRODUCT(AE4:AE5,$K$4:$K$5)</f>
        <v>148.70000000000002</v>
      </c>
      <c r="AF7" s="55">
        <f>SUMPRODUCT(AF4:AF5,$K$4:$K$5)</f>
        <v>121.15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Neumora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110.2</v>
      </c>
      <c r="G4" s="57">
        <f>Pipeline!Q6</f>
        <v>275.5</v>
      </c>
      <c r="H4" s="57">
        <f>Pipeline!R6</f>
        <v>495.90000000000003</v>
      </c>
      <c r="I4" s="57">
        <f>Pipeline!S6</f>
        <v>716.3000000000001</v>
      </c>
      <c r="J4" s="57">
        <f>Pipeline!T6</f>
        <v>960.1</v>
      </c>
      <c r="K4" s="57">
        <f>Pipeline!U6</f>
        <v>1160.5</v>
      </c>
      <c r="L4" s="57">
        <f>Pipeline!V6</f>
        <v>1207.3</v>
      </c>
      <c r="M4" s="57">
        <f>Pipeline!W6</f>
        <v>1254.1</v>
      </c>
      <c r="N4" s="57">
        <f>Pipeline!X6</f>
        <v>1300.9</v>
      </c>
      <c r="O4" s="57">
        <f>Pipeline!Y6</f>
        <v>1336.0</v>
      </c>
      <c r="P4" s="57">
        <f>Pipeline!Z6</f>
        <v>1336.0</v>
      </c>
      <c r="Q4" s="57">
        <f>Pipeline!AA6</f>
        <v>1336.0</v>
      </c>
      <c r="R4" s="57">
        <f>Pipeline!AB6</f>
        <v>1336.0</v>
      </c>
      <c r="S4" s="57">
        <f>Pipeline!AC6</f>
        <v>785.0</v>
      </c>
      <c r="T4" s="57">
        <f>Pipeline!AD6</f>
        <v>509.5</v>
      </c>
      <c r="U4" s="57">
        <f>Pipeline!AE6</f>
        <v>371.75</v>
      </c>
      <c r="V4" s="57">
        <f>Pipeline!AF6</f>
        <v>302.875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44.080000000000005</v>
      </c>
      <c r="G5" s="57">
        <f>Pipeline!Q7</f>
        <v>110.2</v>
      </c>
      <c r="H5" s="57">
        <f>Pipeline!R7</f>
        <v>198.36</v>
      </c>
      <c r="I5" s="57">
        <f>Pipeline!S7</f>
        <v>286.52000000000004</v>
      </c>
      <c r="J5" s="57">
        <f>Pipeline!T7</f>
        <v>384.0400000000001</v>
      </c>
      <c r="K5" s="57">
        <f>Pipeline!U7</f>
        <v>464.2</v>
      </c>
      <c r="L5" s="57">
        <f>Pipeline!V7</f>
        <v>482.92</v>
      </c>
      <c r="M5" s="57">
        <f>Pipeline!W7</f>
        <v>501.64000000000004</v>
      </c>
      <c r="N5" s="57">
        <f>Pipeline!X7</f>
        <v>520.36</v>
      </c>
      <c r="O5" s="57">
        <f>Pipeline!Y7</f>
        <v>534.4</v>
      </c>
      <c r="P5" s="57">
        <f>Pipeline!Z7</f>
        <v>534.4</v>
      </c>
      <c r="Q5" s="57">
        <f>Pipeline!AA7</f>
        <v>534.4</v>
      </c>
      <c r="R5" s="57">
        <f>Pipeline!AB7</f>
        <v>534.4</v>
      </c>
      <c r="S5" s="57">
        <f>Pipeline!AC7</f>
        <v>314.0</v>
      </c>
      <c r="T5" s="57">
        <f>Pipeline!AD7</f>
        <v>203.8</v>
      </c>
      <c r="U5" s="57">
        <f>Pipeline!AE7</f>
        <v>148.70000000000002</v>
      </c>
      <c r="V5" s="57">
        <f>Pipeline!AF7</f>
        <v>121.15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-211.234</v>
      </c>
      <c r="D6" s="23">
        <f>-IF(D3-2026&lt;Assumptions!$B$19,Assumptions!$B$18,Assumptions!$B$18*Assumptions!$B$20*Assumptions!$B$16)</f>
        <v>-211.234</v>
      </c>
      <c r="E6" s="23">
        <f>-IF(E3-2026&lt;Assumptions!$B$19,Assumptions!$B$18,Assumptions!$B$18*Assumptions!$B$20*Assumptions!$B$16)</f>
        <v>-211.234</v>
      </c>
      <c r="F6" s="23">
        <f>-IF(F3-2026&lt;Assumptions!$B$19,Assumptions!$B$18,Assumptions!$B$18*Assumptions!$B$20*Assumptions!$B$16)</f>
        <v>-36.5814935583</v>
      </c>
      <c r="G6" s="23">
        <f>-IF(G3-2026&lt;Assumptions!$B$19,Assumptions!$B$18,Assumptions!$B$18*Assumptions!$B$20*Assumptions!$B$16)</f>
        <v>-36.5814935583</v>
      </c>
      <c r="H6" s="23">
        <f>-IF(H3-2026&lt;Assumptions!$B$19,Assumptions!$B$18,Assumptions!$B$18*Assumptions!$B$20*Assumptions!$B$16)</f>
        <v>-36.5814935583</v>
      </c>
      <c r="I6" s="23">
        <f>-IF(I3-2026&lt;Assumptions!$B$19,Assumptions!$B$18,Assumptions!$B$18*Assumptions!$B$20*Assumptions!$B$16)</f>
        <v>-36.5814935583</v>
      </c>
      <c r="J6" s="23">
        <f>-IF(J3-2026&lt;Assumptions!$B$19,Assumptions!$B$18,Assumptions!$B$18*Assumptions!$B$20*Assumptions!$B$16)</f>
        <v>-36.5814935583</v>
      </c>
      <c r="K6" s="23">
        <f>-IF(K3-2026&lt;Assumptions!$B$19,Assumptions!$B$18,Assumptions!$B$18*Assumptions!$B$20*Assumptions!$B$16)</f>
        <v>-36.5814935583</v>
      </c>
      <c r="L6" s="23">
        <f>-IF(L3-2026&lt;Assumptions!$B$19,Assumptions!$B$18,Assumptions!$B$18*Assumptions!$B$20*Assumptions!$B$16)</f>
        <v>-36.5814935583</v>
      </c>
      <c r="M6" s="23">
        <f>-IF(M3-2026&lt;Assumptions!$B$19,Assumptions!$B$18,Assumptions!$B$18*Assumptions!$B$20*Assumptions!$B$16)</f>
        <v>-36.5814935583</v>
      </c>
      <c r="N6" s="23">
        <f>-IF(N3-2026&lt;Assumptions!$B$19,Assumptions!$B$18,Assumptions!$B$18*Assumptions!$B$20*Assumptions!$B$16)</f>
        <v>-36.5814935583</v>
      </c>
      <c r="O6" s="23">
        <f>-IF(O3-2026&lt;Assumptions!$B$19,Assumptions!$B$18,Assumptions!$B$18*Assumptions!$B$20*Assumptions!$B$16)</f>
        <v>-36.5814935583</v>
      </c>
      <c r="P6" s="23">
        <f>-IF(P3-2026&lt;Assumptions!$B$19,Assumptions!$B$18,Assumptions!$B$18*Assumptions!$B$20*Assumptions!$B$16)</f>
        <v>-36.5814935583</v>
      </c>
      <c r="Q6" s="23">
        <f>-IF(Q3-2026&lt;Assumptions!$B$19,Assumptions!$B$18,Assumptions!$B$18*Assumptions!$B$20*Assumptions!$B$16)</f>
        <v>-36.5814935583</v>
      </c>
      <c r="R6" s="23">
        <f>-IF(R3-2026&lt;Assumptions!$B$19,Assumptions!$B$18,Assumptions!$B$18*Assumptions!$B$20*Assumptions!$B$16)</f>
        <v>-36.5814935583</v>
      </c>
      <c r="S6" s="23">
        <f>-IF(S3-2026&lt;Assumptions!$B$19,Assumptions!$B$18,Assumptions!$B$18*Assumptions!$B$20*Assumptions!$B$16)</f>
        <v>-36.5814935583</v>
      </c>
      <c r="T6" s="23">
        <f>-IF(T3-2026&lt;Assumptions!$B$19,Assumptions!$B$18,Assumptions!$B$18*Assumptions!$B$20*Assumptions!$B$16)</f>
        <v>-36.5814935583</v>
      </c>
      <c r="U6" s="23">
        <f>-IF(U3-2026&lt;Assumptions!$B$19,Assumptions!$B$18,Assumptions!$B$18*Assumptions!$B$20*Assumptions!$B$16)</f>
        <v>-36.5814935583</v>
      </c>
      <c r="V6" s="23">
        <f>-IF(V3-2026&lt;Assumptions!$B$19,Assumptions!$B$18,Assumptions!$B$18*Assumptions!$B$20*Assumptions!$B$16)</f>
        <v>-36.5814935583</v>
      </c>
    </row>
    <row r="7">
      <c r="A7" s="14" t="inlineStr">
        <is>
          <t>Pre-tax cash flow</t>
        </is>
      </c>
      <c r="C7" s="23">
        <f>C5+C6</f>
        <v>-211.234</v>
      </c>
      <c r="D7" s="23">
        <f>D5+D6</f>
        <v>-211.234</v>
      </c>
      <c r="E7" s="23">
        <f>E5+E6</f>
        <v>-211.234</v>
      </c>
      <c r="F7" s="23">
        <f>F5+F6</f>
        <v>7.498506441700009</v>
      </c>
      <c r="G7" s="23">
        <f>G5+G6</f>
        <v>73.6185064417</v>
      </c>
      <c r="H7" s="23">
        <f>H5+H6</f>
        <v>161.77850644170002</v>
      </c>
      <c r="I7" s="23">
        <f>I5+I6</f>
        <v>249.93850644170004</v>
      </c>
      <c r="J7" s="23">
        <f>J5+J6</f>
        <v>347.4585064417001</v>
      </c>
      <c r="K7" s="23">
        <f>K5+K6</f>
        <v>427.6185064417</v>
      </c>
      <c r="L7" s="23">
        <f>L5+L6</f>
        <v>446.3385064417</v>
      </c>
      <c r="M7" s="23">
        <f>M5+M6</f>
        <v>465.05850644170005</v>
      </c>
      <c r="N7" s="23">
        <f>N5+N6</f>
        <v>483.7785064417</v>
      </c>
      <c r="O7" s="23">
        <f>O5+O6</f>
        <v>497.8185064417</v>
      </c>
      <c r="P7" s="23">
        <f>P5+P6</f>
        <v>497.8185064417</v>
      </c>
      <c r="Q7" s="23">
        <f>Q5+Q6</f>
        <v>497.8185064417</v>
      </c>
      <c r="R7" s="23">
        <f>R5+R6</f>
        <v>497.8185064417</v>
      </c>
      <c r="S7" s="23">
        <f>S5+S6</f>
        <v>277.4185064417</v>
      </c>
      <c r="T7" s="23">
        <f>T5+T6</f>
        <v>167.21850644170001</v>
      </c>
      <c r="U7" s="23">
        <f>U5+U6</f>
        <v>112.11850644170002</v>
      </c>
      <c r="V7" s="23">
        <f>V5+V6</f>
        <v>84.56850644170001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7.498506441700009</v>
      </c>
      <c r="G8" s="23">
        <f>MIN(F17,MAX(0,G7))</f>
        <v>73.6185064417</v>
      </c>
      <c r="H8" s="23">
        <f>MIN(G17,MAX(0,H7))</f>
        <v>161.77850644170002</v>
      </c>
      <c r="I8" s="23">
        <f>MIN(H17,MAX(0,I7))</f>
        <v>249.93850644170004</v>
      </c>
      <c r="J8" s="23">
        <f>MIN(I17,MAX(0,J7))</f>
        <v>347.4585064417001</v>
      </c>
      <c r="K8" s="23">
        <f>MIN(J17,MAX(0,K7))</f>
        <v>160.2094677914999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267.4090386502001</v>
      </c>
      <c r="L9" s="23">
        <f>MAX(0,L7)-L8</f>
        <v>446.3385064417</v>
      </c>
      <c r="M9" s="23">
        <f>MAX(0,M7)-M8</f>
        <v>465.05850644170005</v>
      </c>
      <c r="N9" s="23">
        <f>MAX(0,N7)-N8</f>
        <v>483.7785064417</v>
      </c>
      <c r="O9" s="23">
        <f>MAX(0,O7)-O8</f>
        <v>497.8185064417</v>
      </c>
      <c r="P9" s="23">
        <f>MAX(0,P7)-P8</f>
        <v>497.8185064417</v>
      </c>
      <c r="Q9" s="23">
        <f>MAX(0,Q7)-Q8</f>
        <v>497.8185064417</v>
      </c>
      <c r="R9" s="23">
        <f>MAX(0,R7)-R8</f>
        <v>497.8185064417</v>
      </c>
      <c r="S9" s="23">
        <f>MAX(0,S7)-S8</f>
        <v>277.4185064417</v>
      </c>
      <c r="T9" s="23">
        <f>MAX(0,T7)-T8</f>
        <v>167.21850644170001</v>
      </c>
      <c r="U9" s="23">
        <f>MAX(0,U7)-U8</f>
        <v>112.11850644170002</v>
      </c>
      <c r="V9" s="23">
        <f>MAX(0,V7)-V8</f>
        <v>84.56850644170001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56.15589811654202</v>
      </c>
      <c r="L10" s="23">
        <f>L9*Assumptions!$E$15</f>
        <v>93.731086352757</v>
      </c>
      <c r="M10" s="23">
        <f>M9*Assumptions!$E$15</f>
        <v>97.66228635275701</v>
      </c>
      <c r="N10" s="23">
        <f>N9*Assumptions!$E$15</f>
        <v>101.593486352757</v>
      </c>
      <c r="O10" s="23">
        <f>O9*Assumptions!$E$15</f>
        <v>104.54188635275699</v>
      </c>
      <c r="P10" s="23">
        <f>P9*Assumptions!$E$15</f>
        <v>104.54188635275699</v>
      </c>
      <c r="Q10" s="23">
        <f>Q9*Assumptions!$E$15</f>
        <v>104.54188635275699</v>
      </c>
      <c r="R10" s="23">
        <f>R9*Assumptions!$E$15</f>
        <v>104.54188635275699</v>
      </c>
      <c r="S10" s="23">
        <f>S9*Assumptions!$E$15</f>
        <v>58.257886352757</v>
      </c>
      <c r="T10" s="23">
        <f>T9*Assumptions!$E$15</f>
        <v>35.115886352757</v>
      </c>
      <c r="U10" s="23">
        <f>U9*Assumptions!$E$15</f>
        <v>23.544886352757004</v>
      </c>
      <c r="V10" s="23">
        <f>V9*Assumptions!$E$15</f>
        <v>17.759386352757</v>
      </c>
    </row>
    <row r="11">
      <c r="A11" s="24" t="inlineStr">
        <is>
          <t>Free cash flow</t>
        </is>
      </c>
      <c r="C11" s="55">
        <f>C7-C10</f>
        <v>-211.234</v>
      </c>
      <c r="D11" s="55">
        <f>D7-D10</f>
        <v>-211.234</v>
      </c>
      <c r="E11" s="55">
        <f>E7-E10</f>
        <v>-211.234</v>
      </c>
      <c r="F11" s="55">
        <f>F7-F10</f>
        <v>7.498506441700009</v>
      </c>
      <c r="G11" s="55">
        <f>G7-G10</f>
        <v>73.6185064417</v>
      </c>
      <c r="H11" s="55">
        <f>H7-H10</f>
        <v>161.77850644170002</v>
      </c>
      <c r="I11" s="55">
        <f>I7-I10</f>
        <v>249.93850644170004</v>
      </c>
      <c r="J11" s="55">
        <f>J7-J10</f>
        <v>347.4585064417001</v>
      </c>
      <c r="K11" s="55">
        <f>K7-K10</f>
        <v>371.462608325158</v>
      </c>
      <c r="L11" s="55">
        <f>L7-L10</f>
        <v>352.607420088943</v>
      </c>
      <c r="M11" s="55">
        <f>M7-M10</f>
        <v>367.39622008894304</v>
      </c>
      <c r="N11" s="55">
        <f>N7-N10</f>
        <v>382.185020088943</v>
      </c>
      <c r="O11" s="55">
        <f>O7-O10</f>
        <v>393.276620088943</v>
      </c>
      <c r="P11" s="55">
        <f>P7-P10</f>
        <v>393.276620088943</v>
      </c>
      <c r="Q11" s="55">
        <f>Q7-Q10</f>
        <v>393.276620088943</v>
      </c>
      <c r="R11" s="55">
        <f>R7-R10</f>
        <v>393.276620088943</v>
      </c>
      <c r="S11" s="55">
        <f>S7-S10</f>
        <v>219.160620088943</v>
      </c>
      <c r="T11" s="55">
        <f>T7-T10</f>
        <v>132.102620088943</v>
      </c>
      <c r="U11" s="55">
        <f>U7-U10</f>
        <v>88.57362008894302</v>
      </c>
      <c r="V11" s="55">
        <f>V7-V10</f>
        <v>66.809120088943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-103.48445525976295</v>
      </c>
      <c r="D16" s="55">
        <f>D11*D15</f>
        <v>-188.5141727015221</v>
      </c>
      <c r="E16" s="55">
        <f>E11*E15</f>
        <v>-168.316225626359</v>
      </c>
      <c r="F16" s="55">
        <f>F11*F15</f>
        <v>5.334809390896745</v>
      </c>
      <c r="G16" s="55">
        <f>G11*G15</f>
        <v>46.764157845785405</v>
      </c>
      <c r="H16" s="55">
        <f>H11*H15</f>
        <v>91.75482566628683</v>
      </c>
      <c r="I16" s="55">
        <f>I11*I15</f>
        <v>126.56780265202256</v>
      </c>
      <c r="J16" s="55">
        <f>J11*J15</f>
        <v>157.09956985008563</v>
      </c>
      <c r="K16" s="55">
        <f>K11*K15</f>
        <v>149.95782358944567</v>
      </c>
      <c r="L16" s="55">
        <f>L11*L15</f>
        <v>127.09470259535688</v>
      </c>
      <c r="M16" s="55">
        <f>M11*M15</f>
        <v>118.23679888175282</v>
      </c>
      <c r="N16" s="55">
        <f>N11*N15</f>
        <v>109.81802208208657</v>
      </c>
      <c r="O16" s="55">
        <f>O11*O15</f>
        <v>100.89742037593676</v>
      </c>
      <c r="P16" s="55">
        <f>P11*P15</f>
        <v>90.08698247851495</v>
      </c>
      <c r="Q16" s="55">
        <f>Q11*Q15</f>
        <v>80.43480578438836</v>
      </c>
      <c r="R16" s="55">
        <f>R11*R15</f>
        <v>71.81679087891817</v>
      </c>
      <c r="S16" s="55">
        <f>S11*S15</f>
        <v>35.733237338186235</v>
      </c>
      <c r="T16" s="55">
        <f>T11*T15</f>
        <v>19.23106129519595</v>
      </c>
      <c r="U16" s="55">
        <f>U11*U15</f>
        <v>11.512726647669066</v>
      </c>
      <c r="V16" s="55">
        <f>V11*V15</f>
        <v>7.753388170030335</v>
      </c>
    </row>
    <row r="17">
      <c r="A17" s="14" t="inlineStr">
        <is>
          <t>Tax-loss carryforward, end of year</t>
        </is>
      </c>
      <c r="C17" s="23">
        <f>Assumptions!$B$21-C8+MAX(0,-C7)</f>
        <v>578.034</v>
      </c>
      <c r="D17" s="23">
        <f>C17-D8+MAX(0,-D7)</f>
        <v>789.268</v>
      </c>
      <c r="E17" s="23">
        <f>D17-E8+MAX(0,-E7)</f>
        <v>1000.5020000000001</v>
      </c>
      <c r="F17" s="23">
        <f>E17-F8+MAX(0,-F7)</f>
        <v>993.0034935583001</v>
      </c>
      <c r="G17" s="23">
        <f>F17-G8+MAX(0,-G7)</f>
        <v>919.3849871166001</v>
      </c>
      <c r="H17" s="23">
        <f>G17-H8+MAX(0,-H7)</f>
        <v>757.6064806749</v>
      </c>
      <c r="I17" s="23">
        <f>H17-I8+MAX(0,-I7)</f>
        <v>507.66797423319997</v>
      </c>
      <c r="J17" s="23">
        <f>I17-J8+MAX(0,-J7)</f>
        <v>160.2094677914999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1785.67381225465</v>
      </c>
    </row>
    <row r="20">
      <c r="A20" s="14" t="inlineStr">
        <is>
          <t>PV of corporate burn</t>
        </is>
      </c>
      <c r="B20" s="23">
        <f>SUMPRODUCT(C6:V6,C15:V15)</f>
        <v>-667.8449310392871</v>
      </c>
    </row>
    <row r="21">
      <c r="A21" s="14" t="inlineStr">
        <is>
          <t>PV of taxes</t>
        </is>
      </c>
      <c r="B21" s="23">
        <f>-SUMPRODUCT(C10:V10,C15:V15)</f>
        <v>-228.04880928044835</v>
      </c>
    </row>
    <row r="22">
      <c r="A22" s="24" t="inlineStr">
        <is>
          <t>Pipeline rNPV (operations)</t>
        </is>
      </c>
      <c r="B22" s="54">
        <f>SUM(C16:V16)</f>
        <v>889.7800719349149</v>
      </c>
    </row>
    <row r="23">
      <c r="A23" s="14" t="inlineStr">
        <is>
          <t>Cash &amp; investments</t>
        </is>
      </c>
      <c r="B23" s="57">
        <f>Main!C7</f>
        <v>116.834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1006.6140719349148</v>
      </c>
    </row>
    <row r="26">
      <c r="A26" s="14" t="inlineStr">
        <is>
          <t>Shares (mm)</t>
        </is>
      </c>
      <c r="B26" s="57">
        <f>Main!C4</f>
        <v>187.895912</v>
      </c>
    </row>
    <row r="27">
      <c r="A27" s="24" t="inlineStr">
        <is>
          <t>rNPV / share</t>
        </is>
      </c>
      <c r="B27" s="60">
        <f>B25/B26</f>
        <v>5.357296288249819</v>
      </c>
    </row>
    <row r="28">
      <c r="A28" s="14" t="inlineStr">
        <is>
          <t>Price</t>
        </is>
      </c>
      <c r="B28" s="61">
        <f>Main!C3</f>
        <v>0.465</v>
      </c>
    </row>
    <row r="29">
      <c r="A29" s="14" t="inlineStr">
        <is>
          <t>Upside</t>
        </is>
      </c>
      <c r="B29" s="62">
        <f>B27/B28-1</f>
        <v>10.52106728655875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2026-10-21T06:28:24Z</dcterms:modified>
  <cp:lastModifiedBy>Wang, Eric</cp:lastModifiedBy>
</cp:coreProperties>
</file>