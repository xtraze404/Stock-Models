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Neumora Therapeutics Inc</t>
        </is>
      </c>
      <c r="C2" s="10" t="n"/>
    </row>
    <row r="3">
      <c r="B3" t="inlineStr">
        <is>
          <t>Price</t>
        </is>
      </c>
      <c r="C3" s="11">
        <f>INDEX([1]Pharma!$F$1:$F$1000,MATCH("NMRA",[1]Pharma!$B$1:$B$1000,0))</f>
        <v>0.465</v>
      </c>
      <c r="F3" s="1" t="n"/>
    </row>
    <row r="4">
      <c r="B4" t="inlineStr">
        <is>
          <t>Shares</t>
        </is>
      </c>
      <c r="C4" s="21" t="n">
        <v>187.895912</v>
      </c>
      <c r="F4" s="1" t="n"/>
    </row>
    <row r="5">
      <c r="B5" t="inlineStr">
        <is>
          <t>Market Cap.</t>
        </is>
      </c>
      <c r="C5" s="13">
        <f>C3*C4</f>
        <v>87.37159908000001</v>
      </c>
      <c r="F5" s="1" t="n"/>
    </row>
    <row r="6"/>
    <row r="7">
      <c r="B7" t="inlineStr">
        <is>
          <t>Cash</t>
        </is>
      </c>
      <c r="C7" s="21" t="n">
        <v>116.834</v>
      </c>
    </row>
    <row r="8">
      <c r="B8" t="inlineStr">
        <is>
          <t>Debt</t>
        </is>
      </c>
      <c r="C8" s="21" t="n"/>
    </row>
    <row r="9">
      <c r="B9" t="inlineStr">
        <is>
          <t>Enterprise V.</t>
        </is>
      </c>
      <c r="C9" s="13">
        <f>C5-C7+C8</f>
        <v>-29.462400919999993</v>
      </c>
    </row>
    <row r="10"/>
    <row r="11">
      <c r="B11" s="14" t="inlineStr">
        <is>
          <t>Net Cash / Share</t>
        </is>
      </c>
      <c r="C11" s="11">
        <f>(C7-C8)/C4</f>
        <v>0.621801713280489</v>
      </c>
    </row>
    <row r="12">
      <c r="B12" s="14" t="inlineStr">
        <is>
          <t>Upside</t>
        </is>
      </c>
      <c r="C12" s="15">
        <f>IFERROR(C11/C3-1,"")</f>
        <v>0.33720798554943876</v>
      </c>
    </row>
    <row r="13">
      <c r="B13" s="14" t="inlineStr">
        <is>
          <t>Cash / Share</t>
        </is>
      </c>
      <c r="C13" s="11">
        <f>IFERROR((C7-C8)/C4,"")</f>
        <v>0.621801713280489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-180.52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0.6472080655883005</v>
      </c>
    </row>
    <row r="19">
      <c r="B19" s="14" t="inlineStr">
        <is>
          <t>Implied Pipeline Value</t>
        </is>
      </c>
      <c r="C19" s="13">
        <f>C9</f>
        <v>-29.462400919999993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2022</v>
      </c>
      <c r="C1" s="17" t="n">
        <v>2023</v>
      </c>
      <c r="D1" s="17" t="n">
        <v>2024</v>
      </c>
      <c r="E1" s="17" t="n">
        <v>2025</v>
      </c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91.749</v>
      </c>
      <c r="C5" s="23" t="n">
        <v>142.719</v>
      </c>
      <c r="D5" s="23" t="n">
        <v>200.927</v>
      </c>
      <c r="E5" s="23" t="n">
        <v>176.065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44.121</v>
      </c>
      <c r="C6" s="23" t="n">
        <v>109.379</v>
      </c>
      <c r="D6" s="23" t="n">
        <v>62.537</v>
      </c>
      <c r="E6" s="23" t="n">
        <v>65.09099999999999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135.87</v>
      </c>
      <c r="C7" s="23">
        <f>SUM(C5:C6)</f>
        <v>252.098</v>
      </c>
      <c r="D7" s="23">
        <f>SUM(D5:D6)</f>
        <v>263.464</v>
      </c>
      <c r="E7" s="23">
        <f>SUM(E5:E6)</f>
        <v>241.156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-135.87</v>
      </c>
      <c r="C8" s="23">
        <f>C4-C7</f>
        <v>-252.098</v>
      </c>
      <c r="D8" s="23">
        <f>D4-D7</f>
        <v>-263.464</v>
      </c>
      <c r="E8" s="23">
        <f>E4-E7</f>
        <v>-241.156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4.966</v>
      </c>
      <c r="C9" s="23" t="n">
        <v>16.441</v>
      </c>
      <c r="D9" s="23" t="n">
        <v>507.429</v>
      </c>
      <c r="E9" s="23" t="n">
        <v>478.214</v>
      </c>
    </row>
    <row r="10">
      <c r="A10" s="2" t="inlineStr">
        <is>
          <t>Pretax</t>
        </is>
      </c>
      <c r="B10" s="23">
        <f>B8+B9</f>
        <v>-130.904</v>
      </c>
      <c r="C10" s="23">
        <f>C8+C9</f>
        <v>-235.657</v>
      </c>
      <c r="D10" s="23">
        <f>D8+D9</f>
        <v>243.96499999999997</v>
      </c>
      <c r="E10" s="23">
        <f>E8+E9</f>
        <v>237.058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0.268</v>
      </c>
      <c r="D11" s="23" t="n">
        <v>0.178</v>
      </c>
      <c r="E11" s="23" t="n">
        <v>0.13</v>
      </c>
    </row>
    <row r="12">
      <c r="A12" s="2" t="inlineStr">
        <is>
          <t>Net Income</t>
        </is>
      </c>
      <c r="B12" s="23" t="n">
        <v>-130.904</v>
      </c>
      <c r="C12" s="23" t="n">
        <v>-235.925</v>
      </c>
      <c r="D12" s="23" t="n">
        <v>243.787</v>
      </c>
      <c r="E12" s="23" t="n">
        <v>236.928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-4.811408828610284</v>
      </c>
      <c r="C13" s="11">
        <f>IFERROR(C12/C14,0)</f>
        <v>-3.62844311837714</v>
      </c>
      <c r="D13" s="11">
        <f>IFERROR(D12/D14,0)</f>
        <v>1.5296247262779448</v>
      </c>
      <c r="E13" s="11">
        <f>IFERROR(E12/E14,0)</f>
        <v>1.450067629183982</v>
      </c>
    </row>
    <row r="14">
      <c r="A14" s="2" t="inlineStr">
        <is>
          <t>Shares</t>
        </is>
      </c>
      <c r="B14" s="23" t="n">
        <v>27.207</v>
      </c>
      <c r="C14" s="23" t="n">
        <v>65.021</v>
      </c>
      <c r="D14" s="23" t="n">
        <v>159.377</v>
      </c>
      <c r="E14" s="23" t="n">
        <v>163.391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2026-10-21T01:06:00Z</dcterms:modified>
  <cp:lastModifiedBy>Wang, Eric</cp:lastModifiedBy>
</cp:coreProperties>
</file>