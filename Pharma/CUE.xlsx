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Cue Biopharma, Inc.</t>
        </is>
      </c>
      <c r="C2" s="10" t="n"/>
    </row>
    <row r="3">
      <c r="B3" t="inlineStr">
        <is>
          <t>Price</t>
        </is>
      </c>
      <c r="C3" s="11">
        <f>INDEX([1]Pharma!$F$1:$F$1000,MATCH("CUE",[1]Pharma!$B$1:$B$1000,0))</f>
        <v>17.04</v>
      </c>
      <c r="F3" s="1" t="n"/>
    </row>
    <row r="4">
      <c r="B4" t="inlineStr">
        <is>
          <t>Shares</t>
        </is>
      </c>
      <c r="C4" s="21" t="n">
        <v>7.264414</v>
      </c>
      <c r="F4" s="1" t="n"/>
    </row>
    <row r="5">
      <c r="B5" t="inlineStr">
        <is>
          <t>Market Cap.</t>
        </is>
      </c>
      <c r="C5" s="13">
        <f>C3*C4</f>
        <v>123.78561456</v>
      </c>
      <c r="F5" s="1" t="n"/>
    </row>
    <row r="6"/>
    <row r="7">
      <c r="B7" t="inlineStr">
        <is>
          <t>Cash</t>
        </is>
      </c>
      <c r="C7" s="21" t="n">
        <v>17.392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106.39361456</v>
      </c>
    </row>
    <row r="10"/>
    <row r="11">
      <c r="B11" s="14" t="inlineStr">
        <is>
          <t>rNPV / Share</t>
        </is>
      </c>
      <c r="C11" s="11">
        <f>NPV!B27</f>
        <v>-16.706764154425343</v>
      </c>
    </row>
    <row r="12">
      <c r="B12" s="14" t="inlineStr">
        <is>
          <t>Upside</t>
        </is>
      </c>
      <c r="C12" s="15">
        <f>IFERROR(C11/C3-1,"")</f>
        <v>-1.9804439057761352</v>
      </c>
    </row>
    <row r="13">
      <c r="B13" s="14" t="inlineStr">
        <is>
          <t>Cash / Share</t>
        </is>
      </c>
      <c r="C13" s="11">
        <f>IFERROR((C7-C8)/C4,"")</f>
        <v>2.3941366777829565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-50.046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0.34752028134116614</v>
      </c>
    </row>
    <row r="19">
      <c r="B19" s="14" t="inlineStr">
        <is>
          <t>Implied Pipeline Value</t>
        </is>
      </c>
      <c r="C19" s="13">
        <f>C9</f>
        <v>106.39361456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1.143</v>
      </c>
      <c r="D2" s="23" t="n">
        <v>3.458</v>
      </c>
      <c r="E2" s="23" t="n">
        <v>3.154</v>
      </c>
      <c r="F2" s="23" t="n">
        <v>14.941</v>
      </c>
      <c r="G2" s="23" t="n">
        <v>1.245</v>
      </c>
      <c r="H2" s="23" t="n">
        <v>5.49</v>
      </c>
      <c r="I2" s="23" t="n">
        <v>9.287000000000001</v>
      </c>
      <c r="J2" s="23" t="n">
        <v>27.466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1.143</v>
      </c>
      <c r="D4" s="23">
        <f>D2-D3</f>
        <v>3.458</v>
      </c>
      <c r="E4" s="23">
        <f>E2-E3</f>
        <v>3.154</v>
      </c>
      <c r="F4" s="23">
        <f>F2-F3</f>
        <v>14.941</v>
      </c>
      <c r="G4" s="23">
        <f>G2-G3</f>
        <v>1.245</v>
      </c>
      <c r="H4" s="23">
        <f>H2-H3</f>
        <v>5.49</v>
      </c>
      <c r="I4" s="23">
        <f>I2-I3</f>
        <v>9.287</v>
      </c>
      <c r="J4" s="23">
        <f>J2-J3</f>
        <v>27.466</v>
      </c>
      <c r="K4" s="1" t="n"/>
    </row>
    <row r="5">
      <c r="A5" s="2" t="inlineStr">
        <is>
          <t>Research &amp; Dev.</t>
        </is>
      </c>
      <c r="B5" s="23" t="n">
        <v>18.9</v>
      </c>
      <c r="C5" s="23" t="n">
        <v>28.544</v>
      </c>
      <c r="D5" s="23" t="n">
        <v>27.487</v>
      </c>
      <c r="E5" s="23" t="n">
        <v>33.546</v>
      </c>
      <c r="F5" s="23" t="n">
        <v>41.347</v>
      </c>
      <c r="G5" s="23" t="n">
        <v>38.578</v>
      </c>
      <c r="H5" s="23" t="n">
        <v>40.802</v>
      </c>
      <c r="I5" s="23" t="n">
        <v>36.295</v>
      </c>
      <c r="J5" s="23" t="n">
        <v>37.743</v>
      </c>
      <c r="K5" s="1" t="n"/>
    </row>
    <row r="6">
      <c r="A6" s="19" t="inlineStr">
        <is>
          <t>SG&amp;A &amp; Other</t>
        </is>
      </c>
      <c r="B6" s="23" t="n">
        <v>4.334</v>
      </c>
      <c r="C6" s="23" t="n">
        <v>11.295</v>
      </c>
      <c r="D6" s="23" t="n">
        <v>12.74</v>
      </c>
      <c r="E6" s="23" t="n">
        <v>14.651</v>
      </c>
      <c r="F6" s="23" t="n">
        <v>17.307</v>
      </c>
      <c r="G6" s="23" t="n">
        <v>15.892</v>
      </c>
      <c r="H6" s="23" t="n">
        <v>16.837</v>
      </c>
      <c r="I6" s="23" t="n">
        <v>14.492</v>
      </c>
      <c r="J6" s="23" t="n">
        <v>16.275</v>
      </c>
      <c r="K6" s="1" t="n"/>
    </row>
    <row r="7">
      <c r="A7" s="2" t="inlineStr">
        <is>
          <t>Operating Expense</t>
        </is>
      </c>
      <c r="B7" s="23">
        <f>SUM(B5:B6)</f>
        <v>23.233999999999998</v>
      </c>
      <c r="C7" s="23">
        <f>SUM(C5:C6)</f>
        <v>39.839</v>
      </c>
      <c r="D7" s="23">
        <f>SUM(D5:D6)</f>
        <v>40.227</v>
      </c>
      <c r="E7" s="23">
        <f>SUM(E5:E6)</f>
        <v>48.197</v>
      </c>
      <c r="F7" s="23">
        <f>SUM(F5:F6)</f>
        <v>58.653999999999996</v>
      </c>
      <c r="G7" s="23">
        <f>SUM(G5:G6)</f>
        <v>54.47</v>
      </c>
      <c r="H7" s="23">
        <f>SUM(H5:H6)</f>
        <v>57.638999999999996</v>
      </c>
      <c r="I7" s="23">
        <f>SUM(I5:I6)</f>
        <v>50.787000000000006</v>
      </c>
      <c r="J7" s="23">
        <f>SUM(J5:J6)</f>
        <v>54.018</v>
      </c>
      <c r="K7" s="1" t="n"/>
    </row>
    <row r="8">
      <c r="A8" s="2" t="inlineStr">
        <is>
          <t>Operating Income</t>
        </is>
      </c>
      <c r="B8" s="23">
        <f>B4-B7</f>
        <v>-23.233999999999998</v>
      </c>
      <c r="C8" s="23">
        <f>C4-C7</f>
        <v>-38.696</v>
      </c>
      <c r="D8" s="23">
        <f>D4-D7</f>
        <v>-36.769</v>
      </c>
      <c r="E8" s="23">
        <f>E4-E7</f>
        <v>-45.043000000000006</v>
      </c>
      <c r="F8" s="23">
        <f>F4-F7</f>
        <v>-43.712999999999994</v>
      </c>
      <c r="G8" s="23">
        <f>G4-G7</f>
        <v>-53.225</v>
      </c>
      <c r="H8" s="23">
        <f>H4-H7</f>
        <v>-52.148999999999994</v>
      </c>
      <c r="I8" s="23">
        <f>I4-I7</f>
        <v>-41.50000000000001</v>
      </c>
      <c r="J8" s="23">
        <f>J4-J7</f>
        <v>-26.552</v>
      </c>
      <c r="K8" s="1" t="n"/>
    </row>
    <row r="9">
      <c r="A9" s="19" t="inlineStr">
        <is>
          <t>Interest &amp; Other</t>
        </is>
      </c>
      <c r="B9" s="23" t="n">
        <v>0</v>
      </c>
      <c r="C9" s="23" t="n">
        <v>0.541</v>
      </c>
      <c r="D9" s="23" t="n">
        <v>0.483</v>
      </c>
      <c r="E9" s="23" t="n">
        <v>0.464</v>
      </c>
      <c r="F9" s="23" t="n">
        <v>0.046</v>
      </c>
      <c r="G9" s="23" t="n">
        <v>0.215</v>
      </c>
      <c r="H9" s="23" t="n">
        <v>1.416</v>
      </c>
      <c r="I9" s="23" t="n">
        <v>0.826</v>
      </c>
      <c r="J9" s="23" t="n">
        <v>0.45</v>
      </c>
    </row>
    <row r="10">
      <c r="A10" s="2" t="inlineStr">
        <is>
          <t>Pretax</t>
        </is>
      </c>
      <c r="B10" s="23">
        <f>B8+B9</f>
        <v>-23.233999999999998</v>
      </c>
      <c r="C10" s="23">
        <f>C8+C9</f>
        <v>-38.155</v>
      </c>
      <c r="D10" s="23">
        <f>D8+D9</f>
        <v>-36.286</v>
      </c>
      <c r="E10" s="23">
        <f>E8+E9</f>
        <v>-44.57900000000001</v>
      </c>
      <c r="F10" s="23">
        <f>F8+F9</f>
        <v>-43.666999999999994</v>
      </c>
      <c r="G10" s="23">
        <f>G8+G9</f>
        <v>-53.01</v>
      </c>
      <c r="H10" s="23">
        <f>H8+H9</f>
        <v>-50.733</v>
      </c>
      <c r="I10" s="23">
        <f>I8+I9</f>
        <v>-40.67400000000001</v>
      </c>
      <c r="J10" s="23">
        <f>J8+J9</f>
        <v>-26.102</v>
      </c>
      <c r="K10" s="1" t="n"/>
    </row>
    <row r="11">
      <c r="A11" s="2" t="inlineStr">
        <is>
          <t>Taxes</t>
        </is>
      </c>
      <c r="B11" s="23" t="n">
        <v>0</v>
      </c>
      <c r="C11" s="23" t="n">
        <v>0.825</v>
      </c>
      <c r="D11" s="23" t="n">
        <v>0.412</v>
      </c>
      <c r="E11" s="23" t="n">
        <v>0.206</v>
      </c>
      <c r="F11" s="23" t="n">
        <v>0.495</v>
      </c>
      <c r="G11" s="23" t="n">
        <v>0</v>
      </c>
      <c r="H11" s="23" t="n">
        <v>0</v>
      </c>
      <c r="I11" s="23" t="n">
        <v>0</v>
      </c>
      <c r="J11" s="23" t="n">
        <v>0.5</v>
      </c>
    </row>
    <row r="12">
      <c r="A12" s="2" t="inlineStr">
        <is>
          <t>Net Income</t>
        </is>
      </c>
      <c r="B12" s="23" t="n">
        <v>-23.234</v>
      </c>
      <c r="C12" s="23" t="n">
        <v>-38.98</v>
      </c>
      <c r="D12" s="23" t="n">
        <v>-36.699</v>
      </c>
      <c r="E12" s="23" t="n">
        <v>-44.785</v>
      </c>
      <c r="F12" s="23" t="n">
        <v>-44.161</v>
      </c>
      <c r="G12" s="23" t="n">
        <v>-53.01</v>
      </c>
      <c r="H12" s="23" t="n">
        <v>-50.733</v>
      </c>
      <c r="I12" s="23" t="n">
        <v>-40.674</v>
      </c>
      <c r="J12" s="23" t="n">
        <v>-26.602</v>
      </c>
      <c r="K12" s="1" t="n"/>
    </row>
    <row r="13">
      <c r="A13" s="2" t="inlineStr">
        <is>
          <t>Earnings per Share</t>
        </is>
      </c>
      <c r="B13" s="11">
        <f>IFERROR(B12/B14,0)</f>
        <v>-2.164927320163996</v>
      </c>
      <c r="C13" s="11">
        <f>IFERROR(C12/C14,0)</f>
        <v>-1.9360286083242275</v>
      </c>
      <c r="D13" s="11">
        <f>IFERROR(D12/D14,0)</f>
        <v>-1.6649578078214315</v>
      </c>
      <c r="E13" s="11">
        <f>IFERROR(E12/E14,0)</f>
        <v>-1.5610512740074591</v>
      </c>
      <c r="F13" s="11">
        <f>IFERROR(F12/F14,0)</f>
        <v>-1.4115710404347133</v>
      </c>
      <c r="G13" s="11">
        <f>IFERROR(G12/G14,0)</f>
        <v>-1.4869982327695026</v>
      </c>
      <c r="H13" s="11">
        <f>IFERROR(H12/H14,0)</f>
        <v>-1.1087968528029721</v>
      </c>
      <c r="I13" s="11">
        <f>IFERROR(I12/I14,0)</f>
        <v>-0.7220920323817639</v>
      </c>
      <c r="J13" s="11">
        <f>IFERROR(J12/J14,0)</f>
        <v>-0.28081324156568005</v>
      </c>
    </row>
    <row r="14">
      <c r="A14" s="2" t="inlineStr">
        <is>
          <t>Shares</t>
        </is>
      </c>
      <c r="B14" s="23" t="n">
        <v>10.732</v>
      </c>
      <c r="C14" s="23" t="n">
        <v>20.134</v>
      </c>
      <c r="D14" s="23" t="n">
        <v>22.042</v>
      </c>
      <c r="E14" s="23" t="n">
        <v>28.689</v>
      </c>
      <c r="F14" s="23" t="n">
        <v>31.285</v>
      </c>
      <c r="G14" s="23" t="n">
        <v>35.649</v>
      </c>
      <c r="H14" s="23" t="n">
        <v>45.755</v>
      </c>
      <c r="I14" s="23" t="n">
        <v>56.328</v>
      </c>
      <c r="J14" s="23" t="n">
        <v>94.732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2.025371828521435</v>
      </c>
      <c r="E16" s="15">
        <f>IFERROR(E2/D2-1,"")</f>
        <v>-0.08791208791208793</v>
      </c>
      <c r="F16" s="15">
        <f>IFERROR(F2/E2-1,"")</f>
        <v>3.737159162967661</v>
      </c>
      <c r="G16" s="15">
        <f>IFERROR(G2/F2-1,"")</f>
        <v>-0.9166722441603641</v>
      </c>
      <c r="H16" s="15">
        <f>IFERROR(H2/G2-1,"")</f>
        <v>3.4096385542168672</v>
      </c>
      <c r="I16" s="15">
        <f>IFERROR(I2/H2-1,"")</f>
        <v>0.6916211293260475</v>
      </c>
      <c r="J16" s="15">
        <f>IFERROR(J2/I2-1,"")</f>
        <v>1.9574674275869492</v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-33.85476815398075</v>
      </c>
      <c r="D18" s="15">
        <f>IFERROR(D8/D2,"")</f>
        <v>-10.633024869866974</v>
      </c>
      <c r="E18" s="15">
        <f>IFERROR(E8/E2,"")</f>
        <v>-14.281230183893472</v>
      </c>
      <c r="F18" s="15">
        <f>IFERROR(F8/F2,"")</f>
        <v>-2.9257077839502035</v>
      </c>
      <c r="G18" s="15">
        <f>IFERROR(G8/G2,"")</f>
        <v>-42.75100401606426</v>
      </c>
      <c r="H18" s="15">
        <f>IFERROR(H8/H2,"")</f>
        <v>-9.498907103825134</v>
      </c>
      <c r="I18" s="15">
        <f>IFERROR(I8/I2,"")</f>
        <v>-4.468612038333155</v>
      </c>
      <c r="J18" s="15">
        <f>IFERROR(J8/J2,"")</f>
        <v>-0.9667224932643995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Cue Biopharma,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0.1026227099999999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98.66500000000001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358.9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-138.75685141810564</v>
      </c>
      <c r="C29" s="42">
        <f>NPV!B25</f>
        <v>-121.36485141810564</v>
      </c>
      <c r="D29" s="43">
        <f>NPV!B27</f>
        <v>-16.706764154425343</v>
      </c>
      <c r="E29" s="44">
        <f>NPV!B29</f>
        <v>-1.9804439057761352</v>
      </c>
    </row>
    <row r="30">
      <c r="A30" s="45" t="n">
        <v>1</v>
      </c>
      <c r="B30" s="46">
        <f t="dataTable" ref="B30:E32" r1="B4"/>
        <v>-225.79757626188638</v>
      </c>
      <c r="C30" s="46">
        <v>-208.40557626188638</v>
      </c>
      <c r="D30" s="47">
        <v>-28.688559911630364</v>
      </c>
      <c r="E30" s="48">
        <v>-2.6836009337811246</v>
      </c>
    </row>
    <row r="31">
      <c r="A31" s="45" t="n">
        <v>2</v>
      </c>
      <c r="B31" s="46">
        <v>-138.75685141810564</v>
      </c>
      <c r="C31" s="46">
        <v>-121.36485141810564</v>
      </c>
      <c r="D31" s="47">
        <v>-16.706764154425343</v>
      </c>
      <c r="E31" s="48">
        <v>-1.9804439057761352</v>
      </c>
    </row>
    <row r="32">
      <c r="A32" s="45" t="n">
        <v>3</v>
      </c>
      <c r="B32" s="46">
        <v>-0.7310099515305737</v>
      </c>
      <c r="C32" s="46">
        <v>16.660990048469426</v>
      </c>
      <c r="D32" s="47">
        <v>2.2935077830736827</v>
      </c>
      <c r="E32" s="48">
        <v>-0.8654044728243144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-16.706764154425343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-31.454218817795685</v>
      </c>
      <c r="C37" s="47">
        <v>-28.119107272351577</v>
      </c>
      <c r="D37" s="47">
        <v>-24.78399572690748</v>
      </c>
      <c r="E37" s="47">
        <v>-18.113772636019295</v>
      </c>
      <c r="F37" s="47">
        <v>-11.892923821148992</v>
      </c>
    </row>
    <row r="38">
      <c r="A38" s="50" t="n">
        <v>0.8</v>
      </c>
      <c r="B38" s="47">
        <v>-29.64125662755319</v>
      </c>
      <c r="C38" s="47">
        <v>-25.194441233627725</v>
      </c>
      <c r="D38" s="47">
        <v>-20.74762583970226</v>
      </c>
      <c r="E38" s="47">
        <v>-12.267483302538356</v>
      </c>
      <c r="F38" s="47">
        <v>-4.629318236921735</v>
      </c>
    </row>
    <row r="39">
      <c r="A39" s="50" t="n">
        <v>1</v>
      </c>
      <c r="B39" s="47">
        <v>-27.823802639239</v>
      </c>
      <c r="C39" s="47">
        <v>-22.265283396832164</v>
      </c>
      <c r="D39" s="47">
        <v>-16.706764154425343</v>
      </c>
      <c r="E39" s="47">
        <v>-6.878151193255348</v>
      </c>
      <c r="F39" s="47">
        <v>2.473013668868102</v>
      </c>
    </row>
    <row r="40">
      <c r="A40" s="50" t="n">
        <v>1.2</v>
      </c>
      <c r="B40" s="47">
        <v>-26.00185685285312</v>
      </c>
      <c r="C40" s="47">
        <v>-19.331633761964927</v>
      </c>
      <c r="D40" s="47">
        <v>-13.00430505025181</v>
      </c>
      <c r="E40" s="47">
        <v>-1.6012621331987524</v>
      </c>
      <c r="F40" s="47">
        <v>9.465276752261744</v>
      </c>
    </row>
    <row r="41">
      <c r="A41" s="50" t="n">
        <v>1.4</v>
      </c>
      <c r="B41" s="47">
        <v>-24.175419268395533</v>
      </c>
      <c r="C41" s="47">
        <v>-16.39349232902597</v>
      </c>
      <c r="D41" s="47">
        <v>-9.505125542496522</v>
      </c>
      <c r="E41" s="47">
        <v>3.6135969176964298</v>
      </c>
      <c r="F41" s="47">
        <v>16.392597010761104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Cue Biopharma,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Colorectal cancer</t>
        </is>
      </c>
      <c r="C4" s="14" t="inlineStr">
        <is>
          <t>CUE-102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2000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92.29573715156468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10.54</v>
      </c>
      <c r="U4" s="23">
        <f>IF(U$3&lt;$I4,0,$G4*Assumptions!$E$11*INDEX(Assumptions!$B$24:$G$24,MIN(6,U$3-$I4+1))*IF(U$3&gt;$J4,(1-Assumptions!$B$26)^(U$3-$J4),1)*IF($H4&gt;=1,1,MIN(0.97,$H4*Assumptions!$E$12)))</f>
        <v>26.349999999999998</v>
      </c>
      <c r="V4" s="23">
        <f>IF(V$3&lt;$I4,0,$G4*Assumptions!$E$11*INDEX(Assumptions!$B$24:$G$24,MIN(6,V$3-$I4+1))*IF(V$3&gt;$J4,(1-Assumptions!$B$26)^(V$3-$J4),1)*IF($H4&gt;=1,1,MIN(0.97,$H4*Assumptions!$E$12)))</f>
        <v>47.43</v>
      </c>
      <c r="W4" s="23">
        <f>IF(W$3&lt;$I4,0,$G4*Assumptions!$E$11*INDEX(Assumptions!$B$24:$G$24,MIN(6,W$3-$I4+1))*IF(W$3&gt;$J4,(1-Assumptions!$B$26)^(W$3-$J4),1)*IF($H4&gt;=1,1,MIN(0.97,$H4*Assumptions!$E$12)))</f>
        <v>68.50999999999999</v>
      </c>
      <c r="X4" s="23">
        <f>IF(X$3&lt;$I4,0,$G4*Assumptions!$E$11*INDEX(Assumptions!$B$24:$G$24,MIN(6,X$3-$I4+1))*IF(X$3&gt;$J4,(1-Assumptions!$B$26)^(X$3-$J4),1)*IF($H4&gt;=1,1,MIN(0.97,$H4*Assumptions!$E$12)))</f>
        <v>89.58999999999999</v>
      </c>
      <c r="Y4" s="23">
        <f>IF(Y$3&lt;$I4,0,$G4*Assumptions!$E$11*INDEX(Assumptions!$B$24:$G$24,MIN(6,Y$3-$I4+1))*IF(Y$3&gt;$J4,(1-Assumptions!$B$26)^(Y$3-$J4),1)*IF($H4&gt;=1,1,MIN(0.97,$H4*Assumptions!$E$12)))</f>
        <v>105.39999999999999</v>
      </c>
      <c r="Z4" s="23">
        <f>IF(Z$3&lt;$I4,0,$G4*Assumptions!$E$11*INDEX(Assumptions!$B$24:$G$24,MIN(6,Z$3-$I4+1))*IF(Z$3&gt;$J4,(1-Assumptions!$B$26)^(Z$3-$J4),1)*IF($H4&gt;=1,1,MIN(0.97,$H4*Assumptions!$E$12)))</f>
        <v>105.39999999999999</v>
      </c>
      <c r="AA4" s="23">
        <f>IF(AA$3&lt;$I4,0,$G4*Assumptions!$E$11*INDEX(Assumptions!$B$24:$G$24,MIN(6,AA$3-$I4+1))*IF(AA$3&gt;$J4,(1-Assumptions!$B$26)^(AA$3-$J4),1)*IF($H4&gt;=1,1,MIN(0.97,$H4*Assumptions!$E$12)))</f>
        <v>105.39999999999999</v>
      </c>
      <c r="AB4" s="23">
        <f>IF(AB$3&lt;$I4,0,$G4*Assumptions!$E$11*INDEX(Assumptions!$B$24:$G$24,MIN(6,AB$3-$I4+1))*IF(AB$3&gt;$J4,(1-Assumptions!$B$26)^(AB$3-$J4),1)*IF($H4&gt;=1,1,MIN(0.97,$H4*Assumptions!$E$12)))</f>
        <v>105.39999999999999</v>
      </c>
      <c r="AC4" s="23">
        <f>IF(AC$3&lt;$I4,0,$G4*Assumptions!$E$11*INDEX(Assumptions!$B$24:$G$24,MIN(6,AC$3-$I4+1))*IF(AC$3&gt;$J4,(1-Assumptions!$B$26)^(AC$3-$J4),1)*IF($H4&gt;=1,1,MIN(0.97,$H4*Assumptions!$E$12)))</f>
        <v>105.39999999999999</v>
      </c>
      <c r="AD4" s="23">
        <f>IF(AD$3&lt;$I4,0,$G4*Assumptions!$E$11*INDEX(Assumptions!$B$24:$G$24,MIN(6,AD$3-$I4+1))*IF(AD$3&gt;$J4,(1-Assumptions!$B$26)^(AD$3-$J4),1)*IF($H4&gt;=1,1,MIN(0.97,$H4*Assumptions!$E$12)))</f>
        <v>105.39999999999999</v>
      </c>
      <c r="AE4" s="23">
        <f>IF(AE$3&lt;$I4,0,$G4*Assumptions!$E$11*INDEX(Assumptions!$B$24:$G$24,MIN(6,AE$3-$I4+1))*IF(AE$3&gt;$J4,(1-Assumptions!$B$26)^(AE$3-$J4),1)*IF($H4&gt;=1,1,MIN(0.97,$H4*Assumptions!$E$12)))</f>
        <v>105.39999999999999</v>
      </c>
      <c r="AF4" s="23">
        <f>IF(AF$3&lt;$I4,0,$G4*Assumptions!$E$11*INDEX(Assumptions!$B$24:$G$24,MIN(6,AF$3-$I4+1))*IF(AF$3&gt;$J4,(1-Assumptions!$B$26)^(AF$3-$J4),1)*IF($H4&gt;=1,1,MIN(0.97,$H4*Assumptions!$E$12)))</f>
        <v>105.39999999999999</v>
      </c>
      <c r="AG4" s="35">
        <f>IF(F4="Owned",1-IF(H4&gt;=1,1,MIN(0.97,H4*Assumptions!$E$12)),1)</f>
        <v>0.9473</v>
      </c>
    </row>
    <row r="5">
      <c r="A5" s="39" t="n">
        <v>2</v>
      </c>
      <c r="B5" s="14" t="inlineStr">
        <is>
          <t>Solid tumors (basket)</t>
        </is>
      </c>
      <c r="C5" s="14" t="inlineStr">
        <is>
          <t>CUE-101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B6" s="24" t="inlineStr">
        <is>
          <t>Risked revenue</t>
        </is>
      </c>
      <c r="L6" s="54">
        <f>SUM(L4:L5)</f>
        <v>161.51754001523818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0.0</v>
      </c>
      <c r="S6" s="54">
        <f>SUM(S4:S5)</f>
        <v>0.0</v>
      </c>
      <c r="T6" s="54">
        <f>SUM(T4:T5)</f>
        <v>18.445</v>
      </c>
      <c r="U6" s="54">
        <f>SUM(U4:U5)</f>
        <v>46.1125</v>
      </c>
      <c r="V6" s="54">
        <f>SUM(V4:V5)</f>
        <v>83.0025</v>
      </c>
      <c r="W6" s="54">
        <f>SUM(W4:W5)</f>
        <v>119.89249999999998</v>
      </c>
      <c r="X6" s="54">
        <f>SUM(X4:X5)</f>
        <v>156.78249999999997</v>
      </c>
      <c r="Y6" s="54">
        <f>SUM(Y4:Y5)</f>
        <v>184.45</v>
      </c>
      <c r="Z6" s="54">
        <f>SUM(Z4:Z5)</f>
        <v>184.45</v>
      </c>
      <c r="AA6" s="54">
        <f>SUM(AA4:AA5)</f>
        <v>184.45</v>
      </c>
      <c r="AB6" s="54">
        <f>SUM(AB4:AB5)</f>
        <v>184.45</v>
      </c>
      <c r="AC6" s="54">
        <f>SUM(AC4:AC5)</f>
        <v>184.45</v>
      </c>
      <c r="AD6" s="54">
        <f>SUM(AD4:AD5)</f>
        <v>184.45</v>
      </c>
      <c r="AE6" s="54">
        <f>SUM(AE4:AE5)</f>
        <v>184.45</v>
      </c>
      <c r="AF6" s="54">
        <f>SUM(AF4:AF5)</f>
        <v>184.45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0.0</v>
      </c>
      <c r="S7" s="55">
        <f>SUMPRODUCT(S4:S5,$K$4:$K$5)</f>
        <v>0.0</v>
      </c>
      <c r="T7" s="55">
        <f>SUMPRODUCT(T4:T5,$K$4:$K$5)</f>
        <v>7.378</v>
      </c>
      <c r="U7" s="55">
        <f>SUMPRODUCT(U4:U5,$K$4:$K$5)</f>
        <v>18.445</v>
      </c>
      <c r="V7" s="55">
        <f>SUMPRODUCT(V4:V5,$K$4:$K$5)</f>
        <v>33.201</v>
      </c>
      <c r="W7" s="55">
        <f>SUMPRODUCT(W4:W5,$K$4:$K$5)</f>
        <v>47.956999999999994</v>
      </c>
      <c r="X7" s="55">
        <f>SUMPRODUCT(X4:X5,$K$4:$K$5)</f>
        <v>62.712999999999994</v>
      </c>
      <c r="Y7" s="55">
        <f>SUMPRODUCT(Y4:Y5,$K$4:$K$5)</f>
        <v>73.78</v>
      </c>
      <c r="Z7" s="55">
        <f>SUMPRODUCT(Z4:Z5,$K$4:$K$5)</f>
        <v>73.78</v>
      </c>
      <c r="AA7" s="55">
        <f>SUMPRODUCT(AA4:AA5,$K$4:$K$5)</f>
        <v>73.78</v>
      </c>
      <c r="AB7" s="55">
        <f>SUMPRODUCT(AB4:AB5,$K$4:$K$5)</f>
        <v>73.78</v>
      </c>
      <c r="AC7" s="55">
        <f>SUMPRODUCT(AC4:AC5,$K$4:$K$5)</f>
        <v>73.78</v>
      </c>
      <c r="AD7" s="55">
        <f>SUMPRODUCT(AD4:AD5,$K$4:$K$5)</f>
        <v>73.78</v>
      </c>
      <c r="AE7" s="55">
        <f>SUMPRODUCT(AE4:AE5,$K$4:$K$5)</f>
        <v>73.78</v>
      </c>
      <c r="AF7" s="55">
        <f>SUMPRODUCT(AF4:AF5,$K$4:$K$5)</f>
        <v>73.78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Cue Biopharma,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0.0</v>
      </c>
      <c r="I4" s="57">
        <f>Pipeline!S6</f>
        <v>0.0</v>
      </c>
      <c r="J4" s="57">
        <f>Pipeline!T6</f>
        <v>18.445</v>
      </c>
      <c r="K4" s="57">
        <f>Pipeline!U6</f>
        <v>46.1125</v>
      </c>
      <c r="L4" s="57">
        <f>Pipeline!V6</f>
        <v>83.0025</v>
      </c>
      <c r="M4" s="57">
        <f>Pipeline!W6</f>
        <v>119.89249999999998</v>
      </c>
      <c r="N4" s="57">
        <f>Pipeline!X6</f>
        <v>156.78249999999997</v>
      </c>
      <c r="O4" s="57">
        <f>Pipeline!Y6</f>
        <v>184.45</v>
      </c>
      <c r="P4" s="57">
        <f>Pipeline!Z6</f>
        <v>184.45</v>
      </c>
      <c r="Q4" s="57">
        <f>Pipeline!AA6</f>
        <v>184.45</v>
      </c>
      <c r="R4" s="57">
        <f>Pipeline!AB6</f>
        <v>184.45</v>
      </c>
      <c r="S4" s="57">
        <f>Pipeline!AC6</f>
        <v>184.45</v>
      </c>
      <c r="T4" s="57">
        <f>Pipeline!AD6</f>
        <v>184.45</v>
      </c>
      <c r="U4" s="57">
        <f>Pipeline!AE6</f>
        <v>184.45</v>
      </c>
      <c r="V4" s="57">
        <f>Pipeline!AF6</f>
        <v>184.45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0.0</v>
      </c>
      <c r="I5" s="57">
        <f>Pipeline!S7</f>
        <v>0.0</v>
      </c>
      <c r="J5" s="57">
        <f>Pipeline!T7</f>
        <v>7.378</v>
      </c>
      <c r="K5" s="57">
        <f>Pipeline!U7</f>
        <v>18.445</v>
      </c>
      <c r="L5" s="57">
        <f>Pipeline!V7</f>
        <v>33.201</v>
      </c>
      <c r="M5" s="57">
        <f>Pipeline!W7</f>
        <v>47.956999999999994</v>
      </c>
      <c r="N5" s="57">
        <f>Pipeline!X7</f>
        <v>62.712999999999994</v>
      </c>
      <c r="O5" s="57">
        <f>Pipeline!Y7</f>
        <v>73.78</v>
      </c>
      <c r="P5" s="57">
        <f>Pipeline!Z7</f>
        <v>73.78</v>
      </c>
      <c r="Q5" s="57">
        <f>Pipeline!AA7</f>
        <v>73.78</v>
      </c>
      <c r="R5" s="57">
        <f>Pipeline!AB7</f>
        <v>73.78</v>
      </c>
      <c r="S5" s="57">
        <f>Pipeline!AC7</f>
        <v>73.78</v>
      </c>
      <c r="T5" s="57">
        <f>Pipeline!AD7</f>
        <v>73.78</v>
      </c>
      <c r="U5" s="57">
        <f>Pipeline!AE7</f>
        <v>73.78</v>
      </c>
      <c r="V5" s="57">
        <f>Pipeline!AF7</f>
        <v>73.78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-98.665</v>
      </c>
      <c r="D6" s="23">
        <f>-IF(D3-2026&lt;Assumptions!$B$19,Assumptions!$B$18,Assumptions!$B$18*Assumptions!$B$20*Assumptions!$B$16)</f>
        <v>-98.665</v>
      </c>
      <c r="E6" s="23">
        <f>-IF(E3-2026&lt;Assumptions!$B$19,Assumptions!$B$18,Assumptions!$B$18*Assumptions!$B$20*Assumptions!$B$16)</f>
        <v>-98.665</v>
      </c>
      <c r="F6" s="23">
        <f>-IF(F3-2026&lt;Assumptions!$B$19,Assumptions!$B$18,Assumptions!$B$18*Assumptions!$B$20*Assumptions!$B$16)</f>
        <v>-98.665</v>
      </c>
      <c r="G6" s="23">
        <f>-IF(G3-2026&lt;Assumptions!$B$19,Assumptions!$B$18,Assumptions!$B$18*Assumptions!$B$20*Assumptions!$B$16)</f>
        <v>-3.037580904644997</v>
      </c>
      <c r="H6" s="23">
        <f>-IF(H3-2026&lt;Assumptions!$B$19,Assumptions!$B$18,Assumptions!$B$18*Assumptions!$B$20*Assumptions!$B$16)</f>
        <v>-3.037580904644997</v>
      </c>
      <c r="I6" s="23">
        <f>-IF(I3-2026&lt;Assumptions!$B$19,Assumptions!$B$18,Assumptions!$B$18*Assumptions!$B$20*Assumptions!$B$16)</f>
        <v>-3.037580904644997</v>
      </c>
      <c r="J6" s="23">
        <f>-IF(J3-2026&lt;Assumptions!$B$19,Assumptions!$B$18,Assumptions!$B$18*Assumptions!$B$20*Assumptions!$B$16)</f>
        <v>-3.037580904644997</v>
      </c>
      <c r="K6" s="23">
        <f>-IF(K3-2026&lt;Assumptions!$B$19,Assumptions!$B$18,Assumptions!$B$18*Assumptions!$B$20*Assumptions!$B$16)</f>
        <v>-3.037580904644997</v>
      </c>
      <c r="L6" s="23">
        <f>-IF(L3-2026&lt;Assumptions!$B$19,Assumptions!$B$18,Assumptions!$B$18*Assumptions!$B$20*Assumptions!$B$16)</f>
        <v>-3.037580904644997</v>
      </c>
      <c r="M6" s="23">
        <f>-IF(M3-2026&lt;Assumptions!$B$19,Assumptions!$B$18,Assumptions!$B$18*Assumptions!$B$20*Assumptions!$B$16)</f>
        <v>-3.037580904644997</v>
      </c>
      <c r="N6" s="23">
        <f>-IF(N3-2026&lt;Assumptions!$B$19,Assumptions!$B$18,Assumptions!$B$18*Assumptions!$B$20*Assumptions!$B$16)</f>
        <v>-3.037580904644997</v>
      </c>
      <c r="O6" s="23">
        <f>-IF(O3-2026&lt;Assumptions!$B$19,Assumptions!$B$18,Assumptions!$B$18*Assumptions!$B$20*Assumptions!$B$16)</f>
        <v>-3.037580904644997</v>
      </c>
      <c r="P6" s="23">
        <f>-IF(P3-2026&lt;Assumptions!$B$19,Assumptions!$B$18,Assumptions!$B$18*Assumptions!$B$20*Assumptions!$B$16)</f>
        <v>-3.037580904644997</v>
      </c>
      <c r="Q6" s="23">
        <f>-IF(Q3-2026&lt;Assumptions!$B$19,Assumptions!$B$18,Assumptions!$B$18*Assumptions!$B$20*Assumptions!$B$16)</f>
        <v>-3.037580904644997</v>
      </c>
      <c r="R6" s="23">
        <f>-IF(R3-2026&lt;Assumptions!$B$19,Assumptions!$B$18,Assumptions!$B$18*Assumptions!$B$20*Assumptions!$B$16)</f>
        <v>-3.037580904644997</v>
      </c>
      <c r="S6" s="23">
        <f>-IF(S3-2026&lt;Assumptions!$B$19,Assumptions!$B$18,Assumptions!$B$18*Assumptions!$B$20*Assumptions!$B$16)</f>
        <v>-3.037580904644997</v>
      </c>
      <c r="T6" s="23">
        <f>-IF(T3-2026&lt;Assumptions!$B$19,Assumptions!$B$18,Assumptions!$B$18*Assumptions!$B$20*Assumptions!$B$16)</f>
        <v>-3.037580904644997</v>
      </c>
      <c r="U6" s="23">
        <f>-IF(U3-2026&lt;Assumptions!$B$19,Assumptions!$B$18,Assumptions!$B$18*Assumptions!$B$20*Assumptions!$B$16)</f>
        <v>-3.037580904644997</v>
      </c>
      <c r="V6" s="23">
        <f>-IF(V3-2026&lt;Assumptions!$B$19,Assumptions!$B$18,Assumptions!$B$18*Assumptions!$B$20*Assumptions!$B$16)</f>
        <v>-3.037580904644997</v>
      </c>
    </row>
    <row r="7">
      <c r="A7" s="14" t="inlineStr">
        <is>
          <t>Pre-tax cash flow</t>
        </is>
      </c>
      <c r="C7" s="23">
        <f>C5+C6</f>
        <v>-98.665</v>
      </c>
      <c r="D7" s="23">
        <f>D5+D6</f>
        <v>-98.665</v>
      </c>
      <c r="E7" s="23">
        <f>E5+E6</f>
        <v>-98.665</v>
      </c>
      <c r="F7" s="23">
        <f>F5+F6</f>
        <v>-98.665</v>
      </c>
      <c r="G7" s="23">
        <f>G5+G6</f>
        <v>-3.037580904644997</v>
      </c>
      <c r="H7" s="23">
        <f>H5+H6</f>
        <v>-3.037580904644997</v>
      </c>
      <c r="I7" s="23">
        <f>I5+I6</f>
        <v>-3.037580904644997</v>
      </c>
      <c r="J7" s="23">
        <f>J5+J6</f>
        <v>4.340419095355003</v>
      </c>
      <c r="K7" s="23">
        <f>K5+K6</f>
        <v>15.407419095355003</v>
      </c>
      <c r="L7" s="23">
        <f>L5+L6</f>
        <v>30.163419095355003</v>
      </c>
      <c r="M7" s="23">
        <f>M5+M6</f>
        <v>44.919419095354996</v>
      </c>
      <c r="N7" s="23">
        <f>N5+N6</f>
        <v>59.675419095355</v>
      </c>
      <c r="O7" s="23">
        <f>O5+O6</f>
        <v>70.742419095355</v>
      </c>
      <c r="P7" s="23">
        <f>P5+P6</f>
        <v>70.742419095355</v>
      </c>
      <c r="Q7" s="23">
        <f>Q5+Q6</f>
        <v>70.742419095355</v>
      </c>
      <c r="R7" s="23">
        <f>R5+R6</f>
        <v>70.742419095355</v>
      </c>
      <c r="S7" s="23">
        <f>S5+S6</f>
        <v>70.742419095355</v>
      </c>
      <c r="T7" s="23">
        <f>T5+T6</f>
        <v>70.742419095355</v>
      </c>
      <c r="U7" s="23">
        <f>U5+U6</f>
        <v>70.742419095355</v>
      </c>
      <c r="V7" s="23">
        <f>V5+V6</f>
        <v>70.742419095355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4.340419095355003</v>
      </c>
      <c r="K8" s="23">
        <f>MIN(J17,MAX(0,K7))</f>
        <v>15.407419095355003</v>
      </c>
      <c r="L8" s="23">
        <f>MIN(K17,MAX(0,L7))</f>
        <v>30.163419095355003</v>
      </c>
      <c r="M8" s="23">
        <f>MIN(L17,MAX(0,M7))</f>
        <v>44.919419095354996</v>
      </c>
      <c r="N8" s="23">
        <f>MIN(M17,MAX(0,N7))</f>
        <v>59.675419095355</v>
      </c>
      <c r="O8" s="23">
        <f>MIN(N17,MAX(0,O7))</f>
        <v>70.742419095355</v>
      </c>
      <c r="P8" s="23">
        <f>MIN(O17,MAX(0,P7))</f>
        <v>70.742419095355</v>
      </c>
      <c r="Q8" s="23">
        <f>MIN(P17,MAX(0,Q7))</f>
        <v>70.742419095355</v>
      </c>
      <c r="R8" s="23">
        <f>MIN(Q17,MAX(0,R7))</f>
        <v>70.742419095355</v>
      </c>
      <c r="S8" s="23">
        <f>MIN(R17,MAX(0,S7))</f>
        <v>70.742419095355</v>
      </c>
      <c r="T8" s="23">
        <f>MIN(S17,MAX(0,T7))</f>
        <v>70.742419095355</v>
      </c>
      <c r="U8" s="23">
        <f>MIN(T17,MAX(0,U7))</f>
        <v>70.742419095355</v>
      </c>
      <c r="V8" s="23">
        <f>MIN(U17,MAX(0,V7))</f>
        <v>70.742419095355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-98.665</v>
      </c>
      <c r="D11" s="55">
        <f>D7-D10</f>
        <v>-98.665</v>
      </c>
      <c r="E11" s="55">
        <f>E7-E10</f>
        <v>-98.665</v>
      </c>
      <c r="F11" s="55">
        <f>F7-F10</f>
        <v>-98.665</v>
      </c>
      <c r="G11" s="55">
        <f>G7-G10</f>
        <v>-3.037580904644997</v>
      </c>
      <c r="H11" s="55">
        <f>H7-H10</f>
        <v>-3.037580904644997</v>
      </c>
      <c r="I11" s="55">
        <f>I7-I10</f>
        <v>-3.037580904644997</v>
      </c>
      <c r="J11" s="55">
        <f>J7-J10</f>
        <v>4.340419095355003</v>
      </c>
      <c r="K11" s="55">
        <f>K7-K10</f>
        <v>15.407419095355003</v>
      </c>
      <c r="L11" s="55">
        <f>L7-L10</f>
        <v>30.163419095355003</v>
      </c>
      <c r="M11" s="55">
        <f>M7-M10</f>
        <v>44.919419095354996</v>
      </c>
      <c r="N11" s="55">
        <f>N7-N10</f>
        <v>59.675419095355</v>
      </c>
      <c r="O11" s="55">
        <f>O7-O10</f>
        <v>70.742419095355</v>
      </c>
      <c r="P11" s="55">
        <f>P7-P10</f>
        <v>70.742419095355</v>
      </c>
      <c r="Q11" s="55">
        <f>Q7-Q10</f>
        <v>70.742419095355</v>
      </c>
      <c r="R11" s="55">
        <f>R7-R10</f>
        <v>70.742419095355</v>
      </c>
      <c r="S11" s="55">
        <f>S7-S10</f>
        <v>70.742419095355</v>
      </c>
      <c r="T11" s="55">
        <f>T7-T10</f>
        <v>70.742419095355</v>
      </c>
      <c r="U11" s="55">
        <f>U7-U10</f>
        <v>70.742419095355</v>
      </c>
      <c r="V11" s="55">
        <f>V7-V10</f>
        <v>70.742419095355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-48.336412595531556</v>
      </c>
      <c r="D16" s="55">
        <f>D11*D15</f>
        <v>-88.05282695776097</v>
      </c>
      <c r="E16" s="55">
        <f>E11*E15</f>
        <v>-78.61859549800084</v>
      </c>
      <c r="F16" s="55">
        <f>F11*F15</f>
        <v>-70.19517455178647</v>
      </c>
      <c r="G16" s="55">
        <f>G11*G15</f>
        <v>-1.929540814668041</v>
      </c>
      <c r="H16" s="55">
        <f>H11*H15</f>
        <v>-1.722804298810751</v>
      </c>
      <c r="I16" s="55">
        <f>I11*I15</f>
        <v>-1.5382181239381703</v>
      </c>
      <c r="J16" s="55">
        <f>J11*J15</f>
        <v>1.962473101701946</v>
      </c>
      <c r="K16" s="55">
        <f>K11*K15</f>
        <v>6.219907422411274</v>
      </c>
      <c r="L16" s="55">
        <f>L11*L15</f>
        <v>10.872178407976351</v>
      </c>
      <c r="M16" s="55">
        <f>M11*M15</f>
        <v>14.45613218387735</v>
      </c>
      <c r="N16" s="55">
        <f>N11*N15</f>
        <v>17.147287694442692</v>
      </c>
      <c r="O16" s="55">
        <f>O11*O15</f>
        <v>18.149381970025246</v>
      </c>
      <c r="P16" s="55">
        <f>P11*P15</f>
        <v>16.20480533037968</v>
      </c>
      <c r="Q16" s="55">
        <f>Q11*Q15</f>
        <v>14.468576187839</v>
      </c>
      <c r="R16" s="55">
        <f>R11*R15</f>
        <v>12.918371596284821</v>
      </c>
      <c r="S16" s="55">
        <f>S11*S15</f>
        <v>11.534260353825731</v>
      </c>
      <c r="T16" s="55">
        <f>T11*T15</f>
        <v>10.29844674448726</v>
      </c>
      <c r="U16" s="55">
        <f>U11*U15</f>
        <v>9.195041736149339</v>
      </c>
      <c r="V16" s="55">
        <f>V11*V15</f>
        <v>8.20985869299048</v>
      </c>
    </row>
    <row r="17">
      <c r="A17" s="14" t="inlineStr">
        <is>
          <t>Tax-loss carryforward, end of year</t>
        </is>
      </c>
      <c r="C17" s="23">
        <f>Assumptions!$B$21-C8+MAX(0,-C7)</f>
        <v>457.565</v>
      </c>
      <c r="D17" s="23">
        <f>C17-D8+MAX(0,-D7)</f>
        <v>556.23</v>
      </c>
      <c r="E17" s="23">
        <f>D17-E8+MAX(0,-E7)</f>
        <v>654.895</v>
      </c>
      <c r="F17" s="23">
        <f>E17-F8+MAX(0,-F7)</f>
        <v>753.56</v>
      </c>
      <c r="G17" s="23">
        <f>F17-G8+MAX(0,-G7)</f>
        <v>756.5975809046449</v>
      </c>
      <c r="H17" s="23">
        <f>G17-H8+MAX(0,-H7)</f>
        <v>759.6351618092899</v>
      </c>
      <c r="I17" s="23">
        <f>H17-I8+MAX(0,-I7)</f>
        <v>762.6727427139349</v>
      </c>
      <c r="J17" s="23">
        <f>I17-J8+MAX(0,-J7)</f>
        <v>758.33232361858</v>
      </c>
      <c r="K17" s="23">
        <f>J17-K8+MAX(0,-K7)</f>
        <v>742.924904523225</v>
      </c>
      <c r="L17" s="23">
        <f>K17-L8+MAX(0,-L7)</f>
        <v>712.76148542787</v>
      </c>
      <c r="M17" s="23">
        <f>L17-M8+MAX(0,-M7)</f>
        <v>667.842066332515</v>
      </c>
      <c r="N17" s="23">
        <f>M17-N8+MAX(0,-N7)</f>
        <v>608.16664723716</v>
      </c>
      <c r="O17" s="23">
        <f>N17-O8+MAX(0,-O7)</f>
        <v>537.424228141805</v>
      </c>
      <c r="P17" s="23">
        <f>O17-P8+MAX(0,-P7)</f>
        <v>466.68180904645</v>
      </c>
      <c r="Q17" s="23">
        <f>P17-Q8+MAX(0,-Q7)</f>
        <v>395.939389951095</v>
      </c>
      <c r="R17" s="23">
        <f>Q17-R8+MAX(0,-R7)</f>
        <v>325.19697085574</v>
      </c>
      <c r="S17" s="23">
        <f>R17-S8+MAX(0,-S7)</f>
        <v>254.45455176038502</v>
      </c>
      <c r="T17" s="23">
        <f>S17-T8+MAX(0,-T7)</f>
        <v>183.71213266503003</v>
      </c>
      <c r="U17" s="23">
        <f>T17-U8+MAX(0,-U7)</f>
        <v>112.96971356967502</v>
      </c>
      <c r="V17" s="23">
        <f>U17-V8+MAX(0,-V7)</f>
        <v>42.22729447432002</v>
      </c>
    </row>
    <row r="19">
      <c r="A19" s="14" t="inlineStr">
        <is>
          <t>PV of risked pipeline contribution</t>
        </is>
      </c>
      <c r="B19" s="23">
        <f>SUMPRODUCT(C5:V5,C15:V15)</f>
        <v>161.5175400152382</v>
      </c>
    </row>
    <row r="20">
      <c r="A20" s="14" t="inlineStr">
        <is>
          <t>PV of corporate burn</t>
        </is>
      </c>
      <c r="B20" s="23">
        <f>SUMPRODUCT(C6:V6,C15:V15)</f>
        <v>-300.27439143334374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-138.75685141810564</v>
      </c>
    </row>
    <row r="23">
      <c r="A23" s="14" t="inlineStr">
        <is>
          <t>Cash &amp; investments</t>
        </is>
      </c>
      <c r="B23" s="57">
        <f>Main!C7</f>
        <v>17.392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-121.36485141810564</v>
      </c>
    </row>
    <row r="26">
      <c r="A26" s="14" t="inlineStr">
        <is>
          <t>Shares (mm)</t>
        </is>
      </c>
      <c r="B26" s="57">
        <f>Main!C4</f>
        <v>7.264414</v>
      </c>
    </row>
    <row r="27">
      <c r="A27" s="24" t="inlineStr">
        <is>
          <t>rNPV / share</t>
        </is>
      </c>
      <c r="B27" s="60">
        <f>B25/B26</f>
        <v>-16.706764154425343</v>
      </c>
    </row>
    <row r="28">
      <c r="A28" s="14" t="inlineStr">
        <is>
          <t>Price</t>
        </is>
      </c>
      <c r="B28" s="61">
        <f>Main!C3</f>
        <v>17.04</v>
      </c>
    </row>
    <row r="29">
      <c r="A29" s="14" t="inlineStr">
        <is>
          <t>Upside</t>
        </is>
      </c>
      <c r="B29" s="62">
        <f>B27/B28-1</f>
        <v>-1.9804439057761352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2026-10-21T06:27:46Z</dcterms:modified>
  <cp:lastModifiedBy>Wang, Eric</cp:lastModifiedBy>
</cp:coreProperties>
</file>