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Cue Biopharma, Inc.</t>
        </is>
      </c>
      <c r="C2" s="10" t="n"/>
    </row>
    <row r="3">
      <c r="B3" t="inlineStr">
        <is>
          <t>Price</t>
        </is>
      </c>
      <c r="C3" s="11">
        <f>INDEX([1]Pharma!$F$1:$F$1000,MATCH("CUE",[1]Pharma!$B$1:$B$1000,0))</f>
        <v>17.04</v>
      </c>
      <c r="F3" s="1" t="n"/>
    </row>
    <row r="4">
      <c r="B4" t="inlineStr">
        <is>
          <t>Shares</t>
        </is>
      </c>
      <c r="C4" s="21" t="n">
        <v>7.264414</v>
      </c>
      <c r="F4" s="1" t="n"/>
    </row>
    <row r="5">
      <c r="B5" t="inlineStr">
        <is>
          <t>Market Cap.</t>
        </is>
      </c>
      <c r="C5" s="13">
        <f>C3*C4</f>
        <v>123.78561456</v>
      </c>
      <c r="F5" s="1" t="n"/>
    </row>
    <row r="6"/>
    <row r="7">
      <c r="B7" t="inlineStr">
        <is>
          <t>Cash</t>
        </is>
      </c>
      <c r="C7" s="21" t="n">
        <v>17.392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106.39361456</v>
      </c>
    </row>
    <row r="10"/>
    <row r="11">
      <c r="B11" s="14" t="inlineStr">
        <is>
          <t>Net Cash / Share</t>
        </is>
      </c>
      <c r="C11" s="11">
        <f>(C7-C8)/C4</f>
        <v>2.3941366777829565</v>
      </c>
    </row>
    <row r="12">
      <c r="B12" s="14" t="inlineStr">
        <is>
          <t>Upside</t>
        </is>
      </c>
      <c r="C12" s="15">
        <f>IFERROR(C11/C3-1,"")</f>
        <v>-0.8594990212568687</v>
      </c>
    </row>
    <row r="13">
      <c r="B13" s="14" t="inlineStr">
        <is>
          <t>Cash / Share</t>
        </is>
      </c>
      <c r="C13" s="11">
        <f>IFERROR((C7-C8)/C4,"")</f>
        <v>2.3941366777829565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-50.046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0.34752028134116614</v>
      </c>
    </row>
    <row r="19">
      <c r="B19" s="14" t="inlineStr">
        <is>
          <t>Implied Pipeline Value</t>
        </is>
      </c>
      <c r="C19" s="13">
        <f>C9</f>
        <v>106.39361456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1.143</v>
      </c>
      <c r="D2" s="23" t="n">
        <v>3.458</v>
      </c>
      <c r="E2" s="23" t="n">
        <v>3.154</v>
      </c>
      <c r="F2" s="23" t="n">
        <v>14.941</v>
      </c>
      <c r="G2" s="23" t="n">
        <v>1.245</v>
      </c>
      <c r="H2" s="23" t="n">
        <v>5.49</v>
      </c>
      <c r="I2" s="23" t="n">
        <v>9.287000000000001</v>
      </c>
      <c r="J2" s="23" t="n">
        <v>27.466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1.143</v>
      </c>
      <c r="D4" s="23">
        <f>D2-D3</f>
        <v>3.458</v>
      </c>
      <c r="E4" s="23">
        <f>E2-E3</f>
        <v>3.154</v>
      </c>
      <c r="F4" s="23">
        <f>F2-F3</f>
        <v>14.941</v>
      </c>
      <c r="G4" s="23">
        <f>G2-G3</f>
        <v>1.245</v>
      </c>
      <c r="H4" s="23">
        <f>H2-H3</f>
        <v>5.49</v>
      </c>
      <c r="I4" s="23">
        <f>I2-I3</f>
        <v>9.287</v>
      </c>
      <c r="J4" s="23">
        <f>J2-J3</f>
        <v>27.466</v>
      </c>
      <c r="K4" s="1" t="n"/>
    </row>
    <row r="5">
      <c r="A5" s="2" t="inlineStr">
        <is>
          <t>Research &amp; Dev.</t>
        </is>
      </c>
      <c r="B5" s="23" t="n">
        <v>18.9</v>
      </c>
      <c r="C5" s="23" t="n">
        <v>28.544</v>
      </c>
      <c r="D5" s="23" t="n">
        <v>27.487</v>
      </c>
      <c r="E5" s="23" t="n">
        <v>33.546</v>
      </c>
      <c r="F5" s="23" t="n">
        <v>41.347</v>
      </c>
      <c r="G5" s="23" t="n">
        <v>38.578</v>
      </c>
      <c r="H5" s="23" t="n">
        <v>40.802</v>
      </c>
      <c r="I5" s="23" t="n">
        <v>36.295</v>
      </c>
      <c r="J5" s="23" t="n">
        <v>37.743</v>
      </c>
      <c r="K5" s="1" t="n"/>
    </row>
    <row r="6">
      <c r="A6" s="19" t="inlineStr">
        <is>
          <t>SG&amp;A &amp; Other</t>
        </is>
      </c>
      <c r="B6" s="23" t="n">
        <v>4.334</v>
      </c>
      <c r="C6" s="23" t="n">
        <v>11.295</v>
      </c>
      <c r="D6" s="23" t="n">
        <v>12.74</v>
      </c>
      <c r="E6" s="23" t="n">
        <v>14.651</v>
      </c>
      <c r="F6" s="23" t="n">
        <v>17.307</v>
      </c>
      <c r="G6" s="23" t="n">
        <v>15.892</v>
      </c>
      <c r="H6" s="23" t="n">
        <v>16.837</v>
      </c>
      <c r="I6" s="23" t="n">
        <v>14.492</v>
      </c>
      <c r="J6" s="23" t="n">
        <v>16.275</v>
      </c>
      <c r="K6" s="1" t="n"/>
    </row>
    <row r="7">
      <c r="A7" s="2" t="inlineStr">
        <is>
          <t>Operating Expense</t>
        </is>
      </c>
      <c r="B7" s="23">
        <f>SUM(B5:B6)</f>
        <v>23.233999999999998</v>
      </c>
      <c r="C7" s="23">
        <f>SUM(C5:C6)</f>
        <v>39.839</v>
      </c>
      <c r="D7" s="23">
        <f>SUM(D5:D6)</f>
        <v>40.227</v>
      </c>
      <c r="E7" s="23">
        <f>SUM(E5:E6)</f>
        <v>48.197</v>
      </c>
      <c r="F7" s="23">
        <f>SUM(F5:F6)</f>
        <v>58.653999999999996</v>
      </c>
      <c r="G7" s="23">
        <f>SUM(G5:G6)</f>
        <v>54.47</v>
      </c>
      <c r="H7" s="23">
        <f>SUM(H5:H6)</f>
        <v>57.638999999999996</v>
      </c>
      <c r="I7" s="23">
        <f>SUM(I5:I6)</f>
        <v>50.787000000000006</v>
      </c>
      <c r="J7" s="23">
        <f>SUM(J5:J6)</f>
        <v>54.018</v>
      </c>
      <c r="K7" s="1" t="n"/>
    </row>
    <row r="8">
      <c r="A8" s="2" t="inlineStr">
        <is>
          <t>Operating Income</t>
        </is>
      </c>
      <c r="B8" s="23">
        <f>B4-B7</f>
        <v>-23.233999999999998</v>
      </c>
      <c r="C8" s="23">
        <f>C4-C7</f>
        <v>-38.696</v>
      </c>
      <c r="D8" s="23">
        <f>D4-D7</f>
        <v>-36.769</v>
      </c>
      <c r="E8" s="23">
        <f>E4-E7</f>
        <v>-45.043000000000006</v>
      </c>
      <c r="F8" s="23">
        <f>F4-F7</f>
        <v>-43.712999999999994</v>
      </c>
      <c r="G8" s="23">
        <f>G4-G7</f>
        <v>-53.225</v>
      </c>
      <c r="H8" s="23">
        <f>H4-H7</f>
        <v>-52.148999999999994</v>
      </c>
      <c r="I8" s="23">
        <f>I4-I7</f>
        <v>-41.50000000000001</v>
      </c>
      <c r="J8" s="23">
        <f>J4-J7</f>
        <v>-26.552</v>
      </c>
      <c r="K8" s="1" t="n"/>
    </row>
    <row r="9">
      <c r="A9" s="19" t="inlineStr">
        <is>
          <t>Interest &amp; Other</t>
        </is>
      </c>
      <c r="B9" s="23" t="n">
        <v>0</v>
      </c>
      <c r="C9" s="23" t="n">
        <v>0.541</v>
      </c>
      <c r="D9" s="23" t="n">
        <v>0.483</v>
      </c>
      <c r="E9" s="23" t="n">
        <v>0.464</v>
      </c>
      <c r="F9" s="23" t="n">
        <v>0.046</v>
      </c>
      <c r="G9" s="23" t="n">
        <v>0.215</v>
      </c>
      <c r="H9" s="23" t="n">
        <v>1.416</v>
      </c>
      <c r="I9" s="23" t="n">
        <v>0.826</v>
      </c>
      <c r="J9" s="23" t="n">
        <v>0.45</v>
      </c>
    </row>
    <row r="10">
      <c r="A10" s="2" t="inlineStr">
        <is>
          <t>Pretax</t>
        </is>
      </c>
      <c r="B10" s="23">
        <f>B8+B9</f>
        <v>-23.233999999999998</v>
      </c>
      <c r="C10" s="23">
        <f>C8+C9</f>
        <v>-38.155</v>
      </c>
      <c r="D10" s="23">
        <f>D8+D9</f>
        <v>-36.286</v>
      </c>
      <c r="E10" s="23">
        <f>E8+E9</f>
        <v>-44.57900000000001</v>
      </c>
      <c r="F10" s="23">
        <f>F8+F9</f>
        <v>-43.666999999999994</v>
      </c>
      <c r="G10" s="23">
        <f>G8+G9</f>
        <v>-53.01</v>
      </c>
      <c r="H10" s="23">
        <f>H8+H9</f>
        <v>-50.733</v>
      </c>
      <c r="I10" s="23">
        <f>I8+I9</f>
        <v>-40.67400000000001</v>
      </c>
      <c r="J10" s="23">
        <f>J8+J9</f>
        <v>-26.102</v>
      </c>
      <c r="K10" s="1" t="n"/>
    </row>
    <row r="11">
      <c r="A11" s="2" t="inlineStr">
        <is>
          <t>Taxes</t>
        </is>
      </c>
      <c r="B11" s="23" t="n">
        <v>0</v>
      </c>
      <c r="C11" s="23" t="n">
        <v>0.825</v>
      </c>
      <c r="D11" s="23" t="n">
        <v>0.412</v>
      </c>
      <c r="E11" s="23" t="n">
        <v>0.206</v>
      </c>
      <c r="F11" s="23" t="n">
        <v>0.495</v>
      </c>
      <c r="G11" s="23" t="n">
        <v>0</v>
      </c>
      <c r="H11" s="23" t="n">
        <v>0</v>
      </c>
      <c r="I11" s="23" t="n">
        <v>0</v>
      </c>
      <c r="J11" s="23" t="n">
        <v>0.5</v>
      </c>
    </row>
    <row r="12">
      <c r="A12" s="2" t="inlineStr">
        <is>
          <t>Net Income</t>
        </is>
      </c>
      <c r="B12" s="23" t="n">
        <v>-23.234</v>
      </c>
      <c r="C12" s="23" t="n">
        <v>-38.98</v>
      </c>
      <c r="D12" s="23" t="n">
        <v>-36.699</v>
      </c>
      <c r="E12" s="23" t="n">
        <v>-44.785</v>
      </c>
      <c r="F12" s="23" t="n">
        <v>-44.161</v>
      </c>
      <c r="G12" s="23" t="n">
        <v>-53.01</v>
      </c>
      <c r="H12" s="23" t="n">
        <v>-50.733</v>
      </c>
      <c r="I12" s="23" t="n">
        <v>-40.674</v>
      </c>
      <c r="J12" s="23" t="n">
        <v>-26.602</v>
      </c>
      <c r="K12" s="1" t="n"/>
    </row>
    <row r="13">
      <c r="A13" s="2" t="inlineStr">
        <is>
          <t>Earnings per Share</t>
        </is>
      </c>
      <c r="B13" s="11">
        <f>IFERROR(B12/B14,0)</f>
        <v>-2.164927320163996</v>
      </c>
      <c r="C13" s="11">
        <f>IFERROR(C12/C14,0)</f>
        <v>-1.9360286083242275</v>
      </c>
      <c r="D13" s="11">
        <f>IFERROR(D12/D14,0)</f>
        <v>-1.6649578078214315</v>
      </c>
      <c r="E13" s="11">
        <f>IFERROR(E12/E14,0)</f>
        <v>-1.5610512740074591</v>
      </c>
      <c r="F13" s="11">
        <f>IFERROR(F12/F14,0)</f>
        <v>-1.4115710404347133</v>
      </c>
      <c r="G13" s="11">
        <f>IFERROR(G12/G14,0)</f>
        <v>-1.4869982327695026</v>
      </c>
      <c r="H13" s="11">
        <f>IFERROR(H12/H14,0)</f>
        <v>-1.1087968528029721</v>
      </c>
      <c r="I13" s="11">
        <f>IFERROR(I12/I14,0)</f>
        <v>-0.7220920323817639</v>
      </c>
      <c r="J13" s="11">
        <f>IFERROR(J12/J14,0)</f>
        <v>-0.28081324156568005</v>
      </c>
    </row>
    <row r="14">
      <c r="A14" s="2" t="inlineStr">
        <is>
          <t>Shares</t>
        </is>
      </c>
      <c r="B14" s="23" t="n">
        <v>10.732</v>
      </c>
      <c r="C14" s="23" t="n">
        <v>20.134</v>
      </c>
      <c r="D14" s="23" t="n">
        <v>22.042</v>
      </c>
      <c r="E14" s="23" t="n">
        <v>28.689</v>
      </c>
      <c r="F14" s="23" t="n">
        <v>31.285</v>
      </c>
      <c r="G14" s="23" t="n">
        <v>35.649</v>
      </c>
      <c r="H14" s="23" t="n">
        <v>45.755</v>
      </c>
      <c r="I14" s="23" t="n">
        <v>56.328</v>
      </c>
      <c r="J14" s="23" t="n">
        <v>94.732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2.025371828521435</v>
      </c>
      <c r="E16" s="15">
        <f>IFERROR(E2/D2-1,"")</f>
        <v>-0.08791208791208793</v>
      </c>
      <c r="F16" s="15">
        <f>IFERROR(F2/E2-1,"")</f>
        <v>3.737159162967661</v>
      </c>
      <c r="G16" s="15">
        <f>IFERROR(G2/F2-1,"")</f>
        <v>-0.9166722441603641</v>
      </c>
      <c r="H16" s="15">
        <f>IFERROR(H2/G2-1,"")</f>
        <v>3.4096385542168672</v>
      </c>
      <c r="I16" s="15">
        <f>IFERROR(I2/H2-1,"")</f>
        <v>0.6916211293260475</v>
      </c>
      <c r="J16" s="15">
        <f>IFERROR(J2/I2-1,"")</f>
        <v>1.9574674275869492</v>
      </c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-33.85476815398075</v>
      </c>
      <c r="D18" s="15">
        <f>IFERROR(D8/D2,"")</f>
        <v>-10.633024869866974</v>
      </c>
      <c r="E18" s="15">
        <f>IFERROR(E8/E2,"")</f>
        <v>-14.281230183893472</v>
      </c>
      <c r="F18" s="15">
        <f>IFERROR(F8/F2,"")</f>
        <v>-2.9257077839502035</v>
      </c>
      <c r="G18" s="15">
        <f>IFERROR(G8/G2,"")</f>
        <v>-42.75100401606426</v>
      </c>
      <c r="H18" s="15">
        <f>IFERROR(H8/H2,"")</f>
        <v>-9.498907103825134</v>
      </c>
      <c r="I18" s="15">
        <f>IFERROR(I8/I2,"")</f>
        <v>-4.468612038333155</v>
      </c>
      <c r="J18" s="15">
        <f>IFERROR(J8/J2,"")</f>
        <v>-0.9667224932643995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2026-10-21T01:05:51Z</dcterms:modified>
  <cp:lastModifiedBy>Wang, Eric</cp:lastModifiedBy>
</cp:coreProperties>
</file>