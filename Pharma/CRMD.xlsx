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CorMedix Inc.</t>
        </is>
      </c>
      <c r="C2" s="10" t="n"/>
    </row>
    <row r="3">
      <c r="B3" t="inlineStr">
        <is>
          <t>Price</t>
        </is>
      </c>
      <c r="C3" s="11">
        <f>INDEX([1]Pharma!$F$1:$F$1000,MATCH("CRMD",[1]Pharma!$B$1:$B$1000,0))</f>
        <v>7.57</v>
      </c>
      <c r="F3" s="1" t="n"/>
    </row>
    <row r="4">
      <c r="B4" t="inlineStr">
        <is>
          <t>Shares</t>
        </is>
      </c>
      <c r="C4" s="21" t="n">
        <v>77.94432399999999</v>
      </c>
      <c r="F4" s="1" t="n"/>
    </row>
    <row r="5">
      <c r="B5" t="inlineStr">
        <is>
          <t>Market Cap.</t>
        </is>
      </c>
      <c r="C5" s="13">
        <f>C3*C4</f>
        <v>590.03853268</v>
      </c>
      <c r="F5" s="1" t="n"/>
    </row>
    <row r="6"/>
    <row r="7">
      <c r="B7" t="inlineStr">
        <is>
          <t>Cash</t>
        </is>
      </c>
      <c r="C7" s="21" t="n">
        <v>256.692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333.34653268</v>
      </c>
    </row>
    <row r="10"/>
    <row r="11">
      <c r="B11" s="14" t="inlineStr">
        <is>
          <t>Net Cash / Share</t>
        </is>
      </c>
      <c r="C11" s="11">
        <f>(C7-C8)/C4</f>
        <v>3.2932737988721286</v>
      </c>
    </row>
    <row r="12">
      <c r="B12" s="14" t="inlineStr">
        <is>
          <t>Upside</t>
        </is>
      </c>
      <c r="C12" s="15">
        <f>IFERROR(C11/C3-1,"")</f>
        <v>-0.5649572260406699</v>
      </c>
    </row>
    <row r="13">
      <c r="B13" s="14" t="inlineStr">
        <is>
          <t>Cash / Share</t>
        </is>
      </c>
      <c r="C13" s="11">
        <f>IFERROR((C7-C8)/C4,"")</f>
        <v>3.2932737988721286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253.937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333.34653268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2007</v>
      </c>
      <c r="C1" s="17" t="n">
        <v>2008</v>
      </c>
      <c r="D1" s="17" t="n">
        <v>2009</v>
      </c>
      <c r="E1" s="17" t="n">
        <v>2010</v>
      </c>
      <c r="F1" s="17" t="n">
        <v>2011</v>
      </c>
      <c r="G1" s="17" t="n">
        <v>2012</v>
      </c>
      <c r="H1" s="17" t="n">
        <v>2013</v>
      </c>
      <c r="I1" s="17" t="n">
        <v>2014</v>
      </c>
      <c r="J1" s="17" t="n">
        <v>2015</v>
      </c>
      <c r="K1" s="17" t="n">
        <v>2016</v>
      </c>
      <c r="L1" s="17" t="n">
        <v>2017</v>
      </c>
      <c r="M1" s="17" t="n">
        <v>2018</v>
      </c>
      <c r="N1" s="17" t="n">
        <v>2019</v>
      </c>
      <c r="O1" s="17" t="n">
        <v>2020</v>
      </c>
      <c r="P1" s="17" t="n">
        <v>2021</v>
      </c>
      <c r="Q1" s="17" t="n">
        <v>2022</v>
      </c>
      <c r="R1" s="17" t="n">
        <v>2023</v>
      </c>
      <c r="S1" s="17" t="n">
        <v>2024</v>
      </c>
      <c r="T1" s="17" t="n">
        <v>2025</v>
      </c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0.002</v>
      </c>
      <c r="I2" s="23" t="n">
        <v>0.189</v>
      </c>
      <c r="J2" s="23" t="n">
        <v>0.21</v>
      </c>
      <c r="K2" s="23" t="n">
        <v>0.224</v>
      </c>
      <c r="L2" s="23" t="n">
        <v>0.329</v>
      </c>
      <c r="M2" s="23" t="n">
        <v>0.43</v>
      </c>
      <c r="N2" s="23" t="n">
        <v>0.283</v>
      </c>
      <c r="O2" s="23" t="n">
        <v>0.239</v>
      </c>
      <c r="P2" s="23" t="n">
        <v>0.191</v>
      </c>
      <c r="Q2" s="23" t="n">
        <v>0.065</v>
      </c>
      <c r="R2" s="23" t="n">
        <v>0</v>
      </c>
      <c r="S2" s="23" t="n">
        <v>43.472</v>
      </c>
      <c r="T2" s="23" t="n">
        <v>311.709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-0.202</v>
      </c>
      <c r="I3" s="23" t="n">
        <v>-0.446</v>
      </c>
      <c r="J3" s="23" t="n">
        <v>-0.319</v>
      </c>
      <c r="K3" s="23" t="n">
        <v>0.367</v>
      </c>
      <c r="L3" s="23" t="n">
        <v>0.115</v>
      </c>
      <c r="M3" s="23" t="n">
        <v>0.397</v>
      </c>
      <c r="N3" s="23" t="n">
        <v>0.373</v>
      </c>
      <c r="O3" s="23" t="n">
        <v>0.205</v>
      </c>
      <c r="P3" s="23" t="n">
        <v>0.149</v>
      </c>
      <c r="Q3" s="23" t="n">
        <v>0.004</v>
      </c>
      <c r="R3" s="23" t="n">
        <v>0</v>
      </c>
      <c r="S3" s="23" t="n">
        <v>3.034</v>
      </c>
      <c r="T3" s="23" t="n">
        <v>22.089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0.20400000000000001</v>
      </c>
      <c r="I4" s="23">
        <f>I2-I3</f>
        <v>0.635</v>
      </c>
      <c r="J4" s="23">
        <f>J2-J3</f>
        <v>0.529</v>
      </c>
      <c r="K4" s="23">
        <f>K2-K3</f>
        <v>-0.143</v>
      </c>
      <c r="L4" s="23">
        <f>L2-L3</f>
        <v>0.21400000000000002</v>
      </c>
      <c r="M4" s="23">
        <f>M2-M3</f>
        <v>0.032999999999999974</v>
      </c>
      <c r="N4" s="23">
        <f>N2-N3</f>
        <v>-0.09000000000000002</v>
      </c>
      <c r="O4" s="23">
        <f>O2-O3</f>
        <v>0.034</v>
      </c>
      <c r="P4" s="23">
        <f>P2-P3</f>
        <v>0.04200000000000001</v>
      </c>
      <c r="Q4" s="23">
        <f>Q2-Q3</f>
        <v>0.061</v>
      </c>
      <c r="R4" s="23">
        <f>R2-R3</f>
        <v>0.0</v>
      </c>
      <c r="S4" s="23">
        <f>S2-S3</f>
        <v>40.438</v>
      </c>
      <c r="T4" s="23">
        <f>T2-T3</f>
        <v>289.62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5.494</v>
      </c>
      <c r="F5" s="23" t="n">
        <v>4.058</v>
      </c>
      <c r="G5" s="23" t="n">
        <v>1.143</v>
      </c>
      <c r="H5" s="23" t="n">
        <v>1.227</v>
      </c>
      <c r="I5" s="23" t="n">
        <v>1.319</v>
      </c>
      <c r="J5" s="23" t="n">
        <v>6.282</v>
      </c>
      <c r="K5" s="23" t="n">
        <v>15.735</v>
      </c>
      <c r="L5" s="23" t="n">
        <v>24.486</v>
      </c>
      <c r="M5" s="23" t="n">
        <v>18.822</v>
      </c>
      <c r="N5" s="23" t="n">
        <v>11.053</v>
      </c>
      <c r="O5" s="23" t="n">
        <v>13.377</v>
      </c>
      <c r="P5" s="23" t="n">
        <v>13.133</v>
      </c>
      <c r="Q5" s="23" t="n">
        <v>10.68</v>
      </c>
      <c r="R5" s="23" t="n">
        <v>13.155</v>
      </c>
      <c r="S5" s="23" t="n">
        <v>3.942</v>
      </c>
      <c r="T5" s="23" t="n">
        <v>19.333</v>
      </c>
    </row>
    <row r="6">
      <c r="A6" s="19" t="inlineStr">
        <is>
          <t>SG&amp;A &amp; Other</t>
        </is>
      </c>
      <c r="B6" s="23" t="n">
        <v>7.238</v>
      </c>
      <c r="C6" s="23" t="n">
        <v>8.997</v>
      </c>
      <c r="D6" s="23" t="n">
        <v>8.121</v>
      </c>
      <c r="E6" s="23" t="n">
        <v>3.013</v>
      </c>
      <c r="F6" s="23" t="n">
        <v>3.149</v>
      </c>
      <c r="G6" s="23" t="n">
        <v>1.857</v>
      </c>
      <c r="H6" s="23" t="n">
        <v>3.892</v>
      </c>
      <c r="I6" s="23" t="n">
        <v>8.218</v>
      </c>
      <c r="J6" s="23" t="n">
        <v>10.901</v>
      </c>
      <c r="K6" s="23" t="n">
        <v>8.882999999999999</v>
      </c>
      <c r="L6" s="23" t="n">
        <v>8.651999999999999</v>
      </c>
      <c r="M6" s="23" t="n">
        <v>8.074999999999999</v>
      </c>
      <c r="N6" s="23" t="n">
        <v>9.865</v>
      </c>
      <c r="O6" s="23" t="n">
        <v>13.878</v>
      </c>
      <c r="P6" s="23" t="n">
        <v>16.347</v>
      </c>
      <c r="Q6" s="23" t="n">
        <v>20.006</v>
      </c>
      <c r="R6" s="23" t="n">
        <v>35.803</v>
      </c>
      <c r="S6" s="23" t="n">
        <v>58.852</v>
      </c>
      <c r="T6" s="23" t="n">
        <v>120.146</v>
      </c>
    </row>
    <row r="7">
      <c r="A7" s="2" t="inlineStr">
        <is>
          <t>Operating Expense</t>
        </is>
      </c>
      <c r="B7" s="23">
        <f>SUM(B5:B6)</f>
        <v>7.238</v>
      </c>
      <c r="C7" s="23">
        <f>SUM(C5:C6)</f>
        <v>8.997</v>
      </c>
      <c r="D7" s="23">
        <f>SUM(D5:D6)</f>
        <v>8.121</v>
      </c>
      <c r="E7" s="23">
        <f>SUM(E5:E6)</f>
        <v>8.507</v>
      </c>
      <c r="F7" s="23">
        <f>SUM(F5:F6)</f>
        <v>7.207</v>
      </c>
      <c r="G7" s="23">
        <f>SUM(G5:G6)</f>
        <v>3.0</v>
      </c>
      <c r="H7" s="23">
        <f>SUM(H5:H6)</f>
        <v>5.119</v>
      </c>
      <c r="I7" s="23">
        <f>SUM(I5:I6)</f>
        <v>9.536999999999999</v>
      </c>
      <c r="J7" s="23">
        <f>SUM(J5:J6)</f>
        <v>17.183</v>
      </c>
      <c r="K7" s="23">
        <f>SUM(K5:K6)</f>
        <v>24.618</v>
      </c>
      <c r="L7" s="23">
        <f>SUM(L5:L6)</f>
        <v>33.138</v>
      </c>
      <c r="M7" s="23">
        <f>SUM(M5:M6)</f>
        <v>26.897</v>
      </c>
      <c r="N7" s="23">
        <f>SUM(N5:N6)</f>
        <v>20.918</v>
      </c>
      <c r="O7" s="23">
        <f>SUM(O5:O6)</f>
        <v>27.255000000000003</v>
      </c>
      <c r="P7" s="23">
        <f>SUM(P5:P6)</f>
        <v>29.48</v>
      </c>
      <c r="Q7" s="23">
        <f>SUM(Q5:Q6)</f>
        <v>30.686</v>
      </c>
      <c r="R7" s="23">
        <f>SUM(R5:R6)</f>
        <v>48.958</v>
      </c>
      <c r="S7" s="23">
        <f>SUM(S5:S6)</f>
        <v>62.794</v>
      </c>
      <c r="T7" s="23">
        <f>SUM(T5:T6)</f>
        <v>139.47899999999998</v>
      </c>
    </row>
    <row r="8">
      <c r="A8" s="2" t="inlineStr">
        <is>
          <t>Operating Income</t>
        </is>
      </c>
      <c r="B8" s="23">
        <f>B4-B7</f>
        <v>-7.238</v>
      </c>
      <c r="C8" s="23">
        <f>C4-C7</f>
        <v>-8.997</v>
      </c>
      <c r="D8" s="23">
        <f>D4-D7</f>
        <v>-8.121</v>
      </c>
      <c r="E8" s="23">
        <f>E4-E7</f>
        <v>-8.507</v>
      </c>
      <c r="F8" s="23">
        <f>F4-F7</f>
        <v>-7.207</v>
      </c>
      <c r="G8" s="23">
        <f>G4-G7</f>
        <v>-3.0</v>
      </c>
      <c r="H8" s="23">
        <f>H4-H7</f>
        <v>-4.915</v>
      </c>
      <c r="I8" s="23">
        <f>I4-I7</f>
        <v>-8.902</v>
      </c>
      <c r="J8" s="23">
        <f>J4-J7</f>
        <v>-16.654</v>
      </c>
      <c r="K8" s="23">
        <f>K4-K7</f>
        <v>-24.761</v>
      </c>
      <c r="L8" s="23">
        <f>L4-L7</f>
        <v>-32.924</v>
      </c>
      <c r="M8" s="23">
        <f>M4-M7</f>
        <v>-26.863999999999997</v>
      </c>
      <c r="N8" s="23">
        <f>N4-N7</f>
        <v>-21.008</v>
      </c>
      <c r="O8" s="23">
        <f>O4-O7</f>
        <v>-27.221000000000004</v>
      </c>
      <c r="P8" s="23">
        <f>P4-P7</f>
        <v>-29.438</v>
      </c>
      <c r="Q8" s="23">
        <f>Q4-Q7</f>
        <v>-30.625</v>
      </c>
      <c r="R8" s="23">
        <f>R4-R7</f>
        <v>-48.958</v>
      </c>
      <c r="S8" s="23">
        <f>S4-S7</f>
        <v>-22.355999999999995</v>
      </c>
      <c r="T8" s="23">
        <f>T4-T7</f>
        <v>150.14100000000002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-2.679</v>
      </c>
      <c r="F9" s="23" t="n">
        <v>0.042</v>
      </c>
      <c r="G9" s="23" t="n">
        <v>-0.381</v>
      </c>
      <c r="H9" s="23" t="n">
        <v>-4.218</v>
      </c>
      <c r="I9" s="23" t="n">
        <v>-11.551</v>
      </c>
      <c r="J9" s="23" t="n">
        <v>-1.534</v>
      </c>
      <c r="K9" s="23" t="n">
        <v>0.117</v>
      </c>
      <c r="L9" s="23" t="n">
        <v>-0.08599999999999999</v>
      </c>
      <c r="M9" s="23" t="n">
        <v>0.035</v>
      </c>
      <c r="N9" s="23" t="n">
        <v>-0.486</v>
      </c>
      <c r="O9" s="23" t="n">
        <v>0.024</v>
      </c>
      <c r="P9" s="23" t="n">
        <v>-0.023</v>
      </c>
      <c r="Q9" s="23" t="n">
        <v>0.337</v>
      </c>
      <c r="R9" s="23" t="n">
        <v>2.619</v>
      </c>
      <c r="S9" s="23" t="n">
        <v>3.031</v>
      </c>
      <c r="T9" s="23" t="n">
        <v>-0.125</v>
      </c>
    </row>
    <row r="10">
      <c r="A10" s="2" t="inlineStr">
        <is>
          <t>Pretax</t>
        </is>
      </c>
      <c r="B10" s="23">
        <f>B8+B9</f>
        <v>-7.238</v>
      </c>
      <c r="C10" s="23">
        <f>C8+C9</f>
        <v>-8.997</v>
      </c>
      <c r="D10" s="23">
        <f>D8+D9</f>
        <v>-8.121</v>
      </c>
      <c r="E10" s="23">
        <f>E8+E9</f>
        <v>-11.186</v>
      </c>
      <c r="F10" s="23">
        <f>F8+F9</f>
        <v>-7.165</v>
      </c>
      <c r="G10" s="23">
        <f>G8+G9</f>
        <v>-3.3810000000000002</v>
      </c>
      <c r="H10" s="23">
        <f>H8+H9</f>
        <v>-9.133</v>
      </c>
      <c r="I10" s="23">
        <f>I8+I9</f>
        <v>-20.453</v>
      </c>
      <c r="J10" s="23">
        <f>J8+J9</f>
        <v>-18.188</v>
      </c>
      <c r="K10" s="23">
        <f>K8+K9</f>
        <v>-24.644</v>
      </c>
      <c r="L10" s="23">
        <f>L8+L9</f>
        <v>-33.01</v>
      </c>
      <c r="M10" s="23">
        <f>M8+M9</f>
        <v>-26.828999999999997</v>
      </c>
      <c r="N10" s="23">
        <f>N8+N9</f>
        <v>-21.494</v>
      </c>
      <c r="O10" s="23">
        <f>O8+O9</f>
        <v>-27.197000000000003</v>
      </c>
      <c r="P10" s="23">
        <f>P8+P9</f>
        <v>-29.461</v>
      </c>
      <c r="Q10" s="23">
        <f>Q8+Q9</f>
        <v>-30.288</v>
      </c>
      <c r="R10" s="23">
        <f>R8+R9</f>
        <v>-46.339</v>
      </c>
      <c r="S10" s="23">
        <f>S8+S9</f>
        <v>-19.324999999999996</v>
      </c>
      <c r="T10" s="23">
        <f>T8+T9</f>
        <v>150.01600000000002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-0.281</v>
      </c>
      <c r="F11" s="23" t="n">
        <v>-0.494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-5.061</v>
      </c>
      <c r="O11" s="23" t="n">
        <v>-5.169</v>
      </c>
      <c r="P11" s="23" t="n">
        <v>-1.25</v>
      </c>
      <c r="Q11" s="23" t="n">
        <v>-0.586</v>
      </c>
      <c r="R11" s="23" t="n">
        <v>0</v>
      </c>
      <c r="S11" s="23" t="n">
        <v>-1.395</v>
      </c>
      <c r="T11" s="23" t="n">
        <v>-13.039</v>
      </c>
    </row>
    <row r="12">
      <c r="A12" s="2" t="inlineStr">
        <is>
          <t>Net Income</t>
        </is>
      </c>
      <c r="B12" s="23" t="n">
        <v>-7.238</v>
      </c>
      <c r="C12" s="23" t="n">
        <v>-8.997</v>
      </c>
      <c r="D12" s="23" t="n">
        <v>-8.121</v>
      </c>
      <c r="E12" s="23" t="n">
        <v>-10.905</v>
      </c>
      <c r="F12" s="23" t="n">
        <v>-6.671</v>
      </c>
      <c r="G12" s="23" t="n">
        <v>-3.381</v>
      </c>
      <c r="H12" s="23" t="n">
        <v>-9.132999999999999</v>
      </c>
      <c r="I12" s="23" t="n">
        <v>-20.453</v>
      </c>
      <c r="J12" s="23" t="n">
        <v>-18.188</v>
      </c>
      <c r="K12" s="23" t="n">
        <v>-24.644</v>
      </c>
      <c r="L12" s="23" t="n">
        <v>-33.01</v>
      </c>
      <c r="M12" s="23" t="n">
        <v>-26.83</v>
      </c>
      <c r="N12" s="23" t="n">
        <v>-16.433</v>
      </c>
      <c r="O12" s="23" t="n">
        <v>-22.028</v>
      </c>
      <c r="P12" s="23" t="n">
        <v>-28.21</v>
      </c>
      <c r="Q12" s="23" t="n">
        <v>-29.702</v>
      </c>
      <c r="R12" s="23" t="n">
        <v>-46.339</v>
      </c>
      <c r="S12" s="23" t="n">
        <v>-17.93</v>
      </c>
      <c r="T12" s="23" t="n">
        <v>163.055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-0.58476507713885</v>
      </c>
      <c r="G13" s="11">
        <f>IFERROR(G12/G14,0)</f>
        <v>-0.2963709677419355</v>
      </c>
      <c r="H13" s="11">
        <f>IFERROR(H12/H14,0)</f>
        <v>-0.6607104101859219</v>
      </c>
      <c r="I13" s="11">
        <f>IFERROR(I12/I14,0)</f>
        <v>-0.9538755713086465</v>
      </c>
      <c r="J13" s="11">
        <f>IFERROR(J12/J14,0)</f>
        <v>-0.5802705461970392</v>
      </c>
      <c r="K13" s="11">
        <f>IFERROR(K12/K14,0)</f>
        <v>-0.6490899992098401</v>
      </c>
      <c r="L13" s="11">
        <f>IFERROR(L12/L14,0)</f>
        <v>-0.5986471046952359</v>
      </c>
      <c r="M13" s="11">
        <f>IFERROR(M12/M14,0)</f>
        <v>-1.5058651849357354</v>
      </c>
      <c r="N13" s="11">
        <f>IFERROR(N12/N14,0)</f>
        <v>-0.680399138787678</v>
      </c>
      <c r="O13" s="11">
        <f>IFERROR(O12/O14,0)</f>
        <v>-0.7712345073874378</v>
      </c>
      <c r="P13" s="11">
        <f>IFERROR(P12/P14,0)</f>
        <v>-0.7489513088727235</v>
      </c>
      <c r="Q13" s="11">
        <f>IFERROR(Q12/Q14,0)</f>
        <v>-0.7374981377563689</v>
      </c>
      <c r="R13" s="11">
        <f>IFERROR(R12/R14,0)</f>
        <v>-0.9103392727344164</v>
      </c>
      <c r="S13" s="11">
        <f>IFERROR(S12/S14,0)</f>
        <v>-0.304559043348281</v>
      </c>
      <c r="T13" s="11">
        <f>IFERROR(T12/T14,0)</f>
        <v>2.0303705732928226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>
        <v>11.408</v>
      </c>
      <c r="G14" s="23" t="n">
        <v>11.408</v>
      </c>
      <c r="H14" s="23" t="n">
        <v>13.823</v>
      </c>
      <c r="I14" s="23" t="n">
        <v>21.442</v>
      </c>
      <c r="J14" s="23" t="n">
        <v>31.344</v>
      </c>
      <c r="K14" s="23" t="n">
        <v>37.967</v>
      </c>
      <c r="L14" s="23" t="n">
        <v>55.141</v>
      </c>
      <c r="M14" s="23" t="n">
        <v>17.817</v>
      </c>
      <c r="N14" s="23" t="n">
        <v>24.152</v>
      </c>
      <c r="O14" s="23" t="n">
        <v>28.562</v>
      </c>
      <c r="P14" s="23" t="n">
        <v>37.666</v>
      </c>
      <c r="Q14" s="23" t="n">
        <v>40.274</v>
      </c>
      <c r="R14" s="23" t="n">
        <v>50.903</v>
      </c>
      <c r="S14" s="23" t="n">
        <v>58.872</v>
      </c>
      <c r="T14" s="23" t="n">
        <v>80.30800000000001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>93.5</v>
      </c>
      <c r="J16" s="15">
        <f>IFERROR(J2/I2-1,"")</f>
        <v>0.11111111111111116</v>
      </c>
      <c r="K16" s="15">
        <f>IFERROR(K2/J2-1,"")</f>
        <v>0.06666666666666665</v>
      </c>
      <c r="L16" s="15">
        <f>IFERROR(L2/K2-1,"")</f>
        <v>0.46875</v>
      </c>
      <c r="M16" s="15">
        <f>IFERROR(M2/L2-1,"")</f>
        <v>0.3069908814589666</v>
      </c>
      <c r="N16" s="15">
        <f>IFERROR(N2/M2-1,"")</f>
        <v>-0.3418604651162791</v>
      </c>
      <c r="O16" s="15">
        <f>IFERROR(O2/N2-1,"")</f>
        <v>-0.15547703180212014</v>
      </c>
      <c r="P16" s="15">
        <f>IFERROR(P2/O2-1,"")</f>
        <v>-0.20083682008368198</v>
      </c>
      <c r="Q16" s="15">
        <f>IFERROR(Q2/P2-1,"")</f>
        <v>-0.6596858638743455</v>
      </c>
      <c r="R16" s="15">
        <f>IFERROR(R2/Q2-1,"")</f>
        <v>-1.0</v>
      </c>
      <c r="S16" s="15">
        <f>IFERROR(S2/R2-1,"")</f>
        <v/>
      </c>
      <c r="T16" s="15">
        <f>IFERROR(T2/S2-1,"")</f>
        <v>6.1703395288921605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>102.0</v>
      </c>
      <c r="I17" s="15">
        <f>IFERROR(I4/I2,"")</f>
        <v>3.35978835978836</v>
      </c>
      <c r="J17" s="15">
        <f>IFERROR(J4/J2,"")</f>
        <v>2.5190476190476194</v>
      </c>
      <c r="K17" s="15">
        <f>IFERROR(K4/K2,"")</f>
        <v>-0.6383928571428571</v>
      </c>
      <c r="L17" s="15">
        <f>IFERROR(L4/L2,"")</f>
        <v>0.6504559270516718</v>
      </c>
      <c r="M17" s="15">
        <f>IFERROR(M4/M2,"")</f>
        <v>0.07674418604651156</v>
      </c>
      <c r="N17" s="15">
        <f>IFERROR(N4/N2,"")</f>
        <v>-0.31802120141342766</v>
      </c>
      <c r="O17" s="15">
        <f>IFERROR(O4/O2,"")</f>
        <v>0.14225941422594143</v>
      </c>
      <c r="P17" s="15">
        <f>IFERROR(P4/P2,"")</f>
        <v>0.21989528795811522</v>
      </c>
      <c r="Q17" s="15">
        <f>IFERROR(Q4/Q2,"")</f>
        <v>0.9384615384615385</v>
      </c>
      <c r="R17" s="15">
        <f>IFERROR(R4/R2,"")</f>
        <v/>
      </c>
      <c r="S17" s="15">
        <f>IFERROR(S4/S2,"")</f>
        <v>0.9302079499447921</v>
      </c>
      <c r="T17" s="15">
        <f>IFERROR(T4/T2,"")</f>
        <v>0.929135828609376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>-2457.5</v>
      </c>
      <c r="I18" s="15">
        <f>IFERROR(I8/I2,"")</f>
        <v>-47.100529100529094</v>
      </c>
      <c r="J18" s="15">
        <f>IFERROR(J8/J2,"")</f>
        <v>-79.3047619047619</v>
      </c>
      <c r="K18" s="15">
        <f>IFERROR(K8/K2,"")</f>
        <v>-110.54017857142857</v>
      </c>
      <c r="L18" s="15">
        <f>IFERROR(L8/L2,"")</f>
        <v>-100.07294832826747</v>
      </c>
      <c r="M18" s="15">
        <f>IFERROR(M8/M2,"")</f>
        <v>-62.474418604651156</v>
      </c>
      <c r="N18" s="15">
        <f>IFERROR(N8/N2,"")</f>
        <v>-74.23321554770318</v>
      </c>
      <c r="O18" s="15">
        <f>IFERROR(O8/O2,"")</f>
        <v>-113.89539748953977</v>
      </c>
      <c r="P18" s="15">
        <f>IFERROR(P8/P2,"")</f>
        <v>-154.12565445026178</v>
      </c>
      <c r="Q18" s="15">
        <f>IFERROR(Q8/Q2,"")</f>
        <v>-471.15384615384613</v>
      </c>
      <c r="R18" s="15">
        <f>IFERROR(R8/R2,"")</f>
        <v/>
      </c>
      <c r="S18" s="15">
        <f>IFERROR(S8/S2,"")</f>
        <v>-0.5142620537357379</v>
      </c>
      <c r="T18" s="15">
        <f>IFERROR(T8/T2,"")</f>
        <v>0.48167040412692613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2026-10-21T06:24:57Z</dcterms:modified>
  <cp:lastModifiedBy>Wang, Eric</cp:lastModifiedBy>
</cp:coreProperties>
</file>