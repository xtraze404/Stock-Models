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Travere Therapeutics, Inc.</t>
        </is>
      </c>
      <c r="C2" s="10" t="n"/>
    </row>
    <row r="3">
      <c r="B3" t="inlineStr">
        <is>
          <t>Price</t>
        </is>
      </c>
      <c r="C3" s="11">
        <f>INDEX([1]Pharma!$F$1:$F$1000,MATCH("TVTX",[1]Pharma!$B$1:$B$1000,0))</f>
        <v>52.3</v>
      </c>
      <c r="F3" s="1" t="n"/>
    </row>
    <row r="4">
      <c r="B4" t="inlineStr">
        <is>
          <t>Shares</t>
        </is>
      </c>
      <c r="C4" s="51" t="n">
        <v>94.261082</v>
      </c>
      <c r="F4" s="1" t="n"/>
    </row>
    <row r="5">
      <c r="B5" t="inlineStr">
        <is>
          <t>Market Cap.</t>
        </is>
      </c>
      <c r="C5" s="13">
        <f>C3*C4</f>
        <v>4929.8545886</v>
      </c>
      <c r="F5" s="1" t="n"/>
    </row>
    <row r="6"/>
    <row r="7">
      <c r="B7" t="inlineStr">
        <is>
          <t>Cash</t>
        </is>
      </c>
      <c r="C7" s="51">
        <f>117.735+175.91</f>
        <v>293.645</v>
      </c>
    </row>
    <row r="8">
      <c r="B8" t="inlineStr">
        <is>
          <t>Debt</t>
        </is>
      </c>
      <c r="C8" s="51" t="n">
        <v>602.7809999999999</v>
      </c>
    </row>
    <row r="9">
      <c r="B9" t="inlineStr">
        <is>
          <t>Enterprise V.</t>
        </is>
      </c>
      <c r="C9" s="13">
        <f>C5-C7+C8</f>
        <v>5238.990588600001</v>
      </c>
    </row>
    <row r="10"/>
    <row r="11">
      <c r="B11" s="14" t="inlineStr">
        <is>
          <t>NPV / Share</t>
        </is>
      </c>
      <c r="C11" s="11">
        <f>NPV!B28</f>
        <v>21.127019530816117</v>
      </c>
    </row>
    <row r="12">
      <c r="B12" s="14" t="inlineStr">
        <is>
          <t>Upside</t>
        </is>
      </c>
      <c r="C12" s="15">
        <f>IFERROR(C11/C3-1,"")</f>
        <v>-0.5960416915713935</v>
      </c>
    </row>
    <row r="13">
      <c r="B13" s="14" t="inlineStr">
        <is>
          <t>Cash / Share</t>
        </is>
      </c>
      <c r="C13" s="11">
        <f>IFERROR((C7-C8)/C4,"")</f>
        <v>-3.2795719446547404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2011</v>
      </c>
      <c r="C1" s="16" t="n">
        <v>2012</v>
      </c>
      <c r="D1" s="16" t="n">
        <v>2013</v>
      </c>
      <c r="E1" s="16" t="n">
        <v>2014</v>
      </c>
      <c r="F1" s="16" t="n">
        <v>2015</v>
      </c>
      <c r="G1" s="16" t="n">
        <v>2016</v>
      </c>
      <c r="H1" s="16" t="n">
        <v>2017</v>
      </c>
      <c r="I1" s="16" t="n">
        <v>2018</v>
      </c>
      <c r="J1" s="16" t="n">
        <v>2019</v>
      </c>
      <c r="K1" s="16" t="n">
        <v>2020</v>
      </c>
      <c r="L1" s="16" t="n">
        <v>2021</v>
      </c>
      <c r="M1" s="16" t="n">
        <v>2022</v>
      </c>
      <c r="N1" s="16" t="n">
        <v>2023</v>
      </c>
      <c r="O1" s="16" t="n">
        <v>2024</v>
      </c>
      <c r="P1" s="16" t="n">
        <v>2025</v>
      </c>
      <c r="Q1" s="16" t="n">
        <v>2026</v>
      </c>
      <c r="R1" s="16" t="n">
        <v>2027</v>
      </c>
      <c r="S1" s="16" t="n">
        <v>2028</v>
      </c>
      <c r="T1" s="16" t="n">
        <v>2029</v>
      </c>
      <c r="U1" s="16" t="n">
        <v>2030</v>
      </c>
      <c r="V1" s="16" t="n">
        <v>2031</v>
      </c>
      <c r="W1" s="16" t="n">
        <v>2032</v>
      </c>
      <c r="X1" s="16" t="n">
        <v>2033</v>
      </c>
      <c r="Y1" s="16" t="n">
        <v>2034</v>
      </c>
      <c r="Z1" s="16" t="n">
        <v>2035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28.203</v>
      </c>
      <c r="F2" s="52" t="n">
        <v>99.892</v>
      </c>
      <c r="G2" s="52" t="n">
        <v>133.591</v>
      </c>
      <c r="H2" s="52" t="n">
        <v>154.937</v>
      </c>
      <c r="I2" s="52" t="n">
        <v>164.246</v>
      </c>
      <c r="J2" s="52" t="n">
        <v>175.338</v>
      </c>
      <c r="K2" s="52" t="n">
        <v>198.321</v>
      </c>
      <c r="L2" s="52" t="n">
        <v>131.836</v>
      </c>
      <c r="M2" s="52" t="n">
        <v>109.46</v>
      </c>
      <c r="N2" s="52" t="n">
        <v>145.238</v>
      </c>
      <c r="O2" s="52" t="n">
        <v>233.175</v>
      </c>
      <c r="P2" s="52" t="n">
        <v>490.728</v>
      </c>
      <c r="Q2" s="52">
        <f>P2*(1+NPV!C5)</f>
        <v>662.4828000000001</v>
      </c>
      <c r="R2" s="52">
        <f>Q2*(1+NPV!D5)</f>
        <v>870.4287900000002</v>
      </c>
      <c r="S2" s="52">
        <f>R2*(1+NPV!E5)</f>
        <v>1112.2145650000002</v>
      </c>
      <c r="T2" s="52">
        <f>S2*(1+NPV!F5)</f>
        <v>1380.999751541667</v>
      </c>
      <c r="U2" s="52">
        <f>T2*(1+NPV!G5)</f>
        <v>1664.8719226918984</v>
      </c>
      <c r="V2" s="52">
        <f>U2*(1+NPV!H5)</f>
        <v>1946.9752207035813</v>
      </c>
      <c r="W2" s="52">
        <f>V2*(1+NPV!I5)</f>
        <v>2206.571916797392</v>
      </c>
      <c r="X2" s="52">
        <f>W2*(1+NPV!J5)</f>
        <v>2421.0997420415833</v>
      </c>
      <c r="Y2" s="52">
        <f>X2*(1+NPV!K5)</f>
        <v>2569.055837388569</v>
      </c>
      <c r="Z2" s="52">
        <f>Y2*(1+NPV!L5)</f>
        <v>2633.2822333232834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0.571</v>
      </c>
      <c r="F3" s="52" t="n">
        <v>2.185</v>
      </c>
      <c r="G3" s="52" t="n">
        <v>4.554</v>
      </c>
      <c r="H3" s="52" t="n">
        <v>3.605</v>
      </c>
      <c r="I3" s="52" t="n">
        <v>5.527</v>
      </c>
      <c r="J3" s="52" t="n">
        <v>5.234</v>
      </c>
      <c r="K3" s="52" t="n">
        <v>6.126</v>
      </c>
      <c r="L3" s="52" t="n">
        <v>3.818</v>
      </c>
      <c r="M3" s="52" t="n">
        <v>4.42</v>
      </c>
      <c r="N3" s="52" t="n">
        <v>11.45</v>
      </c>
      <c r="O3" s="52" t="n">
        <v>7.744</v>
      </c>
      <c r="P3" s="52" t="n">
        <v>10.339</v>
      </c>
      <c r="Q3" s="52">
        <f>Q2*(1-Assumptions!$B$19)</f>
        <v>13.978387080000008</v>
      </c>
      <c r="R3" s="52">
        <f>R2*(1-Assumptions!$B$19)</f>
        <v>18.36604746900001</v>
      </c>
      <c r="S3" s="52">
        <f>S2*(1-Assumptions!$B$19)</f>
        <v>23.467727321500014</v>
      </c>
      <c r="T3" s="52">
        <f>T2*(1-Assumptions!$B$19)</f>
        <v>29.139094757529183</v>
      </c>
      <c r="U3" s="52">
        <f>U2*(1-Assumptions!$B$19)</f>
        <v>35.128797568799065</v>
      </c>
      <c r="V3" s="52">
        <f>V2*(1-Assumptions!$B$19)</f>
        <v>41.08117715684558</v>
      </c>
      <c r="W3" s="52">
        <f>W2*(1-Assumptions!$B$19)</f>
        <v>46.55866744442499</v>
      </c>
      <c r="X3" s="52">
        <f>X2*(1-Assumptions!$B$19)</f>
        <v>51.085204557077425</v>
      </c>
      <c r="Y3" s="52">
        <f>Y2*(1-Assumptions!$B$19)</f>
        <v>54.20707816889883</v>
      </c>
      <c r="Z3" s="52">
        <f>Z2*(1-Assumptions!$B$19)</f>
        <v>55.562255123121304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27.631999999999998</v>
      </c>
      <c r="F4" s="52">
        <f>F2-F3</f>
        <v>97.707</v>
      </c>
      <c r="G4" s="52">
        <f>G2-G3</f>
        <v>129.037</v>
      </c>
      <c r="H4" s="52">
        <f>H2-H3</f>
        <v>151.33200000000002</v>
      </c>
      <c r="I4" s="52">
        <f>I2-I3</f>
        <v>158.71900000000002</v>
      </c>
      <c r="J4" s="52">
        <f>J2-J3</f>
        <v>170.10399999999998</v>
      </c>
      <c r="K4" s="52">
        <f>K2-K3</f>
        <v>192.195</v>
      </c>
      <c r="L4" s="52">
        <f>L2-L3</f>
        <v>128.018</v>
      </c>
      <c r="M4" s="52">
        <f>M2-M3</f>
        <v>105.03999999999999</v>
      </c>
      <c r="N4" s="52">
        <f>N2-N3</f>
        <v>133.788</v>
      </c>
      <c r="O4" s="52">
        <f>O2-O3</f>
        <v>225.431</v>
      </c>
      <c r="P4" s="52">
        <f>P2-P3</f>
        <v>480.389</v>
      </c>
      <c r="Q4" s="52">
        <f>Q2-Q3</f>
        <v>648.50441292</v>
      </c>
      <c r="R4" s="52">
        <f>R2-R3</f>
        <v>852.0627425310001</v>
      </c>
      <c r="S4" s="52">
        <f>S2-S3</f>
        <v>1088.7468376785002</v>
      </c>
      <c r="T4" s="52">
        <f>T2-T3</f>
        <v>1351.8606567841377</v>
      </c>
      <c r="U4" s="52">
        <f>U2-U3</f>
        <v>1629.7431251230994</v>
      </c>
      <c r="V4" s="52">
        <f>V2-V3</f>
        <v>1905.8940435467357</v>
      </c>
      <c r="W4" s="52">
        <f>W2-W3</f>
        <v>2160.0132493529673</v>
      </c>
      <c r="X4" s="52">
        <f>X2-X3</f>
        <v>2370.014537484506</v>
      </c>
      <c r="Y4" s="52">
        <f>Y2-Y3</f>
        <v>2514.8487592196702</v>
      </c>
      <c r="Z4" s="52">
        <f>Z2-Z3</f>
        <v>2577.719978200162</v>
      </c>
    </row>
    <row r="5">
      <c r="A5" s="2" t="inlineStr">
        <is>
          <t>Research &amp; Dev.</t>
        </is>
      </c>
      <c r="B5" s="52" t="n">
        <v>0</v>
      </c>
      <c r="C5" s="52" t="n">
        <v>0.663</v>
      </c>
      <c r="D5" s="52" t="n">
        <v>7.084</v>
      </c>
      <c r="E5" s="52" t="n">
        <v>47.795</v>
      </c>
      <c r="F5" s="52" t="n">
        <v>50.426</v>
      </c>
      <c r="G5" s="52" t="n">
        <v>70.822</v>
      </c>
      <c r="H5" s="52" t="n">
        <v>78.16800000000001</v>
      </c>
      <c r="I5" s="52" t="n">
        <v>123.757</v>
      </c>
      <c r="J5" s="52" t="n">
        <v>140.963</v>
      </c>
      <c r="K5" s="52" t="n">
        <v>131.773</v>
      </c>
      <c r="L5" s="52" t="n">
        <v>201.159</v>
      </c>
      <c r="M5" s="52" t="n">
        <v>227.333</v>
      </c>
      <c r="N5" s="52" t="n">
        <v>244.99</v>
      </c>
      <c r="O5" s="52" t="n">
        <v>217.496</v>
      </c>
      <c r="P5" s="52" t="n">
        <v>206.011</v>
      </c>
      <c r="Q5" s="52">
        <f>Q7*Assumptions!$B$20</f>
        <v>256.35330551496963</v>
      </c>
      <c r="R5" s="52">
        <f>R7*Assumptions!$B$20</f>
        <v>327.9607722780682</v>
      </c>
      <c r="S5" s="52">
        <f>S7*Assumptions!$B$20</f>
        <v>407.74116947954553</v>
      </c>
      <c r="T5" s="52">
        <f>T7*Assumptions!$B$20</f>
        <v>492.223178931177</v>
      </c>
      <c r="U5" s="52">
        <f>U7*Assumptions!$B$20</f>
        <v>576.4577743497016</v>
      </c>
      <c r="V5" s="52">
        <f>V7*Assumptions!$B$20</f>
        <v>654.3195574510066</v>
      </c>
      <c r="W5" s="52">
        <f>W7*Assumptions!$B$20</f>
        <v>719.1042763295384</v>
      </c>
      <c r="X5" s="52">
        <f>X7*Assumptions!$B$20</f>
        <v>764.3758974484298</v>
      </c>
      <c r="Y5" s="52">
        <f>Y7*Assumptions!$B$20</f>
        <v>784.9406063183028</v>
      </c>
      <c r="Z5" s="52">
        <f>Z7*Assumptions!$B$20</f>
        <v>777.7632911582635</v>
      </c>
    </row>
    <row r="6">
      <c r="A6" s="18" t="inlineStr">
        <is>
          <t>SG&amp;A &amp; Other</t>
        </is>
      </c>
      <c r="B6" s="52" t="n">
        <v>0.023</v>
      </c>
      <c r="C6" s="52" t="n">
        <v>29.595</v>
      </c>
      <c r="D6" s="52" t="n">
        <v>17.689</v>
      </c>
      <c r="E6" s="52" t="n">
        <v>59.645</v>
      </c>
      <c r="F6" s="52" t="n">
        <v>98.029</v>
      </c>
      <c r="G6" s="52" t="n">
        <v>116.429</v>
      </c>
      <c r="H6" s="52" t="n">
        <v>126.955</v>
      </c>
      <c r="I6" s="52" t="n">
        <v>115.002</v>
      </c>
      <c r="J6" s="52" t="n">
        <v>166.502</v>
      </c>
      <c r="K6" s="52" t="n">
        <v>236.585</v>
      </c>
      <c r="L6" s="52" t="n">
        <v>126.284</v>
      </c>
      <c r="M6" s="52" t="n">
        <v>197.52</v>
      </c>
      <c r="N6" s="52" t="n">
        <v>276.936</v>
      </c>
      <c r="O6" s="52" t="n">
        <v>331.762</v>
      </c>
      <c r="P6" s="52" t="n">
        <v>337.202</v>
      </c>
      <c r="Q6" s="52">
        <f>Q7-Q5</f>
        <v>419.68389257303045</v>
      </c>
      <c r="R6" s="52">
        <f>R7-R5</f>
        <v>536.914682041732</v>
      </c>
      <c r="S6" s="52">
        <f>S7-S5</f>
        <v>667.5256276711548</v>
      </c>
      <c r="T6" s="52">
        <f>T7-T5</f>
        <v>805.8337275328975</v>
      </c>
      <c r="U6" s="52">
        <f>U7-U5</f>
        <v>943.736778260271</v>
      </c>
      <c r="V6" s="52">
        <f>V7-V5</f>
        <v>1071.2067016497492</v>
      </c>
      <c r="W6" s="52">
        <f>W7-W5</f>
        <v>1177.2677604044763</v>
      </c>
      <c r="X6" s="52">
        <f>X7-X5</f>
        <v>1251.3833257805518</v>
      </c>
      <c r="Y6" s="52">
        <f>Y7-Y5</f>
        <v>1285.0504440991626</v>
      </c>
      <c r="Z6" s="52">
        <f>Z7-Z5</f>
        <v>1273.3002403772416</v>
      </c>
    </row>
    <row r="7">
      <c r="A7" s="2" t="inlineStr">
        <is>
          <t>Operating Expense</t>
        </is>
      </c>
      <c r="B7" s="52">
        <f>SUM(B5:B6)</f>
        <v>0.023</v>
      </c>
      <c r="C7" s="52">
        <f>SUM(C5:C6)</f>
        <v>30.258</v>
      </c>
      <c r="D7" s="52">
        <f>SUM(D5:D6)</f>
        <v>24.773</v>
      </c>
      <c r="E7" s="52">
        <f>SUM(E5:E6)</f>
        <v>107.44</v>
      </c>
      <c r="F7" s="52">
        <f>SUM(F5:F6)</f>
        <v>148.45499999999998</v>
      </c>
      <c r="G7" s="52">
        <f>SUM(G5:G6)</f>
        <v>187.251</v>
      </c>
      <c r="H7" s="52">
        <f>SUM(H5:H6)</f>
        <v>205.123</v>
      </c>
      <c r="I7" s="52">
        <f>SUM(I5:I6)</f>
        <v>238.75900000000001</v>
      </c>
      <c r="J7" s="52">
        <f>SUM(J5:J6)</f>
        <v>307.46500000000003</v>
      </c>
      <c r="K7" s="52">
        <f>SUM(K5:K6)</f>
        <v>368.358</v>
      </c>
      <c r="L7" s="52">
        <f>SUM(L5:L6)</f>
        <v>327.443</v>
      </c>
      <c r="M7" s="52">
        <f>SUM(M5:M6)</f>
        <v>424.853</v>
      </c>
      <c r="N7" s="52">
        <f>SUM(N5:N6)</f>
        <v>521.9259999999999</v>
      </c>
      <c r="O7" s="52">
        <f>SUM(O5:O6)</f>
        <v>549.258</v>
      </c>
      <c r="P7" s="52">
        <f>SUM(P5:P6)</f>
        <v>543.213</v>
      </c>
      <c r="Q7" s="52">
        <f>Q4-Q2*NPV!C6</f>
        <v>676.0371980880001</v>
      </c>
      <c r="R7" s="52">
        <f>R4-R2*NPV!D6</f>
        <v>864.8754543198002</v>
      </c>
      <c r="S7" s="52">
        <f>S4-S2*NPV!E6</f>
        <v>1075.2667971507003</v>
      </c>
      <c r="T7" s="52">
        <f>T4-T2*NPV!F6</f>
        <v>1298.0569064640745</v>
      </c>
      <c r="U7" s="52">
        <f>U4-U2*NPV!G6</f>
        <v>1520.1945526099726</v>
      </c>
      <c r="V7" s="52">
        <f>V4-V2*NPV!H6</f>
        <v>1725.5262591007559</v>
      </c>
      <c r="W7" s="52">
        <f>W4-W2*NPV!I6</f>
        <v>1896.3720367340147</v>
      </c>
      <c r="X7" s="52">
        <f>X4-X2*NPV!J6</f>
        <v>2015.7592232289817</v>
      </c>
      <c r="Y7" s="52">
        <f>Y4-Y2*NPV!K6</f>
        <v>2069.9910504174654</v>
      </c>
      <c r="Z7" s="52">
        <f>Z4-Z2*NPV!L6</f>
        <v>2051.0635315355053</v>
      </c>
    </row>
    <row r="8">
      <c r="A8" s="2" t="inlineStr">
        <is>
          <t>Operating Income</t>
        </is>
      </c>
      <c r="B8" s="52">
        <f>B4-B7</f>
        <v>-0.023</v>
      </c>
      <c r="C8" s="52">
        <f>C4-C7</f>
        <v>-30.258</v>
      </c>
      <c r="D8" s="52">
        <f>D4-D7</f>
        <v>-24.773</v>
      </c>
      <c r="E8" s="52">
        <f>E4-E7</f>
        <v>-79.80799999999999</v>
      </c>
      <c r="F8" s="52">
        <f>F4-F7</f>
        <v>-50.74799999999999</v>
      </c>
      <c r="G8" s="52">
        <f>G4-G7</f>
        <v>-58.214</v>
      </c>
      <c r="H8" s="52">
        <f>H4-H7</f>
        <v>-53.79099999999997</v>
      </c>
      <c r="I8" s="52">
        <f>I4-I7</f>
        <v>-80.03999999999999</v>
      </c>
      <c r="J8" s="52">
        <f>J4-J7</f>
        <v>-137.36100000000005</v>
      </c>
      <c r="K8" s="52">
        <f>K4-K7</f>
        <v>-176.163</v>
      </c>
      <c r="L8" s="52">
        <f>L4-L7</f>
        <v>-199.42499999999998</v>
      </c>
      <c r="M8" s="52">
        <f>M4-M7</f>
        <v>-319.813</v>
      </c>
      <c r="N8" s="52">
        <f>N4-N7</f>
        <v>-388.1379999999999</v>
      </c>
      <c r="O8" s="52">
        <f>O4-O7</f>
        <v>-323.827</v>
      </c>
      <c r="P8" s="52">
        <f>P4-P7</f>
        <v>-62.823999999999955</v>
      </c>
      <c r="Q8" s="52">
        <f>Q4-Q7</f>
        <v>-27.532785168000032</v>
      </c>
      <c r="R8" s="52">
        <f>R4-R7</f>
        <v>-12.812711788800016</v>
      </c>
      <c r="S8" s="52">
        <f>S4-S7</f>
        <v>13.480040527799929</v>
      </c>
      <c r="T8" s="52">
        <f>T4-T7</f>
        <v>53.80375032006327</v>
      </c>
      <c r="U8" s="52">
        <f>U4-U7</f>
        <v>109.54857251312683</v>
      </c>
      <c r="V8" s="52">
        <f>V4-V7</f>
        <v>180.36778444597985</v>
      </c>
      <c r="W8" s="52">
        <f>W4-W7</f>
        <v>263.6412126189525</v>
      </c>
      <c r="X8" s="52">
        <f>X4-X7</f>
        <v>354.25531425552435</v>
      </c>
      <c r="Y8" s="52">
        <f>Y4-Y7</f>
        <v>444.8577088022048</v>
      </c>
      <c r="Z8" s="52">
        <f>Z4-Z7</f>
        <v>526.6564466646569</v>
      </c>
    </row>
    <row r="9">
      <c r="A9" s="18" t="inlineStr">
        <is>
          <t>Interest &amp; Other</t>
        </is>
      </c>
      <c r="B9" s="52" t="n">
        <v>0</v>
      </c>
      <c r="C9" s="52" t="n">
        <v>-0.08699999999999999</v>
      </c>
      <c r="D9" s="52" t="n">
        <v>-9.776</v>
      </c>
      <c r="E9" s="52" t="n">
        <v>-33.59</v>
      </c>
      <c r="F9" s="52" t="n">
        <v>156.215</v>
      </c>
      <c r="G9" s="52" t="n">
        <v>0.632</v>
      </c>
      <c r="H9" s="52" t="n">
        <v>-4.572</v>
      </c>
      <c r="I9" s="52" t="n">
        <v>-21.827</v>
      </c>
      <c r="J9" s="52" t="n">
        <v>-9.087</v>
      </c>
      <c r="K9" s="52" t="n">
        <v>-12.627</v>
      </c>
      <c r="L9" s="52" t="n">
        <v>19.743</v>
      </c>
      <c r="M9" s="52" t="n">
        <v>41.644</v>
      </c>
      <c r="N9" s="52" t="n">
        <v>276.962</v>
      </c>
      <c r="O9" s="52" t="n">
        <v>2.402</v>
      </c>
      <c r="P9" s="52" t="n">
        <v>38.266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</row>
    <row r="10">
      <c r="A10" s="2" t="inlineStr">
        <is>
          <t>Pretax</t>
        </is>
      </c>
      <c r="B10" s="52">
        <f>B8+B9</f>
        <v>-0.023</v>
      </c>
      <c r="C10" s="52">
        <f>C8+C9</f>
        <v>-30.345</v>
      </c>
      <c r="D10" s="52">
        <f>D8+D9</f>
        <v>-34.549</v>
      </c>
      <c r="E10" s="52">
        <f>E8+E9</f>
        <v>-113.398</v>
      </c>
      <c r="F10" s="52">
        <f>F8+F9</f>
        <v>105.46700000000001</v>
      </c>
      <c r="G10" s="52">
        <f>G8+G9</f>
        <v>-57.582</v>
      </c>
      <c r="H10" s="52">
        <f>H8+H9</f>
        <v>-58.36299999999997</v>
      </c>
      <c r="I10" s="52">
        <f>I8+I9</f>
        <v>-101.86699999999999</v>
      </c>
      <c r="J10" s="52">
        <f>J8+J9</f>
        <v>-146.44800000000004</v>
      </c>
      <c r="K10" s="52">
        <f>K8+K9</f>
        <v>-188.79000000000002</v>
      </c>
      <c r="L10" s="52">
        <f>L8+L9</f>
        <v>-179.682</v>
      </c>
      <c r="M10" s="52">
        <f>M8+M9</f>
        <v>-278.169</v>
      </c>
      <c r="N10" s="52">
        <f>N8+N9</f>
        <v>-111.17599999999993</v>
      </c>
      <c r="O10" s="52">
        <f>O8+O9</f>
        <v>-321.425</v>
      </c>
      <c r="P10" s="52">
        <f>P8+P9</f>
        <v>-24.557999999999957</v>
      </c>
      <c r="Q10" s="52">
        <f>Q8+Q9</f>
        <v>-27.532785168000032</v>
      </c>
      <c r="R10" s="52">
        <f>R8+R9</f>
        <v>-12.812711788800016</v>
      </c>
      <c r="S10" s="52">
        <f>S8+S9</f>
        <v>13.480040527799929</v>
      </c>
      <c r="T10" s="52">
        <f>T8+T9</f>
        <v>53.80375032006327</v>
      </c>
      <c r="U10" s="52">
        <f>U8+U9</f>
        <v>109.54857251312683</v>
      </c>
      <c r="V10" s="52">
        <f>V8+V9</f>
        <v>180.36778444597985</v>
      </c>
      <c r="W10" s="52">
        <f>W8+W9</f>
        <v>263.6412126189525</v>
      </c>
      <c r="X10" s="52">
        <f>X8+X9</f>
        <v>354.25531425552435</v>
      </c>
      <c r="Y10" s="52">
        <f>Y8+Y9</f>
        <v>444.8577088022048</v>
      </c>
      <c r="Z10" s="52">
        <f>Z8+Z9</f>
        <v>526.6564466646569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0.076</v>
      </c>
      <c r="E11" s="52" t="n">
        <v>-2.46</v>
      </c>
      <c r="F11" s="52" t="n">
        <v>-11.77</v>
      </c>
      <c r="G11" s="52" t="n">
        <v>-9.679</v>
      </c>
      <c r="H11" s="52" t="n">
        <v>1.368</v>
      </c>
      <c r="I11" s="52" t="n">
        <v>0.8110000000000001</v>
      </c>
      <c r="J11" s="52" t="n">
        <v>-0.021</v>
      </c>
      <c r="K11" s="52" t="n">
        <v>-19.359</v>
      </c>
      <c r="L11" s="52" t="n">
        <v>0.409</v>
      </c>
      <c r="M11" s="52" t="n">
        <v>0.313</v>
      </c>
      <c r="N11" s="52" t="n">
        <v>0.223</v>
      </c>
      <c r="O11" s="52" t="n">
        <v>0.12</v>
      </c>
      <c r="P11" s="52" t="n">
        <v>0.988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2.2916068897259882</v>
      </c>
      <c r="T11" s="52">
        <f>MAX(0,T10)*Assumptions!$E$14</f>
        <v>9.146637554410757</v>
      </c>
      <c r="U11" s="52">
        <f>MAX(0,U10)*Assumptions!$E$14</f>
        <v>18.623257327231563</v>
      </c>
      <c r="V11" s="52">
        <f>MAX(0,V10)*Assumptions!$E$14</f>
        <v>30.662523355816578</v>
      </c>
      <c r="W11" s="52">
        <f>MAX(0,W10)*Assumptions!$E$14</f>
        <v>44.819006145221934</v>
      </c>
      <c r="X11" s="52">
        <f>MAX(0,X10)*Assumptions!$E$14</f>
        <v>60.223403423439144</v>
      </c>
      <c r="Y11" s="52">
        <f>MAX(0,Y10)*Assumptions!$E$14</f>
        <v>75.62581049637483</v>
      </c>
      <c r="Z11" s="52">
        <f>MAX(0,Z10)*Assumptions!$E$14</f>
        <v>89.53159593299168</v>
      </c>
    </row>
    <row r="12">
      <c r="A12" s="2" t="inlineStr">
        <is>
          <t>Net Income</t>
        </is>
      </c>
      <c r="B12" s="52" t="n">
        <v>-0.023</v>
      </c>
      <c r="C12" s="52" t="n">
        <v>-30.344</v>
      </c>
      <c r="D12" s="52" t="n">
        <v>-34.625</v>
      </c>
      <c r="E12" s="52" t="n">
        <v>-110.938</v>
      </c>
      <c r="F12" s="52" t="n">
        <v>117.237</v>
      </c>
      <c r="G12" s="52" t="n">
        <v>-47.903</v>
      </c>
      <c r="H12" s="52" t="n">
        <v>-59.731</v>
      </c>
      <c r="I12" s="52" t="n">
        <v>-102.678</v>
      </c>
      <c r="J12" s="52" t="n">
        <v>-146.427</v>
      </c>
      <c r="K12" s="52" t="n">
        <v>-169.431</v>
      </c>
      <c r="L12" s="52" t="n">
        <v>-180.091</v>
      </c>
      <c r="M12" s="52" t="n">
        <v>-278.482</v>
      </c>
      <c r="N12" s="52" t="n">
        <v>-111.399</v>
      </c>
      <c r="O12" s="52" t="n">
        <v>-321.545</v>
      </c>
      <c r="P12" s="52" t="n">
        <v>-25.546</v>
      </c>
      <c r="Q12" s="52">
        <f>Q10-Q11</f>
        <v>-27.532785168000032</v>
      </c>
      <c r="R12" s="52">
        <f>R10-R11</f>
        <v>-12.812711788800016</v>
      </c>
      <c r="S12" s="52">
        <f>S10-S11</f>
        <v>11.18843363807394</v>
      </c>
      <c r="T12" s="52">
        <f>T10-T11</f>
        <v>44.65711276565251</v>
      </c>
      <c r="U12" s="52">
        <f>U10-U11</f>
        <v>90.92531518589527</v>
      </c>
      <c r="V12" s="52">
        <f>V10-V11</f>
        <v>149.70526109016328</v>
      </c>
      <c r="W12" s="52">
        <f>W10-W11</f>
        <v>218.8222064737306</v>
      </c>
      <c r="X12" s="52">
        <f>X10-X11</f>
        <v>294.0319108320852</v>
      </c>
      <c r="Y12" s="52">
        <f>Y10-Y11</f>
        <v>369.23189830583</v>
      </c>
      <c r="Z12" s="52">
        <f>Z10-Z11</f>
        <v>437.1248507316652</v>
      </c>
    </row>
    <row r="13">
      <c r="A13" s="2" t="inlineStr">
        <is>
          <t>Earnings per Share</t>
        </is>
      </c>
      <c r="B13" s="11">
        <f>IFERROR(B12/B14,0)</f>
        <v>-0.0062516988312041315</v>
      </c>
      <c r="C13" s="11">
        <f>IFERROR(C12/C14,0)</f>
        <v>-8.28618241398143</v>
      </c>
      <c r="D13" s="11">
        <f>IFERROR(D12/D14,0)</f>
        <v>-2.4375219992960226</v>
      </c>
      <c r="E13" s="11">
        <f>IFERROR(E12/E14,0)</f>
        <v>-4.427248782823849</v>
      </c>
      <c r="F13" s="11">
        <f>IFERROR(F12/F14,0)</f>
        <v>3.1195817035203954</v>
      </c>
      <c r="G13" s="11">
        <f>IFERROR(G12/G14,0)</f>
        <v>-1.2511230672795655</v>
      </c>
      <c r="H13" s="11">
        <f>IFERROR(H12/H14,0)</f>
        <v>-1.5406499871034305</v>
      </c>
      <c r="I13" s="11">
        <f>IFERROR(I12/I14,0)</f>
        <v>-2.5394603418000146</v>
      </c>
      <c r="J13" s="11">
        <f>IFERROR(J12/J14,0)</f>
        <v>-3.4583608880491257</v>
      </c>
      <c r="K13" s="11">
        <f>IFERROR(K12/K14,0)</f>
        <v>-3.563967185527977</v>
      </c>
      <c r="L13" s="11">
        <f>IFERROR(L12/L14,0)</f>
        <v>-3.009944511298302</v>
      </c>
      <c r="M13" s="11">
        <f>IFERROR(M12/M14,0)</f>
        <v>-4.367728477548268</v>
      </c>
      <c r="N13" s="11">
        <f>IFERROR(N12/N14,0)</f>
        <v>-1.4999798026041176</v>
      </c>
      <c r="O13" s="11">
        <f>IFERROR(O12/O14,0)</f>
        <v>-4.075916794483389</v>
      </c>
      <c r="P13" s="11">
        <f>IFERROR(P12/P14,0)</f>
        <v>-0.286351611890777</v>
      </c>
      <c r="Q13" s="11">
        <f>IFERROR(Q12/Q14,0)</f>
        <v>-0.29209069728268167</v>
      </c>
      <c r="R13" s="11">
        <f>IFERROR(R12/R14,0)</f>
        <v>-0.13592790913221234</v>
      </c>
      <c r="S13" s="11">
        <f>IFERROR(S12/S14,0)</f>
        <v>0.11869621481826338</v>
      </c>
      <c r="T13" s="11">
        <f>IFERROR(T12/T14,0)</f>
        <v>0.47375981495366787</v>
      </c>
      <c r="U13" s="11">
        <f>IFERROR(U12/U14,0)</f>
        <v>0.9646114096790791</v>
      </c>
      <c r="V13" s="11">
        <f>IFERROR(V12/V14,0)</f>
        <v>1.588197991299986</v>
      </c>
      <c r="W13" s="11">
        <f>IFERROR(W12/W14,0)</f>
        <v>2.3214480656367873</v>
      </c>
      <c r="X13" s="11">
        <f>IFERROR(X12/X14,0)</f>
        <v>3.1193351974475023</v>
      </c>
      <c r="Y13" s="11">
        <f>IFERROR(Y12/Y14,0)</f>
        <v>3.9171192444600837</v>
      </c>
      <c r="Z13" s="11">
        <f>IFERROR(Z12/Z14,0)</f>
        <v>4.637384182919364</v>
      </c>
    </row>
    <row r="14">
      <c r="A14" s="2" t="inlineStr">
        <is>
          <t>Shares</t>
        </is>
      </c>
      <c r="B14" s="52" t="n">
        <v>3.679</v>
      </c>
      <c r="C14" s="52" t="n">
        <v>3.662</v>
      </c>
      <c r="D14" s="52" t="n">
        <v>14.205</v>
      </c>
      <c r="E14" s="52" t="n">
        <v>25.058</v>
      </c>
      <c r="F14" s="52" t="n">
        <v>37.581</v>
      </c>
      <c r="G14" s="52" t="n">
        <v>38.288</v>
      </c>
      <c r="H14" s="52" t="n">
        <v>38.77</v>
      </c>
      <c r="I14" s="52" t="n">
        <v>40.433</v>
      </c>
      <c r="J14" s="52" t="n">
        <v>42.34</v>
      </c>
      <c r="K14" s="52" t="n">
        <v>47.54</v>
      </c>
      <c r="L14" s="52" t="n">
        <v>59.832</v>
      </c>
      <c r="M14" s="52" t="n">
        <v>63.759</v>
      </c>
      <c r="N14" s="52" t="n">
        <v>74.267</v>
      </c>
      <c r="O14" s="52" t="n">
        <v>78.889</v>
      </c>
      <c r="P14" s="52" t="n">
        <v>89.212</v>
      </c>
      <c r="Q14" s="52">
        <f>Main!$C$4</f>
        <v>94.261082</v>
      </c>
      <c r="R14" s="52">
        <f>Main!$C$4</f>
        <v>94.261082</v>
      </c>
      <c r="S14" s="52">
        <f>Main!$C$4</f>
        <v>94.261082</v>
      </c>
      <c r="T14" s="52">
        <f>Main!$C$4</f>
        <v>94.261082</v>
      </c>
      <c r="U14" s="52">
        <f>Main!$C$4</f>
        <v>94.261082</v>
      </c>
      <c r="V14" s="52">
        <f>Main!$C$4</f>
        <v>94.261082</v>
      </c>
      <c r="W14" s="52">
        <f>Main!$C$4</f>
        <v>94.261082</v>
      </c>
      <c r="X14" s="52">
        <f>Main!$C$4</f>
        <v>94.261082</v>
      </c>
      <c r="Y14" s="52">
        <f>Main!$C$4</f>
        <v>94.261082</v>
      </c>
      <c r="Z14" s="52">
        <f>Main!$C$4</f>
        <v>94.261082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2.5418927064496684</v>
      </c>
      <c r="G16" s="15">
        <f>IFERROR(G2/F2-1,"")</f>
        <v>0.33735434269010556</v>
      </c>
      <c r="H16" s="15">
        <f>IFERROR(H2/G2-1,"")</f>
        <v>0.15978621314310093</v>
      </c>
      <c r="I16" s="15">
        <f>IFERROR(I2/H2-1,"")</f>
        <v>0.06008248513912107</v>
      </c>
      <c r="J16" s="15">
        <f>IFERROR(J2/I2-1,"")</f>
        <v>0.06753284707085694</v>
      </c>
      <c r="K16" s="15">
        <f>IFERROR(K2/J2-1,"")</f>
        <v>0.13107826027444136</v>
      </c>
      <c r="L16" s="15">
        <f>IFERROR(L2/K2-1,"")</f>
        <v>-0.33523933421069874</v>
      </c>
      <c r="M16" s="15">
        <f>IFERROR(M2/L2-1,"")</f>
        <v>-0.1697260232409965</v>
      </c>
      <c r="N16" s="15">
        <f>IFERROR(N2/M2-1,"")</f>
        <v>0.326859126621597</v>
      </c>
      <c r="O16" s="15">
        <f>IFERROR(O2/N2-1,"")</f>
        <v>0.6054682658808301</v>
      </c>
      <c r="P16" s="15">
        <f>IFERROR(P2/O2-1,"")</f>
        <v>1.1045480862013508</v>
      </c>
      <c r="Q16" s="15">
        <f>IFERROR(Q2/P2-1,"")</f>
        <v>0.3500000000000003</v>
      </c>
      <c r="R16" s="15">
        <f>IFERROR(R2/Q2-1,"")</f>
        <v>0.3138888888888889</v>
      </c>
      <c r="S16" s="15">
        <f>IFERROR(S2/R2-1,"")</f>
        <v>0.2777777777777779</v>
      </c>
      <c r="T16" s="15">
        <f>IFERROR(T2/S2-1,"")</f>
        <v>0.2416666666666667</v>
      </c>
      <c r="U16" s="15">
        <f>IFERROR(U2/T2-1,"")</f>
        <v>0.2055555555555555</v>
      </c>
      <c r="V16" s="15">
        <f>IFERROR(V2/U2-1,"")</f>
        <v>0.1694444444444445</v>
      </c>
      <c r="W16" s="15">
        <f>IFERROR(W2/V2-1,"")</f>
        <v>0.1333333333333333</v>
      </c>
      <c r="X16" s="15">
        <f>IFERROR(X2/W2-1,"")</f>
        <v>0.09722222222222232</v>
      </c>
      <c r="Y16" s="15">
        <f>IFERROR(Y2/X2-1,"")</f>
        <v>0.061111111111111116</v>
      </c>
      <c r="Z16" s="15">
        <f>IFERROR(Z2/Y2-1,"")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0.9797539268872105</v>
      </c>
      <c r="F17" s="15">
        <f>IFERROR(F4/F2,"")</f>
        <v>0.9781263764866055</v>
      </c>
      <c r="G17" s="15">
        <f>IFERROR(G4/G2,"")</f>
        <v>0.9659108772297534</v>
      </c>
      <c r="H17" s="15">
        <f>IFERROR(H4/H2,"")</f>
        <v>0.976732478362173</v>
      </c>
      <c r="I17" s="15">
        <f>IFERROR(I4/I2,"")</f>
        <v>0.9663492566029006</v>
      </c>
      <c r="J17" s="15">
        <f>IFERROR(J4/J2,"")</f>
        <v>0.9701490834844699</v>
      </c>
      <c r="K17" s="15">
        <f>IFERROR(K4/K2,"")</f>
        <v>0.969110684193807</v>
      </c>
      <c r="L17" s="15">
        <f>IFERROR(L4/L2,"")</f>
        <v>0.9710397766922539</v>
      </c>
      <c r="M17" s="15">
        <f>IFERROR(M4/M2,"")</f>
        <v>0.9596199524940617</v>
      </c>
      <c r="N17" s="15">
        <f>IFERROR(N4/N2,"")</f>
        <v>0.9211638827304149</v>
      </c>
      <c r="O17" s="15">
        <f>IFERROR(O4/O2,"")</f>
        <v>0.9667888924627426</v>
      </c>
      <c r="P17" s="15">
        <f>IFERROR(P4/P2,"")</f>
        <v>0.9789313020655027</v>
      </c>
      <c r="Q17" s="15">
        <f>IFERROR(Q4/Q2,"")</f>
        <v>0.9788999999999999</v>
      </c>
      <c r="R17" s="15">
        <f>IFERROR(R4/R2,"")</f>
        <v>0.9789</v>
      </c>
      <c r="S17" s="15">
        <f>IFERROR(S4/S2,"")</f>
        <v>0.9789</v>
      </c>
      <c r="T17" s="15">
        <f>IFERROR(T4/T2,"")</f>
        <v>0.9789</v>
      </c>
      <c r="U17" s="15">
        <f>IFERROR(U4/U2,"")</f>
        <v>0.9789000000000001</v>
      </c>
      <c r="V17" s="15">
        <f>IFERROR(V4/V2,"")</f>
        <v>0.9789</v>
      </c>
      <c r="W17" s="15">
        <f>IFERROR(W4/W2,"")</f>
        <v>0.9789000000000001</v>
      </c>
      <c r="X17" s="15">
        <f>IFERROR(X4/X2,"")</f>
        <v>0.9789</v>
      </c>
      <c r="Y17" s="15">
        <f>IFERROR(Y4/Y2,"")</f>
        <v>0.9788999999999999</v>
      </c>
      <c r="Z17" s="15">
        <f>IFERROR(Z4/Z2,"")</f>
        <v>0.9789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-2.8297698826365987</v>
      </c>
      <c r="F18" s="15">
        <f>IFERROR(F8/F2,"")</f>
        <v>-0.5080286709646418</v>
      </c>
      <c r="G18" s="15">
        <f>IFERROR(G8/G2,"")</f>
        <v>-0.43576288821851766</v>
      </c>
      <c r="H18" s="15">
        <f>IFERROR(H8/H2,"")</f>
        <v>-0.34717982147582543</v>
      </c>
      <c r="I18" s="15">
        <f>IFERROR(I8/I2,"")</f>
        <v>-0.48731780378213163</v>
      </c>
      <c r="J18" s="15">
        <f>IFERROR(J8/J2,"")</f>
        <v>-0.7834069055196252</v>
      </c>
      <c r="K18" s="15">
        <f>IFERROR(K8/K2,"")</f>
        <v>-0.8882720438077663</v>
      </c>
      <c r="L18" s="15">
        <f>IFERROR(L8/L2,"")</f>
        <v>-1.5126748384356319</v>
      </c>
      <c r="M18" s="15">
        <f>IFERROR(M8/M2,"")</f>
        <v>-2.921733966745843</v>
      </c>
      <c r="N18" s="15">
        <f>IFERROR(N8/N2,"")</f>
        <v>-2.6724273261818525</v>
      </c>
      <c r="O18" s="15">
        <f>IFERROR(O8/O2,"")</f>
        <v>-1.3887723812587112</v>
      </c>
      <c r="P18" s="15">
        <f>IFERROR(P8/P2,"")</f>
        <v>-0.1280220407231704</v>
      </c>
      <c r="Q18" s="15">
        <f>IFERROR(Q8/Q2,"")</f>
        <v>-0.04156000000000004</v>
      </c>
      <c r="R18" s="15">
        <f>IFERROR(R8/R2,"")</f>
        <v>-0.014720000000000016</v>
      </c>
      <c r="S18" s="15">
        <f>IFERROR(S8/S2,"")</f>
        <v>0.012119999999999933</v>
      </c>
      <c r="T18" s="15">
        <f>IFERROR(T8/T2,"")</f>
        <v>0.038959999999999946</v>
      </c>
      <c r="U18" s="15">
        <f>IFERROR(U8/U2,"")</f>
        <v>0.06579999999999996</v>
      </c>
      <c r="V18" s="15">
        <f>IFERROR(V8/V2,"")</f>
        <v>0.09264000000000004</v>
      </c>
      <c r="W18" s="15">
        <f>IFERROR(W8/W2,"")</f>
        <v>0.11948000000000006</v>
      </c>
      <c r="X18" s="15">
        <f>IFERROR(X8/X2,"")</f>
        <v>0.14631999999999995</v>
      </c>
      <c r="Y18" s="15">
        <f>IFERROR(Y8/Y2,"")</f>
        <v>0.17316000000000006</v>
      </c>
      <c r="Z18" s="15">
        <f>IFERROR(Z8/Z2,"")</f>
        <v>0.20000000000000007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Travere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-0.0684</v>
      </c>
    </row>
    <row r="19">
      <c r="A19" s="14" t="inlineStr">
        <is>
          <t>Gross margin (forecast)</t>
        </is>
      </c>
      <c r="B19" s="53" t="n">
        <v>0.9789</v>
      </c>
    </row>
    <row r="20">
      <c r="A20" s="14" t="inlineStr">
        <is>
          <t>R&amp;D share of operating expense (forecast)</t>
        </is>
      </c>
      <c r="B20" s="53" t="n">
        <v>0.3792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Model'!P2</f>
        <v>490.728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2300.5917204098596</v>
      </c>
      <c r="C29" s="56">
        <f>NPV!B26</f>
        <v>1991.4557204098596</v>
      </c>
      <c r="D29" s="35">
        <f>NPV!B28</f>
        <v>21.127019530816117</v>
      </c>
      <c r="E29" s="57">
        <f>NPV!B30</f>
        <v>-0.5960416915713935</v>
      </c>
    </row>
    <row r="30">
      <c r="A30" s="58" t="n">
        <v>1</v>
      </c>
      <c r="B30" s="59">
        <f t="dataTable" ref="B30:E32" r1="B4"/>
        <v>1007.3381988537595</v>
      </c>
      <c r="C30" s="59">
        <v>698.2021988537595</v>
      </c>
      <c r="D30" s="39">
        <v>7.407109955026396</v>
      </c>
      <c r="E30" s="60">
        <v>-0.8583726586037018</v>
      </c>
    </row>
    <row r="31">
      <c r="A31" s="58" t="n">
        <v>2</v>
      </c>
      <c r="B31" s="59">
        <v>2300.5917204098596</v>
      </c>
      <c r="C31" s="59">
        <v>1991.4557204098596</v>
      </c>
      <c r="D31" s="39">
        <v>21.127019530816117</v>
      </c>
      <c r="E31" s="60">
        <v>-0.5960416915713935</v>
      </c>
    </row>
    <row r="32">
      <c r="A32" s="58" t="n">
        <v>3</v>
      </c>
      <c r="B32" s="59">
        <v>4753.128526715608</v>
      </c>
      <c r="C32" s="59">
        <v>4443.992526715608</v>
      </c>
      <c r="D32" s="39">
        <v>47.14557092306247</v>
      </c>
      <c r="E32" s="60">
        <v>-0.09855504927222802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21.127019530816117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27.76392317081623</v>
      </c>
      <c r="C37" s="39">
        <v>30.21167079877706</v>
      </c>
      <c r="D37" s="39">
        <v>33.03948538946449</v>
      </c>
      <c r="E37" s="39">
        <v>36.34242951523307</v>
      </c>
      <c r="F37" s="39">
        <v>40.25013455064472</v>
      </c>
    </row>
    <row r="38">
      <c r="A38" s="62" t="n">
        <v>0.1</v>
      </c>
      <c r="B38" s="39">
        <v>22.39598587054875</v>
      </c>
      <c r="C38" s="39">
        <v>24.189916743541005</v>
      </c>
      <c r="D38" s="39">
        <v>26.225872322384422</v>
      </c>
      <c r="E38" s="39">
        <v>28.555751589193807</v>
      </c>
      <c r="F38" s="39">
        <v>31.24742291191889</v>
      </c>
    </row>
    <row r="39">
      <c r="A39" s="62" t="n">
        <v>0.11</v>
      </c>
      <c r="B39" s="39">
        <v>18.256179542322833</v>
      </c>
      <c r="C39" s="39">
        <v>19.610746065620663</v>
      </c>
      <c r="D39" s="39">
        <v>21.127019530816117</v>
      </c>
      <c r="E39" s="39">
        <v>22.83534977288497</v>
      </c>
      <c r="F39" s="39">
        <v>24.77418029450097</v>
      </c>
    </row>
    <row r="40">
      <c r="A40" s="62" t="n">
        <v>0.12</v>
      </c>
      <c r="B40" s="39">
        <v>14.98646773500473</v>
      </c>
      <c r="C40" s="39">
        <v>16.033802870860548</v>
      </c>
      <c r="D40" s="39">
        <v>17.19335642356865</v>
      </c>
      <c r="E40" s="39">
        <v>18.48385614984517</v>
      </c>
      <c r="F40" s="39">
        <v>19.928436648937527</v>
      </c>
    </row>
    <row r="41">
      <c r="A41" s="62" t="n">
        <v>0.13</v>
      </c>
      <c r="B41" s="39">
        <v>12.353961213181078</v>
      </c>
      <c r="C41" s="39">
        <v>13.179509392051228</v>
      </c>
      <c r="D41" s="39">
        <v>14.085360804115616</v>
      </c>
      <c r="E41" s="39">
        <v>15.083581677345416</v>
      </c>
      <c r="F41" s="39">
        <v>16.188778758564084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Travere Therapeutics, Inc.: free-cash-flow DCF ($mm)</t>
        </is>
      </c>
    </row>
    <row r="3">
      <c r="A3" s="20" t="inlineStr">
        <is>
          <t>Fiscal year</t>
        </is>
      </c>
      <c r="B3" s="43">
        <f>'Yearly Model'!P1</f>
        <v>2025</v>
      </c>
      <c r="C3" s="43">
        <f>'Yearly Model'!Q1</f>
        <v>2026</v>
      </c>
      <c r="D3" s="43">
        <f>'Yearly Model'!R1</f>
        <v>2027</v>
      </c>
      <c r="E3" s="43">
        <f>'Yearly Model'!S1</f>
        <v>2028</v>
      </c>
      <c r="F3" s="43">
        <f>'Yearly Model'!T1</f>
        <v>2029</v>
      </c>
      <c r="G3" s="43">
        <f>'Yearly Model'!U1</f>
        <v>2030</v>
      </c>
      <c r="H3" s="43">
        <f>'Yearly Model'!V1</f>
        <v>2031</v>
      </c>
      <c r="I3" s="43">
        <f>'Yearly Model'!W1</f>
        <v>2032</v>
      </c>
      <c r="J3" s="43">
        <f>'Yearly Model'!X1</f>
        <v>2033</v>
      </c>
      <c r="K3" s="43">
        <f>'Yearly Model'!Y1</f>
        <v>2034</v>
      </c>
      <c r="L3" s="43">
        <f>'Yearly Model'!Z1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-0.1280220407231704</v>
      </c>
      <c r="C6" s="63">
        <f>Assumptions!$B$18+(Assumptions!$E$13-Assumptions!$B$18)*C4/Assumptions!$B$21</f>
        <v>-0.04156</v>
      </c>
      <c r="D6" s="63">
        <f>Assumptions!$B$18+(Assumptions!$E$13-Assumptions!$B$18)*D4/Assumptions!$B$21</f>
        <v>-0.014719999999999997</v>
      </c>
      <c r="E6" s="63">
        <f>Assumptions!$B$18+(Assumptions!$E$13-Assumptions!$B$18)*E4/Assumptions!$B$21</f>
        <v>0.012120000000000006</v>
      </c>
      <c r="F6" s="63">
        <f>Assumptions!$B$18+(Assumptions!$E$13-Assumptions!$B$18)*F4/Assumptions!$B$21</f>
        <v>0.03896000000000001</v>
      </c>
      <c r="G6" s="63">
        <f>Assumptions!$B$18+(Assumptions!$E$13-Assumptions!$B$18)*G4/Assumptions!$B$21</f>
        <v>0.06580000000000001</v>
      </c>
      <c r="H6" s="63">
        <f>Assumptions!$B$18+(Assumptions!$E$13-Assumptions!$B$18)*H4/Assumptions!$B$21</f>
        <v>0.09264000000000001</v>
      </c>
      <c r="I6" s="63">
        <f>Assumptions!$B$18+(Assumptions!$E$13-Assumptions!$B$18)*I4/Assumptions!$B$21</f>
        <v>0.11948000000000002</v>
      </c>
      <c r="J6" s="63">
        <f>Assumptions!$B$18+(Assumptions!$E$13-Assumptions!$B$18)*J4/Assumptions!$B$21</f>
        <v>0.14632</v>
      </c>
      <c r="K6" s="63">
        <f>Assumptions!$B$18+(Assumptions!$E$13-Assumptions!$B$18)*K4/Assumptions!$B$21</f>
        <v>0.17316000000000004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Model'!P2</f>
        <v>490.728</v>
      </c>
      <c r="C7" s="55">
        <f>'Yearly Model'!Q2</f>
        <v>662.4828000000001</v>
      </c>
      <c r="D7" s="55">
        <f>'Yearly Model'!R2</f>
        <v>870.4287900000002</v>
      </c>
      <c r="E7" s="55">
        <f>'Yearly Model'!S2</f>
        <v>1112.2145650000002</v>
      </c>
      <c r="F7" s="55">
        <f>'Yearly Model'!T2</f>
        <v>1380.999751541667</v>
      </c>
      <c r="G7" s="55">
        <f>'Yearly Model'!U2</f>
        <v>1664.8719226918984</v>
      </c>
      <c r="H7" s="55">
        <f>'Yearly Model'!V2</f>
        <v>1946.9752207035813</v>
      </c>
      <c r="I7" s="55">
        <f>'Yearly Model'!W2</f>
        <v>2206.571916797392</v>
      </c>
      <c r="J7" s="55">
        <f>'Yearly Model'!X2</f>
        <v>2421.0997420415833</v>
      </c>
      <c r="K7" s="55">
        <f>'Yearly Model'!Y2</f>
        <v>2569.055837388569</v>
      </c>
      <c r="L7" s="55">
        <f>'Yearly Model'!Z2</f>
        <v>2633.2822333232834</v>
      </c>
    </row>
    <row r="8">
      <c r="A8" s="14" t="inlineStr">
        <is>
          <t>Operating income</t>
        </is>
      </c>
      <c r="B8" s="55">
        <f>'Yearly Model'!P8</f>
        <v>-62.823999999999955</v>
      </c>
      <c r="C8" s="55">
        <f>'Yearly Model'!Q8</f>
        <v>-27.532785168000032</v>
      </c>
      <c r="D8" s="55">
        <f>'Yearly Model'!R8</f>
        <v>-12.812711788800016</v>
      </c>
      <c r="E8" s="55">
        <f>'Yearly Model'!S8</f>
        <v>13.480040527799929</v>
      </c>
      <c r="F8" s="55">
        <f>'Yearly Model'!T8</f>
        <v>53.80375032006327</v>
      </c>
      <c r="G8" s="55">
        <f>'Yearly Model'!U8</f>
        <v>109.54857251312683</v>
      </c>
      <c r="H8" s="55">
        <f>'Yearly Model'!V8</f>
        <v>180.36778444597985</v>
      </c>
      <c r="I8" s="55">
        <f>'Yearly Model'!W8</f>
        <v>263.6412126189525</v>
      </c>
      <c r="J8" s="55">
        <f>'Yearly Model'!X8</f>
        <v>354.25531425552435</v>
      </c>
      <c r="K8" s="55">
        <f>'Yearly Model'!Y8</f>
        <v>444.8577088022048</v>
      </c>
      <c r="L8" s="55">
        <f>'Yearly Model'!Z8</f>
        <v>526.6564466646569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2.2916068897259882</v>
      </c>
      <c r="F9" s="52">
        <f>MAX(0,F8)*Assumptions!$E$14</f>
        <v>9.146637554410757</v>
      </c>
      <c r="G9" s="52">
        <f>MAX(0,G8)*Assumptions!$E$14</f>
        <v>18.623257327231563</v>
      </c>
      <c r="H9" s="52">
        <f>MAX(0,H8)*Assumptions!$E$14</f>
        <v>30.662523355816578</v>
      </c>
      <c r="I9" s="52">
        <f>MAX(0,I8)*Assumptions!$E$14</f>
        <v>44.819006145221934</v>
      </c>
      <c r="J9" s="52">
        <f>MAX(0,J8)*Assumptions!$E$14</f>
        <v>60.223403423439144</v>
      </c>
      <c r="K9" s="52">
        <f>MAX(0,K8)*Assumptions!$E$14</f>
        <v>75.62581049637483</v>
      </c>
      <c r="L9" s="52">
        <f>MAX(0,L8)*Assumptions!$E$14</f>
        <v>89.53159593299168</v>
      </c>
    </row>
    <row r="10">
      <c r="A10" s="14" t="inlineStr">
        <is>
          <t>NOPAT</t>
        </is>
      </c>
      <c r="C10" s="52">
        <f>C8-C9</f>
        <v>-27.532785168000032</v>
      </c>
      <c r="D10" s="52">
        <f>D8-D9</f>
        <v>-12.812711788800016</v>
      </c>
      <c r="E10" s="52">
        <f>E8-E9</f>
        <v>11.18843363807394</v>
      </c>
      <c r="F10" s="52">
        <f>F8-F9</f>
        <v>44.65711276565251</v>
      </c>
      <c r="G10" s="52">
        <f>G8-G9</f>
        <v>90.92531518589527</v>
      </c>
      <c r="H10" s="52">
        <f>H8-H9</f>
        <v>149.70526109016328</v>
      </c>
      <c r="I10" s="52">
        <f>I8-I9</f>
        <v>218.8222064737306</v>
      </c>
      <c r="J10" s="52">
        <f>J8-J9</f>
        <v>294.0319108320852</v>
      </c>
      <c r="K10" s="52">
        <f>K8-K9</f>
        <v>369.23189830583</v>
      </c>
      <c r="L10" s="52">
        <f>L8-L9</f>
        <v>437.1248507316652</v>
      </c>
    </row>
    <row r="11">
      <c r="A11" s="14" t="inlineStr">
        <is>
          <t>Reinvestment</t>
        </is>
      </c>
      <c r="C11" s="52">
        <f>(C7-B7)*Assumptions!$E$15</f>
        <v>42.938700000000026</v>
      </c>
      <c r="D11" s="52">
        <f>(D7-C7)*Assumptions!$E$15</f>
        <v>51.98649750000001</v>
      </c>
      <c r="E11" s="52">
        <f>(E7-D7)*Assumptions!$E$15</f>
        <v>60.446443750000014</v>
      </c>
      <c r="F11" s="52">
        <f>(F7-E7)*Assumptions!$E$15</f>
        <v>67.19629663541667</v>
      </c>
      <c r="G11" s="52">
        <f>(G7-F7)*Assumptions!$E$15</f>
        <v>70.96804278755786</v>
      </c>
      <c r="H11" s="52">
        <f>(H7-G7)*Assumptions!$E$15</f>
        <v>70.52582450292073</v>
      </c>
      <c r="I11" s="52">
        <f>(I7-H7)*Assumptions!$E$15</f>
        <v>64.8991740234527</v>
      </c>
      <c r="J11" s="52">
        <f>(J7-I7)*Assumptions!$E$15</f>
        <v>53.631956311047816</v>
      </c>
      <c r="K11" s="52">
        <f>(K7-J7)*Assumptions!$E$15</f>
        <v>36.98902383674647</v>
      </c>
      <c r="L11" s="52">
        <f>(L7-K7)*Assumptions!$E$15</f>
        <v>16.056598983678555</v>
      </c>
    </row>
    <row r="12">
      <c r="A12" s="20" t="inlineStr">
        <is>
          <t>Free cash flow</t>
        </is>
      </c>
      <c r="C12" s="64">
        <f>C10-C11</f>
        <v>-70.47148516800006</v>
      </c>
      <c r="D12" s="64">
        <f>D10-D11</f>
        <v>-64.79920928880003</v>
      </c>
      <c r="E12" s="64">
        <f>E10-E11</f>
        <v>-49.258010111926076</v>
      </c>
      <c r="F12" s="64">
        <f>F10-F11</f>
        <v>-22.53918386976416</v>
      </c>
      <c r="G12" s="64">
        <f>G10-G11</f>
        <v>19.95727239833741</v>
      </c>
      <c r="H12" s="64">
        <f>H10-H11</f>
        <v>79.17943658724255</v>
      </c>
      <c r="I12" s="64">
        <f>I10-I11</f>
        <v>153.9230324502779</v>
      </c>
      <c r="J12" s="64">
        <f>J10-J11</f>
        <v>240.3999545210374</v>
      </c>
      <c r="K12" s="64">
        <f>K10-K11</f>
        <v>332.2428744690835</v>
      </c>
      <c r="L12" s="64">
        <f>L10-L11</f>
        <v>421.06825174798666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-34.60241933312089</v>
      </c>
      <c r="D16" s="64">
        <f>D12*D13*D15</f>
        <v>-58.35269296311852</v>
      </c>
      <c r="E16" s="64">
        <f>E12*E13*E15</f>
        <v>-39.961803666001686</v>
      </c>
      <c r="F16" s="64">
        <f>F12*F13*F15</f>
        <v>-16.47340690246846</v>
      </c>
      <c r="G16" s="64">
        <f>G12*G13*G15</f>
        <v>13.140849630160613</v>
      </c>
      <c r="H16" s="64">
        <f>H12*H13*H15</f>
        <v>46.969040569363294</v>
      </c>
      <c r="I16" s="64">
        <f>I12*I13*I15</f>
        <v>82.2583348591676</v>
      </c>
      <c r="J16" s="64">
        <f>J12*J13*J15</f>
        <v>115.74112661892512</v>
      </c>
      <c r="K16" s="64">
        <f>K12*K13*K15</f>
        <v>144.1073131752506</v>
      </c>
      <c r="L16" s="64">
        <f>L12*L13*L15</f>
        <v>164.53559416928374</v>
      </c>
    </row>
    <row r="19">
      <c r="A19" s="14" t="inlineStr">
        <is>
          <t>PV of forecast free cash flow</t>
        </is>
      </c>
      <c r="B19" s="52">
        <f>SUM(C16:L16)</f>
        <v>417.3619361574414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431.5949580416863</v>
      </c>
    </row>
    <row r="21">
      <c r="A21" s="14" t="inlineStr">
        <is>
          <t>Terminal value</t>
        </is>
      </c>
      <c r="B21" s="52">
        <f>B20/(Assumptions!$E$10-Assumptions!$E$11)</f>
        <v>5077.587741666898</v>
      </c>
    </row>
    <row r="22">
      <c r="A22" s="14" t="inlineStr">
        <is>
          <t>PV of terminal value</t>
        </is>
      </c>
      <c r="B22" s="52">
        <f>B21/(1+Assumptions!$E$10)^(L14+0.5)</f>
        <v>1883.229784252418</v>
      </c>
    </row>
    <row r="23">
      <c r="A23" s="20" t="inlineStr">
        <is>
          <t>Enterprise value</t>
        </is>
      </c>
      <c r="B23" s="66">
        <f>B19+B22</f>
        <v>2300.5917204098596</v>
      </c>
    </row>
    <row r="24">
      <c r="A24" s="14" t="inlineStr">
        <is>
          <t>Cash &amp; investments</t>
        </is>
      </c>
      <c r="B24" s="55">
        <f>Main!C7</f>
        <v>293.645</v>
      </c>
    </row>
    <row r="25">
      <c r="A25" s="14" t="inlineStr">
        <is>
          <t>Debt</t>
        </is>
      </c>
      <c r="B25" s="55">
        <f>Main!C8</f>
        <v>602.781</v>
      </c>
    </row>
    <row r="26">
      <c r="A26" s="20" t="inlineStr">
        <is>
          <t>Equity value</t>
        </is>
      </c>
      <c r="B26" s="66">
        <f>B23+B24-B25</f>
        <v>1991.4557204098596</v>
      </c>
    </row>
    <row r="27">
      <c r="A27" s="14" t="inlineStr">
        <is>
          <t>Shares (mm)</t>
        </is>
      </c>
      <c r="B27" s="55">
        <f>Main!C4</f>
        <v>94.261082</v>
      </c>
    </row>
    <row r="28">
      <c r="A28" s="20" t="inlineStr">
        <is>
          <t>NPV / share</t>
        </is>
      </c>
      <c r="B28" s="49">
        <f>B26/B27</f>
        <v>21.127019530816117</v>
      </c>
    </row>
    <row r="29">
      <c r="A29" s="14" t="inlineStr">
        <is>
          <t>Price</t>
        </is>
      </c>
      <c r="B29" s="50">
        <f>Main!C3</f>
        <v>52.3</v>
      </c>
    </row>
    <row r="30">
      <c r="A30" s="14" t="inlineStr">
        <is>
          <t>Upside</t>
        </is>
      </c>
      <c r="B30" s="63">
        <f>B28/B29-1</f>
        <v>-0.5960416915713935</v>
      </c>
    </row>
    <row r="31">
      <c r="A31" s="14" t="inlineStr">
        <is>
          <t>Terminal value, % of EV</t>
        </is>
      </c>
      <c r="B31" s="63">
        <f>IFERROR(B22/B23,0)</f>
        <v>0.8185849612276763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2026-10-21T01:04:07Z</dcterms:modified>
  <cp:lastModifiedBy>Wang, Eric</cp:lastModifiedBy>
</cp:coreProperties>
</file>