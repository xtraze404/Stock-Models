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ProMIS Neurosciences Inc</t>
        </is>
      </c>
      <c r="C2" s="10" t="n"/>
    </row>
    <row r="3">
      <c r="B3" t="inlineStr">
        <is>
          <t>Price</t>
        </is>
      </c>
      <c r="C3" s="11">
        <f>INDEX([1]Pharma!$F$1:$F$1000,MATCH("PMN",[1]Pharma!$B$1:$B$1000,0))</f>
        <v>8.09</v>
      </c>
      <c r="F3" s="1" t="n"/>
    </row>
    <row r="4">
      <c r="B4" t="inlineStr">
        <is>
          <t>Shares</t>
        </is>
      </c>
      <c r="C4" s="21" t="n">
        <v>8.967693000000001</v>
      </c>
      <c r="F4" s="1" t="n"/>
    </row>
    <row r="5">
      <c r="B5" t="inlineStr">
        <is>
          <t>Market Cap.</t>
        </is>
      </c>
      <c r="C5" s="13">
        <f>C3*C4</f>
        <v>72.54863637</v>
      </c>
      <c r="F5" s="1" t="n"/>
    </row>
    <row r="6"/>
    <row r="7">
      <c r="B7" t="inlineStr">
        <is>
          <t>Cash</t>
        </is>
      </c>
      <c r="C7" s="21">
        <f>53.42928+0.033753</f>
        <v>53.463032999999996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19.08560337</v>
      </c>
    </row>
    <row r="10"/>
    <row r="11">
      <c r="B11" s="14" t="inlineStr">
        <is>
          <t>Net Cash / Share</t>
        </is>
      </c>
      <c r="C11" s="11">
        <f>(C7-C8)/C4</f>
        <v>5.961737650920922</v>
      </c>
    </row>
    <row r="12">
      <c r="B12" s="14" t="inlineStr">
        <is>
          <t>Upside</t>
        </is>
      </c>
      <c r="C12" s="15">
        <f>IFERROR(C11/C3-1,"")</f>
        <v>-0.2630732199108873</v>
      </c>
    </row>
    <row r="13">
      <c r="B13" s="14" t="inlineStr">
        <is>
          <t>Cash / Share</t>
        </is>
      </c>
      <c r="C13" s="11">
        <f>IFERROR((C7-C8)/C4,"")</f>
        <v>5.961737650920922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-42.106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1.2697248135657624</v>
      </c>
    </row>
    <row r="19">
      <c r="B19" s="14" t="inlineStr">
        <is>
          <t>Implied Pipeline Value</t>
        </is>
      </c>
      <c r="C19" s="13">
        <f>C9</f>
        <v>19.08560337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4.627</v>
      </c>
      <c r="C5" s="23" t="n">
        <v>16.087</v>
      </c>
      <c r="D5" s="23" t="n">
        <v>7.883</v>
      </c>
      <c r="E5" s="23" t="n">
        <v>10.638</v>
      </c>
      <c r="F5" s="23" t="n">
        <v>33.379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3.664</v>
      </c>
      <c r="C6" s="23" t="n">
        <v>7.293</v>
      </c>
      <c r="D6" s="23" t="n">
        <v>6.38</v>
      </c>
      <c r="E6" s="23" t="n">
        <v>6.19</v>
      </c>
      <c r="F6" s="23" t="n">
        <v>6.788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8.291</v>
      </c>
      <c r="C7" s="23">
        <f>SUM(C5:C6)</f>
        <v>23.38</v>
      </c>
      <c r="D7" s="23">
        <f>SUM(D5:D6)</f>
        <v>14.263</v>
      </c>
      <c r="E7" s="23">
        <f>SUM(E5:E6)</f>
        <v>16.828</v>
      </c>
      <c r="F7" s="23">
        <f>SUM(F5:F6)</f>
        <v>40.167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-8.291</v>
      </c>
      <c r="C8" s="23">
        <f>C4-C7</f>
        <v>-23.38</v>
      </c>
      <c r="D8" s="23">
        <f>D4-D7</f>
        <v>-14.263</v>
      </c>
      <c r="E8" s="23">
        <f>E4-E7</f>
        <v>-16.828</v>
      </c>
      <c r="F8" s="23">
        <f>F4-F7</f>
        <v>-40.167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-1.499</v>
      </c>
      <c r="C9" s="23" t="n">
        <v>5.318</v>
      </c>
      <c r="D9" s="23" t="n">
        <v>1.05</v>
      </c>
      <c r="E9" s="23" t="n">
        <v>19.606</v>
      </c>
      <c r="F9" s="23" t="n">
        <v>0.448</v>
      </c>
    </row>
    <row r="10">
      <c r="A10" s="2" t="inlineStr">
        <is>
          <t>Pretax</t>
        </is>
      </c>
      <c r="B10" s="23">
        <f>B8+B9</f>
        <v>-9.790000000000001</v>
      </c>
      <c r="C10" s="23">
        <f>C8+C9</f>
        <v>-18.061999999999998</v>
      </c>
      <c r="D10" s="23">
        <f>D8+D9</f>
        <v>-13.213</v>
      </c>
      <c r="E10" s="23">
        <f>E8+E9</f>
        <v>2.7780000000000022</v>
      </c>
      <c r="F10" s="23">
        <f>F8+F9</f>
        <v>-39.719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</row>
    <row r="12">
      <c r="A12" s="2" t="inlineStr">
        <is>
          <t>Net Income</t>
        </is>
      </c>
      <c r="B12" s="23" t="n">
        <v>-9.789999999999999</v>
      </c>
      <c r="C12" s="23" t="n">
        <v>-18.062</v>
      </c>
      <c r="D12" s="23" t="n">
        <v>-13.212</v>
      </c>
      <c r="E12" s="23" t="n">
        <v>2.779</v>
      </c>
      <c r="F12" s="23" t="n">
        <v>-39.719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-1.6920152091254752</v>
      </c>
      <c r="C13" s="11">
        <f>IFERROR(C12/C14,0)</f>
        <v>-2.4073037451685995</v>
      </c>
      <c r="D13" s="11">
        <f>IFERROR(D12/D14,0)</f>
        <v>-1.0747579923533719</v>
      </c>
      <c r="E13" s="11">
        <f>IFERROR(E12/E14,0)</f>
        <v>2.6266540642722114</v>
      </c>
      <c r="F13" s="11">
        <f>IFERROR(F12/F14,0)</f>
        <v>-22.606146841206606</v>
      </c>
    </row>
    <row r="14">
      <c r="A14" s="2" t="inlineStr">
        <is>
          <t>Shares</t>
        </is>
      </c>
      <c r="B14" s="23" t="n">
        <v>5.786</v>
      </c>
      <c r="C14" s="23" t="n">
        <v>7.503</v>
      </c>
      <c r="D14" s="23" t="n">
        <v>12.293</v>
      </c>
      <c r="E14" s="23" t="n">
        <v>1.058</v>
      </c>
      <c r="F14" s="23" t="n">
        <v>1.757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2026-10-21T01:06:02Z</dcterms:modified>
  <cp:lastModifiedBy>Wang, Eric</cp:lastModifiedBy>
</cp:coreProperties>
</file>