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OS Therapies Inc</t>
        </is>
      </c>
      <c r="C2" s="10" t="n"/>
    </row>
    <row r="3">
      <c r="B3" t="inlineStr">
        <is>
          <t>Price</t>
        </is>
      </c>
      <c r="C3" s="11">
        <f>INDEX([1]Pharma!$F$1:$F$1000,MATCH("OSTX",[1]Pharma!$B$1:$B$1000,0))</f>
        <v>1.27</v>
      </c>
      <c r="F3" s="1" t="n"/>
    </row>
    <row r="4">
      <c r="B4" t="inlineStr">
        <is>
          <t>Shares</t>
        </is>
      </c>
      <c r="C4" s="21" t="n">
        <v>46.125825</v>
      </c>
      <c r="F4" s="1" t="n"/>
    </row>
    <row r="5">
      <c r="B5" t="inlineStr">
        <is>
          <t>Market Cap.</t>
        </is>
      </c>
      <c r="C5" s="13">
        <f>C3*C4</f>
        <v>58.57979775</v>
      </c>
      <c r="F5" s="1" t="n"/>
    </row>
    <row r="6"/>
    <row r="7">
      <c r="B7" t="inlineStr">
        <is>
          <t>Cash</t>
        </is>
      </c>
      <c r="C7" s="21" t="n">
        <v>0.205035</v>
      </c>
    </row>
    <row r="8">
      <c r="B8" t="inlineStr">
        <is>
          <t>Debt</t>
        </is>
      </c>
      <c r="C8" s="21" t="n">
        <v>0</v>
      </c>
    </row>
    <row r="9">
      <c r="B9" t="inlineStr">
        <is>
          <t>Enterprise V.</t>
        </is>
      </c>
      <c r="C9" s="13">
        <f>C5-C7+C8</f>
        <v>58.374762749999995</v>
      </c>
    </row>
    <row r="10"/>
    <row r="11">
      <c r="B11" s="14" t="inlineStr">
        <is>
          <t>Net Cash / Share</t>
        </is>
      </c>
      <c r="C11" s="11">
        <f>(C7-C8)/C4</f>
        <v>0.004445123745754141</v>
      </c>
    </row>
    <row r="12">
      <c r="B12" s="14" t="inlineStr">
        <is>
          <t>Upside</t>
        </is>
      </c>
      <c r="C12" s="15">
        <f>IFERROR(C11/C3-1,"")</f>
        <v>-0.9964999025623983</v>
      </c>
    </row>
    <row r="13">
      <c r="B13" s="14" t="inlineStr">
        <is>
          <t>Cash / Share</t>
        </is>
      </c>
      <c r="C13" s="11">
        <f>IFERROR((C7-C8)/C4,"")</f>
        <v>0.004445123745754141</v>
      </c>
    </row>
    <row r="14">
      <c r="B14" s="14" t="inlineStr">
        <is>
          <t>Scenario</t>
        </is>
      </c>
      <c r="C14" s="14" t="inlineStr">
        <is>
          <t>pre-revenue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-18.533</v>
      </c>
    </row>
    <row r="18">
      <c r="B18" s="14" t="inlineStr">
        <is>
          <t>Runway (years)</t>
        </is>
      </c>
      <c r="C18" s="22">
        <f>IF(AND(ISNUMBER(C17),C17&lt;0),IF(C7&gt;C8,(C7-C8)/-C17,"net debt"),"n/a")</f>
        <v>0.01106323854745589</v>
      </c>
    </row>
    <row r="19">
      <c r="B19" s="14" t="inlineStr">
        <is>
          <t>Implied Pipeline Value</t>
        </is>
      </c>
      <c r="C19" s="13">
        <f>C9</f>
        <v>58.374762749999995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2023</v>
      </c>
      <c r="C1" s="17" t="n">
        <v>2024</v>
      </c>
      <c r="D1" s="17" t="n">
        <v>2025</v>
      </c>
      <c r="E1" s="6" t="n"/>
      <c r="F1" s="6" t="n"/>
      <c r="G1" s="6" t="n"/>
      <c r="H1" s="6" t="n"/>
      <c r="I1" s="6" t="n"/>
      <c r="J1" s="6" t="n"/>
      <c r="K1" s="6" t="n"/>
      <c r="L1" s="6" t="n"/>
      <c r="M1" s="6" t="n"/>
      <c r="N1" s="6" t="n"/>
      <c r="O1" s="6" t="n"/>
      <c r="P1" s="6" t="n"/>
      <c r="Q1" s="6" t="n"/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I2" s="1" t="n"/>
      <c r="J2" s="1" t="n"/>
      <c r="K2" s="1" t="n"/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I3" s="1" t="n"/>
      <c r="J3" s="1" t="n"/>
      <c r="K3" s="1" t="n"/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I4" s="1" t="n"/>
      <c r="J4" s="1" t="n"/>
      <c r="K4" s="1" t="n"/>
    </row>
    <row r="5">
      <c r="A5" s="2" t="inlineStr">
        <is>
          <t>Research &amp; Dev.</t>
        </is>
      </c>
      <c r="B5" s="23" t="n">
        <v>3.217</v>
      </c>
      <c r="C5" s="23" t="n">
        <v>2.839</v>
      </c>
      <c r="D5" s="23" t="n">
        <v>16.361</v>
      </c>
      <c r="I5" s="1" t="n"/>
      <c r="J5" s="1" t="n"/>
      <c r="K5" s="1" t="n"/>
    </row>
    <row r="6">
      <c r="A6" s="19" t="inlineStr">
        <is>
          <t>SG&amp;A &amp; Other</t>
        </is>
      </c>
      <c r="B6" s="23" t="n">
        <v>1.126</v>
      </c>
      <c r="C6" s="23" t="n">
        <v>3.975</v>
      </c>
      <c r="D6" s="23" t="n">
        <v>12.345</v>
      </c>
      <c r="I6" s="1" t="n"/>
      <c r="J6" s="1" t="n"/>
      <c r="K6" s="1" t="n"/>
    </row>
    <row r="7">
      <c r="A7" s="2" t="inlineStr">
        <is>
          <t>Operating Expense</t>
        </is>
      </c>
      <c r="B7" s="23">
        <f>SUM(B5:B6)</f>
        <v>4.343</v>
      </c>
      <c r="C7" s="23">
        <f>SUM(C5:C6)</f>
        <v>6.814</v>
      </c>
      <c r="D7" s="23">
        <f>SUM(D5:D6)</f>
        <v>28.706000000000003</v>
      </c>
      <c r="I7" s="1" t="n"/>
      <c r="J7" s="1" t="n"/>
      <c r="K7" s="1" t="n"/>
    </row>
    <row r="8">
      <c r="A8" s="2" t="inlineStr">
        <is>
          <t>Operating Income</t>
        </is>
      </c>
      <c r="B8" s="23">
        <f>B4-B7</f>
        <v>-4.343</v>
      </c>
      <c r="C8" s="23">
        <f>C4-C7</f>
        <v>-6.814</v>
      </c>
      <c r="D8" s="23">
        <f>D4-D7</f>
        <v>-28.706000000000003</v>
      </c>
      <c r="I8" s="1" t="n"/>
      <c r="J8" s="1" t="n"/>
      <c r="K8" s="1" t="n"/>
    </row>
    <row r="9">
      <c r="A9" s="19" t="inlineStr">
        <is>
          <t>Interest &amp; Other</t>
        </is>
      </c>
      <c r="B9" s="23" t="n">
        <v>-3.449</v>
      </c>
      <c r="C9" s="23" t="n">
        <v>-2.069</v>
      </c>
      <c r="D9" s="23" t="n">
        <v>-0.048</v>
      </c>
    </row>
    <row r="10">
      <c r="A10" s="2" t="inlineStr">
        <is>
          <t>Pretax</t>
        </is>
      </c>
      <c r="B10" s="23">
        <f>B8+B9</f>
        <v>-7.792</v>
      </c>
      <c r="C10" s="23">
        <f>C8+C9</f>
        <v>-8.883</v>
      </c>
      <c r="D10" s="23">
        <f>D8+D9</f>
        <v>-28.754</v>
      </c>
      <c r="I10" s="1" t="n"/>
      <c r="J10" s="1" t="n"/>
      <c r="K10" s="1" t="n"/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</row>
    <row r="12">
      <c r="A12" s="2" t="inlineStr">
        <is>
          <t>Net Income</t>
        </is>
      </c>
      <c r="B12" s="23" t="n">
        <v>-7.792</v>
      </c>
      <c r="C12" s="23" t="n">
        <v>-8.882999999999999</v>
      </c>
      <c r="D12" s="23" t="n">
        <v>-28.754</v>
      </c>
      <c r="I12" s="1" t="n"/>
      <c r="J12" s="1" t="n"/>
      <c r="K12" s="1" t="n"/>
    </row>
    <row r="13">
      <c r="A13" s="2" t="inlineStr">
        <is>
          <t>Earnings per Share</t>
        </is>
      </c>
      <c r="B13" s="11">
        <f>IFERROR(B12/B14,0)</f>
        <v>-1.4352551114385705</v>
      </c>
      <c r="C13" s="11">
        <f>IFERROR(C12/C14,0)</f>
        <v>-1.2781294964028775</v>
      </c>
      <c r="D13" s="11">
        <f>IFERROR(D12/D14,0)</f>
        <v>-0.9829419204867877</v>
      </c>
    </row>
    <row r="14">
      <c r="A14" s="2" t="inlineStr">
        <is>
          <t>Shares</t>
        </is>
      </c>
      <c r="B14" s="23" t="n">
        <v>5.429</v>
      </c>
      <c r="C14" s="23" t="n">
        <v>6.95</v>
      </c>
      <c r="D14" s="23" t="n">
        <v>29.253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4" t="n"/>
      <c r="F16" s="4" t="n"/>
      <c r="G16" s="4" t="n"/>
      <c r="H16" s="4" t="n"/>
      <c r="I16" s="4" t="n"/>
      <c r="J16" s="4" t="n"/>
      <c r="K16" s="4" t="n"/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4" t="n"/>
      <c r="F17" s="4" t="n"/>
      <c r="G17" s="4" t="n"/>
      <c r="H17" s="4" t="n"/>
      <c r="I17" s="4" t="n"/>
      <c r="J17" s="4" t="n"/>
      <c r="K17" s="4" t="n"/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2026-10-21T06:28:52Z</dcterms:modified>
  <cp:lastModifiedBy>Wang, Eric</cp:lastModifiedBy>
</cp:coreProperties>
</file>