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Innoviva, Inc.</t>
        </is>
      </c>
      <c r="C2" s="10" t="n"/>
    </row>
    <row r="3">
      <c r="B3" t="inlineStr">
        <is>
          <t>Price</t>
        </is>
      </c>
      <c r="C3" s="11">
        <f>INDEX([1]Pharma!$F$1:$F$1000,MATCH("INVA",[1]Pharma!$B$1:$B$1000,0))</f>
        <v>21.28</v>
      </c>
      <c r="F3" s="1" t="n"/>
    </row>
    <row r="4">
      <c r="B4" t="inlineStr">
        <is>
          <t>Shares</t>
        </is>
      </c>
      <c r="C4" s="51" t="n">
        <v>72.245485</v>
      </c>
      <c r="F4" s="1" t="n"/>
    </row>
    <row r="5">
      <c r="B5" t="inlineStr">
        <is>
          <t>Market Cap.</t>
        </is>
      </c>
      <c r="C5" s="13">
        <f>C3*C4</f>
        <v>1537.3839208000002</v>
      </c>
      <c r="F5" s="1" t="n"/>
    </row>
    <row r="6"/>
    <row r="7">
      <c r="B7" t="inlineStr">
        <is>
          <t>Cash</t>
        </is>
      </c>
      <c r="C7" s="51" t="n">
        <v>570.388</v>
      </c>
    </row>
    <row r="8">
      <c r="B8" t="inlineStr">
        <is>
          <t>Debt</t>
        </is>
      </c>
      <c r="C8" s="51" t="n">
        <v>258.454</v>
      </c>
    </row>
    <row r="9">
      <c r="B9" t="inlineStr">
        <is>
          <t>Enterprise V.</t>
        </is>
      </c>
      <c r="C9" s="13">
        <f>C5-C7+C8</f>
        <v>1225.4499208000002</v>
      </c>
    </row>
    <row r="10"/>
    <row r="11">
      <c r="B11" s="14" t="inlineStr">
        <is>
          <t>NPV / Share</t>
        </is>
      </c>
      <c r="C11" s="11">
        <f>NPV!B28</f>
        <v>40.280656987459565</v>
      </c>
    </row>
    <row r="12">
      <c r="B12" s="14" t="inlineStr">
        <is>
          <t>Upside</t>
        </is>
      </c>
      <c r="C12" s="15">
        <f>IFERROR(C11/C3-1,"")</f>
        <v>0.8928880163279871</v>
      </c>
    </row>
    <row r="13">
      <c r="B13" s="14" t="inlineStr">
        <is>
          <t>Cash / Share</t>
        </is>
      </c>
      <c r="C13" s="11">
        <f>IFERROR((C7-C8)/C4,"")</f>
        <v>4.317695424150036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24.374</v>
      </c>
      <c r="C2" s="52" t="n">
        <v>24.223</v>
      </c>
      <c r="D2" s="52" t="n">
        <v>24.512</v>
      </c>
      <c r="E2" s="52" t="n">
        <v>5.613</v>
      </c>
      <c r="F2" s="52" t="n">
        <v>4.532</v>
      </c>
      <c r="G2" s="52" t="n">
        <v>8.433</v>
      </c>
      <c r="H2" s="52" t="n">
        <v>53.949</v>
      </c>
      <c r="I2" s="52" t="n">
        <v>133.569</v>
      </c>
      <c r="J2" s="52" t="n">
        <v>217.217</v>
      </c>
      <c r="K2" s="52" t="n">
        <v>261.004</v>
      </c>
      <c r="L2" s="52" t="n">
        <v>261.016</v>
      </c>
      <c r="M2" s="52" t="n">
        <v>336.794</v>
      </c>
      <c r="N2" s="52" t="n">
        <v>391.866</v>
      </c>
      <c r="O2" s="52" t="n">
        <v>331.339</v>
      </c>
      <c r="P2" s="52" t="n">
        <v>310.463</v>
      </c>
      <c r="Q2" s="52" t="n">
        <v>358.711</v>
      </c>
      <c r="R2" s="52" t="n">
        <v>411.328</v>
      </c>
      <c r="S2" s="52">
        <f>R2*(1+NPV!C5)</f>
        <v>473.76759039999996</v>
      </c>
      <c r="T2" s="52">
        <f>S2*(1+NPV!D5)</f>
        <v>539.0106516824177</v>
      </c>
      <c r="U2" s="52">
        <f>T2*(1+NPV!E5)</f>
        <v>605.6443462448464</v>
      </c>
      <c r="V2" s="52">
        <f>U2*(1+NPV!F5)</f>
        <v>671.9825903035318</v>
      </c>
      <c r="W2" s="52">
        <f>V2*(1+NPV!G5)</f>
        <v>736.1195953113911</v>
      </c>
      <c r="X2" s="52">
        <f>W2*(1+NPV!H5)</f>
        <v>796.0070139432801</v>
      </c>
      <c r="Y2" s="52">
        <f>X2*(1+NPV!I5)</f>
        <v>849.5517524145313</v>
      </c>
      <c r="Z2" s="52">
        <f>Y2*(1+NPV!J5)</f>
        <v>894.7290267151529</v>
      </c>
      <c r="AA2" s="52">
        <f>Z2*(1+NPV!K5)</f>
        <v>929.7029902260853</v>
      </c>
      <c r="AB2" s="52">
        <f>AA2*(1+NPV!L5)</f>
        <v>952.9455649817373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  <c r="AA3" s="52">
        <f>AA2*(1-Assumptions!$B$19)</f>
        <v>0.0</v>
      </c>
      <c r="AB3" s="52">
        <f>AB2*(1-Assumptions!$B$19)</f>
        <v>0.0</v>
      </c>
    </row>
    <row r="4" customFormat="1" s="1">
      <c r="A4" s="5" t="inlineStr">
        <is>
          <t>Gross Margin</t>
        </is>
      </c>
      <c r="B4" s="52">
        <f>B2-B3</f>
        <v>24.374</v>
      </c>
      <c r="C4" s="52">
        <f>C2-C3</f>
        <v>24.223</v>
      </c>
      <c r="D4" s="52">
        <f>D2-D3</f>
        <v>24.512</v>
      </c>
      <c r="E4" s="52">
        <f>E2-E3</f>
        <v>5.613</v>
      </c>
      <c r="F4" s="52">
        <f>F2-F3</f>
        <v>4.532</v>
      </c>
      <c r="G4" s="52">
        <f>G2-G3</f>
        <v>8.433</v>
      </c>
      <c r="H4" s="52">
        <f>H2-H3</f>
        <v>53.949</v>
      </c>
      <c r="I4" s="52">
        <f>I2-I3</f>
        <v>133.569</v>
      </c>
      <c r="J4" s="52">
        <f>J2-J3</f>
        <v>217.217</v>
      </c>
      <c r="K4" s="52">
        <f>K2-K3</f>
        <v>261.004</v>
      </c>
      <c r="L4" s="52">
        <f>L2-L3</f>
        <v>261.016</v>
      </c>
      <c r="M4" s="52">
        <f>M2-M3</f>
        <v>336.794</v>
      </c>
      <c r="N4" s="52">
        <f>N2-N3</f>
        <v>391.866</v>
      </c>
      <c r="O4" s="52">
        <f>O2-O3</f>
        <v>331.339</v>
      </c>
      <c r="P4" s="52">
        <f>P2-P3</f>
        <v>310.463</v>
      </c>
      <c r="Q4" s="52">
        <f>Q2-Q3</f>
        <v>358.711</v>
      </c>
      <c r="R4" s="52">
        <f>R2-R3</f>
        <v>411.328</v>
      </c>
      <c r="S4" s="52">
        <f>S2-S3</f>
        <v>473.76759039999996</v>
      </c>
      <c r="T4" s="52">
        <f>T2-T3</f>
        <v>539.0106516824177</v>
      </c>
      <c r="U4" s="52">
        <f>U2-U3</f>
        <v>605.6443462448464</v>
      </c>
      <c r="V4" s="52">
        <f>V2-V3</f>
        <v>671.9825903035318</v>
      </c>
      <c r="W4" s="52">
        <f>W2-W3</f>
        <v>736.1195953113911</v>
      </c>
      <c r="X4" s="52">
        <f>X2-X3</f>
        <v>796.0070139432801</v>
      </c>
      <c r="Y4" s="52">
        <f>Y2-Y3</f>
        <v>849.5517524145313</v>
      </c>
      <c r="Z4" s="52">
        <f>Z2-Z3</f>
        <v>894.7290267151529</v>
      </c>
      <c r="AA4" s="52">
        <f>AA2-AA3</f>
        <v>929.7029902260853</v>
      </c>
      <c r="AB4" s="52">
        <f>AB2-AB3</f>
        <v>952.9455649817373</v>
      </c>
    </row>
    <row r="5">
      <c r="A5" s="2" t="inlineStr">
        <is>
          <t>Research &amp; Dev.</t>
        </is>
      </c>
      <c r="B5" s="52" t="n">
        <v>77.524</v>
      </c>
      <c r="C5" s="52" t="n">
        <v>75.06999999999999</v>
      </c>
      <c r="D5" s="52" t="n">
        <v>103.568</v>
      </c>
      <c r="E5" s="52" t="n">
        <v>8.153</v>
      </c>
      <c r="F5" s="52" t="n">
        <v>9.038</v>
      </c>
      <c r="G5" s="52" t="n">
        <v>7.498</v>
      </c>
      <c r="H5" s="52" t="n">
        <v>2.619</v>
      </c>
      <c r="I5" s="52" t="n">
        <v>1.393</v>
      </c>
      <c r="J5" s="52" t="n">
        <v>1.355</v>
      </c>
      <c r="K5" s="52" t="n">
        <v>0</v>
      </c>
      <c r="L5" s="52" t="n">
        <v>0</v>
      </c>
      <c r="M5" s="52" t="n">
        <v>1.788</v>
      </c>
      <c r="N5" s="52" t="n">
        <v>0.576</v>
      </c>
      <c r="O5" s="52" t="n">
        <v>41.432</v>
      </c>
      <c r="P5" s="52" t="n">
        <v>33.922</v>
      </c>
      <c r="Q5" s="52" t="n">
        <v>13.654</v>
      </c>
      <c r="R5" s="52" t="n">
        <v>30.604</v>
      </c>
      <c r="S5" s="52">
        <f>S7*Assumptions!$B$20</f>
        <v>36.8368760922859</v>
      </c>
      <c r="T5" s="52">
        <f>T7*Assumptions!$B$20</f>
        <v>41.81445417415334</v>
      </c>
      <c r="U5" s="52">
        <f>U7*Assumptions!$B$20</f>
        <v>46.87660349326138</v>
      </c>
      <c r="V5" s="52">
        <f>V7*Assumptions!$B$20</f>
        <v>51.892382550352295</v>
      </c>
      <c r="W5" s="52">
        <f>W7*Assumptions!$B$20</f>
        <v>56.71511450753716</v>
      </c>
      <c r="X5" s="52">
        <f>X7*Assumptions!$B$20</f>
        <v>61.18851150899435</v>
      </c>
      <c r="Y5" s="52">
        <f>Y7*Assumptions!$B$20</f>
        <v>65.1543021433636</v>
      </c>
      <c r="Z5" s="52">
        <f>Z7*Assumptions!$B$20</f>
        <v>68.46092157799572</v>
      </c>
      <c r="AA5" s="52">
        <f>AA7*Assumptions!$B$20</f>
        <v>70.97265979067247</v>
      </c>
      <c r="AB5" s="52">
        <f>AB7*Assumptions!$B$20</f>
        <v>72.57854506271988</v>
      </c>
    </row>
    <row r="6">
      <c r="A6" s="18" t="inlineStr">
        <is>
          <t>SG&amp;A &amp; Other</t>
        </is>
      </c>
      <c r="B6" s="52" t="n">
        <v>28.211</v>
      </c>
      <c r="C6" s="52" t="n">
        <v>27.476</v>
      </c>
      <c r="D6" s="52" t="n">
        <v>30.681</v>
      </c>
      <c r="E6" s="52" t="n">
        <v>22.606</v>
      </c>
      <c r="F6" s="52" t="n">
        <v>24.289</v>
      </c>
      <c r="G6" s="52" t="n">
        <v>34.864</v>
      </c>
      <c r="H6" s="52" t="n">
        <v>19.75</v>
      </c>
      <c r="I6" s="52" t="n">
        <v>23.188</v>
      </c>
      <c r="J6" s="52" t="n">
        <v>32.258</v>
      </c>
      <c r="K6" s="52" t="n">
        <v>22.753</v>
      </c>
      <c r="L6" s="52" t="n">
        <v>14.656</v>
      </c>
      <c r="M6" s="52" t="n">
        <v>13.883</v>
      </c>
      <c r="N6" s="52" t="n">
        <v>16.187</v>
      </c>
      <c r="O6" s="52" t="n">
        <v>2.958</v>
      </c>
      <c r="P6" s="52" t="n">
        <v>162.656</v>
      </c>
      <c r="Q6" s="52" t="n">
        <v>178.19</v>
      </c>
      <c r="R6" s="52" t="n">
        <v>216.979</v>
      </c>
      <c r="S6" s="52">
        <f>S7-S5</f>
        <v>261.1961020006421</v>
      </c>
      <c r="T6" s="52">
        <f>T7-T5</f>
        <v>296.49019124779926</v>
      </c>
      <c r="U6" s="52">
        <f>U7-U5</f>
        <v>332.38394256872385</v>
      </c>
      <c r="V6" s="52">
        <f>V7-V5</f>
        <v>367.9489002194883</v>
      </c>
      <c r="W6" s="52">
        <f>W7-W5</f>
        <v>402.14503522981846</v>
      </c>
      <c r="X6" s="52">
        <f>X7-X5</f>
        <v>433.86417060261044</v>
      </c>
      <c r="Y6" s="52">
        <f>Y7-Y5</f>
        <v>461.984064712329</v>
      </c>
      <c r="Z6" s="52">
        <f>Z7-Z5</f>
        <v>485.4300297002868</v>
      </c>
      <c r="AA6" s="52">
        <f>AA7-AA5</f>
        <v>503.23979806266465</v>
      </c>
      <c r="AB6" s="52">
        <f>AB7-AB5</f>
        <v>514.6265120790267</v>
      </c>
    </row>
    <row r="7">
      <c r="A7" s="2" t="inlineStr">
        <is>
          <t>Operating Expense</t>
        </is>
      </c>
      <c r="B7" s="52">
        <f>SUM(B5:B6)</f>
        <v>105.735</v>
      </c>
      <c r="C7" s="52">
        <f>SUM(C5:C6)</f>
        <v>102.54599999999999</v>
      </c>
      <c r="D7" s="52">
        <f>SUM(D5:D6)</f>
        <v>134.249</v>
      </c>
      <c r="E7" s="52">
        <f>SUM(E5:E6)</f>
        <v>30.759</v>
      </c>
      <c r="F7" s="52">
        <f>SUM(F5:F6)</f>
        <v>33.327</v>
      </c>
      <c r="G7" s="52">
        <f>SUM(G5:G6)</f>
        <v>42.361999999999995</v>
      </c>
      <c r="H7" s="52">
        <f>SUM(H5:H6)</f>
        <v>22.369</v>
      </c>
      <c r="I7" s="52">
        <f>SUM(I5:I6)</f>
        <v>24.581</v>
      </c>
      <c r="J7" s="52">
        <f>SUM(J5:J6)</f>
        <v>33.613</v>
      </c>
      <c r="K7" s="52">
        <f>SUM(K5:K6)</f>
        <v>22.753</v>
      </c>
      <c r="L7" s="52">
        <f>SUM(L5:L6)</f>
        <v>14.656</v>
      </c>
      <c r="M7" s="52">
        <f>SUM(M5:M6)</f>
        <v>15.671</v>
      </c>
      <c r="N7" s="52">
        <f>SUM(N5:N6)</f>
        <v>16.763</v>
      </c>
      <c r="O7" s="52">
        <f>SUM(O5:O6)</f>
        <v>44.39</v>
      </c>
      <c r="P7" s="52">
        <f>SUM(P5:P6)</f>
        <v>196.578</v>
      </c>
      <c r="Q7" s="52">
        <f>SUM(Q5:Q6)</f>
        <v>191.844</v>
      </c>
      <c r="R7" s="52">
        <f>SUM(R5:R6)</f>
        <v>247.58300000000003</v>
      </c>
      <c r="S7" s="52">
        <f>S4-S2*NPV!C6</f>
        <v>298.032978092928</v>
      </c>
      <c r="T7" s="52">
        <f>T4-T2*NPV!D6</f>
        <v>338.3046454219526</v>
      </c>
      <c r="U7" s="52">
        <f>U4-U2*NPV!E6</f>
        <v>379.2605460619852</v>
      </c>
      <c r="V7" s="52">
        <f>V4-V2*NPV!F6</f>
        <v>419.8412827698406</v>
      </c>
      <c r="W7" s="52">
        <f>W4-W2*NPV!G6</f>
        <v>458.86014973735564</v>
      </c>
      <c r="X7" s="52">
        <f>X4-X2*NPV!H6</f>
        <v>495.0526821116048</v>
      </c>
      <c r="Y7" s="52">
        <f>Y4-Y2*NPV!I6</f>
        <v>527.1383668556925</v>
      </c>
      <c r="Z7" s="52">
        <f>Z4-Z2*NPV!J6</f>
        <v>553.8909512782825</v>
      </c>
      <c r="AA7" s="52">
        <f>AA4-AA2*NPV!K6</f>
        <v>574.2124578533371</v>
      </c>
      <c r="AB7" s="52">
        <f>AB4-AB2*NPV!L6</f>
        <v>587.2050571417466</v>
      </c>
    </row>
    <row r="8">
      <c r="A8" s="2" t="inlineStr">
        <is>
          <t>Operating Income</t>
        </is>
      </c>
      <c r="B8" s="52">
        <f>B4-B7</f>
        <v>-81.361</v>
      </c>
      <c r="C8" s="52">
        <f>C4-C7</f>
        <v>-78.323</v>
      </c>
      <c r="D8" s="52">
        <f>D4-D7</f>
        <v>-109.737</v>
      </c>
      <c r="E8" s="52">
        <f>E4-E7</f>
        <v>-25.146</v>
      </c>
      <c r="F8" s="52">
        <f>F4-F7</f>
        <v>-28.794999999999998</v>
      </c>
      <c r="G8" s="52">
        <f>G4-G7</f>
        <v>-33.928999999999995</v>
      </c>
      <c r="H8" s="52">
        <f>H4-H7</f>
        <v>31.58</v>
      </c>
      <c r="I8" s="52">
        <f>I4-I7</f>
        <v>108.98799999999999</v>
      </c>
      <c r="J8" s="52">
        <f>J4-J7</f>
        <v>183.604</v>
      </c>
      <c r="K8" s="52">
        <f>K4-K7</f>
        <v>238.25100000000003</v>
      </c>
      <c r="L8" s="52">
        <f>L4-L7</f>
        <v>246.36</v>
      </c>
      <c r="M8" s="52">
        <f>M4-M7</f>
        <v>321.123</v>
      </c>
      <c r="N8" s="52">
        <f>N4-N7</f>
        <v>375.103</v>
      </c>
      <c r="O8" s="52">
        <f>O4-O7</f>
        <v>286.949</v>
      </c>
      <c r="P8" s="52">
        <f>P4-P7</f>
        <v>113.88500000000002</v>
      </c>
      <c r="Q8" s="52">
        <f>Q4-Q7</f>
        <v>166.86700000000002</v>
      </c>
      <c r="R8" s="52">
        <f>R4-R7</f>
        <v>163.74499999999995</v>
      </c>
      <c r="S8" s="52">
        <f>S4-S7</f>
        <v>175.73461230707198</v>
      </c>
      <c r="T8" s="52">
        <f>T4-T7</f>
        <v>200.70600626046507</v>
      </c>
      <c r="U8" s="52">
        <f>U4-U7</f>
        <v>226.38380018286114</v>
      </c>
      <c r="V8" s="52">
        <f>V4-V7</f>
        <v>252.1413075336912</v>
      </c>
      <c r="W8" s="52">
        <f>W4-W7</f>
        <v>277.25944557403545</v>
      </c>
      <c r="X8" s="52">
        <f>X4-X7</f>
        <v>300.9543318316753</v>
      </c>
      <c r="Y8" s="52">
        <f>Y4-Y7</f>
        <v>322.41338555883874</v>
      </c>
      <c r="Z8" s="52">
        <f>Z4-Z7</f>
        <v>340.83807543687044</v>
      </c>
      <c r="AA8" s="52">
        <f>AA4-AA7</f>
        <v>355.49053237274813</v>
      </c>
      <c r="AB8" s="52">
        <f>AB4-AB7</f>
        <v>365.74050783999076</v>
      </c>
    </row>
    <row r="9">
      <c r="A9" s="18" t="inlineStr">
        <is>
          <t>Interest &amp; Other</t>
        </is>
      </c>
      <c r="B9" s="52" t="n">
        <v>-3.941</v>
      </c>
      <c r="C9" s="52" t="n">
        <v>-5.539</v>
      </c>
      <c r="D9" s="52" t="n">
        <v>-5.607</v>
      </c>
      <c r="E9" s="52" t="n">
        <v>6.604</v>
      </c>
      <c r="F9" s="52" t="n">
        <v>-141.906</v>
      </c>
      <c r="G9" s="52" t="n">
        <v>-134.535</v>
      </c>
      <c r="H9" s="52" t="n">
        <v>-50.34</v>
      </c>
      <c r="I9" s="52" t="n">
        <v>-49.357</v>
      </c>
      <c r="J9" s="52" t="n">
        <v>-49.457</v>
      </c>
      <c r="K9" s="52" t="n">
        <v>-39.268</v>
      </c>
      <c r="L9" s="52" t="n">
        <v>-47.17</v>
      </c>
      <c r="M9" s="52" t="n">
        <v>-36.29</v>
      </c>
      <c r="N9" s="52" t="n">
        <v>-32.81</v>
      </c>
      <c r="O9" s="52" t="n">
        <v>-6.341</v>
      </c>
      <c r="P9" s="52" t="n">
        <v>80.21299999999999</v>
      </c>
      <c r="Q9" s="52" t="n">
        <v>-129.479</v>
      </c>
      <c r="R9" s="52" t="n">
        <v>163.117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-85.302</v>
      </c>
      <c r="C10" s="52">
        <f>C8+C9</f>
        <v>-83.862</v>
      </c>
      <c r="D10" s="52">
        <f>D8+D9</f>
        <v>-115.344</v>
      </c>
      <c r="E10" s="52">
        <f>E8+E9</f>
        <v>-18.542</v>
      </c>
      <c r="F10" s="52">
        <f>F8+F9</f>
        <v>-170.701</v>
      </c>
      <c r="G10" s="52">
        <f>G8+G9</f>
        <v>-168.464</v>
      </c>
      <c r="H10" s="52">
        <f>H8+H9</f>
        <v>-18.760000000000005</v>
      </c>
      <c r="I10" s="52">
        <f>I8+I9</f>
        <v>59.630999999999986</v>
      </c>
      <c r="J10" s="52">
        <f>J8+J9</f>
        <v>134.14700000000002</v>
      </c>
      <c r="K10" s="52">
        <f>K8+K9</f>
        <v>198.98300000000003</v>
      </c>
      <c r="L10" s="52">
        <f>L8+L9</f>
        <v>199.19</v>
      </c>
      <c r="M10" s="52">
        <f>M8+M9</f>
        <v>284.83299999999997</v>
      </c>
      <c r="N10" s="52">
        <f>N8+N9</f>
        <v>342.293</v>
      </c>
      <c r="O10" s="52">
        <f>O8+O9</f>
        <v>280.608</v>
      </c>
      <c r="P10" s="52">
        <f>P8+P9</f>
        <v>194.098</v>
      </c>
      <c r="Q10" s="52">
        <f>Q8+Q9</f>
        <v>37.388000000000005</v>
      </c>
      <c r="R10" s="52">
        <f>R8+R9</f>
        <v>326.86199999999997</v>
      </c>
      <c r="S10" s="52">
        <f>S8+S9</f>
        <v>175.73461230707198</v>
      </c>
      <c r="T10" s="52">
        <f>T8+T9</f>
        <v>200.70600626046507</v>
      </c>
      <c r="U10" s="52">
        <f>U8+U9</f>
        <v>226.38380018286114</v>
      </c>
      <c r="V10" s="52">
        <f>V8+V9</f>
        <v>252.1413075336912</v>
      </c>
      <c r="W10" s="52">
        <f>W8+W9</f>
        <v>277.25944557403545</v>
      </c>
      <c r="X10" s="52">
        <f>X8+X9</f>
        <v>300.9543318316753</v>
      </c>
      <c r="Y10" s="52">
        <f>Y8+Y9</f>
        <v>322.41338555883874</v>
      </c>
      <c r="Z10" s="52">
        <f>Z8+Z9</f>
        <v>340.83807543687044</v>
      </c>
      <c r="AA10" s="52">
        <f>AA8+AA9</f>
        <v>355.49053237274813</v>
      </c>
      <c r="AB10" s="52">
        <f>AB8+AB9</f>
        <v>365.74050783999076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0.095</v>
      </c>
      <c r="J11" s="52" t="n">
        <v>0.004</v>
      </c>
      <c r="K11" s="52" t="n">
        <v>-196.073</v>
      </c>
      <c r="L11" s="52" t="n">
        <v>41.902</v>
      </c>
      <c r="M11" s="52" t="n">
        <v>60.431</v>
      </c>
      <c r="N11" s="52" t="n">
        <v>76.43899999999999</v>
      </c>
      <c r="O11" s="52" t="n">
        <v>66.687</v>
      </c>
      <c r="P11" s="52" t="n">
        <v>14.376</v>
      </c>
      <c r="Q11" s="52" t="n">
        <v>13.996</v>
      </c>
      <c r="R11" s="52" t="n">
        <v>55.697</v>
      </c>
      <c r="S11" s="52">
        <f>MAX(0,S10)*Assumptions!$E$14</f>
        <v>29.87488409220224</v>
      </c>
      <c r="T11" s="52">
        <f>MAX(0,T10)*Assumptions!$E$14</f>
        <v>34.120021064279065</v>
      </c>
      <c r="U11" s="52">
        <f>MAX(0,U10)*Assumptions!$E$14</f>
        <v>38.4852460310864</v>
      </c>
      <c r="V11" s="52">
        <f>MAX(0,V10)*Assumptions!$E$14</f>
        <v>42.864022280727504</v>
      </c>
      <c r="W11" s="52">
        <f>MAX(0,W10)*Assumptions!$E$14</f>
        <v>47.134105747586034</v>
      </c>
      <c r="X11" s="52">
        <f>MAX(0,X10)*Assumptions!$E$14</f>
        <v>51.162236411384804</v>
      </c>
      <c r="Y11" s="52">
        <f>MAX(0,Y10)*Assumptions!$E$14</f>
        <v>54.81027554500259</v>
      </c>
      <c r="Z11" s="52">
        <f>MAX(0,Z10)*Assumptions!$E$14</f>
        <v>57.94247282426798</v>
      </c>
      <c r="AA11" s="52">
        <f>MAX(0,AA10)*Assumptions!$E$14</f>
        <v>60.433390503367185</v>
      </c>
      <c r="AB11" s="52">
        <f>MAX(0,AB10)*Assumptions!$E$14</f>
        <v>62.175886332798434</v>
      </c>
    </row>
    <row r="12">
      <c r="A12" s="2" t="inlineStr">
        <is>
          <t>Net Income</t>
        </is>
      </c>
      <c r="B12" s="52" t="n">
        <v>-85.30200000000001</v>
      </c>
      <c r="C12" s="52" t="n">
        <v>-83.86199999999999</v>
      </c>
      <c r="D12" s="52" t="n">
        <v>-115.344</v>
      </c>
      <c r="E12" s="52" t="n">
        <v>-18.542</v>
      </c>
      <c r="F12" s="52" t="n">
        <v>-170.701</v>
      </c>
      <c r="G12" s="52" t="n">
        <v>-168.464</v>
      </c>
      <c r="H12" s="52" t="n">
        <v>-18.76</v>
      </c>
      <c r="I12" s="52" t="n">
        <v>59.536</v>
      </c>
      <c r="J12" s="52" t="n">
        <v>134.143</v>
      </c>
      <c r="K12" s="52" t="n">
        <v>395.056</v>
      </c>
      <c r="L12" s="52" t="n">
        <v>157.288</v>
      </c>
      <c r="M12" s="52" t="n">
        <v>224.402</v>
      </c>
      <c r="N12" s="52" t="n">
        <v>265.854</v>
      </c>
      <c r="O12" s="52" t="n">
        <v>213.921</v>
      </c>
      <c r="P12" s="52" t="n">
        <v>179.722</v>
      </c>
      <c r="Q12" s="52" t="n">
        <v>23.392</v>
      </c>
      <c r="R12" s="52" t="n">
        <v>271.165</v>
      </c>
      <c r="S12" s="52">
        <f>S10-S11</f>
        <v>145.85972821486973</v>
      </c>
      <c r="T12" s="52">
        <f>T10-T11</f>
        <v>166.58598519618602</v>
      </c>
      <c r="U12" s="52">
        <f>U10-U11</f>
        <v>187.89855415177473</v>
      </c>
      <c r="V12" s="52">
        <f>V10-V11</f>
        <v>209.27728525296368</v>
      </c>
      <c r="W12" s="52">
        <f>W10-W11</f>
        <v>230.12533982644942</v>
      </c>
      <c r="X12" s="52">
        <f>X10-X11</f>
        <v>249.79209542029048</v>
      </c>
      <c r="Y12" s="52">
        <f>Y10-Y11</f>
        <v>267.60311001383616</v>
      </c>
      <c r="Z12" s="52">
        <f>Z10-Z11</f>
        <v>282.8956026126025</v>
      </c>
      <c r="AA12" s="52">
        <f>AA10-AA11</f>
        <v>295.0571418693809</v>
      </c>
      <c r="AB12" s="52">
        <f>AB10-AB11</f>
        <v>303.5646215071923</v>
      </c>
    </row>
    <row r="13">
      <c r="A13" s="2" t="inlineStr">
        <is>
          <t>Earnings per Share</t>
        </is>
      </c>
      <c r="B13" s="11">
        <f>IFERROR(B12/B14,0)</f>
        <v>-1.3534199628730545</v>
      </c>
      <c r="C13" s="11">
        <f>IFERROR(C12/C14,0)</f>
        <v>-1.163618704037741</v>
      </c>
      <c r="D13" s="11">
        <f>IFERROR(D12/D14,0)</f>
        <v>-1.4057598322994234</v>
      </c>
      <c r="E13" s="11">
        <f>IFERROR(E12/E14,0)</f>
        <v>-0.20396220396220396</v>
      </c>
      <c r="F13" s="11">
        <f>IFERROR(F12/F14,0)</f>
        <v>-1.6665950695630949</v>
      </c>
      <c r="G13" s="11">
        <f>IFERROR(G12/G14,0)</f>
        <v>-1.5033509133581417</v>
      </c>
      <c r="H13" s="11">
        <f>IFERROR(H12/H14,0)</f>
        <v>-0.1626044447526263</v>
      </c>
      <c r="I13" s="11">
        <f>IFERROR(I12/I14,0)</f>
        <v>0.48311734681457075</v>
      </c>
      <c r="J13" s="11">
        <f>IFERROR(J12/J14,0)</f>
        <v>1.1191080039377306</v>
      </c>
      <c r="K13" s="11">
        <f>IFERROR(K12/K14,0)</f>
        <v>3.4834932279909703</v>
      </c>
      <c r="L13" s="11">
        <f>IFERROR(L12/L14,0)</f>
        <v>1.3869093281838303</v>
      </c>
      <c r="M13" s="11">
        <f>IFERROR(M12/M14,0)</f>
        <v>1.976169927963788</v>
      </c>
      <c r="N13" s="11">
        <f>IFERROR(N12/N14,0)</f>
        <v>2.818937546389566</v>
      </c>
      <c r="O13" s="11">
        <f>IFERROR(O12/O14,0)</f>
        <v>2.2459369225600536</v>
      </c>
      <c r="P13" s="11">
        <f>IFERROR(P12/P14,0)</f>
        <v>2.068718633454579</v>
      </c>
      <c r="Q13" s="11">
        <f>IFERROR(Q12/Q14,0)</f>
        <v>0.3153113079110895</v>
      </c>
      <c r="R13" s="11">
        <f>IFERROR(R12/R14,0)</f>
        <v>3.19920953279849</v>
      </c>
      <c r="S13" s="11">
        <f>IFERROR(S12/S14,0)</f>
        <v>2.018945934335824</v>
      </c>
      <c r="T13" s="11">
        <f>IFERROR(T12/T14,0)</f>
        <v>2.3058324710005893</v>
      </c>
      <c r="U13" s="11">
        <f>IFERROR(U12/U14,0)</f>
        <v>2.6008345594437454</v>
      </c>
      <c r="V13" s="11">
        <f>IFERROR(V12/V14,0)</f>
        <v>2.896752444155696</v>
      </c>
      <c r="W13" s="11">
        <f>IFERROR(W12/W14,0)</f>
        <v>3.185324865996116</v>
      </c>
      <c r="X13" s="11">
        <f>IFERROR(X12/X14,0)</f>
        <v>3.4575461071413733</v>
      </c>
      <c r="Y13" s="11">
        <f>IFERROR(Y12/Y14,0)</f>
        <v>3.7040807465523438</v>
      </c>
      <c r="Z13" s="11">
        <f>IFERROR(Z12/Z14,0)</f>
        <v>3.915754771562576</v>
      </c>
      <c r="AA13" s="11">
        <f>IFERROR(AA12/AA14,0)</f>
        <v>4.0840910939885156</v>
      </c>
      <c r="AB13" s="11">
        <f>IFERROR(AB12/AB14,0)</f>
        <v>4.201849036063531</v>
      </c>
    </row>
    <row r="14">
      <c r="A14" s="2" t="inlineStr">
        <is>
          <t>Shares</t>
        </is>
      </c>
      <c r="B14" s="52" t="n">
        <v>63.027</v>
      </c>
      <c r="C14" s="52" t="n">
        <v>72.06999999999999</v>
      </c>
      <c r="D14" s="52" t="n">
        <v>82.051</v>
      </c>
      <c r="E14" s="52" t="n">
        <v>90.90900000000001</v>
      </c>
      <c r="F14" s="52" t="n">
        <v>102.425</v>
      </c>
      <c r="G14" s="52" t="n">
        <v>112.059</v>
      </c>
      <c r="H14" s="52" t="n">
        <v>115.372</v>
      </c>
      <c r="I14" s="52" t="n">
        <v>123.233</v>
      </c>
      <c r="J14" s="52" t="n">
        <v>119.866</v>
      </c>
      <c r="K14" s="52" t="n">
        <v>113.408</v>
      </c>
      <c r="L14" s="52" t="n">
        <v>113.409</v>
      </c>
      <c r="M14" s="52" t="n">
        <v>113.554</v>
      </c>
      <c r="N14" s="52" t="n">
        <v>94.31</v>
      </c>
      <c r="O14" s="52" t="n">
        <v>95.248</v>
      </c>
      <c r="P14" s="52" t="n">
        <v>86.876</v>
      </c>
      <c r="Q14" s="52" t="n">
        <v>74.187</v>
      </c>
      <c r="R14" s="52" t="n">
        <v>84.76000000000001</v>
      </c>
      <c r="S14" s="52">
        <f>Main!$C$4</f>
        <v>72.245485</v>
      </c>
      <c r="T14" s="52">
        <f>Main!$C$4</f>
        <v>72.245485</v>
      </c>
      <c r="U14" s="52">
        <f>Main!$C$4</f>
        <v>72.245485</v>
      </c>
      <c r="V14" s="52">
        <f>Main!$C$4</f>
        <v>72.245485</v>
      </c>
      <c r="W14" s="52">
        <f>Main!$C$4</f>
        <v>72.245485</v>
      </c>
      <c r="X14" s="52">
        <f>Main!$C$4</f>
        <v>72.245485</v>
      </c>
      <c r="Y14" s="52">
        <f>Main!$C$4</f>
        <v>72.245485</v>
      </c>
      <c r="Z14" s="52">
        <f>Main!$C$4</f>
        <v>72.245485</v>
      </c>
      <c r="AA14" s="52">
        <f>Main!$C$4</f>
        <v>72.245485</v>
      </c>
      <c r="AB14" s="52">
        <f>Main!$C$4</f>
        <v>72.245485</v>
      </c>
    </row>
    <row r="15"/>
    <row r="16" customFormat="1" s="4">
      <c r="A16" s="3" t="inlineStr">
        <is>
          <t>Revenue Change</t>
        </is>
      </c>
      <c r="C16" s="15">
        <f>IFERROR(C2/B2-1,"")</f>
        <v>-0.006195125953885272</v>
      </c>
      <c r="D16" s="15">
        <f>IFERROR(D2/C2-1,"")</f>
        <v>0.011930809561160993</v>
      </c>
      <c r="E16" s="15">
        <f>IFERROR(E2/D2-1,"")</f>
        <v>-0.7710101174934726</v>
      </c>
      <c r="F16" s="15">
        <f>IFERROR(F2/E2-1,"")</f>
        <v>-0.192588633529307</v>
      </c>
      <c r="G16" s="15">
        <f>IFERROR(G2/F2-1,"")</f>
        <v>0.8607678729037951</v>
      </c>
      <c r="H16" s="15">
        <f>IFERROR(H2/G2-1,"")</f>
        <v>5.397367484880825</v>
      </c>
      <c r="I16" s="15">
        <f>IFERROR(I2/H2-1,"")</f>
        <v>1.4758382917199575</v>
      </c>
      <c r="J16" s="15">
        <f>IFERROR(J2/I2-1,"")</f>
        <v>0.6262530976499041</v>
      </c>
      <c r="K16" s="15">
        <f>IFERROR(K2/J2-1,"")</f>
        <v>0.20158182830993887</v>
      </c>
      <c r="L16" s="15">
        <f>IFERROR(L2/K2-1,"")</f>
        <v>4.597630687652732e-05</v>
      </c>
      <c r="M16" s="15">
        <f>IFERROR(M2/L2-1,"")</f>
        <v>0.2903193673951021</v>
      </c>
      <c r="N16" s="15">
        <f>IFERROR(N2/M2-1,"")</f>
        <v>0.16351835246471147</v>
      </c>
      <c r="O16" s="15">
        <f>IFERROR(O2/N2-1,"")</f>
        <v>-0.15445841180403508</v>
      </c>
      <c r="P16" s="15">
        <f>IFERROR(P2/O2-1,"")</f>
        <v>-0.06300495866770883</v>
      </c>
      <c r="Q16" s="15">
        <f>IFERROR(Q2/P2-1,"")</f>
        <v>0.15540660239706505</v>
      </c>
      <c r="R16" s="15">
        <f>IFERROR(R2/Q2-1,"")</f>
        <v>0.14668354190420696</v>
      </c>
      <c r="S16" s="15">
        <f>IFERROR(S2/R2-1,"")</f>
        <v>0.15179999999999993</v>
      </c>
      <c r="T16" s="15">
        <f>IFERROR(T2/S2-1,"")</f>
        <v>0.13771111111111112</v>
      </c>
      <c r="U16" s="15">
        <f>IFERROR(U2/T2-1,"")</f>
        <v>0.1236222222222223</v>
      </c>
      <c r="V16" s="15">
        <f>IFERROR(V2/U2-1,"")</f>
        <v>0.10953333333333326</v>
      </c>
      <c r="W16" s="15">
        <f>IFERROR(W2/V2-1,"")</f>
        <v>0.09544444444444444</v>
      </c>
      <c r="X16" s="15">
        <f>IFERROR(X2/W2-1,"")</f>
        <v>0.08135555555555563</v>
      </c>
      <c r="Y16" s="15">
        <f>IFERROR(Y2/X2-1,"")</f>
        <v>0.06726666666666659</v>
      </c>
      <c r="Z16" s="15">
        <f>IFERROR(Z2/Y2-1,"")</f>
        <v>0.05317777777777777</v>
      </c>
      <c r="AA16" s="15">
        <f>IFERROR(AA2/Z2-1,"")</f>
        <v>0.03908888888888895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</row>
    <row r="18">
      <c r="A18" s="14" t="inlineStr">
        <is>
          <t>Operating Margin</t>
        </is>
      </c>
      <c r="B18" s="15">
        <f>IFERROR(B8/B2,"")</f>
        <v>-3.338024124066629</v>
      </c>
      <c r="C18" s="15">
        <f>IFERROR(C8/C2,"")</f>
        <v>-3.2334145233868634</v>
      </c>
      <c r="D18" s="15">
        <f>IFERROR(D8/D2,"")</f>
        <v>-4.476868472584856</v>
      </c>
      <c r="E18" s="15">
        <f>IFERROR(E8/E2,"")</f>
        <v>-4.479957242116515</v>
      </c>
      <c r="F18" s="15">
        <f>IFERROR(F8/F2,"")</f>
        <v>-6.353706972639011</v>
      </c>
      <c r="G18" s="15">
        <f>IFERROR(G8/G2,"")</f>
        <v>-4.023360607138621</v>
      </c>
      <c r="H18" s="15">
        <f>IFERROR(H8/H2,"")</f>
        <v>0.5853676620511965</v>
      </c>
      <c r="I18" s="15">
        <f>IFERROR(I8/I2,"")</f>
        <v>0.8159677769542334</v>
      </c>
      <c r="J18" s="15">
        <f>IFERROR(J8/J2,"")</f>
        <v>0.8452561263621171</v>
      </c>
      <c r="K18" s="15">
        <f>IFERROR(K8/K2,"")</f>
        <v>0.9128250908032062</v>
      </c>
      <c r="L18" s="15">
        <f>IFERROR(L8/L2,"")</f>
        <v>0.9438501854292457</v>
      </c>
      <c r="M18" s="15">
        <f>IFERROR(M8/M2,"")</f>
        <v>0.9534700736948996</v>
      </c>
      <c r="N18" s="15">
        <f>IFERROR(N8/N2,"")</f>
        <v>0.9572226220187514</v>
      </c>
      <c r="O18" s="15">
        <f>IFERROR(O8/O2,"")</f>
        <v>0.8660284482056142</v>
      </c>
      <c r="P18" s="15">
        <f>IFERROR(P8/P2,"")</f>
        <v>0.36682309969303917</v>
      </c>
      <c r="Q18" s="15">
        <f>IFERROR(Q8/Q2,"")</f>
        <v>0.46518506541477683</v>
      </c>
      <c r="R18" s="15">
        <f>IFERROR(R8/R2,"")</f>
        <v>0.39808862999844397</v>
      </c>
      <c r="S18" s="15">
        <f>IFERROR(S8/S2,"")</f>
        <v>0.37093</v>
      </c>
      <c r="T18" s="15">
        <f>IFERROR(T8/T2,"")</f>
        <v>0.37236</v>
      </c>
      <c r="U18" s="15">
        <f>IFERROR(U8/U2,"")</f>
        <v>0.37379</v>
      </c>
      <c r="V18" s="15">
        <f>IFERROR(V8/V2,"")</f>
        <v>0.37522</v>
      </c>
      <c r="W18" s="15">
        <f>IFERROR(W8/W2,"")</f>
        <v>0.37665</v>
      </c>
      <c r="X18" s="15">
        <f>IFERROR(X8/X2,"")</f>
        <v>0.37807999999999997</v>
      </c>
      <c r="Y18" s="15">
        <f>IFERROR(Y8/Y2,"")</f>
        <v>0.37950999999999996</v>
      </c>
      <c r="Z18" s="15">
        <f>IFERROR(Z8/Z2,"")</f>
        <v>0.3809400000000001</v>
      </c>
      <c r="AA18" s="15">
        <f>IFERROR(AA8/AA2,"")</f>
        <v>0.38236999999999993</v>
      </c>
      <c r="AB18" s="15">
        <f>IFERROR(AB8/AB2,"")</f>
        <v>0.3838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Innoviva,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0.1018</v>
      </c>
      <c r="C12" s="53" t="n">
        <v>0.1518</v>
      </c>
      <c r="D12" s="53" t="n">
        <v>0.2018</v>
      </c>
      <c r="E12" s="54">
        <f>CHOOSE($B$4,B12,C12,D12)</f>
        <v>0.1518</v>
      </c>
    </row>
    <row r="13">
      <c r="A13" s="14" t="inlineStr">
        <is>
          <t>Operating margin, year 10</t>
        </is>
      </c>
      <c r="B13" s="53" t="n">
        <v>0.3338</v>
      </c>
      <c r="C13" s="53" t="n">
        <v>0.3838</v>
      </c>
      <c r="D13" s="53" t="n">
        <v>0.4338</v>
      </c>
      <c r="E13" s="54">
        <f>CHOOSE($B$4,B13,C13,D13)</f>
        <v>0.3838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0.3695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0.1236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411.328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2598.1616001776556</v>
      </c>
      <c r="C29" s="56">
        <f>NPV!B26</f>
        <v>2910.0956001776553</v>
      </c>
      <c r="D29" s="35">
        <f>NPV!B28</f>
        <v>40.280656987459565</v>
      </c>
      <c r="E29" s="57">
        <f>NPV!B30</f>
        <v>0.8928880163279871</v>
      </c>
    </row>
    <row r="30">
      <c r="A30" s="58" t="n">
        <v>1</v>
      </c>
      <c r="B30" s="59">
        <f t="dataTable" ref="B30:E32" r1="B4"/>
        <v>1662.9218944759416</v>
      </c>
      <c r="C30" s="59">
        <v>1974.8558944759418</v>
      </c>
      <c r="D30" s="39">
        <v>27.33535382143177</v>
      </c>
      <c r="E30" s="60">
        <v>0.2845561006311921</v>
      </c>
    </row>
    <row r="31">
      <c r="A31" s="58" t="n">
        <v>2</v>
      </c>
      <c r="B31" s="59">
        <v>2598.1616001776556</v>
      </c>
      <c r="C31" s="59">
        <v>2910.0956001776553</v>
      </c>
      <c r="D31" s="39">
        <v>40.280656987459565</v>
      </c>
      <c r="E31" s="60">
        <v>0.8928880163279871</v>
      </c>
    </row>
    <row r="32">
      <c r="A32" s="58" t="n">
        <v>3</v>
      </c>
      <c r="B32" s="59">
        <v>4229.92655217229</v>
      </c>
      <c r="C32" s="59">
        <v>4541.86055217229</v>
      </c>
      <c r="D32" s="39">
        <v>62.867050476196404</v>
      </c>
      <c r="E32" s="60">
        <v>1.9542786877911844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40.280656987459565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46.787837943754866</v>
      </c>
      <c r="C37" s="39">
        <v>49.241316404130025</v>
      </c>
      <c r="D37" s="39">
        <v>52.06828971659763</v>
      </c>
      <c r="E37" s="39">
        <v>55.36208894821681</v>
      </c>
      <c r="F37" s="39">
        <v>59.24998326933545</v>
      </c>
    </row>
    <row r="38">
      <c r="A38" s="62" t="n">
        <v>0.1</v>
      </c>
      <c r="B38" s="39">
        <v>41.47994212731168</v>
      </c>
      <c r="C38" s="39">
        <v>43.30656915514908</v>
      </c>
      <c r="D38" s="39">
        <v>45.37343656969457</v>
      </c>
      <c r="E38" s="39">
        <v>47.731989144292925</v>
      </c>
      <c r="F38" s="39">
        <v>50.44950042840491</v>
      </c>
    </row>
    <row r="39">
      <c r="A39" s="62" t="n">
        <v>0.11</v>
      </c>
      <c r="B39" s="39">
        <v>37.31401417304582</v>
      </c>
      <c r="C39" s="39">
        <v>38.71625701028826</v>
      </c>
      <c r="D39" s="39">
        <v>40.280656987459565</v>
      </c>
      <c r="E39" s="39">
        <v>42.03758876805537</v>
      </c>
      <c r="F39" s="39">
        <v>44.025526601478816</v>
      </c>
    </row>
    <row r="40">
      <c r="A40" s="62" t="n">
        <v>0.12</v>
      </c>
      <c r="B40" s="39">
        <v>33.961627007177434</v>
      </c>
      <c r="C40" s="39">
        <v>35.064785726831566</v>
      </c>
      <c r="D40" s="39">
        <v>36.28164394927678</v>
      </c>
      <c r="E40" s="39">
        <v>37.63112607453084</v>
      </c>
      <c r="F40" s="39">
        <v>39.13660902500408</v>
      </c>
    </row>
    <row r="41">
      <c r="A41" s="62" t="n">
        <v>0.13</v>
      </c>
      <c r="B41" s="39">
        <v>31.208812315552095</v>
      </c>
      <c r="C41" s="39">
        <v>32.09428575554857</v>
      </c>
      <c r="D41" s="39">
        <v>33.061980967175394</v>
      </c>
      <c r="E41" s="39">
        <v>34.12420911800647</v>
      </c>
      <c r="F41" s="39">
        <v>35.29587295992982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Innoviva,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0.1518</v>
      </c>
      <c r="D5" s="63">
        <f>Assumptions!$E$12+(Assumptions!$E$11-Assumptions!$E$12)*(D4-1)/(Assumptions!$B$21-1)</f>
        <v>0.1377111111111111</v>
      </c>
      <c r="E5" s="63">
        <f>Assumptions!$E$12+(Assumptions!$E$11-Assumptions!$E$12)*(E4-1)/(Assumptions!$B$21-1)</f>
        <v>0.12362222222222222</v>
      </c>
      <c r="F5" s="63">
        <f>Assumptions!$E$12+(Assumptions!$E$11-Assumptions!$E$12)*(F4-1)/(Assumptions!$B$21-1)</f>
        <v>0.10953333333333333</v>
      </c>
      <c r="G5" s="63">
        <f>Assumptions!$E$12+(Assumptions!$E$11-Assumptions!$E$12)*(G4-1)/(Assumptions!$B$21-1)</f>
        <v>0.09544444444444444</v>
      </c>
      <c r="H5" s="63">
        <f>Assumptions!$E$12+(Assumptions!$E$11-Assumptions!$E$12)*(H4-1)/(Assumptions!$B$21-1)</f>
        <v>0.08135555555555554</v>
      </c>
      <c r="I5" s="63">
        <f>Assumptions!$E$12+(Assumptions!$E$11-Assumptions!$E$12)*(I4-1)/(Assumptions!$B$21-1)</f>
        <v>0.06726666666666667</v>
      </c>
      <c r="J5" s="63">
        <f>Assumptions!$E$12+(Assumptions!$E$11-Assumptions!$E$12)*(J4-1)/(Assumptions!$B$21-1)</f>
        <v>0.05317777777777777</v>
      </c>
      <c r="K5" s="63">
        <f>Assumptions!$E$12+(Assumptions!$E$11-Assumptions!$E$12)*(K4-1)/(Assumptions!$B$21-1)</f>
        <v>0.03908888888888888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0.39808862999844397</v>
      </c>
      <c r="C6" s="63">
        <f>Assumptions!$B$18+(Assumptions!$E$13-Assumptions!$B$18)*C4/Assumptions!$B$21</f>
        <v>0.37093</v>
      </c>
      <c r="D6" s="63">
        <f>Assumptions!$B$18+(Assumptions!$E$13-Assumptions!$B$18)*D4/Assumptions!$B$21</f>
        <v>0.37235999999999997</v>
      </c>
      <c r="E6" s="63">
        <f>Assumptions!$B$18+(Assumptions!$E$13-Assumptions!$B$18)*E4/Assumptions!$B$21</f>
        <v>0.37379</v>
      </c>
      <c r="F6" s="63">
        <f>Assumptions!$B$18+(Assumptions!$E$13-Assumptions!$B$18)*F4/Assumptions!$B$21</f>
        <v>0.37522</v>
      </c>
      <c r="G6" s="63">
        <f>Assumptions!$B$18+(Assumptions!$E$13-Assumptions!$B$18)*G4/Assumptions!$B$21</f>
        <v>0.37665</v>
      </c>
      <c r="H6" s="63">
        <f>Assumptions!$B$18+(Assumptions!$E$13-Assumptions!$B$18)*H4/Assumptions!$B$21</f>
        <v>0.37807999999999997</v>
      </c>
      <c r="I6" s="63">
        <f>Assumptions!$B$18+(Assumptions!$E$13-Assumptions!$B$18)*I4/Assumptions!$B$21</f>
        <v>0.37950999999999996</v>
      </c>
      <c r="J6" s="63">
        <f>Assumptions!$B$18+(Assumptions!$E$13-Assumptions!$B$18)*J4/Assumptions!$B$21</f>
        <v>0.38094</v>
      </c>
      <c r="K6" s="63">
        <f>Assumptions!$B$18+(Assumptions!$E$13-Assumptions!$B$18)*K4/Assumptions!$B$21</f>
        <v>0.38237</v>
      </c>
      <c r="L6" s="63">
        <f>Assumptions!$B$18+(Assumptions!$E$13-Assumptions!$B$18)*L4/Assumptions!$B$21</f>
        <v>0.3838</v>
      </c>
    </row>
    <row r="7">
      <c r="A7" s="14" t="inlineStr">
        <is>
          <t>Revenue</t>
        </is>
      </c>
      <c r="B7" s="55">
        <f>'Yearly Model'!R2</f>
        <v>411.328</v>
      </c>
      <c r="C7" s="55">
        <f>'Yearly Model'!S2</f>
        <v>473.76759039999996</v>
      </c>
      <c r="D7" s="55">
        <f>'Yearly Model'!T2</f>
        <v>539.0106516824177</v>
      </c>
      <c r="E7" s="55">
        <f>'Yearly Model'!U2</f>
        <v>605.6443462448464</v>
      </c>
      <c r="F7" s="55">
        <f>'Yearly Model'!V2</f>
        <v>671.9825903035318</v>
      </c>
      <c r="G7" s="55">
        <f>'Yearly Model'!W2</f>
        <v>736.1195953113911</v>
      </c>
      <c r="H7" s="55">
        <f>'Yearly Model'!X2</f>
        <v>796.0070139432801</v>
      </c>
      <c r="I7" s="55">
        <f>'Yearly Model'!Y2</f>
        <v>849.5517524145313</v>
      </c>
      <c r="J7" s="55">
        <f>'Yearly Model'!Z2</f>
        <v>894.7290267151529</v>
      </c>
      <c r="K7" s="55">
        <f>'Yearly Model'!AA2</f>
        <v>929.7029902260853</v>
      </c>
      <c r="L7" s="55">
        <f>'Yearly Model'!AB2</f>
        <v>952.9455649817373</v>
      </c>
    </row>
    <row r="8">
      <c r="A8" s="14" t="inlineStr">
        <is>
          <t>Operating income</t>
        </is>
      </c>
      <c r="B8" s="55">
        <f>'Yearly Model'!R8</f>
        <v>163.74499999999995</v>
      </c>
      <c r="C8" s="55">
        <f>'Yearly Model'!S8</f>
        <v>175.73461230707198</v>
      </c>
      <c r="D8" s="55">
        <f>'Yearly Model'!T8</f>
        <v>200.70600626046507</v>
      </c>
      <c r="E8" s="55">
        <f>'Yearly Model'!U8</f>
        <v>226.38380018286114</v>
      </c>
      <c r="F8" s="55">
        <f>'Yearly Model'!V8</f>
        <v>252.1413075336912</v>
      </c>
      <c r="G8" s="55">
        <f>'Yearly Model'!W8</f>
        <v>277.25944557403545</v>
      </c>
      <c r="H8" s="55">
        <f>'Yearly Model'!X8</f>
        <v>300.9543318316753</v>
      </c>
      <c r="I8" s="55">
        <f>'Yearly Model'!Y8</f>
        <v>322.41338555883874</v>
      </c>
      <c r="J8" s="55">
        <f>'Yearly Model'!Z8</f>
        <v>340.83807543687044</v>
      </c>
      <c r="K8" s="55">
        <f>'Yearly Model'!AA8</f>
        <v>355.49053237274813</v>
      </c>
      <c r="L8" s="55">
        <f>'Yearly Model'!AB8</f>
        <v>365.74050783999076</v>
      </c>
    </row>
    <row r="9">
      <c r="A9" s="14" t="inlineStr">
        <is>
          <t>Tax on operating income</t>
        </is>
      </c>
      <c r="C9" s="52">
        <f>MAX(0,C8)*Assumptions!$E$14</f>
        <v>29.87488409220224</v>
      </c>
      <c r="D9" s="52">
        <f>MAX(0,D8)*Assumptions!$E$14</f>
        <v>34.120021064279065</v>
      </c>
      <c r="E9" s="52">
        <f>MAX(0,E8)*Assumptions!$E$14</f>
        <v>38.4852460310864</v>
      </c>
      <c r="F9" s="52">
        <f>MAX(0,F8)*Assumptions!$E$14</f>
        <v>42.864022280727504</v>
      </c>
      <c r="G9" s="52">
        <f>MAX(0,G8)*Assumptions!$E$14</f>
        <v>47.134105747586034</v>
      </c>
      <c r="H9" s="52">
        <f>MAX(0,H8)*Assumptions!$E$14</f>
        <v>51.162236411384804</v>
      </c>
      <c r="I9" s="52">
        <f>MAX(0,I8)*Assumptions!$E$14</f>
        <v>54.81027554500259</v>
      </c>
      <c r="J9" s="52">
        <f>MAX(0,J8)*Assumptions!$E$14</f>
        <v>57.94247282426798</v>
      </c>
      <c r="K9" s="52">
        <f>MAX(0,K8)*Assumptions!$E$14</f>
        <v>60.433390503367185</v>
      </c>
      <c r="L9" s="52">
        <f>MAX(0,L8)*Assumptions!$E$14</f>
        <v>62.175886332798434</v>
      </c>
    </row>
    <row r="10">
      <c r="A10" s="14" t="inlineStr">
        <is>
          <t>NOPAT</t>
        </is>
      </c>
      <c r="C10" s="52">
        <f>C8-C9</f>
        <v>145.85972821486973</v>
      </c>
      <c r="D10" s="52">
        <f>D8-D9</f>
        <v>166.58598519618602</v>
      </c>
      <c r="E10" s="52">
        <f>E8-E9</f>
        <v>187.89855415177473</v>
      </c>
      <c r="F10" s="52">
        <f>F8-F9</f>
        <v>209.27728525296368</v>
      </c>
      <c r="G10" s="52">
        <f>G8-G9</f>
        <v>230.12533982644942</v>
      </c>
      <c r="H10" s="52">
        <f>H8-H9</f>
        <v>249.79209542029048</v>
      </c>
      <c r="I10" s="52">
        <f>I8-I9</f>
        <v>267.60311001383616</v>
      </c>
      <c r="J10" s="52">
        <f>J8-J9</f>
        <v>282.8956026126025</v>
      </c>
      <c r="K10" s="52">
        <f>K8-K9</f>
        <v>295.0571418693809</v>
      </c>
      <c r="L10" s="52">
        <f>L8-L9</f>
        <v>303.5646215071923</v>
      </c>
    </row>
    <row r="11">
      <c r="A11" s="14" t="inlineStr">
        <is>
          <t>Reinvestment</t>
        </is>
      </c>
      <c r="C11" s="52">
        <f>(C7-B7)*Assumptions!$E$15</f>
        <v>15.609897599999996</v>
      </c>
      <c r="D11" s="52">
        <f>(D7-C7)*Assumptions!$E$15</f>
        <v>16.310765320604432</v>
      </c>
      <c r="E11" s="52">
        <f>(E7-D7)*Assumptions!$E$15</f>
        <v>16.658423640607168</v>
      </c>
      <c r="F11" s="52">
        <f>(F7-E7)*Assumptions!$E$15</f>
        <v>16.58456101467135</v>
      </c>
      <c r="G11" s="52">
        <f>(G7-F7)*Assumptions!$E$15</f>
        <v>16.034251251964832</v>
      </c>
      <c r="H11" s="52">
        <f>(H7-G7)*Assumptions!$E$15</f>
        <v>14.971854657972244</v>
      </c>
      <c r="I11" s="52">
        <f>(I7-H7)*Assumptions!$E$15</f>
        <v>13.386184617812802</v>
      </c>
      <c r="J11" s="52">
        <f>(J7-I7)*Assumptions!$E$15</f>
        <v>11.294318575155415</v>
      </c>
      <c r="K11" s="52">
        <f>(K7-J7)*Assumptions!$E$15</f>
        <v>8.74349087773308</v>
      </c>
      <c r="L11" s="52">
        <f>(L7-K7)*Assumptions!$E$15</f>
        <v>5.810643688913018</v>
      </c>
    </row>
    <row r="12">
      <c r="A12" s="20" t="inlineStr">
        <is>
          <t>Free cash flow</t>
        </is>
      </c>
      <c r="C12" s="64">
        <f>C10-C11</f>
        <v>130.24983061486972</v>
      </c>
      <c r="D12" s="64">
        <f>D10-D11</f>
        <v>150.27521987558157</v>
      </c>
      <c r="E12" s="64">
        <f>E10-E11</f>
        <v>171.24013051116756</v>
      </c>
      <c r="F12" s="64">
        <f>F10-F11</f>
        <v>192.69272423829233</v>
      </c>
      <c r="G12" s="64">
        <f>G10-G11</f>
        <v>214.0910885744846</v>
      </c>
      <c r="H12" s="64">
        <f>H10-H11</f>
        <v>234.82024076231824</v>
      </c>
      <c r="I12" s="64">
        <f>I10-I11</f>
        <v>254.21692539602336</v>
      </c>
      <c r="J12" s="64">
        <f>J10-J11</f>
        <v>271.60128403744704</v>
      </c>
      <c r="K12" s="64">
        <f>K10-K11</f>
        <v>286.3136509916478</v>
      </c>
      <c r="L12" s="64">
        <f>L10-L11</f>
        <v>297.7539778182793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63.95436744747683</v>
      </c>
      <c r="D16" s="64">
        <f>D12*D13*D15</f>
        <v>135.32516618039313</v>
      </c>
      <c r="E16" s="64">
        <f>E12*E13*E15</f>
        <v>138.9228769022275</v>
      </c>
      <c r="F16" s="64">
        <f>F12*F13*F15</f>
        <v>140.83498638922774</v>
      </c>
      <c r="G16" s="64">
        <f>G12*G13*G15</f>
        <v>140.96810155024346</v>
      </c>
      <c r="H16" s="64">
        <f>H12*H13*H15</f>
        <v>139.29477008491403</v>
      </c>
      <c r="I16" s="64">
        <f>I12*I13*I15</f>
        <v>135.8566073134584</v>
      </c>
      <c r="J16" s="64">
        <f>J12*J13*J15</f>
        <v>130.76308050170573</v>
      </c>
      <c r="K16" s="64">
        <f>K12*K13*K15</f>
        <v>124.18593186004411</v>
      </c>
      <c r="L16" s="64">
        <f>L12*L13*L15</f>
        <v>116.34961185798441</v>
      </c>
    </row>
    <row r="19">
      <c r="A19" s="14" t="inlineStr">
        <is>
          <t>PV of forecast free cash flow</t>
        </is>
      </c>
      <c r="B19" s="52">
        <f>SUM(C16:L16)</f>
        <v>1266.4555000876753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305.19782726373626</v>
      </c>
    </row>
    <row r="21">
      <c r="A21" s="14" t="inlineStr">
        <is>
          <t>Terminal value</t>
        </is>
      </c>
      <c r="B21" s="52">
        <f>B20/(Assumptions!$E$10-Assumptions!$E$11)</f>
        <v>3590.5626736910153</v>
      </c>
    </row>
    <row r="22">
      <c r="A22" s="14" t="inlineStr">
        <is>
          <t>PV of terminal value</t>
        </is>
      </c>
      <c r="B22" s="52">
        <f>B21/(1+Assumptions!$E$10)^(L14+0.5)</f>
        <v>1331.7061000899805</v>
      </c>
    </row>
    <row r="23">
      <c r="A23" s="20" t="inlineStr">
        <is>
          <t>Enterprise value</t>
        </is>
      </c>
      <c r="B23" s="66">
        <f>B19+B22</f>
        <v>2598.1616001776556</v>
      </c>
    </row>
    <row r="24">
      <c r="A24" s="14" t="inlineStr">
        <is>
          <t>Cash &amp; investments</t>
        </is>
      </c>
      <c r="B24" s="55">
        <f>Main!C7</f>
        <v>570.388</v>
      </c>
    </row>
    <row r="25">
      <c r="A25" s="14" t="inlineStr">
        <is>
          <t>Debt</t>
        </is>
      </c>
      <c r="B25" s="55">
        <f>Main!C8</f>
        <v>258.454</v>
      </c>
    </row>
    <row r="26">
      <c r="A26" s="20" t="inlineStr">
        <is>
          <t>Equity value</t>
        </is>
      </c>
      <c r="B26" s="66">
        <f>B23+B24-B25</f>
        <v>2910.0956001776553</v>
      </c>
    </row>
    <row r="27">
      <c r="A27" s="14" t="inlineStr">
        <is>
          <t>Shares (mm)</t>
        </is>
      </c>
      <c r="B27" s="55">
        <f>Main!C4</f>
        <v>72.245485</v>
      </c>
    </row>
    <row r="28">
      <c r="A28" s="20" t="inlineStr">
        <is>
          <t>NPV / share</t>
        </is>
      </c>
      <c r="B28" s="49">
        <f>B26/B27</f>
        <v>40.280656987459565</v>
      </c>
    </row>
    <row r="29">
      <c r="A29" s="14" t="inlineStr">
        <is>
          <t>Price</t>
        </is>
      </c>
      <c r="B29" s="50">
        <f>Main!C3</f>
        <v>21.28</v>
      </c>
    </row>
    <row r="30">
      <c r="A30" s="14" t="inlineStr">
        <is>
          <t>Upside</t>
        </is>
      </c>
      <c r="B30" s="63">
        <f>B28/B29-1</f>
        <v>0.8928880163279871</v>
      </c>
    </row>
    <row r="31">
      <c r="A31" s="14" t="inlineStr">
        <is>
          <t>Terminal value, % of EV</t>
        </is>
      </c>
      <c r="B31" s="63">
        <f>IFERROR(B22/B23,0)</f>
        <v>0.5125570711224898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2026-10-21T06:23:11Z</dcterms:modified>
  <cp:lastModifiedBy>Wang, Eric</cp:lastModifiedBy>
</cp:coreProperties>
</file>