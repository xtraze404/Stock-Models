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bioAffinity Technologies Inc</t>
        </is>
      </c>
      <c r="C2" s="10" t="n"/>
    </row>
    <row r="3">
      <c r="B3" t="inlineStr">
        <is>
          <t>Price</t>
        </is>
      </c>
      <c r="C3" s="11">
        <f>INDEX([1]Pharma!$F$1:$F$1000,MATCH("BIAF",[1]Pharma!$B$1:$B$1000,0))</f>
        <v>3.66</v>
      </c>
      <c r="F3" s="1" t="n"/>
    </row>
    <row r="4">
      <c r="B4" t="inlineStr">
        <is>
          <t>Shares</t>
        </is>
      </c>
      <c r="C4" s="21" t="n">
        <v>8.101725</v>
      </c>
      <c r="F4" s="1" t="n"/>
    </row>
    <row r="5">
      <c r="B5" t="inlineStr">
        <is>
          <t>Market Cap.</t>
        </is>
      </c>
      <c r="C5" s="13">
        <f>C3*C4</f>
        <v>29.6523135</v>
      </c>
      <c r="F5" s="1" t="n"/>
    </row>
    <row r="6"/>
    <row r="7">
      <c r="B7" t="inlineStr">
        <is>
          <t>Cash</t>
        </is>
      </c>
      <c r="C7" s="21" t="n">
        <v>2.429719</v>
      </c>
    </row>
    <row r="8">
      <c r="B8" t="inlineStr">
        <is>
          <t>Debt</t>
        </is>
      </c>
      <c r="C8" s="21">
        <f>0.022561+0.036465</f>
        <v>0.059025999999999995</v>
      </c>
    </row>
    <row r="9">
      <c r="B9" t="inlineStr">
        <is>
          <t>Enterprise V.</t>
        </is>
      </c>
      <c r="C9" s="13">
        <f>C5-C7+C8</f>
        <v>27.281620500000002</v>
      </c>
    </row>
    <row r="10"/>
    <row r="11">
      <c r="B11" s="14" t="inlineStr">
        <is>
          <t>Net Cash / Share</t>
        </is>
      </c>
      <c r="C11" s="11">
        <f>(C7-C8)/C4</f>
        <v>0.2926158318135953</v>
      </c>
    </row>
    <row r="12">
      <c r="B12" s="14" t="inlineStr">
        <is>
          <t>Upside</t>
        </is>
      </c>
      <c r="C12" s="15">
        <f>IFERROR(C11/C3-1,"")</f>
        <v>-0.9200503191766133</v>
      </c>
    </row>
    <row r="13">
      <c r="B13" s="14" t="inlineStr">
        <is>
          <t>Cash / Share</t>
        </is>
      </c>
      <c r="C13" s="11">
        <f>IFERROR((C7-C8)/C4,"")</f>
        <v>0.2926158318135953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-11.468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0.2067224450645274</v>
      </c>
    </row>
    <row r="19">
      <c r="B19" s="14" t="inlineStr">
        <is>
          <t>Implied Pipeline Value</t>
        </is>
      </c>
      <c r="C19" s="13">
        <f>C9</f>
        <v>27.281620500000002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6.9</v>
      </c>
      <c r="D2" s="23" t="n">
        <v>7.9</v>
      </c>
      <c r="E2" s="23" t="n">
        <v>9.362</v>
      </c>
      <c r="F2" s="23" t="n">
        <v>6.162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6.9</v>
      </c>
      <c r="D4" s="23">
        <f>D2-D3</f>
        <v>7.9</v>
      </c>
      <c r="E4" s="23">
        <f>E2-E3</f>
        <v>9.362</v>
      </c>
      <c r="F4" s="23">
        <f>F2-F3</f>
        <v>6.162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1.007</v>
      </c>
      <c r="C5" s="23" t="n">
        <v>1.379</v>
      </c>
      <c r="D5" s="23" t="n">
        <v>1.468</v>
      </c>
      <c r="E5" s="23" t="n">
        <v>1.461</v>
      </c>
      <c r="F5" s="23" t="n">
        <v>1.383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1.199</v>
      </c>
      <c r="C6" s="23" t="n">
        <v>9.532</v>
      </c>
      <c r="D6" s="23" t="n">
        <v>14.405</v>
      </c>
      <c r="E6" s="23" t="n">
        <v>16.854</v>
      </c>
      <c r="F6" s="23" t="n">
        <v>15.351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2.206</v>
      </c>
      <c r="C7" s="23">
        <f>SUM(C5:C6)</f>
        <v>10.911</v>
      </c>
      <c r="D7" s="23">
        <f>SUM(D5:D6)</f>
        <v>15.873</v>
      </c>
      <c r="E7" s="23">
        <f>SUM(E5:E6)</f>
        <v>18.314999999999998</v>
      </c>
      <c r="F7" s="23">
        <f>SUM(F5:F6)</f>
        <v>16.734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-2.206</v>
      </c>
      <c r="C8" s="23">
        <f>C4-C7</f>
        <v>-4.010999999999999</v>
      </c>
      <c r="D8" s="23">
        <f>D4-D7</f>
        <v>-7.972999999999999</v>
      </c>
      <c r="E8" s="23">
        <f>E4-E7</f>
        <v>-8.952999999999998</v>
      </c>
      <c r="F8" s="23">
        <f>F4-F7</f>
        <v>-10.572000000000003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-4.118</v>
      </c>
      <c r="C9" s="23" t="n">
        <v>-4.141</v>
      </c>
      <c r="D9" s="23" t="n">
        <v>0.057</v>
      </c>
      <c r="E9" s="23" t="n">
        <v>-0.075</v>
      </c>
      <c r="F9" s="23" t="n">
        <v>-4.293</v>
      </c>
    </row>
    <row r="10">
      <c r="A10" s="2" t="inlineStr">
        <is>
          <t>Pretax</t>
        </is>
      </c>
      <c r="B10" s="23">
        <f>B8+B9</f>
        <v>-6.324</v>
      </c>
      <c r="C10" s="23">
        <f>C8+C9</f>
        <v>-8.152</v>
      </c>
      <c r="D10" s="23">
        <f>D8+D9</f>
        <v>-7.915999999999999</v>
      </c>
      <c r="E10" s="23">
        <f>E8+E9</f>
        <v>-9.027999999999997</v>
      </c>
      <c r="F10" s="23">
        <f>F8+F9</f>
        <v>-14.865000000000002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0.002</v>
      </c>
      <c r="C11" s="23" t="n">
        <v>0.002</v>
      </c>
      <c r="D11" s="23" t="n">
        <v>0.021</v>
      </c>
      <c r="E11" s="23" t="n">
        <v>0.012</v>
      </c>
      <c r="F11" s="23" t="n">
        <v>0.044</v>
      </c>
    </row>
    <row r="12">
      <c r="A12" s="2" t="inlineStr">
        <is>
          <t>Net Income</t>
        </is>
      </c>
      <c r="B12" s="23" t="n">
        <v>-6.326</v>
      </c>
      <c r="C12" s="23" t="n">
        <v>-8.154</v>
      </c>
      <c r="D12" s="23" t="n">
        <v>-7.937</v>
      </c>
      <c r="E12" s="23" t="n">
        <v>-9.039999999999999</v>
      </c>
      <c r="F12" s="23" t="n">
        <v>-14.91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-51.85245901639344</v>
      </c>
      <c r="C13" s="11">
        <f>IFERROR(C12/C14,0)</f>
        <v>-39.97058823529412</v>
      </c>
      <c r="D13" s="11">
        <f>IFERROR(D12/D14,0)</f>
        <v>-19.94221105527638</v>
      </c>
      <c r="E13" s="11">
        <f>IFERROR(E12/E14,0)</f>
        <v>-22.37623762376237</v>
      </c>
      <c r="F13" s="11">
        <f>IFERROR(F12/F14,0)</f>
        <v>-8.663567693201626</v>
      </c>
    </row>
    <row r="14">
      <c r="A14" s="2" t="inlineStr">
        <is>
          <t>Shares</t>
        </is>
      </c>
      <c r="B14" s="23" t="n">
        <v>0.122</v>
      </c>
      <c r="C14" s="23" t="n">
        <v>0.204</v>
      </c>
      <c r="D14" s="23" t="n">
        <v>0.398</v>
      </c>
      <c r="E14" s="23" t="n">
        <v>0.404</v>
      </c>
      <c r="F14" s="23" t="n">
        <v>1.721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0.14492753623188404</v>
      </c>
      <c r="E16" s="15">
        <f>IFERROR(E2/D2-1,"")</f>
        <v>0.18506329113924047</v>
      </c>
      <c r="F16" s="15">
        <f>IFERROR(F2/E2-1,"")</f>
        <v>-0.3418073061311686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-0.5813043478260869</v>
      </c>
      <c r="D18" s="15">
        <f>IFERROR(D8/D2,"")</f>
        <v>-1.0092405063291137</v>
      </c>
      <c r="E18" s="15">
        <f>IFERROR(E8/E2,"")</f>
        <v>-0.9563127536851097</v>
      </c>
      <c r="F18" s="15">
        <f>IFERROR(F8/F2,"")</f>
        <v>-1.7156767283349565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2026-10-21T06:29:48Z</dcterms:modified>
  <cp:lastModifiedBy>Wang, Eric</cp:lastModifiedBy>
</cp:coreProperties>
</file>