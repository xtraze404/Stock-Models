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Rocket One Inc</t>
        </is>
      </c>
      <c r="C2" s="10" t="n"/>
    </row>
    <row r="3">
      <c r="B3" t="inlineStr">
        <is>
          <t>Price</t>
        </is>
      </c>
      <c r="C3" s="11">
        <f>INDEX([1]Pharma!$F$1:$F$1000,MATCH("RKTO",[1]Pharma!$B$1:$B$1000,0))</f>
        <v>0.5311</v>
      </c>
      <c r="F3" s="1" t="n"/>
    </row>
    <row r="4">
      <c r="B4" t="inlineStr">
        <is>
          <t>Shares</t>
        </is>
      </c>
      <c r="C4" s="21" t="n">
        <v>24.897581</v>
      </c>
      <c r="F4" s="1" t="n"/>
    </row>
    <row r="5">
      <c r="B5" t="inlineStr">
        <is>
          <t>Market Cap.</t>
        </is>
      </c>
      <c r="C5" s="13">
        <f>C3*C4</f>
        <v>13.2231052691</v>
      </c>
      <c r="F5" s="1" t="n"/>
    </row>
    <row r="6"/>
    <row r="7">
      <c r="B7" t="inlineStr">
        <is>
          <t>Cash</t>
        </is>
      </c>
      <c r="C7" s="21" t="n">
        <v>7.891911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5.331194269099999</v>
      </c>
    </row>
    <row r="10"/>
    <row r="11">
      <c r="B11" s="14" t="inlineStr">
        <is>
          <t>Net Cash / Share</t>
        </is>
      </c>
      <c r="C11" s="11">
        <f>(C7-C8)/C4</f>
        <v>0.3169750105441971</v>
      </c>
    </row>
    <row r="12">
      <c r="B12" s="14" t="inlineStr">
        <is>
          <t>Upside</t>
        </is>
      </c>
      <c r="C12" s="15">
        <f>IFERROR(C11/C3-1,"")</f>
        <v>-0.4031726406624043</v>
      </c>
    </row>
    <row r="13">
      <c r="B13" s="14" t="inlineStr">
        <is>
          <t>Cash / Share</t>
        </is>
      </c>
      <c r="C13" s="11">
        <f>IFERROR((C7-C8)/C4,"")</f>
        <v>0.3169750105441971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-10.662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0.7401904895891952</v>
      </c>
    </row>
    <row r="19">
      <c r="B19" s="14" t="inlineStr">
        <is>
          <t>Implied Pipeline Value</t>
        </is>
      </c>
      <c r="C19" s="13">
        <f>C9</f>
        <v>5.331194269099999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0.785</v>
      </c>
      <c r="C5" s="23" t="n">
        <v>2.025</v>
      </c>
      <c r="D5" s="23" t="n">
        <v>2.281</v>
      </c>
      <c r="E5" s="23" t="n">
        <v>7.355</v>
      </c>
      <c r="F5" s="23" t="n">
        <v>4.931</v>
      </c>
      <c r="G5" s="23" t="n">
        <v>3.741</v>
      </c>
      <c r="H5" s="23" t="n">
        <v>3.249</v>
      </c>
      <c r="I5" s="23" t="n">
        <v>5.946</v>
      </c>
      <c r="J5" s="1" t="n"/>
      <c r="K5" s="1" t="n"/>
    </row>
    <row r="6">
      <c r="A6" s="19" t="inlineStr">
        <is>
          <t>SG&amp;A &amp; Other</t>
        </is>
      </c>
      <c r="B6" s="23" t="n">
        <v>1.71</v>
      </c>
      <c r="C6" s="23" t="n">
        <v>5.69</v>
      </c>
      <c r="D6" s="23" t="n">
        <v>5.021</v>
      </c>
      <c r="E6" s="23" t="n">
        <v>6.747</v>
      </c>
      <c r="F6" s="23" t="n">
        <v>6.134</v>
      </c>
      <c r="G6" s="23" t="n">
        <v>4.212</v>
      </c>
      <c r="H6" s="23" t="n">
        <v>4.966</v>
      </c>
      <c r="I6" s="23" t="n">
        <v>6.415</v>
      </c>
      <c r="J6" s="1" t="n"/>
      <c r="K6" s="1" t="n"/>
    </row>
    <row r="7">
      <c r="A7" s="2" t="inlineStr">
        <is>
          <t>Operating Expense</t>
        </is>
      </c>
      <c r="B7" s="23">
        <f>SUM(B5:B6)</f>
        <v>2.495</v>
      </c>
      <c r="C7" s="23">
        <f>SUM(C5:C6)</f>
        <v>7.715</v>
      </c>
      <c r="D7" s="23">
        <f>SUM(D5:D6)</f>
        <v>7.302</v>
      </c>
      <c r="E7" s="23">
        <f>SUM(E5:E6)</f>
        <v>14.102</v>
      </c>
      <c r="F7" s="23">
        <f>SUM(F5:F6)</f>
        <v>11.065000000000001</v>
      </c>
      <c r="G7" s="23">
        <f>SUM(G5:G6)</f>
        <v>7.952999999999999</v>
      </c>
      <c r="H7" s="23">
        <f>SUM(H5:H6)</f>
        <v>8.215</v>
      </c>
      <c r="I7" s="23">
        <f>SUM(I5:I6)</f>
        <v>12.361</v>
      </c>
      <c r="J7" s="1" t="n"/>
      <c r="K7" s="1" t="n"/>
    </row>
    <row r="8">
      <c r="A8" s="2" t="inlineStr">
        <is>
          <t>Operating Income</t>
        </is>
      </c>
      <c r="B8" s="23">
        <f>B4-B7</f>
        <v>-2.495</v>
      </c>
      <c r="C8" s="23">
        <f>C4-C7</f>
        <v>-7.715</v>
      </c>
      <c r="D8" s="23">
        <f>D4-D7</f>
        <v>-7.302</v>
      </c>
      <c r="E8" s="23">
        <f>E4-E7</f>
        <v>-14.102</v>
      </c>
      <c r="F8" s="23">
        <f>F4-F7</f>
        <v>-11.065000000000001</v>
      </c>
      <c r="G8" s="23">
        <f>G4-G7</f>
        <v>-7.952999999999999</v>
      </c>
      <c r="H8" s="23">
        <f>H4-H7</f>
        <v>-8.215</v>
      </c>
      <c r="I8" s="23">
        <f>I4-I7</f>
        <v>-12.361</v>
      </c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0.01</v>
      </c>
      <c r="D9" s="23" t="n">
        <v>0.104</v>
      </c>
      <c r="E9" s="23" t="n">
        <v>-0.212</v>
      </c>
      <c r="F9" s="23" t="n">
        <v>-0.306</v>
      </c>
      <c r="G9" s="23" t="n">
        <v>-0.153</v>
      </c>
      <c r="H9" s="23" t="n">
        <v>0.027</v>
      </c>
      <c r="I9" s="23" t="n">
        <v>-0.108</v>
      </c>
    </row>
    <row r="10">
      <c r="A10" s="2" t="inlineStr">
        <is>
          <t>Pretax</t>
        </is>
      </c>
      <c r="B10" s="23">
        <f>B8+B9</f>
        <v>-2.495</v>
      </c>
      <c r="C10" s="23">
        <f>C8+C9</f>
        <v>-7.705</v>
      </c>
      <c r="D10" s="23">
        <f>D8+D9</f>
        <v>-7.1979999999999995</v>
      </c>
      <c r="E10" s="23">
        <f>E8+E9</f>
        <v>-14.314</v>
      </c>
      <c r="F10" s="23">
        <f>F8+F9</f>
        <v>-11.371</v>
      </c>
      <c r="G10" s="23">
        <f>G8+G9</f>
        <v>-8.106</v>
      </c>
      <c r="H10" s="23">
        <f>H8+H9</f>
        <v>-8.188</v>
      </c>
      <c r="I10" s="23">
        <f>I8+I9</f>
        <v>-12.469000000000001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-2.496</v>
      </c>
      <c r="C12" s="23" t="n">
        <v>-7.705</v>
      </c>
      <c r="D12" s="23" t="n">
        <v>-7.198</v>
      </c>
      <c r="E12" s="23" t="n">
        <v>-14.314</v>
      </c>
      <c r="F12" s="23" t="n">
        <v>-11.372</v>
      </c>
      <c r="G12" s="23" t="n">
        <v>-8.106</v>
      </c>
      <c r="H12" s="23" t="n">
        <v>-8.188000000000001</v>
      </c>
      <c r="I12" s="23" t="n">
        <v>-12.469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-6.952646239554317</v>
      </c>
      <c r="C13" s="11">
        <f>IFERROR(C12/C14,0)</f>
        <v>-11.763358778625953</v>
      </c>
      <c r="D13" s="11">
        <f>IFERROR(D12/D14,0)</f>
        <v>-8.15175537938845</v>
      </c>
      <c r="E13" s="11">
        <f>IFERROR(E12/E14,0)</f>
        <v>-16.029115341545353</v>
      </c>
      <c r="F13" s="11">
        <f>IFERROR(F12/F14,0)</f>
        <v>-9.492487479131887</v>
      </c>
      <c r="G13" s="11">
        <f>IFERROR(G12/G14,0)</f>
        <v>-2.3778234086242303</v>
      </c>
      <c r="H13" s="11">
        <f>IFERROR(H12/H14,0)</f>
        <v>-1.2843921568627452</v>
      </c>
      <c r="I13" s="11">
        <f>IFERROR(I12/I14,0)</f>
        <v>-0.9031580472258438</v>
      </c>
    </row>
    <row r="14">
      <c r="A14" s="2" t="inlineStr">
        <is>
          <t>Shares</t>
        </is>
      </c>
      <c r="B14" s="23" t="n">
        <v>0.359</v>
      </c>
      <c r="C14" s="23" t="n">
        <v>0.655</v>
      </c>
      <c r="D14" s="23" t="n">
        <v>0.883</v>
      </c>
      <c r="E14" s="23" t="n">
        <v>0.893</v>
      </c>
      <c r="F14" s="23" t="n">
        <v>1.198</v>
      </c>
      <c r="G14" s="23" t="n">
        <v>3.409</v>
      </c>
      <c r="H14" s="23" t="n">
        <v>6.375</v>
      </c>
      <c r="I14" s="23" t="n">
        <v>13.806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2026-10-21T06:30:32Z</dcterms:modified>
  <cp:lastModifiedBy>Wang, Eric</cp:lastModifiedBy>
</cp:coreProperties>
</file>