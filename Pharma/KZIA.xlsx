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Kazia Therapeutics Ltd</t>
        </is>
      </c>
      <c r="C2" s="10" t="n"/>
    </row>
    <row r="3">
      <c r="B3" t="inlineStr">
        <is>
          <t>Price</t>
        </is>
      </c>
      <c r="C3" s="11">
        <f>INDEX([1]Pharma!$F$1:$F$1000,MATCH("KZIA",[1]Pharma!$B$1:$B$1000,0))</f>
        <v>7.88</v>
      </c>
      <c r="F3" s="1" t="n"/>
    </row>
    <row r="4">
      <c r="B4" t="inlineStr">
        <is>
          <t>Shares</t>
        </is>
      </c>
      <c r="C4" s="21">
        <f>809.418734/500</f>
        <v>1.618837468</v>
      </c>
      <c r="F4" s="1" t="n"/>
    </row>
    <row r="5">
      <c r="B5" t="inlineStr">
        <is>
          <t>Market Cap.</t>
        </is>
      </c>
      <c r="C5" s="13">
        <f>C3*C4</f>
        <v>12.75643924784</v>
      </c>
      <c r="F5" s="1" t="n"/>
    </row>
    <row r="6"/>
    <row r="7">
      <c r="B7" t="inlineStr">
        <is>
          <t>Cash</t>
        </is>
      </c>
      <c r="C7" s="21">
        <f>(69.46)/1.437</f>
        <v>48.336812804453714</v>
      </c>
    </row>
    <row r="8">
      <c r="B8" t="inlineStr">
        <is>
          <t>Debt</t>
        </is>
      </c>
      <c r="C8" s="21">
        <f>(0.099)/1.437</f>
        <v>0.06889352818371608</v>
      </c>
    </row>
    <row r="9">
      <c r="B9" t="inlineStr">
        <is>
          <t>Enterprise V.</t>
        </is>
      </c>
      <c r="C9" s="13">
        <f>C5-C7+C8</f>
        <v>-35.51148002843</v>
      </c>
    </row>
    <row r="10"/>
    <row r="11">
      <c r="B11" s="14" t="inlineStr">
        <is>
          <t>Net Cash / Share</t>
        </is>
      </c>
      <c r="C11" s="11">
        <f>(C7-C8)/C4</f>
        <v>29.816408521791146</v>
      </c>
    </row>
    <row r="12">
      <c r="B12" s="14" t="inlineStr">
        <is>
          <t>Upside</t>
        </is>
      </c>
      <c r="C12" s="15">
        <f>IFERROR(C11/C3-1,"")</f>
        <v>2.7838081880445618</v>
      </c>
    </row>
    <row r="13">
      <c r="B13" s="14" t="inlineStr">
        <is>
          <t>Cash / Share</t>
        </is>
      </c>
      <c r="C13" s="11">
        <f>IFERROR((C7-C8)/C4,"")</f>
        <v>29.816408521791146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-10.02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4.8171576124021955</v>
      </c>
    </row>
    <row r="19">
      <c r="B19" s="14" t="inlineStr">
        <is>
          <t>Implied Pipeline Value</t>
        </is>
      </c>
      <c r="C19" s="13">
        <f>C9</f>
        <v>-35.51148002843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0.283</v>
      </c>
      <c r="C2" s="23" t="n">
        <v>0.173</v>
      </c>
      <c r="D2" s="23" t="n">
        <v>0.083</v>
      </c>
      <c r="E2" s="23" t="n">
        <v>0</v>
      </c>
      <c r="F2" s="23" t="n">
        <v>0</v>
      </c>
      <c r="G2" s="23" t="n">
        <v>10.566</v>
      </c>
      <c r="H2" s="23" t="n">
        <v>0</v>
      </c>
      <c r="I2" s="23" t="n">
        <v>0</v>
      </c>
      <c r="J2" s="23" t="n">
        <v>1.606</v>
      </c>
      <c r="K2" s="23" t="n">
        <v>0.029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0.283</v>
      </c>
      <c r="C4" s="23">
        <f>C2-C3</f>
        <v>0.173</v>
      </c>
      <c r="D4" s="23">
        <f>D2-D3</f>
        <v>0.083</v>
      </c>
      <c r="E4" s="23">
        <f>E2-E3</f>
        <v>0.0</v>
      </c>
      <c r="F4" s="23">
        <f>F2-F3</f>
        <v>0.0</v>
      </c>
      <c r="G4" s="23">
        <f>G2-G3</f>
        <v>10.566</v>
      </c>
      <c r="H4" s="23">
        <f>H2-H3</f>
        <v>0.0</v>
      </c>
      <c r="I4" s="23">
        <f>I2-I3</f>
        <v>0.0</v>
      </c>
      <c r="J4" s="23">
        <f>J2-J3</f>
        <v>1.606</v>
      </c>
      <c r="K4" s="23">
        <f>K2-K3</f>
        <v>0.029</v>
      </c>
    </row>
    <row r="5">
      <c r="A5" s="2" t="inlineStr">
        <is>
          <t>Research &amp; Dev.</t>
        </is>
      </c>
      <c r="B5" s="23" t="n">
        <v>6.885</v>
      </c>
      <c r="C5" s="23" t="n">
        <v>7.749</v>
      </c>
      <c r="D5" s="23" t="n">
        <v>6.802</v>
      </c>
      <c r="E5" s="23" t="n">
        <v>4.506</v>
      </c>
      <c r="F5" s="23" t="n">
        <v>6.607</v>
      </c>
      <c r="G5" s="23" t="n">
        <v>10.119</v>
      </c>
      <c r="H5" s="23" t="n">
        <v>14.035</v>
      </c>
      <c r="I5" s="23" t="n">
        <v>10.831</v>
      </c>
      <c r="J5" s="23" t="n">
        <v>12.095</v>
      </c>
      <c r="K5" s="23" t="n">
        <v>5.098</v>
      </c>
    </row>
    <row r="6">
      <c r="A6" s="19" t="inlineStr">
        <is>
          <t>SG&amp;A &amp; Other</t>
        </is>
      </c>
      <c r="B6" s="23" t="n">
        <v>4.009</v>
      </c>
      <c r="C6" s="23" t="n">
        <v>5.935</v>
      </c>
      <c r="D6" s="23" t="n">
        <v>3.896</v>
      </c>
      <c r="E6" s="23" t="n">
        <v>2.634</v>
      </c>
      <c r="F6" s="23" t="n">
        <v>2.568</v>
      </c>
      <c r="G6" s="23" t="n">
        <v>4.885</v>
      </c>
      <c r="H6" s="23" t="n">
        <v>3.558</v>
      </c>
      <c r="I6" s="23" t="n">
        <v>5.973</v>
      </c>
      <c r="J6" s="23" t="n">
        <v>9.438000000000001</v>
      </c>
      <c r="K6" s="23" t="n">
        <v>6.068</v>
      </c>
    </row>
    <row r="7">
      <c r="A7" s="2" t="inlineStr">
        <is>
          <t>Operating Expense</t>
        </is>
      </c>
      <c r="B7" s="23">
        <f>SUM(B5:B6)</f>
        <v>10.894</v>
      </c>
      <c r="C7" s="23">
        <f>SUM(C5:C6)</f>
        <v>13.684</v>
      </c>
      <c r="D7" s="23">
        <f>SUM(D5:D6)</f>
        <v>10.698</v>
      </c>
      <c r="E7" s="23">
        <f>SUM(E5:E6)</f>
        <v>7.140000000000001</v>
      </c>
      <c r="F7" s="23">
        <f>SUM(F5:F6)</f>
        <v>9.175</v>
      </c>
      <c r="G7" s="23">
        <f>SUM(G5:G6)</f>
        <v>15.004</v>
      </c>
      <c r="H7" s="23">
        <f>SUM(H5:H6)</f>
        <v>17.593</v>
      </c>
      <c r="I7" s="23">
        <f>SUM(I5:I6)</f>
        <v>16.804</v>
      </c>
      <c r="J7" s="23">
        <f>SUM(J5:J6)</f>
        <v>21.533</v>
      </c>
      <c r="K7" s="23">
        <f>SUM(K5:K6)</f>
        <v>11.166</v>
      </c>
    </row>
    <row r="8">
      <c r="A8" s="2" t="inlineStr">
        <is>
          <t>Operating Income</t>
        </is>
      </c>
      <c r="B8" s="23">
        <f>B4-B7</f>
        <v>-10.611</v>
      </c>
      <c r="C8" s="23">
        <f>C4-C7</f>
        <v>-13.511</v>
      </c>
      <c r="D8" s="23">
        <f>D4-D7</f>
        <v>-10.615</v>
      </c>
      <c r="E8" s="23">
        <f>E4-E7</f>
        <v>-7.140000000000001</v>
      </c>
      <c r="F8" s="23">
        <f>F4-F7</f>
        <v>-9.175</v>
      </c>
      <c r="G8" s="23">
        <f>G4-G7</f>
        <v>-4.437999999999999</v>
      </c>
      <c r="H8" s="23">
        <f>H4-H7</f>
        <v>-17.593</v>
      </c>
      <c r="I8" s="23">
        <f>I4-I7</f>
        <v>-16.804</v>
      </c>
      <c r="J8" s="23">
        <f>J4-J7</f>
        <v>-19.927</v>
      </c>
      <c r="K8" s="23">
        <f>K4-K7</f>
        <v>-11.137</v>
      </c>
    </row>
    <row r="9">
      <c r="A9" s="19" t="inlineStr">
        <is>
          <t>Interest &amp; Other</t>
        </is>
      </c>
      <c r="B9" s="23" t="n">
        <v>2.217</v>
      </c>
      <c r="C9" s="23" t="n">
        <v>5.948</v>
      </c>
      <c r="D9" s="23" t="n">
        <v>6.2</v>
      </c>
      <c r="E9" s="23" t="n">
        <v>-0.214</v>
      </c>
      <c r="F9" s="23" t="n">
        <v>0.292</v>
      </c>
      <c r="G9" s="23" t="n">
        <v>-1.758</v>
      </c>
      <c r="H9" s="23" t="n">
        <v>-0.07000000000000001</v>
      </c>
      <c r="I9" s="23" t="n">
        <v>2.374</v>
      </c>
      <c r="J9" s="23" t="n">
        <v>1.104</v>
      </c>
      <c r="K9" s="23" t="n">
        <v>-4.484</v>
      </c>
    </row>
    <row r="10">
      <c r="A10" s="2" t="inlineStr">
        <is>
          <t>Pretax</t>
        </is>
      </c>
      <c r="B10" s="23">
        <f>B8+B9</f>
        <v>-8.394</v>
      </c>
      <c r="C10" s="23">
        <f>C8+C9</f>
        <v>-7.562999999999999</v>
      </c>
      <c r="D10" s="23">
        <f>D8+D9</f>
        <v>-4.415</v>
      </c>
      <c r="E10" s="23">
        <f>E8+E9</f>
        <v>-7.354000000000001</v>
      </c>
      <c r="F10" s="23">
        <f>F8+F9</f>
        <v>-8.883000000000001</v>
      </c>
      <c r="G10" s="23">
        <f>G8+G9</f>
        <v>-6.195999999999999</v>
      </c>
      <c r="H10" s="23">
        <f>H8+H9</f>
        <v>-17.663</v>
      </c>
      <c r="I10" s="23">
        <f>I8+I9</f>
        <v>-14.429999999999998</v>
      </c>
      <c r="J10" s="23">
        <f>J8+J9</f>
        <v>-18.823</v>
      </c>
      <c r="K10" s="23">
        <f>K8+K9</f>
        <v>-15.621</v>
      </c>
    </row>
    <row r="11">
      <c r="A11" s="2" t="inlineStr">
        <is>
          <t>Taxes</t>
        </is>
      </c>
      <c r="B11" s="23" t="n">
        <v>0</v>
      </c>
      <c r="C11" s="23" t="n">
        <v>-0.138</v>
      </c>
      <c r="D11" s="23" t="n">
        <v>-0.212</v>
      </c>
      <c r="E11" s="23" t="n">
        <v>-0.207</v>
      </c>
      <c r="F11" s="23" t="n">
        <v>-0.207</v>
      </c>
      <c r="G11" s="23" t="n">
        <v>-0.337</v>
      </c>
      <c r="H11" s="23" t="n">
        <v>-0.256</v>
      </c>
      <c r="I11" s="23" t="n">
        <v>-0.189</v>
      </c>
      <c r="J11" s="23" t="n">
        <v>-0.189</v>
      </c>
      <c r="K11" s="23" t="n">
        <v>-1.215</v>
      </c>
    </row>
    <row r="12">
      <c r="A12" s="2" t="inlineStr">
        <is>
          <t>Net Income</t>
        </is>
      </c>
      <c r="B12" s="23" t="n">
        <v>-8.395</v>
      </c>
      <c r="C12" s="23" t="n">
        <v>-7.425</v>
      </c>
      <c r="D12" s="23" t="n">
        <v>-4.203</v>
      </c>
      <c r="E12" s="23" t="n">
        <v>-7.147</v>
      </c>
      <c r="F12" s="23" t="n">
        <v>-8.676</v>
      </c>
      <c r="G12" s="23" t="n">
        <v>-5.859</v>
      </c>
      <c r="H12" s="23" t="n">
        <v>-17.407</v>
      </c>
      <c r="I12" s="23" t="n">
        <v>-14.241</v>
      </c>
      <c r="J12" s="23" t="n">
        <v>-18.635</v>
      </c>
      <c r="K12" s="23" t="n">
        <v>-14.406</v>
      </c>
    </row>
    <row r="13">
      <c r="A13" s="2" t="inlineStr">
        <is>
          <t>Earnings per Share</t>
        </is>
      </c>
      <c r="B13" s="11">
        <f>IFERROR(B12/B14,0)</f>
        <v>-0.0196405510116229</v>
      </c>
      <c r="C13" s="11">
        <f>IFERROR(C12/C14,0)</f>
        <v>-0.015871014077642923</v>
      </c>
      <c r="D13" s="11">
        <f>IFERROR(D12/D14,0)</f>
        <v>-0.08688012898691527</v>
      </c>
      <c r="E13" s="11">
        <f>IFERROR(E12/E14,0)</f>
        <v>-0.12428700612131331</v>
      </c>
      <c r="F13" s="11">
        <f>IFERROR(F12/F14,0)</f>
        <v>-0.11876146412242998</v>
      </c>
      <c r="G13" s="11">
        <f>IFERROR(G12/G14,0)</f>
        <v>-0.049789674952198854</v>
      </c>
      <c r="H13" s="11">
        <f>IFERROR(H12/H14,0)</f>
        <v>-0.1314053205302413</v>
      </c>
      <c r="I13" s="11">
        <f>IFERROR(I12/I14,0)</f>
        <v>-0.07727746304616788</v>
      </c>
      <c r="J13" s="11">
        <f>IFERROR(J12/J14,0)</f>
        <v>-0.07067385730972861</v>
      </c>
      <c r="K13" s="11">
        <f>IFERROR(K12/K14,0)</f>
        <v>-0.026291151784589947</v>
      </c>
    </row>
    <row r="14">
      <c r="A14" s="2" t="inlineStr">
        <is>
          <t>Shares</t>
        </is>
      </c>
      <c r="B14" s="23" t="n">
        <v>427.432</v>
      </c>
      <c r="C14" s="23" t="n">
        <v>467.834</v>
      </c>
      <c r="D14" s="23" t="n">
        <v>48.377</v>
      </c>
      <c r="E14" s="23" t="n">
        <v>57.504</v>
      </c>
      <c r="F14" s="23" t="n">
        <v>73.054</v>
      </c>
      <c r="G14" s="23" t="n">
        <v>117.675</v>
      </c>
      <c r="H14" s="23" t="n">
        <v>132.468</v>
      </c>
      <c r="I14" s="23" t="n">
        <v>184.284</v>
      </c>
      <c r="J14" s="23" t="n">
        <v>263.676</v>
      </c>
      <c r="K14" s="23" t="n">
        <v>547.941</v>
      </c>
    </row>
    <row r="15"/>
    <row r="16" customFormat="1" s="4">
      <c r="A16" s="3" t="inlineStr">
        <is>
          <t>Revenue Change</t>
        </is>
      </c>
      <c r="C16" s="15">
        <f>IFERROR(C2/B2-1,"")</f>
        <v>-0.38869257950530034</v>
      </c>
      <c r="D16" s="15">
        <f>IFERROR(D2/C2-1,"")</f>
        <v>-0.5202312138728323</v>
      </c>
      <c r="E16" s="15">
        <f>IFERROR(E2/D2-1,"")</f>
        <v>-1.0</v>
      </c>
      <c r="F16" s="15">
        <f>IFERROR(F2/E2-1,"")</f>
        <v/>
      </c>
      <c r="G16" s="15">
        <f>IFERROR(G2/F2-1,"")</f>
        <v/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>-0.9819427148194272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/>
      </c>
      <c r="I17" s="15">
        <f>IFERROR(I4/I2,"")</f>
        <v/>
      </c>
      <c r="J17" s="15">
        <f>IFERROR(J4/J2,"")</f>
        <v>1.0</v>
      </c>
      <c r="K17" s="15">
        <f>IFERROR(K4/K2,"")</f>
        <v>1.0</v>
      </c>
    </row>
    <row r="18">
      <c r="A18" s="14" t="inlineStr">
        <is>
          <t>Operating Margin</t>
        </is>
      </c>
      <c r="B18" s="15">
        <f>IFERROR(B8/B2,"")</f>
        <v>-37.49469964664311</v>
      </c>
      <c r="C18" s="15">
        <f>IFERROR(C8/C2,"")</f>
        <v>-78.09826589595376</v>
      </c>
      <c r="D18" s="15">
        <f>IFERROR(D8/D2,"")</f>
        <v>-127.89156626506023</v>
      </c>
      <c r="E18" s="15">
        <f>IFERROR(E8/E2,"")</f>
        <v/>
      </c>
      <c r="F18" s="15">
        <f>IFERROR(F8/F2,"")</f>
        <v/>
      </c>
      <c r="G18" s="15">
        <f>IFERROR(G8/G2,"")</f>
        <v>-0.42002650009464304</v>
      </c>
      <c r="H18" s="15">
        <f>IFERROR(H8/H2,"")</f>
        <v/>
      </c>
      <c r="I18" s="15">
        <f>IFERROR(I8/I2,"")</f>
        <v/>
      </c>
      <c r="J18" s="15">
        <f>IFERROR(J8/J2,"")</f>
        <v>-12.407845579078455</v>
      </c>
      <c r="K18" s="15">
        <f>IFERROR(K8/K2,"")</f>
        <v>-384.0344827586207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2026-10-21T06:30:35Z</dcterms:modified>
  <cp:lastModifiedBy>Wang, Eric</cp:lastModifiedBy>
</cp:coreProperties>
</file>