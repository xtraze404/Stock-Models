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Alector, Inc.</t>
        </is>
      </c>
      <c r="C2" s="10" t="n"/>
    </row>
    <row r="3">
      <c r="B3" t="inlineStr">
        <is>
          <t>Price</t>
        </is>
      </c>
      <c r="C3" s="11">
        <f>INDEX([1]Pharma!$F$1:$F$1000,MATCH("ALEC",[1]Pharma!$B$1:$B$1000,0))</f>
        <v>1.97</v>
      </c>
      <c r="F3" s="1" t="n"/>
    </row>
    <row r="4">
      <c r="B4" t="inlineStr">
        <is>
          <t>Shares</t>
        </is>
      </c>
      <c r="C4" s="21" t="n">
        <v>111.656919</v>
      </c>
      <c r="F4" s="1" t="n"/>
    </row>
    <row r="5">
      <c r="B5" t="inlineStr">
        <is>
          <t>Market Cap.</t>
        </is>
      </c>
      <c r="C5" s="13">
        <f>C3*C4</f>
        <v>219.96413043</v>
      </c>
      <c r="F5" s="1" t="n"/>
    </row>
    <row r="6"/>
    <row r="7">
      <c r="B7" t="inlineStr">
        <is>
          <t>Cash</t>
        </is>
      </c>
      <c r="C7" s="21">
        <f>59.915+112.883</f>
        <v>172.798</v>
      </c>
    </row>
    <row r="8">
      <c r="B8" t="inlineStr">
        <is>
          <t>Debt</t>
        </is>
      </c>
      <c r="C8" s="21" t="n">
        <v>9.848000000000001</v>
      </c>
    </row>
    <row r="9">
      <c r="B9" t="inlineStr">
        <is>
          <t>Enterprise V.</t>
        </is>
      </c>
      <c r="C9" s="13">
        <f>C5-C7+C8</f>
        <v>57.01413043000001</v>
      </c>
    </row>
    <row r="10"/>
    <row r="11">
      <c r="B11" s="14" t="inlineStr">
        <is>
          <t>Net Cash / Share</t>
        </is>
      </c>
      <c r="C11" s="11">
        <f>(C7-C8)/C4</f>
        <v>1.4593811244245418</v>
      </c>
    </row>
    <row r="12">
      <c r="B12" s="14" t="inlineStr">
        <is>
          <t>Upside</t>
        </is>
      </c>
      <c r="C12" s="15">
        <f>IFERROR(C11/C3-1,"")</f>
        <v>-0.25919739876926806</v>
      </c>
    </row>
    <row r="13">
      <c r="B13" s="14" t="inlineStr">
        <is>
          <t>Cash / Share</t>
        </is>
      </c>
      <c r="C13" s="11">
        <f>IFERROR((C7-C8)/C4,"")</f>
        <v>1.4593811244245418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-158.232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1.0298169776025077</v>
      </c>
    </row>
    <row r="19">
      <c r="B19" s="14" t="inlineStr">
        <is>
          <t>Implied Pipeline Value</t>
        </is>
      </c>
      <c r="C19" s="13">
        <f>C9</f>
        <v>57.01413043000001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2017</v>
      </c>
      <c r="C1" s="17" t="n">
        <v>2018</v>
      </c>
      <c r="D1" s="17" t="n">
        <v>2019</v>
      </c>
      <c r="E1" s="17" t="n">
        <v>2020</v>
      </c>
      <c r="F1" s="17" t="n">
        <v>2021</v>
      </c>
      <c r="G1" s="17" t="n">
        <v>2022</v>
      </c>
      <c r="H1" s="17" t="n">
        <v>2023</v>
      </c>
      <c r="I1" s="17" t="n">
        <v>2024</v>
      </c>
      <c r="J1" s="17" t="n">
        <v>2025</v>
      </c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3.735</v>
      </c>
      <c r="C2" s="23" t="n">
        <v>27.677</v>
      </c>
      <c r="D2" s="23" t="n">
        <v>21.219</v>
      </c>
      <c r="E2" s="23" t="n">
        <v>21.098</v>
      </c>
      <c r="F2" s="23" t="n">
        <v>207.085</v>
      </c>
      <c r="G2" s="23" t="n">
        <v>133.617</v>
      </c>
      <c r="H2" s="23" t="n">
        <v>97.09999999999999</v>
      </c>
      <c r="I2" s="23" t="n">
        <v>100.558</v>
      </c>
      <c r="J2" s="23" t="n">
        <v>21.045</v>
      </c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1" t="n"/>
    </row>
    <row r="4" customFormat="1" s="1">
      <c r="A4" s="5" t="inlineStr">
        <is>
          <t>Gross Margin</t>
        </is>
      </c>
      <c r="B4" s="23">
        <f>B2-B3</f>
        <v>3.735</v>
      </c>
      <c r="C4" s="23">
        <f>C2-C3</f>
        <v>27.677</v>
      </c>
      <c r="D4" s="23">
        <f>D2-D3</f>
        <v>21.219</v>
      </c>
      <c r="E4" s="23">
        <f>E2-E3</f>
        <v>21.098</v>
      </c>
      <c r="F4" s="23">
        <f>F2-F3</f>
        <v>207.085</v>
      </c>
      <c r="G4" s="23">
        <f>G2-G3</f>
        <v>133.617</v>
      </c>
      <c r="H4" s="23">
        <f>H2-H3</f>
        <v>97.1</v>
      </c>
      <c r="I4" s="23">
        <f>I2-I3</f>
        <v>100.558</v>
      </c>
      <c r="J4" s="23">
        <f>J2-J3</f>
        <v>21.045</v>
      </c>
      <c r="K4" s="1" t="n"/>
    </row>
    <row r="5">
      <c r="A5" s="2" t="inlineStr">
        <is>
          <t>Research &amp; Dev.</t>
        </is>
      </c>
      <c r="B5" s="23" t="n">
        <v>29.911</v>
      </c>
      <c r="C5" s="23" t="n">
        <v>73.03100000000001</v>
      </c>
      <c r="D5" s="23" t="n">
        <v>100.528</v>
      </c>
      <c r="E5" s="23" t="n">
        <v>156.869</v>
      </c>
      <c r="F5" s="23" t="n">
        <v>189.407</v>
      </c>
      <c r="G5" s="23" t="n">
        <v>210.418</v>
      </c>
      <c r="H5" s="23" t="n">
        <v>192.115</v>
      </c>
      <c r="I5" s="23" t="n">
        <v>185.94</v>
      </c>
      <c r="J5" s="23" t="n">
        <v>123.065</v>
      </c>
      <c r="K5" s="1" t="n"/>
    </row>
    <row r="6">
      <c r="A6" s="19" t="inlineStr">
        <is>
          <t>SG&amp;A &amp; Other</t>
        </is>
      </c>
      <c r="B6" s="23" t="n">
        <v>6.503</v>
      </c>
      <c r="C6" s="23" t="n">
        <v>11.934</v>
      </c>
      <c r="D6" s="23" t="n">
        <v>35.095</v>
      </c>
      <c r="E6" s="23" t="n">
        <v>59.403</v>
      </c>
      <c r="F6" s="23" t="n">
        <v>55.038</v>
      </c>
      <c r="G6" s="23" t="n">
        <v>61.033</v>
      </c>
      <c r="H6" s="23" t="n">
        <v>56.725</v>
      </c>
      <c r="I6" s="23" t="n">
        <v>59.615</v>
      </c>
      <c r="J6" s="23" t="n">
        <v>53.987</v>
      </c>
      <c r="K6" s="1" t="n"/>
    </row>
    <row r="7">
      <c r="A7" s="2" t="inlineStr">
        <is>
          <t>Operating Expense</t>
        </is>
      </c>
      <c r="B7" s="23">
        <f>SUM(B5:B6)</f>
        <v>36.414</v>
      </c>
      <c r="C7" s="23">
        <f>SUM(C5:C6)</f>
        <v>84.965</v>
      </c>
      <c r="D7" s="23">
        <f>SUM(D5:D6)</f>
        <v>135.623</v>
      </c>
      <c r="E7" s="23">
        <f>SUM(E5:E6)</f>
        <v>216.272</v>
      </c>
      <c r="F7" s="23">
        <f>SUM(F5:F6)</f>
        <v>244.445</v>
      </c>
      <c r="G7" s="23">
        <f>SUM(G5:G6)</f>
        <v>271.451</v>
      </c>
      <c r="H7" s="23">
        <f>SUM(H5:H6)</f>
        <v>248.84</v>
      </c>
      <c r="I7" s="23">
        <f>SUM(I5:I6)</f>
        <v>245.555</v>
      </c>
      <c r="J7" s="23">
        <f>SUM(J5:J6)</f>
        <v>177.052</v>
      </c>
      <c r="K7" s="1" t="n"/>
    </row>
    <row r="8">
      <c r="A8" s="2" t="inlineStr">
        <is>
          <t>Operating Income</t>
        </is>
      </c>
      <c r="B8" s="23">
        <f>B4-B7</f>
        <v>-32.679</v>
      </c>
      <c r="C8" s="23">
        <f>C4-C7</f>
        <v>-57.288000000000004</v>
      </c>
      <c r="D8" s="23">
        <f>D4-D7</f>
        <v>-114.404</v>
      </c>
      <c r="E8" s="23">
        <f>E4-E7</f>
        <v>-195.17399999999998</v>
      </c>
      <c r="F8" s="23">
        <f>F4-F7</f>
        <v>-37.359999999999985</v>
      </c>
      <c r="G8" s="23">
        <f>G4-G7</f>
        <v>-137.83400000000003</v>
      </c>
      <c r="H8" s="23">
        <f>H4-H7</f>
        <v>-151.74</v>
      </c>
      <c r="I8" s="23">
        <f>I4-I7</f>
        <v>-144.997</v>
      </c>
      <c r="J8" s="23">
        <f>J4-J7</f>
        <v>-156.007</v>
      </c>
      <c r="K8" s="1" t="n"/>
    </row>
    <row r="9">
      <c r="A9" s="19" t="inlineStr">
        <is>
          <t>Interest &amp; Other</t>
        </is>
      </c>
      <c r="B9" s="23" t="n">
        <v>0.199</v>
      </c>
      <c r="C9" s="23" t="n">
        <v>5.04</v>
      </c>
      <c r="D9" s="23" t="n">
        <v>9.019</v>
      </c>
      <c r="E9" s="23" t="n">
        <v>4.946</v>
      </c>
      <c r="F9" s="23" t="n">
        <v>1.031</v>
      </c>
      <c r="G9" s="23" t="n">
        <v>7.778</v>
      </c>
      <c r="H9" s="23" t="n">
        <v>26.952</v>
      </c>
      <c r="I9" s="23" t="n">
        <v>26.125</v>
      </c>
      <c r="J9" s="23" t="n">
        <v>13.175</v>
      </c>
    </row>
    <row r="10">
      <c r="A10" s="2" t="inlineStr">
        <is>
          <t>Pretax</t>
        </is>
      </c>
      <c r="B10" s="23">
        <f>B8+B9</f>
        <v>-32.480000000000004</v>
      </c>
      <c r="C10" s="23">
        <f>C8+C9</f>
        <v>-52.248000000000005</v>
      </c>
      <c r="D10" s="23">
        <f>D8+D9</f>
        <v>-105.38499999999999</v>
      </c>
      <c r="E10" s="23">
        <f>E8+E9</f>
        <v>-190.22799999999998</v>
      </c>
      <c r="F10" s="23">
        <f>F8+F9</f>
        <v>-36.328999999999986</v>
      </c>
      <c r="G10" s="23">
        <f>G8+G9</f>
        <v>-130.05600000000004</v>
      </c>
      <c r="H10" s="23">
        <f>H8+H9</f>
        <v>-124.78800000000001</v>
      </c>
      <c r="I10" s="23">
        <f>I8+I9</f>
        <v>-118.87200000000001</v>
      </c>
      <c r="J10" s="23">
        <f>J8+J9</f>
        <v>-142.832</v>
      </c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3.254</v>
      </c>
      <c r="H11" s="23" t="n">
        <v>5.212</v>
      </c>
      <c r="I11" s="23" t="n">
        <v>0.128</v>
      </c>
      <c r="J11" s="23" t="n">
        <v>0.168</v>
      </c>
    </row>
    <row r="12">
      <c r="A12" s="2" t="inlineStr">
        <is>
          <t>Net Income</t>
        </is>
      </c>
      <c r="B12" s="23" t="n">
        <v>-32.48</v>
      </c>
      <c r="C12" s="23" t="n">
        <v>-52.248</v>
      </c>
      <c r="D12" s="23" t="n">
        <v>-105.385</v>
      </c>
      <c r="E12" s="23" t="n">
        <v>-190.228</v>
      </c>
      <c r="F12" s="23" t="n">
        <v>-36.329</v>
      </c>
      <c r="G12" s="23" t="n">
        <v>-133.31</v>
      </c>
      <c r="H12" s="23" t="n">
        <v>-130</v>
      </c>
      <c r="I12" s="23" t="n">
        <v>-119</v>
      </c>
      <c r="J12" s="23" t="n">
        <v>-143</v>
      </c>
      <c r="K12" s="1" t="n"/>
    </row>
    <row r="13">
      <c r="A13" s="2" t="inlineStr">
        <is>
          <t>Earnings per Share</t>
        </is>
      </c>
      <c r="B13" s="11">
        <f>IFERROR(B12/B14,0)</f>
        <v>-3.5524444930547956</v>
      </c>
      <c r="C13" s="11">
        <f>IFERROR(C12/C14,0)</f>
        <v>-4.62248960452977</v>
      </c>
      <c r="D13" s="11">
        <f>IFERROR(D12/D14,0)</f>
        <v>-1.7070819969546764</v>
      </c>
      <c r="E13" s="11">
        <f>IFERROR(E12/E14,0)</f>
        <v>-2.4463791972633393</v>
      </c>
      <c r="F13" s="11">
        <f>IFERROR(F12/F14,0)</f>
        <v>-0.4517577129213972</v>
      </c>
      <c r="G13" s="11">
        <f>IFERROR(G12/G14,0)</f>
        <v>-1.6165057961876121</v>
      </c>
      <c r="H13" s="11">
        <f>IFERROR(H12/H14,0)</f>
        <v>-1.5525354097499224</v>
      </c>
      <c r="I13" s="11">
        <f>IFERROR(I12/I14,0)</f>
        <v>-1.2320371060587236</v>
      </c>
      <c r="J13" s="11">
        <f>IFERROR(J12/J14,0)</f>
        <v>-1.388362993815474</v>
      </c>
    </row>
    <row r="14">
      <c r="A14" s="2" t="inlineStr">
        <is>
          <t>Shares</t>
        </is>
      </c>
      <c r="B14" s="23" t="n">
        <v>9.143000000000001</v>
      </c>
      <c r="C14" s="23" t="n">
        <v>11.303</v>
      </c>
      <c r="D14" s="23" t="n">
        <v>61.734</v>
      </c>
      <c r="E14" s="23" t="n">
        <v>77.759</v>
      </c>
      <c r="F14" s="23" t="n">
        <v>80.417</v>
      </c>
      <c r="G14" s="23" t="n">
        <v>82.468</v>
      </c>
      <c r="H14" s="23" t="n">
        <v>83.73399999999999</v>
      </c>
      <c r="I14" s="23" t="n">
        <v>96.58799999999999</v>
      </c>
      <c r="J14" s="23" t="n">
        <v>102.999</v>
      </c>
    </row>
    <row r="15"/>
    <row r="16" customFormat="1" s="4">
      <c r="A16" s="3" t="inlineStr">
        <is>
          <t>Revenue Change</t>
        </is>
      </c>
      <c r="C16" s="15">
        <f>IFERROR(C2/B2-1,"")</f>
        <v>6.410174029451138</v>
      </c>
      <c r="D16" s="15">
        <f>IFERROR(D2/C2-1,"")</f>
        <v>-0.23333453770278567</v>
      </c>
      <c r="E16" s="15">
        <f>IFERROR(E2/D2-1,"")</f>
        <v>-0.005702436495593655</v>
      </c>
      <c r="F16" s="15">
        <f>IFERROR(F2/E2-1,"")</f>
        <v>8.815385344582426</v>
      </c>
      <c r="G16" s="15">
        <f>IFERROR(G2/F2-1,"")</f>
        <v>-0.35477219499239454</v>
      </c>
      <c r="H16" s="15">
        <f>IFERROR(H2/G2-1,"")</f>
        <v>-0.27329606262676154</v>
      </c>
      <c r="I16" s="15">
        <f>IFERROR(I2/H2-1,"")</f>
        <v>0.03561277033985588</v>
      </c>
      <c r="J16" s="15">
        <f>IFERROR(J2/I2-1,"")</f>
        <v>-0.790717794705543</v>
      </c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4" t="n"/>
    </row>
    <row r="18">
      <c r="A18" s="14" t="inlineStr">
        <is>
          <t>Operating Margin</t>
        </is>
      </c>
      <c r="B18" s="15">
        <f>IFERROR(B8/B2,"")</f>
        <v>-8.749397590361447</v>
      </c>
      <c r="C18" s="15">
        <f>IFERROR(C8/C2,"")</f>
        <v>-2.0698775156266938</v>
      </c>
      <c r="D18" s="15">
        <f>IFERROR(D8/D2,"")</f>
        <v>-5.391583015222206</v>
      </c>
      <c r="E18" s="15">
        <f>IFERROR(E8/E2,"")</f>
        <v>-9.250829462508294</v>
      </c>
      <c r="F18" s="15">
        <f>IFERROR(F8/F2,"")</f>
        <v>-0.1804090107926696</v>
      </c>
      <c r="G18" s="15">
        <f>IFERROR(G8/G2,"")</f>
        <v>-1.031560355344006</v>
      </c>
      <c r="H18" s="15">
        <f>IFERROR(H8/H2,"")</f>
        <v>-1.5627188465499486</v>
      </c>
      <c r="I18" s="15">
        <f>IFERROR(I8/I2,"")</f>
        <v>-1.4419240637244177</v>
      </c>
      <c r="J18" s="15">
        <f>IFERROR(J8/J2,"")</f>
        <v>-7.413019719648372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2026-10-21T01:05:37Z</dcterms:modified>
  <cp:lastModifiedBy>Wang, Eric</cp:lastModifiedBy>
</cp:coreProperties>
</file>