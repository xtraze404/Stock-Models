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Alector, Inc.</t>
        </is>
      </c>
      <c r="C2" s="10" t="n"/>
    </row>
    <row r="3">
      <c r="B3" t="inlineStr">
        <is>
          <t>Price</t>
        </is>
      </c>
      <c r="C3" s="11">
        <f>INDEX([1]Pharma!$F$1:$F$1000,MATCH("ALEC",[1]Pharma!$B$1:$B$1000,0))</f>
        <v>1.97</v>
      </c>
      <c r="F3" s="1" t="n"/>
    </row>
    <row r="4">
      <c r="B4" t="inlineStr">
        <is>
          <t>Shares</t>
        </is>
      </c>
      <c r="C4" s="21" t="n">
        <v>111.656919</v>
      </c>
      <c r="F4" s="1" t="n"/>
    </row>
    <row r="5">
      <c r="B5" t="inlineStr">
        <is>
          <t>Market Cap.</t>
        </is>
      </c>
      <c r="C5" s="13">
        <f>C3*C4</f>
        <v>219.96413043</v>
      </c>
      <c r="F5" s="1" t="n"/>
    </row>
    <row r="6"/>
    <row r="7">
      <c r="B7" t="inlineStr">
        <is>
          <t>Cash</t>
        </is>
      </c>
      <c r="C7" s="21">
        <f>59.915+112.883</f>
        <v>172.798</v>
      </c>
    </row>
    <row r="8">
      <c r="B8" t="inlineStr">
        <is>
          <t>Debt</t>
        </is>
      </c>
      <c r="C8" s="21" t="n">
        <v>9.848000000000001</v>
      </c>
    </row>
    <row r="9">
      <c r="B9" t="inlineStr">
        <is>
          <t>Enterprise V.</t>
        </is>
      </c>
      <c r="C9" s="13">
        <f>C5-C7+C8</f>
        <v>57.01413043000001</v>
      </c>
    </row>
    <row r="10"/>
    <row r="11">
      <c r="B11" s="14" t="inlineStr">
        <is>
          <t>rNPV / Share</t>
        </is>
      </c>
      <c r="C11" s="11">
        <f>NPV!B27</f>
        <v>2.938409529304567</v>
      </c>
    </row>
    <row r="12">
      <c r="B12" s="14" t="inlineStr">
        <is>
          <t>Upside</t>
        </is>
      </c>
      <c r="C12" s="15">
        <f>IFERROR(C11/C3-1,"")</f>
        <v>0.49157844127135375</v>
      </c>
    </row>
    <row r="13">
      <c r="B13" s="14" t="inlineStr">
        <is>
          <t>Cash / Share</t>
        </is>
      </c>
      <c r="C13" s="11">
        <f>IFERROR((C7-C8)/C4,"")</f>
        <v>1.4593811244245418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-158.232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1.0298169776025077</v>
      </c>
    </row>
    <row r="19">
      <c r="B19" s="14" t="inlineStr">
        <is>
          <t>Implied Pipeline Value</t>
        </is>
      </c>
      <c r="C19" s="13">
        <f>C9</f>
        <v>57.01413043000001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3.735</v>
      </c>
      <c r="C2" s="23" t="n">
        <v>27.677</v>
      </c>
      <c r="D2" s="23" t="n">
        <v>21.219</v>
      </c>
      <c r="E2" s="23" t="n">
        <v>21.098</v>
      </c>
      <c r="F2" s="23" t="n">
        <v>207.085</v>
      </c>
      <c r="G2" s="23" t="n">
        <v>133.617</v>
      </c>
      <c r="H2" s="23" t="n">
        <v>97.09999999999999</v>
      </c>
      <c r="I2" s="23" t="n">
        <v>100.558</v>
      </c>
      <c r="J2" s="23" t="n">
        <v>21.045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3.735</v>
      </c>
      <c r="C4" s="23">
        <f>C2-C3</f>
        <v>27.677</v>
      </c>
      <c r="D4" s="23">
        <f>D2-D3</f>
        <v>21.219</v>
      </c>
      <c r="E4" s="23">
        <f>E2-E3</f>
        <v>21.098</v>
      </c>
      <c r="F4" s="23">
        <f>F2-F3</f>
        <v>207.085</v>
      </c>
      <c r="G4" s="23">
        <f>G2-G3</f>
        <v>133.617</v>
      </c>
      <c r="H4" s="23">
        <f>H2-H3</f>
        <v>97.1</v>
      </c>
      <c r="I4" s="23">
        <f>I2-I3</f>
        <v>100.558</v>
      </c>
      <c r="J4" s="23">
        <f>J2-J3</f>
        <v>21.045</v>
      </c>
      <c r="K4" s="1" t="n"/>
    </row>
    <row r="5">
      <c r="A5" s="2" t="inlineStr">
        <is>
          <t>Research &amp; Dev.</t>
        </is>
      </c>
      <c r="B5" s="23" t="n">
        <v>29.911</v>
      </c>
      <c r="C5" s="23" t="n">
        <v>73.03100000000001</v>
      </c>
      <c r="D5" s="23" t="n">
        <v>100.528</v>
      </c>
      <c r="E5" s="23" t="n">
        <v>156.869</v>
      </c>
      <c r="F5" s="23" t="n">
        <v>189.407</v>
      </c>
      <c r="G5" s="23" t="n">
        <v>210.418</v>
      </c>
      <c r="H5" s="23" t="n">
        <v>192.115</v>
      </c>
      <c r="I5" s="23" t="n">
        <v>185.94</v>
      </c>
      <c r="J5" s="23" t="n">
        <v>123.065</v>
      </c>
      <c r="K5" s="1" t="n"/>
    </row>
    <row r="6">
      <c r="A6" s="19" t="inlineStr">
        <is>
          <t>SG&amp;A &amp; Other</t>
        </is>
      </c>
      <c r="B6" s="23" t="n">
        <v>6.503</v>
      </c>
      <c r="C6" s="23" t="n">
        <v>11.934</v>
      </c>
      <c r="D6" s="23" t="n">
        <v>35.095</v>
      </c>
      <c r="E6" s="23" t="n">
        <v>59.403</v>
      </c>
      <c r="F6" s="23" t="n">
        <v>55.038</v>
      </c>
      <c r="G6" s="23" t="n">
        <v>61.033</v>
      </c>
      <c r="H6" s="23" t="n">
        <v>56.725</v>
      </c>
      <c r="I6" s="23" t="n">
        <v>59.615</v>
      </c>
      <c r="J6" s="23" t="n">
        <v>53.987</v>
      </c>
      <c r="K6" s="1" t="n"/>
    </row>
    <row r="7">
      <c r="A7" s="2" t="inlineStr">
        <is>
          <t>Operating Expense</t>
        </is>
      </c>
      <c r="B7" s="23">
        <f>SUM(B5:B6)</f>
        <v>36.414</v>
      </c>
      <c r="C7" s="23">
        <f>SUM(C5:C6)</f>
        <v>84.965</v>
      </c>
      <c r="D7" s="23">
        <f>SUM(D5:D6)</f>
        <v>135.623</v>
      </c>
      <c r="E7" s="23">
        <f>SUM(E5:E6)</f>
        <v>216.272</v>
      </c>
      <c r="F7" s="23">
        <f>SUM(F5:F6)</f>
        <v>244.445</v>
      </c>
      <c r="G7" s="23">
        <f>SUM(G5:G6)</f>
        <v>271.451</v>
      </c>
      <c r="H7" s="23">
        <f>SUM(H5:H6)</f>
        <v>248.84</v>
      </c>
      <c r="I7" s="23">
        <f>SUM(I5:I6)</f>
        <v>245.555</v>
      </c>
      <c r="J7" s="23">
        <f>SUM(J5:J6)</f>
        <v>177.052</v>
      </c>
      <c r="K7" s="1" t="n"/>
    </row>
    <row r="8">
      <c r="A8" s="2" t="inlineStr">
        <is>
          <t>Operating Income</t>
        </is>
      </c>
      <c r="B8" s="23">
        <f>B4-B7</f>
        <v>-32.679</v>
      </c>
      <c r="C8" s="23">
        <f>C4-C7</f>
        <v>-57.288000000000004</v>
      </c>
      <c r="D8" s="23">
        <f>D4-D7</f>
        <v>-114.404</v>
      </c>
      <c r="E8" s="23">
        <f>E4-E7</f>
        <v>-195.17399999999998</v>
      </c>
      <c r="F8" s="23">
        <f>F4-F7</f>
        <v>-37.359999999999985</v>
      </c>
      <c r="G8" s="23">
        <f>G4-G7</f>
        <v>-137.83400000000003</v>
      </c>
      <c r="H8" s="23">
        <f>H4-H7</f>
        <v>-151.74</v>
      </c>
      <c r="I8" s="23">
        <f>I4-I7</f>
        <v>-144.997</v>
      </c>
      <c r="J8" s="23">
        <f>J4-J7</f>
        <v>-156.007</v>
      </c>
      <c r="K8" s="1" t="n"/>
    </row>
    <row r="9">
      <c r="A9" s="19" t="inlineStr">
        <is>
          <t>Interest &amp; Other</t>
        </is>
      </c>
      <c r="B9" s="23" t="n">
        <v>0.199</v>
      </c>
      <c r="C9" s="23" t="n">
        <v>5.04</v>
      </c>
      <c r="D9" s="23" t="n">
        <v>9.019</v>
      </c>
      <c r="E9" s="23" t="n">
        <v>4.946</v>
      </c>
      <c r="F9" s="23" t="n">
        <v>1.031</v>
      </c>
      <c r="G9" s="23" t="n">
        <v>7.778</v>
      </c>
      <c r="H9" s="23" t="n">
        <v>26.952</v>
      </c>
      <c r="I9" s="23" t="n">
        <v>26.125</v>
      </c>
      <c r="J9" s="23" t="n">
        <v>13.175</v>
      </c>
    </row>
    <row r="10">
      <c r="A10" s="2" t="inlineStr">
        <is>
          <t>Pretax</t>
        </is>
      </c>
      <c r="B10" s="23">
        <f>B8+B9</f>
        <v>-32.480000000000004</v>
      </c>
      <c r="C10" s="23">
        <f>C8+C9</f>
        <v>-52.248000000000005</v>
      </c>
      <c r="D10" s="23">
        <f>D8+D9</f>
        <v>-105.38499999999999</v>
      </c>
      <c r="E10" s="23">
        <f>E8+E9</f>
        <v>-190.22799999999998</v>
      </c>
      <c r="F10" s="23">
        <f>F8+F9</f>
        <v>-36.328999999999986</v>
      </c>
      <c r="G10" s="23">
        <f>G8+G9</f>
        <v>-130.05600000000004</v>
      </c>
      <c r="H10" s="23">
        <f>H8+H9</f>
        <v>-124.78800000000001</v>
      </c>
      <c r="I10" s="23">
        <f>I8+I9</f>
        <v>-118.87200000000001</v>
      </c>
      <c r="J10" s="23">
        <f>J8+J9</f>
        <v>-142.832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3.254</v>
      </c>
      <c r="H11" s="23" t="n">
        <v>5.212</v>
      </c>
      <c r="I11" s="23" t="n">
        <v>0.128</v>
      </c>
      <c r="J11" s="23" t="n">
        <v>0.168</v>
      </c>
    </row>
    <row r="12">
      <c r="A12" s="2" t="inlineStr">
        <is>
          <t>Net Income</t>
        </is>
      </c>
      <c r="B12" s="23" t="n">
        <v>-32.48</v>
      </c>
      <c r="C12" s="23" t="n">
        <v>-52.248</v>
      </c>
      <c r="D12" s="23" t="n">
        <v>-105.385</v>
      </c>
      <c r="E12" s="23" t="n">
        <v>-190.228</v>
      </c>
      <c r="F12" s="23" t="n">
        <v>-36.329</v>
      </c>
      <c r="G12" s="23" t="n">
        <v>-133.31</v>
      </c>
      <c r="H12" s="23" t="n">
        <v>-130</v>
      </c>
      <c r="I12" s="23" t="n">
        <v>-119</v>
      </c>
      <c r="J12" s="23" t="n">
        <v>-143</v>
      </c>
      <c r="K12" s="1" t="n"/>
    </row>
    <row r="13">
      <c r="A13" s="2" t="inlineStr">
        <is>
          <t>Earnings per Share</t>
        </is>
      </c>
      <c r="B13" s="11">
        <f>IFERROR(B12/B14,0)</f>
        <v>-3.5524444930547956</v>
      </c>
      <c r="C13" s="11">
        <f>IFERROR(C12/C14,0)</f>
        <v>-4.62248960452977</v>
      </c>
      <c r="D13" s="11">
        <f>IFERROR(D12/D14,0)</f>
        <v>-1.7070819969546764</v>
      </c>
      <c r="E13" s="11">
        <f>IFERROR(E12/E14,0)</f>
        <v>-2.4463791972633393</v>
      </c>
      <c r="F13" s="11">
        <f>IFERROR(F12/F14,0)</f>
        <v>-0.4517577129213972</v>
      </c>
      <c r="G13" s="11">
        <f>IFERROR(G12/G14,0)</f>
        <v>-1.6165057961876121</v>
      </c>
      <c r="H13" s="11">
        <f>IFERROR(H12/H14,0)</f>
        <v>-1.5525354097499224</v>
      </c>
      <c r="I13" s="11">
        <f>IFERROR(I12/I14,0)</f>
        <v>-1.2320371060587236</v>
      </c>
      <c r="J13" s="11">
        <f>IFERROR(J12/J14,0)</f>
        <v>-1.388362993815474</v>
      </c>
    </row>
    <row r="14">
      <c r="A14" s="2" t="inlineStr">
        <is>
          <t>Shares</t>
        </is>
      </c>
      <c r="B14" s="23" t="n">
        <v>9.143000000000001</v>
      </c>
      <c r="C14" s="23" t="n">
        <v>11.303</v>
      </c>
      <c r="D14" s="23" t="n">
        <v>61.734</v>
      </c>
      <c r="E14" s="23" t="n">
        <v>77.759</v>
      </c>
      <c r="F14" s="23" t="n">
        <v>80.417</v>
      </c>
      <c r="G14" s="23" t="n">
        <v>82.468</v>
      </c>
      <c r="H14" s="23" t="n">
        <v>83.73399999999999</v>
      </c>
      <c r="I14" s="23" t="n">
        <v>96.58799999999999</v>
      </c>
      <c r="J14" s="23" t="n">
        <v>102.999</v>
      </c>
    </row>
    <row r="15"/>
    <row r="16" customFormat="1" s="4">
      <c r="A16" s="3" t="inlineStr">
        <is>
          <t>Revenue Change</t>
        </is>
      </c>
      <c r="C16" s="15">
        <f>IFERROR(C2/B2-1,"")</f>
        <v>6.410174029451138</v>
      </c>
      <c r="D16" s="15">
        <f>IFERROR(D2/C2-1,"")</f>
        <v>-0.23333453770278567</v>
      </c>
      <c r="E16" s="15">
        <f>IFERROR(E2/D2-1,"")</f>
        <v>-0.005702436495593655</v>
      </c>
      <c r="F16" s="15">
        <f>IFERROR(F2/E2-1,"")</f>
        <v>8.815385344582426</v>
      </c>
      <c r="G16" s="15">
        <f>IFERROR(G2/F2-1,"")</f>
        <v>-0.35477219499239454</v>
      </c>
      <c r="H16" s="15">
        <f>IFERROR(H2/G2-1,"")</f>
        <v>-0.27329606262676154</v>
      </c>
      <c r="I16" s="15">
        <f>IFERROR(I2/H2-1,"")</f>
        <v>0.03561277033985588</v>
      </c>
      <c r="J16" s="15">
        <f>IFERROR(J2/I2-1,"")</f>
        <v>-0.790717794705543</v>
      </c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4" t="n"/>
    </row>
    <row r="18">
      <c r="A18" s="14" t="inlineStr">
        <is>
          <t>Operating Margin</t>
        </is>
      </c>
      <c r="B18" s="15">
        <f>IFERROR(B8/B2,"")</f>
        <v>-8.749397590361447</v>
      </c>
      <c r="C18" s="15">
        <f>IFERROR(C8/C2,"")</f>
        <v>-2.0698775156266938</v>
      </c>
      <c r="D18" s="15">
        <f>IFERROR(D8/D2,"")</f>
        <v>-5.391583015222206</v>
      </c>
      <c r="E18" s="15">
        <f>IFERROR(E8/E2,"")</f>
        <v>-9.250829462508294</v>
      </c>
      <c r="F18" s="15">
        <f>IFERROR(F8/F2,"")</f>
        <v>-0.1804090107926696</v>
      </c>
      <c r="G18" s="15">
        <f>IFERROR(G8/G2,"")</f>
        <v>-1.031560355344006</v>
      </c>
      <c r="H18" s="15">
        <f>IFERROR(H8/H2,"")</f>
        <v>-1.5627188465499486</v>
      </c>
      <c r="I18" s="15">
        <f>IFERROR(I8/I2,"")</f>
        <v>-1.4419240637244177</v>
      </c>
      <c r="J18" s="15">
        <f>IFERROR(J8/J2,"")</f>
        <v>-7.413019719648372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Alector,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0.12729999999999997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126.486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942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165.14375480238817</v>
      </c>
      <c r="C29" s="42">
        <f>NPV!B25</f>
        <v>328.09375480238816</v>
      </c>
      <c r="D29" s="43">
        <f>NPV!B27</f>
        <v>2.938409529304567</v>
      </c>
      <c r="E29" s="44">
        <f>NPV!B29</f>
        <v>0.49157844127135375</v>
      </c>
    </row>
    <row r="30">
      <c r="A30" s="45" t="n">
        <v>1</v>
      </c>
      <c r="B30" s="46">
        <f t="dataTable" ref="B30:E32" r1="B4"/>
        <v>-143.90245338283307</v>
      </c>
      <c r="C30" s="46">
        <v>19.04754661716693</v>
      </c>
      <c r="D30" s="47">
        <v>0.17058993556115343</v>
      </c>
      <c r="E30" s="48">
        <v>-0.9134061240806328</v>
      </c>
    </row>
    <row r="31">
      <c r="A31" s="45" t="n">
        <v>2</v>
      </c>
      <c r="B31" s="46">
        <v>165.14375480238817</v>
      </c>
      <c r="C31" s="46">
        <v>328.09375480238816</v>
      </c>
      <c r="D31" s="47">
        <v>2.938409529304567</v>
      </c>
      <c r="E31" s="48">
        <v>0.49157844127135375</v>
      </c>
    </row>
    <row r="32">
      <c r="A32" s="45" t="n">
        <v>3</v>
      </c>
      <c r="B32" s="46">
        <v>628.6815991392116</v>
      </c>
      <c r="C32" s="46">
        <v>791.6315991392116</v>
      </c>
      <c r="D32" s="47">
        <v>7.089857092861497</v>
      </c>
      <c r="E32" s="48">
        <v>2.5989122298789322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2.938409529304567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-0.3896878044642554</v>
      </c>
      <c r="C37" s="47">
        <v>0.3874334351482702</v>
      </c>
      <c r="D37" s="47">
        <v>1.164554674760796</v>
      </c>
      <c r="E37" s="47">
        <v>2.569694884808642</v>
      </c>
      <c r="F37" s="47">
        <v>3.888033337647581</v>
      </c>
    </row>
    <row r="38">
      <c r="A38" s="50" t="n">
        <v>0.8</v>
      </c>
      <c r="B38" s="47">
        <v>0.08546294257400162</v>
      </c>
      <c r="C38" s="47">
        <v>1.1216245953907034</v>
      </c>
      <c r="D38" s="47">
        <v>2.0819374640828996</v>
      </c>
      <c r="E38" s="47">
        <v>3.8509766640631082</v>
      </c>
      <c r="F38" s="47">
        <v>5.56851648287243</v>
      </c>
    </row>
    <row r="39">
      <c r="A39" s="50" t="n">
        <v>1</v>
      </c>
      <c r="B39" s="47">
        <v>0.5606136896122597</v>
      </c>
      <c r="C39" s="47">
        <v>1.8152025240215373</v>
      </c>
      <c r="D39" s="47">
        <v>2.938409529304567</v>
      </c>
      <c r="E39" s="47">
        <v>5.104945398930365</v>
      </c>
      <c r="F39" s="47">
        <v>7.224417402299774</v>
      </c>
    </row>
    <row r="40">
      <c r="A40" s="50" t="n">
        <v>1.2</v>
      </c>
      <c r="B40" s="47">
        <v>1.0357644366505172</v>
      </c>
      <c r="C40" s="47">
        <v>2.455873074176412</v>
      </c>
      <c r="D40" s="47">
        <v>3.776863316894161</v>
      </c>
      <c r="E40" s="47">
        <v>6.344472378772113</v>
      </c>
      <c r="F40" s="47">
        <v>8.867746472630293</v>
      </c>
    </row>
    <row r="41">
      <c r="A41" s="50" t="n">
        <v>1.4</v>
      </c>
      <c r="B41" s="47">
        <v>1.5066987776370564</v>
      </c>
      <c r="C41" s="47">
        <v>3.083224123173026</v>
      </c>
      <c r="D41" s="47">
        <v>4.604767155623286</v>
      </c>
      <c r="E41" s="47">
        <v>7.5739908065972665</v>
      </c>
      <c r="F41" s="47">
        <v>10.502160545617137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Alector,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Alzheimer's disease</t>
        </is>
      </c>
      <c r="C4" s="14" t="inlineStr">
        <is>
          <t>AL003, GSK4527226</t>
        </is>
      </c>
      <c r="D4" s="14" t="inlineStr">
        <is>
          <t>Phase 2</t>
        </is>
      </c>
      <c r="E4" s="14" t="inlineStr">
        <is>
          <t>Neurology / chronic</t>
        </is>
      </c>
      <c r="F4" s="14" t="inlineStr">
        <is>
          <t>Owned</t>
        </is>
      </c>
      <c r="G4" s="40" t="n">
        <v>4000</v>
      </c>
      <c r="H4" s="27" t="n">
        <v>0.1273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578.4730886973028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50.92</v>
      </c>
      <c r="S4" s="23">
        <f>IF(S$3&lt;$I4,0,$G4*Assumptions!$E$11*INDEX(Assumptions!$B$24:$G$24,MIN(6,S$3-$I4+1))*IF(S$3&gt;$J4,(1-Assumptions!$B$26)^(S$3-$J4),1)*IF($H4&gt;=1,1,MIN(0.97,$H4*Assumptions!$E$12)))</f>
        <v>127.3</v>
      </c>
      <c r="T4" s="23">
        <f>IF(T$3&lt;$I4,0,$G4*Assumptions!$E$11*INDEX(Assumptions!$B$24:$G$24,MIN(6,T$3-$I4+1))*IF(T$3&gt;$J4,(1-Assumptions!$B$26)^(T$3-$J4),1)*IF($H4&gt;=1,1,MIN(0.97,$H4*Assumptions!$E$12)))</f>
        <v>229.14</v>
      </c>
      <c r="U4" s="23">
        <f>IF(U$3&lt;$I4,0,$G4*Assumptions!$E$11*INDEX(Assumptions!$B$24:$G$24,MIN(6,U$3-$I4+1))*IF(U$3&gt;$J4,(1-Assumptions!$B$26)^(U$3-$J4),1)*IF($H4&gt;=1,1,MIN(0.97,$H4*Assumptions!$E$12)))</f>
        <v>330.98</v>
      </c>
      <c r="V4" s="23">
        <f>IF(V$3&lt;$I4,0,$G4*Assumptions!$E$11*INDEX(Assumptions!$B$24:$G$24,MIN(6,V$3-$I4+1))*IF(V$3&gt;$J4,(1-Assumptions!$B$26)^(V$3-$J4),1)*IF($H4&gt;=1,1,MIN(0.97,$H4*Assumptions!$E$12)))</f>
        <v>432.82</v>
      </c>
      <c r="W4" s="23">
        <f>IF(W$3&lt;$I4,0,$G4*Assumptions!$E$11*INDEX(Assumptions!$B$24:$G$24,MIN(6,W$3-$I4+1))*IF(W$3&gt;$J4,(1-Assumptions!$B$26)^(W$3-$J4),1)*IF($H4&gt;=1,1,MIN(0.97,$H4*Assumptions!$E$12)))</f>
        <v>509.2</v>
      </c>
      <c r="X4" s="23">
        <f>IF(X$3&lt;$I4,0,$G4*Assumptions!$E$11*INDEX(Assumptions!$B$24:$G$24,MIN(6,X$3-$I4+1))*IF(X$3&gt;$J4,(1-Assumptions!$B$26)^(X$3-$J4),1)*IF($H4&gt;=1,1,MIN(0.97,$H4*Assumptions!$E$12)))</f>
        <v>509.2</v>
      </c>
      <c r="Y4" s="23">
        <f>IF(Y$3&lt;$I4,0,$G4*Assumptions!$E$11*INDEX(Assumptions!$B$24:$G$24,MIN(6,Y$3-$I4+1))*IF(Y$3&gt;$J4,(1-Assumptions!$B$26)^(Y$3-$J4),1)*IF($H4&gt;=1,1,MIN(0.97,$H4*Assumptions!$E$12)))</f>
        <v>509.2</v>
      </c>
      <c r="Z4" s="23">
        <f>IF(Z$3&lt;$I4,0,$G4*Assumptions!$E$11*INDEX(Assumptions!$B$24:$G$24,MIN(6,Z$3-$I4+1))*IF(Z$3&gt;$J4,(1-Assumptions!$B$26)^(Z$3-$J4),1)*IF($H4&gt;=1,1,MIN(0.97,$H4*Assumptions!$E$12)))</f>
        <v>509.2</v>
      </c>
      <c r="AA4" s="23">
        <f>IF(AA$3&lt;$I4,0,$G4*Assumptions!$E$11*INDEX(Assumptions!$B$24:$G$24,MIN(6,AA$3-$I4+1))*IF(AA$3&gt;$J4,(1-Assumptions!$B$26)^(AA$3-$J4),1)*IF($H4&gt;=1,1,MIN(0.97,$H4*Assumptions!$E$12)))</f>
        <v>509.2</v>
      </c>
      <c r="AB4" s="23">
        <f>IF(AB$3&lt;$I4,0,$G4*Assumptions!$E$11*INDEX(Assumptions!$B$24:$G$24,MIN(6,AB$3-$I4+1))*IF(AB$3&gt;$J4,(1-Assumptions!$B$26)^(AB$3-$J4),1)*IF($H4&gt;=1,1,MIN(0.97,$H4*Assumptions!$E$12)))</f>
        <v>509.2</v>
      </c>
      <c r="AC4" s="23">
        <f>IF(AC$3&lt;$I4,0,$G4*Assumptions!$E$11*INDEX(Assumptions!$B$24:$G$24,MIN(6,AC$3-$I4+1))*IF(AC$3&gt;$J4,(1-Assumptions!$B$26)^(AC$3-$J4),1)*IF($H4&gt;=1,1,MIN(0.97,$H4*Assumptions!$E$12)))</f>
        <v>509.2</v>
      </c>
      <c r="AD4" s="23">
        <f>IF(AD$3&lt;$I4,0,$G4*Assumptions!$E$11*INDEX(Assumptions!$B$24:$G$24,MIN(6,AD$3-$I4+1))*IF(AD$3&gt;$J4,(1-Assumptions!$B$26)^(AD$3-$J4),1)*IF($H4&gt;=1,1,MIN(0.97,$H4*Assumptions!$E$12)))</f>
        <v>509.2</v>
      </c>
      <c r="AE4" s="23">
        <f>IF(AE$3&lt;$I4,0,$G4*Assumptions!$E$11*INDEX(Assumptions!$B$24:$G$24,MIN(6,AE$3-$I4+1))*IF(AE$3&gt;$J4,(1-Assumptions!$B$26)^(AE$3-$J4),1)*IF($H4&gt;=1,1,MIN(0.97,$H4*Assumptions!$E$12)))</f>
        <v>254.6</v>
      </c>
      <c r="AF4" s="23">
        <f>IF(AF$3&lt;$I4,0,$G4*Assumptions!$E$11*INDEX(Assumptions!$B$24:$G$24,MIN(6,AF$3-$I4+1))*IF(AF$3&gt;$J4,(1-Assumptions!$B$26)^(AF$3-$J4),1)*IF($H4&gt;=1,1,MIN(0.97,$H4*Assumptions!$E$12)))</f>
        <v>127.3</v>
      </c>
      <c r="AG4" s="35">
        <f>IF(F4="Owned",1-IF(H4&gt;=1,1,MIN(0.97,H4*Assumptions!$E$12)),1)</f>
        <v>0.8727</v>
      </c>
    </row>
    <row r="5">
      <c r="B5" s="24" t="inlineStr">
        <is>
          <t>Risked revenue</t>
        </is>
      </c>
      <c r="L5" s="54">
        <f>SUM(L4:L4)</f>
        <v>578.4730886973028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50.92</v>
      </c>
      <c r="S5" s="54">
        <f>SUM(S4:S4)</f>
        <v>127.3</v>
      </c>
      <c r="T5" s="54">
        <f>SUM(T4:T4)</f>
        <v>229.14</v>
      </c>
      <c r="U5" s="54">
        <f>SUM(U4:U4)</f>
        <v>330.98</v>
      </c>
      <c r="V5" s="54">
        <f>SUM(V4:V4)</f>
        <v>432.82</v>
      </c>
      <c r="W5" s="54">
        <f>SUM(W4:W4)</f>
        <v>509.2</v>
      </c>
      <c r="X5" s="54">
        <f>SUM(X4:X4)</f>
        <v>509.2</v>
      </c>
      <c r="Y5" s="54">
        <f>SUM(Y4:Y4)</f>
        <v>509.2</v>
      </c>
      <c r="Z5" s="54">
        <f>SUM(Z4:Z4)</f>
        <v>509.2</v>
      </c>
      <c r="AA5" s="54">
        <f>SUM(AA4:AA4)</f>
        <v>509.2</v>
      </c>
      <c r="AB5" s="54">
        <f>SUM(AB4:AB4)</f>
        <v>509.2</v>
      </c>
      <c r="AC5" s="54">
        <f>SUM(AC4:AC4)</f>
        <v>509.2</v>
      </c>
      <c r="AD5" s="54">
        <f>SUM(AD4:AD4)</f>
        <v>509.2</v>
      </c>
      <c r="AE5" s="54">
        <f>SUM(AE4:AE4)</f>
        <v>254.6</v>
      </c>
      <c r="AF5" s="54">
        <f>SUM(AF4:AF4)</f>
        <v>127.3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20.368000000000002</v>
      </c>
      <c r="S6" s="55">
        <f>SUMPRODUCT(S4:S4,$K$4:$K$4)</f>
        <v>50.92</v>
      </c>
      <c r="T6" s="55">
        <f>SUMPRODUCT(T4:T4,$K$4:$K$4)</f>
        <v>91.656</v>
      </c>
      <c r="U6" s="55">
        <f>SUMPRODUCT(U4:U4,$K$4:$K$4)</f>
        <v>132.39200000000002</v>
      </c>
      <c r="V6" s="55">
        <f>SUMPRODUCT(V4:V4,$K$4:$K$4)</f>
        <v>173.12800000000001</v>
      </c>
      <c r="W6" s="55">
        <f>SUMPRODUCT(W4:W4,$K$4:$K$4)</f>
        <v>203.68</v>
      </c>
      <c r="X6" s="55">
        <f>SUMPRODUCT(X4:X4,$K$4:$K$4)</f>
        <v>203.68</v>
      </c>
      <c r="Y6" s="55">
        <f>SUMPRODUCT(Y4:Y4,$K$4:$K$4)</f>
        <v>203.68</v>
      </c>
      <c r="Z6" s="55">
        <f>SUMPRODUCT(Z4:Z4,$K$4:$K$4)</f>
        <v>203.68</v>
      </c>
      <c r="AA6" s="55">
        <f>SUMPRODUCT(AA4:AA4,$K$4:$K$4)</f>
        <v>203.68</v>
      </c>
      <c r="AB6" s="55">
        <f>SUMPRODUCT(AB4:AB4,$K$4:$K$4)</f>
        <v>203.68</v>
      </c>
      <c r="AC6" s="55">
        <f>SUMPRODUCT(AC4:AC4,$K$4:$K$4)</f>
        <v>203.68</v>
      </c>
      <c r="AD6" s="55">
        <f>SUMPRODUCT(AD4:AD4,$K$4:$K$4)</f>
        <v>203.68</v>
      </c>
      <c r="AE6" s="55">
        <f>SUMPRODUCT(AE4:AE4,$K$4:$K$4)</f>
        <v>101.84</v>
      </c>
      <c r="AF6" s="55">
        <f>SUMPRODUCT(AF4:AF4,$K$4:$K$4)</f>
        <v>50.92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Alector,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50.92</v>
      </c>
      <c r="I4" s="57">
        <f>Pipeline!S5</f>
        <v>127.3</v>
      </c>
      <c r="J4" s="57">
        <f>Pipeline!T5</f>
        <v>229.14</v>
      </c>
      <c r="K4" s="57">
        <f>Pipeline!U5</f>
        <v>330.98</v>
      </c>
      <c r="L4" s="57">
        <f>Pipeline!V5</f>
        <v>432.82</v>
      </c>
      <c r="M4" s="57">
        <f>Pipeline!W5</f>
        <v>509.2</v>
      </c>
      <c r="N4" s="57">
        <f>Pipeline!X5</f>
        <v>509.2</v>
      </c>
      <c r="O4" s="57">
        <f>Pipeline!Y5</f>
        <v>509.2</v>
      </c>
      <c r="P4" s="57">
        <f>Pipeline!Z5</f>
        <v>509.2</v>
      </c>
      <c r="Q4" s="57">
        <f>Pipeline!AA5</f>
        <v>509.2</v>
      </c>
      <c r="R4" s="57">
        <f>Pipeline!AB5</f>
        <v>509.2</v>
      </c>
      <c r="S4" s="57">
        <f>Pipeline!AC5</f>
        <v>509.2</v>
      </c>
      <c r="T4" s="57">
        <f>Pipeline!AD5</f>
        <v>509.2</v>
      </c>
      <c r="U4" s="57">
        <f>Pipeline!AE5</f>
        <v>254.6</v>
      </c>
      <c r="V4" s="57">
        <f>Pipeline!AF5</f>
        <v>127.3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20.368000000000002</v>
      </c>
      <c r="I5" s="57">
        <f>Pipeline!S6</f>
        <v>50.92</v>
      </c>
      <c r="J5" s="57">
        <f>Pipeline!T6</f>
        <v>91.656</v>
      </c>
      <c r="K5" s="57">
        <f>Pipeline!U6</f>
        <v>132.39200000000002</v>
      </c>
      <c r="L5" s="57">
        <f>Pipeline!V6</f>
        <v>173.12800000000001</v>
      </c>
      <c r="M5" s="57">
        <f>Pipeline!W6</f>
        <v>203.68</v>
      </c>
      <c r="N5" s="57">
        <f>Pipeline!X6</f>
        <v>203.68</v>
      </c>
      <c r="O5" s="57">
        <f>Pipeline!Y6</f>
        <v>203.68</v>
      </c>
      <c r="P5" s="57">
        <f>Pipeline!Z6</f>
        <v>203.68</v>
      </c>
      <c r="Q5" s="57">
        <f>Pipeline!AA6</f>
        <v>203.68</v>
      </c>
      <c r="R5" s="57">
        <f>Pipeline!AB6</f>
        <v>203.68</v>
      </c>
      <c r="S5" s="57">
        <f>Pipeline!AC6</f>
        <v>203.68</v>
      </c>
      <c r="T5" s="57">
        <f>Pipeline!AD6</f>
        <v>203.68</v>
      </c>
      <c r="U5" s="57">
        <f>Pipeline!AE6</f>
        <v>101.84</v>
      </c>
      <c r="V5" s="57">
        <f>Pipeline!AF6</f>
        <v>50.92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-126.486</v>
      </c>
      <c r="D6" s="23">
        <f>-IF(D3-2026&lt;Assumptions!$B$19,Assumptions!$B$18,Assumptions!$B$18*Assumptions!$B$20*Assumptions!$B$16)</f>
        <v>-126.486</v>
      </c>
      <c r="E6" s="23">
        <f>-IF(E3-2026&lt;Assumptions!$B$19,Assumptions!$B$18,Assumptions!$B$18*Assumptions!$B$20*Assumptions!$B$16)</f>
        <v>-126.486</v>
      </c>
      <c r="F6" s="23">
        <f>-IF(F3-2026&lt;Assumptions!$B$19,Assumptions!$B$18,Assumptions!$B$18*Assumptions!$B$20*Assumptions!$B$16)</f>
        <v>-126.486</v>
      </c>
      <c r="G6" s="23">
        <f>-IF(G3-2026&lt;Assumptions!$B$19,Assumptions!$B$18,Assumptions!$B$18*Assumptions!$B$20*Assumptions!$B$16)</f>
        <v>-4.830500339999999</v>
      </c>
      <c r="H6" s="23">
        <f>-IF(H3-2026&lt;Assumptions!$B$19,Assumptions!$B$18,Assumptions!$B$18*Assumptions!$B$20*Assumptions!$B$16)</f>
        <v>-4.830500339999999</v>
      </c>
      <c r="I6" s="23">
        <f>-IF(I3-2026&lt;Assumptions!$B$19,Assumptions!$B$18,Assumptions!$B$18*Assumptions!$B$20*Assumptions!$B$16)</f>
        <v>-4.830500339999999</v>
      </c>
      <c r="J6" s="23">
        <f>-IF(J3-2026&lt;Assumptions!$B$19,Assumptions!$B$18,Assumptions!$B$18*Assumptions!$B$20*Assumptions!$B$16)</f>
        <v>-4.830500339999999</v>
      </c>
      <c r="K6" s="23">
        <f>-IF(K3-2026&lt;Assumptions!$B$19,Assumptions!$B$18,Assumptions!$B$18*Assumptions!$B$20*Assumptions!$B$16)</f>
        <v>-4.830500339999999</v>
      </c>
      <c r="L6" s="23">
        <f>-IF(L3-2026&lt;Assumptions!$B$19,Assumptions!$B$18,Assumptions!$B$18*Assumptions!$B$20*Assumptions!$B$16)</f>
        <v>-4.830500339999999</v>
      </c>
      <c r="M6" s="23">
        <f>-IF(M3-2026&lt;Assumptions!$B$19,Assumptions!$B$18,Assumptions!$B$18*Assumptions!$B$20*Assumptions!$B$16)</f>
        <v>-4.830500339999999</v>
      </c>
      <c r="N6" s="23">
        <f>-IF(N3-2026&lt;Assumptions!$B$19,Assumptions!$B$18,Assumptions!$B$18*Assumptions!$B$20*Assumptions!$B$16)</f>
        <v>-4.830500339999999</v>
      </c>
      <c r="O6" s="23">
        <f>-IF(O3-2026&lt;Assumptions!$B$19,Assumptions!$B$18,Assumptions!$B$18*Assumptions!$B$20*Assumptions!$B$16)</f>
        <v>-4.830500339999999</v>
      </c>
      <c r="P6" s="23">
        <f>-IF(P3-2026&lt;Assumptions!$B$19,Assumptions!$B$18,Assumptions!$B$18*Assumptions!$B$20*Assumptions!$B$16)</f>
        <v>-4.830500339999999</v>
      </c>
      <c r="Q6" s="23">
        <f>-IF(Q3-2026&lt;Assumptions!$B$19,Assumptions!$B$18,Assumptions!$B$18*Assumptions!$B$20*Assumptions!$B$16)</f>
        <v>-4.830500339999999</v>
      </c>
      <c r="R6" s="23">
        <f>-IF(R3-2026&lt;Assumptions!$B$19,Assumptions!$B$18,Assumptions!$B$18*Assumptions!$B$20*Assumptions!$B$16)</f>
        <v>-4.830500339999999</v>
      </c>
      <c r="S6" s="23">
        <f>-IF(S3-2026&lt;Assumptions!$B$19,Assumptions!$B$18,Assumptions!$B$18*Assumptions!$B$20*Assumptions!$B$16)</f>
        <v>-4.830500339999999</v>
      </c>
      <c r="T6" s="23">
        <f>-IF(T3-2026&lt;Assumptions!$B$19,Assumptions!$B$18,Assumptions!$B$18*Assumptions!$B$20*Assumptions!$B$16)</f>
        <v>-4.830500339999999</v>
      </c>
      <c r="U6" s="23">
        <f>-IF(U3-2026&lt;Assumptions!$B$19,Assumptions!$B$18,Assumptions!$B$18*Assumptions!$B$20*Assumptions!$B$16)</f>
        <v>-4.830500339999999</v>
      </c>
      <c r="V6" s="23">
        <f>-IF(V3-2026&lt;Assumptions!$B$19,Assumptions!$B$18,Assumptions!$B$18*Assumptions!$B$20*Assumptions!$B$16)</f>
        <v>-4.830500339999999</v>
      </c>
    </row>
    <row r="7">
      <c r="A7" s="14" t="inlineStr">
        <is>
          <t>Pre-tax cash flow</t>
        </is>
      </c>
      <c r="C7" s="23">
        <f>C5+C6</f>
        <v>-126.486</v>
      </c>
      <c r="D7" s="23">
        <f>D5+D6</f>
        <v>-126.486</v>
      </c>
      <c r="E7" s="23">
        <f>E5+E6</f>
        <v>-126.486</v>
      </c>
      <c r="F7" s="23">
        <f>F5+F6</f>
        <v>-126.486</v>
      </c>
      <c r="G7" s="23">
        <f>G5+G6</f>
        <v>-4.830500339999999</v>
      </c>
      <c r="H7" s="23">
        <f>H5+H6</f>
        <v>15.537499660000003</v>
      </c>
      <c r="I7" s="23">
        <f>I5+I6</f>
        <v>46.08949966</v>
      </c>
      <c r="J7" s="23">
        <f>J5+J6</f>
        <v>86.82549966</v>
      </c>
      <c r="K7" s="23">
        <f>K5+K6</f>
        <v>127.56149966000002</v>
      </c>
      <c r="L7" s="23">
        <f>L5+L6</f>
        <v>168.29749966000003</v>
      </c>
      <c r="M7" s="23">
        <f>M5+M6</f>
        <v>198.84949966000002</v>
      </c>
      <c r="N7" s="23">
        <f>N5+N6</f>
        <v>198.84949966000002</v>
      </c>
      <c r="O7" s="23">
        <f>O5+O6</f>
        <v>198.84949966000002</v>
      </c>
      <c r="P7" s="23">
        <f>P5+P6</f>
        <v>198.84949966000002</v>
      </c>
      <c r="Q7" s="23">
        <f>Q5+Q6</f>
        <v>198.84949966000002</v>
      </c>
      <c r="R7" s="23">
        <f>R5+R6</f>
        <v>198.84949966000002</v>
      </c>
      <c r="S7" s="23">
        <f>S5+S6</f>
        <v>198.84949966000002</v>
      </c>
      <c r="T7" s="23">
        <f>T5+T6</f>
        <v>198.84949966000002</v>
      </c>
      <c r="U7" s="23">
        <f>U5+U6</f>
        <v>97.00949966</v>
      </c>
      <c r="V7" s="23">
        <f>V5+V6</f>
        <v>46.08949966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15.537499660000003</v>
      </c>
      <c r="I8" s="23">
        <f>MIN(H17,MAX(0,I7))</f>
        <v>46.08949966</v>
      </c>
      <c r="J8" s="23">
        <f>MIN(I17,MAX(0,J7))</f>
        <v>86.82549966</v>
      </c>
      <c r="K8" s="23">
        <f>MIN(J17,MAX(0,K7))</f>
        <v>127.56149966000002</v>
      </c>
      <c r="L8" s="23">
        <f>MIN(K17,MAX(0,L7))</f>
        <v>168.29749966000003</v>
      </c>
      <c r="M8" s="23">
        <f>MIN(L17,MAX(0,M7))</f>
        <v>198.84949966000002</v>
      </c>
      <c r="N8" s="23">
        <f>MIN(M17,MAX(0,N7))</f>
        <v>198.84949966000002</v>
      </c>
      <c r="O8" s="23">
        <f>MIN(N17,MAX(0,O7))</f>
        <v>198.84949966000002</v>
      </c>
      <c r="P8" s="23">
        <f>MIN(O17,MAX(0,P7))</f>
        <v>198.84949966000002</v>
      </c>
      <c r="Q8" s="23">
        <f>MIN(P17,MAX(0,Q7))</f>
        <v>198.84949966000002</v>
      </c>
      <c r="R8" s="23">
        <f>MIN(Q17,MAX(0,R7))</f>
        <v>14.215503740000202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184.63399591999982</v>
      </c>
      <c r="S9" s="23">
        <f>MAX(0,S7)-S8</f>
        <v>198.84949966000002</v>
      </c>
      <c r="T9" s="23">
        <f>MAX(0,T7)-T8</f>
        <v>198.84949966000002</v>
      </c>
      <c r="U9" s="23">
        <f>MAX(0,U7)-U8</f>
        <v>97.00949966</v>
      </c>
      <c r="V9" s="23">
        <f>MAX(0,V7)-V8</f>
        <v>46.08949966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38.77313914319996</v>
      </c>
      <c r="S10" s="23">
        <f>S9*Assumptions!$E$15</f>
        <v>41.758394928600005</v>
      </c>
      <c r="T10" s="23">
        <f>T9*Assumptions!$E$15</f>
        <v>41.758394928600005</v>
      </c>
      <c r="U10" s="23">
        <f>U9*Assumptions!$E$15</f>
        <v>20.3719949286</v>
      </c>
      <c r="V10" s="23">
        <f>V9*Assumptions!$E$15</f>
        <v>9.6787949286</v>
      </c>
    </row>
    <row r="11">
      <c r="A11" s="24" t="inlineStr">
        <is>
          <t>Free cash flow</t>
        </is>
      </c>
      <c r="C11" s="55">
        <f>C7-C10</f>
        <v>-126.486</v>
      </c>
      <c r="D11" s="55">
        <f>D7-D10</f>
        <v>-126.486</v>
      </c>
      <c r="E11" s="55">
        <f>E7-E10</f>
        <v>-126.486</v>
      </c>
      <c r="F11" s="55">
        <f>F7-F10</f>
        <v>-126.486</v>
      </c>
      <c r="G11" s="55">
        <f>G7-G10</f>
        <v>-4.830500339999999</v>
      </c>
      <c r="H11" s="55">
        <f>H7-H10</f>
        <v>15.537499660000003</v>
      </c>
      <c r="I11" s="55">
        <f>I7-I10</f>
        <v>46.08949966</v>
      </c>
      <c r="J11" s="55">
        <f>J7-J10</f>
        <v>86.82549966</v>
      </c>
      <c r="K11" s="55">
        <f>K7-K10</f>
        <v>127.56149966000002</v>
      </c>
      <c r="L11" s="55">
        <f>L7-L10</f>
        <v>168.29749966000003</v>
      </c>
      <c r="M11" s="55">
        <f>M7-M10</f>
        <v>198.84949966000002</v>
      </c>
      <c r="N11" s="55">
        <f>N7-N10</f>
        <v>198.84949966000002</v>
      </c>
      <c r="O11" s="55">
        <f>O7-O10</f>
        <v>198.84949966000002</v>
      </c>
      <c r="P11" s="55">
        <f>P7-P10</f>
        <v>198.84949966000002</v>
      </c>
      <c r="Q11" s="55">
        <f>Q7-Q10</f>
        <v>198.84949966000002</v>
      </c>
      <c r="R11" s="55">
        <f>R7-R10</f>
        <v>160.07636051680007</v>
      </c>
      <c r="S11" s="55">
        <f>S7-S10</f>
        <v>157.0911047314</v>
      </c>
      <c r="T11" s="55">
        <f>T7-T10</f>
        <v>157.0911047314</v>
      </c>
      <c r="U11" s="55">
        <f>U7-U10</f>
        <v>76.6375047314</v>
      </c>
      <c r="V11" s="55">
        <f>V7-V10</f>
        <v>36.4107047314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-61.966041489468445</v>
      </c>
      <c r="D16" s="55">
        <f>D11*D15</f>
        <v>-112.88146628064008</v>
      </c>
      <c r="E16" s="55">
        <f>E11*E15</f>
        <v>-100.78702346485719</v>
      </c>
      <c r="F16" s="55">
        <f>F11*F15</f>
        <v>-89.9884138079082</v>
      </c>
      <c r="G16" s="55">
        <f>G11*G15</f>
        <v>-3.0684442172535826</v>
      </c>
      <c r="H16" s="55">
        <f>H11*H15</f>
        <v>8.81229901270629</v>
      </c>
      <c r="I16" s="55">
        <f>I11*I15</f>
        <v>23.339527711621475</v>
      </c>
      <c r="J16" s="55">
        <f>J11*J15</f>
        <v>39.25720163910694</v>
      </c>
      <c r="K16" s="55">
        <f>K11*K15</f>
        <v>51.49601718748251</v>
      </c>
      <c r="L16" s="55">
        <f>L11*L15</f>
        <v>60.66157275259397</v>
      </c>
      <c r="M16" s="55">
        <f>M11*M15</f>
        <v>63.99447521083569</v>
      </c>
      <c r="N16" s="55">
        <f>N11*N15</f>
        <v>57.137924295389</v>
      </c>
      <c r="O16" s="55">
        <f>O11*O15</f>
        <v>51.016003835168746</v>
      </c>
      <c r="P16" s="55">
        <f>P11*P15</f>
        <v>45.5500034242578</v>
      </c>
      <c r="Q16" s="55">
        <f>Q11*Q15</f>
        <v>40.6696459145159</v>
      </c>
      <c r="R16" s="55">
        <f>R11*R15</f>
        <v>29.23176695653401</v>
      </c>
      <c r="S16" s="55">
        <f>S11*S15</f>
        <v>25.613058252923746</v>
      </c>
      <c r="T16" s="55">
        <f>T11*T15</f>
        <v>22.86880201153906</v>
      </c>
      <c r="U16" s="55">
        <f>U11*U15</f>
        <v>9.961280142395292</v>
      </c>
      <c r="V16" s="55">
        <f>V11*V15</f>
        <v>4.225565715445284</v>
      </c>
    </row>
    <row r="17">
      <c r="A17" s="14" t="inlineStr">
        <is>
          <t>Tax-loss carryforward, end of year</t>
        </is>
      </c>
      <c r="C17" s="23">
        <f>Assumptions!$B$21-C8+MAX(0,-C7)</f>
        <v>1068.486</v>
      </c>
      <c r="D17" s="23">
        <f>C17-D8+MAX(0,-D7)</f>
        <v>1194.9720000000002</v>
      </c>
      <c r="E17" s="23">
        <f>D17-E8+MAX(0,-E7)</f>
        <v>1321.4580000000003</v>
      </c>
      <c r="F17" s="23">
        <f>E17-F8+MAX(0,-F7)</f>
        <v>1447.9440000000004</v>
      </c>
      <c r="G17" s="23">
        <f>F17-G8+MAX(0,-G7)</f>
        <v>1452.7745003400005</v>
      </c>
      <c r="H17" s="23">
        <f>G17-H8+MAX(0,-H7)</f>
        <v>1437.2370006800004</v>
      </c>
      <c r="I17" s="23">
        <f>H17-I8+MAX(0,-I7)</f>
        <v>1391.1475010200004</v>
      </c>
      <c r="J17" s="23">
        <f>I17-J8+MAX(0,-J7)</f>
        <v>1304.3220013600003</v>
      </c>
      <c r="K17" s="23">
        <f>J17-K8+MAX(0,-K7)</f>
        <v>1176.7605017000003</v>
      </c>
      <c r="L17" s="23">
        <f>K17-L8+MAX(0,-L7)</f>
        <v>1008.4630020400002</v>
      </c>
      <c r="M17" s="23">
        <f>L17-M8+MAX(0,-M7)</f>
        <v>809.6135023800002</v>
      </c>
      <c r="N17" s="23">
        <f>M17-N8+MAX(0,-N7)</f>
        <v>610.7640027200002</v>
      </c>
      <c r="O17" s="23">
        <f>N17-O8+MAX(0,-O7)</f>
        <v>411.91450306000024</v>
      </c>
      <c r="P17" s="23">
        <f>O17-P8+MAX(0,-P7)</f>
        <v>213.06500340000022</v>
      </c>
      <c r="Q17" s="23">
        <f>P17-Q8+MAX(0,-Q7)</f>
        <v>14.215503740000202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578.4730886973027</v>
      </c>
    </row>
    <row r="20">
      <c r="A20" s="14" t="inlineStr">
        <is>
          <t>PV of corporate burn</t>
        </is>
      </c>
      <c r="B20" s="23">
        <f>SUMPRODUCT(C6:V6,C15:V15)</f>
        <v>-389.5901470173241</v>
      </c>
    </row>
    <row r="21">
      <c r="A21" s="14" t="inlineStr">
        <is>
          <t>PV of taxes</t>
        </is>
      </c>
      <c r="B21" s="23">
        <f>-SUMPRODUCT(C10:V10,C15:V15)</f>
        <v>-23.739186877590438</v>
      </c>
    </row>
    <row r="22">
      <c r="A22" s="24" t="inlineStr">
        <is>
          <t>Pipeline rNPV (operations)</t>
        </is>
      </c>
      <c r="B22" s="54">
        <f>SUM(C16:V16)</f>
        <v>165.14375480238817</v>
      </c>
    </row>
    <row r="23">
      <c r="A23" s="14" t="inlineStr">
        <is>
          <t>Cash &amp; investments</t>
        </is>
      </c>
      <c r="B23" s="57">
        <f>Main!C7</f>
        <v>172.798</v>
      </c>
    </row>
    <row r="24">
      <c r="A24" s="14" t="inlineStr">
        <is>
          <t>Debt</t>
        </is>
      </c>
      <c r="B24" s="57">
        <f>Main!C8</f>
        <v>9.848</v>
      </c>
    </row>
    <row r="25">
      <c r="A25" s="24" t="inlineStr">
        <is>
          <t>Equity value</t>
        </is>
      </c>
      <c r="B25" s="54">
        <f>B22+B23-B24</f>
        <v>328.09375480238816</v>
      </c>
    </row>
    <row r="26">
      <c r="A26" s="14" t="inlineStr">
        <is>
          <t>Shares (mm)</t>
        </is>
      </c>
      <c r="B26" s="57">
        <f>Main!C4</f>
        <v>111.656919</v>
      </c>
    </row>
    <row r="27">
      <c r="A27" s="24" t="inlineStr">
        <is>
          <t>rNPV / share</t>
        </is>
      </c>
      <c r="B27" s="60">
        <f>B25/B26</f>
        <v>2.938409529304567</v>
      </c>
    </row>
    <row r="28">
      <c r="A28" s="14" t="inlineStr">
        <is>
          <t>Price</t>
        </is>
      </c>
      <c r="B28" s="61">
        <f>Main!C3</f>
        <v>1.97</v>
      </c>
    </row>
    <row r="29">
      <c r="A29" s="14" t="inlineStr">
        <is>
          <t>Upside</t>
        </is>
      </c>
      <c r="B29" s="62">
        <f>B27/B28-1</f>
        <v>0.49157844127135375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2026-10-21T06:26:50Z</dcterms:modified>
  <cp:lastModifiedBy>Wang, Eric</cp:lastModifiedBy>
</cp:coreProperties>
</file>