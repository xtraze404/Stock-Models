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Pacira BioSciences, Inc.</t>
        </is>
      </c>
      <c r="C2" s="10" t="n"/>
    </row>
    <row r="3">
      <c r="B3" t="inlineStr">
        <is>
          <t>Price</t>
        </is>
      </c>
      <c r="C3" s="11">
        <f>INDEX([1]Pharma!$F$1:$F$1000,MATCH("PCRX",[1]Pharma!$B$1:$B$1000,0))</f>
        <v>36.38</v>
      </c>
      <c r="F3" s="1" t="n"/>
    </row>
    <row r="4">
      <c r="B4" t="inlineStr">
        <is>
          <t>Shares</t>
        </is>
      </c>
      <c r="C4" s="51" t="n">
        <v>39.861886</v>
      </c>
      <c r="F4" s="1" t="n"/>
    </row>
    <row r="5">
      <c r="B5" t="inlineStr">
        <is>
          <t>Market Cap.</t>
        </is>
      </c>
      <c r="C5" s="13">
        <f>C3*C4</f>
        <v>1450.1754126800001</v>
      </c>
      <c r="F5" s="1" t="n"/>
    </row>
    <row r="6"/>
    <row r="7">
      <c r="B7" t="inlineStr">
        <is>
          <t>Cash</t>
        </is>
      </c>
      <c r="C7" s="51">
        <f>205.875+45.156</f>
        <v>251.031</v>
      </c>
    </row>
    <row r="8">
      <c r="B8" t="inlineStr">
        <is>
          <t>Debt</t>
        </is>
      </c>
      <c r="C8" s="51" t="n">
        <v>363.124</v>
      </c>
    </row>
    <row r="9">
      <c r="B9" t="inlineStr">
        <is>
          <t>Enterprise V.</t>
        </is>
      </c>
      <c r="C9" s="13">
        <f>C5-C7+C8</f>
        <v>1562.2684126800002</v>
      </c>
    </row>
    <row r="10"/>
    <row r="11">
      <c r="B11" s="14" t="inlineStr">
        <is>
          <t>NPV / Share</t>
        </is>
      </c>
      <c r="C11" s="11">
        <f>NPV!B28</f>
        <v>26.59226394414106</v>
      </c>
    </row>
    <row r="12">
      <c r="B12" s="14" t="inlineStr">
        <is>
          <t>Upside</t>
        </is>
      </c>
      <c r="C12" s="15">
        <f>IFERROR(C11/C3-1,"")</f>
        <v>-0.26904167278336844</v>
      </c>
    </row>
    <row r="13">
      <c r="B13" s="14" t="inlineStr">
        <is>
          <t>Cash / Share</t>
        </is>
      </c>
      <c r="C13" s="11">
        <f>IFERROR((C7-C8)/C4,"")</f>
        <v>-2.812034533438785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15.006</v>
      </c>
      <c r="C2" s="52" t="n">
        <v>14.562</v>
      </c>
      <c r="D2" s="52" t="n">
        <v>15.689</v>
      </c>
      <c r="E2" s="52" t="n">
        <v>39.084</v>
      </c>
      <c r="F2" s="52" t="n">
        <v>85.551</v>
      </c>
      <c r="G2" s="52" t="n">
        <v>197.668</v>
      </c>
      <c r="H2" s="52" t="n">
        <v>248.997</v>
      </c>
      <c r="I2" s="52" t="n">
        <v>276.371</v>
      </c>
      <c r="J2" s="52" t="n">
        <v>286.63</v>
      </c>
      <c r="K2" s="52" t="n">
        <v>337.277</v>
      </c>
      <c r="L2" s="52" t="n">
        <v>421.026</v>
      </c>
      <c r="M2" s="52" t="n">
        <v>429.647</v>
      </c>
      <c r="N2" s="52" t="n">
        <v>541.533</v>
      </c>
      <c r="O2" s="52" t="n">
        <v>666.823</v>
      </c>
      <c r="P2" s="52" t="n">
        <v>674.978</v>
      </c>
      <c r="Q2" s="52" t="n">
        <v>700.966</v>
      </c>
      <c r="R2" s="52" t="n">
        <v>726.4109999999999</v>
      </c>
      <c r="S2" s="52">
        <f>R2*(1+NPV!C5)</f>
        <v>754.3778235</v>
      </c>
      <c r="T2" s="52">
        <f>S2*(1+NPV!D5)</f>
        <v>782.2898029694999</v>
      </c>
      <c r="U2" s="52">
        <f>T2*(1+NPV!E5)</f>
        <v>810.0610909749172</v>
      </c>
      <c r="V2" s="52">
        <f>U2*(1+NPV!F5)</f>
        <v>837.6031680680644</v>
      </c>
      <c r="W2" s="52">
        <f>V2*(1+NPV!G5)</f>
        <v>864.8252710302764</v>
      </c>
      <c r="X2" s="52">
        <f>W2*(1+NPV!H5)</f>
        <v>891.634854432215</v>
      </c>
      <c r="Y2" s="52">
        <f>X2*(1+NPV!I5)</f>
        <v>917.9380826379654</v>
      </c>
      <c r="Z2" s="52">
        <f>Y2*(1+NPV!J5)</f>
        <v>943.6403489518285</v>
      </c>
      <c r="AA2" s="52">
        <f>Z2*(1+NPV!K5)</f>
        <v>968.646818199052</v>
      </c>
      <c r="AB2" s="52">
        <f>AA2*(1+NPV!L5)</f>
        <v>992.8629886540282</v>
      </c>
    </row>
    <row r="3" customFormat="1" s="1">
      <c r="A3" s="5" t="inlineStr">
        <is>
          <t>Cost of Sales</t>
        </is>
      </c>
      <c r="B3" s="52" t="n">
        <v>12.301</v>
      </c>
      <c r="C3" s="52" t="n">
        <v>12.276</v>
      </c>
      <c r="D3" s="52" t="n">
        <v>16.739</v>
      </c>
      <c r="E3" s="52" t="n">
        <v>32.139</v>
      </c>
      <c r="F3" s="52" t="n">
        <v>54.772</v>
      </c>
      <c r="G3" s="52" t="n">
        <v>77.44</v>
      </c>
      <c r="H3" s="52" t="n">
        <v>71.837</v>
      </c>
      <c r="I3" s="52" t="n">
        <v>110.104</v>
      </c>
      <c r="J3" s="52" t="n">
        <v>87.91500000000001</v>
      </c>
      <c r="K3" s="52" t="n">
        <v>86.845</v>
      </c>
      <c r="L3" s="52" t="n">
        <v>106.712</v>
      </c>
      <c r="M3" s="52" t="n">
        <v>117.328</v>
      </c>
      <c r="N3" s="52" t="n">
        <v>140.255</v>
      </c>
      <c r="O3" s="52" t="n">
        <v>199.295</v>
      </c>
      <c r="P3" s="52" t="n">
        <v>184.669</v>
      </c>
      <c r="Q3" s="52" t="n">
        <v>170.428</v>
      </c>
      <c r="R3" s="52" t="n">
        <v>149.749</v>
      </c>
      <c r="S3" s="52">
        <f>S2*(1-Assumptions!$B$19)</f>
        <v>155.47726942334995</v>
      </c>
      <c r="T3" s="52">
        <f>T2*(1-Assumptions!$B$19)</f>
        <v>161.22992839201387</v>
      </c>
      <c r="U3" s="52">
        <f>U2*(1-Assumptions!$B$19)</f>
        <v>166.95359084993038</v>
      </c>
      <c r="V3" s="52">
        <f>V2*(1-Assumptions!$B$19)</f>
        <v>172.63001293882803</v>
      </c>
      <c r="W3" s="52">
        <f>W2*(1-Assumptions!$B$19)</f>
        <v>178.24048835933993</v>
      </c>
      <c r="X3" s="52">
        <f>X2*(1-Assumptions!$B$19)</f>
        <v>183.76594349847946</v>
      </c>
      <c r="Y3" s="52">
        <f>Y2*(1-Assumptions!$B$19)</f>
        <v>189.18703883168462</v>
      </c>
      <c r="Z3" s="52">
        <f>Z2*(1-Assumptions!$B$19)</f>
        <v>194.4842759189718</v>
      </c>
      <c r="AA3" s="52">
        <f>AA2*(1-Assumptions!$B$19)</f>
        <v>199.63810923082457</v>
      </c>
      <c r="AB3" s="52">
        <f>AB2*(1-Assumptions!$B$19)</f>
        <v>204.62906196159517</v>
      </c>
    </row>
    <row r="4" customFormat="1" s="1">
      <c r="A4" s="5" t="inlineStr">
        <is>
          <t>Gross Margin</t>
        </is>
      </c>
      <c r="B4" s="52">
        <f>B2-B3</f>
        <v>2.705</v>
      </c>
      <c r="C4" s="52">
        <f>C2-C3</f>
        <v>2.2859999999999996</v>
      </c>
      <c r="D4" s="52">
        <f>D2-D3</f>
        <v>-1.0500000000000007</v>
      </c>
      <c r="E4" s="52">
        <f>E2-E3</f>
        <v>6.945</v>
      </c>
      <c r="F4" s="52">
        <f>F2-F3</f>
        <v>30.779000000000003</v>
      </c>
      <c r="G4" s="52">
        <f>G2-G3</f>
        <v>120.22800000000001</v>
      </c>
      <c r="H4" s="52">
        <f>H2-H3</f>
        <v>177.16000000000003</v>
      </c>
      <c r="I4" s="52">
        <f>I2-I3</f>
        <v>166.267</v>
      </c>
      <c r="J4" s="52">
        <f>J2-J3</f>
        <v>198.71499999999997</v>
      </c>
      <c r="K4" s="52">
        <f>K2-K3</f>
        <v>250.432</v>
      </c>
      <c r="L4" s="52">
        <f>L2-L3</f>
        <v>314.314</v>
      </c>
      <c r="M4" s="52">
        <f>M2-M3</f>
        <v>312.31899999999996</v>
      </c>
      <c r="N4" s="52">
        <f>N2-N3</f>
        <v>401.278</v>
      </c>
      <c r="O4" s="52">
        <f>O2-O3</f>
        <v>467.528</v>
      </c>
      <c r="P4" s="52">
        <f>P2-P3</f>
        <v>490.30899999999997</v>
      </c>
      <c r="Q4" s="52">
        <f>Q2-Q3</f>
        <v>530.538</v>
      </c>
      <c r="R4" s="52">
        <f>R2-R3</f>
        <v>576.6619999999999</v>
      </c>
      <c r="S4" s="52">
        <f>S2-S3</f>
        <v>598.90055407665</v>
      </c>
      <c r="T4" s="52">
        <f>T2-T3</f>
        <v>621.059874577486</v>
      </c>
      <c r="U4" s="52">
        <f>U2-U3</f>
        <v>643.1075001249868</v>
      </c>
      <c r="V4" s="52">
        <f>V2-V3</f>
        <v>664.9731551292364</v>
      </c>
      <c r="W4" s="52">
        <f>W2-W3</f>
        <v>686.5847826709365</v>
      </c>
      <c r="X4" s="52">
        <f>X2-X3</f>
        <v>707.8689109337355</v>
      </c>
      <c r="Y4" s="52">
        <f>Y2-Y3</f>
        <v>728.7510438062808</v>
      </c>
      <c r="Z4" s="52">
        <f>Z2-Z3</f>
        <v>749.1560730328567</v>
      </c>
      <c r="AA4" s="52">
        <f>AA2-AA3</f>
        <v>769.0087089682274</v>
      </c>
      <c r="AB4" s="52">
        <f>AB2-AB3</f>
        <v>788.233926692433</v>
      </c>
    </row>
    <row r="5">
      <c r="A5" s="2" t="inlineStr">
        <is>
          <t>Research &amp; Dev.</t>
        </is>
      </c>
      <c r="B5" s="52" t="n">
        <v>26.233</v>
      </c>
      <c r="C5" s="52" t="n">
        <v>18.628</v>
      </c>
      <c r="D5" s="52" t="n">
        <v>14.873</v>
      </c>
      <c r="E5" s="52" t="n">
        <v>9.936999999999999</v>
      </c>
      <c r="F5" s="52" t="n">
        <v>21.56</v>
      </c>
      <c r="G5" s="52" t="n">
        <v>18.731</v>
      </c>
      <c r="H5" s="52" t="n">
        <v>28.662</v>
      </c>
      <c r="I5" s="52" t="n">
        <v>45.678</v>
      </c>
      <c r="J5" s="52" t="n">
        <v>57.29</v>
      </c>
      <c r="K5" s="52" t="n">
        <v>55.688</v>
      </c>
      <c r="L5" s="52" t="n">
        <v>72.119</v>
      </c>
      <c r="M5" s="52" t="n">
        <v>59.421</v>
      </c>
      <c r="N5" s="52" t="n">
        <v>55.545</v>
      </c>
      <c r="O5" s="52" t="n">
        <v>84.797</v>
      </c>
      <c r="P5" s="52" t="n">
        <v>76.25700000000001</v>
      </c>
      <c r="Q5" s="52" t="n">
        <v>81.577</v>
      </c>
      <c r="R5" s="52" t="n">
        <v>117.312</v>
      </c>
      <c r="S5" s="52">
        <f>S7*Assumptions!$B$20</f>
        <v>119.03447170453742</v>
      </c>
      <c r="T5" s="52">
        <f>T7*Assumptions!$B$20</f>
        <v>120.58469110699878</v>
      </c>
      <c r="U5" s="52">
        <f>U7*Assumptions!$B$20</f>
        <v>121.91007260089417</v>
      </c>
      <c r="V5" s="52">
        <f>V7*Assumptions!$B$20</f>
        <v>122.9991572775478</v>
      </c>
      <c r="W5" s="52">
        <f>W7*Assumptions!$B$20</f>
        <v>123.84145671905858</v>
      </c>
      <c r="X5" s="52">
        <f>X7*Assumptions!$B$20</f>
        <v>124.42755833906958</v>
      </c>
      <c r="Y5" s="52">
        <f>Y7*Assumptions!$B$20</f>
        <v>124.74922475741309</v>
      </c>
      <c r="Z5" s="52">
        <f>Z7*Assumptions!$B$20</f>
        <v>124.79948599448716</v>
      </c>
      <c r="AA5" s="52">
        <f>AA7*Assumptions!$B$20</f>
        <v>124.57272331522</v>
      </c>
      <c r="AB5" s="52">
        <f>AB7*Assumptions!$B$20</f>
        <v>124.06474361352639</v>
      </c>
    </row>
    <row r="6">
      <c r="A6" s="18" t="inlineStr">
        <is>
          <t>SG&amp;A &amp; Other</t>
        </is>
      </c>
      <c r="B6" s="52" t="n">
        <v>5.02</v>
      </c>
      <c r="C6" s="52" t="n">
        <v>6.367</v>
      </c>
      <c r="D6" s="52" t="n">
        <v>23.178</v>
      </c>
      <c r="E6" s="52" t="n">
        <v>46.306</v>
      </c>
      <c r="F6" s="52" t="n">
        <v>62.508</v>
      </c>
      <c r="G6" s="52" t="n">
        <v>106.662</v>
      </c>
      <c r="H6" s="52" t="n">
        <v>139.043</v>
      </c>
      <c r="I6" s="52" t="n">
        <v>152.613</v>
      </c>
      <c r="J6" s="52" t="n">
        <v>166.362</v>
      </c>
      <c r="K6" s="52" t="n">
        <v>178.829</v>
      </c>
      <c r="L6" s="52" t="n">
        <v>231.715</v>
      </c>
      <c r="M6" s="52" t="n">
        <v>206.548</v>
      </c>
      <c r="N6" s="52" t="n">
        <v>255.809</v>
      </c>
      <c r="O6" s="52" t="n">
        <v>322.707</v>
      </c>
      <c r="P6" s="52" t="n">
        <v>326.377</v>
      </c>
      <c r="Q6" s="52" t="n">
        <v>522.332</v>
      </c>
      <c r="R6" s="52" t="n">
        <v>440.159</v>
      </c>
      <c r="S6" s="52">
        <f>S7-S5</f>
        <v>446.7187208075226</v>
      </c>
      <c r="T6" s="52">
        <f>T7-T5</f>
        <v>452.5364643445163</v>
      </c>
      <c r="U6" s="52">
        <f>U7-U5</f>
        <v>457.51042455164463</v>
      </c>
      <c r="V6" s="52">
        <f>V7-V5</f>
        <v>461.59759784387705</v>
      </c>
      <c r="W6" s="52">
        <f>W7-W5</f>
        <v>464.7586227441476</v>
      </c>
      <c r="X6" s="52">
        <f>X7-X5</f>
        <v>466.95817521164133</v>
      </c>
      <c r="Y6" s="52">
        <f>Y7-Y5</f>
        <v>468.16534158010154</v>
      </c>
      <c r="Z6" s="52">
        <f>Z7-Z5</f>
        <v>468.3539645496533</v>
      </c>
      <c r="AA6" s="52">
        <f>AA7-AA5</f>
        <v>467.5029578407686</v>
      </c>
      <c r="AB6" s="52">
        <f>AB7-AB5</f>
        <v>465.5965853481009</v>
      </c>
    </row>
    <row r="7">
      <c r="A7" s="2" t="inlineStr">
        <is>
          <t>Operating Expense</t>
        </is>
      </c>
      <c r="B7" s="52">
        <f>SUM(B5:B6)</f>
        <v>31.253</v>
      </c>
      <c r="C7" s="52">
        <f>SUM(C5:C6)</f>
        <v>24.995</v>
      </c>
      <c r="D7" s="52">
        <f>SUM(D5:D6)</f>
        <v>38.051</v>
      </c>
      <c r="E7" s="52">
        <f>SUM(E5:E6)</f>
        <v>56.242999999999995</v>
      </c>
      <c r="F7" s="52">
        <f>SUM(F5:F6)</f>
        <v>84.068</v>
      </c>
      <c r="G7" s="52">
        <f>SUM(G5:G6)</f>
        <v>125.393</v>
      </c>
      <c r="H7" s="52">
        <f>SUM(H5:H6)</f>
        <v>167.705</v>
      </c>
      <c r="I7" s="52">
        <f>SUM(I5:I6)</f>
        <v>198.291</v>
      </c>
      <c r="J7" s="52">
        <f>SUM(J5:J6)</f>
        <v>223.652</v>
      </c>
      <c r="K7" s="52">
        <f>SUM(K5:K6)</f>
        <v>234.517</v>
      </c>
      <c r="L7" s="52">
        <f>SUM(L5:L6)</f>
        <v>303.834</v>
      </c>
      <c r="M7" s="52">
        <f>SUM(M5:M6)</f>
        <v>265.969</v>
      </c>
      <c r="N7" s="52">
        <f>SUM(N5:N6)</f>
        <v>311.354</v>
      </c>
      <c r="O7" s="52">
        <f>SUM(O5:O6)</f>
        <v>407.504</v>
      </c>
      <c r="P7" s="52">
        <f>SUM(P5:P6)</f>
        <v>402.634</v>
      </c>
      <c r="Q7" s="52">
        <f>SUM(Q5:Q6)</f>
        <v>603.909</v>
      </c>
      <c r="R7" s="52">
        <f>SUM(R5:R6)</f>
        <v>557.471</v>
      </c>
      <c r="S7" s="52">
        <f>S4-S2*NPV!C6</f>
        <v>565.75319251206</v>
      </c>
      <c r="T7" s="52">
        <f>T4-T2*NPV!D6</f>
        <v>573.121155451515</v>
      </c>
      <c r="U7" s="52">
        <f>U4-U2*NPV!E6</f>
        <v>579.4204971525388</v>
      </c>
      <c r="V7" s="52">
        <f>V4-V2*NPV!F6</f>
        <v>584.5967551214248</v>
      </c>
      <c r="W7" s="52">
        <f>W4-W2*NPV!G6</f>
        <v>588.6000794632062</v>
      </c>
      <c r="X7" s="52">
        <f>X4-X2*NPV!H6</f>
        <v>591.3857335507109</v>
      </c>
      <c r="Y7" s="52">
        <f>Y4-Y2*NPV!I6</f>
        <v>592.9145663375147</v>
      </c>
      <c r="Z7" s="52">
        <f>Z4-Z2*NPV!J6</f>
        <v>593.1534505441405</v>
      </c>
      <c r="AA7" s="52">
        <f>AA4-AA2*NPV!K6</f>
        <v>592.0756811559886</v>
      </c>
      <c r="AB7" s="52">
        <f>AB4-AB2*NPV!L6</f>
        <v>589.6613289616273</v>
      </c>
    </row>
    <row r="8">
      <c r="A8" s="2" t="inlineStr">
        <is>
          <t>Operating Income</t>
        </is>
      </c>
      <c r="B8" s="52">
        <f>B4-B7</f>
        <v>-28.548000000000002</v>
      </c>
      <c r="C8" s="52">
        <f>C4-C7</f>
        <v>-22.709000000000003</v>
      </c>
      <c r="D8" s="52">
        <f>D4-D7</f>
        <v>-39.101</v>
      </c>
      <c r="E8" s="52">
        <f>E4-E7</f>
        <v>-49.297999999999995</v>
      </c>
      <c r="F8" s="52">
        <f>F4-F7</f>
        <v>-53.288999999999994</v>
      </c>
      <c r="G8" s="52">
        <f>G4-G7</f>
        <v>-5.164999999999992</v>
      </c>
      <c r="H8" s="52">
        <f>H4-H7</f>
        <v>9.455000000000013</v>
      </c>
      <c r="I8" s="52">
        <f>I4-I7</f>
        <v>-32.024</v>
      </c>
      <c r="J8" s="52">
        <f>J4-J7</f>
        <v>-24.937000000000012</v>
      </c>
      <c r="K8" s="52">
        <f>K4-K7</f>
        <v>15.914999999999992</v>
      </c>
      <c r="L8" s="52">
        <f>L4-L7</f>
        <v>10.480000000000018</v>
      </c>
      <c r="M8" s="52">
        <f>M4-M7</f>
        <v>46.349999999999966</v>
      </c>
      <c r="N8" s="52">
        <f>N4-N7</f>
        <v>89.92400000000004</v>
      </c>
      <c r="O8" s="52">
        <f>O4-O7</f>
        <v>60.024</v>
      </c>
      <c r="P8" s="52">
        <f>P4-P7</f>
        <v>87.67499999999995</v>
      </c>
      <c r="Q8" s="52">
        <f>Q4-Q7</f>
        <v>-73.37099999999998</v>
      </c>
      <c r="R8" s="52">
        <f>R4-R7</f>
        <v>19.190999999999917</v>
      </c>
      <c r="S8" s="52">
        <f>S4-S7</f>
        <v>33.14736156459003</v>
      </c>
      <c r="T8" s="52">
        <f>T4-T7</f>
        <v>47.93871912597092</v>
      </c>
      <c r="U8" s="52">
        <f>U4-U7</f>
        <v>63.687002972448</v>
      </c>
      <c r="V8" s="52">
        <f>V4-V7</f>
        <v>80.37640000781153</v>
      </c>
      <c r="W8" s="52">
        <f>W4-W7</f>
        <v>97.98470320773038</v>
      </c>
      <c r="X8" s="52">
        <f>X4-X7</f>
        <v>116.48317738302455</v>
      </c>
      <c r="Y8" s="52">
        <f>Y4-Y7</f>
        <v>135.83647746876613</v>
      </c>
      <c r="Z8" s="52">
        <f>Z4-Z7</f>
        <v>156.00262248871627</v>
      </c>
      <c r="AA8" s="52">
        <f>AA4-AA7</f>
        <v>176.93302781223883</v>
      </c>
      <c r="AB8" s="52">
        <f>AB4-AB7</f>
        <v>198.57259773080568</v>
      </c>
    </row>
    <row r="9">
      <c r="A9" s="18" t="inlineStr">
        <is>
          <t>Interest &amp; Other</t>
        </is>
      </c>
      <c r="B9" s="52" t="n">
        <v>-3.159</v>
      </c>
      <c r="C9" s="52" t="n">
        <v>-4.44</v>
      </c>
      <c r="D9" s="52" t="n">
        <v>-4.227</v>
      </c>
      <c r="E9" s="52" t="n">
        <v>-2.983</v>
      </c>
      <c r="F9" s="52" t="n">
        <v>-11.062</v>
      </c>
      <c r="G9" s="52" t="n">
        <v>-8.378</v>
      </c>
      <c r="H9" s="52" t="n">
        <v>-7.335</v>
      </c>
      <c r="I9" s="52" t="n">
        <v>-5.82</v>
      </c>
      <c r="J9" s="52" t="n">
        <v>-17.534</v>
      </c>
      <c r="K9" s="52" t="n">
        <v>-16.34</v>
      </c>
      <c r="L9" s="52" t="n">
        <v>-21.228</v>
      </c>
      <c r="M9" s="52" t="n">
        <v>-26.261</v>
      </c>
      <c r="N9" s="52" t="n">
        <v>-33.5</v>
      </c>
      <c r="O9" s="52" t="n">
        <v>-46.731</v>
      </c>
      <c r="P9" s="52" t="n">
        <v>-25.929</v>
      </c>
      <c r="Q9" s="52" t="n">
        <v>10.225</v>
      </c>
      <c r="R9" s="52" t="n">
        <v>-2.351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-31.707</v>
      </c>
      <c r="C10" s="52">
        <f>C8+C9</f>
        <v>-27.149000000000004</v>
      </c>
      <c r="D10" s="52">
        <f>D8+D9</f>
        <v>-43.328</v>
      </c>
      <c r="E10" s="52">
        <f>E8+E9</f>
        <v>-52.28099999999999</v>
      </c>
      <c r="F10" s="52">
        <f>F8+F9</f>
        <v>-64.351</v>
      </c>
      <c r="G10" s="52">
        <f>G8+G9</f>
        <v>-13.542999999999992</v>
      </c>
      <c r="H10" s="52">
        <f>H8+H9</f>
        <v>2.1200000000000125</v>
      </c>
      <c r="I10" s="52">
        <f>I8+I9</f>
        <v>-37.844</v>
      </c>
      <c r="J10" s="52">
        <f>J8+J9</f>
        <v>-42.47100000000001</v>
      </c>
      <c r="K10" s="52">
        <f>K8+K9</f>
        <v>-0.4250000000000078</v>
      </c>
      <c r="L10" s="52">
        <f>L8+L9</f>
        <v>-10.747999999999983</v>
      </c>
      <c r="M10" s="52">
        <f>M8+M9</f>
        <v>20.088999999999967</v>
      </c>
      <c r="N10" s="52">
        <f>N8+N9</f>
        <v>56.424000000000035</v>
      </c>
      <c r="O10" s="52">
        <f>O8+O9</f>
        <v>13.293</v>
      </c>
      <c r="P10" s="52">
        <f>P8+P9</f>
        <v>61.74599999999995</v>
      </c>
      <c r="Q10" s="52">
        <f>Q8+Q9</f>
        <v>-63.14599999999998</v>
      </c>
      <c r="R10" s="52">
        <f>R8+R9</f>
        <v>16.839999999999918</v>
      </c>
      <c r="S10" s="52">
        <f>S8+S9</f>
        <v>33.14736156459003</v>
      </c>
      <c r="T10" s="52">
        <f>T8+T9</f>
        <v>47.93871912597092</v>
      </c>
      <c r="U10" s="52">
        <f>U8+U9</f>
        <v>63.687002972448</v>
      </c>
      <c r="V10" s="52">
        <f>V8+V9</f>
        <v>80.37640000781153</v>
      </c>
      <c r="W10" s="52">
        <f>W8+W9</f>
        <v>97.98470320773038</v>
      </c>
      <c r="X10" s="52">
        <f>X8+X9</f>
        <v>116.48317738302455</v>
      </c>
      <c r="Y10" s="52">
        <f>Y8+Y9</f>
        <v>135.83647746876613</v>
      </c>
      <c r="Z10" s="52">
        <f>Z8+Z9</f>
        <v>156.00262248871627</v>
      </c>
      <c r="AA10" s="52">
        <f>AA8+AA9</f>
        <v>176.93302781223883</v>
      </c>
      <c r="AB10" s="52">
        <f>AB8+AB9</f>
        <v>198.57259773080568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-0.442</v>
      </c>
      <c r="G11" s="52" t="n">
        <v>0.173</v>
      </c>
      <c r="H11" s="52" t="n">
        <v>0.264</v>
      </c>
      <c r="I11" s="52" t="n">
        <v>0.105</v>
      </c>
      <c r="J11" s="52" t="n">
        <v>0.14</v>
      </c>
      <c r="K11" s="52" t="n">
        <v>0.046</v>
      </c>
      <c r="L11" s="52" t="n">
        <v>0.268</v>
      </c>
      <c r="M11" s="52" t="n">
        <v>-125.434</v>
      </c>
      <c r="N11" s="52" t="n">
        <v>14.424</v>
      </c>
      <c r="O11" s="52" t="n">
        <v>-2.607</v>
      </c>
      <c r="P11" s="52" t="n">
        <v>19.746</v>
      </c>
      <c r="Q11" s="52" t="n">
        <v>36.454</v>
      </c>
      <c r="R11" s="52" t="n">
        <v>9.84</v>
      </c>
      <c r="S11" s="52">
        <f>MAX(0,S10)*Assumptions!$E$14</f>
        <v>5.635051465980305</v>
      </c>
      <c r="T11" s="52">
        <f>MAX(0,T10)*Assumptions!$E$14</f>
        <v>8.149582251415056</v>
      </c>
      <c r="U11" s="52">
        <f>MAX(0,U10)*Assumptions!$E$14</f>
        <v>10.826790505316161</v>
      </c>
      <c r="V11" s="52">
        <f>MAX(0,V10)*Assumptions!$E$14</f>
        <v>13.66398800132796</v>
      </c>
      <c r="W11" s="52">
        <f>MAX(0,W10)*Assumptions!$E$14</f>
        <v>16.657399545314163</v>
      </c>
      <c r="X11" s="52">
        <f>MAX(0,X10)*Assumptions!$E$14</f>
        <v>19.802140155114177</v>
      </c>
      <c r="Y11" s="52">
        <f>MAX(0,Y10)*Assumptions!$E$14</f>
        <v>23.092201169690245</v>
      </c>
      <c r="Z11" s="52">
        <f>MAX(0,Z10)*Assumptions!$E$14</f>
        <v>26.52044582308177</v>
      </c>
      <c r="AA11" s="52">
        <f>MAX(0,AA10)*Assumptions!$E$14</f>
        <v>30.078614728080606</v>
      </c>
      <c r="AB11" s="52">
        <f>MAX(0,AB10)*Assumptions!$E$14</f>
        <v>33.75734161423697</v>
      </c>
    </row>
    <row r="12">
      <c r="A12" s="2" t="inlineStr">
        <is>
          <t>Net Income</t>
        </is>
      </c>
      <c r="B12" s="52" t="n">
        <v>-31.707</v>
      </c>
      <c r="C12" s="52" t="n">
        <v>-27.149</v>
      </c>
      <c r="D12" s="52" t="n">
        <v>-43.328</v>
      </c>
      <c r="E12" s="52" t="n">
        <v>-52.281</v>
      </c>
      <c r="F12" s="52" t="n">
        <v>-63.909</v>
      </c>
      <c r="G12" s="52" t="n">
        <v>-13.716</v>
      </c>
      <c r="H12" s="52" t="n">
        <v>1.856</v>
      </c>
      <c r="I12" s="52" t="n">
        <v>-37.949</v>
      </c>
      <c r="J12" s="52" t="n">
        <v>-42.611</v>
      </c>
      <c r="K12" s="52" t="n">
        <v>-0.471</v>
      </c>
      <c r="L12" s="52" t="n">
        <v>-11.016</v>
      </c>
      <c r="M12" s="52" t="n">
        <v>145.523</v>
      </c>
      <c r="N12" s="52" t="n">
        <v>42</v>
      </c>
      <c r="O12" s="52" t="n">
        <v>15.9</v>
      </c>
      <c r="P12" s="52" t="n">
        <v>42</v>
      </c>
      <c r="Q12" s="52" t="n">
        <v>-99.59999999999999</v>
      </c>
      <c r="R12" s="52" t="n">
        <v>7</v>
      </c>
      <c r="S12" s="52">
        <f>S10-S11</f>
        <v>27.512310098609724</v>
      </c>
      <c r="T12" s="52">
        <f>T10-T11</f>
        <v>39.789136874555865</v>
      </c>
      <c r="U12" s="52">
        <f>U10-U11</f>
        <v>52.86021246713184</v>
      </c>
      <c r="V12" s="52">
        <f>V10-V11</f>
        <v>66.71241200648356</v>
      </c>
      <c r="W12" s="52">
        <f>W10-W11</f>
        <v>81.32730366241621</v>
      </c>
      <c r="X12" s="52">
        <f>X10-X11</f>
        <v>96.68103722791038</v>
      </c>
      <c r="Y12" s="52">
        <f>Y10-Y11</f>
        <v>112.74427629907589</v>
      </c>
      <c r="Z12" s="52">
        <f>Z10-Z11</f>
        <v>129.4821766656345</v>
      </c>
      <c r="AA12" s="52">
        <f>AA10-AA11</f>
        <v>146.85441308415824</v>
      </c>
      <c r="AB12" s="52">
        <f>AB10-AB11</f>
        <v>164.81525611656872</v>
      </c>
    </row>
    <row r="13">
      <c r="A13" s="2" t="inlineStr">
        <is>
          <t>Earnings per Share</t>
        </is>
      </c>
      <c r="B13" s="11">
        <f>IFERROR(B12/B14,0)</f>
        <v>-1.9077617328519856</v>
      </c>
      <c r="C13" s="11">
        <f>IFERROR(C12/C14,0)</f>
        <v>-1.6307664584334456</v>
      </c>
      <c r="D13" s="11">
        <f>IFERROR(D12/D14,0)</f>
        <v>-2.6360041370079696</v>
      </c>
      <c r="E13" s="11">
        <f>IFERROR(E12/E14,0)</f>
        <v>-1.7236252142951338</v>
      </c>
      <c r="F13" s="11">
        <f>IFERROR(F12/F14,0)</f>
        <v>-1.9260141040323064</v>
      </c>
      <c r="G13" s="11">
        <f>IFERROR(G12/G14,0)</f>
        <v>-0.3885662483356469</v>
      </c>
      <c r="H13" s="11">
        <f>IFERROR(H12/H14,0)</f>
        <v>0.044938379215999615</v>
      </c>
      <c r="I13" s="11">
        <f>IFERROR(I12/I14,0)</f>
        <v>-1.0191481362122676</v>
      </c>
      <c r="J13" s="11">
        <f>IFERROR(J12/J14,0)</f>
        <v>-1.0704667638044516</v>
      </c>
      <c r="K13" s="11">
        <f>IFERROR(K12/K14,0)</f>
        <v>-0.011512796069516756</v>
      </c>
      <c r="L13" s="11">
        <f>IFERROR(L12/L14,0)</f>
        <v>-0.2653626574807892</v>
      </c>
      <c r="M13" s="11">
        <f>IFERROR(M12/M14,0)</f>
        <v>3.331417975367428</v>
      </c>
      <c r="N13" s="11">
        <f>IFERROR(N12/N14,0)</f>
        <v>0.9204470742932281</v>
      </c>
      <c r="O13" s="11">
        <f>IFERROR(O12/O14,0)</f>
        <v>0.3416562808887361</v>
      </c>
      <c r="P13" s="11">
        <f>IFERROR(P12/P14,0)</f>
        <v>0.8080186229054042</v>
      </c>
      <c r="Q13" s="11">
        <f>IFERROR(Q12/Q14,0)</f>
        <v>-2.1537463509568604</v>
      </c>
      <c r="R13" s="11">
        <f>IFERROR(R12/R14,0)</f>
        <v>0.15541050575018872</v>
      </c>
      <c r="S13" s="11">
        <f>IFERROR(S12/S14,0)</f>
        <v>0.6901908780384783</v>
      </c>
      <c r="T13" s="11">
        <f>IFERROR(T12/T14,0)</f>
        <v>0.998174970310132</v>
      </c>
      <c r="U13" s="11">
        <f>IFERROR(U12/U14,0)</f>
        <v>1.3260840810977141</v>
      </c>
      <c r="V13" s="11">
        <f>IFERROR(V12/V14,0)</f>
        <v>1.6735889517742226</v>
      </c>
      <c r="W13" s="11">
        <f>IFERROR(W12/W14,0)</f>
        <v>2.0402271900134434</v>
      </c>
      <c r="X13" s="11">
        <f>IFERROR(X12/X14,0)</f>
        <v>2.4254004747269207</v>
      </c>
      <c r="Y13" s="11">
        <f>IFERROR(Y12/Y14,0)</f>
        <v>2.8283728546882076</v>
      </c>
      <c r="Z13" s="11">
        <f>IFERROR(Z12/Z14,0)</f>
        <v>3.248270206423111</v>
      </c>
      <c r="AA13" s="11">
        <f>IFERROR(AA12/AA14,0)</f>
        <v>3.684080905859754</v>
      </c>
      <c r="AB13" s="11">
        <f>IFERROR(AB12/AB14,0)</f>
        <v>4.134657755946839</v>
      </c>
    </row>
    <row r="14">
      <c r="A14" s="2" t="inlineStr">
        <is>
          <t>Shares</t>
        </is>
      </c>
      <c r="B14" s="52" t="n">
        <v>16.62</v>
      </c>
      <c r="C14" s="52" t="n">
        <v>16.648</v>
      </c>
      <c r="D14" s="52" t="n">
        <v>16.437</v>
      </c>
      <c r="E14" s="52" t="n">
        <v>30.332</v>
      </c>
      <c r="F14" s="52" t="n">
        <v>33.182</v>
      </c>
      <c r="G14" s="52" t="n">
        <v>35.299</v>
      </c>
      <c r="H14" s="52" t="n">
        <v>41.301</v>
      </c>
      <c r="I14" s="52" t="n">
        <v>37.236</v>
      </c>
      <c r="J14" s="52" t="n">
        <v>39.806</v>
      </c>
      <c r="K14" s="52" t="n">
        <v>40.911</v>
      </c>
      <c r="L14" s="52" t="n">
        <v>41.513</v>
      </c>
      <c r="M14" s="52" t="n">
        <v>43.682</v>
      </c>
      <c r="N14" s="52" t="n">
        <v>45.63</v>
      </c>
      <c r="O14" s="52" t="n">
        <v>46.538</v>
      </c>
      <c r="P14" s="52" t="n">
        <v>51.979</v>
      </c>
      <c r="Q14" s="52" t="n">
        <v>46.245</v>
      </c>
      <c r="R14" s="52" t="n">
        <v>45.042</v>
      </c>
      <c r="S14" s="52">
        <f>Main!$C$4</f>
        <v>39.861886</v>
      </c>
      <c r="T14" s="52">
        <f>Main!$C$4</f>
        <v>39.861886</v>
      </c>
      <c r="U14" s="52">
        <f>Main!$C$4</f>
        <v>39.861886</v>
      </c>
      <c r="V14" s="52">
        <f>Main!$C$4</f>
        <v>39.861886</v>
      </c>
      <c r="W14" s="52">
        <f>Main!$C$4</f>
        <v>39.861886</v>
      </c>
      <c r="X14" s="52">
        <f>Main!$C$4</f>
        <v>39.861886</v>
      </c>
      <c r="Y14" s="52">
        <f>Main!$C$4</f>
        <v>39.861886</v>
      </c>
      <c r="Z14" s="52">
        <f>Main!$C$4</f>
        <v>39.861886</v>
      </c>
      <c r="AA14" s="52">
        <f>Main!$C$4</f>
        <v>39.861886</v>
      </c>
      <c r="AB14" s="52">
        <f>Main!$C$4</f>
        <v>39.861886</v>
      </c>
    </row>
    <row r="15"/>
    <row r="16" customFormat="1" s="4">
      <c r="A16" s="3" t="inlineStr">
        <is>
          <t>Revenue Change</t>
        </is>
      </c>
      <c r="C16" s="15">
        <f>IFERROR(C2/B2-1,"")</f>
        <v>-0.029588164734106415</v>
      </c>
      <c r="D16" s="15">
        <f>IFERROR(D2/C2-1,"")</f>
        <v>0.07739321521768994</v>
      </c>
      <c r="E16" s="15">
        <f>IFERROR(E2/D2-1,"")</f>
        <v>1.491172158837402</v>
      </c>
      <c r="F16" s="15">
        <f>IFERROR(F2/E2-1,"")</f>
        <v>1.1889008289837273</v>
      </c>
      <c r="G16" s="15">
        <f>IFERROR(G2/F2-1,"")</f>
        <v>1.3105282229313509</v>
      </c>
      <c r="H16" s="15">
        <f>IFERROR(H2/G2-1,"")</f>
        <v>0.2596727846692435</v>
      </c>
      <c r="I16" s="15">
        <f>IFERROR(I2/H2-1,"")</f>
        <v>0.10993706751486942</v>
      </c>
      <c r="J16" s="15">
        <f>IFERROR(J2/I2-1,"")</f>
        <v>0.037120392515857414</v>
      </c>
      <c r="K16" s="15">
        <f>IFERROR(K2/J2-1,"")</f>
        <v>0.17669818232564638</v>
      </c>
      <c r="L16" s="15">
        <f>IFERROR(L2/K2-1,"")</f>
        <v>0.2483092532250939</v>
      </c>
      <c r="M16" s="15">
        <f>IFERROR(M2/L2-1,"")</f>
        <v>0.020476170117759818</v>
      </c>
      <c r="N16" s="15">
        <f>IFERROR(N2/M2-1,"")</f>
        <v>0.26041378154624617</v>
      </c>
      <c r="O16" s="15">
        <f>IFERROR(O2/N2-1,"")</f>
        <v>0.2313617083354107</v>
      </c>
      <c r="P16" s="15">
        <f>IFERROR(P2/O2-1,"")</f>
        <v>0.012229632151260494</v>
      </c>
      <c r="Q16" s="15">
        <f>IFERROR(Q2/P2-1,"")</f>
        <v>0.038501995620598084</v>
      </c>
      <c r="R16" s="15">
        <f>IFERROR(R2/Q2-1,"")</f>
        <v>0.03629990612954104</v>
      </c>
      <c r="S16" s="15">
        <f>IFERROR(S2/R2-1,"")</f>
        <v>0.03849999999999998</v>
      </c>
      <c r="T16" s="15">
        <f>IFERROR(T2/S2-1,"")</f>
        <v>0.03699999999999992</v>
      </c>
      <c r="U16" s="15">
        <f>IFERROR(U2/T2-1,"")</f>
        <v>0.03550000000000009</v>
      </c>
      <c r="V16" s="15">
        <f>IFERROR(V2/U2-1,"")</f>
        <v>0.03400000000000003</v>
      </c>
      <c r="W16" s="15">
        <f>IFERROR(W2/V2-1,"")</f>
        <v>0.03249999999999997</v>
      </c>
      <c r="X16" s="15">
        <f>IFERROR(X2/W2-1,"")</f>
        <v>0.030999999999999917</v>
      </c>
      <c r="Y16" s="15">
        <f>IFERROR(Y2/X2-1,"")</f>
        <v>0.02950000000000008</v>
      </c>
      <c r="Z16" s="15">
        <f>IFERROR(Z2/Y2-1,"")</f>
        <v>0.028000000000000025</v>
      </c>
      <c r="AA16" s="15">
        <f>IFERROR(AA2/Z2-1,"")</f>
        <v>0.026499999999999968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0.18026122884179663</v>
      </c>
      <c r="C17" s="15">
        <f>IFERROR(C4/C2,"")</f>
        <v>0.15698393077873915</v>
      </c>
      <c r="D17" s="15">
        <f>IFERROR(D4/D2,"")</f>
        <v>-0.06692587162980437</v>
      </c>
      <c r="E17" s="15">
        <f>IFERROR(E4/E2,"")</f>
        <v>0.1776941971139085</v>
      </c>
      <c r="F17" s="15">
        <f>IFERROR(F4/F2,"")</f>
        <v>0.3597737022360931</v>
      </c>
      <c r="G17" s="15">
        <f>IFERROR(G4/G2,"")</f>
        <v>0.6082319849444523</v>
      </c>
      <c r="H17" s="15">
        <f>IFERROR(H4/H2,"")</f>
        <v>0.7114945159981848</v>
      </c>
      <c r="I17" s="15">
        <f>IFERROR(I4/I2,"")</f>
        <v>0.601607983471493</v>
      </c>
      <c r="J17" s="15">
        <f>IFERROR(J4/J2,"")</f>
        <v>0.6932805358824965</v>
      </c>
      <c r="K17" s="15">
        <f>IFERROR(K4/K2,"")</f>
        <v>0.7425113482389846</v>
      </c>
      <c r="L17" s="15">
        <f>IFERROR(L4/L2,"")</f>
        <v>0.7465429688427794</v>
      </c>
      <c r="M17" s="15">
        <f>IFERROR(M4/M2,"")</f>
        <v>0.7269200064238781</v>
      </c>
      <c r="N17" s="15">
        <f>IFERROR(N4/N2,"")</f>
        <v>0.7410037800097132</v>
      </c>
      <c r="O17" s="15">
        <f>IFERROR(O4/O2,"")</f>
        <v>0.7011275855811813</v>
      </c>
      <c r="P17" s="15">
        <f>IFERROR(P4/P2,"")</f>
        <v>0.7264073792034703</v>
      </c>
      <c r="Q17" s="15">
        <f>IFERROR(Q4/Q2,"")</f>
        <v>0.7568669521774237</v>
      </c>
      <c r="R17" s="15">
        <f>IFERROR(R4/R2,"")</f>
        <v>0.7938508640425324</v>
      </c>
      <c r="S17" s="15">
        <f>IFERROR(S4/S2,"")</f>
        <v>0.7939</v>
      </c>
      <c r="T17" s="15">
        <f>IFERROR(T4/T2,"")</f>
        <v>0.7939</v>
      </c>
      <c r="U17" s="15">
        <f>IFERROR(U4/U2,"")</f>
        <v>0.7939</v>
      </c>
      <c r="V17" s="15">
        <f>IFERROR(V4/V2,"")</f>
        <v>0.7939</v>
      </c>
      <c r="W17" s="15">
        <f>IFERROR(W4/W2,"")</f>
        <v>0.7939</v>
      </c>
      <c r="X17" s="15">
        <f>IFERROR(X4/X2,"")</f>
        <v>0.7939</v>
      </c>
      <c r="Y17" s="15">
        <f>IFERROR(Y4/Y2,"")</f>
        <v>0.7939</v>
      </c>
      <c r="Z17" s="15">
        <f>IFERROR(Z4/Z2,"")</f>
        <v>0.7939</v>
      </c>
      <c r="AA17" s="15">
        <f>IFERROR(AA4/AA2,"")</f>
        <v>0.7939</v>
      </c>
      <c r="AB17" s="15">
        <f>IFERROR(AB4/AB2,"")</f>
        <v>0.7939</v>
      </c>
    </row>
    <row r="18">
      <c r="A18" s="14" t="inlineStr">
        <is>
          <t>Operating Margin</t>
        </is>
      </c>
      <c r="B18" s="15">
        <f>IFERROR(B8/B2,"")</f>
        <v>-1.902439024390244</v>
      </c>
      <c r="C18" s="15">
        <f>IFERROR(C8/C2,"")</f>
        <v>-1.559469853042165</v>
      </c>
      <c r="D18" s="15">
        <f>IFERROR(D8/D2,"")</f>
        <v>-2.492255720568551</v>
      </c>
      <c r="E18" s="15">
        <f>IFERROR(E8/E2,"")</f>
        <v>-1.2613345614573737</v>
      </c>
      <c r="F18" s="15">
        <f>IFERROR(F8/F2,"")</f>
        <v>-0.6228916085142195</v>
      </c>
      <c r="G18" s="15">
        <f>IFERROR(G8/G2,"")</f>
        <v>-0.026129671975231153</v>
      </c>
      <c r="H18" s="15">
        <f>IFERROR(H8/H2,"")</f>
        <v>0.037972345048333966</v>
      </c>
      <c r="I18" s="15">
        <f>IFERROR(I8/I2,"")</f>
        <v>-0.11587322837779652</v>
      </c>
      <c r="J18" s="15">
        <f>IFERROR(J8/J2,"")</f>
        <v>-0.08700066287548412</v>
      </c>
      <c r="K18" s="15">
        <f>IFERROR(K8/K2,"")</f>
        <v>0.047186733752968606</v>
      </c>
      <c r="L18" s="15">
        <f>IFERROR(L8/L2,"")</f>
        <v>0.02489157439208034</v>
      </c>
      <c r="M18" s="15">
        <f>IFERROR(M8/M2,"")</f>
        <v>0.1078792590196137</v>
      </c>
      <c r="N18" s="15">
        <f>IFERROR(N8/N2,"")</f>
        <v>0.16605451560662052</v>
      </c>
      <c r="O18" s="15">
        <f>IFERROR(O8/O2,"")</f>
        <v>0.0900148915079414</v>
      </c>
      <c r="P18" s="15">
        <f>IFERROR(P8/P2,"")</f>
        <v>0.12989312244250917</v>
      </c>
      <c r="Q18" s="15">
        <f>IFERROR(Q8/Q2,"")</f>
        <v>-0.10467126793596263</v>
      </c>
      <c r="R18" s="15">
        <f>IFERROR(R8/R2,"")</f>
        <v>0.02641892812746492</v>
      </c>
      <c r="S18" s="15">
        <f>IFERROR(S8/S2,"")</f>
        <v>0.04394000000000004</v>
      </c>
      <c r="T18" s="15">
        <f>IFERROR(T8/T2,"")</f>
        <v>0.06127999999999996</v>
      </c>
      <c r="U18" s="15">
        <f>IFERROR(U8/U2,"")</f>
        <v>0.07862000000000001</v>
      </c>
      <c r="V18" s="15">
        <f>IFERROR(V8/V2,"")</f>
        <v>0.09596000000000007</v>
      </c>
      <c r="W18" s="15">
        <f>IFERROR(W8/W2,"")</f>
        <v>0.11330000000000007</v>
      </c>
      <c r="X18" s="15">
        <f>IFERROR(X8/X2,"")</f>
        <v>0.13063999999999998</v>
      </c>
      <c r="Y18" s="15">
        <f>IFERROR(Y8/Y2,"")</f>
        <v>0.14798</v>
      </c>
      <c r="Z18" s="15">
        <f>IFERROR(Z8/Z2,"")</f>
        <v>0.16531999999999997</v>
      </c>
      <c r="AA18" s="15">
        <f>IFERROR(AA8/AA2,"")</f>
        <v>0.18266000000000002</v>
      </c>
      <c r="AB18" s="15">
        <f>IFERROR(AB8/AB2,"")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Pacira BioSciences,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-0.0115</v>
      </c>
      <c r="C12" s="53" t="n">
        <v>0.0385</v>
      </c>
      <c r="D12" s="53" t="n">
        <v>0.0885</v>
      </c>
      <c r="E12" s="54">
        <f>CHOOSE($B$4,B12,C12,D12)</f>
        <v>0.0385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0.0266</v>
      </c>
    </row>
    <row r="19">
      <c r="A19" s="14" t="inlineStr">
        <is>
          <t>Gross margin (forecast)</t>
        </is>
      </c>
      <c r="B19" s="53" t="n">
        <v>0.7939000000000001</v>
      </c>
    </row>
    <row r="20">
      <c r="A20" s="14" t="inlineStr">
        <is>
          <t>R&amp;D share of operating expense (forecast)</t>
        </is>
      </c>
      <c r="B20" s="53" t="n">
        <v>0.2104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726.411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1172.1107938232612</v>
      </c>
      <c r="C29" s="56">
        <f>NPV!B26</f>
        <v>1060.0177938232612</v>
      </c>
      <c r="D29" s="35">
        <f>NPV!B28</f>
        <v>26.59226394414106</v>
      </c>
      <c r="E29" s="57">
        <f>NPV!B30</f>
        <v>-0.26904167278336844</v>
      </c>
    </row>
    <row r="30">
      <c r="A30" s="58" t="n">
        <v>1</v>
      </c>
      <c r="B30" s="59">
        <f t="dataTable" ref="B30:E32" r1="B4"/>
        <v>616.2388855790648</v>
      </c>
      <c r="C30" s="59">
        <v>504.1458855790647</v>
      </c>
      <c r="D30" s="39">
        <v>12.647316425998126</v>
      </c>
      <c r="E30" s="60">
        <v>-0.6523552384277591</v>
      </c>
    </row>
    <row r="31">
      <c r="A31" s="58" t="n">
        <v>2</v>
      </c>
      <c r="B31" s="59">
        <v>1172.1107938232612</v>
      </c>
      <c r="C31" s="59">
        <v>1060.0177938232612</v>
      </c>
      <c r="D31" s="39">
        <v>26.59226394414106</v>
      </c>
      <c r="E31" s="60">
        <v>-0.26904167278336844</v>
      </c>
    </row>
    <row r="32">
      <c r="A32" s="58" t="n">
        <v>3</v>
      </c>
      <c r="B32" s="59">
        <v>2238.9617354231555</v>
      </c>
      <c r="C32" s="59">
        <v>2126.868735423155</v>
      </c>
      <c r="D32" s="39">
        <v>53.35594847226133</v>
      </c>
      <c r="E32" s="60">
        <v>0.4666286001171338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26.59226394414106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32.8315431889553</v>
      </c>
      <c r="C37" s="39">
        <v>35.082907240777025</v>
      </c>
      <c r="D37" s="39">
        <v>37.68140800913274</v>
      </c>
      <c r="E37" s="39">
        <v>40.71384855526013</v>
      </c>
      <c r="F37" s="39">
        <v>44.29859704989556</v>
      </c>
    </row>
    <row r="38">
      <c r="A38" s="62" t="n">
        <v>0.1</v>
      </c>
      <c r="B38" s="39">
        <v>27.825871781115637</v>
      </c>
      <c r="C38" s="39">
        <v>29.485258523261454</v>
      </c>
      <c r="D38" s="39">
        <v>31.366514289287103</v>
      </c>
      <c r="E38" s="39">
        <v>33.517197302279676</v>
      </c>
      <c r="F38" s="39">
        <v>35.99949936689411</v>
      </c>
    </row>
    <row r="39">
      <c r="A39" s="62" t="n">
        <v>0.11</v>
      </c>
      <c r="B39" s="39">
        <v>23.922681687215984</v>
      </c>
      <c r="C39" s="39">
        <v>25.183079472240678</v>
      </c>
      <c r="D39" s="39">
        <v>26.59226394414106</v>
      </c>
      <c r="E39" s="39">
        <v>28.178144571822468</v>
      </c>
      <c r="F39" s="39">
        <v>29.976073576049558</v>
      </c>
    </row>
    <row r="40">
      <c r="A40" s="62" t="n">
        <v>0.12</v>
      </c>
      <c r="B40" s="39">
        <v>20.803231231696493</v>
      </c>
      <c r="C40" s="39">
        <v>21.783760942241177</v>
      </c>
      <c r="D40" s="39">
        <v>22.86792453781917</v>
      </c>
      <c r="E40" s="39">
        <v>24.073004140156005</v>
      </c>
      <c r="F40" s="39">
        <v>25.420348438421897</v>
      </c>
    </row>
    <row r="41">
      <c r="A41" s="62" t="n">
        <v>0.13</v>
      </c>
      <c r="B41" s="39">
        <v>18.259990207517347</v>
      </c>
      <c r="C41" s="39">
        <v>19.037825620619014</v>
      </c>
      <c r="D41" s="39">
        <v>19.890096262734456</v>
      </c>
      <c r="E41" s="39">
        <v>20.827975575240345</v>
      </c>
      <c r="F41" s="39">
        <v>21.86498945758792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Pacira BioSciences,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0.0385</v>
      </c>
      <c r="D5" s="63">
        <f>Assumptions!$E$12+(Assumptions!$E$11-Assumptions!$E$12)*(D4-1)/(Assumptions!$B$21-1)</f>
        <v>0.037</v>
      </c>
      <c r="E5" s="63">
        <f>Assumptions!$E$12+(Assumptions!$E$11-Assumptions!$E$12)*(E4-1)/(Assumptions!$B$21-1)</f>
        <v>0.0355</v>
      </c>
      <c r="F5" s="63">
        <f>Assumptions!$E$12+(Assumptions!$E$11-Assumptions!$E$12)*(F4-1)/(Assumptions!$B$21-1)</f>
        <v>0.034</v>
      </c>
      <c r="G5" s="63">
        <f>Assumptions!$E$12+(Assumptions!$E$11-Assumptions!$E$12)*(G4-1)/(Assumptions!$B$21-1)</f>
        <v>0.0325</v>
      </c>
      <c r="H5" s="63">
        <f>Assumptions!$E$12+(Assumptions!$E$11-Assumptions!$E$12)*(H4-1)/(Assumptions!$B$21-1)</f>
        <v>0.031</v>
      </c>
      <c r="I5" s="63">
        <f>Assumptions!$E$12+(Assumptions!$E$11-Assumptions!$E$12)*(I4-1)/(Assumptions!$B$21-1)</f>
        <v>0.0295</v>
      </c>
      <c r="J5" s="63">
        <f>Assumptions!$E$12+(Assumptions!$E$11-Assumptions!$E$12)*(J4-1)/(Assumptions!$B$21-1)</f>
        <v>0.028</v>
      </c>
      <c r="K5" s="63">
        <f>Assumptions!$E$12+(Assumptions!$E$11-Assumptions!$E$12)*(K4-1)/(Assumptions!$B$21-1)</f>
        <v>0.026500000000000003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0.02641892812746492</v>
      </c>
      <c r="C6" s="63">
        <f>Assumptions!$B$18+(Assumptions!$E$13-Assumptions!$B$18)*C4/Assumptions!$B$21</f>
        <v>0.04394</v>
      </c>
      <c r="D6" s="63">
        <f>Assumptions!$B$18+(Assumptions!$E$13-Assumptions!$B$18)*D4/Assumptions!$B$21</f>
        <v>0.06128</v>
      </c>
      <c r="E6" s="63">
        <f>Assumptions!$B$18+(Assumptions!$E$13-Assumptions!$B$18)*E4/Assumptions!$B$21</f>
        <v>0.07862</v>
      </c>
      <c r="F6" s="63">
        <f>Assumptions!$B$18+(Assumptions!$E$13-Assumptions!$B$18)*F4/Assumptions!$B$21</f>
        <v>0.09596</v>
      </c>
      <c r="G6" s="63">
        <f>Assumptions!$B$18+(Assumptions!$E$13-Assumptions!$B$18)*G4/Assumptions!$B$21</f>
        <v>0.1133</v>
      </c>
      <c r="H6" s="63">
        <f>Assumptions!$B$18+(Assumptions!$E$13-Assumptions!$B$18)*H4/Assumptions!$B$21</f>
        <v>0.13063999999999998</v>
      </c>
      <c r="I6" s="63">
        <f>Assumptions!$B$18+(Assumptions!$E$13-Assumptions!$B$18)*I4/Assumptions!$B$21</f>
        <v>0.14798</v>
      </c>
      <c r="J6" s="63">
        <f>Assumptions!$B$18+(Assumptions!$E$13-Assumptions!$B$18)*J4/Assumptions!$B$21</f>
        <v>0.16532000000000002</v>
      </c>
      <c r="K6" s="63">
        <f>Assumptions!$B$18+(Assumptions!$E$13-Assumptions!$B$18)*K4/Assumptions!$B$21</f>
        <v>0.18266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726.411</v>
      </c>
      <c r="C7" s="55">
        <f>'Yearly Model'!S2</f>
        <v>754.3778235</v>
      </c>
      <c r="D7" s="55">
        <f>'Yearly Model'!T2</f>
        <v>782.2898029694999</v>
      </c>
      <c r="E7" s="55">
        <f>'Yearly Model'!U2</f>
        <v>810.0610909749172</v>
      </c>
      <c r="F7" s="55">
        <f>'Yearly Model'!V2</f>
        <v>837.6031680680644</v>
      </c>
      <c r="G7" s="55">
        <f>'Yearly Model'!W2</f>
        <v>864.8252710302764</v>
      </c>
      <c r="H7" s="55">
        <f>'Yearly Model'!X2</f>
        <v>891.634854432215</v>
      </c>
      <c r="I7" s="55">
        <f>'Yearly Model'!Y2</f>
        <v>917.9380826379654</v>
      </c>
      <c r="J7" s="55">
        <f>'Yearly Model'!Z2</f>
        <v>943.6403489518285</v>
      </c>
      <c r="K7" s="55">
        <f>'Yearly Model'!AA2</f>
        <v>968.646818199052</v>
      </c>
      <c r="L7" s="55">
        <f>'Yearly Model'!AB2</f>
        <v>992.8629886540282</v>
      </c>
    </row>
    <row r="8">
      <c r="A8" s="14" t="inlineStr">
        <is>
          <t>Operating income</t>
        </is>
      </c>
      <c r="B8" s="55">
        <f>'Yearly Model'!R8</f>
        <v>19.190999999999917</v>
      </c>
      <c r="C8" s="55">
        <f>'Yearly Model'!S8</f>
        <v>33.14736156459003</v>
      </c>
      <c r="D8" s="55">
        <f>'Yearly Model'!T8</f>
        <v>47.93871912597092</v>
      </c>
      <c r="E8" s="55">
        <f>'Yearly Model'!U8</f>
        <v>63.687002972448</v>
      </c>
      <c r="F8" s="55">
        <f>'Yearly Model'!V8</f>
        <v>80.37640000781153</v>
      </c>
      <c r="G8" s="55">
        <f>'Yearly Model'!W8</f>
        <v>97.98470320773038</v>
      </c>
      <c r="H8" s="55">
        <f>'Yearly Model'!X8</f>
        <v>116.48317738302455</v>
      </c>
      <c r="I8" s="55">
        <f>'Yearly Model'!Y8</f>
        <v>135.83647746876613</v>
      </c>
      <c r="J8" s="55">
        <f>'Yearly Model'!Z8</f>
        <v>156.00262248871627</v>
      </c>
      <c r="K8" s="55">
        <f>'Yearly Model'!AA8</f>
        <v>176.93302781223883</v>
      </c>
      <c r="L8" s="55">
        <f>'Yearly Model'!AB8</f>
        <v>198.57259773080568</v>
      </c>
    </row>
    <row r="9">
      <c r="A9" s="14" t="inlineStr">
        <is>
          <t>Tax on operating income</t>
        </is>
      </c>
      <c r="C9" s="52">
        <f>MAX(0,C8)*Assumptions!$E$14</f>
        <v>5.635051465980305</v>
      </c>
      <c r="D9" s="52">
        <f>MAX(0,D8)*Assumptions!$E$14</f>
        <v>8.149582251415056</v>
      </c>
      <c r="E9" s="52">
        <f>MAX(0,E8)*Assumptions!$E$14</f>
        <v>10.826790505316161</v>
      </c>
      <c r="F9" s="52">
        <f>MAX(0,F8)*Assumptions!$E$14</f>
        <v>13.66398800132796</v>
      </c>
      <c r="G9" s="52">
        <f>MAX(0,G8)*Assumptions!$E$14</f>
        <v>16.657399545314163</v>
      </c>
      <c r="H9" s="52">
        <f>MAX(0,H8)*Assumptions!$E$14</f>
        <v>19.802140155114177</v>
      </c>
      <c r="I9" s="52">
        <f>MAX(0,I8)*Assumptions!$E$14</f>
        <v>23.092201169690245</v>
      </c>
      <c r="J9" s="52">
        <f>MAX(0,J8)*Assumptions!$E$14</f>
        <v>26.52044582308177</v>
      </c>
      <c r="K9" s="52">
        <f>MAX(0,K8)*Assumptions!$E$14</f>
        <v>30.078614728080606</v>
      </c>
      <c r="L9" s="52">
        <f>MAX(0,L8)*Assumptions!$E$14</f>
        <v>33.75734161423697</v>
      </c>
    </row>
    <row r="10">
      <c r="A10" s="14" t="inlineStr">
        <is>
          <t>NOPAT</t>
        </is>
      </c>
      <c r="C10" s="52">
        <f>C8-C9</f>
        <v>27.512310098609724</v>
      </c>
      <c r="D10" s="52">
        <f>D8-D9</f>
        <v>39.789136874555865</v>
      </c>
      <c r="E10" s="52">
        <f>E8-E9</f>
        <v>52.86021246713184</v>
      </c>
      <c r="F10" s="52">
        <f>F8-F9</f>
        <v>66.71241200648356</v>
      </c>
      <c r="G10" s="52">
        <f>G8-G9</f>
        <v>81.32730366241621</v>
      </c>
      <c r="H10" s="52">
        <f>H8-H9</f>
        <v>96.68103722791038</v>
      </c>
      <c r="I10" s="52">
        <f>I8-I9</f>
        <v>112.74427629907589</v>
      </c>
      <c r="J10" s="52">
        <f>J8-J9</f>
        <v>129.4821766656345</v>
      </c>
      <c r="K10" s="52">
        <f>K8-K9</f>
        <v>146.85441308415824</v>
      </c>
      <c r="L10" s="52">
        <f>L8-L9</f>
        <v>164.81525611656872</v>
      </c>
    </row>
    <row r="11">
      <c r="A11" s="14" t="inlineStr">
        <is>
          <t>Reinvestment</t>
        </is>
      </c>
      <c r="C11" s="52">
        <f>(C7-B7)*Assumptions!$E$15</f>
        <v>6.991705875000008</v>
      </c>
      <c r="D11" s="52">
        <f>(D7-C7)*Assumptions!$E$15</f>
        <v>6.977994867374974</v>
      </c>
      <c r="E11" s="52">
        <f>(E7-D7)*Assumptions!$E$15</f>
        <v>6.94282200135433</v>
      </c>
      <c r="F11" s="52">
        <f>(F7-E7)*Assumptions!$E$15</f>
        <v>6.885519273286803</v>
      </c>
      <c r="G11" s="52">
        <f>(G7-F7)*Assumptions!$E$15</f>
        <v>6.8055257405530085</v>
      </c>
      <c r="H11" s="52">
        <f>(H7-G7)*Assumptions!$E$15</f>
        <v>6.702395850484635</v>
      </c>
      <c r="I11" s="52">
        <f>(I7-H7)*Assumptions!$E$15</f>
        <v>6.575807051437607</v>
      </c>
      <c r="J11" s="52">
        <f>(J7-I7)*Assumptions!$E$15</f>
        <v>6.4255665784657765</v>
      </c>
      <c r="K11" s="52">
        <f>(K7-J7)*Assumptions!$E$15</f>
        <v>6.251617311805859</v>
      </c>
      <c r="L11" s="52">
        <f>(L7-K7)*Assumptions!$E$15</f>
        <v>6.054042613744059</v>
      </c>
    </row>
    <row r="12">
      <c r="A12" s="20" t="inlineStr">
        <is>
          <t>Free cash flow</t>
        </is>
      </c>
      <c r="C12" s="64">
        <f>C10-C11</f>
        <v>20.520604223609716</v>
      </c>
      <c r="D12" s="64">
        <f>D10-D11</f>
        <v>32.81114200718089</v>
      </c>
      <c r="E12" s="64">
        <f>E10-E11</f>
        <v>45.91739046577751</v>
      </c>
      <c r="F12" s="64">
        <f>F10-F11</f>
        <v>59.82689273319676</v>
      </c>
      <c r="G12" s="64">
        <f>G10-G11</f>
        <v>74.5217779218632</v>
      </c>
      <c r="H12" s="64">
        <f>H10-H11</f>
        <v>89.97864137742575</v>
      </c>
      <c r="I12" s="64">
        <f>I10-I11</f>
        <v>106.16846924763828</v>
      </c>
      <c r="J12" s="64">
        <f>J10-J11</f>
        <v>123.05661008716874</v>
      </c>
      <c r="K12" s="64">
        <f>K10-K11</f>
        <v>140.60279577235238</v>
      </c>
      <c r="L12" s="64">
        <f>L10-L11</f>
        <v>158.76121350282466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10.075884602426157</v>
      </c>
      <c r="D16" s="64">
        <f>D12*D13*D15</f>
        <v>29.546942259451793</v>
      </c>
      <c r="E16" s="64">
        <f>E12*E13*E15</f>
        <v>37.251641681811925</v>
      </c>
      <c r="F16" s="64">
        <f>F12*F13*F15</f>
        <v>43.72619494117451</v>
      </c>
      <c r="G16" s="64">
        <f>G12*G13*G15</f>
        <v>49.06880350668605</v>
      </c>
      <c r="H16" s="64">
        <f>H12*H13*H15</f>
        <v>53.37510140749639</v>
      </c>
      <c r="I16" s="64">
        <f>I12*I13*I15</f>
        <v>56.73771725929702</v>
      </c>
      <c r="J16" s="64">
        <f>J12*J13*J15</f>
        <v>59.24589593942006</v>
      </c>
      <c r="K16" s="64">
        <f>K12*K13*K15</f>
        <v>60.98517885766616</v>
      </c>
      <c r="L16" s="64">
        <f>L12*L13*L15</f>
        <v>62.0371412147168</v>
      </c>
    </row>
    <row r="19">
      <c r="A19" s="14" t="inlineStr">
        <is>
          <t>PV of forecast free cash flow</t>
        </is>
      </c>
      <c r="B19" s="52">
        <f>SUM(C16:L16)</f>
        <v>462.0505016701469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162.73024384039525</v>
      </c>
    </row>
    <row r="21">
      <c r="A21" s="14" t="inlineStr">
        <is>
          <t>Terminal value</t>
        </is>
      </c>
      <c r="B21" s="52">
        <f>B20/(Assumptions!$E$10-Assumptions!$E$11)</f>
        <v>1914.4734569458267</v>
      </c>
    </row>
    <row r="22">
      <c r="A22" s="14" t="inlineStr">
        <is>
          <t>PV of terminal value</t>
        </is>
      </c>
      <c r="B22" s="52">
        <f>B21/(1+Assumptions!$E$10)^(L14+0.5)</f>
        <v>710.0602921531145</v>
      </c>
    </row>
    <row r="23">
      <c r="A23" s="20" t="inlineStr">
        <is>
          <t>Enterprise value</t>
        </is>
      </c>
      <c r="B23" s="66">
        <f>B19+B22</f>
        <v>1172.1107938232612</v>
      </c>
    </row>
    <row r="24">
      <c r="A24" s="14" t="inlineStr">
        <is>
          <t>Cash &amp; investments</t>
        </is>
      </c>
      <c r="B24" s="55">
        <f>Main!C7</f>
        <v>251.031</v>
      </c>
    </row>
    <row r="25">
      <c r="A25" s="14" t="inlineStr">
        <is>
          <t>Debt</t>
        </is>
      </c>
      <c r="B25" s="55">
        <f>Main!C8</f>
        <v>363.124</v>
      </c>
    </row>
    <row r="26">
      <c r="A26" s="20" t="inlineStr">
        <is>
          <t>Equity value</t>
        </is>
      </c>
      <c r="B26" s="66">
        <f>B23+B24-B25</f>
        <v>1060.0177938232612</v>
      </c>
    </row>
    <row r="27">
      <c r="A27" s="14" t="inlineStr">
        <is>
          <t>Shares (mm)</t>
        </is>
      </c>
      <c r="B27" s="55">
        <f>Main!C4</f>
        <v>39.861886</v>
      </c>
    </row>
    <row r="28">
      <c r="A28" s="20" t="inlineStr">
        <is>
          <t>NPV / share</t>
        </is>
      </c>
      <c r="B28" s="49">
        <f>B26/B27</f>
        <v>26.59226394414106</v>
      </c>
    </row>
    <row r="29">
      <c r="A29" s="14" t="inlineStr">
        <is>
          <t>Price</t>
        </is>
      </c>
      <c r="B29" s="50">
        <f>Main!C3</f>
        <v>36.38</v>
      </c>
    </row>
    <row r="30">
      <c r="A30" s="14" t="inlineStr">
        <is>
          <t>Upside</t>
        </is>
      </c>
      <c r="B30" s="63">
        <f>B28/B29-1</f>
        <v>-0.26904167278336844</v>
      </c>
    </row>
    <row r="31">
      <c r="A31" s="14" t="inlineStr">
        <is>
          <t>Terminal value, % of EV</t>
        </is>
      </c>
      <c r="B31" s="63">
        <f>IFERROR(B22/B23,0)</f>
        <v>0.605796223270837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2026-10-21T06:23:16Z</dcterms:modified>
  <cp:lastModifiedBy>Wang, Eric</cp:lastModifiedBy>
</cp:coreProperties>
</file>