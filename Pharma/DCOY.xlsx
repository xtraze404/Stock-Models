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Decoy Therapeutics Inc</t>
        </is>
      </c>
      <c r="C2" s="10" t="n"/>
    </row>
    <row r="3">
      <c r="B3" t="inlineStr">
        <is>
          <t>Price</t>
        </is>
      </c>
      <c r="C3" s="11">
        <f>INDEX([1]Pharma!$F$1:$F$1000,MATCH("DCOY",[1]Pharma!$B$1:$B$1000,0))</f>
        <v>1.135</v>
      </c>
      <c r="F3" s="1" t="n"/>
    </row>
    <row r="4">
      <c r="B4" t="inlineStr">
        <is>
          <t>Shares</t>
        </is>
      </c>
      <c r="C4" s="21" t="n">
        <v>0.655185</v>
      </c>
      <c r="F4" s="1" t="n"/>
    </row>
    <row r="5">
      <c r="B5" t="inlineStr">
        <is>
          <t>Market Cap.</t>
        </is>
      </c>
      <c r="C5" s="13">
        <f>C3*C4</f>
        <v>0.743634975</v>
      </c>
      <c r="F5" s="1" t="n"/>
    </row>
    <row r="6"/>
    <row r="7">
      <c r="B7" t="inlineStr">
        <is>
          <t>Cash</t>
        </is>
      </c>
      <c r="C7" s="21" t="n">
        <v>8.289108000000001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-7.545473025000001</v>
      </c>
    </row>
    <row r="10"/>
    <row r="11">
      <c r="B11" s="14" t="inlineStr">
        <is>
          <t>Net Cash / Share</t>
        </is>
      </c>
      <c r="C11" s="11">
        <f>(C7-C8)/C4</f>
        <v>12.651553378053528</v>
      </c>
    </row>
    <row r="12">
      <c r="B12" s="14" t="inlineStr">
        <is>
          <t>Upside</t>
        </is>
      </c>
      <c r="C12" s="15">
        <f>IFERROR(C11/C3-1,"")</f>
        <v>10.146743064364342</v>
      </c>
    </row>
    <row r="13">
      <c r="B13" s="14" t="inlineStr">
        <is>
          <t>Cash / Share</t>
        </is>
      </c>
      <c r="C13" s="11">
        <f>IFERROR((C7-C8)/C4,"")</f>
        <v>12.651553378053528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-8.324999999999999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0.9956886486486488</v>
      </c>
    </row>
    <row r="19">
      <c r="B19" s="14" t="inlineStr">
        <is>
          <t>Implied Pipeline Value</t>
        </is>
      </c>
      <c r="C19" s="13">
        <f>C9</f>
        <v>-7.545473025000001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1.011</v>
      </c>
      <c r="D2" s="23" t="n">
        <v>1.274</v>
      </c>
      <c r="E2" s="23" t="n">
        <v>1.951</v>
      </c>
      <c r="F2" s="23" t="n">
        <v>3.465</v>
      </c>
      <c r="G2" s="23" t="n">
        <v>5.233</v>
      </c>
      <c r="H2" s="23" t="n">
        <v>1.84</v>
      </c>
      <c r="I2" s="23" t="n">
        <v>0</v>
      </c>
      <c r="J2" s="23" t="n">
        <v>0</v>
      </c>
      <c r="K2" s="23" t="n">
        <v>0</v>
      </c>
      <c r="L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0.663</v>
      </c>
      <c r="D3" s="23" t="n">
        <v>0.507</v>
      </c>
      <c r="E3" s="23" t="n">
        <v>0.431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0.34799999999999986</v>
      </c>
      <c r="D4" s="23">
        <f>D2-D3</f>
        <v>0.767</v>
      </c>
      <c r="E4" s="23">
        <f>E2-E3</f>
        <v>1.52</v>
      </c>
      <c r="F4" s="23">
        <f>F2-F3</f>
        <v>3.465</v>
      </c>
      <c r="G4" s="23">
        <f>G2-G3</f>
        <v>5.233</v>
      </c>
      <c r="H4" s="23">
        <f>H2-H3</f>
        <v>1.84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</row>
    <row r="5">
      <c r="A5" s="2" t="inlineStr">
        <is>
          <t>Research &amp; Dev.</t>
        </is>
      </c>
      <c r="B5" s="23" t="n">
        <v>12.749</v>
      </c>
      <c r="C5" s="23" t="n">
        <v>20.378</v>
      </c>
      <c r="D5" s="23" t="n">
        <v>16.99</v>
      </c>
      <c r="E5" s="23" t="n">
        <v>1.288</v>
      </c>
      <c r="F5" s="23" t="n">
        <v>4.019</v>
      </c>
      <c r="G5" s="23" t="n">
        <v>6.914</v>
      </c>
      <c r="H5" s="23" t="n">
        <v>8.548999999999999</v>
      </c>
      <c r="I5" s="23" t="n">
        <v>15.837</v>
      </c>
      <c r="J5" s="23" t="n">
        <v>7.174</v>
      </c>
      <c r="K5" s="23" t="n">
        <v>0.77</v>
      </c>
      <c r="L5" s="23" t="n">
        <v>8.518000000000001</v>
      </c>
    </row>
    <row r="6">
      <c r="A6" s="19" t="inlineStr">
        <is>
          <t>SG&amp;A &amp; Other</t>
        </is>
      </c>
      <c r="B6" s="23" t="n">
        <v>16.464</v>
      </c>
      <c r="C6" s="23" t="n">
        <v>19.856</v>
      </c>
      <c r="D6" s="23" t="n">
        <v>18.504</v>
      </c>
      <c r="E6" s="23" t="n">
        <v>1.918</v>
      </c>
      <c r="F6" s="23" t="n">
        <v>7.711</v>
      </c>
      <c r="G6" s="23" t="n">
        <v>6.106</v>
      </c>
      <c r="H6" s="23" t="n">
        <v>6.105</v>
      </c>
      <c r="I6" s="23" t="n">
        <v>16.004</v>
      </c>
      <c r="J6" s="23" t="n">
        <v>5.721</v>
      </c>
      <c r="K6" s="23" t="n">
        <v>4.964</v>
      </c>
      <c r="L6" s="23" t="n">
        <v>4.096</v>
      </c>
    </row>
    <row r="7">
      <c r="A7" s="2" t="inlineStr">
        <is>
          <t>Operating Expense</t>
        </is>
      </c>
      <c r="B7" s="23">
        <f>SUM(B5:B6)</f>
        <v>29.213</v>
      </c>
      <c r="C7" s="23">
        <f>SUM(C5:C6)</f>
        <v>40.234</v>
      </c>
      <c r="D7" s="23">
        <f>SUM(D5:D6)</f>
        <v>35.494</v>
      </c>
      <c r="E7" s="23">
        <f>SUM(E5:E6)</f>
        <v>3.206</v>
      </c>
      <c r="F7" s="23">
        <f>SUM(F5:F6)</f>
        <v>11.73</v>
      </c>
      <c r="G7" s="23">
        <f>SUM(G5:G6)</f>
        <v>13.02</v>
      </c>
      <c r="H7" s="23">
        <f>SUM(H5:H6)</f>
        <v>14.654</v>
      </c>
      <c r="I7" s="23">
        <f>SUM(I5:I6)</f>
        <v>31.841</v>
      </c>
      <c r="J7" s="23">
        <f>SUM(J5:J6)</f>
        <v>12.895</v>
      </c>
      <c r="K7" s="23">
        <f>SUM(K5:K6)</f>
        <v>5.734</v>
      </c>
      <c r="L7" s="23">
        <f>SUM(L5:L6)</f>
        <v>12.614</v>
      </c>
    </row>
    <row r="8">
      <c r="A8" s="2" t="inlineStr">
        <is>
          <t>Operating Income</t>
        </is>
      </c>
      <c r="B8" s="23">
        <f>B4-B7</f>
        <v>-29.213</v>
      </c>
      <c r="C8" s="23">
        <f>C4-C7</f>
        <v>-39.886</v>
      </c>
      <c r="D8" s="23">
        <f>D4-D7</f>
        <v>-34.727</v>
      </c>
      <c r="E8" s="23">
        <f>E4-E7</f>
        <v>-1.686</v>
      </c>
      <c r="F8" s="23">
        <f>F4-F7</f>
        <v>-8.265</v>
      </c>
      <c r="G8" s="23">
        <f>G4-G7</f>
        <v>-7.787</v>
      </c>
      <c r="H8" s="23">
        <f>H4-H7</f>
        <v>-12.814</v>
      </c>
      <c r="I8" s="23">
        <f>I4-I7</f>
        <v>-31.841</v>
      </c>
      <c r="J8" s="23">
        <f>J4-J7</f>
        <v>-12.895</v>
      </c>
      <c r="K8" s="23">
        <f>K4-K7</f>
        <v>-5.734</v>
      </c>
      <c r="L8" s="23">
        <f>L4-L7</f>
        <v>-12.614</v>
      </c>
    </row>
    <row r="9">
      <c r="A9" s="19" t="inlineStr">
        <is>
          <t>Interest &amp; Other</t>
        </is>
      </c>
      <c r="B9" s="23" t="n">
        <v>0.07199999999999999</v>
      </c>
      <c r="C9" s="23" t="n">
        <v>0.393</v>
      </c>
      <c r="D9" s="23" t="n">
        <v>0.292</v>
      </c>
      <c r="E9" s="23" t="n">
        <v>0.015</v>
      </c>
      <c r="F9" s="23" t="n">
        <v>1.329</v>
      </c>
      <c r="G9" s="23" t="n">
        <v>0.434</v>
      </c>
      <c r="H9" s="23" t="n">
        <v>0.045</v>
      </c>
      <c r="I9" s="23" t="n">
        <v>0.233</v>
      </c>
      <c r="J9" s="23" t="n">
        <v>25.435</v>
      </c>
      <c r="K9" s="23" t="n">
        <v>11.314</v>
      </c>
      <c r="L9" s="23" t="n">
        <v>25.134</v>
      </c>
    </row>
    <row r="10">
      <c r="A10" s="2" t="inlineStr">
        <is>
          <t>Pretax</t>
        </is>
      </c>
      <c r="B10" s="23">
        <f>B8+B9</f>
        <v>-29.141000000000002</v>
      </c>
      <c r="C10" s="23">
        <f>C8+C9</f>
        <v>-39.493</v>
      </c>
      <c r="D10" s="23">
        <f>D8+D9</f>
        <v>-34.434999999999995</v>
      </c>
      <c r="E10" s="23">
        <f>E8+E9</f>
        <v>-1.671</v>
      </c>
      <c r="F10" s="23">
        <f>F8+F9</f>
        <v>-6.936000000000001</v>
      </c>
      <c r="G10" s="23">
        <f>G8+G9</f>
        <v>-7.353</v>
      </c>
      <c r="H10" s="23">
        <f>H8+H9</f>
        <v>-12.769</v>
      </c>
      <c r="I10" s="23">
        <f>I8+I9</f>
        <v>-31.608</v>
      </c>
      <c r="J10" s="23">
        <f>J8+J9</f>
        <v>12.54</v>
      </c>
      <c r="K10" s="23">
        <f>K8+K9</f>
        <v>5.58</v>
      </c>
      <c r="L10" s="23">
        <f>L8+L9</f>
        <v>12.52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</row>
    <row r="12">
      <c r="A12" s="2" t="inlineStr">
        <is>
          <t>Net Income</t>
        </is>
      </c>
      <c r="B12" s="23" t="n">
        <v>-29.142</v>
      </c>
      <c r="C12" s="23" t="n">
        <v>-39.493</v>
      </c>
      <c r="D12" s="23" t="n">
        <v>-34.434</v>
      </c>
      <c r="E12" s="23" t="n">
        <v>-1.67</v>
      </c>
      <c r="F12" s="23" t="n">
        <v>-6.936</v>
      </c>
      <c r="G12" s="23" t="n">
        <v>-7.352</v>
      </c>
      <c r="H12" s="23" t="n">
        <v>-12.768</v>
      </c>
      <c r="I12" s="23" t="n">
        <v>-31.608</v>
      </c>
      <c r="J12" s="23" t="n">
        <v>12.54</v>
      </c>
      <c r="K12" s="23" t="n">
        <v>5.58</v>
      </c>
      <c r="L12" s="23" t="n">
        <v>12.52</v>
      </c>
    </row>
    <row r="13">
      <c r="A13" s="2" t="inlineStr">
        <is>
          <t>Earnings per Share</t>
        </is>
      </c>
      <c r="B13" s="11">
        <f>IFERROR(B12/B14,0)</f>
        <v>-114.28235294117647</v>
      </c>
      <c r="C13" s="11">
        <f>IFERROR(C12/C14,0)</f>
        <v>-133.87457627118644</v>
      </c>
      <c r="D13" s="11">
        <f>IFERROR(D12/D14,0)</f>
        <v>-109.66242038216559</v>
      </c>
      <c r="E13" s="11">
        <f>IFERROR(E12/E14,0)</f>
        <v>-5.422077922077922</v>
      </c>
      <c r="F13" s="11">
        <f>IFERROR(F12/F14,0)</f>
        <v>-10.605504587155963</v>
      </c>
      <c r="G13" s="11">
        <f>IFERROR(G12/G14,0)</f>
        <v>-2.3594351732991012</v>
      </c>
      <c r="H13" s="11">
        <f>IFERROR(H12/H14,0)</f>
        <v>-38.57401812688822</v>
      </c>
      <c r="I13" s="11">
        <f>IFERROR(I12/I14,0)</f>
        <v>-74.37176470588236</v>
      </c>
      <c r="J13" s="11">
        <f>IFERROR(J12/J14,0)</f>
        <v>152.92682926829266</v>
      </c>
      <c r="K13" s="11">
        <f>IFERROR(K12/K14,0)</f>
        <v>69.75</v>
      </c>
      <c r="L13" s="11">
        <f>IFERROR(L12/L14,0)</f>
        <v>129.0721649484536</v>
      </c>
    </row>
    <row r="14">
      <c r="A14" s="2" t="inlineStr">
        <is>
          <t>Shares</t>
        </is>
      </c>
      <c r="B14" s="23" t="n">
        <v>0.255</v>
      </c>
      <c r="C14" s="23" t="n">
        <v>0.295</v>
      </c>
      <c r="D14" s="23" t="n">
        <v>0.314</v>
      </c>
      <c r="E14" s="23" t="n">
        <v>0.308</v>
      </c>
      <c r="F14" s="23" t="n">
        <v>0.654</v>
      </c>
      <c r="G14" s="23" t="n">
        <v>3.116</v>
      </c>
      <c r="H14" s="23" t="n">
        <v>0.331</v>
      </c>
      <c r="I14" s="23" t="n">
        <v>0.425</v>
      </c>
      <c r="J14" s="23" t="n">
        <v>0.082</v>
      </c>
      <c r="K14" s="23" t="n">
        <v>0.08</v>
      </c>
      <c r="L14" s="23" t="n">
        <v>0.097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0.2601384767556876</v>
      </c>
      <c r="E16" s="15">
        <f>IFERROR(E2/D2-1,"")</f>
        <v>0.5313971742543171</v>
      </c>
      <c r="F16" s="15">
        <f>IFERROR(F2/E2-1,"")</f>
        <v>0.7760123013839055</v>
      </c>
      <c r="G16" s="15">
        <f>IFERROR(G2/F2-1,"")</f>
        <v>0.5102453102453102</v>
      </c>
      <c r="H16" s="15">
        <f>IFERROR(H2/G2-1,"")</f>
        <v>-0.6483852474679915</v>
      </c>
      <c r="I16" s="15">
        <f>IFERROR(I2/H2-1,"")</f>
        <v>-1.0</v>
      </c>
      <c r="J16" s="15">
        <f>IFERROR(J2/I2-1,"")</f>
        <v/>
      </c>
      <c r="K16" s="15">
        <f>IFERROR(K2/J2-1,"")</f>
        <v/>
      </c>
      <c r="L16" s="15">
        <f>IFERROR(L2/K2-1,"")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0.34421364985163194</v>
      </c>
      <c r="D17" s="15">
        <f>IFERROR(D4/D2,"")</f>
        <v>0.6020408163265306</v>
      </c>
      <c r="E17" s="15">
        <f>IFERROR(E4/E2,"")</f>
        <v>0.779087647360328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-39.45202769535114</v>
      </c>
      <c r="D18" s="15">
        <f>IFERROR(D8/D2,"")</f>
        <v>-27.258241758241756</v>
      </c>
      <c r="E18" s="15">
        <f>IFERROR(E8/E2,"")</f>
        <v>-0.8641722193746796</v>
      </c>
      <c r="F18" s="15">
        <f>IFERROR(F8/F2,"")</f>
        <v>-2.3852813852813854</v>
      </c>
      <c r="G18" s="15">
        <f>IFERROR(G8/G2,"")</f>
        <v>-1.488056564112364</v>
      </c>
      <c r="H18" s="15">
        <f>IFERROR(H8/H2,"")</f>
        <v>-6.964130434782608</v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2026-10-21T06:31:50Z</dcterms:modified>
  <cp:lastModifiedBy>Wang, Eric</cp:lastModifiedBy>
</cp:coreProperties>
</file>