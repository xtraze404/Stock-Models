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Traws Pharma Inc</t>
        </is>
      </c>
      <c r="C2" s="10" t="n"/>
    </row>
    <row r="3">
      <c r="B3" t="inlineStr">
        <is>
          <t>Price</t>
        </is>
      </c>
      <c r="C3" s="11">
        <f>INDEX([1]Pharma!$F$1:$F$1000,MATCH("TRAW",[1]Pharma!$B$1:$B$1000,0))</f>
        <v>0.3767</v>
      </c>
      <c r="F3" s="1" t="n"/>
    </row>
    <row r="4">
      <c r="B4" t="inlineStr">
        <is>
          <t>Shares</t>
        </is>
      </c>
      <c r="C4" s="21" t="n">
        <v>15.368277</v>
      </c>
      <c r="F4" s="1" t="n"/>
    </row>
    <row r="5">
      <c r="B5" t="inlineStr">
        <is>
          <t>Market Cap.</t>
        </is>
      </c>
      <c r="C5" s="13">
        <f>C3*C4</f>
        <v>5.7892299459</v>
      </c>
      <c r="F5" s="1" t="n"/>
    </row>
    <row r="6"/>
    <row r="7">
      <c r="B7" t="inlineStr">
        <is>
          <t>Cash</t>
        </is>
      </c>
      <c r="C7" s="21" t="n">
        <v>5.016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0.7732299458999998</v>
      </c>
    </row>
    <row r="10"/>
    <row r="11">
      <c r="B11" s="14" t="inlineStr">
        <is>
          <t>Net Cash / Share</t>
        </is>
      </c>
      <c r="C11" s="11">
        <f>(C7-C8)/C4</f>
        <v>0.3263866209595259</v>
      </c>
    </row>
    <row r="12">
      <c r="B12" s="14" t="inlineStr">
        <is>
          <t>Upside</t>
        </is>
      </c>
      <c r="C12" s="15">
        <f>IFERROR(C11/C3-1,"")</f>
        <v>-0.1335635228045502</v>
      </c>
    </row>
    <row r="13">
      <c r="B13" s="14" t="inlineStr">
        <is>
          <t>Cash / Share</t>
        </is>
      </c>
      <c r="C13" s="11">
        <f>IFERROR((C7-C8)/C4,"")</f>
        <v>0.3263866209595259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-16.849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0.2977031277820642</v>
      </c>
    </row>
    <row r="19">
      <c r="B19" s="14" t="inlineStr">
        <is>
          <t>Implied Pipeline Value</t>
        </is>
      </c>
      <c r="C19" s="13">
        <f>C9</f>
        <v>0.7732299458999998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1.487</v>
      </c>
      <c r="C2" s="23" t="n">
        <v>46.19</v>
      </c>
      <c r="D2" s="23" t="n">
        <v>4.753</v>
      </c>
      <c r="E2" s="23" t="n">
        <v>0.8</v>
      </c>
      <c r="F2" s="23" t="n">
        <v>11.456</v>
      </c>
      <c r="G2" s="23" t="n">
        <v>5.546</v>
      </c>
      <c r="H2" s="23" t="n">
        <v>0.787</v>
      </c>
      <c r="I2" s="23" t="n">
        <v>1.228</v>
      </c>
      <c r="J2" s="23" t="n">
        <v>2.183</v>
      </c>
      <c r="K2" s="23" t="n">
        <v>0.231</v>
      </c>
      <c r="L2" s="23" t="n">
        <v>0.226</v>
      </c>
      <c r="M2" s="23" t="n">
        <v>0.226</v>
      </c>
      <c r="N2" s="23" t="n">
        <v>0.226</v>
      </c>
      <c r="O2" s="23" t="n">
        <v>0.226</v>
      </c>
      <c r="P2" s="23" t="n">
        <v>2.79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1.487</v>
      </c>
      <c r="C4" s="23">
        <f>C2-C3</f>
        <v>46.19</v>
      </c>
      <c r="D4" s="23">
        <f>D2-D3</f>
        <v>4.753</v>
      </c>
      <c r="E4" s="23">
        <f>E2-E3</f>
        <v>0.8</v>
      </c>
      <c r="F4" s="23">
        <f>F2-F3</f>
        <v>11.456</v>
      </c>
      <c r="G4" s="23">
        <f>G2-G3</f>
        <v>5.546</v>
      </c>
      <c r="H4" s="23">
        <f>H2-H3</f>
        <v>0.787</v>
      </c>
      <c r="I4" s="23">
        <f>I2-I3</f>
        <v>1.228</v>
      </c>
      <c r="J4" s="23">
        <f>J2-J3</f>
        <v>2.183</v>
      </c>
      <c r="K4" s="23">
        <f>K2-K3</f>
        <v>0.231</v>
      </c>
      <c r="L4" s="23">
        <f>L2-L3</f>
        <v>0.226</v>
      </c>
      <c r="M4" s="23">
        <f>M2-M3</f>
        <v>0.226</v>
      </c>
      <c r="N4" s="23">
        <f>N2-N3</f>
        <v>0.226</v>
      </c>
      <c r="O4" s="23">
        <f>O2-O3</f>
        <v>0.226</v>
      </c>
      <c r="P4" s="23">
        <f>P2-P3</f>
        <v>2.79</v>
      </c>
    </row>
    <row r="5">
      <c r="A5" s="2" t="inlineStr">
        <is>
          <t>Research &amp; Dev.</t>
        </is>
      </c>
      <c r="B5" s="23" t="n">
        <v>22.624</v>
      </c>
      <c r="C5" s="23" t="n">
        <v>52.762</v>
      </c>
      <c r="D5" s="23" t="n">
        <v>50.182</v>
      </c>
      <c r="E5" s="23" t="n">
        <v>49.425</v>
      </c>
      <c r="F5" s="23" t="n">
        <v>25.895</v>
      </c>
      <c r="G5" s="23" t="n">
        <v>20.071</v>
      </c>
      <c r="H5" s="23" t="n">
        <v>19.119</v>
      </c>
      <c r="I5" s="23" t="n">
        <v>16.924</v>
      </c>
      <c r="J5" s="23" t="n">
        <v>15.537</v>
      </c>
      <c r="K5" s="23" t="n">
        <v>16.898</v>
      </c>
      <c r="L5" s="23" t="n">
        <v>7.297</v>
      </c>
      <c r="M5" s="23" t="n">
        <v>11.406</v>
      </c>
      <c r="N5" s="23" t="n">
        <v>11.43</v>
      </c>
      <c r="O5" s="23" t="n">
        <v>12.847</v>
      </c>
      <c r="P5" s="23" t="n">
        <v>12.143</v>
      </c>
    </row>
    <row r="6">
      <c r="A6" s="19" t="inlineStr">
        <is>
          <t>SG&amp;A &amp; Other</t>
        </is>
      </c>
      <c r="B6" s="23" t="n">
        <v>6.436</v>
      </c>
      <c r="C6" s="23" t="n">
        <v>15.707</v>
      </c>
      <c r="D6" s="23" t="n">
        <v>16.793</v>
      </c>
      <c r="E6" s="23" t="n">
        <v>15.119</v>
      </c>
      <c r="F6" s="23" t="n">
        <v>9.532999999999999</v>
      </c>
      <c r="G6" s="23" t="n">
        <v>9.178000000000001</v>
      </c>
      <c r="H6" s="23" t="n">
        <v>7.405</v>
      </c>
      <c r="I6" s="23" t="n">
        <v>7.586</v>
      </c>
      <c r="J6" s="23" t="n">
        <v>8.345000000000001</v>
      </c>
      <c r="K6" s="23" t="n">
        <v>8.326000000000001</v>
      </c>
      <c r="L6" s="23" t="n">
        <v>9.425000000000001</v>
      </c>
      <c r="M6" s="23" t="n">
        <v>8.446999999999999</v>
      </c>
      <c r="N6" s="23" t="n">
        <v>9.093999999999999</v>
      </c>
      <c r="O6" s="23" t="n">
        <v>129.753</v>
      </c>
      <c r="P6" s="23" t="n">
        <v>8.522</v>
      </c>
    </row>
    <row r="7">
      <c r="A7" s="2" t="inlineStr">
        <is>
          <t>Operating Expense</t>
        </is>
      </c>
      <c r="B7" s="23">
        <f>SUM(B5:B6)</f>
        <v>29.06</v>
      </c>
      <c r="C7" s="23">
        <f>SUM(C5:C6)</f>
        <v>68.469</v>
      </c>
      <c r="D7" s="23">
        <f>SUM(D5:D6)</f>
        <v>66.975</v>
      </c>
      <c r="E7" s="23">
        <f>SUM(E5:E6)</f>
        <v>64.544</v>
      </c>
      <c r="F7" s="23">
        <f>SUM(F5:F6)</f>
        <v>35.428</v>
      </c>
      <c r="G7" s="23">
        <f>SUM(G5:G6)</f>
        <v>29.249000000000002</v>
      </c>
      <c r="H7" s="23">
        <f>SUM(H5:H6)</f>
        <v>26.524</v>
      </c>
      <c r="I7" s="23">
        <f>SUM(I5:I6)</f>
        <v>24.509999999999998</v>
      </c>
      <c r="J7" s="23">
        <f>SUM(J5:J6)</f>
        <v>23.882</v>
      </c>
      <c r="K7" s="23">
        <f>SUM(K5:K6)</f>
        <v>25.224</v>
      </c>
      <c r="L7" s="23">
        <f>SUM(L5:L6)</f>
        <v>16.722</v>
      </c>
      <c r="M7" s="23">
        <f>SUM(M5:M6)</f>
        <v>19.853</v>
      </c>
      <c r="N7" s="23">
        <f>SUM(N5:N6)</f>
        <v>20.524</v>
      </c>
      <c r="O7" s="23">
        <f>SUM(O5:O6)</f>
        <v>142.6</v>
      </c>
      <c r="P7" s="23">
        <f>SUM(P5:P6)</f>
        <v>20.665</v>
      </c>
    </row>
    <row r="8">
      <c r="A8" s="2" t="inlineStr">
        <is>
          <t>Operating Income</t>
        </is>
      </c>
      <c r="B8" s="23">
        <f>B4-B7</f>
        <v>-27.573</v>
      </c>
      <c r="C8" s="23">
        <f>C4-C7</f>
        <v>-22.278999999999996</v>
      </c>
      <c r="D8" s="23">
        <f>D4-D7</f>
        <v>-62.221999999999994</v>
      </c>
      <c r="E8" s="23">
        <f>E4-E7</f>
        <v>-63.744</v>
      </c>
      <c r="F8" s="23">
        <f>F4-F7</f>
        <v>-23.971999999999998</v>
      </c>
      <c r="G8" s="23">
        <f>G4-G7</f>
        <v>-23.703000000000003</v>
      </c>
      <c r="H8" s="23">
        <f>H4-H7</f>
        <v>-25.737000000000002</v>
      </c>
      <c r="I8" s="23">
        <f>I4-I7</f>
        <v>-23.281999999999996</v>
      </c>
      <c r="J8" s="23">
        <f>J4-J7</f>
        <v>-21.699</v>
      </c>
      <c r="K8" s="23">
        <f>K4-K7</f>
        <v>-24.993</v>
      </c>
      <c r="L8" s="23">
        <f>L4-L7</f>
        <v>-16.496000000000002</v>
      </c>
      <c r="M8" s="23">
        <f>M4-M7</f>
        <v>-19.627000000000002</v>
      </c>
      <c r="N8" s="23">
        <f>N4-N7</f>
        <v>-20.298000000000002</v>
      </c>
      <c r="O8" s="23">
        <f>O4-O7</f>
        <v>-142.374</v>
      </c>
      <c r="P8" s="23">
        <f>P4-P7</f>
        <v>-17.875</v>
      </c>
    </row>
    <row r="9">
      <c r="A9" s="19" t="inlineStr">
        <is>
          <t>Interest &amp; Other</t>
        </is>
      </c>
      <c r="B9" s="23" t="n">
        <v>1.279</v>
      </c>
      <c r="C9" s="23" t="n">
        <v>-7.633</v>
      </c>
      <c r="D9" s="23" t="n">
        <v>0.114</v>
      </c>
      <c r="E9" s="23" t="n">
        <v>0.081</v>
      </c>
      <c r="F9" s="23" t="n">
        <v>0.008999999999999999</v>
      </c>
      <c r="G9" s="23" t="n">
        <v>4.05</v>
      </c>
      <c r="H9" s="23" t="n">
        <v>1.658</v>
      </c>
      <c r="I9" s="23" t="n">
        <v>2.585</v>
      </c>
      <c r="J9" s="23" t="n">
        <v>0.206</v>
      </c>
      <c r="K9" s="23" t="n">
        <v>-0.16</v>
      </c>
      <c r="L9" s="23" t="n">
        <v>0.333</v>
      </c>
      <c r="M9" s="23" t="n">
        <v>0.663</v>
      </c>
      <c r="N9" s="23" t="n">
        <v>1.35</v>
      </c>
      <c r="O9" s="23" t="n">
        <v>-24.149</v>
      </c>
      <c r="P9" s="23" t="n">
        <v>27.045</v>
      </c>
    </row>
    <row r="10">
      <c r="A10" s="2" t="inlineStr">
        <is>
          <t>Pretax</t>
        </is>
      </c>
      <c r="B10" s="23">
        <f>B8+B9</f>
        <v>-26.294</v>
      </c>
      <c r="C10" s="23">
        <f>C8+C9</f>
        <v>-29.911999999999995</v>
      </c>
      <c r="D10" s="23">
        <f>D8+D9</f>
        <v>-62.108</v>
      </c>
      <c r="E10" s="23">
        <f>E8+E9</f>
        <v>-63.663</v>
      </c>
      <c r="F10" s="23">
        <f>F8+F9</f>
        <v>-23.962999999999997</v>
      </c>
      <c r="G10" s="23">
        <f>G8+G9</f>
        <v>-19.653000000000002</v>
      </c>
      <c r="H10" s="23">
        <f>H8+H9</f>
        <v>-24.079</v>
      </c>
      <c r="I10" s="23">
        <f>I8+I9</f>
        <v>-20.696999999999996</v>
      </c>
      <c r="J10" s="23">
        <f>J8+J9</f>
        <v>-21.493000000000002</v>
      </c>
      <c r="K10" s="23">
        <f>K8+K9</f>
        <v>-25.153</v>
      </c>
      <c r="L10" s="23">
        <f>L8+L9</f>
        <v>-16.163000000000004</v>
      </c>
      <c r="M10" s="23">
        <f>M8+M9</f>
        <v>-18.964000000000002</v>
      </c>
      <c r="N10" s="23">
        <f>N8+N9</f>
        <v>-18.948</v>
      </c>
      <c r="O10" s="23">
        <f>O8+O9</f>
        <v>-166.523</v>
      </c>
      <c r="P10" s="23">
        <f>P8+P9</f>
        <v>9.170000000000002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0.435</v>
      </c>
      <c r="E11" s="23" t="n">
        <v>0.019</v>
      </c>
      <c r="F11" s="23" t="n">
        <v>0.016</v>
      </c>
      <c r="G11" s="23" t="n">
        <v>0.014</v>
      </c>
      <c r="H11" s="23" t="n">
        <v>0.013</v>
      </c>
      <c r="I11" s="23" t="n">
        <v>-0.124</v>
      </c>
      <c r="J11" s="23" t="n">
        <v>0.01</v>
      </c>
      <c r="K11" s="23" t="n">
        <v>0.004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</row>
    <row r="12">
      <c r="A12" s="2" t="inlineStr">
        <is>
          <t>Net Income</t>
        </is>
      </c>
      <c r="B12" s="23" t="n">
        <v>-26.294</v>
      </c>
      <c r="C12" s="23" t="n">
        <v>-29.912</v>
      </c>
      <c r="D12" s="23" t="n">
        <v>-62.543</v>
      </c>
      <c r="E12" s="23" t="n">
        <v>-63.682</v>
      </c>
      <c r="F12" s="23" t="n">
        <v>-23.979</v>
      </c>
      <c r="G12" s="23" t="n">
        <v>-19.667</v>
      </c>
      <c r="H12" s="23" t="n">
        <v>-24.092</v>
      </c>
      <c r="I12" s="23" t="n">
        <v>-20.573</v>
      </c>
      <c r="J12" s="23" t="n">
        <v>-21.503</v>
      </c>
      <c r="K12" s="23" t="n">
        <v>-25.157</v>
      </c>
      <c r="L12" s="23" t="n">
        <v>-16.163</v>
      </c>
      <c r="M12" s="23" t="n">
        <v>-18.964</v>
      </c>
      <c r="N12" s="23" t="n">
        <v>-18.948</v>
      </c>
      <c r="O12" s="23" t="n">
        <v>-166.523</v>
      </c>
      <c r="P12" s="23" t="n">
        <v>9.17</v>
      </c>
    </row>
    <row r="13">
      <c r="A13" s="2" t="inlineStr">
        <is>
          <t>Earnings per Share</t>
        </is>
      </c>
      <c r="B13" s="11">
        <f>IFERROR(B12/B14,0)</f>
        <v>-43.96989966555184</v>
      </c>
      <c r="C13" s="11">
        <f>IFERROR(C12/C14,0)</f>
        <v>-48.40129449838187</v>
      </c>
      <c r="D13" s="11">
        <f>IFERROR(D12/D14,0)</f>
        <v>-21.086648685097774</v>
      </c>
      <c r="E13" s="11">
        <f>IFERROR(E12/E14,0)</f>
        <v>-10.503381164440047</v>
      </c>
      <c r="F13" s="11">
        <f>IFERROR(F12/F14,0)</f>
        <v>-37.643642072213495</v>
      </c>
      <c r="G13" s="11">
        <f>IFERROR(G12/G14,0)</f>
        <v>-15.873284907183212</v>
      </c>
      <c r="H13" s="11">
        <f>IFERROR(H12/H14,0)</f>
        <v>-143.4047619047619</v>
      </c>
      <c r="I13" s="11">
        <f>IFERROR(I12/I14,0)</f>
        <v>-124.68484848484849</v>
      </c>
      <c r="J13" s="11">
        <f>IFERROR(J12/J14,0)</f>
        <v>-37.396521739130435</v>
      </c>
      <c r="K13" s="11">
        <f>IFERROR(K12/K14,0)</f>
        <v>-54.2176724137931</v>
      </c>
      <c r="L13" s="11">
        <f>IFERROR(L12/L14,0)</f>
        <v>-24.01634472511144</v>
      </c>
      <c r="M13" s="11">
        <f>IFERROR(M12/M14,0)</f>
        <v>-22.684210526315788</v>
      </c>
      <c r="N13" s="11">
        <f>IFERROR(N12/N14,0)</f>
        <v>-22.557142857142857</v>
      </c>
      <c r="O13" s="11">
        <f>IFERROR(O12/O14,0)</f>
        <v>-107.2266580811333</v>
      </c>
      <c r="P13" s="11">
        <f>IFERROR(P12/P14,0)</f>
        <v>1.0947946513849094</v>
      </c>
    </row>
    <row r="14">
      <c r="A14" s="2" t="inlineStr">
        <is>
          <t>Shares</t>
        </is>
      </c>
      <c r="B14" s="23" t="n">
        <v>0.598</v>
      </c>
      <c r="C14" s="23" t="n">
        <v>0.618</v>
      </c>
      <c r="D14" s="23" t="n">
        <v>2.966</v>
      </c>
      <c r="E14" s="23" t="n">
        <v>6.063</v>
      </c>
      <c r="F14" s="23" t="n">
        <v>0.637</v>
      </c>
      <c r="G14" s="23" t="n">
        <v>1.239</v>
      </c>
      <c r="H14" s="23" t="n">
        <v>0.168</v>
      </c>
      <c r="I14" s="23" t="n">
        <v>0.165</v>
      </c>
      <c r="J14" s="23" t="n">
        <v>0.575</v>
      </c>
      <c r="K14" s="23" t="n">
        <v>0.464</v>
      </c>
      <c r="L14" s="23" t="n">
        <v>0.673</v>
      </c>
      <c r="M14" s="23" t="n">
        <v>0.836</v>
      </c>
      <c r="N14" s="23" t="n">
        <v>0.84</v>
      </c>
      <c r="O14" s="23" t="n">
        <v>1.553</v>
      </c>
      <c r="P14" s="23" t="n">
        <v>8.375999999999999</v>
      </c>
    </row>
    <row r="15"/>
    <row r="16" customFormat="1" s="4">
      <c r="A16" s="3" t="inlineStr">
        <is>
          <t>Revenue Change</t>
        </is>
      </c>
      <c r="C16" s="15">
        <f>IFERROR(C2/B2-1,"")</f>
        <v>30.062542030934765</v>
      </c>
      <c r="D16" s="15">
        <f>IFERROR(D2/C2-1,"")</f>
        <v>-0.8970989391643213</v>
      </c>
      <c r="E16" s="15">
        <f>IFERROR(E2/D2-1,"")</f>
        <v>-0.8316852514201557</v>
      </c>
      <c r="F16" s="15">
        <f>IFERROR(F2/E2-1,"")</f>
        <v>13.319999999999999</v>
      </c>
      <c r="G16" s="15">
        <f>IFERROR(G2/F2-1,"")</f>
        <v>-0.5158868715083799</v>
      </c>
      <c r="H16" s="15">
        <f>IFERROR(H2/G2-1,"")</f>
        <v>-0.8580959249909845</v>
      </c>
      <c r="I16" s="15">
        <f>IFERROR(I2/H2-1,"")</f>
        <v>0.5603557814485387</v>
      </c>
      <c r="J16" s="15">
        <f>IFERROR(J2/I2-1,"")</f>
        <v>0.7776872964169379</v>
      </c>
      <c r="K16" s="15">
        <f>IFERROR(K2/J2-1,"")</f>
        <v>-0.8941823179111315</v>
      </c>
      <c r="L16" s="15">
        <f>IFERROR(L2/K2-1,"")</f>
        <v>-0.02164502164502169</v>
      </c>
      <c r="M16" s="15">
        <f>IFERROR(M2/L2-1,"")</f>
        <v>0.0</v>
      </c>
      <c r="N16" s="15">
        <f>IFERROR(N2/M2-1,"")</f>
        <v>0.0</v>
      </c>
      <c r="O16" s="15">
        <f>IFERROR(O2/N2-1,"")</f>
        <v>0.0</v>
      </c>
      <c r="P16" s="15">
        <f>IFERROR(P2/O2-1,"")</f>
        <v>11.345132743362832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>-18.542703429724277</v>
      </c>
      <c r="C18" s="15">
        <f>IFERROR(C8/C2,"")</f>
        <v>-0.4823338384931803</v>
      </c>
      <c r="D18" s="15">
        <f>IFERROR(D8/D2,"")</f>
        <v>-13.09110035766884</v>
      </c>
      <c r="E18" s="15">
        <f>IFERROR(E8/E2,"")</f>
        <v>-79.67999999999999</v>
      </c>
      <c r="F18" s="15">
        <f>IFERROR(F8/F2,"")</f>
        <v>-2.092527932960894</v>
      </c>
      <c r="G18" s="15">
        <f>IFERROR(G8/G2,"")</f>
        <v>-4.273891092679409</v>
      </c>
      <c r="H18" s="15">
        <f>IFERROR(H8/H2,"")</f>
        <v>-32.70266836086404</v>
      </c>
      <c r="I18" s="15">
        <f>IFERROR(I8/I2,"")</f>
        <v>-18.959283387622147</v>
      </c>
      <c r="J18" s="15">
        <f>IFERROR(J8/J2,"")</f>
        <v>-9.939990838295925</v>
      </c>
      <c r="K18" s="15">
        <f>IFERROR(K8/K2,"")</f>
        <v>-108.19480519480518</v>
      </c>
      <c r="L18" s="15">
        <f>IFERROR(L8/L2,"")</f>
        <v>-72.99115044247789</v>
      </c>
      <c r="M18" s="15">
        <f>IFERROR(M8/M2,"")</f>
        <v>-86.84513274336284</v>
      </c>
      <c r="N18" s="15">
        <f>IFERROR(N8/N2,"")</f>
        <v>-89.8141592920354</v>
      </c>
      <c r="O18" s="15">
        <f>IFERROR(O8/O2,"")</f>
        <v>-629.9734513274336</v>
      </c>
      <c r="P18" s="15">
        <f>IFERROR(P8/P2,"")</f>
        <v>-6.406810035842294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2026-10-21T01:06:43Z</dcterms:modified>
  <cp:lastModifiedBy>Wang, Eric</cp:lastModifiedBy>
</cp:coreProperties>
</file>