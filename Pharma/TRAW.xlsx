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Traws Pharma Inc</t>
        </is>
      </c>
      <c r="C2" s="10" t="n"/>
    </row>
    <row r="3">
      <c r="B3" t="inlineStr">
        <is>
          <t>Price</t>
        </is>
      </c>
      <c r="C3" s="11">
        <f>INDEX([1]Pharma!$F$1:$F$1000,MATCH("TRAW",[1]Pharma!$B$1:$B$1000,0))</f>
        <v>0.3767</v>
      </c>
      <c r="F3" s="1" t="n"/>
    </row>
    <row r="4">
      <c r="B4" t="inlineStr">
        <is>
          <t>Shares</t>
        </is>
      </c>
      <c r="C4" s="21" t="n">
        <v>15.368277</v>
      </c>
      <c r="F4" s="1" t="n"/>
    </row>
    <row r="5">
      <c r="B5" t="inlineStr">
        <is>
          <t>Market Cap.</t>
        </is>
      </c>
      <c r="C5" s="13">
        <f>C3*C4</f>
        <v>5.7892299459</v>
      </c>
      <c r="F5" s="1" t="n"/>
    </row>
    <row r="6"/>
    <row r="7">
      <c r="B7" t="inlineStr">
        <is>
          <t>Cash</t>
        </is>
      </c>
      <c r="C7" s="21" t="n">
        <v>5.016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0.7732299458999998</v>
      </c>
    </row>
    <row r="10"/>
    <row r="11">
      <c r="B11" s="14" t="inlineStr">
        <is>
          <t>rNPV / Share</t>
        </is>
      </c>
      <c r="C11" s="11">
        <f>NPV!B27</f>
        <v>15.862929138858753</v>
      </c>
    </row>
    <row r="12">
      <c r="B12" s="14" t="inlineStr">
        <is>
          <t>Upside</t>
        </is>
      </c>
      <c r="C12" s="15">
        <f>IFERROR(C11/C3-1,"")</f>
        <v>41.11024459479361</v>
      </c>
    </row>
    <row r="13">
      <c r="B13" s="14" t="inlineStr">
        <is>
          <t>Cash / Share</t>
        </is>
      </c>
      <c r="C13" s="11">
        <f>IFERROR((C7-C8)/C4,"")</f>
        <v>0.3263866209595259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-16.849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0.2977031277820642</v>
      </c>
    </row>
    <row r="19">
      <c r="B19" s="14" t="inlineStr">
        <is>
          <t>Implied Pipeline Value</t>
        </is>
      </c>
      <c r="C19" s="13">
        <f>C9</f>
        <v>0.7732299458999998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1.487</v>
      </c>
      <c r="C2" s="23" t="n">
        <v>46.19</v>
      </c>
      <c r="D2" s="23" t="n">
        <v>4.753</v>
      </c>
      <c r="E2" s="23" t="n">
        <v>0.8</v>
      </c>
      <c r="F2" s="23" t="n">
        <v>11.456</v>
      </c>
      <c r="G2" s="23" t="n">
        <v>5.546</v>
      </c>
      <c r="H2" s="23" t="n">
        <v>0.787</v>
      </c>
      <c r="I2" s="23" t="n">
        <v>1.228</v>
      </c>
      <c r="J2" s="23" t="n">
        <v>2.183</v>
      </c>
      <c r="K2" s="23" t="n">
        <v>0.231</v>
      </c>
      <c r="L2" s="23" t="n">
        <v>0.226</v>
      </c>
      <c r="M2" s="23" t="n">
        <v>0.226</v>
      </c>
      <c r="N2" s="23" t="n">
        <v>0.226</v>
      </c>
      <c r="O2" s="23" t="n">
        <v>0.226</v>
      </c>
      <c r="P2" s="23" t="n">
        <v>2.79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</row>
    <row r="4" customFormat="1" s="1">
      <c r="A4" s="5" t="inlineStr">
        <is>
          <t>Gross Margin</t>
        </is>
      </c>
      <c r="B4" s="23">
        <f>B2-B3</f>
        <v>1.487</v>
      </c>
      <c r="C4" s="23">
        <f>C2-C3</f>
        <v>46.19</v>
      </c>
      <c r="D4" s="23">
        <f>D2-D3</f>
        <v>4.753</v>
      </c>
      <c r="E4" s="23">
        <f>E2-E3</f>
        <v>0.8</v>
      </c>
      <c r="F4" s="23">
        <f>F2-F3</f>
        <v>11.456</v>
      </c>
      <c r="G4" s="23">
        <f>G2-G3</f>
        <v>5.546</v>
      </c>
      <c r="H4" s="23">
        <f>H2-H3</f>
        <v>0.787</v>
      </c>
      <c r="I4" s="23">
        <f>I2-I3</f>
        <v>1.228</v>
      </c>
      <c r="J4" s="23">
        <f>J2-J3</f>
        <v>2.183</v>
      </c>
      <c r="K4" s="23">
        <f>K2-K3</f>
        <v>0.231</v>
      </c>
      <c r="L4" s="23">
        <f>L2-L3</f>
        <v>0.226</v>
      </c>
      <c r="M4" s="23">
        <f>M2-M3</f>
        <v>0.226</v>
      </c>
      <c r="N4" s="23">
        <f>N2-N3</f>
        <v>0.226</v>
      </c>
      <c r="O4" s="23">
        <f>O2-O3</f>
        <v>0.226</v>
      </c>
      <c r="P4" s="23">
        <f>P2-P3</f>
        <v>2.79</v>
      </c>
    </row>
    <row r="5">
      <c r="A5" s="2" t="inlineStr">
        <is>
          <t>Research &amp; Dev.</t>
        </is>
      </c>
      <c r="B5" s="23" t="n">
        <v>22.624</v>
      </c>
      <c r="C5" s="23" t="n">
        <v>52.762</v>
      </c>
      <c r="D5" s="23" t="n">
        <v>50.182</v>
      </c>
      <c r="E5" s="23" t="n">
        <v>49.425</v>
      </c>
      <c r="F5" s="23" t="n">
        <v>25.895</v>
      </c>
      <c r="G5" s="23" t="n">
        <v>20.071</v>
      </c>
      <c r="H5" s="23" t="n">
        <v>19.119</v>
      </c>
      <c r="I5" s="23" t="n">
        <v>16.924</v>
      </c>
      <c r="J5" s="23" t="n">
        <v>15.537</v>
      </c>
      <c r="K5" s="23" t="n">
        <v>16.898</v>
      </c>
      <c r="L5" s="23" t="n">
        <v>7.297</v>
      </c>
      <c r="M5" s="23" t="n">
        <v>11.406</v>
      </c>
      <c r="N5" s="23" t="n">
        <v>11.43</v>
      </c>
      <c r="O5" s="23" t="n">
        <v>12.847</v>
      </c>
      <c r="P5" s="23" t="n">
        <v>12.143</v>
      </c>
    </row>
    <row r="6">
      <c r="A6" s="19" t="inlineStr">
        <is>
          <t>SG&amp;A &amp; Other</t>
        </is>
      </c>
      <c r="B6" s="23" t="n">
        <v>6.436</v>
      </c>
      <c r="C6" s="23" t="n">
        <v>15.707</v>
      </c>
      <c r="D6" s="23" t="n">
        <v>16.793</v>
      </c>
      <c r="E6" s="23" t="n">
        <v>15.119</v>
      </c>
      <c r="F6" s="23" t="n">
        <v>9.532999999999999</v>
      </c>
      <c r="G6" s="23" t="n">
        <v>9.178000000000001</v>
      </c>
      <c r="H6" s="23" t="n">
        <v>7.405</v>
      </c>
      <c r="I6" s="23" t="n">
        <v>7.586</v>
      </c>
      <c r="J6" s="23" t="n">
        <v>8.345000000000001</v>
      </c>
      <c r="K6" s="23" t="n">
        <v>8.326000000000001</v>
      </c>
      <c r="L6" s="23" t="n">
        <v>9.425000000000001</v>
      </c>
      <c r="M6" s="23" t="n">
        <v>8.446999999999999</v>
      </c>
      <c r="N6" s="23" t="n">
        <v>9.093999999999999</v>
      </c>
      <c r="O6" s="23" t="n">
        <v>129.753</v>
      </c>
      <c r="P6" s="23" t="n">
        <v>8.522</v>
      </c>
    </row>
    <row r="7">
      <c r="A7" s="2" t="inlineStr">
        <is>
          <t>Operating Expense</t>
        </is>
      </c>
      <c r="B7" s="23">
        <f>SUM(B5:B6)</f>
        <v>29.06</v>
      </c>
      <c r="C7" s="23">
        <f>SUM(C5:C6)</f>
        <v>68.469</v>
      </c>
      <c r="D7" s="23">
        <f>SUM(D5:D6)</f>
        <v>66.975</v>
      </c>
      <c r="E7" s="23">
        <f>SUM(E5:E6)</f>
        <v>64.544</v>
      </c>
      <c r="F7" s="23">
        <f>SUM(F5:F6)</f>
        <v>35.428</v>
      </c>
      <c r="G7" s="23">
        <f>SUM(G5:G6)</f>
        <v>29.249000000000002</v>
      </c>
      <c r="H7" s="23">
        <f>SUM(H5:H6)</f>
        <v>26.524</v>
      </c>
      <c r="I7" s="23">
        <f>SUM(I5:I6)</f>
        <v>24.509999999999998</v>
      </c>
      <c r="J7" s="23">
        <f>SUM(J5:J6)</f>
        <v>23.882</v>
      </c>
      <c r="K7" s="23">
        <f>SUM(K5:K6)</f>
        <v>25.224</v>
      </c>
      <c r="L7" s="23">
        <f>SUM(L5:L6)</f>
        <v>16.722</v>
      </c>
      <c r="M7" s="23">
        <f>SUM(M5:M6)</f>
        <v>19.853</v>
      </c>
      <c r="N7" s="23">
        <f>SUM(N5:N6)</f>
        <v>20.524</v>
      </c>
      <c r="O7" s="23">
        <f>SUM(O5:O6)</f>
        <v>142.6</v>
      </c>
      <c r="P7" s="23">
        <f>SUM(P5:P6)</f>
        <v>20.665</v>
      </c>
    </row>
    <row r="8">
      <c r="A8" s="2" t="inlineStr">
        <is>
          <t>Operating Income</t>
        </is>
      </c>
      <c r="B8" s="23">
        <f>B4-B7</f>
        <v>-27.573</v>
      </c>
      <c r="C8" s="23">
        <f>C4-C7</f>
        <v>-22.278999999999996</v>
      </c>
      <c r="D8" s="23">
        <f>D4-D7</f>
        <v>-62.221999999999994</v>
      </c>
      <c r="E8" s="23">
        <f>E4-E7</f>
        <v>-63.744</v>
      </c>
      <c r="F8" s="23">
        <f>F4-F7</f>
        <v>-23.971999999999998</v>
      </c>
      <c r="G8" s="23">
        <f>G4-G7</f>
        <v>-23.703000000000003</v>
      </c>
      <c r="H8" s="23">
        <f>H4-H7</f>
        <v>-25.737000000000002</v>
      </c>
      <c r="I8" s="23">
        <f>I4-I7</f>
        <v>-23.281999999999996</v>
      </c>
      <c r="J8" s="23">
        <f>J4-J7</f>
        <v>-21.699</v>
      </c>
      <c r="K8" s="23">
        <f>K4-K7</f>
        <v>-24.993</v>
      </c>
      <c r="L8" s="23">
        <f>L4-L7</f>
        <v>-16.496000000000002</v>
      </c>
      <c r="M8" s="23">
        <f>M4-M7</f>
        <v>-19.627000000000002</v>
      </c>
      <c r="N8" s="23">
        <f>N4-N7</f>
        <v>-20.298000000000002</v>
      </c>
      <c r="O8" s="23">
        <f>O4-O7</f>
        <v>-142.374</v>
      </c>
      <c r="P8" s="23">
        <f>P4-P7</f>
        <v>-17.875</v>
      </c>
    </row>
    <row r="9">
      <c r="A9" s="19" t="inlineStr">
        <is>
          <t>Interest &amp; Other</t>
        </is>
      </c>
      <c r="B9" s="23" t="n">
        <v>1.279</v>
      </c>
      <c r="C9" s="23" t="n">
        <v>-7.633</v>
      </c>
      <c r="D9" s="23" t="n">
        <v>0.114</v>
      </c>
      <c r="E9" s="23" t="n">
        <v>0.081</v>
      </c>
      <c r="F9" s="23" t="n">
        <v>0.008999999999999999</v>
      </c>
      <c r="G9" s="23" t="n">
        <v>4.05</v>
      </c>
      <c r="H9" s="23" t="n">
        <v>1.658</v>
      </c>
      <c r="I9" s="23" t="n">
        <v>2.585</v>
      </c>
      <c r="J9" s="23" t="n">
        <v>0.206</v>
      </c>
      <c r="K9" s="23" t="n">
        <v>-0.16</v>
      </c>
      <c r="L9" s="23" t="n">
        <v>0.333</v>
      </c>
      <c r="M9" s="23" t="n">
        <v>0.663</v>
      </c>
      <c r="N9" s="23" t="n">
        <v>1.35</v>
      </c>
      <c r="O9" s="23" t="n">
        <v>-24.149</v>
      </c>
      <c r="P9" s="23" t="n">
        <v>27.045</v>
      </c>
    </row>
    <row r="10">
      <c r="A10" s="2" t="inlineStr">
        <is>
          <t>Pretax</t>
        </is>
      </c>
      <c r="B10" s="23">
        <f>B8+B9</f>
        <v>-26.294</v>
      </c>
      <c r="C10" s="23">
        <f>C8+C9</f>
        <v>-29.911999999999995</v>
      </c>
      <c r="D10" s="23">
        <f>D8+D9</f>
        <v>-62.108</v>
      </c>
      <c r="E10" s="23">
        <f>E8+E9</f>
        <v>-63.663</v>
      </c>
      <c r="F10" s="23">
        <f>F8+F9</f>
        <v>-23.962999999999997</v>
      </c>
      <c r="G10" s="23">
        <f>G8+G9</f>
        <v>-19.653000000000002</v>
      </c>
      <c r="H10" s="23">
        <f>H8+H9</f>
        <v>-24.079</v>
      </c>
      <c r="I10" s="23">
        <f>I8+I9</f>
        <v>-20.696999999999996</v>
      </c>
      <c r="J10" s="23">
        <f>J8+J9</f>
        <v>-21.493000000000002</v>
      </c>
      <c r="K10" s="23">
        <f>K8+K9</f>
        <v>-25.153</v>
      </c>
      <c r="L10" s="23">
        <f>L8+L9</f>
        <v>-16.163000000000004</v>
      </c>
      <c r="M10" s="23">
        <f>M8+M9</f>
        <v>-18.964000000000002</v>
      </c>
      <c r="N10" s="23">
        <f>N8+N9</f>
        <v>-18.948</v>
      </c>
      <c r="O10" s="23">
        <f>O8+O9</f>
        <v>-166.523</v>
      </c>
      <c r="P10" s="23">
        <f>P8+P9</f>
        <v>9.170000000000002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0.435</v>
      </c>
      <c r="E11" s="23" t="n">
        <v>0.019</v>
      </c>
      <c r="F11" s="23" t="n">
        <v>0.016</v>
      </c>
      <c r="G11" s="23" t="n">
        <v>0.014</v>
      </c>
      <c r="H11" s="23" t="n">
        <v>0.013</v>
      </c>
      <c r="I11" s="23" t="n">
        <v>-0.124</v>
      </c>
      <c r="J11" s="23" t="n">
        <v>0.01</v>
      </c>
      <c r="K11" s="23" t="n">
        <v>0.004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</row>
    <row r="12">
      <c r="A12" s="2" t="inlineStr">
        <is>
          <t>Net Income</t>
        </is>
      </c>
      <c r="B12" s="23" t="n">
        <v>-26.294</v>
      </c>
      <c r="C12" s="23" t="n">
        <v>-29.912</v>
      </c>
      <c r="D12" s="23" t="n">
        <v>-62.543</v>
      </c>
      <c r="E12" s="23" t="n">
        <v>-63.682</v>
      </c>
      <c r="F12" s="23" t="n">
        <v>-23.979</v>
      </c>
      <c r="G12" s="23" t="n">
        <v>-19.667</v>
      </c>
      <c r="H12" s="23" t="n">
        <v>-24.092</v>
      </c>
      <c r="I12" s="23" t="n">
        <v>-20.573</v>
      </c>
      <c r="J12" s="23" t="n">
        <v>-21.503</v>
      </c>
      <c r="K12" s="23" t="n">
        <v>-25.157</v>
      </c>
      <c r="L12" s="23" t="n">
        <v>-16.163</v>
      </c>
      <c r="M12" s="23" t="n">
        <v>-18.964</v>
      </c>
      <c r="N12" s="23" t="n">
        <v>-18.948</v>
      </c>
      <c r="O12" s="23" t="n">
        <v>-166.523</v>
      </c>
      <c r="P12" s="23" t="n">
        <v>9.17</v>
      </c>
    </row>
    <row r="13">
      <c r="A13" s="2" t="inlineStr">
        <is>
          <t>Earnings per Share</t>
        </is>
      </c>
      <c r="B13" s="11">
        <f>IFERROR(B12/B14,0)</f>
        <v>-43.96989966555184</v>
      </c>
      <c r="C13" s="11">
        <f>IFERROR(C12/C14,0)</f>
        <v>-48.40129449838187</v>
      </c>
      <c r="D13" s="11">
        <f>IFERROR(D12/D14,0)</f>
        <v>-21.086648685097774</v>
      </c>
      <c r="E13" s="11">
        <f>IFERROR(E12/E14,0)</f>
        <v>-10.503381164440047</v>
      </c>
      <c r="F13" s="11">
        <f>IFERROR(F12/F14,0)</f>
        <v>-37.643642072213495</v>
      </c>
      <c r="G13" s="11">
        <f>IFERROR(G12/G14,0)</f>
        <v>-15.873284907183212</v>
      </c>
      <c r="H13" s="11">
        <f>IFERROR(H12/H14,0)</f>
        <v>-143.4047619047619</v>
      </c>
      <c r="I13" s="11">
        <f>IFERROR(I12/I14,0)</f>
        <v>-124.68484848484849</v>
      </c>
      <c r="J13" s="11">
        <f>IFERROR(J12/J14,0)</f>
        <v>-37.396521739130435</v>
      </c>
      <c r="K13" s="11">
        <f>IFERROR(K12/K14,0)</f>
        <v>-54.2176724137931</v>
      </c>
      <c r="L13" s="11">
        <f>IFERROR(L12/L14,0)</f>
        <v>-24.01634472511144</v>
      </c>
      <c r="M13" s="11">
        <f>IFERROR(M12/M14,0)</f>
        <v>-22.684210526315788</v>
      </c>
      <c r="N13" s="11">
        <f>IFERROR(N12/N14,0)</f>
        <v>-22.557142857142857</v>
      </c>
      <c r="O13" s="11">
        <f>IFERROR(O12/O14,0)</f>
        <v>-107.2266580811333</v>
      </c>
      <c r="P13" s="11">
        <f>IFERROR(P12/P14,0)</f>
        <v>1.0947946513849094</v>
      </c>
    </row>
    <row r="14">
      <c r="A14" s="2" t="inlineStr">
        <is>
          <t>Shares</t>
        </is>
      </c>
      <c r="B14" s="23" t="n">
        <v>0.598</v>
      </c>
      <c r="C14" s="23" t="n">
        <v>0.618</v>
      </c>
      <c r="D14" s="23" t="n">
        <v>2.966</v>
      </c>
      <c r="E14" s="23" t="n">
        <v>6.063</v>
      </c>
      <c r="F14" s="23" t="n">
        <v>0.637</v>
      </c>
      <c r="G14" s="23" t="n">
        <v>1.239</v>
      </c>
      <c r="H14" s="23" t="n">
        <v>0.168</v>
      </c>
      <c r="I14" s="23" t="n">
        <v>0.165</v>
      </c>
      <c r="J14" s="23" t="n">
        <v>0.575</v>
      </c>
      <c r="K14" s="23" t="n">
        <v>0.464</v>
      </c>
      <c r="L14" s="23" t="n">
        <v>0.673</v>
      </c>
      <c r="M14" s="23" t="n">
        <v>0.836</v>
      </c>
      <c r="N14" s="23" t="n">
        <v>0.84</v>
      </c>
      <c r="O14" s="23" t="n">
        <v>1.553</v>
      </c>
      <c r="P14" s="23" t="n">
        <v>8.375999999999999</v>
      </c>
    </row>
    <row r="15"/>
    <row r="16" customFormat="1" s="4">
      <c r="A16" s="3" t="inlineStr">
        <is>
          <t>Revenue Change</t>
        </is>
      </c>
      <c r="C16" s="15">
        <f>IFERROR(C2/B2-1,"")</f>
        <v>30.062542030934765</v>
      </c>
      <c r="D16" s="15">
        <f>IFERROR(D2/C2-1,"")</f>
        <v>-0.8970989391643213</v>
      </c>
      <c r="E16" s="15">
        <f>IFERROR(E2/D2-1,"")</f>
        <v>-0.8316852514201557</v>
      </c>
      <c r="F16" s="15">
        <f>IFERROR(F2/E2-1,"")</f>
        <v>13.319999999999999</v>
      </c>
      <c r="G16" s="15">
        <f>IFERROR(G2/F2-1,"")</f>
        <v>-0.5158868715083799</v>
      </c>
      <c r="H16" s="15">
        <f>IFERROR(H2/G2-1,"")</f>
        <v>-0.8580959249909845</v>
      </c>
      <c r="I16" s="15">
        <f>IFERROR(I2/H2-1,"")</f>
        <v>0.5603557814485387</v>
      </c>
      <c r="J16" s="15">
        <f>IFERROR(J2/I2-1,"")</f>
        <v>0.7776872964169379</v>
      </c>
      <c r="K16" s="15">
        <f>IFERROR(K2/J2-1,"")</f>
        <v>-0.8941823179111315</v>
      </c>
      <c r="L16" s="15">
        <f>IFERROR(L2/K2-1,"")</f>
        <v>-0.02164502164502169</v>
      </c>
      <c r="M16" s="15">
        <f>IFERROR(M2/L2-1,"")</f>
        <v>0.0</v>
      </c>
      <c r="N16" s="15">
        <f>IFERROR(N2/M2-1,"")</f>
        <v>0.0</v>
      </c>
      <c r="O16" s="15">
        <f>IFERROR(O2/N2-1,"")</f>
        <v>0.0</v>
      </c>
      <c r="P16" s="15">
        <f>IFERROR(P2/O2-1,"")</f>
        <v>11.345132743362832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</row>
    <row r="18">
      <c r="A18" s="14" t="inlineStr">
        <is>
          <t>Operating Margin</t>
        </is>
      </c>
      <c r="B18" s="15">
        <f>IFERROR(B8/B2,"")</f>
        <v>-18.542703429724277</v>
      </c>
      <c r="C18" s="15">
        <f>IFERROR(C8/C2,"")</f>
        <v>-0.4823338384931803</v>
      </c>
      <c r="D18" s="15">
        <f>IFERROR(D8/D2,"")</f>
        <v>-13.09110035766884</v>
      </c>
      <c r="E18" s="15">
        <f>IFERROR(E8/E2,"")</f>
        <v>-79.67999999999999</v>
      </c>
      <c r="F18" s="15">
        <f>IFERROR(F8/F2,"")</f>
        <v>-2.092527932960894</v>
      </c>
      <c r="G18" s="15">
        <f>IFERROR(G8/G2,"")</f>
        <v>-4.273891092679409</v>
      </c>
      <c r="H18" s="15">
        <f>IFERROR(H8/H2,"")</f>
        <v>-32.70266836086404</v>
      </c>
      <c r="I18" s="15">
        <f>IFERROR(I8/I2,"")</f>
        <v>-18.959283387622147</v>
      </c>
      <c r="J18" s="15">
        <f>IFERROR(J8/J2,"")</f>
        <v>-9.939990838295925</v>
      </c>
      <c r="K18" s="15">
        <f>IFERROR(K8/K2,"")</f>
        <v>-108.19480519480518</v>
      </c>
      <c r="L18" s="15">
        <f>IFERROR(L8/L2,"")</f>
        <v>-72.99115044247789</v>
      </c>
      <c r="M18" s="15">
        <f>IFERROR(M8/M2,"")</f>
        <v>-86.84513274336284</v>
      </c>
      <c r="N18" s="15">
        <f>IFERROR(N8/N2,"")</f>
        <v>-89.8141592920354</v>
      </c>
      <c r="O18" s="15">
        <f>IFERROR(O8/O2,"")</f>
        <v>-629.9734513274336</v>
      </c>
      <c r="P18" s="15">
        <f>IFERROR(P8/P2,"")</f>
        <v>-6.406810035842294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Traws Pharma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0.2864861799999999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21.544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538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238.7698890373528</v>
      </c>
      <c r="C29" s="42">
        <f>NPV!B25</f>
        <v>243.7858890373528</v>
      </c>
      <c r="D29" s="43">
        <f>NPV!B27</f>
        <v>15.862929138858753</v>
      </c>
      <c r="E29" s="44">
        <f>NPV!B29</f>
        <v>41.11024459479361</v>
      </c>
    </row>
    <row r="30">
      <c r="A30" s="45" t="n">
        <v>1</v>
      </c>
      <c r="B30" s="46">
        <f t="dataTable" ref="B30:E32" r1="B4"/>
        <v>64.52038619587512</v>
      </c>
      <c r="C30" s="46">
        <v>69.53638619587512</v>
      </c>
      <c r="D30" s="47">
        <v>4.524670279945834</v>
      </c>
      <c r="E30" s="48">
        <v>11.011336023216975</v>
      </c>
    </row>
    <row r="31">
      <c r="A31" s="45" t="n">
        <v>2</v>
      </c>
      <c r="B31" s="46">
        <v>238.7698890373528</v>
      </c>
      <c r="C31" s="46">
        <v>243.7858890373528</v>
      </c>
      <c r="D31" s="47">
        <v>15.862929138858753</v>
      </c>
      <c r="E31" s="48">
        <v>41.11024459479361</v>
      </c>
    </row>
    <row r="32">
      <c r="A32" s="45" t="n">
        <v>3</v>
      </c>
      <c r="B32" s="46">
        <v>509.09566069496725</v>
      </c>
      <c r="C32" s="46">
        <v>514.1116606949672</v>
      </c>
      <c r="D32" s="47">
        <v>33.45278463519152</v>
      </c>
      <c r="E32" s="48">
        <v>87.80484373557611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15.862929138858753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2.4474426645283214</v>
      </c>
      <c r="C37" s="47">
        <v>5.717725009146376</v>
      </c>
      <c r="D37" s="47">
        <v>8.685900956857255</v>
      </c>
      <c r="E37" s="47">
        <v>14.246788045271334</v>
      </c>
      <c r="F37" s="47">
        <v>19.653782319333892</v>
      </c>
    </row>
    <row r="38">
      <c r="A38" s="50" t="n">
        <v>0.8</v>
      </c>
      <c r="B38" s="47">
        <v>4.510945684955515</v>
      </c>
      <c r="C38" s="47">
        <v>8.581617757912056</v>
      </c>
      <c r="D38" s="47">
        <v>12.313848234232525</v>
      </c>
      <c r="E38" s="47">
        <v>19.55428299122348</v>
      </c>
      <c r="F38" s="47">
        <v>26.658818062293822</v>
      </c>
    </row>
    <row r="39">
      <c r="A39" s="50" t="n">
        <v>1</v>
      </c>
      <c r="B39" s="47">
        <v>6.555747156503081</v>
      </c>
      <c r="C39" s="47">
        <v>11.293929193314606</v>
      </c>
      <c r="D39" s="47">
        <v>15.862929138858753</v>
      </c>
      <c r="E39" s="47">
        <v>24.79160948898865</v>
      </c>
      <c r="F39" s="47">
        <v>33.59919145389537</v>
      </c>
    </row>
    <row r="40">
      <c r="A40" s="50" t="n">
        <v>1.2</v>
      </c>
      <c r="B40" s="47">
        <v>8.380755686329168</v>
      </c>
      <c r="C40" s="47">
        <v>13.952065846573632</v>
      </c>
      <c r="D40" s="47">
        <v>19.362635234274016</v>
      </c>
      <c r="E40" s="47">
        <v>29.999125216694363</v>
      </c>
      <c r="F40" s="47">
        <v>40.52239707676255</v>
      </c>
    </row>
    <row r="41">
      <c r="A41" s="50" t="n">
        <v>1.4</v>
      </c>
      <c r="B41" s="47">
        <v>10.167675159184217</v>
      </c>
      <c r="C41" s="47">
        <v>16.58144031070356</v>
      </c>
      <c r="D41" s="47">
        <v>22.835799331173135</v>
      </c>
      <c r="E41" s="47">
        <v>35.17084318605755</v>
      </c>
      <c r="F41" s="47">
        <v>47.41042374046503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Traws Pharma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Vaccines / respiratory viruses</t>
        </is>
      </c>
      <c r="C4" s="14" t="inlineStr">
        <is>
          <t>TRX-100, Influenza A/France/759/2021 (H1N1) virus</t>
        </is>
      </c>
      <c r="D4" s="14" t="inlineStr">
        <is>
          <t>Phase 2</t>
        </is>
      </c>
      <c r="E4" s="14" t="inlineStr">
        <is>
          <t>Infectious disease / area</t>
        </is>
      </c>
      <c r="F4" s="14" t="inlineStr">
        <is>
          <t>Owned</t>
        </is>
      </c>
      <c r="G4" s="40" t="n">
        <v>1000</v>
      </c>
      <c r="H4" s="27" t="n">
        <v>0.2283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259.35861380517326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22.830000000000002</v>
      </c>
      <c r="S4" s="23">
        <f>IF(S$3&lt;$I4,0,$G4*Assumptions!$E$11*INDEX(Assumptions!$B$24:$G$24,MIN(6,S$3-$I4+1))*IF(S$3&gt;$J4,(1-Assumptions!$B$26)^(S$3-$J4),1)*IF($H4&gt;=1,1,MIN(0.97,$H4*Assumptions!$E$12)))</f>
        <v>57.075</v>
      </c>
      <c r="T4" s="23">
        <f>IF(T$3&lt;$I4,0,$G4*Assumptions!$E$11*INDEX(Assumptions!$B$24:$G$24,MIN(6,T$3-$I4+1))*IF(T$3&gt;$J4,(1-Assumptions!$B$26)^(T$3-$J4),1)*IF($H4&gt;=1,1,MIN(0.97,$H4*Assumptions!$E$12)))</f>
        <v>102.735</v>
      </c>
      <c r="U4" s="23">
        <f>IF(U$3&lt;$I4,0,$G4*Assumptions!$E$11*INDEX(Assumptions!$B$24:$G$24,MIN(6,U$3-$I4+1))*IF(U$3&gt;$J4,(1-Assumptions!$B$26)^(U$3-$J4),1)*IF($H4&gt;=1,1,MIN(0.97,$H4*Assumptions!$E$12)))</f>
        <v>148.395</v>
      </c>
      <c r="V4" s="23">
        <f>IF(V$3&lt;$I4,0,$G4*Assumptions!$E$11*INDEX(Assumptions!$B$24:$G$24,MIN(6,V$3-$I4+1))*IF(V$3&gt;$J4,(1-Assumptions!$B$26)^(V$3-$J4),1)*IF($H4&gt;=1,1,MIN(0.97,$H4*Assumptions!$E$12)))</f>
        <v>194.055</v>
      </c>
      <c r="W4" s="23">
        <f>IF(W$3&lt;$I4,0,$G4*Assumptions!$E$11*INDEX(Assumptions!$B$24:$G$24,MIN(6,W$3-$I4+1))*IF(W$3&gt;$J4,(1-Assumptions!$B$26)^(W$3-$J4),1)*IF($H4&gt;=1,1,MIN(0.97,$H4*Assumptions!$E$12)))</f>
        <v>228.3</v>
      </c>
      <c r="X4" s="23">
        <f>IF(X$3&lt;$I4,0,$G4*Assumptions!$E$11*INDEX(Assumptions!$B$24:$G$24,MIN(6,X$3-$I4+1))*IF(X$3&gt;$J4,(1-Assumptions!$B$26)^(X$3-$J4),1)*IF($H4&gt;=1,1,MIN(0.97,$H4*Assumptions!$E$12)))</f>
        <v>228.3</v>
      </c>
      <c r="Y4" s="23">
        <f>IF(Y$3&lt;$I4,0,$G4*Assumptions!$E$11*INDEX(Assumptions!$B$24:$G$24,MIN(6,Y$3-$I4+1))*IF(Y$3&gt;$J4,(1-Assumptions!$B$26)^(Y$3-$J4),1)*IF($H4&gt;=1,1,MIN(0.97,$H4*Assumptions!$E$12)))</f>
        <v>228.3</v>
      </c>
      <c r="Z4" s="23">
        <f>IF(Z$3&lt;$I4,0,$G4*Assumptions!$E$11*INDEX(Assumptions!$B$24:$G$24,MIN(6,Z$3-$I4+1))*IF(Z$3&gt;$J4,(1-Assumptions!$B$26)^(Z$3-$J4),1)*IF($H4&gt;=1,1,MIN(0.97,$H4*Assumptions!$E$12)))</f>
        <v>228.3</v>
      </c>
      <c r="AA4" s="23">
        <f>IF(AA$3&lt;$I4,0,$G4*Assumptions!$E$11*INDEX(Assumptions!$B$24:$G$24,MIN(6,AA$3-$I4+1))*IF(AA$3&gt;$J4,(1-Assumptions!$B$26)^(AA$3-$J4),1)*IF($H4&gt;=1,1,MIN(0.97,$H4*Assumptions!$E$12)))</f>
        <v>228.3</v>
      </c>
      <c r="AB4" s="23">
        <f>IF(AB$3&lt;$I4,0,$G4*Assumptions!$E$11*INDEX(Assumptions!$B$24:$G$24,MIN(6,AB$3-$I4+1))*IF(AB$3&gt;$J4,(1-Assumptions!$B$26)^(AB$3-$J4),1)*IF($H4&gt;=1,1,MIN(0.97,$H4*Assumptions!$E$12)))</f>
        <v>228.3</v>
      </c>
      <c r="AC4" s="23">
        <f>IF(AC$3&lt;$I4,0,$G4*Assumptions!$E$11*INDEX(Assumptions!$B$24:$G$24,MIN(6,AC$3-$I4+1))*IF(AC$3&gt;$J4,(1-Assumptions!$B$26)^(AC$3-$J4),1)*IF($H4&gt;=1,1,MIN(0.97,$H4*Assumptions!$E$12)))</f>
        <v>228.3</v>
      </c>
      <c r="AD4" s="23">
        <f>IF(AD$3&lt;$I4,0,$G4*Assumptions!$E$11*INDEX(Assumptions!$B$24:$G$24,MIN(6,AD$3-$I4+1))*IF(AD$3&gt;$J4,(1-Assumptions!$B$26)^(AD$3-$J4),1)*IF($H4&gt;=1,1,MIN(0.97,$H4*Assumptions!$E$12)))</f>
        <v>228.3</v>
      </c>
      <c r="AE4" s="23">
        <f>IF(AE$3&lt;$I4,0,$G4*Assumptions!$E$11*INDEX(Assumptions!$B$24:$G$24,MIN(6,AE$3-$I4+1))*IF(AE$3&gt;$J4,(1-Assumptions!$B$26)^(AE$3-$J4),1)*IF($H4&gt;=1,1,MIN(0.97,$H4*Assumptions!$E$12)))</f>
        <v>114.15</v>
      </c>
      <c r="AF4" s="23">
        <f>IF(AF$3&lt;$I4,0,$G4*Assumptions!$E$11*INDEX(Assumptions!$B$24:$G$24,MIN(6,AF$3-$I4+1))*IF(AF$3&gt;$J4,(1-Assumptions!$B$26)^(AF$3-$J4),1)*IF($H4&gt;=1,1,MIN(0.97,$H4*Assumptions!$E$12)))</f>
        <v>57.075</v>
      </c>
      <c r="AG4" s="35">
        <f>IF(F4="Owned",1-IF(H4&gt;=1,1,MIN(0.97,H4*Assumptions!$E$12)),1)</f>
        <v>0.7717</v>
      </c>
    </row>
    <row r="5">
      <c r="A5" s="39" t="n">
        <v>2</v>
      </c>
      <c r="B5" s="14" t="inlineStr">
        <is>
          <t>Gynecologic cancer</t>
        </is>
      </c>
      <c r="C5" s="14" t="inlineStr">
        <is>
          <t>Narazaciclib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1000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75.6987524634915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7.539999999999999</v>
      </c>
      <c r="T5" s="23">
        <f>IF(T$3&lt;$I5,0,$G5*Assumptions!$E$11*INDEX(Assumptions!$B$24:$G$24,MIN(6,T$3-$I5+1))*IF(T$3&gt;$J5,(1-Assumptions!$B$26)^(T$3-$J5),1)*IF($H5&gt;=1,1,MIN(0.97,$H5*Assumptions!$E$12)))</f>
        <v>18.849999999999998</v>
      </c>
      <c r="U5" s="23">
        <f>IF(U$3&lt;$I5,0,$G5*Assumptions!$E$11*INDEX(Assumptions!$B$24:$G$24,MIN(6,U$3-$I5+1))*IF(U$3&gt;$J5,(1-Assumptions!$B$26)^(U$3-$J5),1)*IF($H5&gt;=1,1,MIN(0.97,$H5*Assumptions!$E$12)))</f>
        <v>33.93</v>
      </c>
      <c r="V5" s="23">
        <f>IF(V$3&lt;$I5,0,$G5*Assumptions!$E$11*INDEX(Assumptions!$B$24:$G$24,MIN(6,V$3-$I5+1))*IF(V$3&gt;$J5,(1-Assumptions!$B$26)^(V$3-$J5),1)*IF($H5&gt;=1,1,MIN(0.97,$H5*Assumptions!$E$12)))</f>
        <v>49.01</v>
      </c>
      <c r="W5" s="23">
        <f>IF(W$3&lt;$I5,0,$G5*Assumptions!$E$11*INDEX(Assumptions!$B$24:$G$24,MIN(6,W$3-$I5+1))*IF(W$3&gt;$J5,(1-Assumptions!$B$26)^(W$3-$J5),1)*IF($H5&gt;=1,1,MIN(0.97,$H5*Assumptions!$E$12)))</f>
        <v>64.08999999999999</v>
      </c>
      <c r="X5" s="23">
        <f>IF(X$3&lt;$I5,0,$G5*Assumptions!$E$11*INDEX(Assumptions!$B$24:$G$24,MIN(6,X$3-$I5+1))*IF(X$3&gt;$J5,(1-Assumptions!$B$26)^(X$3-$J5),1)*IF($H5&gt;=1,1,MIN(0.97,$H5*Assumptions!$E$12)))</f>
        <v>75.39999999999999</v>
      </c>
      <c r="Y5" s="23">
        <f>IF(Y$3&lt;$I5,0,$G5*Assumptions!$E$11*INDEX(Assumptions!$B$24:$G$24,MIN(6,Y$3-$I5+1))*IF(Y$3&gt;$J5,(1-Assumptions!$B$26)^(Y$3-$J5),1)*IF($H5&gt;=1,1,MIN(0.97,$H5*Assumptions!$E$12)))</f>
        <v>75.39999999999999</v>
      </c>
      <c r="Z5" s="23">
        <f>IF(Z$3&lt;$I5,0,$G5*Assumptions!$E$11*INDEX(Assumptions!$B$24:$G$24,MIN(6,Z$3-$I5+1))*IF(Z$3&gt;$J5,(1-Assumptions!$B$26)^(Z$3-$J5),1)*IF($H5&gt;=1,1,MIN(0.97,$H5*Assumptions!$E$12)))</f>
        <v>75.39999999999999</v>
      </c>
      <c r="AA5" s="23">
        <f>IF(AA$3&lt;$I5,0,$G5*Assumptions!$E$11*INDEX(Assumptions!$B$24:$G$24,MIN(6,AA$3-$I5+1))*IF(AA$3&gt;$J5,(1-Assumptions!$B$26)^(AA$3-$J5),1)*IF($H5&gt;=1,1,MIN(0.97,$H5*Assumptions!$E$12)))</f>
        <v>75.39999999999999</v>
      </c>
      <c r="AB5" s="23">
        <f>IF(AB$3&lt;$I5,0,$G5*Assumptions!$E$11*INDEX(Assumptions!$B$24:$G$24,MIN(6,AB$3-$I5+1))*IF(AB$3&gt;$J5,(1-Assumptions!$B$26)^(AB$3-$J5),1)*IF($H5&gt;=1,1,MIN(0.97,$H5*Assumptions!$E$12)))</f>
        <v>75.39999999999999</v>
      </c>
      <c r="AC5" s="23">
        <f>IF(AC$3&lt;$I5,0,$G5*Assumptions!$E$11*INDEX(Assumptions!$B$24:$G$24,MIN(6,AC$3-$I5+1))*IF(AC$3&gt;$J5,(1-Assumptions!$B$26)^(AC$3-$J5),1)*IF($H5&gt;=1,1,MIN(0.97,$H5*Assumptions!$E$12)))</f>
        <v>75.39999999999999</v>
      </c>
      <c r="AD5" s="23">
        <f>IF(AD$3&lt;$I5,0,$G5*Assumptions!$E$11*INDEX(Assumptions!$B$24:$G$24,MIN(6,AD$3-$I5+1))*IF(AD$3&gt;$J5,(1-Assumptions!$B$26)^(AD$3-$J5),1)*IF($H5&gt;=1,1,MIN(0.97,$H5*Assumptions!$E$12)))</f>
        <v>75.39999999999999</v>
      </c>
      <c r="AE5" s="23">
        <f>IF(AE$3&lt;$I5,0,$G5*Assumptions!$E$11*INDEX(Assumptions!$B$24:$G$24,MIN(6,AE$3-$I5+1))*IF(AE$3&gt;$J5,(1-Assumptions!$B$26)^(AE$3-$J5),1)*IF($H5&gt;=1,1,MIN(0.97,$H5*Assumptions!$E$12)))</f>
        <v>75.39999999999999</v>
      </c>
      <c r="AF5" s="23">
        <f>IF(AF$3&lt;$I5,0,$G5*Assumptions!$E$11*INDEX(Assumptions!$B$24:$G$24,MIN(6,AF$3-$I5+1))*IF(AF$3&gt;$J5,(1-Assumptions!$B$26)^(AF$3-$J5),1)*IF($H5&gt;=1,1,MIN(0.97,$H5*Assumptions!$E$12)))</f>
        <v>37.699999999999996</v>
      </c>
      <c r="AG5" s="35">
        <f>IF(F5="Owned",1-IF(H5&gt;=1,1,MIN(0.97,H5*Assumptions!$E$12)),1)</f>
        <v>0.9246</v>
      </c>
    </row>
    <row r="6">
      <c r="B6" s="24" t="inlineStr">
        <is>
          <t>Risked revenue</t>
        </is>
      </c>
      <c r="L6" s="54">
        <f>SUM(L4:L5)</f>
        <v>335.05736626866474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22.830000000000002</v>
      </c>
      <c r="S6" s="54">
        <f>SUM(S4:S5)</f>
        <v>64.61500000000001</v>
      </c>
      <c r="T6" s="54">
        <f>SUM(T4:T5)</f>
        <v>121.585</v>
      </c>
      <c r="U6" s="54">
        <f>SUM(U4:U5)</f>
        <v>182.32500000000002</v>
      </c>
      <c r="V6" s="54">
        <f>SUM(V4:V5)</f>
        <v>243.065</v>
      </c>
      <c r="W6" s="54">
        <f>SUM(W4:W5)</f>
        <v>292.39</v>
      </c>
      <c r="X6" s="54">
        <f>SUM(X4:X5)</f>
        <v>303.7</v>
      </c>
      <c r="Y6" s="54">
        <f>SUM(Y4:Y5)</f>
        <v>303.7</v>
      </c>
      <c r="Z6" s="54">
        <f>SUM(Z4:Z5)</f>
        <v>303.7</v>
      </c>
      <c r="AA6" s="54">
        <f>SUM(AA4:AA5)</f>
        <v>303.7</v>
      </c>
      <c r="AB6" s="54">
        <f>SUM(AB4:AB5)</f>
        <v>303.7</v>
      </c>
      <c r="AC6" s="54">
        <f>SUM(AC4:AC5)</f>
        <v>303.7</v>
      </c>
      <c r="AD6" s="54">
        <f>SUM(AD4:AD5)</f>
        <v>303.7</v>
      </c>
      <c r="AE6" s="54">
        <f>SUM(AE4:AE5)</f>
        <v>189.55</v>
      </c>
      <c r="AF6" s="54">
        <f>SUM(AF4:AF5)</f>
        <v>94.775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9.132000000000001</v>
      </c>
      <c r="S7" s="55">
        <f>SUMPRODUCT(S4:S5,$K$4:$K$5)</f>
        <v>25.846000000000004</v>
      </c>
      <c r="T7" s="55">
        <f>SUMPRODUCT(T4:T5,$K$4:$K$5)</f>
        <v>48.634</v>
      </c>
      <c r="U7" s="55">
        <f>SUMPRODUCT(U4:U5,$K$4:$K$5)</f>
        <v>72.93</v>
      </c>
      <c r="V7" s="55">
        <f>SUMPRODUCT(V4:V5,$K$4:$K$5)</f>
        <v>97.22600000000001</v>
      </c>
      <c r="W7" s="55">
        <f>SUMPRODUCT(W4:W5,$K$4:$K$5)</f>
        <v>116.956</v>
      </c>
      <c r="X7" s="55">
        <f>SUMPRODUCT(X4:X5,$K$4:$K$5)</f>
        <v>121.48</v>
      </c>
      <c r="Y7" s="55">
        <f>SUMPRODUCT(Y4:Y5,$K$4:$K$5)</f>
        <v>121.48</v>
      </c>
      <c r="Z7" s="55">
        <f>SUMPRODUCT(Z4:Z5,$K$4:$K$5)</f>
        <v>121.48</v>
      </c>
      <c r="AA7" s="55">
        <f>SUMPRODUCT(AA4:AA5,$K$4:$K$5)</f>
        <v>121.48</v>
      </c>
      <c r="AB7" s="55">
        <f>SUMPRODUCT(AB4:AB5,$K$4:$K$5)</f>
        <v>121.48</v>
      </c>
      <c r="AC7" s="55">
        <f>SUMPRODUCT(AC4:AC5,$K$4:$K$5)</f>
        <v>121.48</v>
      </c>
      <c r="AD7" s="55">
        <f>SUMPRODUCT(AD4:AD5,$K$4:$K$5)</f>
        <v>121.48</v>
      </c>
      <c r="AE7" s="55">
        <f>SUMPRODUCT(AE4:AE5,$K$4:$K$5)</f>
        <v>75.82</v>
      </c>
      <c r="AF7" s="55">
        <f>SUMPRODUCT(AF4:AF5,$K$4:$K$5)</f>
        <v>37.91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Traws Pharma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22.830000000000002</v>
      </c>
      <c r="I4" s="57">
        <f>Pipeline!S6</f>
        <v>64.61500000000001</v>
      </c>
      <c r="J4" s="57">
        <f>Pipeline!T6</f>
        <v>121.585</v>
      </c>
      <c r="K4" s="57">
        <f>Pipeline!U6</f>
        <v>182.32500000000002</v>
      </c>
      <c r="L4" s="57">
        <f>Pipeline!V6</f>
        <v>243.065</v>
      </c>
      <c r="M4" s="57">
        <f>Pipeline!W6</f>
        <v>292.39</v>
      </c>
      <c r="N4" s="57">
        <f>Pipeline!X6</f>
        <v>303.7</v>
      </c>
      <c r="O4" s="57">
        <f>Pipeline!Y6</f>
        <v>303.7</v>
      </c>
      <c r="P4" s="57">
        <f>Pipeline!Z6</f>
        <v>303.7</v>
      </c>
      <c r="Q4" s="57">
        <f>Pipeline!AA6</f>
        <v>303.7</v>
      </c>
      <c r="R4" s="57">
        <f>Pipeline!AB6</f>
        <v>303.7</v>
      </c>
      <c r="S4" s="57">
        <f>Pipeline!AC6</f>
        <v>303.7</v>
      </c>
      <c r="T4" s="57">
        <f>Pipeline!AD6</f>
        <v>303.7</v>
      </c>
      <c r="U4" s="57">
        <f>Pipeline!AE6</f>
        <v>189.55</v>
      </c>
      <c r="V4" s="57">
        <f>Pipeline!AF6</f>
        <v>94.775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9.132000000000001</v>
      </c>
      <c r="I5" s="57">
        <f>Pipeline!S7</f>
        <v>25.846000000000004</v>
      </c>
      <c r="J5" s="57">
        <f>Pipeline!T7</f>
        <v>48.634</v>
      </c>
      <c r="K5" s="57">
        <f>Pipeline!U7</f>
        <v>72.93</v>
      </c>
      <c r="L5" s="57">
        <f>Pipeline!V7</f>
        <v>97.22600000000001</v>
      </c>
      <c r="M5" s="57">
        <f>Pipeline!W7</f>
        <v>116.956</v>
      </c>
      <c r="N5" s="57">
        <f>Pipeline!X7</f>
        <v>121.48</v>
      </c>
      <c r="O5" s="57">
        <f>Pipeline!Y7</f>
        <v>121.48</v>
      </c>
      <c r="P5" s="57">
        <f>Pipeline!Z7</f>
        <v>121.48</v>
      </c>
      <c r="Q5" s="57">
        <f>Pipeline!AA7</f>
        <v>121.48</v>
      </c>
      <c r="R5" s="57">
        <f>Pipeline!AB7</f>
        <v>121.48</v>
      </c>
      <c r="S5" s="57">
        <f>Pipeline!AC7</f>
        <v>121.48</v>
      </c>
      <c r="T5" s="57">
        <f>Pipeline!AD7</f>
        <v>121.48</v>
      </c>
      <c r="U5" s="57">
        <f>Pipeline!AE7</f>
        <v>75.82</v>
      </c>
      <c r="V5" s="57">
        <f>Pipeline!AF7</f>
        <v>37.91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-21.544</v>
      </c>
      <c r="D6" s="23">
        <f>-IF(D3-2026&lt;Assumptions!$B$19,Assumptions!$B$18,Assumptions!$B$18*Assumptions!$B$20*Assumptions!$B$16)</f>
        <v>-21.544</v>
      </c>
      <c r="E6" s="23">
        <f>-IF(E3-2026&lt;Assumptions!$B$19,Assumptions!$B$18,Assumptions!$B$18*Assumptions!$B$20*Assumptions!$B$16)</f>
        <v>-21.544</v>
      </c>
      <c r="F6" s="23">
        <f>-IF(F3-2026&lt;Assumptions!$B$19,Assumptions!$B$18,Assumptions!$B$18*Assumptions!$B$20*Assumptions!$B$16)</f>
        <v>-21.544</v>
      </c>
      <c r="G6" s="23">
        <f>-IF(G3-2026&lt;Assumptions!$B$19,Assumptions!$B$18,Assumptions!$B$18*Assumptions!$B$20*Assumptions!$B$16)</f>
        <v>-1.8516174785759993</v>
      </c>
      <c r="H6" s="23">
        <f>-IF(H3-2026&lt;Assumptions!$B$19,Assumptions!$B$18,Assumptions!$B$18*Assumptions!$B$20*Assumptions!$B$16)</f>
        <v>-1.8516174785759993</v>
      </c>
      <c r="I6" s="23">
        <f>-IF(I3-2026&lt;Assumptions!$B$19,Assumptions!$B$18,Assumptions!$B$18*Assumptions!$B$20*Assumptions!$B$16)</f>
        <v>-1.8516174785759993</v>
      </c>
      <c r="J6" s="23">
        <f>-IF(J3-2026&lt;Assumptions!$B$19,Assumptions!$B$18,Assumptions!$B$18*Assumptions!$B$20*Assumptions!$B$16)</f>
        <v>-1.8516174785759993</v>
      </c>
      <c r="K6" s="23">
        <f>-IF(K3-2026&lt;Assumptions!$B$19,Assumptions!$B$18,Assumptions!$B$18*Assumptions!$B$20*Assumptions!$B$16)</f>
        <v>-1.8516174785759993</v>
      </c>
      <c r="L6" s="23">
        <f>-IF(L3-2026&lt;Assumptions!$B$19,Assumptions!$B$18,Assumptions!$B$18*Assumptions!$B$20*Assumptions!$B$16)</f>
        <v>-1.8516174785759993</v>
      </c>
      <c r="M6" s="23">
        <f>-IF(M3-2026&lt;Assumptions!$B$19,Assumptions!$B$18,Assumptions!$B$18*Assumptions!$B$20*Assumptions!$B$16)</f>
        <v>-1.8516174785759993</v>
      </c>
      <c r="N6" s="23">
        <f>-IF(N3-2026&lt;Assumptions!$B$19,Assumptions!$B$18,Assumptions!$B$18*Assumptions!$B$20*Assumptions!$B$16)</f>
        <v>-1.8516174785759993</v>
      </c>
      <c r="O6" s="23">
        <f>-IF(O3-2026&lt;Assumptions!$B$19,Assumptions!$B$18,Assumptions!$B$18*Assumptions!$B$20*Assumptions!$B$16)</f>
        <v>-1.8516174785759993</v>
      </c>
      <c r="P6" s="23">
        <f>-IF(P3-2026&lt;Assumptions!$B$19,Assumptions!$B$18,Assumptions!$B$18*Assumptions!$B$20*Assumptions!$B$16)</f>
        <v>-1.8516174785759993</v>
      </c>
      <c r="Q6" s="23">
        <f>-IF(Q3-2026&lt;Assumptions!$B$19,Assumptions!$B$18,Assumptions!$B$18*Assumptions!$B$20*Assumptions!$B$16)</f>
        <v>-1.8516174785759993</v>
      </c>
      <c r="R6" s="23">
        <f>-IF(R3-2026&lt;Assumptions!$B$19,Assumptions!$B$18,Assumptions!$B$18*Assumptions!$B$20*Assumptions!$B$16)</f>
        <v>-1.8516174785759993</v>
      </c>
      <c r="S6" s="23">
        <f>-IF(S3-2026&lt;Assumptions!$B$19,Assumptions!$B$18,Assumptions!$B$18*Assumptions!$B$20*Assumptions!$B$16)</f>
        <v>-1.8516174785759993</v>
      </c>
      <c r="T6" s="23">
        <f>-IF(T3-2026&lt;Assumptions!$B$19,Assumptions!$B$18,Assumptions!$B$18*Assumptions!$B$20*Assumptions!$B$16)</f>
        <v>-1.8516174785759993</v>
      </c>
      <c r="U6" s="23">
        <f>-IF(U3-2026&lt;Assumptions!$B$19,Assumptions!$B$18,Assumptions!$B$18*Assumptions!$B$20*Assumptions!$B$16)</f>
        <v>-1.8516174785759993</v>
      </c>
      <c r="V6" s="23">
        <f>-IF(V3-2026&lt;Assumptions!$B$19,Assumptions!$B$18,Assumptions!$B$18*Assumptions!$B$20*Assumptions!$B$16)</f>
        <v>-1.8516174785759993</v>
      </c>
    </row>
    <row r="7">
      <c r="A7" s="14" t="inlineStr">
        <is>
          <t>Pre-tax cash flow</t>
        </is>
      </c>
      <c r="C7" s="23">
        <f>C5+C6</f>
        <v>-21.544</v>
      </c>
      <c r="D7" s="23">
        <f>D5+D6</f>
        <v>-21.544</v>
      </c>
      <c r="E7" s="23">
        <f>E5+E6</f>
        <v>-21.544</v>
      </c>
      <c r="F7" s="23">
        <f>F5+F6</f>
        <v>-21.544</v>
      </c>
      <c r="G7" s="23">
        <f>G5+G6</f>
        <v>-1.8516174785759993</v>
      </c>
      <c r="H7" s="23">
        <f>H5+H6</f>
        <v>7.280382521424002</v>
      </c>
      <c r="I7" s="23">
        <f>I5+I6</f>
        <v>23.994382521424004</v>
      </c>
      <c r="J7" s="23">
        <f>J5+J6</f>
        <v>46.782382521424</v>
      </c>
      <c r="K7" s="23">
        <f>K5+K6</f>
        <v>71.078382521424</v>
      </c>
      <c r="L7" s="23">
        <f>L5+L6</f>
        <v>95.37438252142401</v>
      </c>
      <c r="M7" s="23">
        <f>M5+M6</f>
        <v>115.104382521424</v>
      </c>
      <c r="N7" s="23">
        <f>N5+N6</f>
        <v>119.628382521424</v>
      </c>
      <c r="O7" s="23">
        <f>O5+O6</f>
        <v>119.628382521424</v>
      </c>
      <c r="P7" s="23">
        <f>P5+P6</f>
        <v>119.628382521424</v>
      </c>
      <c r="Q7" s="23">
        <f>Q5+Q6</f>
        <v>119.628382521424</v>
      </c>
      <c r="R7" s="23">
        <f>R5+R6</f>
        <v>119.628382521424</v>
      </c>
      <c r="S7" s="23">
        <f>S5+S6</f>
        <v>119.628382521424</v>
      </c>
      <c r="T7" s="23">
        <f>T5+T6</f>
        <v>119.628382521424</v>
      </c>
      <c r="U7" s="23">
        <f>U5+U6</f>
        <v>73.96838252142399</v>
      </c>
      <c r="V7" s="23">
        <f>V5+V6</f>
        <v>36.058382521423994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7.280382521424002</v>
      </c>
      <c r="I8" s="23">
        <f>MIN(H17,MAX(0,I7))</f>
        <v>23.994382521424004</v>
      </c>
      <c r="J8" s="23">
        <f>MIN(I17,MAX(0,J7))</f>
        <v>46.782382521424</v>
      </c>
      <c r="K8" s="23">
        <f>MIN(J17,MAX(0,K7))</f>
        <v>71.078382521424</v>
      </c>
      <c r="L8" s="23">
        <f>MIN(K17,MAX(0,L7))</f>
        <v>95.37438252142401</v>
      </c>
      <c r="M8" s="23">
        <f>MIN(L17,MAX(0,M7))</f>
        <v>115.104382521424</v>
      </c>
      <c r="N8" s="23">
        <f>MIN(M17,MAX(0,N7))</f>
        <v>119.628382521424</v>
      </c>
      <c r="O8" s="23">
        <f>MIN(N17,MAX(0,O7))</f>
        <v>119.628382521424</v>
      </c>
      <c r="P8" s="23">
        <f>MIN(O17,MAX(0,P7))</f>
        <v>27.156557307183945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92.47182521424006</v>
      </c>
      <c r="Q9" s="23">
        <f>MAX(0,Q7)-Q8</f>
        <v>119.628382521424</v>
      </c>
      <c r="R9" s="23">
        <f>MAX(0,R7)-R8</f>
        <v>119.628382521424</v>
      </c>
      <c r="S9" s="23">
        <f>MAX(0,S7)-S8</f>
        <v>119.628382521424</v>
      </c>
      <c r="T9" s="23">
        <f>MAX(0,T7)-T8</f>
        <v>119.628382521424</v>
      </c>
      <c r="U9" s="23">
        <f>MAX(0,U7)-U8</f>
        <v>73.96838252142399</v>
      </c>
      <c r="V9" s="23">
        <f>MAX(0,V7)-V8</f>
        <v>36.058382521423994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19.41908329499041</v>
      </c>
      <c r="Q10" s="23">
        <f>Q9*Assumptions!$E$15</f>
        <v>25.12196032949904</v>
      </c>
      <c r="R10" s="23">
        <f>R9*Assumptions!$E$15</f>
        <v>25.12196032949904</v>
      </c>
      <c r="S10" s="23">
        <f>S9*Assumptions!$E$15</f>
        <v>25.12196032949904</v>
      </c>
      <c r="T10" s="23">
        <f>T9*Assumptions!$E$15</f>
        <v>25.12196032949904</v>
      </c>
      <c r="U10" s="23">
        <f>U9*Assumptions!$E$15</f>
        <v>15.533360329499038</v>
      </c>
      <c r="V10" s="23">
        <f>V9*Assumptions!$E$15</f>
        <v>7.572260329499039</v>
      </c>
    </row>
    <row r="11">
      <c r="A11" s="24" t="inlineStr">
        <is>
          <t>Free cash flow</t>
        </is>
      </c>
      <c r="C11" s="55">
        <f>C7-C10</f>
        <v>-21.544</v>
      </c>
      <c r="D11" s="55">
        <f>D7-D10</f>
        <v>-21.544</v>
      </c>
      <c r="E11" s="55">
        <f>E7-E10</f>
        <v>-21.544</v>
      </c>
      <c r="F11" s="55">
        <f>F7-F10</f>
        <v>-21.544</v>
      </c>
      <c r="G11" s="55">
        <f>G7-G10</f>
        <v>-1.8516174785759993</v>
      </c>
      <c r="H11" s="55">
        <f>H7-H10</f>
        <v>7.280382521424002</v>
      </c>
      <c r="I11" s="55">
        <f>I7-I10</f>
        <v>23.994382521424004</v>
      </c>
      <c r="J11" s="55">
        <f>J7-J10</f>
        <v>46.782382521424</v>
      </c>
      <c r="K11" s="55">
        <f>K7-K10</f>
        <v>71.078382521424</v>
      </c>
      <c r="L11" s="55">
        <f>L7-L10</f>
        <v>95.37438252142401</v>
      </c>
      <c r="M11" s="55">
        <f>M7-M10</f>
        <v>115.104382521424</v>
      </c>
      <c r="N11" s="55">
        <f>N7-N10</f>
        <v>119.628382521424</v>
      </c>
      <c r="O11" s="55">
        <f>O7-O10</f>
        <v>119.628382521424</v>
      </c>
      <c r="P11" s="55">
        <f>P7-P10</f>
        <v>100.20929922643359</v>
      </c>
      <c r="Q11" s="55">
        <f>Q7-Q10</f>
        <v>94.50642219192497</v>
      </c>
      <c r="R11" s="55">
        <f>R7-R10</f>
        <v>94.50642219192497</v>
      </c>
      <c r="S11" s="55">
        <f>S7-S10</f>
        <v>94.50642219192497</v>
      </c>
      <c r="T11" s="55">
        <f>T7-T10</f>
        <v>94.50642219192497</v>
      </c>
      <c r="U11" s="55">
        <f>U7-U10</f>
        <v>58.43502219192495</v>
      </c>
      <c r="V11" s="55">
        <f>V7-V10</f>
        <v>28.486122191924956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-10.554499295171862</v>
      </c>
      <c r="D16" s="55">
        <f>D11*D15</f>
        <v>-19.226778533198218</v>
      </c>
      <c r="E16" s="55">
        <f>E11*E15</f>
        <v>-17.166766547498405</v>
      </c>
      <c r="F16" s="55">
        <f>F11*F15</f>
        <v>-15.327470131695005</v>
      </c>
      <c r="G16" s="55">
        <f>G11*G15</f>
        <v>-1.1761897411857312</v>
      </c>
      <c r="H16" s="55">
        <f>H11*H15</f>
        <v>4.129165509868713</v>
      </c>
      <c r="I16" s="55">
        <f>I11*I15</f>
        <v>12.150653834674792</v>
      </c>
      <c r="J16" s="55">
        <f>J11*J15</f>
        <v>21.1521434485618</v>
      </c>
      <c r="K16" s="55">
        <f>K11*K15</f>
        <v>28.694030861487803</v>
      </c>
      <c r="L16" s="55">
        <f>L11*L15</f>
        <v>34.37698156981097</v>
      </c>
      <c r="M16" s="55">
        <f>M11*M15</f>
        <v>37.04331449925971</v>
      </c>
      <c r="N16" s="55">
        <f>N11*N15</f>
        <v>34.37432568739791</v>
      </c>
      <c r="O16" s="55">
        <f>O11*O15</f>
        <v>30.69136222089099</v>
      </c>
      <c r="P16" s="55">
        <f>P11*P15</f>
        <v>22.954716661148897</v>
      </c>
      <c r="Q16" s="55">
        <f>Q11*Q15</f>
        <v>19.328903184394036</v>
      </c>
      <c r="R16" s="55">
        <f>R11*R15</f>
        <v>17.25794927178039</v>
      </c>
      <c r="S16" s="55">
        <f>S11*S15</f>
        <v>15.408883278375345</v>
      </c>
      <c r="T16" s="55">
        <f>T11*T15</f>
        <v>13.757931498549414</v>
      </c>
      <c r="U16" s="55">
        <f>U11*U15</f>
        <v>7.595336359409895</v>
      </c>
      <c r="V16" s="55">
        <f>V11*V15</f>
        <v>3.3058954004913295</v>
      </c>
    </row>
    <row r="17">
      <c r="A17" s="14" t="inlineStr">
        <is>
          <t>Tax-loss carryforward, end of year</t>
        </is>
      </c>
      <c r="C17" s="23">
        <f>Assumptions!$B$21-C8+MAX(0,-C7)</f>
        <v>559.544</v>
      </c>
      <c r="D17" s="23">
        <f>C17-D8+MAX(0,-D7)</f>
        <v>581.088</v>
      </c>
      <c r="E17" s="23">
        <f>D17-E8+MAX(0,-E7)</f>
        <v>602.632</v>
      </c>
      <c r="F17" s="23">
        <f>E17-F8+MAX(0,-F7)</f>
        <v>624.1759999999999</v>
      </c>
      <c r="G17" s="23">
        <f>F17-G8+MAX(0,-G7)</f>
        <v>626.027617478576</v>
      </c>
      <c r="H17" s="23">
        <f>G17-H8+MAX(0,-H7)</f>
        <v>618.7472349571519</v>
      </c>
      <c r="I17" s="23">
        <f>H17-I8+MAX(0,-I7)</f>
        <v>594.752852435728</v>
      </c>
      <c r="J17" s="23">
        <f>I17-J8+MAX(0,-J7)</f>
        <v>547.970469914304</v>
      </c>
      <c r="K17" s="23">
        <f>J17-K8+MAX(0,-K7)</f>
        <v>476.89208739287994</v>
      </c>
      <c r="L17" s="23">
        <f>K17-L8+MAX(0,-L7)</f>
        <v>381.5177048714559</v>
      </c>
      <c r="M17" s="23">
        <f>L17-M8+MAX(0,-M7)</f>
        <v>266.41332235003193</v>
      </c>
      <c r="N17" s="23">
        <f>M17-N8+MAX(0,-N7)</f>
        <v>146.78493982860795</v>
      </c>
      <c r="O17" s="23">
        <f>N17-O8+MAX(0,-O7)</f>
        <v>27.156557307183945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335.0573662686648</v>
      </c>
    </row>
    <row r="20">
      <c r="A20" s="14" t="inlineStr">
        <is>
          <t>PV of corporate burn</t>
        </is>
      </c>
      <c r="B20" s="23">
        <f>SUMPRODUCT(C6:V6,C15:V15)</f>
        <v>-71.46257318986414</v>
      </c>
    </row>
    <row r="21">
      <c r="A21" s="14" t="inlineStr">
        <is>
          <t>PV of taxes</t>
        </is>
      </c>
      <c r="B21" s="23">
        <f>-SUMPRODUCT(C10:V10,C15:V15)</f>
        <v>-24.824904041447816</v>
      </c>
    </row>
    <row r="22">
      <c r="A22" s="24" t="inlineStr">
        <is>
          <t>Pipeline rNPV (operations)</t>
        </is>
      </c>
      <c r="B22" s="54">
        <f>SUM(C16:V16)</f>
        <v>238.7698890373528</v>
      </c>
    </row>
    <row r="23">
      <c r="A23" s="14" t="inlineStr">
        <is>
          <t>Cash &amp; investments</t>
        </is>
      </c>
      <c r="B23" s="57">
        <f>Main!C7</f>
        <v>5.016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243.7858890373528</v>
      </c>
    </row>
    <row r="26">
      <c r="A26" s="14" t="inlineStr">
        <is>
          <t>Shares (mm)</t>
        </is>
      </c>
      <c r="B26" s="57">
        <f>Main!C4</f>
        <v>15.368277</v>
      </c>
    </row>
    <row r="27">
      <c r="A27" s="24" t="inlineStr">
        <is>
          <t>rNPV / share</t>
        </is>
      </c>
      <c r="B27" s="60">
        <f>B25/B26</f>
        <v>15.862929138858753</v>
      </c>
    </row>
    <row r="28">
      <c r="A28" s="14" t="inlineStr">
        <is>
          <t>Price</t>
        </is>
      </c>
      <c r="B28" s="61">
        <f>Main!C3</f>
        <v>0.3767</v>
      </c>
    </row>
    <row r="29">
      <c r="A29" s="14" t="inlineStr">
        <is>
          <t>Upside</t>
        </is>
      </c>
      <c r="B29" s="62">
        <f>B27/B28-1</f>
        <v>41.11024459479361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2026-10-21T06:31:16Z</dcterms:modified>
  <cp:lastModifiedBy>Wang, Eric</cp:lastModifiedBy>
</cp:coreProperties>
</file>