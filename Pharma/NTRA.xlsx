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Natera, Inc.</t>
        </is>
      </c>
      <c r="C2" s="10" t="n"/>
    </row>
    <row r="3">
      <c r="B3" t="inlineStr">
        <is>
          <t>Price</t>
        </is>
      </c>
      <c r="C3" s="11">
        <f>INDEX([1]Pharma!$F$1:$F$1000,MATCH("NTRA",[1]Pharma!$B$1:$B$1000,0))</f>
        <v>405.92</v>
      </c>
      <c r="F3" s="1" t="n"/>
    </row>
    <row r="4">
      <c r="B4" t="inlineStr">
        <is>
          <t>Shares</t>
        </is>
      </c>
      <c r="C4" s="51" t="n">
        <v>144.14417</v>
      </c>
      <c r="F4" s="1" t="n"/>
    </row>
    <row r="5">
      <c r="B5" t="inlineStr">
        <is>
          <t>Market Cap.</t>
        </is>
      </c>
      <c r="C5" s="13">
        <f>C3*C4</f>
        <v>58511.001486400004</v>
      </c>
      <c r="F5" s="1" t="n"/>
    </row>
    <row r="6"/>
    <row r="7">
      <c r="B7" t="inlineStr">
        <is>
          <t>Cash</t>
        </is>
      </c>
      <c r="C7" s="51" t="n">
        <v>1091.502</v>
      </c>
    </row>
    <row r="8">
      <c r="B8" t="inlineStr">
        <is>
          <t>Debt</t>
        </is>
      </c>
      <c r="C8" s="51" t="n">
        <v>80.291</v>
      </c>
    </row>
    <row r="9">
      <c r="B9" t="inlineStr">
        <is>
          <t>Enterprise V.</t>
        </is>
      </c>
      <c r="C9" s="13">
        <f>C5-C7+C8</f>
        <v>57499.7904864</v>
      </c>
    </row>
    <row r="10"/>
    <row r="11">
      <c r="B11" s="14" t="inlineStr">
        <is>
          <t>NPV / Share</t>
        </is>
      </c>
      <c r="C11" s="11">
        <f>NPV!B28</f>
        <v>127.26848818885195</v>
      </c>
    </row>
    <row r="12">
      <c r="B12" s="14" t="inlineStr">
        <is>
          <t>Upside</t>
        </is>
      </c>
      <c r="C12" s="15">
        <f>IFERROR(C11/C3-1,"")</f>
        <v>-0.6864690377688906</v>
      </c>
    </row>
    <row r="13">
      <c r="B13" s="14" t="inlineStr">
        <is>
          <t>Cash / Share</t>
        </is>
      </c>
      <c r="C13" s="11">
        <f>IFERROR((C7-C8)/C4,"")</f>
        <v>7.015275054135037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2013</v>
      </c>
      <c r="C1" s="16" t="n">
        <v>2014</v>
      </c>
      <c r="D1" s="16" t="n">
        <v>2015</v>
      </c>
      <c r="E1" s="16" t="n">
        <v>2016</v>
      </c>
      <c r="F1" s="16" t="n">
        <v>2017</v>
      </c>
      <c r="G1" s="16" t="n">
        <v>2018</v>
      </c>
      <c r="H1" s="16" t="n">
        <v>2019</v>
      </c>
      <c r="I1" s="16" t="n">
        <v>2020</v>
      </c>
      <c r="J1" s="16" t="n">
        <v>2021</v>
      </c>
      <c r="K1" s="16" t="n">
        <v>2022</v>
      </c>
      <c r="L1" s="16" t="n">
        <v>2023</v>
      </c>
      <c r="M1" s="16" t="n">
        <v>2024</v>
      </c>
      <c r="N1" s="16" t="n">
        <v>2025</v>
      </c>
      <c r="O1" s="16" t="n">
        <v>2026</v>
      </c>
      <c r="P1" s="16" t="n">
        <v>2027</v>
      </c>
      <c r="Q1" s="16" t="n">
        <v>2028</v>
      </c>
      <c r="R1" s="16" t="n">
        <v>2029</v>
      </c>
      <c r="S1" s="16" t="n">
        <v>2030</v>
      </c>
      <c r="T1" s="16" t="n">
        <v>2031</v>
      </c>
      <c r="U1" s="16" t="n">
        <v>2032</v>
      </c>
      <c r="V1" s="16" t="n">
        <v>2033</v>
      </c>
      <c r="W1" s="16" t="n">
        <v>2034</v>
      </c>
      <c r="X1" s="16" t="n">
        <v>2035</v>
      </c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55.171</v>
      </c>
      <c r="C2" s="52" t="n">
        <v>159.289</v>
      </c>
      <c r="D2" s="52" t="n">
        <v>190.355</v>
      </c>
      <c r="E2" s="52" t="n">
        <v>217.074</v>
      </c>
      <c r="F2" s="52" t="n">
        <v>210.939</v>
      </c>
      <c r="G2" s="52" t="n">
        <v>257.654</v>
      </c>
      <c r="H2" s="52" t="n">
        <v>302.328</v>
      </c>
      <c r="I2" s="52" t="n">
        <v>391.005</v>
      </c>
      <c r="J2" s="52" t="n">
        <v>625.486</v>
      </c>
      <c r="K2" s="52" t="n">
        <v>820.222</v>
      </c>
      <c r="L2" s="52" t="n">
        <v>1082.571</v>
      </c>
      <c r="M2" s="52" t="n">
        <v>1696.911</v>
      </c>
      <c r="N2" s="52" t="n">
        <v>2306.113</v>
      </c>
      <c r="O2" s="52">
        <f>N2*(1+NPV!C5)</f>
        <v>3113.25255</v>
      </c>
      <c r="P2" s="52">
        <f>O2*(1+NPV!D5)</f>
        <v>4090.46793375</v>
      </c>
      <c r="Q2" s="52">
        <f>P2*(1+NPV!E5)</f>
        <v>5226.709026458333</v>
      </c>
      <c r="R2" s="52">
        <f>Q2*(1+NPV!F5)</f>
        <v>6489.830374519097</v>
      </c>
      <c r="S2" s="52">
        <f>R2*(1+NPV!G5)</f>
        <v>7823.851062614689</v>
      </c>
      <c r="T2" s="52">
        <f>S2*(1+NPV!H5)</f>
        <v>9149.559159335511</v>
      </c>
      <c r="U2" s="52">
        <f>T2*(1+NPV!I5)</f>
        <v>10369.500380580246</v>
      </c>
      <c r="V2" s="52">
        <f>U2*(1+NPV!J5)</f>
        <v>11377.646250914438</v>
      </c>
      <c r="W2" s="52">
        <f>V2*(1+NPV!K5)</f>
        <v>12072.946855136988</v>
      </c>
      <c r="X2" s="52">
        <f>W2*(1+NPV!L5)</f>
        <v>12374.770526515413</v>
      </c>
    </row>
    <row r="3" customFormat="1" s="1">
      <c r="A3" s="5" t="inlineStr">
        <is>
          <t>Cost of Sales</t>
        </is>
      </c>
      <c r="B3" s="52" t="n">
        <v>37.275</v>
      </c>
      <c r="C3" s="52" t="n">
        <v>78.396</v>
      </c>
      <c r="D3" s="52" t="n">
        <v>112.845</v>
      </c>
      <c r="E3" s="52" t="n">
        <v>134.494</v>
      </c>
      <c r="F3" s="52" t="n">
        <v>135.508</v>
      </c>
      <c r="G3" s="52" t="n">
        <v>158.081</v>
      </c>
      <c r="H3" s="52" t="n">
        <v>0</v>
      </c>
      <c r="I3" s="52" t="n">
        <v>0</v>
      </c>
      <c r="J3" s="52" t="n">
        <v>0</v>
      </c>
      <c r="K3" s="52" t="n">
        <v>0</v>
      </c>
      <c r="L3" s="52" t="n">
        <v>0</v>
      </c>
      <c r="M3" s="52" t="n">
        <v>0</v>
      </c>
      <c r="N3" s="52" t="n">
        <v>0</v>
      </c>
      <c r="O3" s="52">
        <f>O2*(1-Assumptions!$B$19)</f>
        <v>1909.980439425</v>
      </c>
      <c r="P3" s="52">
        <f>P2*(1-Assumptions!$B$19)</f>
        <v>2509.502077355625</v>
      </c>
      <c r="Q3" s="52">
        <f>Q2*(1-Assumptions!$B$19)</f>
        <v>3206.585987732187</v>
      </c>
      <c r="R3" s="52">
        <f>R2*(1-Assumptions!$B$19)</f>
        <v>3981.5109347674656</v>
      </c>
      <c r="S3" s="52">
        <f>S2*(1-Assumptions!$B$19)</f>
        <v>4799.932626914111</v>
      </c>
      <c r="T3" s="52">
        <f>T2*(1-Assumptions!$B$19)</f>
        <v>5613.254544252335</v>
      </c>
      <c r="U3" s="52">
        <f>U2*(1-Assumptions!$B$19)</f>
        <v>6361.68848348598</v>
      </c>
      <c r="V3" s="52">
        <f>V2*(1-Assumptions!$B$19)</f>
        <v>6980.185974936007</v>
      </c>
      <c r="W3" s="52">
        <f>W2*(1-Assumptions!$B$19)</f>
        <v>7406.752895626541</v>
      </c>
      <c r="X3" s="52">
        <f>X2*(1-Assumptions!$B$19)</f>
        <v>7591.9217180172045</v>
      </c>
    </row>
    <row r="4" customFormat="1" s="1">
      <c r="A4" s="5" t="inlineStr">
        <is>
          <t>Gross Margin</t>
        </is>
      </c>
      <c r="B4" s="52">
        <f>B2-B3</f>
        <v>17.896</v>
      </c>
      <c r="C4" s="52">
        <f>C2-C3</f>
        <v>80.89299999999999</v>
      </c>
      <c r="D4" s="52">
        <f>D2-D3</f>
        <v>77.50999999999999</v>
      </c>
      <c r="E4" s="52">
        <f>E2-E3</f>
        <v>82.58000000000001</v>
      </c>
      <c r="F4" s="52">
        <f>F2-F3</f>
        <v>75.43099999999998</v>
      </c>
      <c r="G4" s="52">
        <f>G2-G3</f>
        <v>99.57300000000001</v>
      </c>
      <c r="H4" s="52">
        <f>H2-H3</f>
        <v>302.328</v>
      </c>
      <c r="I4" s="52">
        <f>I2-I3</f>
        <v>391.005</v>
      </c>
      <c r="J4" s="52">
        <f>J2-J3</f>
        <v>625.486</v>
      </c>
      <c r="K4" s="52">
        <f>K2-K3</f>
        <v>820.222</v>
      </c>
      <c r="L4" s="52">
        <f>L2-L3</f>
        <v>1082.571</v>
      </c>
      <c r="M4" s="52">
        <f>M2-M3</f>
        <v>1696.911</v>
      </c>
      <c r="N4" s="52">
        <f>N2-N3</f>
        <v>2306.113</v>
      </c>
      <c r="O4" s="52">
        <f>O2-O3</f>
        <v>1203.2721105750002</v>
      </c>
      <c r="P4" s="52">
        <f>P2-P3</f>
        <v>1580.9658563943754</v>
      </c>
      <c r="Q4" s="52">
        <f>Q2-Q3</f>
        <v>2020.1230387261462</v>
      </c>
      <c r="R4" s="52">
        <f>R2-R3</f>
        <v>2508.3194397516313</v>
      </c>
      <c r="S4" s="52">
        <f>S2-S3</f>
        <v>3023.918435700578</v>
      </c>
      <c r="T4" s="52">
        <f>T2-T3</f>
        <v>3536.304615083176</v>
      </c>
      <c r="U4" s="52">
        <f>U2-U3</f>
        <v>4007.811897094266</v>
      </c>
      <c r="V4" s="52">
        <f>V2-V3</f>
        <v>4397.460275978431</v>
      </c>
      <c r="W4" s="52">
        <f>W2-W3</f>
        <v>4666.193959510447</v>
      </c>
      <c r="X4" s="52">
        <f>X2-X3</f>
        <v>4782.848808498208</v>
      </c>
    </row>
    <row r="5">
      <c r="A5" s="2" t="inlineStr">
        <is>
          <t>Research &amp; Dev.</t>
        </is>
      </c>
      <c r="B5" s="52" t="n">
        <v>11.55</v>
      </c>
      <c r="C5" s="52" t="n">
        <v>17.292</v>
      </c>
      <c r="D5" s="52" t="n">
        <v>27.711</v>
      </c>
      <c r="E5" s="52" t="n">
        <v>41.862</v>
      </c>
      <c r="F5" s="52" t="n">
        <v>50.064</v>
      </c>
      <c r="G5" s="52" t="n">
        <v>51.355</v>
      </c>
      <c r="H5" s="52" t="n">
        <v>51.357</v>
      </c>
      <c r="I5" s="52" t="n">
        <v>100.035</v>
      </c>
      <c r="J5" s="52" t="n">
        <v>264.208</v>
      </c>
      <c r="K5" s="52" t="n">
        <v>316.415</v>
      </c>
      <c r="L5" s="52" t="n">
        <v>320.678</v>
      </c>
      <c r="M5" s="52" t="n">
        <v>404.138</v>
      </c>
      <c r="N5" s="52" t="n">
        <v>624.11</v>
      </c>
      <c r="O5" s="52">
        <f>O7*Assumptions!$B$20</f>
        <v>343.77804864140404</v>
      </c>
      <c r="P5" s="52">
        <f>P7*Assumptions!$B$20</f>
        <v>421.72339892976737</v>
      </c>
      <c r="Q5" s="52">
        <f>Q7*Assumptions!$B$20</f>
        <v>500.5830393683816</v>
      </c>
      <c r="R5" s="52">
        <f>R7*Assumptions!$B$20</f>
        <v>574.0191365924471</v>
      </c>
      <c r="S5" s="52">
        <f>S7*Assumptions!$B$20</f>
        <v>634.7020936035542</v>
      </c>
      <c r="T5" s="52">
        <f>T7*Assumptions!$B$20</f>
        <v>675.2281334086185</v>
      </c>
      <c r="U5" s="52">
        <f>U7*Assumptions!$B$20</f>
        <v>689.3017535186763</v>
      </c>
      <c r="V5" s="52">
        <f>V7*Assumptions!$B$20</f>
        <v>672.9757154365632</v>
      </c>
      <c r="W5" s="52">
        <f>W7*Assumptions!$B$20</f>
        <v>625.6674319848711</v>
      </c>
      <c r="X5" s="52">
        <f>X7*Assumptions!$B$20</f>
        <v>550.663676182357</v>
      </c>
    </row>
    <row r="6">
      <c r="A6" s="18" t="inlineStr">
        <is>
          <t>SG&amp;A &amp; Other</t>
        </is>
      </c>
      <c r="B6" s="52" t="n">
        <v>31.614</v>
      </c>
      <c r="C6" s="52" t="n">
        <v>62.936</v>
      </c>
      <c r="D6" s="52" t="n">
        <v>109.637</v>
      </c>
      <c r="E6" s="52" t="n">
        <v>141.768</v>
      </c>
      <c r="F6" s="52" t="n">
        <v>160.708</v>
      </c>
      <c r="G6" s="52" t="n">
        <v>162.846</v>
      </c>
      <c r="H6" s="52" t="n">
        <v>367.258</v>
      </c>
      <c r="I6" s="52" t="n">
        <v>507.247</v>
      </c>
      <c r="J6" s="52" t="n">
        <v>829.452</v>
      </c>
      <c r="K6" s="52" t="n">
        <v>1044.847</v>
      </c>
      <c r="L6" s="52" t="n">
        <v>1208.138</v>
      </c>
      <c r="M6" s="52" t="n">
        <v>1515.067</v>
      </c>
      <c r="N6" s="52" t="n">
        <v>1991.914</v>
      </c>
      <c r="O6" s="52">
        <f>O7-O5</f>
        <v>1097.0352314985962</v>
      </c>
      <c r="P6" s="52">
        <f>P7-P5</f>
        <v>1345.767795243608</v>
      </c>
      <c r="Q6" s="52">
        <f>Q7-Q5</f>
        <v>1597.4179638519938</v>
      </c>
      <c r="R6" s="52">
        <f>R7-R5</f>
        <v>1831.7609832417825</v>
      </c>
      <c r="S6" s="52">
        <f>S7-S5</f>
        <v>2025.4072676854407</v>
      </c>
      <c r="T6" s="52">
        <f>T7-T5</f>
        <v>2154.7305145738565</v>
      </c>
      <c r="U6" s="52">
        <f>U7-U5</f>
        <v>2199.641052510981</v>
      </c>
      <c r="V6" s="52">
        <f>V7-V5</f>
        <v>2147.5427901651265</v>
      </c>
      <c r="W6" s="52">
        <f>W7-W5</f>
        <v>1996.5766249508833</v>
      </c>
      <c r="X6" s="52">
        <f>X7-X5</f>
        <v>1757.2310270127687</v>
      </c>
    </row>
    <row r="7">
      <c r="A7" s="2" t="inlineStr">
        <is>
          <t>Operating Expense</t>
        </is>
      </c>
      <c r="B7" s="52">
        <f>SUM(B5:B6)</f>
        <v>43.164</v>
      </c>
      <c r="C7" s="52">
        <f>SUM(C5:C6)</f>
        <v>80.22800000000001</v>
      </c>
      <c r="D7" s="52">
        <f>SUM(D5:D6)</f>
        <v>137.348</v>
      </c>
      <c r="E7" s="52">
        <f>SUM(E5:E6)</f>
        <v>183.63</v>
      </c>
      <c r="F7" s="52">
        <f>SUM(F5:F6)</f>
        <v>210.772</v>
      </c>
      <c r="G7" s="52">
        <f>SUM(G5:G6)</f>
        <v>214.201</v>
      </c>
      <c r="H7" s="52">
        <f>SUM(H5:H6)</f>
        <v>418.615</v>
      </c>
      <c r="I7" s="52">
        <f>SUM(I5:I6)</f>
        <v>607.282</v>
      </c>
      <c r="J7" s="52">
        <f>SUM(J5:J6)</f>
        <v>1093.66</v>
      </c>
      <c r="K7" s="52">
        <f>SUM(K5:K6)</f>
        <v>1361.262</v>
      </c>
      <c r="L7" s="52">
        <f>SUM(L5:L6)</f>
        <v>1528.8159999999998</v>
      </c>
      <c r="M7" s="52">
        <f>SUM(M5:M6)</f>
        <v>1919.205</v>
      </c>
      <c r="N7" s="52">
        <f>SUM(N5:N6)</f>
        <v>2616.024</v>
      </c>
      <c r="O7" s="52">
        <f>O4-O2*NPV!C6</f>
        <v>1440.8132801400002</v>
      </c>
      <c r="P7" s="52">
        <f>P4-P2*NPV!D6</f>
        <v>1767.4911941733753</v>
      </c>
      <c r="Q7" s="52">
        <f>Q4-Q2*NPV!E6</f>
        <v>2098.0010032203754</v>
      </c>
      <c r="R7" s="52">
        <f>R4-R2*NPV!F6</f>
        <v>2405.7801198342295</v>
      </c>
      <c r="S7" s="52">
        <f>S4-S2*NPV!G6</f>
        <v>2660.109361288995</v>
      </c>
      <c r="T7" s="52">
        <f>T4-T2*NPV!H6</f>
        <v>2829.9586479824748</v>
      </c>
      <c r="U7" s="52">
        <f>U4-U2*NPV!I6</f>
        <v>2888.9428060296573</v>
      </c>
      <c r="V7" s="52">
        <f>V4-V2*NPV!J6</f>
        <v>2820.51850560169</v>
      </c>
      <c r="W7" s="52">
        <f>W4-W2*NPV!K6</f>
        <v>2622.2440569357545</v>
      </c>
      <c r="X7" s="52">
        <f>X4-X2*NPV!L6</f>
        <v>2307.8947031951257</v>
      </c>
    </row>
    <row r="8">
      <c r="A8" s="2" t="inlineStr">
        <is>
          <t>Operating Income</t>
        </is>
      </c>
      <c r="B8" s="52">
        <f>B4-B7</f>
        <v>-25.268</v>
      </c>
      <c r="C8" s="52">
        <f>C4-C7</f>
        <v>0.6649999999999778</v>
      </c>
      <c r="D8" s="52">
        <f>D4-D7</f>
        <v>-59.83800000000002</v>
      </c>
      <c r="E8" s="52">
        <f>E4-E7</f>
        <v>-101.04999999999998</v>
      </c>
      <c r="F8" s="52">
        <f>F4-F7</f>
        <v>-135.341</v>
      </c>
      <c r="G8" s="52">
        <f>G4-G7</f>
        <v>-114.62799999999999</v>
      </c>
      <c r="H8" s="52">
        <f>H4-H7</f>
        <v>-116.28700000000003</v>
      </c>
      <c r="I8" s="52">
        <f>I4-I7</f>
        <v>-216.27700000000004</v>
      </c>
      <c r="J8" s="52">
        <f>J4-J7</f>
        <v>-468.1740000000001</v>
      </c>
      <c r="K8" s="52">
        <f>K4-K7</f>
        <v>-541.04</v>
      </c>
      <c r="L8" s="52">
        <f>L4-L7</f>
        <v>-446.2449999999999</v>
      </c>
      <c r="M8" s="52">
        <f>M4-M7</f>
        <v>-222.29399999999987</v>
      </c>
      <c r="N8" s="52">
        <f>N4-N7</f>
        <v>-309.91100000000006</v>
      </c>
      <c r="O8" s="52">
        <f>O4-O7</f>
        <v>-237.54116956500002</v>
      </c>
      <c r="P8" s="52">
        <f>P4-P7</f>
        <v>-186.52533777899998</v>
      </c>
      <c r="Q8" s="52">
        <f>Q4-Q7</f>
        <v>-77.87796449422922</v>
      </c>
      <c r="R8" s="52">
        <f>R4-R7</f>
        <v>102.53931991740183</v>
      </c>
      <c r="S8" s="52">
        <f>S4-S7</f>
        <v>363.80907441158297</v>
      </c>
      <c r="T8" s="52">
        <f>T4-T7</f>
        <v>706.3459671007013</v>
      </c>
      <c r="U8" s="52">
        <f>U4-U7</f>
        <v>1118.8690910646087</v>
      </c>
      <c r="V8" s="52">
        <f>V4-V7</f>
        <v>1576.9417703767413</v>
      </c>
      <c r="W8" s="52">
        <f>W4-W7</f>
        <v>2043.9499025746923</v>
      </c>
      <c r="X8" s="52">
        <f>X4-X7</f>
        <v>2474.9541053030825</v>
      </c>
    </row>
    <row r="9">
      <c r="A9" s="18" t="inlineStr">
        <is>
          <t>Interest &amp; Other</t>
        </is>
      </c>
      <c r="B9" s="52" t="n">
        <v>-11.842</v>
      </c>
      <c r="C9" s="52" t="n">
        <v>-5.802</v>
      </c>
      <c r="D9" s="52" t="n">
        <v>-10.437</v>
      </c>
      <c r="E9" s="52" t="n">
        <v>0.865</v>
      </c>
      <c r="F9" s="52" t="n">
        <v>-1.833</v>
      </c>
      <c r="G9" s="52" t="n">
        <v>-13.205</v>
      </c>
      <c r="H9" s="52" t="n">
        <v>-6.541</v>
      </c>
      <c r="I9" s="52" t="n">
        <v>-13.368</v>
      </c>
      <c r="J9" s="52" t="n">
        <v>-2.924</v>
      </c>
      <c r="K9" s="52" t="n">
        <v>-5.781</v>
      </c>
      <c r="L9" s="52" t="n">
        <v>11.715</v>
      </c>
      <c r="M9" s="52" t="n">
        <v>32.563</v>
      </c>
      <c r="N9" s="52" t="n">
        <v>41.822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</row>
    <row r="10">
      <c r="A10" s="2" t="inlineStr">
        <is>
          <t>Pretax</t>
        </is>
      </c>
      <c r="B10" s="52">
        <f>B8+B9</f>
        <v>-37.11</v>
      </c>
      <c r="C10" s="52">
        <f>C8+C9</f>
        <v>-5.137000000000022</v>
      </c>
      <c r="D10" s="52">
        <f>D8+D9</f>
        <v>-70.27500000000002</v>
      </c>
      <c r="E10" s="52">
        <f>E8+E9</f>
        <v>-100.18499999999999</v>
      </c>
      <c r="F10" s="52">
        <f>F8+F9</f>
        <v>-137.174</v>
      </c>
      <c r="G10" s="52">
        <f>G8+G9</f>
        <v>-127.83299999999998</v>
      </c>
      <c r="H10" s="52">
        <f>H8+H9</f>
        <v>-122.82800000000003</v>
      </c>
      <c r="I10" s="52">
        <f>I8+I9</f>
        <v>-229.64500000000004</v>
      </c>
      <c r="J10" s="52">
        <f>J8+J9</f>
        <v>-471.09800000000007</v>
      </c>
      <c r="K10" s="52">
        <f>K8+K9</f>
        <v>-546.8209999999999</v>
      </c>
      <c r="L10" s="52">
        <f>L8+L9</f>
        <v>-434.5299999999999</v>
      </c>
      <c r="M10" s="52">
        <f>M8+M9</f>
        <v>-189.73099999999988</v>
      </c>
      <c r="N10" s="52">
        <f>N8+N9</f>
        <v>-268.08900000000006</v>
      </c>
      <c r="O10" s="52">
        <f>O8+O9</f>
        <v>-237.54116956500002</v>
      </c>
      <c r="P10" s="52">
        <f>P8+P9</f>
        <v>-186.52533777899998</v>
      </c>
      <c r="Q10" s="52">
        <f>Q8+Q9</f>
        <v>-77.87796449422922</v>
      </c>
      <c r="R10" s="52">
        <f>R8+R9</f>
        <v>102.53931991740183</v>
      </c>
      <c r="S10" s="52">
        <f>S8+S9</f>
        <v>363.80907441158297</v>
      </c>
      <c r="T10" s="52">
        <f>T8+T9</f>
        <v>706.3459671007013</v>
      </c>
      <c r="U10" s="52">
        <f>U8+U9</f>
        <v>1118.8690910646087</v>
      </c>
      <c r="V10" s="52">
        <f>V8+V9</f>
        <v>1576.9417703767413</v>
      </c>
      <c r="W10" s="52">
        <f>W8+W9</f>
        <v>2043.9499025746923</v>
      </c>
      <c r="X10" s="52">
        <f>X8+X9</f>
        <v>2474.9541053030825</v>
      </c>
    </row>
    <row r="11">
      <c r="A11" s="2" t="inlineStr">
        <is>
          <t>Taxes</t>
        </is>
      </c>
      <c r="B11" s="52" t="n">
        <v>0</v>
      </c>
      <c r="C11" s="52" t="n">
        <v>0.015</v>
      </c>
      <c r="D11" s="52" t="n">
        <v>0</v>
      </c>
      <c r="E11" s="52" t="n">
        <v>0.142</v>
      </c>
      <c r="F11" s="52" t="n">
        <v>0.454</v>
      </c>
      <c r="G11" s="52" t="n">
        <v>0.321</v>
      </c>
      <c r="H11" s="52" t="n">
        <v>1.999</v>
      </c>
      <c r="I11" s="52" t="n">
        <v>0.098</v>
      </c>
      <c r="J11" s="52" t="n">
        <v>0.618</v>
      </c>
      <c r="K11" s="52" t="n">
        <v>0.978</v>
      </c>
      <c r="L11" s="52" t="n">
        <v>0.271</v>
      </c>
      <c r="M11" s="52" t="n">
        <v>0.695</v>
      </c>
      <c r="N11" s="52" t="n">
        <v>-59.929</v>
      </c>
      <c r="O11" s="52">
        <f>MAX(0,O10)*Assumptions!$E$14</f>
        <v>0.0</v>
      </c>
      <c r="P11" s="52">
        <f>MAX(0,P10)*Assumptions!$E$14</f>
        <v>0.0</v>
      </c>
      <c r="Q11" s="52">
        <f>MAX(0,Q10)*Assumptions!$E$14</f>
        <v>0.0</v>
      </c>
      <c r="R11" s="52">
        <f>MAX(0,R10)*Assumptions!$E$14</f>
        <v>17.431684385958313</v>
      </c>
      <c r="S11" s="52">
        <f>MAX(0,S10)*Assumptions!$E$14</f>
        <v>61.84754264996911</v>
      </c>
      <c r="T11" s="52">
        <f>MAX(0,T10)*Assumptions!$E$14</f>
        <v>120.07881440711922</v>
      </c>
      <c r="U11" s="52">
        <f>MAX(0,U10)*Assumptions!$E$14</f>
        <v>190.2077454809835</v>
      </c>
      <c r="V11" s="52">
        <f>MAX(0,V10)*Assumptions!$E$14</f>
        <v>268.08010096404604</v>
      </c>
      <c r="W11" s="52">
        <f>MAX(0,W10)*Assumptions!$E$14</f>
        <v>347.4714834376977</v>
      </c>
      <c r="X11" s="52">
        <f>MAX(0,X10)*Assumptions!$E$14</f>
        <v>420.74219790152404</v>
      </c>
    </row>
    <row r="12">
      <c r="A12" s="2" t="inlineStr">
        <is>
          <t>Net Income</t>
        </is>
      </c>
      <c r="B12" s="52" t="n">
        <v>-37.11</v>
      </c>
      <c r="C12" s="52" t="n">
        <v>-5.152</v>
      </c>
      <c r="D12" s="52" t="n">
        <v>-70.27500000000001</v>
      </c>
      <c r="E12" s="52" t="n">
        <v>-100.327</v>
      </c>
      <c r="F12" s="52" t="n">
        <v>-137.628</v>
      </c>
      <c r="G12" s="52" t="n">
        <v>-128.154</v>
      </c>
      <c r="H12" s="52" t="n">
        <v>-124.827</v>
      </c>
      <c r="I12" s="52" t="n">
        <v>-229.743</v>
      </c>
      <c r="J12" s="52" t="n">
        <v>-471.716</v>
      </c>
      <c r="K12" s="52" t="n">
        <v>-547.799</v>
      </c>
      <c r="L12" s="52" t="n">
        <v>-434.801</v>
      </c>
      <c r="M12" s="52" t="n">
        <v>-190.426</v>
      </c>
      <c r="N12" s="52" t="n">
        <v>-208.16</v>
      </c>
      <c r="O12" s="52">
        <f>O10-O11</f>
        <v>-237.54116956500002</v>
      </c>
      <c r="P12" s="52">
        <f>P10-P11</f>
        <v>-186.52533777899998</v>
      </c>
      <c r="Q12" s="52">
        <f>Q10-Q11</f>
        <v>-77.87796449422922</v>
      </c>
      <c r="R12" s="52">
        <f>R10-R11</f>
        <v>85.10763553144352</v>
      </c>
      <c r="S12" s="52">
        <f>S10-S11</f>
        <v>301.96153176161386</v>
      </c>
      <c r="T12" s="52">
        <f>T10-T11</f>
        <v>586.267152693582</v>
      </c>
      <c r="U12" s="52">
        <f>U10-U11</f>
        <v>928.6613455836252</v>
      </c>
      <c r="V12" s="52">
        <f>V10-V11</f>
        <v>1308.8616694126952</v>
      </c>
      <c r="W12" s="52">
        <f>W10-W11</f>
        <v>1696.4784191369945</v>
      </c>
      <c r="X12" s="52">
        <f>X10-X11</f>
        <v>2054.2119074015586</v>
      </c>
    </row>
    <row r="13">
      <c r="A13" s="2" t="inlineStr">
        <is>
          <t>Earnings per Share</t>
        </is>
      </c>
      <c r="B13" s="11">
        <f>IFERROR(B12/B14,0)</f>
        <v>-4.830773236136422</v>
      </c>
      <c r="C13" s="11">
        <f>IFERROR(C12/C14,0)</f>
        <v>-0.5366666666666667</v>
      </c>
      <c r="D13" s="11">
        <f>IFERROR(D12/D14,0)</f>
        <v>-1.340921233399481</v>
      </c>
      <c r="E13" s="11">
        <f>IFERROR(E12/E14,0)</f>
        <v>-1.945226461920273</v>
      </c>
      <c r="F13" s="11">
        <f>IFERROR(F12/F14,0)</f>
        <v>-2.5674949630624577</v>
      </c>
      <c r="G13" s="11">
        <f>IFERROR(G12/G14,0)</f>
        <v>-2.2153574885907896</v>
      </c>
      <c r="H13" s="11">
        <f>IFERROR(H12/H14,0)</f>
        <v>-1.7946517144705627</v>
      </c>
      <c r="I13" s="11">
        <f>IFERROR(I12/I14,0)</f>
        <v>-2.8359482045648123</v>
      </c>
      <c r="J13" s="11">
        <f>IFERROR(J12/J14,0)</f>
        <v>-5.208993131473751</v>
      </c>
      <c r="K13" s="11">
        <f>IFERROR(K12/K14,0)</f>
        <v>-5.566610438175758</v>
      </c>
      <c r="L13" s="11">
        <f>IFERROR(L12/L14,0)</f>
        <v>-3.780976895049436</v>
      </c>
      <c r="M13" s="11">
        <f>IFERROR(M12/M14,0)</f>
        <v>-1.5268525794191694</v>
      </c>
      <c r="N13" s="11">
        <f>IFERROR(N12/N14,0)</f>
        <v>-1.522516658011571</v>
      </c>
      <c r="O13" s="11">
        <f>IFERROR(O12/O14,0)</f>
        <v>-1.6479415682576688</v>
      </c>
      <c r="P13" s="11">
        <f>IFERROR(P12/P14,0)</f>
        <v>-1.2940192987271006</v>
      </c>
      <c r="Q13" s="11">
        <f>IFERROR(Q12/Q14,0)</f>
        <v>-0.5402782817662984</v>
      </c>
      <c r="R13" s="11">
        <f>IFERROR(R12/R14,0)</f>
        <v>0.5904341155902699</v>
      </c>
      <c r="S13" s="11">
        <f>IFERROR(S12/S14,0)</f>
        <v>2.094857750831087</v>
      </c>
      <c r="T13" s="11">
        <f>IFERROR(T12/T14,0)</f>
        <v>4.067227642252767</v>
      </c>
      <c r="U13" s="11">
        <f>IFERROR(U12/U14,0)</f>
        <v>6.442586929347369</v>
      </c>
      <c r="V13" s="11">
        <f>IFERROR(V12/V14,0)</f>
        <v>9.080226202784997</v>
      </c>
      <c r="W13" s="11">
        <f>IFERROR(W12/W14,0)</f>
        <v>11.769316921641677</v>
      </c>
      <c r="X13" s="11">
        <f>IFERROR(X12/X14,0)</f>
        <v>14.251092551308586</v>
      </c>
    </row>
    <row r="14">
      <c r="A14" s="2" t="inlineStr">
        <is>
          <t>Shares</t>
        </is>
      </c>
      <c r="B14" s="52" t="n">
        <v>7.682</v>
      </c>
      <c r="C14" s="52" t="n">
        <v>9.6</v>
      </c>
      <c r="D14" s="52" t="n">
        <v>52.408</v>
      </c>
      <c r="E14" s="52" t="n">
        <v>51.576</v>
      </c>
      <c r="F14" s="52" t="n">
        <v>53.604</v>
      </c>
      <c r="G14" s="52" t="n">
        <v>57.848</v>
      </c>
      <c r="H14" s="52" t="n">
        <v>69.55500000000001</v>
      </c>
      <c r="I14" s="52" t="n">
        <v>81.011</v>
      </c>
      <c r="J14" s="52" t="n">
        <v>90.55800000000001</v>
      </c>
      <c r="K14" s="52" t="n">
        <v>98.408</v>
      </c>
      <c r="L14" s="52" t="n">
        <v>114.997</v>
      </c>
      <c r="M14" s="52" t="n">
        <v>124.718</v>
      </c>
      <c r="N14" s="52" t="n">
        <v>136.721</v>
      </c>
      <c r="O14" s="52">
        <f>Main!$C$4</f>
        <v>144.14417</v>
      </c>
      <c r="P14" s="52">
        <f>Main!$C$4</f>
        <v>144.14417</v>
      </c>
      <c r="Q14" s="52">
        <f>Main!$C$4</f>
        <v>144.14417</v>
      </c>
      <c r="R14" s="52">
        <f>Main!$C$4</f>
        <v>144.14417</v>
      </c>
      <c r="S14" s="52">
        <f>Main!$C$4</f>
        <v>144.14417</v>
      </c>
      <c r="T14" s="52">
        <f>Main!$C$4</f>
        <v>144.14417</v>
      </c>
      <c r="U14" s="52">
        <f>Main!$C$4</f>
        <v>144.14417</v>
      </c>
      <c r="V14" s="52">
        <f>Main!$C$4</f>
        <v>144.14417</v>
      </c>
      <c r="W14" s="52">
        <f>Main!$C$4</f>
        <v>144.14417</v>
      </c>
      <c r="X14" s="52">
        <f>Main!$C$4</f>
        <v>144.14417</v>
      </c>
    </row>
    <row r="15"/>
    <row r="16" customFormat="1" s="4">
      <c r="A16" s="3" t="inlineStr">
        <is>
          <t>Revenue Change</t>
        </is>
      </c>
      <c r="C16" s="15">
        <f>IFERROR(C2/B2-1,"")</f>
        <v>1.8871871091696724</v>
      </c>
      <c r="D16" s="15">
        <f>IFERROR(D2/C2-1,"")</f>
        <v>0.19502916083345379</v>
      </c>
      <c r="E16" s="15">
        <f>IFERROR(E2/D2-1,"")</f>
        <v>0.14036405663103158</v>
      </c>
      <c r="F16" s="15">
        <f>IFERROR(F2/E2-1,"")</f>
        <v>-0.028262251582409803</v>
      </c>
      <c r="G16" s="15">
        <f>IFERROR(G2/F2-1,"")</f>
        <v>0.22146212886189853</v>
      </c>
      <c r="H16" s="15">
        <f>IFERROR(H2/G2-1,"")</f>
        <v>0.17338756627104557</v>
      </c>
      <c r="I16" s="15">
        <f>IFERROR(I2/H2-1,"")</f>
        <v>0.29331388425815685</v>
      </c>
      <c r="J16" s="15">
        <f>IFERROR(J2/I2-1,"")</f>
        <v>0.5996879835296223</v>
      </c>
      <c r="K16" s="15">
        <f>IFERROR(K2/J2-1,"")</f>
        <v>0.3113355055109146</v>
      </c>
      <c r="L16" s="15">
        <f>IFERROR(L2/K2-1,"")</f>
        <v>0.3198512110136036</v>
      </c>
      <c r="M16" s="15">
        <f>IFERROR(M2/L2-1,"")</f>
        <v>0.5674824099296953</v>
      </c>
      <c r="N16" s="15">
        <f>IFERROR(N2/M2-1,"")</f>
        <v>0.3590064534910786</v>
      </c>
      <c r="O16" s="15">
        <f>IFERROR(O2/N2-1,"")</f>
        <v>0.3500000000000001</v>
      </c>
      <c r="P16" s="15">
        <f>IFERROR(P2/O2-1,"")</f>
        <v>0.3138888888888889</v>
      </c>
      <c r="Q16" s="15">
        <f>IFERROR(Q2/P2-1,"")</f>
        <v>0.2777777777777777</v>
      </c>
      <c r="R16" s="15">
        <f>IFERROR(R2/Q2-1,"")</f>
        <v>0.2416666666666667</v>
      </c>
      <c r="S16" s="15">
        <f>IFERROR(S2/R2-1,"")</f>
        <v>0.2055555555555555</v>
      </c>
      <c r="T16" s="15">
        <f>IFERROR(T2/S2-1,"")</f>
        <v>0.1694444444444445</v>
      </c>
      <c r="U16" s="15">
        <f>IFERROR(U2/T2-1,"")</f>
        <v>0.1333333333333333</v>
      </c>
      <c r="V16" s="15">
        <f>IFERROR(V2/U2-1,"")</f>
        <v>0.09722222222222232</v>
      </c>
      <c r="W16" s="15">
        <f>IFERROR(W2/V2-1,"")</f>
        <v>0.061111111111111116</v>
      </c>
      <c r="X16" s="15">
        <f>IFERROR(X2/W2-1,"")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0.3243733120661217</v>
      </c>
      <c r="C17" s="15">
        <f>IFERROR(C4/C2,"")</f>
        <v>0.5078379549121408</v>
      </c>
      <c r="D17" s="15">
        <f>IFERROR(D4/D2,"")</f>
        <v>0.40718657245672557</v>
      </c>
      <c r="E17" s="15">
        <f>IFERROR(E4/E2,"")</f>
        <v>0.3804232657987599</v>
      </c>
      <c r="F17" s="15">
        <f>IFERROR(F4/F2,"")</f>
        <v>0.3575962719079923</v>
      </c>
      <c r="G17" s="15">
        <f>IFERROR(G4/G2,"")</f>
        <v>0.3864601364620771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0.3865</v>
      </c>
      <c r="P17" s="15">
        <f>IFERROR(P4/P2,"")</f>
        <v>0.38650000000000007</v>
      </c>
      <c r="Q17" s="15">
        <f>IFERROR(Q4/Q2,"")</f>
        <v>0.3865000000000001</v>
      </c>
      <c r="R17" s="15">
        <f>IFERROR(R4/R2,"")</f>
        <v>0.38650000000000007</v>
      </c>
      <c r="S17" s="15">
        <f>IFERROR(S4/S2,"")</f>
        <v>0.38650000000000007</v>
      </c>
      <c r="T17" s="15">
        <f>IFERROR(T4/T2,"")</f>
        <v>0.3865000000000001</v>
      </c>
      <c r="U17" s="15">
        <f>IFERROR(U4/U2,"")</f>
        <v>0.38650000000000007</v>
      </c>
      <c r="V17" s="15">
        <f>IFERROR(V4/V2,"")</f>
        <v>0.38650000000000007</v>
      </c>
      <c r="W17" s="15">
        <f>IFERROR(W4/W2,"")</f>
        <v>0.38650000000000007</v>
      </c>
      <c r="X17" s="15">
        <f>IFERROR(X4/X2,"")</f>
        <v>0.3865000000000001</v>
      </c>
    </row>
    <row r="18">
      <c r="A18" s="14" t="inlineStr">
        <is>
          <t>Operating Margin</t>
        </is>
      </c>
      <c r="B18" s="15">
        <f>IFERROR(B8/B2,"")</f>
        <v>-0.4579942361023001</v>
      </c>
      <c r="C18" s="15">
        <f>IFERROR(C8/C2,"")</f>
        <v>0.004174801775389248</v>
      </c>
      <c r="D18" s="15">
        <f>IFERROR(D8/D2,"")</f>
        <v>-0.31434950487247526</v>
      </c>
      <c r="E18" s="15">
        <f>IFERROR(E8/E2,"")</f>
        <v>-0.46550945760431917</v>
      </c>
      <c r="F18" s="15">
        <f>IFERROR(F8/F2,"")</f>
        <v>-0.6416120300181569</v>
      </c>
      <c r="G18" s="15">
        <f>IFERROR(G8/G2,"")</f>
        <v>-0.4448912106934105</v>
      </c>
      <c r="H18" s="15">
        <f>IFERROR(H8/H2,"")</f>
        <v>-0.38463853827630934</v>
      </c>
      <c r="I18" s="15">
        <f>IFERROR(I8/I2,"")</f>
        <v>-0.5531310341299984</v>
      </c>
      <c r="J18" s="15">
        <f>IFERROR(J8/J2,"")</f>
        <v>-0.7484963692232921</v>
      </c>
      <c r="K18" s="15">
        <f>IFERROR(K8/K2,"")</f>
        <v>-0.6596262962953932</v>
      </c>
      <c r="L18" s="15">
        <f>IFERROR(L8/L2,"")</f>
        <v>-0.4122085295098427</v>
      </c>
      <c r="M18" s="15">
        <f>IFERROR(M8/M2,"")</f>
        <v>-0.13099920974052254</v>
      </c>
      <c r="N18" s="15">
        <f>IFERROR(N8/N2,"")</f>
        <v>-0.13438673646954857</v>
      </c>
      <c r="O18" s="15">
        <f>IFERROR(O8/O2,"")</f>
        <v>-0.0763</v>
      </c>
      <c r="P18" s="15">
        <f>IFERROR(P8/P2,"")</f>
        <v>-0.045599999999999995</v>
      </c>
      <c r="Q18" s="15">
        <f>IFERROR(Q8/Q2,"")</f>
        <v>-0.01490000000000001</v>
      </c>
      <c r="R18" s="15">
        <f>IFERROR(R8/R2,"")</f>
        <v>0.015800000000000015</v>
      </c>
      <c r="S18" s="15">
        <f>IFERROR(S8/S2,"")</f>
        <v>0.04649999999999999</v>
      </c>
      <c r="T18" s="15">
        <f>IFERROR(T8/T2,"")</f>
        <v>0.07719999999999998</v>
      </c>
      <c r="U18" s="15">
        <f>IFERROR(U8/U2,"")</f>
        <v>0.10790000000000001</v>
      </c>
      <c r="V18" s="15">
        <f>IFERROR(V8/V2,"")</f>
        <v>0.1386</v>
      </c>
      <c r="W18" s="15">
        <f>IFERROR(W8/W2,"")</f>
        <v>0.1693</v>
      </c>
      <c r="X18" s="15">
        <f>IFERROR(X8/X2,"")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Natera,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0.095</v>
      </c>
      <c r="C10" s="53" t="n">
        <v>0.08500000000000001</v>
      </c>
      <c r="D10" s="53" t="n">
        <v>0.075</v>
      </c>
      <c r="E10" s="54">
        <f>IF(ISNUMBER($B$6),$B$6,CHOOSE($B$4,B10,C10,D10))</f>
        <v>0.085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0.3</v>
      </c>
      <c r="C12" s="53" t="n">
        <v>0.35</v>
      </c>
      <c r="D12" s="53" t="n">
        <v>0.4</v>
      </c>
      <c r="E12" s="54">
        <f>CHOOSE($B$4,B12,C12,D12)</f>
        <v>0.35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-0.107</v>
      </c>
    </row>
    <row r="19">
      <c r="A19" s="14" t="inlineStr">
        <is>
          <t>Gross margin (forecast)</t>
        </is>
      </c>
      <c r="B19" s="53" t="n">
        <v>0.3865</v>
      </c>
    </row>
    <row r="20">
      <c r="A20" s="14" t="inlineStr">
        <is>
          <t>R&amp;D share of operating expense (forecast)</t>
        </is>
      </c>
      <c r="B20" s="53" t="n">
        <v>0.2386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Model'!N2</f>
        <v>2306.113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17333.79959713687</v>
      </c>
      <c r="C29" s="56">
        <f>NPV!B26</f>
        <v>18345.01059713687</v>
      </c>
      <c r="D29" s="35">
        <f>NPV!B28</f>
        <v>127.26848818885195</v>
      </c>
      <c r="E29" s="57">
        <f>NPV!B30</f>
        <v>-0.6864690377688906</v>
      </c>
    </row>
    <row r="30">
      <c r="A30" s="58" t="n">
        <v>1</v>
      </c>
      <c r="B30" s="59">
        <f t="dataTable" ref="B30:E32" r1="B4"/>
        <v>7061.208492749317</v>
      </c>
      <c r="C30" s="59">
        <v>8072.419492749316</v>
      </c>
      <c r="D30" s="39">
        <v>56.00240018551785</v>
      </c>
      <c r="E30" s="60">
        <v>-0.8620358686797451</v>
      </c>
    </row>
    <row r="31">
      <c r="A31" s="58" t="n">
        <v>2</v>
      </c>
      <c r="B31" s="59">
        <v>17333.79959713687</v>
      </c>
      <c r="C31" s="59">
        <v>18345.01059713687</v>
      </c>
      <c r="D31" s="39">
        <v>127.26848818885195</v>
      </c>
      <c r="E31" s="60">
        <v>-0.6864690377688906</v>
      </c>
    </row>
    <row r="32">
      <c r="A32" s="58" t="n">
        <v>3</v>
      </c>
      <c r="B32" s="59">
        <v>39578.250120581746</v>
      </c>
      <c r="C32" s="59">
        <v>40589.46112058175</v>
      </c>
      <c r="D32" s="39">
        <v>281.58933601394875</v>
      </c>
      <c r="E32" s="60">
        <v>-0.30629351592937337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127.26848818885195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0.065</v>
      </c>
      <c r="B37" s="39">
        <f t="dataTable" ref="B37:F41" dt2D="1" r1="B7" r2="B6"/>
        <v>170.48023696111994</v>
      </c>
      <c r="C37" s="39">
        <v>190.46421210212097</v>
      </c>
      <c r="D37" s="39">
        <v>215.47017185122635</v>
      </c>
      <c r="E37" s="39">
        <v>247.6507523598407</v>
      </c>
      <c r="F37" s="39">
        <v>290.5936853482639</v>
      </c>
    </row>
    <row r="38">
      <c r="A38" s="62" t="n">
        <v>0.075</v>
      </c>
      <c r="B38" s="39">
        <v>133.71327192438412</v>
      </c>
      <c r="C38" s="39">
        <v>146.6354118095481</v>
      </c>
      <c r="D38" s="39">
        <v>162.16142619662233</v>
      </c>
      <c r="E38" s="39">
        <v>181.15953124105903</v>
      </c>
      <c r="F38" s="39">
        <v>204.93205452484185</v>
      </c>
    </row>
    <row r="39">
      <c r="A39" s="62" t="n">
        <v>0.08500000000000001</v>
      </c>
      <c r="B39" s="39">
        <v>107.99380893483485</v>
      </c>
      <c r="C39" s="39">
        <v>116.8828092240094</v>
      </c>
      <c r="D39" s="39">
        <v>127.26848818885195</v>
      </c>
      <c r="E39" s="39">
        <v>139.5592272580097</v>
      </c>
      <c r="F39" s="39">
        <v>154.32676292525977</v>
      </c>
    </row>
    <row r="40">
      <c r="A40" s="62" t="n">
        <v>0.095</v>
      </c>
      <c r="B40" s="39">
        <v>89.13953067176514</v>
      </c>
      <c r="C40" s="39">
        <v>95.53328165201722</v>
      </c>
      <c r="D40" s="39">
        <v>102.85262912532718</v>
      </c>
      <c r="E40" s="39">
        <v>111.3113269858076</v>
      </c>
      <c r="F40" s="39">
        <v>121.19438236157396</v>
      </c>
    </row>
    <row r="41">
      <c r="A41" s="62" t="n">
        <v>0.105</v>
      </c>
      <c r="B41" s="39">
        <v>74.83031874714602</v>
      </c>
      <c r="C41" s="39">
        <v>79.5870502645146</v>
      </c>
      <c r="D41" s="39">
        <v>84.94840330659835</v>
      </c>
      <c r="E41" s="39">
        <v>91.03542717472061</v>
      </c>
      <c r="F41" s="39">
        <v>98.00375823212775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Natera, Inc.: free-cash-flow DCF ($mm)</t>
        </is>
      </c>
    </row>
    <row r="3">
      <c r="A3" s="20" t="inlineStr">
        <is>
          <t>Fiscal year</t>
        </is>
      </c>
      <c r="B3" s="43">
        <f>'Yearly Model'!N1</f>
        <v>2025</v>
      </c>
      <c r="C3" s="43">
        <f>'Yearly Model'!O1</f>
        <v>2026</v>
      </c>
      <c r="D3" s="43">
        <f>'Yearly Model'!P1</f>
        <v>2027</v>
      </c>
      <c r="E3" s="43">
        <f>'Yearly Model'!Q1</f>
        <v>2028</v>
      </c>
      <c r="F3" s="43">
        <f>'Yearly Model'!R1</f>
        <v>2029</v>
      </c>
      <c r="G3" s="43">
        <f>'Yearly Model'!S1</f>
        <v>2030</v>
      </c>
      <c r="H3" s="43">
        <f>'Yearly Model'!T1</f>
        <v>2031</v>
      </c>
      <c r="I3" s="43">
        <f>'Yearly Model'!U1</f>
        <v>2032</v>
      </c>
      <c r="J3" s="43">
        <f>'Yearly Model'!V1</f>
        <v>2033</v>
      </c>
      <c r="K3" s="43">
        <f>'Yearly Model'!W1</f>
        <v>2034</v>
      </c>
      <c r="L3" s="43">
        <f>'Yearly Model'!X1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0.35</v>
      </c>
      <c r="D5" s="63">
        <f>Assumptions!$E$12+(Assumptions!$E$11-Assumptions!$E$12)*(D4-1)/(Assumptions!$B$21-1)</f>
        <v>0.3138888888888889</v>
      </c>
      <c r="E5" s="63">
        <f>Assumptions!$E$12+(Assumptions!$E$11-Assumptions!$E$12)*(E4-1)/(Assumptions!$B$21-1)</f>
        <v>0.2777777777777778</v>
      </c>
      <c r="F5" s="63">
        <f>Assumptions!$E$12+(Assumptions!$E$11-Assumptions!$E$12)*(F4-1)/(Assumptions!$B$21-1)</f>
        <v>0.24166666666666664</v>
      </c>
      <c r="G5" s="63">
        <f>Assumptions!$E$12+(Assumptions!$E$11-Assumptions!$E$12)*(G4-1)/(Assumptions!$B$21-1)</f>
        <v>0.20555555555555555</v>
      </c>
      <c r="H5" s="63">
        <f>Assumptions!$E$12+(Assumptions!$E$11-Assumptions!$E$12)*(H4-1)/(Assumptions!$B$21-1)</f>
        <v>0.16944444444444445</v>
      </c>
      <c r="I5" s="63">
        <f>Assumptions!$E$12+(Assumptions!$E$11-Assumptions!$E$12)*(I4-1)/(Assumptions!$B$21-1)</f>
        <v>0.13333333333333333</v>
      </c>
      <c r="J5" s="63">
        <f>Assumptions!$E$12+(Assumptions!$E$11-Assumptions!$E$12)*(J4-1)/(Assumptions!$B$21-1)</f>
        <v>0.09722222222222227</v>
      </c>
      <c r="K5" s="63">
        <f>Assumptions!$E$12+(Assumptions!$E$11-Assumptions!$E$12)*(K4-1)/(Assumptions!$B$21-1)</f>
        <v>0.061111111111111116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-0.13438673646954857</v>
      </c>
      <c r="C6" s="63">
        <f>Assumptions!$B$18+(Assumptions!$E$13-Assumptions!$B$18)*C4/Assumptions!$B$21</f>
        <v>-0.0763</v>
      </c>
      <c r="D6" s="63">
        <f>Assumptions!$B$18+(Assumptions!$E$13-Assumptions!$B$18)*D4/Assumptions!$B$21</f>
        <v>-0.0456</v>
      </c>
      <c r="E6" s="63">
        <f>Assumptions!$B$18+(Assumptions!$E$13-Assumptions!$B$18)*E4/Assumptions!$B$21</f>
        <v>-0.014899999999999997</v>
      </c>
      <c r="F6" s="63">
        <f>Assumptions!$B$18+(Assumptions!$E$13-Assumptions!$B$18)*F4/Assumptions!$B$21</f>
        <v>0.015799999999999995</v>
      </c>
      <c r="G6" s="63">
        <f>Assumptions!$B$18+(Assumptions!$E$13-Assumptions!$B$18)*G4/Assumptions!$B$21</f>
        <v>0.0465</v>
      </c>
      <c r="H6" s="63">
        <f>Assumptions!$B$18+(Assumptions!$E$13-Assumptions!$B$18)*H4/Assumptions!$B$21</f>
        <v>0.0772</v>
      </c>
      <c r="I6" s="63">
        <f>Assumptions!$B$18+(Assumptions!$E$13-Assumptions!$B$18)*I4/Assumptions!$B$21</f>
        <v>0.10790000000000001</v>
      </c>
      <c r="J6" s="63">
        <f>Assumptions!$B$18+(Assumptions!$E$13-Assumptions!$B$18)*J4/Assumptions!$B$21</f>
        <v>0.1386</v>
      </c>
      <c r="K6" s="63">
        <f>Assumptions!$B$18+(Assumptions!$E$13-Assumptions!$B$18)*K4/Assumptions!$B$21</f>
        <v>0.1693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Model'!N2</f>
        <v>2306.113</v>
      </c>
      <c r="C7" s="55">
        <f>'Yearly Model'!O2</f>
        <v>3113.25255</v>
      </c>
      <c r="D7" s="55">
        <f>'Yearly Model'!P2</f>
        <v>4090.46793375</v>
      </c>
      <c r="E7" s="55">
        <f>'Yearly Model'!Q2</f>
        <v>5226.709026458333</v>
      </c>
      <c r="F7" s="55">
        <f>'Yearly Model'!R2</f>
        <v>6489.830374519097</v>
      </c>
      <c r="G7" s="55">
        <f>'Yearly Model'!S2</f>
        <v>7823.851062614689</v>
      </c>
      <c r="H7" s="55">
        <f>'Yearly Model'!T2</f>
        <v>9149.559159335511</v>
      </c>
      <c r="I7" s="55">
        <f>'Yearly Model'!U2</f>
        <v>10369.500380580246</v>
      </c>
      <c r="J7" s="55">
        <f>'Yearly Model'!V2</f>
        <v>11377.646250914438</v>
      </c>
      <c r="K7" s="55">
        <f>'Yearly Model'!W2</f>
        <v>12072.946855136988</v>
      </c>
      <c r="L7" s="55">
        <f>'Yearly Model'!X2</f>
        <v>12374.770526515413</v>
      </c>
    </row>
    <row r="8">
      <c r="A8" s="14" t="inlineStr">
        <is>
          <t>Operating income</t>
        </is>
      </c>
      <c r="B8" s="55">
        <f>'Yearly Model'!N8</f>
        <v>-309.91100000000006</v>
      </c>
      <c r="C8" s="55">
        <f>'Yearly Model'!O8</f>
        <v>-237.54116956500002</v>
      </c>
      <c r="D8" s="55">
        <f>'Yearly Model'!P8</f>
        <v>-186.52533777899998</v>
      </c>
      <c r="E8" s="55">
        <f>'Yearly Model'!Q8</f>
        <v>-77.87796449422922</v>
      </c>
      <c r="F8" s="55">
        <f>'Yearly Model'!R8</f>
        <v>102.53931991740183</v>
      </c>
      <c r="G8" s="55">
        <f>'Yearly Model'!S8</f>
        <v>363.80907441158297</v>
      </c>
      <c r="H8" s="55">
        <f>'Yearly Model'!T8</f>
        <v>706.3459671007013</v>
      </c>
      <c r="I8" s="55">
        <f>'Yearly Model'!U8</f>
        <v>1118.8690910646087</v>
      </c>
      <c r="J8" s="55">
        <f>'Yearly Model'!V8</f>
        <v>1576.9417703767413</v>
      </c>
      <c r="K8" s="55">
        <f>'Yearly Model'!W8</f>
        <v>2043.9499025746923</v>
      </c>
      <c r="L8" s="55">
        <f>'Yearly Model'!X8</f>
        <v>2474.9541053030825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17.431684385958313</v>
      </c>
      <c r="G9" s="52">
        <f>MAX(0,G8)*Assumptions!$E$14</f>
        <v>61.84754264996911</v>
      </c>
      <c r="H9" s="52">
        <f>MAX(0,H8)*Assumptions!$E$14</f>
        <v>120.07881440711922</v>
      </c>
      <c r="I9" s="52">
        <f>MAX(0,I8)*Assumptions!$E$14</f>
        <v>190.2077454809835</v>
      </c>
      <c r="J9" s="52">
        <f>MAX(0,J8)*Assumptions!$E$14</f>
        <v>268.08010096404604</v>
      </c>
      <c r="K9" s="52">
        <f>MAX(0,K8)*Assumptions!$E$14</f>
        <v>347.4714834376977</v>
      </c>
      <c r="L9" s="52">
        <f>MAX(0,L8)*Assumptions!$E$14</f>
        <v>420.74219790152404</v>
      </c>
    </row>
    <row r="10">
      <c r="A10" s="14" t="inlineStr">
        <is>
          <t>NOPAT</t>
        </is>
      </c>
      <c r="C10" s="52">
        <f>C8-C9</f>
        <v>-237.54116956500002</v>
      </c>
      <c r="D10" s="52">
        <f>D8-D9</f>
        <v>-186.52533777899998</v>
      </c>
      <c r="E10" s="52">
        <f>E8-E9</f>
        <v>-77.87796449422922</v>
      </c>
      <c r="F10" s="52">
        <f>F8-F9</f>
        <v>85.10763553144352</v>
      </c>
      <c r="G10" s="52">
        <f>G8-G9</f>
        <v>301.96153176161386</v>
      </c>
      <c r="H10" s="52">
        <f>H8-H9</f>
        <v>586.267152693582</v>
      </c>
      <c r="I10" s="52">
        <f>I8-I9</f>
        <v>928.6613455836252</v>
      </c>
      <c r="J10" s="52">
        <f>J8-J9</f>
        <v>1308.8616694126952</v>
      </c>
      <c r="K10" s="52">
        <f>K8-K9</f>
        <v>1696.4784191369945</v>
      </c>
      <c r="L10" s="52">
        <f>L8-L9</f>
        <v>2054.2119074015586</v>
      </c>
    </row>
    <row r="11">
      <c r="A11" s="14" t="inlineStr">
        <is>
          <t>Reinvestment</t>
        </is>
      </c>
      <c r="C11" s="52">
        <f>(C7-B7)*Assumptions!$E$15</f>
        <v>201.78488750000008</v>
      </c>
      <c r="D11" s="52">
        <f>(D7-C7)*Assumptions!$E$15</f>
        <v>244.3038459375</v>
      </c>
      <c r="E11" s="52">
        <f>(E7-D7)*Assumptions!$E$15</f>
        <v>284.0602731770832</v>
      </c>
      <c r="F11" s="52">
        <f>(F7-E7)*Assumptions!$E$15</f>
        <v>315.780337015191</v>
      </c>
      <c r="G11" s="52">
        <f>(G7-F7)*Assumptions!$E$15</f>
        <v>333.505172023898</v>
      </c>
      <c r="H11" s="52">
        <f>(H7-G7)*Assumptions!$E$15</f>
        <v>331.42702418020554</v>
      </c>
      <c r="I11" s="52">
        <f>(I7-H7)*Assumptions!$E$15</f>
        <v>304.98530531118377</v>
      </c>
      <c r="J11" s="52">
        <f>(J7-I7)*Assumptions!$E$15</f>
        <v>252.03646758354807</v>
      </c>
      <c r="K11" s="52">
        <f>(K7-J7)*Assumptions!$E$15</f>
        <v>173.82515105563743</v>
      </c>
      <c r="L11" s="52">
        <f>(L7-K7)*Assumptions!$E$15</f>
        <v>75.45591784460612</v>
      </c>
    </row>
    <row r="12">
      <c r="A12" s="20" t="inlineStr">
        <is>
          <t>Free cash flow</t>
        </is>
      </c>
      <c r="C12" s="64">
        <f>C10-C11</f>
        <v>-439.3260570650001</v>
      </c>
      <c r="D12" s="64">
        <f>D10-D11</f>
        <v>-430.8291837165</v>
      </c>
      <c r="E12" s="64">
        <f>E10-E11</f>
        <v>-361.93823767131244</v>
      </c>
      <c r="F12" s="64">
        <f>F10-F11</f>
        <v>-230.67270148374746</v>
      </c>
      <c r="G12" s="64">
        <f>G10-G11</f>
        <v>-31.543640262284157</v>
      </c>
      <c r="H12" s="64">
        <f>H10-H11</f>
        <v>254.8401285133765</v>
      </c>
      <c r="I12" s="64">
        <f>I10-I11</f>
        <v>623.6760402724415</v>
      </c>
      <c r="J12" s="64">
        <f>J10-J11</f>
        <v>1056.825201829147</v>
      </c>
      <c r="K12" s="64">
        <f>K10-K11</f>
        <v>1522.653268081357</v>
      </c>
      <c r="L12" s="64">
        <f>L10-L11</f>
        <v>1978.7559895569525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0.9796477254942977</v>
      </c>
      <c r="D15" s="65">
        <f>1/(1+Assumptions!$E$10)^D14</f>
        <v>0.9213507631196715</v>
      </c>
      <c r="E15" s="65">
        <f>1/(1+Assumptions!$E$10)^E14</f>
        <v>0.849171210248545</v>
      </c>
      <c r="F15" s="65">
        <f>1/(1+Assumptions!$E$10)^F14</f>
        <v>0.7826462767267697</v>
      </c>
      <c r="G15" s="65">
        <f>1/(1+Assumptions!$E$10)^G14</f>
        <v>0.7213329739417232</v>
      </c>
      <c r="H15" s="65">
        <f>1/(1+Assumptions!$E$10)^H14</f>
        <v>0.6648230174578095</v>
      </c>
      <c r="I15" s="65">
        <f>1/(1+Assumptions!$E$10)^I14</f>
        <v>0.6127401082560456</v>
      </c>
      <c r="J15" s="65">
        <f>1/(1+Assumptions!$E$10)^J14</f>
        <v>0.5647374269640973</v>
      </c>
      <c r="K15" s="65">
        <f>1/(1+Assumptions!$E$10)^K14</f>
        <v>0.5204953243908731</v>
      </c>
      <c r="L15" s="65">
        <f>1/(1+Assumptions!$E$10)^L14</f>
        <v>0.47971919298697985</v>
      </c>
    </row>
    <row r="16">
      <c r="A16" s="20" t="inlineStr">
        <is>
          <t>PV of free cash flow</t>
        </is>
      </c>
      <c r="C16" s="64">
        <f>C12*C13*C15</f>
        <v>-216.95696384452452</v>
      </c>
      <c r="D16" s="64">
        <f>D12*D13*D15</f>
        <v>-396.94479719142237</v>
      </c>
      <c r="E16" s="64">
        <f>E12*E13*E15</f>
        <v>-307.3475313185739</v>
      </c>
      <c r="F16" s="64">
        <f>F12*F13*F15</f>
        <v>-180.53513095876056</v>
      </c>
      <c r="G16" s="64">
        <f>G12*G13*G15</f>
        <v>-22.75346783934131</v>
      </c>
      <c r="H16" s="64">
        <f>H12*H13*H15</f>
        <v>169.4235832075989</v>
      </c>
      <c r="I16" s="64">
        <f>I12*I13*I15</f>
        <v>382.1513244332377</v>
      </c>
      <c r="J16" s="64">
        <f>J12*J13*J15</f>
        <v>596.8287452318054</v>
      </c>
      <c r="K16" s="64">
        <f>K12*K13*K15</f>
        <v>792.533906704829</v>
      </c>
      <c r="L16" s="64">
        <f>L12*L13*L15</f>
        <v>949.247226428414</v>
      </c>
    </row>
    <row r="19">
      <c r="A19" s="14" t="inlineStr">
        <is>
          <t>PV of forecast free cash flow</t>
        </is>
      </c>
      <c r="B19" s="52">
        <f>SUM(C16:L16)</f>
        <v>1765.6468948532622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2028.224889295876</v>
      </c>
    </row>
    <row r="21">
      <c r="A21" s="14" t="inlineStr">
        <is>
          <t>Terminal value</t>
        </is>
      </c>
      <c r="B21" s="52">
        <f>B20/(Assumptions!$E$10-Assumptions!$E$11)</f>
        <v>33803.748154931265</v>
      </c>
    </row>
    <row r="22">
      <c r="A22" s="14" t="inlineStr">
        <is>
          <t>PV of terminal value</t>
        </is>
      </c>
      <c r="B22" s="52">
        <f>B21/(1+Assumptions!$E$10)^(L14+0.5)</f>
        <v>15568.152702283605</v>
      </c>
    </row>
    <row r="23">
      <c r="A23" s="20" t="inlineStr">
        <is>
          <t>Enterprise value</t>
        </is>
      </c>
      <c r="B23" s="66">
        <f>B19+B22</f>
        <v>17333.79959713687</v>
      </c>
    </row>
    <row r="24">
      <c r="A24" s="14" t="inlineStr">
        <is>
          <t>Cash &amp; investments</t>
        </is>
      </c>
      <c r="B24" s="55">
        <f>Main!C7</f>
        <v>1091.502</v>
      </c>
    </row>
    <row r="25">
      <c r="A25" s="14" t="inlineStr">
        <is>
          <t>Debt</t>
        </is>
      </c>
      <c r="B25" s="55">
        <f>Main!C8</f>
        <v>80.291</v>
      </c>
    </row>
    <row r="26">
      <c r="A26" s="20" t="inlineStr">
        <is>
          <t>Equity value</t>
        </is>
      </c>
      <c r="B26" s="66">
        <f>B23+B24-B25</f>
        <v>18345.01059713687</v>
      </c>
    </row>
    <row r="27">
      <c r="A27" s="14" t="inlineStr">
        <is>
          <t>Shares (mm)</t>
        </is>
      </c>
      <c r="B27" s="55">
        <f>Main!C4</f>
        <v>144.14417</v>
      </c>
    </row>
    <row r="28">
      <c r="A28" s="20" t="inlineStr">
        <is>
          <t>NPV / share</t>
        </is>
      </c>
      <c r="B28" s="49">
        <f>B26/B27</f>
        <v>127.26848818885195</v>
      </c>
    </row>
    <row r="29">
      <c r="A29" s="14" t="inlineStr">
        <is>
          <t>Price</t>
        </is>
      </c>
      <c r="B29" s="50">
        <f>Main!C3</f>
        <v>405.92</v>
      </c>
    </row>
    <row r="30">
      <c r="A30" s="14" t="inlineStr">
        <is>
          <t>Upside</t>
        </is>
      </c>
      <c r="B30" s="63">
        <f>B28/B29-1</f>
        <v>-0.6864690377688906</v>
      </c>
    </row>
    <row r="31">
      <c r="A31" s="14" t="inlineStr">
        <is>
          <t>Terminal value, % of EV</t>
        </is>
      </c>
      <c r="B31" s="63">
        <f>IFERROR(B22/B23,0)</f>
        <v>0.8981384961237866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2026-10-21T01:03:38Z</dcterms:modified>
  <cp:lastModifiedBy>Wang, Eric</cp:lastModifiedBy>
</cp:coreProperties>
</file>