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Insight Molecular Diagnostics Inc</t>
        </is>
      </c>
      <c r="C2" s="10" t="n"/>
    </row>
    <row r="3">
      <c r="B3" t="inlineStr">
        <is>
          <t>Price</t>
        </is>
      </c>
      <c r="C3" s="11">
        <f>INDEX([1]Pharma!$F$1:$F$1000,MATCH("IMDX",[1]Pharma!$B$1:$B$1000,0))</f>
        <v>3.03</v>
      </c>
      <c r="F3" s="1" t="n"/>
    </row>
    <row r="4">
      <c r="B4" t="inlineStr">
        <is>
          <t>Shares</t>
        </is>
      </c>
      <c r="C4" s="21" t="n">
        <v>32.724284</v>
      </c>
      <c r="F4" s="1" t="n"/>
    </row>
    <row r="5">
      <c r="B5" t="inlineStr">
        <is>
          <t>Market Cap.</t>
        </is>
      </c>
      <c r="C5" s="13">
        <f>C3*C4</f>
        <v>99.15458051999998</v>
      </c>
      <c r="F5" s="1" t="n"/>
    </row>
    <row r="6"/>
    <row r="7">
      <c r="B7" t="inlineStr">
        <is>
          <t>Cash</t>
        </is>
      </c>
      <c r="C7" s="21" t="n">
        <v>17.756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81.39858051999998</v>
      </c>
    </row>
    <row r="10"/>
    <row r="11">
      <c r="B11" s="14" t="inlineStr">
        <is>
          <t>Net Cash / Share</t>
        </is>
      </c>
      <c r="C11" s="11">
        <f>(C7-C8)/C4</f>
        <v>0.5425939953338628</v>
      </c>
    </row>
    <row r="12">
      <c r="B12" s="14" t="inlineStr">
        <is>
          <t>Upside</t>
        </is>
      </c>
      <c r="C12" s="15">
        <f>IFERROR(C11/C3-1,"")</f>
        <v>-0.82092607414724</v>
      </c>
    </row>
    <row r="13">
      <c r="B13" s="14" t="inlineStr">
        <is>
          <t>Cash / Share</t>
        </is>
      </c>
      <c r="C13" s="11">
        <f>IFERROR((C7-C8)/C4,"")</f>
        <v>0.5425939953338628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-27.078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0.6557352832557797</v>
      </c>
    </row>
    <row r="19">
      <c r="B19" s="14" t="inlineStr">
        <is>
          <t>Implied Pipeline Value</t>
        </is>
      </c>
      <c r="C19" s="13">
        <f>C9</f>
        <v>81.39858051999998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2014</v>
      </c>
      <c r="C1" s="17" t="n">
        <v>2015</v>
      </c>
      <c r="D1" s="17" t="n">
        <v>2016</v>
      </c>
      <c r="E1" s="17" t="n">
        <v>2017</v>
      </c>
      <c r="F1" s="17" t="n">
        <v>2018</v>
      </c>
      <c r="G1" s="17" t="n">
        <v>2019</v>
      </c>
      <c r="H1" s="17" t="n">
        <v>2020</v>
      </c>
      <c r="I1" s="17" t="n">
        <v>2021</v>
      </c>
      <c r="J1" s="17" t="n">
        <v>2022</v>
      </c>
      <c r="K1" s="17" t="n">
        <v>2023</v>
      </c>
      <c r="L1" s="17" t="n">
        <v>2024</v>
      </c>
      <c r="M1" s="17" t="n">
        <v>2025</v>
      </c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1.216</v>
      </c>
      <c r="I2" s="23" t="n">
        <v>2.198</v>
      </c>
      <c r="J2" s="23" t="n">
        <v>0.958</v>
      </c>
      <c r="K2" s="23" t="n">
        <v>1.503</v>
      </c>
      <c r="L2" s="23" t="n">
        <v>1.881</v>
      </c>
      <c r="M2" s="23" t="n">
        <v>4.055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1.855</v>
      </c>
      <c r="I3" s="23" t="n">
        <v>0.697</v>
      </c>
      <c r="J3" s="23" t="n">
        <v>0.88</v>
      </c>
      <c r="K3" s="23" t="n">
        <v>1.002</v>
      </c>
      <c r="L3" s="23" t="n">
        <v>1.053</v>
      </c>
      <c r="M3" s="23" t="n">
        <v>1.75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-0.639</v>
      </c>
      <c r="I4" s="23">
        <f>I2-I3</f>
        <v>1.501</v>
      </c>
      <c r="J4" s="23">
        <f>J2-J3</f>
        <v>0.07799999999999996</v>
      </c>
      <c r="K4" s="23">
        <f>K2-K3</f>
        <v>0.5009999999999999</v>
      </c>
      <c r="L4" s="23">
        <f>L2-L3</f>
        <v>0.8280000000000001</v>
      </c>
      <c r="M4" s="23">
        <f>M2-M3</f>
        <v>2.3049999999999997</v>
      </c>
    </row>
    <row r="5">
      <c r="A5" s="2" t="inlineStr">
        <is>
          <t>Research &amp; Dev.</t>
        </is>
      </c>
      <c r="B5" s="23" t="n">
        <v>3.962</v>
      </c>
      <c r="C5" s="23" t="n">
        <v>4.527</v>
      </c>
      <c r="D5" s="23" t="n">
        <v>5.677</v>
      </c>
      <c r="E5" s="23" t="n">
        <v>7.174</v>
      </c>
      <c r="F5" s="23" t="n">
        <v>6.514</v>
      </c>
      <c r="G5" s="23" t="n">
        <v>6.794</v>
      </c>
      <c r="H5" s="23" t="n">
        <v>9.800000000000001</v>
      </c>
      <c r="I5" s="23" t="n">
        <v>5.035</v>
      </c>
      <c r="J5" s="23" t="n">
        <v>7.301</v>
      </c>
      <c r="K5" s="23" t="n">
        <v>9.294</v>
      </c>
      <c r="L5" s="23" t="n">
        <v>9.839</v>
      </c>
      <c r="M5" s="23" t="n">
        <v>15.9</v>
      </c>
    </row>
    <row r="6">
      <c r="A6" s="19" t="inlineStr">
        <is>
          <t>SG&amp;A &amp; Other</t>
        </is>
      </c>
      <c r="B6" s="23" t="n">
        <v>1.011</v>
      </c>
      <c r="C6" s="23" t="n">
        <v>4.191</v>
      </c>
      <c r="D6" s="23" t="n">
        <v>5.463</v>
      </c>
      <c r="E6" s="23" t="n">
        <v>11.675</v>
      </c>
      <c r="F6" s="23" t="n">
        <v>8.688000000000001</v>
      </c>
      <c r="G6" s="23" t="n">
        <v>15.445</v>
      </c>
      <c r="H6" s="23" t="n">
        <v>19.272</v>
      </c>
      <c r="I6" s="23" t="n">
        <v>50.191</v>
      </c>
      <c r="J6" s="23" t="n">
        <v>10.774</v>
      </c>
      <c r="K6" s="23" t="n">
        <v>16.343</v>
      </c>
      <c r="L6" s="23" t="n">
        <v>52.03</v>
      </c>
      <c r="M6" s="23" t="n">
        <v>37.529</v>
      </c>
    </row>
    <row r="7">
      <c r="A7" s="2" t="inlineStr">
        <is>
          <t>Operating Expense</t>
        </is>
      </c>
      <c r="B7" s="23">
        <f>SUM(B5:B6)</f>
        <v>4.973</v>
      </c>
      <c r="C7" s="23">
        <f>SUM(C5:C6)</f>
        <v>8.718</v>
      </c>
      <c r="D7" s="23">
        <f>SUM(D5:D6)</f>
        <v>11.14</v>
      </c>
      <c r="E7" s="23">
        <f>SUM(E5:E6)</f>
        <v>18.849</v>
      </c>
      <c r="F7" s="23">
        <f>SUM(F5:F6)</f>
        <v>15.202000000000002</v>
      </c>
      <c r="G7" s="23">
        <f>SUM(G5:G6)</f>
        <v>22.239</v>
      </c>
      <c r="H7" s="23">
        <f>SUM(H5:H6)</f>
        <v>29.072</v>
      </c>
      <c r="I7" s="23">
        <f>SUM(I5:I6)</f>
        <v>55.226</v>
      </c>
      <c r="J7" s="23">
        <f>SUM(J5:J6)</f>
        <v>18.075</v>
      </c>
      <c r="K7" s="23">
        <f>SUM(K5:K6)</f>
        <v>25.637</v>
      </c>
      <c r="L7" s="23">
        <f>SUM(L5:L6)</f>
        <v>61.869</v>
      </c>
      <c r="M7" s="23">
        <f>SUM(M5:M6)</f>
        <v>53.429</v>
      </c>
    </row>
    <row r="8">
      <c r="A8" s="2" t="inlineStr">
        <is>
          <t>Operating Income</t>
        </is>
      </c>
      <c r="B8" s="23">
        <f>B4-B7</f>
        <v>-4.973</v>
      </c>
      <c r="C8" s="23">
        <f>C4-C7</f>
        <v>-8.718</v>
      </c>
      <c r="D8" s="23">
        <f>D4-D7</f>
        <v>-11.14</v>
      </c>
      <c r="E8" s="23">
        <f>E4-E7</f>
        <v>-18.849</v>
      </c>
      <c r="F8" s="23">
        <f>F4-F7</f>
        <v>-15.202000000000002</v>
      </c>
      <c r="G8" s="23">
        <f>G4-G7</f>
        <v>-22.239</v>
      </c>
      <c r="H8" s="23">
        <f>H4-H7</f>
        <v>-29.711</v>
      </c>
      <c r="I8" s="23">
        <f>I4-I7</f>
        <v>-53.725</v>
      </c>
      <c r="J8" s="23">
        <f>J4-J7</f>
        <v>-17.997</v>
      </c>
      <c r="K8" s="23">
        <f>K4-K7</f>
        <v>-25.136</v>
      </c>
      <c r="L8" s="23">
        <f>L4-L7</f>
        <v>-61.041</v>
      </c>
      <c r="M8" s="23">
        <f>M4-M7</f>
        <v>-51.124</v>
      </c>
    </row>
    <row r="9">
      <c r="A9" s="19" t="inlineStr">
        <is>
          <t>Interest &amp; Other</t>
        </is>
      </c>
      <c r="B9" s="23" t="n">
        <v>-0.013</v>
      </c>
      <c r="C9" s="23" t="n">
        <v>-0.017</v>
      </c>
      <c r="D9" s="23" t="n">
        <v>-0.028</v>
      </c>
      <c r="E9" s="23" t="n">
        <v>-0.526</v>
      </c>
      <c r="F9" s="23" t="n">
        <v>-0.552</v>
      </c>
      <c r="G9" s="23" t="n">
        <v>-0.187</v>
      </c>
      <c r="H9" s="23" t="n">
        <v>-1.475</v>
      </c>
      <c r="I9" s="23" t="n">
        <v>-19.633</v>
      </c>
      <c r="J9" s="23" t="n">
        <v>-54.905</v>
      </c>
      <c r="K9" s="23" t="n">
        <v>25.108</v>
      </c>
      <c r="L9" s="23" t="n">
        <v>60.98</v>
      </c>
      <c r="M9" s="23" t="n">
        <v>51.074</v>
      </c>
    </row>
    <row r="10">
      <c r="A10" s="2" t="inlineStr">
        <is>
          <t>Pretax</t>
        </is>
      </c>
      <c r="B10" s="23">
        <f>B8+B9</f>
        <v>-4.986</v>
      </c>
      <c r="C10" s="23">
        <f>C8+C9</f>
        <v>-8.735</v>
      </c>
      <c r="D10" s="23">
        <f>D8+D9</f>
        <v>-11.168000000000001</v>
      </c>
      <c r="E10" s="23">
        <f>E8+E9</f>
        <v>-19.375</v>
      </c>
      <c r="F10" s="23">
        <f>F8+F9</f>
        <v>-15.754000000000001</v>
      </c>
      <c r="G10" s="23">
        <f>G8+G9</f>
        <v>-22.426000000000002</v>
      </c>
      <c r="H10" s="23">
        <f>H8+H9</f>
        <v>-31.186</v>
      </c>
      <c r="I10" s="23">
        <f>I8+I9</f>
        <v>-73.358</v>
      </c>
      <c r="J10" s="23">
        <f>J8+J9</f>
        <v>-72.902</v>
      </c>
      <c r="K10" s="23">
        <f>K8+K9</f>
        <v>-0.027999999999998693</v>
      </c>
      <c r="L10" s="23">
        <f>L8+L9</f>
        <v>-0.06099999999999994</v>
      </c>
      <c r="M10" s="23">
        <f>M8+M9</f>
        <v>-0.05000000000000426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-1.254</v>
      </c>
      <c r="I11" s="23" t="n">
        <v>-9.260999999999999</v>
      </c>
      <c r="J11" s="23" t="n">
        <v>0</v>
      </c>
      <c r="K11" s="23" t="n">
        <v>0</v>
      </c>
      <c r="L11" s="23" t="n">
        <v>0</v>
      </c>
      <c r="M11" s="23" t="n">
        <v>0</v>
      </c>
    </row>
    <row r="12">
      <c r="A12" s="2" t="inlineStr">
        <is>
          <t>Net Income</t>
        </is>
      </c>
      <c r="B12" s="23" t="n">
        <v>-4.986</v>
      </c>
      <c r="C12" s="23" t="n">
        <v>-8.734999999999999</v>
      </c>
      <c r="D12" s="23" t="n">
        <v>-11.168</v>
      </c>
      <c r="E12" s="23" t="n">
        <v>-19.375</v>
      </c>
      <c r="F12" s="23" t="n">
        <v>-15.754</v>
      </c>
      <c r="G12" s="23" t="n">
        <v>-22.426</v>
      </c>
      <c r="H12" s="23" t="n">
        <v>-29.932</v>
      </c>
      <c r="I12" s="23" t="n">
        <v>-64.09699999999999</v>
      </c>
      <c r="J12" s="23" t="n">
        <v>-72.902</v>
      </c>
      <c r="K12" s="23" t="n">
        <v>-0.028</v>
      </c>
      <c r="L12" s="23" t="n">
        <v>-0.061</v>
      </c>
      <c r="M12" s="23" t="n">
        <v>-0.05</v>
      </c>
    </row>
    <row r="13">
      <c r="A13" s="2" t="inlineStr">
        <is>
          <t>Earnings per Share</t>
        </is>
      </c>
      <c r="B13" s="11">
        <f>IFERROR(B12/B14,0)</f>
        <v>-3.252446183953033</v>
      </c>
      <c r="C13" s="11">
        <f>IFERROR(C12/C14,0)</f>
        <v>-4.93502824858757</v>
      </c>
      <c r="D13" s="11">
        <f>IFERROR(D12/D14,0)</f>
        <v>-4.996868008948546</v>
      </c>
      <c r="E13" s="11">
        <f>IFERROR(E12/E14,0)</f>
        <v>-7.615959119496855</v>
      </c>
      <c r="F13" s="11">
        <f>IFERROR(F12/F14,0)</f>
        <v>-4.941656210790464</v>
      </c>
      <c r="G13" s="11">
        <f>IFERROR(G12/G14,0)</f>
        <v>-5.190002314279102</v>
      </c>
      <c r="H13" s="11">
        <f>IFERROR(H12/H14,0)</f>
        <v>-5.426395939086294</v>
      </c>
      <c r="I13" s="11">
        <f>IFERROR(I12/I14,0)</f>
        <v>-11.62651913658625</v>
      </c>
      <c r="J13" s="11">
        <f>IFERROR(J12/J14,0)</f>
        <v>-13.159205776173286</v>
      </c>
      <c r="K13" s="11">
        <f>IFERROR(K12/K14,0)</f>
        <v>-0.0036596523330283625</v>
      </c>
      <c r="L13" s="11">
        <f>IFERROR(L12/L14,0)</f>
        <v>-0.004666819677147885</v>
      </c>
      <c r="M13" s="11">
        <f>IFERROR(M12/M14,0)</f>
        <v>-0.0016406352539703375</v>
      </c>
    </row>
    <row r="14">
      <c r="A14" s="2" t="inlineStr">
        <is>
          <t>Shares</t>
        </is>
      </c>
      <c r="B14" s="23" t="n">
        <v>1.533</v>
      </c>
      <c r="C14" s="23" t="n">
        <v>1.77</v>
      </c>
      <c r="D14" s="23" t="n">
        <v>2.235</v>
      </c>
      <c r="E14" s="23" t="n">
        <v>2.544</v>
      </c>
      <c r="F14" s="23" t="n">
        <v>3.188</v>
      </c>
      <c r="G14" s="23" t="n">
        <v>4.321</v>
      </c>
      <c r="H14" s="23" t="n">
        <v>5.516</v>
      </c>
      <c r="I14" s="23" t="n">
        <v>5.513</v>
      </c>
      <c r="J14" s="23" t="n">
        <v>5.54</v>
      </c>
      <c r="K14" s="23" t="n">
        <v>7.651</v>
      </c>
      <c r="L14" s="23" t="n">
        <v>13.071</v>
      </c>
      <c r="M14" s="23" t="n">
        <v>30.476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>0.8075657894736843</v>
      </c>
      <c r="J16" s="15">
        <f>IFERROR(J2/I2-1,"")</f>
        <v>-0.5641492265696088</v>
      </c>
      <c r="K16" s="15">
        <f>IFERROR(K2/J2-1,"")</f>
        <v>0.568893528183716</v>
      </c>
      <c r="L16" s="15">
        <f>IFERROR(L2/K2-1,"")</f>
        <v>0.25149700598802394</v>
      </c>
      <c r="M16" s="15">
        <f>IFERROR(M2/L2-1,"")</f>
        <v>1.1557682083997873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>-0.5254934210526316</v>
      </c>
      <c r="I17" s="15">
        <f>IFERROR(I4/I2,"")</f>
        <v>0.6828935395814376</v>
      </c>
      <c r="J17" s="15">
        <f>IFERROR(J4/J2,"")</f>
        <v>0.08141962421711896</v>
      </c>
      <c r="K17" s="15">
        <f>IFERROR(K4/K2,"")</f>
        <v>0.33333333333333326</v>
      </c>
      <c r="L17" s="15">
        <f>IFERROR(L4/L2,"")</f>
        <v>0.44019138755980863</v>
      </c>
      <c r="M17" s="15">
        <f>IFERROR(M4/M2,"")</f>
        <v>0.5684340320591862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>-24.433388157894736</v>
      </c>
      <c r="I18" s="15">
        <f>IFERROR(I8/I2,"")</f>
        <v>-24.44267515923567</v>
      </c>
      <c r="J18" s="15">
        <f>IFERROR(J8/J2,"")</f>
        <v>-18.786012526096034</v>
      </c>
      <c r="K18" s="15">
        <f>IFERROR(K8/K2,"")</f>
        <v>-16.723885562208917</v>
      </c>
      <c r="L18" s="15">
        <f>IFERROR(L8/L2,"")</f>
        <v>-32.451355661881976</v>
      </c>
      <c r="M18" s="15">
        <f>IFERROR(M8/M2,"")</f>
        <v>-12.607644882860667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2026-10-21T01:05:56Z</dcterms:modified>
  <cp:lastModifiedBy>Wang, Eric</cp:lastModifiedBy>
</cp:coreProperties>
</file>