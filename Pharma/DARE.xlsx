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Dare Bioscience Inc</t>
        </is>
      </c>
      <c r="C2" s="10" t="n"/>
    </row>
    <row r="3">
      <c r="B3" t="inlineStr">
        <is>
          <t>Price</t>
        </is>
      </c>
      <c r="C3" s="11">
        <f>INDEX([1]Pharma!$F$1:$F$1000,MATCH("DARE",[1]Pharma!$B$1:$B$1000,0))</f>
        <v>0.689</v>
      </c>
      <c r="F3" s="1" t="n"/>
    </row>
    <row r="4">
      <c r="B4" t="inlineStr">
        <is>
          <t>Shares</t>
        </is>
      </c>
      <c r="C4" s="21" t="n">
        <v>15.289502</v>
      </c>
      <c r="F4" s="1" t="n"/>
    </row>
    <row r="5">
      <c r="B5" t="inlineStr">
        <is>
          <t>Market Cap.</t>
        </is>
      </c>
      <c r="C5" s="13">
        <f>C3*C4</f>
        <v>10.534466878</v>
      </c>
      <c r="F5" s="1" t="n"/>
    </row>
    <row r="6"/>
    <row r="7">
      <c r="B7" t="inlineStr">
        <is>
          <t>Cash</t>
        </is>
      </c>
      <c r="C7" s="21" t="n">
        <v>12.617594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-2.0831271220000005</v>
      </c>
    </row>
    <row r="10"/>
    <row r="11">
      <c r="B11" s="14" t="inlineStr">
        <is>
          <t>rNPV / Share</t>
        </is>
      </c>
      <c r="C11" s="11">
        <f>NPV!B27</f>
        <v>8.061395620100425</v>
      </c>
    </row>
    <row r="12">
      <c r="B12" s="14" t="inlineStr">
        <is>
          <t>Upside</t>
        </is>
      </c>
      <c r="C12" s="15">
        <f>IFERROR(C11/C3-1,"")</f>
        <v>10.700138780987556</v>
      </c>
    </row>
    <row r="13">
      <c r="B13" s="14" t="inlineStr">
        <is>
          <t>Cash / Share</t>
        </is>
      </c>
      <c r="C13" s="11">
        <f>IFERROR((C7-C8)/C4,"")</f>
        <v>0.8252455835382997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-11.294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1.1171944395254116</v>
      </c>
    </row>
    <row r="19">
      <c r="B19" s="14" t="inlineStr">
        <is>
          <t>Implied Pipeline Value</t>
        </is>
      </c>
      <c r="C19" s="13">
        <f>C9</f>
        <v>-2.0831271220000005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2012</v>
      </c>
      <c r="C1" s="17" t="n">
        <v>2013</v>
      </c>
      <c r="D1" s="17" t="n">
        <v>2014</v>
      </c>
      <c r="E1" s="17" t="n">
        <v>2015</v>
      </c>
      <c r="F1" s="17" t="n">
        <v>2016</v>
      </c>
      <c r="G1" s="17" t="n">
        <v>2017</v>
      </c>
      <c r="H1" s="17" t="n">
        <v>2018</v>
      </c>
      <c r="I1" s="17" t="n">
        <v>2019</v>
      </c>
      <c r="J1" s="17" t="n">
        <v>2020</v>
      </c>
      <c r="K1" s="17" t="n">
        <v>2021</v>
      </c>
      <c r="L1" s="17" t="n">
        <v>2022</v>
      </c>
      <c r="M1" s="17" t="n">
        <v>2023</v>
      </c>
      <c r="N1" s="17" t="n">
        <v>2024</v>
      </c>
      <c r="O1" s="17" t="n">
        <v>2025</v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0.625</v>
      </c>
      <c r="C2" s="23" t="n">
        <v>0.006</v>
      </c>
      <c r="D2" s="23" t="n">
        <v>0.08</v>
      </c>
      <c r="E2" s="23" t="n">
        <v>0</v>
      </c>
      <c r="F2" s="23" t="n">
        <v>0.766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10</v>
      </c>
      <c r="M2" s="23" t="n">
        <v>2.808</v>
      </c>
      <c r="N2" s="23" t="n">
        <v>0.01</v>
      </c>
      <c r="O2" s="23" t="n">
        <v>1.03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0.296</v>
      </c>
    </row>
    <row r="4" customFormat="1" s="1">
      <c r="A4" s="5" t="inlineStr">
        <is>
          <t>Gross Margin</t>
        </is>
      </c>
      <c r="B4" s="23">
        <f>B2-B3</f>
        <v>0.625</v>
      </c>
      <c r="C4" s="23">
        <f>C2-C3</f>
        <v>0.006</v>
      </c>
      <c r="D4" s="23">
        <f>D2-D3</f>
        <v>0.08</v>
      </c>
      <c r="E4" s="23">
        <f>E2-E3</f>
        <v>0.0</v>
      </c>
      <c r="F4" s="23">
        <f>F2-F3</f>
        <v>0.766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10.0</v>
      </c>
      <c r="M4" s="23">
        <f>M2-M3</f>
        <v>2.808</v>
      </c>
      <c r="N4" s="23">
        <f>N2-N3</f>
        <v>0.01</v>
      </c>
      <c r="O4" s="23">
        <f>O2-O3</f>
        <v>0.734</v>
      </c>
    </row>
    <row r="5">
      <c r="A5" s="2" t="inlineStr">
        <is>
          <t>Research &amp; Dev.</t>
        </is>
      </c>
      <c r="B5" s="23" t="n">
        <v>15.807</v>
      </c>
      <c r="C5" s="23" t="n">
        <v>9.699999999999999</v>
      </c>
      <c r="D5" s="23" t="n">
        <v>11.772</v>
      </c>
      <c r="E5" s="23" t="n">
        <v>25.948</v>
      </c>
      <c r="F5" s="23" t="n">
        <v>0.073</v>
      </c>
      <c r="G5" s="23" t="n">
        <v>0.985</v>
      </c>
      <c r="H5" s="23" t="n">
        <v>6.414</v>
      </c>
      <c r="I5" s="23" t="n">
        <v>8.545999999999999</v>
      </c>
      <c r="J5" s="23" t="n">
        <v>20.769</v>
      </c>
      <c r="K5" s="23" t="n">
        <v>30.618</v>
      </c>
      <c r="L5" s="23" t="n">
        <v>30.042</v>
      </c>
      <c r="M5" s="23" t="n">
        <v>21.538</v>
      </c>
      <c r="N5" s="23" t="n">
        <v>14.305</v>
      </c>
      <c r="O5" s="23" t="n">
        <v>5.523</v>
      </c>
    </row>
    <row r="6">
      <c r="A6" s="19" t="inlineStr">
        <is>
          <t>SG&amp;A &amp; Other</t>
        </is>
      </c>
      <c r="B6" s="23" t="n">
        <v>6.393</v>
      </c>
      <c r="C6" s="23" t="n">
        <v>6.166</v>
      </c>
      <c r="D6" s="23" t="n">
        <v>8.587</v>
      </c>
      <c r="E6" s="23" t="n">
        <v>11.224</v>
      </c>
      <c r="F6" s="23" t="n">
        <v>1.324</v>
      </c>
      <c r="G6" s="23" t="n">
        <v>10.196</v>
      </c>
      <c r="H6" s="23" t="n">
        <v>10.468</v>
      </c>
      <c r="I6" s="23" t="n">
        <v>5.799</v>
      </c>
      <c r="J6" s="23" t="n">
        <v>6.633</v>
      </c>
      <c r="K6" s="23" t="n">
        <v>8.451000000000001</v>
      </c>
      <c r="L6" s="23" t="n">
        <v>11.343</v>
      </c>
      <c r="M6" s="23" t="n">
        <v>12.21</v>
      </c>
      <c r="N6" s="23" t="n">
        <v>9.156000000000001</v>
      </c>
      <c r="O6" s="23" t="n">
        <v>8.763</v>
      </c>
    </row>
    <row r="7">
      <c r="A7" s="2" t="inlineStr">
        <is>
          <t>Operating Expense</t>
        </is>
      </c>
      <c r="B7" s="23">
        <f>SUM(B5:B6)</f>
        <v>22.2</v>
      </c>
      <c r="C7" s="23">
        <f>SUM(C5:C6)</f>
        <v>15.866</v>
      </c>
      <c r="D7" s="23">
        <f>SUM(D5:D6)</f>
        <v>20.359</v>
      </c>
      <c r="E7" s="23">
        <f>SUM(E5:E6)</f>
        <v>37.172</v>
      </c>
      <c r="F7" s="23">
        <f>SUM(F5:F6)</f>
        <v>1.397</v>
      </c>
      <c r="G7" s="23">
        <f>SUM(G5:G6)</f>
        <v>11.181</v>
      </c>
      <c r="H7" s="23">
        <f>SUM(H5:H6)</f>
        <v>16.881999999999998</v>
      </c>
      <c r="I7" s="23">
        <f>SUM(I5:I6)</f>
        <v>14.344999999999999</v>
      </c>
      <c r="J7" s="23">
        <f>SUM(J5:J6)</f>
        <v>27.401999999999997</v>
      </c>
      <c r="K7" s="23">
        <f>SUM(K5:K6)</f>
        <v>39.069</v>
      </c>
      <c r="L7" s="23">
        <f>SUM(L5:L6)</f>
        <v>41.385000000000005</v>
      </c>
      <c r="M7" s="23">
        <f>SUM(M5:M6)</f>
        <v>33.748000000000005</v>
      </c>
      <c r="N7" s="23">
        <f>SUM(N5:N6)</f>
        <v>23.461</v>
      </c>
      <c r="O7" s="23">
        <f>SUM(O5:O6)</f>
        <v>14.286</v>
      </c>
    </row>
    <row r="8">
      <c r="A8" s="2" t="inlineStr">
        <is>
          <t>Operating Income</t>
        </is>
      </c>
      <c r="B8" s="23">
        <f>B4-B7</f>
        <v>-21.575</v>
      </c>
      <c r="C8" s="23">
        <f>C4-C7</f>
        <v>-15.86</v>
      </c>
      <c r="D8" s="23">
        <f>D4-D7</f>
        <v>-20.279000000000003</v>
      </c>
      <c r="E8" s="23">
        <f>E4-E7</f>
        <v>-37.172</v>
      </c>
      <c r="F8" s="23">
        <f>F4-F7</f>
        <v>-0.631</v>
      </c>
      <c r="G8" s="23">
        <f>G4-G7</f>
        <v>-11.181</v>
      </c>
      <c r="H8" s="23">
        <f>H4-H7</f>
        <v>-16.881999999999998</v>
      </c>
      <c r="I8" s="23">
        <f>I4-I7</f>
        <v>-14.344999999999999</v>
      </c>
      <c r="J8" s="23">
        <f>J4-J7</f>
        <v>-27.401999999999997</v>
      </c>
      <c r="K8" s="23">
        <f>K4-K7</f>
        <v>-39.069</v>
      </c>
      <c r="L8" s="23">
        <f>L4-L7</f>
        <v>-31.385000000000005</v>
      </c>
      <c r="M8" s="23">
        <f>M4-M7</f>
        <v>-30.940000000000005</v>
      </c>
      <c r="N8" s="23">
        <f>N4-N7</f>
        <v>-23.450999999999997</v>
      </c>
      <c r="O8" s="23">
        <f>O4-O7</f>
        <v>-13.552</v>
      </c>
    </row>
    <row r="9">
      <c r="A9" s="19" t="inlineStr">
        <is>
          <t>Interest &amp; Other</t>
        </is>
      </c>
      <c r="B9" s="23" t="n">
        <v>-0.526</v>
      </c>
      <c r="C9" s="23" t="n">
        <v>-1.283</v>
      </c>
      <c r="D9" s="23" t="n">
        <v>-3.063</v>
      </c>
      <c r="E9" s="23" t="n">
        <v>-2.422</v>
      </c>
      <c r="F9" s="23" t="n">
        <v>-0.042</v>
      </c>
      <c r="G9" s="23" t="n">
        <v>-0.323</v>
      </c>
      <c r="H9" s="23" t="n">
        <v>0.147</v>
      </c>
      <c r="I9" s="23" t="n">
        <v>0.081</v>
      </c>
      <c r="J9" s="23" t="n">
        <v>0.002</v>
      </c>
      <c r="K9" s="23" t="n">
        <v>0.372</v>
      </c>
      <c r="L9" s="23" t="n">
        <v>0.438</v>
      </c>
      <c r="M9" s="23" t="n">
        <v>0.78</v>
      </c>
      <c r="N9" s="23" t="n">
        <v>19.401</v>
      </c>
      <c r="O9" s="23" t="n">
        <v>0.152</v>
      </c>
    </row>
    <row r="10">
      <c r="A10" s="2" t="inlineStr">
        <is>
          <t>Pretax</t>
        </is>
      </c>
      <c r="B10" s="23">
        <f>B8+B9</f>
        <v>-22.101</v>
      </c>
      <c r="C10" s="23">
        <f>C8+C9</f>
        <v>-17.143</v>
      </c>
      <c r="D10" s="23">
        <f>D8+D9</f>
        <v>-23.342000000000002</v>
      </c>
      <c r="E10" s="23">
        <f>E8+E9</f>
        <v>-39.593999999999994</v>
      </c>
      <c r="F10" s="23">
        <f>F8+F9</f>
        <v>-0.673</v>
      </c>
      <c r="G10" s="23">
        <f>G8+G9</f>
        <v>-11.504</v>
      </c>
      <c r="H10" s="23">
        <f>H8+H9</f>
        <v>-16.735</v>
      </c>
      <c r="I10" s="23">
        <f>I8+I9</f>
        <v>-14.264</v>
      </c>
      <c r="J10" s="23">
        <f>J8+J9</f>
        <v>-27.4</v>
      </c>
      <c r="K10" s="23">
        <f>K8+K9</f>
        <v>-38.697</v>
      </c>
      <c r="L10" s="23">
        <f>L8+L9</f>
        <v>-30.947000000000006</v>
      </c>
      <c r="M10" s="23">
        <f>M8+M9</f>
        <v>-30.160000000000004</v>
      </c>
      <c r="N10" s="23">
        <f>N8+N9</f>
        <v>-4.049999999999997</v>
      </c>
      <c r="O10" s="23">
        <f>O8+O9</f>
        <v>-13.4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0.003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</row>
    <row r="12">
      <c r="A12" s="2" t="inlineStr">
        <is>
          <t>Net Income</t>
        </is>
      </c>
      <c r="B12" s="23" t="n">
        <v>-22.101</v>
      </c>
      <c r="C12" s="23" t="n">
        <v>-17.143</v>
      </c>
      <c r="D12" s="23" t="n">
        <v>-23.342</v>
      </c>
      <c r="E12" s="23" t="n">
        <v>-39.594</v>
      </c>
      <c r="F12" s="23" t="n">
        <v>-0.673</v>
      </c>
      <c r="G12" s="23" t="n">
        <v>-11.503</v>
      </c>
      <c r="H12" s="23" t="n">
        <v>-16.739</v>
      </c>
      <c r="I12" s="23" t="n">
        <v>-14.264</v>
      </c>
      <c r="J12" s="23" t="n">
        <v>-27.401</v>
      </c>
      <c r="K12" s="23" t="n">
        <v>-38.696</v>
      </c>
      <c r="L12" s="23" t="n">
        <v>-30.948</v>
      </c>
      <c r="M12" s="23" t="n">
        <v>-30.16</v>
      </c>
      <c r="N12" s="23" t="n">
        <v>-4.05</v>
      </c>
      <c r="O12" s="23" t="n">
        <v>-13.4</v>
      </c>
    </row>
    <row r="13">
      <c r="A13" s="2" t="inlineStr">
        <is>
          <t>Earnings per Share</t>
        </is>
      </c>
      <c r="B13" s="11">
        <f>IFERROR(B12/B14,0)</f>
        <v>-25.90973036342321</v>
      </c>
      <c r="C13" s="11">
        <f>IFERROR(C12/C14,0)</f>
        <v>-17.894572025052195</v>
      </c>
      <c r="D13" s="11">
        <f>IFERROR(D12/D14,0)</f>
        <v>-24.063917525773196</v>
      </c>
      <c r="E13" s="11">
        <f>IFERROR(E12/E14,0)</f>
        <v>-23.35929203539823</v>
      </c>
      <c r="F13" s="11">
        <f>IFERROR(F12/F14,0)</f>
        <v>-0.40299401197604795</v>
      </c>
      <c r="G13" s="11">
        <f>IFERROR(G12/G14,0)</f>
        <v>-1.7792730085073474</v>
      </c>
      <c r="H13" s="11">
        <f>IFERROR(H12/H14,0)</f>
        <v>-0.7798276263685069</v>
      </c>
      <c r="I13" s="11">
        <f>IFERROR(I12/I14,0)</f>
        <v>-0.4577957506900314</v>
      </c>
      <c r="J13" s="11">
        <f>IFERROR(J12/J14,0)</f>
        <v>-0.4552946845454697</v>
      </c>
      <c r="K13" s="11">
        <f>IFERROR(K12/K14,0)</f>
        <v>-0.632763188017137</v>
      </c>
      <c r="L13" s="11">
        <f>IFERROR(L12/L14,0)</f>
        <v>-0.36593671664380645</v>
      </c>
      <c r="M13" s="11">
        <f>IFERROR(M12/M14,0)</f>
        <v>-4.145704467353951</v>
      </c>
      <c r="N13" s="11">
        <f>IFERROR(N12/N14,0)</f>
        <v>-0.47663881369895256</v>
      </c>
      <c r="O13" s="11">
        <f>IFERROR(O12/O14,0)</f>
        <v>-1.1986760890956256</v>
      </c>
    </row>
    <row r="14">
      <c r="A14" s="2" t="inlineStr">
        <is>
          <t>Shares</t>
        </is>
      </c>
      <c r="B14" s="23" t="n">
        <v>0.853</v>
      </c>
      <c r="C14" s="23" t="n">
        <v>0.958</v>
      </c>
      <c r="D14" s="23" t="n">
        <v>0.97</v>
      </c>
      <c r="E14" s="23" t="n">
        <v>1.695</v>
      </c>
      <c r="F14" s="23" t="n">
        <v>1.67</v>
      </c>
      <c r="G14" s="23" t="n">
        <v>6.465</v>
      </c>
      <c r="H14" s="23" t="n">
        <v>21.465</v>
      </c>
      <c r="I14" s="23" t="n">
        <v>31.158</v>
      </c>
      <c r="J14" s="23" t="n">
        <v>60.183</v>
      </c>
      <c r="K14" s="23" t="n">
        <v>61.154</v>
      </c>
      <c r="L14" s="23" t="n">
        <v>84.572</v>
      </c>
      <c r="M14" s="23" t="n">
        <v>7.275</v>
      </c>
      <c r="N14" s="23" t="n">
        <v>8.497</v>
      </c>
      <c r="O14" s="23" t="n">
        <v>11.179</v>
      </c>
    </row>
    <row r="15"/>
    <row r="16" customFormat="1" s="4">
      <c r="A16" s="3" t="inlineStr">
        <is>
          <t>Revenue Change</t>
        </is>
      </c>
      <c r="C16" s="15">
        <f>IFERROR(C2/B2-1,"")</f>
        <v>-0.9904</v>
      </c>
      <c r="D16" s="15">
        <f>IFERROR(D2/C2-1,"")</f>
        <v>12.333333333333334</v>
      </c>
      <c r="E16" s="15">
        <f>IFERROR(E2/D2-1,"")</f>
        <v>-1.0</v>
      </c>
      <c r="F16" s="15">
        <f>IFERROR(F2/E2-1,"")</f>
        <v/>
      </c>
      <c r="G16" s="15">
        <f>IFERROR(G2/F2-1,"")</f>
        <v>-1.0</v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>-0.7192000000000001</v>
      </c>
      <c r="N16" s="15">
        <f>IFERROR(N2/M2-1,"")</f>
        <v>-0.9964387464387464</v>
      </c>
      <c r="O16" s="15">
        <f>IFERROR(O2/N2-1,"")</f>
        <v>102.0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/>
      </c>
      <c r="F17" s="15">
        <f>IFERROR(F4/F2,"")</f>
        <v>1.0</v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0.7126213592233009</v>
      </c>
    </row>
    <row r="18">
      <c r="A18" s="14" t="inlineStr">
        <is>
          <t>Operating Margin</t>
        </is>
      </c>
      <c r="B18" s="15">
        <f>IFERROR(B8/B2,"")</f>
        <v>-34.519999999999996</v>
      </c>
      <c r="C18" s="15">
        <f>IFERROR(C8/C2,"")</f>
        <v>-2643.333333333333</v>
      </c>
      <c r="D18" s="15">
        <f>IFERROR(D8/D2,"")</f>
        <v>-253.48750000000004</v>
      </c>
      <c r="E18" s="15">
        <f>IFERROR(E8/E2,"")</f>
        <v/>
      </c>
      <c r="F18" s="15">
        <f>IFERROR(F8/F2,"")</f>
        <v>-0.8237597911227154</v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>-3.1385000000000005</v>
      </c>
      <c r="M18" s="15">
        <f>IFERROR(M8/M2,"")</f>
        <v>-11.01851851851852</v>
      </c>
      <c r="N18" s="15">
        <f>IFERROR(N8/N2,"")</f>
        <v>-2345.0999999999995</v>
      </c>
      <c r="O18" s="15">
        <f>IFERROR(O8/O2,"")</f>
        <v>-13.157281553398057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Dare Bioscience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0.22829999999999995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11.11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290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110.63713045631671</v>
      </c>
      <c r="C29" s="42">
        <f>NPV!B25</f>
        <v>123.25472445631671</v>
      </c>
      <c r="D29" s="43">
        <f>NPV!B27</f>
        <v>8.061395620100425</v>
      </c>
      <c r="E29" s="44">
        <f>NPV!B29</f>
        <v>10.700138780987556</v>
      </c>
    </row>
    <row r="30">
      <c r="A30" s="45" t="n">
        <v>1</v>
      </c>
      <c r="B30" s="46">
        <f t="dataTable" ref="B30:E32" r1="B4"/>
        <v>27.46032704714283</v>
      </c>
      <c r="C30" s="46">
        <v>40.07792104714283</v>
      </c>
      <c r="D30" s="47">
        <v>2.621270532365464</v>
      </c>
      <c r="E30" s="48">
        <v>2.804456505610253</v>
      </c>
    </row>
    <row r="31">
      <c r="A31" s="45" t="n">
        <v>2</v>
      </c>
      <c r="B31" s="46">
        <v>110.63713045631671</v>
      </c>
      <c r="C31" s="46">
        <v>123.25472445631671</v>
      </c>
      <c r="D31" s="47">
        <v>8.061395620100425</v>
      </c>
      <c r="E31" s="48">
        <v>10.700138780987556</v>
      </c>
    </row>
    <row r="32">
      <c r="A32" s="45" t="n">
        <v>3</v>
      </c>
      <c r="B32" s="46">
        <v>236.49353644840232</v>
      </c>
      <c r="C32" s="46">
        <v>249.11113044840232</v>
      </c>
      <c r="D32" s="47">
        <v>16.292952540141748</v>
      </c>
      <c r="E32" s="48">
        <v>22.647246066969156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8.061395620100425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1.6300138227442527</v>
      </c>
      <c r="C37" s="47">
        <v>3.1567002538958753</v>
      </c>
      <c r="D37" s="47">
        <v>4.646441908795317</v>
      </c>
      <c r="E37" s="47">
        <v>7.287350624203573</v>
      </c>
      <c r="F37" s="47">
        <v>9.84240971955508</v>
      </c>
    </row>
    <row r="38">
      <c r="A38" s="50" t="n">
        <v>0.8</v>
      </c>
      <c r="B38" s="47">
        <v>2.598418862427939</v>
      </c>
      <c r="C38" s="47">
        <v>4.601373898086828</v>
      </c>
      <c r="D38" s="47">
        <v>6.376454262941258</v>
      </c>
      <c r="E38" s="47">
        <v>9.800297567283499</v>
      </c>
      <c r="F38" s="47">
        <v>13.139525644955013</v>
      </c>
    </row>
    <row r="39">
      <c r="A39" s="50" t="n">
        <v>1</v>
      </c>
      <c r="B39" s="47">
        <v>3.5668239021116244</v>
      </c>
      <c r="C39" s="47">
        <v>5.895425406367858</v>
      </c>
      <c r="D39" s="47">
        <v>8.061395620100425</v>
      </c>
      <c r="E39" s="47">
        <v>12.269102876606473</v>
      </c>
      <c r="F39" s="47">
        <v>16.40287689208879</v>
      </c>
    </row>
    <row r="40">
      <c r="A40" s="50" t="n">
        <v>1.2</v>
      </c>
      <c r="B40" s="47">
        <v>4.511237876669845</v>
      </c>
      <c r="C40" s="47">
        <v>7.157923805968895</v>
      </c>
      <c r="D40" s="47">
        <v>9.716073262740323</v>
      </c>
      <c r="E40" s="47">
        <v>14.713981828536594</v>
      </c>
      <c r="F40" s="47">
        <v>19.642832821197064</v>
      </c>
    </row>
    <row r="41">
      <c r="A41" s="50" t="n">
        <v>1.4</v>
      </c>
      <c r="B41" s="47">
        <v>5.3643277082665595</v>
      </c>
      <c r="C41" s="47">
        <v>8.401013067815192</v>
      </c>
      <c r="D41" s="47">
        <v>11.35153726465551</v>
      </c>
      <c r="E41" s="47">
        <v>17.140953438375334</v>
      </c>
      <c r="F41" s="47">
        <v>22.876408399345564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Dare Bioscience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Viral infections (other)</t>
        </is>
      </c>
      <c r="C4" s="14" t="inlineStr">
        <is>
          <t>Lopinavir / ritonavir</t>
        </is>
      </c>
      <c r="D4" s="14" t="inlineStr">
        <is>
          <t>Phase 2</t>
        </is>
      </c>
      <c r="E4" s="14" t="inlineStr">
        <is>
          <t>Infectious disease / area</t>
        </is>
      </c>
      <c r="F4" s="14" t="inlineStr">
        <is>
          <t>Owned</t>
        </is>
      </c>
      <c r="G4" s="40" t="n">
        <v>600</v>
      </c>
      <c r="H4" s="27" t="n">
        <v>0.2283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155.61516828310394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13.698</v>
      </c>
      <c r="S4" s="23">
        <f>IF(S$3&lt;$I4,0,$G4*Assumptions!$E$11*INDEX(Assumptions!$B$24:$G$24,MIN(6,S$3-$I4+1))*IF(S$3&gt;$J4,(1-Assumptions!$B$26)^(S$3-$J4),1)*IF($H4&gt;=1,1,MIN(0.97,$H4*Assumptions!$E$12)))</f>
        <v>34.245</v>
      </c>
      <c r="T4" s="23">
        <f>IF(T$3&lt;$I4,0,$G4*Assumptions!$E$11*INDEX(Assumptions!$B$24:$G$24,MIN(6,T$3-$I4+1))*IF(T$3&gt;$J4,(1-Assumptions!$B$26)^(T$3-$J4),1)*IF($H4&gt;=1,1,MIN(0.97,$H4*Assumptions!$E$12)))</f>
        <v>61.641</v>
      </c>
      <c r="U4" s="23">
        <f>IF(U$3&lt;$I4,0,$G4*Assumptions!$E$11*INDEX(Assumptions!$B$24:$G$24,MIN(6,U$3-$I4+1))*IF(U$3&gt;$J4,(1-Assumptions!$B$26)^(U$3-$J4),1)*IF($H4&gt;=1,1,MIN(0.97,$H4*Assumptions!$E$12)))</f>
        <v>89.037</v>
      </c>
      <c r="V4" s="23">
        <f>IF(V$3&lt;$I4,0,$G4*Assumptions!$E$11*INDEX(Assumptions!$B$24:$G$24,MIN(6,V$3-$I4+1))*IF(V$3&gt;$J4,(1-Assumptions!$B$26)^(V$3-$J4),1)*IF($H4&gt;=1,1,MIN(0.97,$H4*Assumptions!$E$12)))</f>
        <v>116.433</v>
      </c>
      <c r="W4" s="23">
        <f>IF(W$3&lt;$I4,0,$G4*Assumptions!$E$11*INDEX(Assumptions!$B$24:$G$24,MIN(6,W$3-$I4+1))*IF(W$3&gt;$J4,(1-Assumptions!$B$26)^(W$3-$J4),1)*IF($H4&gt;=1,1,MIN(0.97,$H4*Assumptions!$E$12)))</f>
        <v>136.98</v>
      </c>
      <c r="X4" s="23">
        <f>IF(X$3&lt;$I4,0,$G4*Assumptions!$E$11*INDEX(Assumptions!$B$24:$G$24,MIN(6,X$3-$I4+1))*IF(X$3&gt;$J4,(1-Assumptions!$B$26)^(X$3-$J4),1)*IF($H4&gt;=1,1,MIN(0.97,$H4*Assumptions!$E$12)))</f>
        <v>136.98</v>
      </c>
      <c r="Y4" s="23">
        <f>IF(Y$3&lt;$I4,0,$G4*Assumptions!$E$11*INDEX(Assumptions!$B$24:$G$24,MIN(6,Y$3-$I4+1))*IF(Y$3&gt;$J4,(1-Assumptions!$B$26)^(Y$3-$J4),1)*IF($H4&gt;=1,1,MIN(0.97,$H4*Assumptions!$E$12)))</f>
        <v>136.98</v>
      </c>
      <c r="Z4" s="23">
        <f>IF(Z$3&lt;$I4,0,$G4*Assumptions!$E$11*INDEX(Assumptions!$B$24:$G$24,MIN(6,Z$3-$I4+1))*IF(Z$3&gt;$J4,(1-Assumptions!$B$26)^(Z$3-$J4),1)*IF($H4&gt;=1,1,MIN(0.97,$H4*Assumptions!$E$12)))</f>
        <v>136.98</v>
      </c>
      <c r="AA4" s="23">
        <f>IF(AA$3&lt;$I4,0,$G4*Assumptions!$E$11*INDEX(Assumptions!$B$24:$G$24,MIN(6,AA$3-$I4+1))*IF(AA$3&gt;$J4,(1-Assumptions!$B$26)^(AA$3-$J4),1)*IF($H4&gt;=1,1,MIN(0.97,$H4*Assumptions!$E$12)))</f>
        <v>136.98</v>
      </c>
      <c r="AB4" s="23">
        <f>IF(AB$3&lt;$I4,0,$G4*Assumptions!$E$11*INDEX(Assumptions!$B$24:$G$24,MIN(6,AB$3-$I4+1))*IF(AB$3&gt;$J4,(1-Assumptions!$B$26)^(AB$3-$J4),1)*IF($H4&gt;=1,1,MIN(0.97,$H4*Assumptions!$E$12)))</f>
        <v>136.98</v>
      </c>
      <c r="AC4" s="23">
        <f>IF(AC$3&lt;$I4,0,$G4*Assumptions!$E$11*INDEX(Assumptions!$B$24:$G$24,MIN(6,AC$3-$I4+1))*IF(AC$3&gt;$J4,(1-Assumptions!$B$26)^(AC$3-$J4),1)*IF($H4&gt;=1,1,MIN(0.97,$H4*Assumptions!$E$12)))</f>
        <v>136.98</v>
      </c>
      <c r="AD4" s="23">
        <f>IF(AD$3&lt;$I4,0,$G4*Assumptions!$E$11*INDEX(Assumptions!$B$24:$G$24,MIN(6,AD$3-$I4+1))*IF(AD$3&gt;$J4,(1-Assumptions!$B$26)^(AD$3-$J4),1)*IF($H4&gt;=1,1,MIN(0.97,$H4*Assumptions!$E$12)))</f>
        <v>136.98</v>
      </c>
      <c r="AE4" s="23">
        <f>IF(AE$3&lt;$I4,0,$G4*Assumptions!$E$11*INDEX(Assumptions!$B$24:$G$24,MIN(6,AE$3-$I4+1))*IF(AE$3&gt;$J4,(1-Assumptions!$B$26)^(AE$3-$J4),1)*IF($H4&gt;=1,1,MIN(0.97,$H4*Assumptions!$E$12)))</f>
        <v>68.49</v>
      </c>
      <c r="AF4" s="23">
        <f>IF(AF$3&lt;$I4,0,$G4*Assumptions!$E$11*INDEX(Assumptions!$B$24:$G$24,MIN(6,AF$3-$I4+1))*IF(AF$3&gt;$J4,(1-Assumptions!$B$26)^(AF$3-$J4),1)*IF($H4&gt;=1,1,MIN(0.97,$H4*Assumptions!$E$12)))</f>
        <v>34.245</v>
      </c>
      <c r="AG4" s="35">
        <f>IF(F4="Owned",1-IF(H4&gt;=1,1,MIN(0.97,H4*Assumptions!$E$12)),1)</f>
        <v>0.7717</v>
      </c>
    </row>
    <row r="5">
      <c r="B5" s="24" t="inlineStr">
        <is>
          <t>Risked revenue</t>
        </is>
      </c>
      <c r="L5" s="54">
        <f>SUM(L4:L4)</f>
        <v>155.61516828310394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13.698</v>
      </c>
      <c r="S5" s="54">
        <f>SUM(S4:S4)</f>
        <v>34.245</v>
      </c>
      <c r="T5" s="54">
        <f>SUM(T4:T4)</f>
        <v>61.641</v>
      </c>
      <c r="U5" s="54">
        <f>SUM(U4:U4)</f>
        <v>89.037</v>
      </c>
      <c r="V5" s="54">
        <f>SUM(V4:V4)</f>
        <v>116.433</v>
      </c>
      <c r="W5" s="54">
        <f>SUM(W4:W4)</f>
        <v>136.98</v>
      </c>
      <c r="X5" s="54">
        <f>SUM(X4:X4)</f>
        <v>136.98</v>
      </c>
      <c r="Y5" s="54">
        <f>SUM(Y4:Y4)</f>
        <v>136.98</v>
      </c>
      <c r="Z5" s="54">
        <f>SUM(Z4:Z4)</f>
        <v>136.98</v>
      </c>
      <c r="AA5" s="54">
        <f>SUM(AA4:AA4)</f>
        <v>136.98</v>
      </c>
      <c r="AB5" s="54">
        <f>SUM(AB4:AB4)</f>
        <v>136.98</v>
      </c>
      <c r="AC5" s="54">
        <f>SUM(AC4:AC4)</f>
        <v>136.98</v>
      </c>
      <c r="AD5" s="54">
        <f>SUM(AD4:AD4)</f>
        <v>136.98</v>
      </c>
      <c r="AE5" s="54">
        <f>SUM(AE4:AE4)</f>
        <v>68.49</v>
      </c>
      <c r="AF5" s="54">
        <f>SUM(AF4:AF4)</f>
        <v>34.245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5.4792000000000005</v>
      </c>
      <c r="S6" s="55">
        <f>SUMPRODUCT(S4:S4,$K$4:$K$4)</f>
        <v>13.698</v>
      </c>
      <c r="T6" s="55">
        <f>SUMPRODUCT(T4:T4,$K$4:$K$4)</f>
        <v>24.6564</v>
      </c>
      <c r="U6" s="55">
        <f>SUMPRODUCT(U4:U4,$K$4:$K$4)</f>
        <v>35.6148</v>
      </c>
      <c r="V6" s="55">
        <f>SUMPRODUCT(V4:V4,$K$4:$K$4)</f>
        <v>46.57320000000001</v>
      </c>
      <c r="W6" s="55">
        <f>SUMPRODUCT(W4:W4,$K$4:$K$4)</f>
        <v>54.792</v>
      </c>
      <c r="X6" s="55">
        <f>SUMPRODUCT(X4:X4,$K$4:$K$4)</f>
        <v>54.792</v>
      </c>
      <c r="Y6" s="55">
        <f>SUMPRODUCT(Y4:Y4,$K$4:$K$4)</f>
        <v>54.792</v>
      </c>
      <c r="Z6" s="55">
        <f>SUMPRODUCT(Z4:Z4,$K$4:$K$4)</f>
        <v>54.792</v>
      </c>
      <c r="AA6" s="55">
        <f>SUMPRODUCT(AA4:AA4,$K$4:$K$4)</f>
        <v>54.792</v>
      </c>
      <c r="AB6" s="55">
        <f>SUMPRODUCT(AB4:AB4,$K$4:$K$4)</f>
        <v>54.792</v>
      </c>
      <c r="AC6" s="55">
        <f>SUMPRODUCT(AC4:AC4,$K$4:$K$4)</f>
        <v>54.792</v>
      </c>
      <c r="AD6" s="55">
        <f>SUMPRODUCT(AD4:AD4,$K$4:$K$4)</f>
        <v>54.792</v>
      </c>
      <c r="AE6" s="55">
        <f>SUMPRODUCT(AE4:AE4,$K$4:$K$4)</f>
        <v>27.396</v>
      </c>
      <c r="AF6" s="55">
        <f>SUMPRODUCT(AF4:AF4,$K$4:$K$4)</f>
        <v>13.698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Dare Bioscience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13.698</v>
      </c>
      <c r="I4" s="57">
        <f>Pipeline!S5</f>
        <v>34.245</v>
      </c>
      <c r="J4" s="57">
        <f>Pipeline!T5</f>
        <v>61.641</v>
      </c>
      <c r="K4" s="57">
        <f>Pipeline!U5</f>
        <v>89.037</v>
      </c>
      <c r="L4" s="57">
        <f>Pipeline!V5</f>
        <v>116.433</v>
      </c>
      <c r="M4" s="57">
        <f>Pipeline!W5</f>
        <v>136.98</v>
      </c>
      <c r="N4" s="57">
        <f>Pipeline!X5</f>
        <v>136.98</v>
      </c>
      <c r="O4" s="57">
        <f>Pipeline!Y5</f>
        <v>136.98</v>
      </c>
      <c r="P4" s="57">
        <f>Pipeline!Z5</f>
        <v>136.98</v>
      </c>
      <c r="Q4" s="57">
        <f>Pipeline!AA5</f>
        <v>136.98</v>
      </c>
      <c r="R4" s="57">
        <f>Pipeline!AB5</f>
        <v>136.98</v>
      </c>
      <c r="S4" s="57">
        <f>Pipeline!AC5</f>
        <v>136.98</v>
      </c>
      <c r="T4" s="57">
        <f>Pipeline!AD5</f>
        <v>136.98</v>
      </c>
      <c r="U4" s="57">
        <f>Pipeline!AE5</f>
        <v>68.49</v>
      </c>
      <c r="V4" s="57">
        <f>Pipeline!AF5</f>
        <v>34.245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5.4792000000000005</v>
      </c>
      <c r="I5" s="57">
        <f>Pipeline!S6</f>
        <v>13.698</v>
      </c>
      <c r="J5" s="57">
        <f>Pipeline!T6</f>
        <v>24.6564</v>
      </c>
      <c r="K5" s="57">
        <f>Pipeline!U6</f>
        <v>35.6148</v>
      </c>
      <c r="L5" s="57">
        <f>Pipeline!V6</f>
        <v>46.57320000000001</v>
      </c>
      <c r="M5" s="57">
        <f>Pipeline!W6</f>
        <v>54.792</v>
      </c>
      <c r="N5" s="57">
        <f>Pipeline!X6</f>
        <v>54.792</v>
      </c>
      <c r="O5" s="57">
        <f>Pipeline!Y6</f>
        <v>54.792</v>
      </c>
      <c r="P5" s="57">
        <f>Pipeline!Z6</f>
        <v>54.792</v>
      </c>
      <c r="Q5" s="57">
        <f>Pipeline!AA6</f>
        <v>54.792</v>
      </c>
      <c r="R5" s="57">
        <f>Pipeline!AB6</f>
        <v>54.792</v>
      </c>
      <c r="S5" s="57">
        <f>Pipeline!AC6</f>
        <v>54.792</v>
      </c>
      <c r="T5" s="57">
        <f>Pipeline!AD6</f>
        <v>54.792</v>
      </c>
      <c r="U5" s="57">
        <f>Pipeline!AE6</f>
        <v>27.396</v>
      </c>
      <c r="V5" s="57">
        <f>Pipeline!AF6</f>
        <v>13.698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-11.11</v>
      </c>
      <c r="D6" s="23">
        <f>-IF(D3-2026&lt;Assumptions!$B$19,Assumptions!$B$18,Assumptions!$B$18*Assumptions!$B$20*Assumptions!$B$16)</f>
        <v>-11.11</v>
      </c>
      <c r="E6" s="23">
        <f>-IF(E3-2026&lt;Assumptions!$B$19,Assumptions!$B$18,Assumptions!$B$18*Assumptions!$B$20*Assumptions!$B$16)</f>
        <v>-11.11</v>
      </c>
      <c r="F6" s="23">
        <f>-IF(F3-2026&lt;Assumptions!$B$19,Assumptions!$B$18,Assumptions!$B$18*Assumptions!$B$20*Assumptions!$B$16)</f>
        <v>-11.11</v>
      </c>
      <c r="G6" s="23">
        <f>-IF(G3-2026&lt;Assumptions!$B$19,Assumptions!$B$18,Assumptions!$B$18*Assumptions!$B$20*Assumptions!$B$16)</f>
        <v>-0.7609238999999998</v>
      </c>
      <c r="H6" s="23">
        <f>-IF(H3-2026&lt;Assumptions!$B$19,Assumptions!$B$18,Assumptions!$B$18*Assumptions!$B$20*Assumptions!$B$16)</f>
        <v>-0.7609238999999998</v>
      </c>
      <c r="I6" s="23">
        <f>-IF(I3-2026&lt;Assumptions!$B$19,Assumptions!$B$18,Assumptions!$B$18*Assumptions!$B$20*Assumptions!$B$16)</f>
        <v>-0.7609238999999998</v>
      </c>
      <c r="J6" s="23">
        <f>-IF(J3-2026&lt;Assumptions!$B$19,Assumptions!$B$18,Assumptions!$B$18*Assumptions!$B$20*Assumptions!$B$16)</f>
        <v>-0.7609238999999998</v>
      </c>
      <c r="K6" s="23">
        <f>-IF(K3-2026&lt;Assumptions!$B$19,Assumptions!$B$18,Assumptions!$B$18*Assumptions!$B$20*Assumptions!$B$16)</f>
        <v>-0.7609238999999998</v>
      </c>
      <c r="L6" s="23">
        <f>-IF(L3-2026&lt;Assumptions!$B$19,Assumptions!$B$18,Assumptions!$B$18*Assumptions!$B$20*Assumptions!$B$16)</f>
        <v>-0.7609238999999998</v>
      </c>
      <c r="M6" s="23">
        <f>-IF(M3-2026&lt;Assumptions!$B$19,Assumptions!$B$18,Assumptions!$B$18*Assumptions!$B$20*Assumptions!$B$16)</f>
        <v>-0.7609238999999998</v>
      </c>
      <c r="N6" s="23">
        <f>-IF(N3-2026&lt;Assumptions!$B$19,Assumptions!$B$18,Assumptions!$B$18*Assumptions!$B$20*Assumptions!$B$16)</f>
        <v>-0.7609238999999998</v>
      </c>
      <c r="O6" s="23">
        <f>-IF(O3-2026&lt;Assumptions!$B$19,Assumptions!$B$18,Assumptions!$B$18*Assumptions!$B$20*Assumptions!$B$16)</f>
        <v>-0.7609238999999998</v>
      </c>
      <c r="P6" s="23">
        <f>-IF(P3-2026&lt;Assumptions!$B$19,Assumptions!$B$18,Assumptions!$B$18*Assumptions!$B$20*Assumptions!$B$16)</f>
        <v>-0.7609238999999998</v>
      </c>
      <c r="Q6" s="23">
        <f>-IF(Q3-2026&lt;Assumptions!$B$19,Assumptions!$B$18,Assumptions!$B$18*Assumptions!$B$20*Assumptions!$B$16)</f>
        <v>-0.7609238999999998</v>
      </c>
      <c r="R6" s="23">
        <f>-IF(R3-2026&lt;Assumptions!$B$19,Assumptions!$B$18,Assumptions!$B$18*Assumptions!$B$20*Assumptions!$B$16)</f>
        <v>-0.7609238999999998</v>
      </c>
      <c r="S6" s="23">
        <f>-IF(S3-2026&lt;Assumptions!$B$19,Assumptions!$B$18,Assumptions!$B$18*Assumptions!$B$20*Assumptions!$B$16)</f>
        <v>-0.7609238999999998</v>
      </c>
      <c r="T6" s="23">
        <f>-IF(T3-2026&lt;Assumptions!$B$19,Assumptions!$B$18,Assumptions!$B$18*Assumptions!$B$20*Assumptions!$B$16)</f>
        <v>-0.7609238999999998</v>
      </c>
      <c r="U6" s="23">
        <f>-IF(U3-2026&lt;Assumptions!$B$19,Assumptions!$B$18,Assumptions!$B$18*Assumptions!$B$20*Assumptions!$B$16)</f>
        <v>-0.7609238999999998</v>
      </c>
      <c r="V6" s="23">
        <f>-IF(V3-2026&lt;Assumptions!$B$19,Assumptions!$B$18,Assumptions!$B$18*Assumptions!$B$20*Assumptions!$B$16)</f>
        <v>-0.7609238999999998</v>
      </c>
    </row>
    <row r="7">
      <c r="A7" s="14" t="inlineStr">
        <is>
          <t>Pre-tax cash flow</t>
        </is>
      </c>
      <c r="C7" s="23">
        <f>C5+C6</f>
        <v>-11.11</v>
      </c>
      <c r="D7" s="23">
        <f>D5+D6</f>
        <v>-11.11</v>
      </c>
      <c r="E7" s="23">
        <f>E5+E6</f>
        <v>-11.11</v>
      </c>
      <c r="F7" s="23">
        <f>F5+F6</f>
        <v>-11.11</v>
      </c>
      <c r="G7" s="23">
        <f>G5+G6</f>
        <v>-0.7609238999999998</v>
      </c>
      <c r="H7" s="23">
        <f>H5+H6</f>
        <v>4.718276100000001</v>
      </c>
      <c r="I7" s="23">
        <f>I5+I6</f>
        <v>12.9370761</v>
      </c>
      <c r="J7" s="23">
        <f>J5+J6</f>
        <v>23.895476100000003</v>
      </c>
      <c r="K7" s="23">
        <f>K5+K6</f>
        <v>34.8538761</v>
      </c>
      <c r="L7" s="23">
        <f>L5+L6</f>
        <v>45.812276100000005</v>
      </c>
      <c r="M7" s="23">
        <f>M5+M6</f>
        <v>54.0310761</v>
      </c>
      <c r="N7" s="23">
        <f>N5+N6</f>
        <v>54.0310761</v>
      </c>
      <c r="O7" s="23">
        <f>O5+O6</f>
        <v>54.0310761</v>
      </c>
      <c r="P7" s="23">
        <f>P5+P6</f>
        <v>54.0310761</v>
      </c>
      <c r="Q7" s="23">
        <f>Q5+Q6</f>
        <v>54.0310761</v>
      </c>
      <c r="R7" s="23">
        <f>R5+R6</f>
        <v>54.0310761</v>
      </c>
      <c r="S7" s="23">
        <f>S5+S6</f>
        <v>54.0310761</v>
      </c>
      <c r="T7" s="23">
        <f>T5+T6</f>
        <v>54.0310761</v>
      </c>
      <c r="U7" s="23">
        <f>U5+U6</f>
        <v>26.635076100000003</v>
      </c>
      <c r="V7" s="23">
        <f>V5+V6</f>
        <v>12.9370761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4.718276100000001</v>
      </c>
      <c r="I8" s="23">
        <f>MIN(H17,MAX(0,I7))</f>
        <v>12.9370761</v>
      </c>
      <c r="J8" s="23">
        <f>MIN(I17,MAX(0,J7))</f>
        <v>23.895476100000003</v>
      </c>
      <c r="K8" s="23">
        <f>MIN(J17,MAX(0,K7))</f>
        <v>34.8538761</v>
      </c>
      <c r="L8" s="23">
        <f>MIN(K17,MAX(0,L7))</f>
        <v>45.812276100000005</v>
      </c>
      <c r="M8" s="23">
        <f>MIN(L17,MAX(0,M7))</f>
        <v>54.0310761</v>
      </c>
      <c r="N8" s="23">
        <f>MIN(M17,MAX(0,N7))</f>
        <v>54.0310761</v>
      </c>
      <c r="O8" s="23">
        <f>MIN(N17,MAX(0,O7))</f>
        <v>54.0310761</v>
      </c>
      <c r="P8" s="23">
        <f>MIN(O17,MAX(0,P7))</f>
        <v>50.89071510000003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3.14036099999997</v>
      </c>
      <c r="Q9" s="23">
        <f>MAX(0,Q7)-Q8</f>
        <v>54.0310761</v>
      </c>
      <c r="R9" s="23">
        <f>MAX(0,R7)-R8</f>
        <v>54.0310761</v>
      </c>
      <c r="S9" s="23">
        <f>MAX(0,S7)-S8</f>
        <v>54.0310761</v>
      </c>
      <c r="T9" s="23">
        <f>MAX(0,T7)-T8</f>
        <v>54.0310761</v>
      </c>
      <c r="U9" s="23">
        <f>MAX(0,U7)-U8</f>
        <v>26.635076100000003</v>
      </c>
      <c r="V9" s="23">
        <f>MAX(0,V7)-V8</f>
        <v>12.9370761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0.6594758099999937</v>
      </c>
      <c r="Q10" s="23">
        <f>Q9*Assumptions!$E$15</f>
        <v>11.346525981</v>
      </c>
      <c r="R10" s="23">
        <f>R9*Assumptions!$E$15</f>
        <v>11.346525981</v>
      </c>
      <c r="S10" s="23">
        <f>S9*Assumptions!$E$15</f>
        <v>11.346525981</v>
      </c>
      <c r="T10" s="23">
        <f>T9*Assumptions!$E$15</f>
        <v>11.346525981</v>
      </c>
      <c r="U10" s="23">
        <f>U9*Assumptions!$E$15</f>
        <v>5.593365981000001</v>
      </c>
      <c r="V10" s="23">
        <f>V9*Assumptions!$E$15</f>
        <v>2.716785981</v>
      </c>
    </row>
    <row r="11">
      <c r="A11" s="24" t="inlineStr">
        <is>
          <t>Free cash flow</t>
        </is>
      </c>
      <c r="C11" s="55">
        <f>C7-C10</f>
        <v>-11.11</v>
      </c>
      <c r="D11" s="55">
        <f>D7-D10</f>
        <v>-11.11</v>
      </c>
      <c r="E11" s="55">
        <f>E7-E10</f>
        <v>-11.11</v>
      </c>
      <c r="F11" s="55">
        <f>F7-F10</f>
        <v>-11.11</v>
      </c>
      <c r="G11" s="55">
        <f>G7-G10</f>
        <v>-0.7609238999999998</v>
      </c>
      <c r="H11" s="55">
        <f>H7-H10</f>
        <v>4.718276100000001</v>
      </c>
      <c r="I11" s="55">
        <f>I7-I10</f>
        <v>12.9370761</v>
      </c>
      <c r="J11" s="55">
        <f>J7-J10</f>
        <v>23.895476100000003</v>
      </c>
      <c r="K11" s="55">
        <f>K7-K10</f>
        <v>34.8538761</v>
      </c>
      <c r="L11" s="55">
        <f>L7-L10</f>
        <v>45.812276100000005</v>
      </c>
      <c r="M11" s="55">
        <f>M7-M10</f>
        <v>54.0310761</v>
      </c>
      <c r="N11" s="55">
        <f>N7-N10</f>
        <v>54.0310761</v>
      </c>
      <c r="O11" s="55">
        <f>O7-O10</f>
        <v>54.0310761</v>
      </c>
      <c r="P11" s="55">
        <f>P7-P10</f>
        <v>53.37160029</v>
      </c>
      <c r="Q11" s="55">
        <f>Q7-Q10</f>
        <v>42.684550119</v>
      </c>
      <c r="R11" s="55">
        <f>R7-R10</f>
        <v>42.684550119</v>
      </c>
      <c r="S11" s="55">
        <f>S7-S10</f>
        <v>42.684550119</v>
      </c>
      <c r="T11" s="55">
        <f>T7-T10</f>
        <v>42.684550119</v>
      </c>
      <c r="U11" s="55">
        <f>U7-U10</f>
        <v>21.041710119</v>
      </c>
      <c r="V11" s="55">
        <f>V7-V10</f>
        <v>10.220290119000001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-5.442837317552886</v>
      </c>
      <c r="D16" s="55">
        <f>D11*D15</f>
        <v>-9.91503478944635</v>
      </c>
      <c r="E16" s="55">
        <f>E11*E15</f>
        <v>-8.85270963343424</v>
      </c>
      <c r="F16" s="55">
        <f>F11*F15</f>
        <v>-7.904205029852</v>
      </c>
      <c r="G16" s="55">
        <f>G11*G15</f>
        <v>-0.4833562522272886</v>
      </c>
      <c r="H16" s="55">
        <f>H11*H15</f>
        <v>2.6760328706392187</v>
      </c>
      <c r="I16" s="55">
        <f>I11*I15</f>
        <v>6.551280625104228</v>
      </c>
      <c r="J16" s="55">
        <f>J11*J15</f>
        <v>10.804078608168654</v>
      </c>
      <c r="K16" s="55">
        <f>K11*K15</f>
        <v>14.070356710135163</v>
      </c>
      <c r="L16" s="55">
        <f>L11*L15</f>
        <v>16.512691663372223</v>
      </c>
      <c r="M16" s="55">
        <f>M11*M15</f>
        <v>17.388479055810095</v>
      </c>
      <c r="N16" s="55">
        <f>N11*N15</f>
        <v>15.525427728401866</v>
      </c>
      <c r="O16" s="55">
        <f>O11*O15</f>
        <v>13.861989043215951</v>
      </c>
      <c r="P16" s="55">
        <f>P11*P15</f>
        <v>12.225711304903259</v>
      </c>
      <c r="Q16" s="55">
        <f>Q11*Q15</f>
        <v>8.730047308785554</v>
      </c>
      <c r="R16" s="55">
        <f>R11*R15</f>
        <v>7.7946850971299595</v>
      </c>
      <c r="S16" s="55">
        <f>S11*S15</f>
        <v>6.9595402652946055</v>
      </c>
      <c r="T16" s="55">
        <f>T11*T15</f>
        <v>6.213875236870183</v>
      </c>
      <c r="U16" s="55">
        <f>U11*U15</f>
        <v>2.73498426005713</v>
      </c>
      <c r="V16" s="55">
        <f>V11*V15</f>
        <v>1.1860937009413954</v>
      </c>
    </row>
    <row r="17">
      <c r="A17" s="14" t="inlineStr">
        <is>
          <t>Tax-loss carryforward, end of year</t>
        </is>
      </c>
      <c r="C17" s="23">
        <f>Assumptions!$B$21-C8+MAX(0,-C7)</f>
        <v>301.11</v>
      </c>
      <c r="D17" s="23">
        <f>C17-D8+MAX(0,-D7)</f>
        <v>312.22</v>
      </c>
      <c r="E17" s="23">
        <f>D17-E8+MAX(0,-E7)</f>
        <v>323.33000000000004</v>
      </c>
      <c r="F17" s="23">
        <f>E17-F8+MAX(0,-F7)</f>
        <v>334.44000000000005</v>
      </c>
      <c r="G17" s="23">
        <f>F17-G8+MAX(0,-G7)</f>
        <v>335.2009239000001</v>
      </c>
      <c r="H17" s="23">
        <f>G17-H8+MAX(0,-H7)</f>
        <v>330.48264780000005</v>
      </c>
      <c r="I17" s="23">
        <f>H17-I8+MAX(0,-I7)</f>
        <v>317.54557170000004</v>
      </c>
      <c r="J17" s="23">
        <f>I17-J8+MAX(0,-J7)</f>
        <v>293.65009560000004</v>
      </c>
      <c r="K17" s="23">
        <f>J17-K8+MAX(0,-K7)</f>
        <v>258.79621950000006</v>
      </c>
      <c r="L17" s="23">
        <f>K17-L8+MAX(0,-L7)</f>
        <v>212.98394340000004</v>
      </c>
      <c r="M17" s="23">
        <f>L17-M8+MAX(0,-M7)</f>
        <v>158.95286730000004</v>
      </c>
      <c r="N17" s="23">
        <f>M17-N8+MAX(0,-N7)</f>
        <v>104.92179120000003</v>
      </c>
      <c r="O17" s="23">
        <f>N17-O8+MAX(0,-O7)</f>
        <v>50.89071510000003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155.61516828310394</v>
      </c>
    </row>
    <row r="20">
      <c r="A20" s="14" t="inlineStr">
        <is>
          <t>PV of corporate burn</t>
        </is>
      </c>
      <c r="B20" s="23">
        <f>SUMPRODUCT(C6:V6,C15:V15)</f>
        <v>-35.8902169565685</v>
      </c>
    </row>
    <row r="21">
      <c r="A21" s="14" t="inlineStr">
        <is>
          <t>PV of taxes</t>
        </is>
      </c>
      <c r="B21" s="23">
        <f>-SUMPRODUCT(C10:V10,C15:V15)</f>
        <v>-9.087820870218733</v>
      </c>
    </row>
    <row r="22">
      <c r="A22" s="24" t="inlineStr">
        <is>
          <t>Pipeline rNPV (operations)</t>
        </is>
      </c>
      <c r="B22" s="54">
        <f>SUM(C16:V16)</f>
        <v>110.63713045631671</v>
      </c>
    </row>
    <row r="23">
      <c r="A23" s="14" t="inlineStr">
        <is>
          <t>Cash &amp; investments</t>
        </is>
      </c>
      <c r="B23" s="57">
        <f>Main!C7</f>
        <v>12.617594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123.25472445631671</v>
      </c>
    </row>
    <row r="26">
      <c r="A26" s="14" t="inlineStr">
        <is>
          <t>Shares (mm)</t>
        </is>
      </c>
      <c r="B26" s="57">
        <f>Main!C4</f>
        <v>15.289502</v>
      </c>
    </row>
    <row r="27">
      <c r="A27" s="24" t="inlineStr">
        <is>
          <t>rNPV / share</t>
        </is>
      </c>
      <c r="B27" s="60">
        <f>B25/B26</f>
        <v>8.061395620100425</v>
      </c>
    </row>
    <row r="28">
      <c r="A28" s="14" t="inlineStr">
        <is>
          <t>Price</t>
        </is>
      </c>
      <c r="B28" s="61">
        <f>Main!C3</f>
        <v>0.689</v>
      </c>
    </row>
    <row r="29">
      <c r="A29" s="14" t="inlineStr">
        <is>
          <t>Upside</t>
        </is>
      </c>
      <c r="B29" s="62">
        <f>B27/B28-1</f>
        <v>10.700138780987556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2026-10-21T06:30:41Z</dcterms:modified>
  <cp:lastModifiedBy>Wang, Eric</cp:lastModifiedBy>
</cp:coreProperties>
</file>