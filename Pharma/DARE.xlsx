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Dare Bioscience Inc</t>
        </is>
      </c>
      <c r="C2" s="10" t="n"/>
    </row>
    <row r="3">
      <c r="B3" t="inlineStr">
        <is>
          <t>Price</t>
        </is>
      </c>
      <c r="C3" s="11">
        <f>INDEX([1]Pharma!$F$1:$F$1000,MATCH("DARE",[1]Pharma!$B$1:$B$1000,0))</f>
        <v>0.689</v>
      </c>
      <c r="F3" s="1" t="n"/>
    </row>
    <row r="4">
      <c r="B4" t="inlineStr">
        <is>
          <t>Shares</t>
        </is>
      </c>
      <c r="C4" s="21" t="n">
        <v>15.289502</v>
      </c>
      <c r="F4" s="1" t="n"/>
    </row>
    <row r="5">
      <c r="B5" t="inlineStr">
        <is>
          <t>Market Cap.</t>
        </is>
      </c>
      <c r="C5" s="13">
        <f>C3*C4</f>
        <v>10.534466878</v>
      </c>
      <c r="F5" s="1" t="n"/>
    </row>
    <row r="6"/>
    <row r="7">
      <c r="B7" t="inlineStr">
        <is>
          <t>Cash</t>
        </is>
      </c>
      <c r="C7" s="21" t="n">
        <v>12.617594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-2.0831271220000005</v>
      </c>
    </row>
    <row r="10"/>
    <row r="11">
      <c r="B11" s="14" t="inlineStr">
        <is>
          <t>Net Cash / Share</t>
        </is>
      </c>
      <c r="C11" s="11">
        <f>(C7-C8)/C4</f>
        <v>0.8252455835382997</v>
      </c>
    </row>
    <row r="12">
      <c r="B12" s="14" t="inlineStr">
        <is>
          <t>Upside</t>
        </is>
      </c>
      <c r="C12" s="15">
        <f>IFERROR(C11/C3-1,"")</f>
        <v>0.19774395288577606</v>
      </c>
    </row>
    <row r="13">
      <c r="B13" s="14" t="inlineStr">
        <is>
          <t>Cash / Share</t>
        </is>
      </c>
      <c r="C13" s="11">
        <f>IFERROR((C7-C8)/C4,"")</f>
        <v>0.8252455835382997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-11.294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1.1171944395254116</v>
      </c>
    </row>
    <row r="19">
      <c r="B19" s="14" t="inlineStr">
        <is>
          <t>Implied Pipeline Value</t>
        </is>
      </c>
      <c r="C19" s="13">
        <f>C9</f>
        <v>-2.0831271220000005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0.625</v>
      </c>
      <c r="C2" s="23" t="n">
        <v>0.006</v>
      </c>
      <c r="D2" s="23" t="n">
        <v>0.08</v>
      </c>
      <c r="E2" s="23" t="n">
        <v>0</v>
      </c>
      <c r="F2" s="23" t="n">
        <v>0.766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10</v>
      </c>
      <c r="M2" s="23" t="n">
        <v>2.808</v>
      </c>
      <c r="N2" s="23" t="n">
        <v>0.01</v>
      </c>
      <c r="O2" s="23" t="n">
        <v>1.03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0.296</v>
      </c>
    </row>
    <row r="4" customFormat="1" s="1">
      <c r="A4" s="5" t="inlineStr">
        <is>
          <t>Gross Margin</t>
        </is>
      </c>
      <c r="B4" s="23">
        <f>B2-B3</f>
        <v>0.625</v>
      </c>
      <c r="C4" s="23">
        <f>C2-C3</f>
        <v>0.006</v>
      </c>
      <c r="D4" s="23">
        <f>D2-D3</f>
        <v>0.08</v>
      </c>
      <c r="E4" s="23">
        <f>E2-E3</f>
        <v>0.0</v>
      </c>
      <c r="F4" s="23">
        <f>F2-F3</f>
        <v>0.766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10.0</v>
      </c>
      <c r="M4" s="23">
        <f>M2-M3</f>
        <v>2.808</v>
      </c>
      <c r="N4" s="23">
        <f>N2-N3</f>
        <v>0.01</v>
      </c>
      <c r="O4" s="23">
        <f>O2-O3</f>
        <v>0.734</v>
      </c>
    </row>
    <row r="5">
      <c r="A5" s="2" t="inlineStr">
        <is>
          <t>Research &amp; Dev.</t>
        </is>
      </c>
      <c r="B5" s="23" t="n">
        <v>15.807</v>
      </c>
      <c r="C5" s="23" t="n">
        <v>9.699999999999999</v>
      </c>
      <c r="D5" s="23" t="n">
        <v>11.772</v>
      </c>
      <c r="E5" s="23" t="n">
        <v>25.948</v>
      </c>
      <c r="F5" s="23" t="n">
        <v>0.073</v>
      </c>
      <c r="G5" s="23" t="n">
        <v>0.985</v>
      </c>
      <c r="H5" s="23" t="n">
        <v>6.414</v>
      </c>
      <c r="I5" s="23" t="n">
        <v>8.545999999999999</v>
      </c>
      <c r="J5" s="23" t="n">
        <v>20.769</v>
      </c>
      <c r="K5" s="23" t="n">
        <v>30.618</v>
      </c>
      <c r="L5" s="23" t="n">
        <v>30.042</v>
      </c>
      <c r="M5" s="23" t="n">
        <v>21.538</v>
      </c>
      <c r="N5" s="23" t="n">
        <v>14.305</v>
      </c>
      <c r="O5" s="23" t="n">
        <v>5.523</v>
      </c>
    </row>
    <row r="6">
      <c r="A6" s="19" t="inlineStr">
        <is>
          <t>SG&amp;A &amp; Other</t>
        </is>
      </c>
      <c r="B6" s="23" t="n">
        <v>6.393</v>
      </c>
      <c r="C6" s="23" t="n">
        <v>6.166</v>
      </c>
      <c r="D6" s="23" t="n">
        <v>8.587</v>
      </c>
      <c r="E6" s="23" t="n">
        <v>11.224</v>
      </c>
      <c r="F6" s="23" t="n">
        <v>1.324</v>
      </c>
      <c r="G6" s="23" t="n">
        <v>10.196</v>
      </c>
      <c r="H6" s="23" t="n">
        <v>10.468</v>
      </c>
      <c r="I6" s="23" t="n">
        <v>5.799</v>
      </c>
      <c r="J6" s="23" t="n">
        <v>6.633</v>
      </c>
      <c r="K6" s="23" t="n">
        <v>8.451000000000001</v>
      </c>
      <c r="L6" s="23" t="n">
        <v>11.343</v>
      </c>
      <c r="M6" s="23" t="n">
        <v>12.21</v>
      </c>
      <c r="N6" s="23" t="n">
        <v>9.156000000000001</v>
      </c>
      <c r="O6" s="23" t="n">
        <v>8.763</v>
      </c>
    </row>
    <row r="7">
      <c r="A7" s="2" t="inlineStr">
        <is>
          <t>Operating Expense</t>
        </is>
      </c>
      <c r="B7" s="23">
        <f>SUM(B5:B6)</f>
        <v>22.2</v>
      </c>
      <c r="C7" s="23">
        <f>SUM(C5:C6)</f>
        <v>15.866</v>
      </c>
      <c r="D7" s="23">
        <f>SUM(D5:D6)</f>
        <v>20.359</v>
      </c>
      <c r="E7" s="23">
        <f>SUM(E5:E6)</f>
        <v>37.172</v>
      </c>
      <c r="F7" s="23">
        <f>SUM(F5:F6)</f>
        <v>1.397</v>
      </c>
      <c r="G7" s="23">
        <f>SUM(G5:G6)</f>
        <v>11.181</v>
      </c>
      <c r="H7" s="23">
        <f>SUM(H5:H6)</f>
        <v>16.881999999999998</v>
      </c>
      <c r="I7" s="23">
        <f>SUM(I5:I6)</f>
        <v>14.344999999999999</v>
      </c>
      <c r="J7" s="23">
        <f>SUM(J5:J6)</f>
        <v>27.401999999999997</v>
      </c>
      <c r="K7" s="23">
        <f>SUM(K5:K6)</f>
        <v>39.069</v>
      </c>
      <c r="L7" s="23">
        <f>SUM(L5:L6)</f>
        <v>41.385000000000005</v>
      </c>
      <c r="M7" s="23">
        <f>SUM(M5:M6)</f>
        <v>33.748000000000005</v>
      </c>
      <c r="N7" s="23">
        <f>SUM(N5:N6)</f>
        <v>23.461</v>
      </c>
      <c r="O7" s="23">
        <f>SUM(O5:O6)</f>
        <v>14.286</v>
      </c>
    </row>
    <row r="8">
      <c r="A8" s="2" t="inlineStr">
        <is>
          <t>Operating Income</t>
        </is>
      </c>
      <c r="B8" s="23">
        <f>B4-B7</f>
        <v>-21.575</v>
      </c>
      <c r="C8" s="23">
        <f>C4-C7</f>
        <v>-15.86</v>
      </c>
      <c r="D8" s="23">
        <f>D4-D7</f>
        <v>-20.279000000000003</v>
      </c>
      <c r="E8" s="23">
        <f>E4-E7</f>
        <v>-37.172</v>
      </c>
      <c r="F8" s="23">
        <f>F4-F7</f>
        <v>-0.631</v>
      </c>
      <c r="G8" s="23">
        <f>G4-G7</f>
        <v>-11.181</v>
      </c>
      <c r="H8" s="23">
        <f>H4-H7</f>
        <v>-16.881999999999998</v>
      </c>
      <c r="I8" s="23">
        <f>I4-I7</f>
        <v>-14.344999999999999</v>
      </c>
      <c r="J8" s="23">
        <f>J4-J7</f>
        <v>-27.401999999999997</v>
      </c>
      <c r="K8" s="23">
        <f>K4-K7</f>
        <v>-39.069</v>
      </c>
      <c r="L8" s="23">
        <f>L4-L7</f>
        <v>-31.385000000000005</v>
      </c>
      <c r="M8" s="23">
        <f>M4-M7</f>
        <v>-30.940000000000005</v>
      </c>
      <c r="N8" s="23">
        <f>N4-N7</f>
        <v>-23.450999999999997</v>
      </c>
      <c r="O8" s="23">
        <f>O4-O7</f>
        <v>-13.552</v>
      </c>
    </row>
    <row r="9">
      <c r="A9" s="19" t="inlineStr">
        <is>
          <t>Interest &amp; Other</t>
        </is>
      </c>
      <c r="B9" s="23" t="n">
        <v>-0.526</v>
      </c>
      <c r="C9" s="23" t="n">
        <v>-1.283</v>
      </c>
      <c r="D9" s="23" t="n">
        <v>-3.063</v>
      </c>
      <c r="E9" s="23" t="n">
        <v>-2.422</v>
      </c>
      <c r="F9" s="23" t="n">
        <v>-0.042</v>
      </c>
      <c r="G9" s="23" t="n">
        <v>-0.323</v>
      </c>
      <c r="H9" s="23" t="n">
        <v>0.147</v>
      </c>
      <c r="I9" s="23" t="n">
        <v>0.081</v>
      </c>
      <c r="J9" s="23" t="n">
        <v>0.002</v>
      </c>
      <c r="K9" s="23" t="n">
        <v>0.372</v>
      </c>
      <c r="L9" s="23" t="n">
        <v>0.438</v>
      </c>
      <c r="M9" s="23" t="n">
        <v>0.78</v>
      </c>
      <c r="N9" s="23" t="n">
        <v>19.401</v>
      </c>
      <c r="O9" s="23" t="n">
        <v>0.152</v>
      </c>
    </row>
    <row r="10">
      <c r="A10" s="2" t="inlineStr">
        <is>
          <t>Pretax</t>
        </is>
      </c>
      <c r="B10" s="23">
        <f>B8+B9</f>
        <v>-22.101</v>
      </c>
      <c r="C10" s="23">
        <f>C8+C9</f>
        <v>-17.143</v>
      </c>
      <c r="D10" s="23">
        <f>D8+D9</f>
        <v>-23.342000000000002</v>
      </c>
      <c r="E10" s="23">
        <f>E8+E9</f>
        <v>-39.593999999999994</v>
      </c>
      <c r="F10" s="23">
        <f>F8+F9</f>
        <v>-0.673</v>
      </c>
      <c r="G10" s="23">
        <f>G8+G9</f>
        <v>-11.504</v>
      </c>
      <c r="H10" s="23">
        <f>H8+H9</f>
        <v>-16.735</v>
      </c>
      <c r="I10" s="23">
        <f>I8+I9</f>
        <v>-14.264</v>
      </c>
      <c r="J10" s="23">
        <f>J8+J9</f>
        <v>-27.4</v>
      </c>
      <c r="K10" s="23">
        <f>K8+K9</f>
        <v>-38.697</v>
      </c>
      <c r="L10" s="23">
        <f>L8+L9</f>
        <v>-30.947000000000006</v>
      </c>
      <c r="M10" s="23">
        <f>M8+M9</f>
        <v>-30.160000000000004</v>
      </c>
      <c r="N10" s="23">
        <f>N8+N9</f>
        <v>-4.049999999999997</v>
      </c>
      <c r="O10" s="23">
        <f>O8+O9</f>
        <v>-13.4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0.003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-22.101</v>
      </c>
      <c r="C12" s="23" t="n">
        <v>-17.143</v>
      </c>
      <c r="D12" s="23" t="n">
        <v>-23.342</v>
      </c>
      <c r="E12" s="23" t="n">
        <v>-39.594</v>
      </c>
      <c r="F12" s="23" t="n">
        <v>-0.673</v>
      </c>
      <c r="G12" s="23" t="n">
        <v>-11.503</v>
      </c>
      <c r="H12" s="23" t="n">
        <v>-16.739</v>
      </c>
      <c r="I12" s="23" t="n">
        <v>-14.264</v>
      </c>
      <c r="J12" s="23" t="n">
        <v>-27.401</v>
      </c>
      <c r="K12" s="23" t="n">
        <v>-38.696</v>
      </c>
      <c r="L12" s="23" t="n">
        <v>-30.948</v>
      </c>
      <c r="M12" s="23" t="n">
        <v>-30.16</v>
      </c>
      <c r="N12" s="23" t="n">
        <v>-4.05</v>
      </c>
      <c r="O12" s="23" t="n">
        <v>-13.4</v>
      </c>
    </row>
    <row r="13">
      <c r="A13" s="2" t="inlineStr">
        <is>
          <t>Earnings per Share</t>
        </is>
      </c>
      <c r="B13" s="11">
        <f>IFERROR(B12/B14,0)</f>
        <v>-25.90973036342321</v>
      </c>
      <c r="C13" s="11">
        <f>IFERROR(C12/C14,0)</f>
        <v>-17.894572025052195</v>
      </c>
      <c r="D13" s="11">
        <f>IFERROR(D12/D14,0)</f>
        <v>-24.063917525773196</v>
      </c>
      <c r="E13" s="11">
        <f>IFERROR(E12/E14,0)</f>
        <v>-23.35929203539823</v>
      </c>
      <c r="F13" s="11">
        <f>IFERROR(F12/F14,0)</f>
        <v>-0.40299401197604795</v>
      </c>
      <c r="G13" s="11">
        <f>IFERROR(G12/G14,0)</f>
        <v>-1.7792730085073474</v>
      </c>
      <c r="H13" s="11">
        <f>IFERROR(H12/H14,0)</f>
        <v>-0.7798276263685069</v>
      </c>
      <c r="I13" s="11">
        <f>IFERROR(I12/I14,0)</f>
        <v>-0.4577957506900314</v>
      </c>
      <c r="J13" s="11">
        <f>IFERROR(J12/J14,0)</f>
        <v>-0.4552946845454697</v>
      </c>
      <c r="K13" s="11">
        <f>IFERROR(K12/K14,0)</f>
        <v>-0.632763188017137</v>
      </c>
      <c r="L13" s="11">
        <f>IFERROR(L12/L14,0)</f>
        <v>-0.36593671664380645</v>
      </c>
      <c r="M13" s="11">
        <f>IFERROR(M12/M14,0)</f>
        <v>-4.145704467353951</v>
      </c>
      <c r="N13" s="11">
        <f>IFERROR(N12/N14,0)</f>
        <v>-0.47663881369895256</v>
      </c>
      <c r="O13" s="11">
        <f>IFERROR(O12/O14,0)</f>
        <v>-1.1986760890956256</v>
      </c>
    </row>
    <row r="14">
      <c r="A14" s="2" t="inlineStr">
        <is>
          <t>Shares</t>
        </is>
      </c>
      <c r="B14" s="23" t="n">
        <v>0.853</v>
      </c>
      <c r="C14" s="23" t="n">
        <v>0.958</v>
      </c>
      <c r="D14" s="23" t="n">
        <v>0.97</v>
      </c>
      <c r="E14" s="23" t="n">
        <v>1.695</v>
      </c>
      <c r="F14" s="23" t="n">
        <v>1.67</v>
      </c>
      <c r="G14" s="23" t="n">
        <v>6.465</v>
      </c>
      <c r="H14" s="23" t="n">
        <v>21.465</v>
      </c>
      <c r="I14" s="23" t="n">
        <v>31.158</v>
      </c>
      <c r="J14" s="23" t="n">
        <v>60.183</v>
      </c>
      <c r="K14" s="23" t="n">
        <v>61.154</v>
      </c>
      <c r="L14" s="23" t="n">
        <v>84.572</v>
      </c>
      <c r="M14" s="23" t="n">
        <v>7.275</v>
      </c>
      <c r="N14" s="23" t="n">
        <v>8.497</v>
      </c>
      <c r="O14" s="23" t="n">
        <v>11.179</v>
      </c>
    </row>
    <row r="15"/>
    <row r="16" customFormat="1" s="4">
      <c r="A16" s="3" t="inlineStr">
        <is>
          <t>Revenue Change</t>
        </is>
      </c>
      <c r="C16" s="15">
        <f>IFERROR(C2/B2-1,"")</f>
        <v>-0.9904</v>
      </c>
      <c r="D16" s="15">
        <f>IFERROR(D2/C2-1,"")</f>
        <v>12.333333333333334</v>
      </c>
      <c r="E16" s="15">
        <f>IFERROR(E2/D2-1,"")</f>
        <v>-1.0</v>
      </c>
      <c r="F16" s="15">
        <f>IFERROR(F2/E2-1,"")</f>
        <v/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>-0.7192000000000001</v>
      </c>
      <c r="N16" s="15">
        <f>IFERROR(N2/M2-1,"")</f>
        <v>-0.9964387464387464</v>
      </c>
      <c r="O16" s="15">
        <f>IFERROR(O2/N2-1,"")</f>
        <v>102.0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0.7126213592233009</v>
      </c>
    </row>
    <row r="18">
      <c r="A18" s="14" t="inlineStr">
        <is>
          <t>Operating Margin</t>
        </is>
      </c>
      <c r="B18" s="15">
        <f>IFERROR(B8/B2,"")</f>
        <v>-34.519999999999996</v>
      </c>
      <c r="C18" s="15">
        <f>IFERROR(C8/C2,"")</f>
        <v>-2643.333333333333</v>
      </c>
      <c r="D18" s="15">
        <f>IFERROR(D8/D2,"")</f>
        <v>-253.48750000000004</v>
      </c>
      <c r="E18" s="15">
        <f>IFERROR(E8/E2,"")</f>
        <v/>
      </c>
      <c r="F18" s="15">
        <f>IFERROR(F8/F2,"")</f>
        <v>-0.8237597911227154</v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-3.1385000000000005</v>
      </c>
      <c r="M18" s="15">
        <f>IFERROR(M8/M2,"")</f>
        <v>-11.01851851851852</v>
      </c>
      <c r="N18" s="15">
        <f>IFERROR(N8/N2,"")</f>
        <v>-2345.0999999999995</v>
      </c>
      <c r="O18" s="15">
        <f>IFERROR(O8/O2,"")</f>
        <v>-13.157281553398057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2026-10-21T01:06:35Z</dcterms:modified>
  <cp:lastModifiedBy>Wang, Eric</cp:lastModifiedBy>
</cp:coreProperties>
</file>