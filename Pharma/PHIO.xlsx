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Phio Pharmaceuticals Corp</t>
        </is>
      </c>
      <c r="C2" s="10" t="n"/>
    </row>
    <row r="3">
      <c r="B3" t="inlineStr">
        <is>
          <t>Price</t>
        </is>
      </c>
      <c r="C3" s="11">
        <f>INDEX([1]Pharma!$F$1:$F$1000,MATCH("PHIO",[1]Pharma!$B$1:$B$1000,0))</f>
        <v>0.8921</v>
      </c>
      <c r="F3" s="1" t="n"/>
    </row>
    <row r="4">
      <c r="B4" t="inlineStr">
        <is>
          <t>Shares</t>
        </is>
      </c>
      <c r="C4" s="21" t="n">
        <v>11.61725</v>
      </c>
      <c r="F4" s="1" t="n"/>
    </row>
    <row r="5">
      <c r="B5" t="inlineStr">
        <is>
          <t>Market Cap.</t>
        </is>
      </c>
      <c r="C5" s="13">
        <f>C3*C4</f>
        <v>10.363748725</v>
      </c>
      <c r="F5" s="1" t="n"/>
    </row>
    <row r="6"/>
    <row r="7">
      <c r="B7" t="inlineStr">
        <is>
          <t>Cash</t>
        </is>
      </c>
      <c r="C7" s="21" t="n">
        <v>12.996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-2.632251275</v>
      </c>
    </row>
    <row r="10"/>
    <row r="11">
      <c r="B11" s="14" t="inlineStr">
        <is>
          <t>Net Cash / Share</t>
        </is>
      </c>
      <c r="C11" s="11">
        <f>(C7-C8)/C4</f>
        <v>1.1186812713852246</v>
      </c>
    </row>
    <row r="12">
      <c r="B12" s="14" t="inlineStr">
        <is>
          <t>Upside</t>
        </is>
      </c>
      <c r="C12" s="15">
        <f>IFERROR(C11/C3-1,"")</f>
        <v>0.2539864044224016</v>
      </c>
    </row>
    <row r="13">
      <c r="B13" s="14" t="inlineStr">
        <is>
          <t>Cash / Share</t>
        </is>
      </c>
      <c r="C13" s="11">
        <f>IFERROR((C7-C8)/C4,"")</f>
        <v>1.1186812713852246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-12.202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1.0650712997869203</v>
      </c>
    </row>
    <row r="19">
      <c r="B19" s="14" t="inlineStr">
        <is>
          <t>Implied Pipeline Value</t>
        </is>
      </c>
      <c r="C19" s="13">
        <f>C9</f>
        <v>-2.632251275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2003</v>
      </c>
      <c r="C1" s="17" t="n">
        <v>2004</v>
      </c>
      <c r="D1" s="17" t="n">
        <v>2005</v>
      </c>
      <c r="E1" s="17" t="n">
        <v>2006</v>
      </c>
      <c r="F1" s="17" t="n">
        <v>2007</v>
      </c>
      <c r="G1" s="17" t="n">
        <v>2008</v>
      </c>
      <c r="H1" s="17" t="n">
        <v>2009</v>
      </c>
      <c r="I1" s="17" t="n">
        <v>2010</v>
      </c>
      <c r="J1" s="17" t="n">
        <v>2011</v>
      </c>
      <c r="K1" s="17" t="n">
        <v>2012</v>
      </c>
      <c r="L1" s="17" t="n">
        <v>2013</v>
      </c>
      <c r="M1" s="17" t="n">
        <v>2014</v>
      </c>
      <c r="N1" s="17" t="n">
        <v>2015</v>
      </c>
      <c r="O1" s="17" t="n">
        <v>2016</v>
      </c>
      <c r="P1" s="17" t="n">
        <v>2017</v>
      </c>
      <c r="Q1" s="17" t="n">
        <v>2018</v>
      </c>
      <c r="R1" s="17" t="n">
        <v>2019</v>
      </c>
      <c r="S1" s="17" t="n">
        <v>2020</v>
      </c>
      <c r="T1" s="17" t="n">
        <v>2021</v>
      </c>
      <c r="U1" s="17" t="n">
        <v>2022</v>
      </c>
      <c r="V1" s="17" t="n">
        <v>2023</v>
      </c>
      <c r="W1" s="17" t="n">
        <v>2024</v>
      </c>
      <c r="X1" s="17" t="n">
        <v>2025</v>
      </c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0.097</v>
      </c>
      <c r="L2" s="23" t="n">
        <v>0.399</v>
      </c>
      <c r="M2" s="23" t="n">
        <v>0</v>
      </c>
      <c r="N2" s="23" t="n">
        <v>0.034</v>
      </c>
      <c r="O2" s="23" t="n">
        <v>0.019</v>
      </c>
      <c r="P2" s="23" t="n">
        <v>0.015</v>
      </c>
      <c r="Q2" s="23" t="n">
        <v>0.138</v>
      </c>
      <c r="R2" s="23" t="n">
        <v>0.021</v>
      </c>
      <c r="S2" s="23" t="n">
        <v>0</v>
      </c>
      <c r="T2" s="23" t="n">
        <v>0</v>
      </c>
      <c r="U2" s="23" t="n">
        <v>0</v>
      </c>
      <c r="V2" s="23" t="n">
        <v>0</v>
      </c>
      <c r="W2" s="23" t="n">
        <v>0</v>
      </c>
      <c r="X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0</v>
      </c>
      <c r="U3" s="23" t="n">
        <v>0</v>
      </c>
      <c r="V3" s="23" t="n">
        <v>0</v>
      </c>
      <c r="W3" s="23" t="n">
        <v>0</v>
      </c>
      <c r="X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0.097</v>
      </c>
      <c r="L4" s="23">
        <f>L2-L3</f>
        <v>0.399</v>
      </c>
      <c r="M4" s="23">
        <f>M2-M3</f>
        <v>0.0</v>
      </c>
      <c r="N4" s="23">
        <f>N2-N3</f>
        <v>0.034</v>
      </c>
      <c r="O4" s="23">
        <f>O2-O3</f>
        <v>0.019</v>
      </c>
      <c r="P4" s="23">
        <f>P2-P3</f>
        <v>0.015</v>
      </c>
      <c r="Q4" s="23">
        <f>Q2-Q3</f>
        <v>0.138</v>
      </c>
      <c r="R4" s="23">
        <f>R2-R3</f>
        <v>0.021</v>
      </c>
      <c r="S4" s="23">
        <f>S2-S3</f>
        <v>0.0</v>
      </c>
      <c r="T4" s="23">
        <f>T2-T3</f>
        <v>0.0</v>
      </c>
      <c r="U4" s="23">
        <f>U2-U3</f>
        <v>0.0</v>
      </c>
      <c r="V4" s="23">
        <f>V2-V3</f>
        <v>0.0</v>
      </c>
      <c r="W4" s="23">
        <f>W2-W3</f>
        <v>0.0</v>
      </c>
      <c r="X4" s="23">
        <f>X2-X3</f>
        <v>0.0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0</v>
      </c>
      <c r="J5" s="23" t="n">
        <v>6.624</v>
      </c>
      <c r="K5" s="23" t="n">
        <v>10.451</v>
      </c>
      <c r="L5" s="23" t="n">
        <v>17.651</v>
      </c>
      <c r="M5" s="23" t="n">
        <v>5.68</v>
      </c>
      <c r="N5" s="23" t="n">
        <v>6.925</v>
      </c>
      <c r="O5" s="23" t="n">
        <v>5.415</v>
      </c>
      <c r="P5" s="23" t="n">
        <v>5.37</v>
      </c>
      <c r="Q5" s="23" t="n">
        <v>4.326</v>
      </c>
      <c r="R5" s="23" t="n">
        <v>4.3</v>
      </c>
      <c r="S5" s="23" t="n">
        <v>3.716</v>
      </c>
      <c r="T5" s="23" t="n">
        <v>8.885999999999999</v>
      </c>
      <c r="U5" s="23" t="n">
        <v>7.012</v>
      </c>
      <c r="V5" s="23" t="n">
        <v>6.332</v>
      </c>
      <c r="W5" s="23" t="n">
        <v>3.643</v>
      </c>
      <c r="X5" s="23" t="n">
        <v>4.618</v>
      </c>
    </row>
    <row r="6">
      <c r="A6" s="19" t="inlineStr">
        <is>
          <t>SG&amp;A &amp; Other</t>
        </is>
      </c>
      <c r="B6" s="23" t="n">
        <v>0.089</v>
      </c>
      <c r="C6" s="23" t="n">
        <v>3.272</v>
      </c>
      <c r="D6" s="23" t="n">
        <v>2.209</v>
      </c>
      <c r="E6" s="23" t="n">
        <v>2.405</v>
      </c>
      <c r="F6" s="23" t="n">
        <v>10.99</v>
      </c>
      <c r="G6" s="23" t="n">
        <v>14.373</v>
      </c>
      <c r="H6" s="23" t="n">
        <v>18.387</v>
      </c>
      <c r="I6" s="23" t="n">
        <v>11.993</v>
      </c>
      <c r="J6" s="23" t="n">
        <v>6.146</v>
      </c>
      <c r="K6" s="23" t="n">
        <v>2.621</v>
      </c>
      <c r="L6" s="23" t="n">
        <v>3.697</v>
      </c>
      <c r="M6" s="23" t="n">
        <v>3.146</v>
      </c>
      <c r="N6" s="23" t="n">
        <v>3.346</v>
      </c>
      <c r="O6" s="23" t="n">
        <v>3.619</v>
      </c>
      <c r="P6" s="23" t="n">
        <v>8.707000000000001</v>
      </c>
      <c r="Q6" s="23" t="n">
        <v>3.176</v>
      </c>
      <c r="R6" s="23" t="n">
        <v>4.708</v>
      </c>
      <c r="S6" s="23" t="n">
        <v>5.077</v>
      </c>
      <c r="T6" s="23" t="n">
        <v>4.625</v>
      </c>
      <c r="U6" s="23" t="n">
        <v>4.45</v>
      </c>
      <c r="V6" s="23" t="n">
        <v>4.492</v>
      </c>
      <c r="W6" s="23" t="n">
        <v>3.744</v>
      </c>
      <c r="X6" s="23" t="n">
        <v>4.602</v>
      </c>
    </row>
    <row r="7">
      <c r="A7" s="2" t="inlineStr">
        <is>
          <t>Operating Expense</t>
        </is>
      </c>
      <c r="B7" s="23">
        <f>SUM(B5:B6)</f>
        <v>0.089</v>
      </c>
      <c r="C7" s="23">
        <f>SUM(C5:C6)</f>
        <v>3.272</v>
      </c>
      <c r="D7" s="23">
        <f>SUM(D5:D6)</f>
        <v>2.209</v>
      </c>
      <c r="E7" s="23">
        <f>SUM(E5:E6)</f>
        <v>2.405</v>
      </c>
      <c r="F7" s="23">
        <f>SUM(F5:F6)</f>
        <v>10.99</v>
      </c>
      <c r="G7" s="23">
        <f>SUM(G5:G6)</f>
        <v>14.373</v>
      </c>
      <c r="H7" s="23">
        <f>SUM(H5:H6)</f>
        <v>18.387</v>
      </c>
      <c r="I7" s="23">
        <f>SUM(I5:I6)</f>
        <v>11.993</v>
      </c>
      <c r="J7" s="23">
        <f>SUM(J5:J6)</f>
        <v>12.77</v>
      </c>
      <c r="K7" s="23">
        <f>SUM(K5:K6)</f>
        <v>13.072000000000001</v>
      </c>
      <c r="L7" s="23">
        <f>SUM(L5:L6)</f>
        <v>21.348</v>
      </c>
      <c r="M7" s="23">
        <f>SUM(M5:M6)</f>
        <v>8.826</v>
      </c>
      <c r="N7" s="23">
        <f>SUM(N5:N6)</f>
        <v>10.271</v>
      </c>
      <c r="O7" s="23">
        <f>SUM(O5:O6)</f>
        <v>9.034</v>
      </c>
      <c r="P7" s="23">
        <f>SUM(P5:P6)</f>
        <v>14.077000000000002</v>
      </c>
      <c r="Q7" s="23">
        <f>SUM(Q5:Q6)</f>
        <v>7.502</v>
      </c>
      <c r="R7" s="23">
        <f>SUM(R5:R6)</f>
        <v>9.008</v>
      </c>
      <c r="S7" s="23">
        <f>SUM(S5:S6)</f>
        <v>8.793</v>
      </c>
      <c r="T7" s="23">
        <f>SUM(T5:T6)</f>
        <v>13.511</v>
      </c>
      <c r="U7" s="23">
        <f>SUM(U5:U6)</f>
        <v>11.462</v>
      </c>
      <c r="V7" s="23">
        <f>SUM(V5:V6)</f>
        <v>10.824</v>
      </c>
      <c r="W7" s="23">
        <f>SUM(W5:W6)</f>
        <v>7.3870000000000005</v>
      </c>
      <c r="X7" s="23">
        <f>SUM(X5:X6)</f>
        <v>9.22</v>
      </c>
    </row>
    <row r="8">
      <c r="A8" s="2" t="inlineStr">
        <is>
          <t>Operating Income</t>
        </is>
      </c>
      <c r="B8" s="23">
        <f>B4-B7</f>
        <v>-0.089</v>
      </c>
      <c r="C8" s="23">
        <f>C4-C7</f>
        <v>-3.272</v>
      </c>
      <c r="D8" s="23">
        <f>D4-D7</f>
        <v>-2.209</v>
      </c>
      <c r="E8" s="23">
        <f>E4-E7</f>
        <v>-2.405</v>
      </c>
      <c r="F8" s="23">
        <f>F4-F7</f>
        <v>-10.99</v>
      </c>
      <c r="G8" s="23">
        <f>G4-G7</f>
        <v>-14.373</v>
      </c>
      <c r="H8" s="23">
        <f>H4-H7</f>
        <v>-18.387</v>
      </c>
      <c r="I8" s="23">
        <f>I4-I7</f>
        <v>-11.993</v>
      </c>
      <c r="J8" s="23">
        <f>J4-J7</f>
        <v>-12.77</v>
      </c>
      <c r="K8" s="23">
        <f>K4-K7</f>
        <v>-12.975000000000001</v>
      </c>
      <c r="L8" s="23">
        <f>L4-L7</f>
        <v>-20.948999999999998</v>
      </c>
      <c r="M8" s="23">
        <f>M4-M7</f>
        <v>-8.826</v>
      </c>
      <c r="N8" s="23">
        <f>N4-N7</f>
        <v>-10.237</v>
      </c>
      <c r="O8" s="23">
        <f>O4-O7</f>
        <v>-9.015</v>
      </c>
      <c r="P8" s="23">
        <f>P4-P7</f>
        <v>-14.062000000000001</v>
      </c>
      <c r="Q8" s="23">
        <f>Q4-Q7</f>
        <v>-7.364</v>
      </c>
      <c r="R8" s="23">
        <f>R4-R7</f>
        <v>-8.986999999999998</v>
      </c>
      <c r="S8" s="23">
        <f>S4-S7</f>
        <v>-8.793</v>
      </c>
      <c r="T8" s="23">
        <f>T4-T7</f>
        <v>-13.511</v>
      </c>
      <c r="U8" s="23">
        <f>U4-U7</f>
        <v>-11.462</v>
      </c>
      <c r="V8" s="23">
        <f>V4-V7</f>
        <v>-10.824</v>
      </c>
      <c r="W8" s="23">
        <f>W4-W7</f>
        <v>-7.3870000000000005</v>
      </c>
      <c r="X8" s="23">
        <f>X4-X7</f>
        <v>-9.22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0</v>
      </c>
      <c r="J9" s="23" t="n">
        <v>10.233</v>
      </c>
      <c r="K9" s="23" t="n">
        <v>0.095</v>
      </c>
      <c r="L9" s="23" t="n">
        <v>0.024</v>
      </c>
      <c r="M9" s="23" t="n">
        <v>0.026</v>
      </c>
      <c r="N9" s="23" t="n">
        <v>0.014</v>
      </c>
      <c r="O9" s="23" t="n">
        <v>0.021</v>
      </c>
      <c r="P9" s="23" t="n">
        <v>-0.011</v>
      </c>
      <c r="Q9" s="23" t="n">
        <v>0.004</v>
      </c>
      <c r="R9" s="23" t="n">
        <v>0.079</v>
      </c>
      <c r="S9" s="23" t="n">
        <v>-0.001</v>
      </c>
      <c r="T9" s="23" t="n">
        <v>0.224</v>
      </c>
      <c r="U9" s="23" t="n">
        <v>-0.018</v>
      </c>
      <c r="V9" s="23" t="n">
        <v>-0.002</v>
      </c>
      <c r="W9" s="23" t="n">
        <v>0.237</v>
      </c>
      <c r="X9" s="23" t="n">
        <v>0.522</v>
      </c>
    </row>
    <row r="10">
      <c r="A10" s="2" t="inlineStr">
        <is>
          <t>Pretax</t>
        </is>
      </c>
      <c r="B10" s="23">
        <f>B8+B9</f>
        <v>-0.089</v>
      </c>
      <c r="C10" s="23">
        <f>C8+C9</f>
        <v>-3.272</v>
      </c>
      <c r="D10" s="23">
        <f>D8+D9</f>
        <v>-2.209</v>
      </c>
      <c r="E10" s="23">
        <f>E8+E9</f>
        <v>-2.405</v>
      </c>
      <c r="F10" s="23">
        <f>F8+F9</f>
        <v>-10.99</v>
      </c>
      <c r="G10" s="23">
        <f>G8+G9</f>
        <v>-14.373</v>
      </c>
      <c r="H10" s="23">
        <f>H8+H9</f>
        <v>-18.387</v>
      </c>
      <c r="I10" s="23">
        <f>I8+I9</f>
        <v>-11.993</v>
      </c>
      <c r="J10" s="23">
        <f>J8+J9</f>
        <v>-2.536999999999999</v>
      </c>
      <c r="K10" s="23">
        <f>K8+K9</f>
        <v>-12.88</v>
      </c>
      <c r="L10" s="23">
        <f>L8+L9</f>
        <v>-20.924999999999997</v>
      </c>
      <c r="M10" s="23">
        <f>M8+M9</f>
        <v>-8.8</v>
      </c>
      <c r="N10" s="23">
        <f>N8+N9</f>
        <v>-10.223</v>
      </c>
      <c r="O10" s="23">
        <f>O8+O9</f>
        <v>-8.994</v>
      </c>
      <c r="P10" s="23">
        <f>P8+P9</f>
        <v>-14.073</v>
      </c>
      <c r="Q10" s="23">
        <f>Q8+Q9</f>
        <v>-7.36</v>
      </c>
      <c r="R10" s="23">
        <f>R8+R9</f>
        <v>-8.907999999999998</v>
      </c>
      <c r="S10" s="23">
        <f>S8+S9</f>
        <v>-8.793999999999999</v>
      </c>
      <c r="T10" s="23">
        <f>T8+T9</f>
        <v>-13.286999999999999</v>
      </c>
      <c r="U10" s="23">
        <f>U8+U9</f>
        <v>-11.48</v>
      </c>
      <c r="V10" s="23">
        <f>V8+V9</f>
        <v>-10.826</v>
      </c>
      <c r="W10" s="23">
        <f>W8+W9</f>
        <v>-7.15</v>
      </c>
      <c r="X10" s="23">
        <f>X8+X9</f>
        <v>-8.698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-1.621</v>
      </c>
      <c r="Q11" s="23" t="n">
        <v>0</v>
      </c>
      <c r="R11" s="23" t="n">
        <v>0</v>
      </c>
      <c r="S11" s="23" t="n">
        <v>0</v>
      </c>
      <c r="T11" s="23" t="n">
        <v>0</v>
      </c>
      <c r="U11" s="23" t="n">
        <v>0</v>
      </c>
      <c r="V11" s="23" t="n">
        <v>0</v>
      </c>
      <c r="W11" s="23" t="n">
        <v>0</v>
      </c>
      <c r="X11" s="23" t="n">
        <v>0</v>
      </c>
    </row>
    <row r="12">
      <c r="A12" s="2" t="inlineStr">
        <is>
          <t>Net Income</t>
        </is>
      </c>
      <c r="B12" s="23" t="n">
        <v>-0.089</v>
      </c>
      <c r="C12" s="23" t="n">
        <v>-3.272</v>
      </c>
      <c r="D12" s="23" t="n">
        <v>-2.209</v>
      </c>
      <c r="E12" s="23" t="n">
        <v>-2.405</v>
      </c>
      <c r="F12" s="23" t="n">
        <v>-10.99</v>
      </c>
      <c r="G12" s="23" t="n">
        <v>-14.373</v>
      </c>
      <c r="H12" s="23" t="n">
        <v>-18.387</v>
      </c>
      <c r="I12" s="23" t="n">
        <v>-11.993</v>
      </c>
      <c r="J12" s="23" t="n">
        <v>-2.537</v>
      </c>
      <c r="K12" s="23" t="n">
        <v>-12.88</v>
      </c>
      <c r="L12" s="23" t="n">
        <v>-20.925</v>
      </c>
      <c r="M12" s="23" t="n">
        <v>-8.800000000000001</v>
      </c>
      <c r="N12" s="23" t="n">
        <v>-10.223</v>
      </c>
      <c r="O12" s="23" t="n">
        <v>-8.994</v>
      </c>
      <c r="P12" s="23" t="n">
        <v>-12.452</v>
      </c>
      <c r="Q12" s="23" t="n">
        <v>-7.36</v>
      </c>
      <c r="R12" s="23" t="n">
        <v>-8.907999999999999</v>
      </c>
      <c r="S12" s="23" t="n">
        <v>-8.794</v>
      </c>
      <c r="T12" s="23" t="n">
        <v>-13.287</v>
      </c>
      <c r="U12" s="23" t="n">
        <v>-11.48</v>
      </c>
      <c r="V12" s="23" t="n">
        <v>-10.826</v>
      </c>
      <c r="W12" s="23" t="n">
        <v>-7.15</v>
      </c>
      <c r="X12" s="23" t="n">
        <v>-8.698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0</v>
      </c>
      <c r="I13" s="11">
        <f>IFERROR(I12/I14,0)</f>
        <v>0</v>
      </c>
      <c r="J13" s="11">
        <f>IFERROR(J12/J14,0)</f>
        <v>-0.2792822545134302</v>
      </c>
      <c r="K13" s="11">
        <f>IFERROR(K12/K14,0)</f>
        <v>-1.4079580236117186</v>
      </c>
      <c r="L13" s="11">
        <f>IFERROR(L12/L14,0)</f>
        <v>-1.0193394388152768</v>
      </c>
      <c r="M13" s="11">
        <f>IFERROR(M12/M14,0)</f>
        <v>-0.2688993460856811</v>
      </c>
      <c r="N13" s="11">
        <f>IFERROR(N12/N14,0)</f>
        <v>-1.0283673674680616</v>
      </c>
      <c r="O13" s="11">
        <f>IFERROR(O12/O14,0)</f>
        <v>-6.667160859896219</v>
      </c>
      <c r="P13" s="11">
        <f>IFERROR(P12/P14,0)</f>
        <v>-2.757307351638618</v>
      </c>
      <c r="Q13" s="11">
        <f>IFERROR(Q12/Q14,0)</f>
        <v>-28.75</v>
      </c>
      <c r="R13" s="11">
        <f>IFERROR(R12/R14,0)</f>
        <v>-9.661605206073752</v>
      </c>
      <c r="S13" s="11">
        <f>IFERROR(S12/S14,0)</f>
        <v>-9.589967284623773</v>
      </c>
      <c r="T13" s="11">
        <f>IFERROR(T12/T14,0)</f>
        <v>-62.08878504672898</v>
      </c>
      <c r="U13" s="11">
        <f>IFERROR(U12/U14,0)</f>
        <v>-50.5726872246696</v>
      </c>
      <c r="V13" s="11">
        <f>IFERROR(V12/V14,0)</f>
        <v>-46.66379310344828</v>
      </c>
      <c r="W13" s="11">
        <f>IFERROR(W12/W14,0)</f>
        <v>-9.085133418043203</v>
      </c>
      <c r="X13" s="11">
        <f>IFERROR(X12/X14,0)</f>
        <v>-1.4535427807486632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>
        <v>9.084</v>
      </c>
      <c r="K14" s="23" t="n">
        <v>9.148</v>
      </c>
      <c r="L14" s="23" t="n">
        <v>20.528</v>
      </c>
      <c r="M14" s="23" t="n">
        <v>32.726</v>
      </c>
      <c r="N14" s="23" t="n">
        <v>9.941000000000001</v>
      </c>
      <c r="O14" s="23" t="n">
        <v>1.349</v>
      </c>
      <c r="P14" s="23" t="n">
        <v>4.516</v>
      </c>
      <c r="Q14" s="23" t="n">
        <v>0.256</v>
      </c>
      <c r="R14" s="23" t="n">
        <v>0.922</v>
      </c>
      <c r="S14" s="23" t="n">
        <v>0.917</v>
      </c>
      <c r="T14" s="23" t="n">
        <v>0.214</v>
      </c>
      <c r="U14" s="23" t="n">
        <v>0.227</v>
      </c>
      <c r="V14" s="23" t="n">
        <v>0.232</v>
      </c>
      <c r="W14" s="23" t="n">
        <v>0.787</v>
      </c>
      <c r="X14" s="23" t="n">
        <v>5.984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>3.1134020618556706</v>
      </c>
      <c r="M16" s="15">
        <f>IFERROR(M2/L2-1,"")</f>
        <v>-1.0</v>
      </c>
      <c r="N16" s="15">
        <f>IFERROR(N2/M2-1,"")</f>
        <v/>
      </c>
      <c r="O16" s="15">
        <f>IFERROR(O2/N2-1,"")</f>
        <v>-0.4411764705882354</v>
      </c>
      <c r="P16" s="15">
        <f>IFERROR(P2/O2-1,"")</f>
        <v>-0.21052631578947367</v>
      </c>
      <c r="Q16" s="15">
        <f>IFERROR(Q2/P2-1,"")</f>
        <v>8.200000000000001</v>
      </c>
      <c r="R16" s="15">
        <f>IFERROR(R2/Q2-1,"")</f>
        <v>-0.8478260869565217</v>
      </c>
      <c r="S16" s="15">
        <f>IFERROR(S2/R2-1,"")</f>
        <v>-1.0</v>
      </c>
      <c r="T16" s="15">
        <f>IFERROR(T2/S2-1,"")</f>
        <v/>
      </c>
      <c r="U16" s="15">
        <f>IFERROR(U2/T2-1,"")</f>
        <v/>
      </c>
      <c r="V16" s="15">
        <f>IFERROR(V2/U2-1,"")</f>
        <v/>
      </c>
      <c r="W16" s="15">
        <f>IFERROR(W2/V2-1,"")</f>
        <v/>
      </c>
      <c r="X16" s="15">
        <f>IFERROR(X2/W2-1,"")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>1.0</v>
      </c>
      <c r="L17" s="15">
        <f>IFERROR(L4/L2,"")</f>
        <v>1.0</v>
      </c>
      <c r="M17" s="15">
        <f>IFERROR(M4/M2,"")</f>
        <v/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/>
      </c>
      <c r="T17" s="15">
        <f>IFERROR(T4/T2,"")</f>
        <v/>
      </c>
      <c r="U17" s="15">
        <f>IFERROR(U4/U2,"")</f>
        <v/>
      </c>
      <c r="V17" s="15">
        <f>IFERROR(V4/V2,"")</f>
        <v/>
      </c>
      <c r="W17" s="15">
        <f>IFERROR(W4/W2,"")</f>
        <v/>
      </c>
      <c r="X17" s="15">
        <f>IFERROR(X4/X2,"")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>-133.76288659793815</v>
      </c>
      <c r="L18" s="15">
        <f>IFERROR(L8/L2,"")</f>
        <v>-52.503759398496236</v>
      </c>
      <c r="M18" s="15">
        <f>IFERROR(M8/M2,"")</f>
        <v/>
      </c>
      <c r="N18" s="15">
        <f>IFERROR(N8/N2,"")</f>
        <v>-301.0882352941176</v>
      </c>
      <c r="O18" s="15">
        <f>IFERROR(O8/O2,"")</f>
        <v>-474.47368421052636</v>
      </c>
      <c r="P18" s="15">
        <f>IFERROR(P8/P2,"")</f>
        <v>-937.4666666666668</v>
      </c>
      <c r="Q18" s="15">
        <f>IFERROR(Q8/Q2,"")</f>
        <v>-53.362318840579704</v>
      </c>
      <c r="R18" s="15">
        <f>IFERROR(R8/R2,"")</f>
        <v>-427.95238095238085</v>
      </c>
      <c r="S18" s="15">
        <f>IFERROR(S8/S2,"")</f>
        <v/>
      </c>
      <c r="T18" s="15">
        <f>IFERROR(T8/T2,"")</f>
        <v/>
      </c>
      <c r="U18" s="15">
        <f>IFERROR(U8/U2,"")</f>
        <v/>
      </c>
      <c r="V18" s="15">
        <f>IFERROR(V8/V2,"")</f>
        <v/>
      </c>
      <c r="W18" s="15">
        <f>IFERROR(W8/W2,"")</f>
        <v/>
      </c>
      <c r="X18" s="15">
        <f>IFERROR(X8/X2,"")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  <c r="V19" s="20" t="inlineStr">
        <is>
          <t>A</t>
        </is>
      </c>
      <c r="W19" s="20" t="inlineStr">
        <is>
          <t>A</t>
        </is>
      </c>
      <c r="X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2026-10-21T01:06:37Z</dcterms:modified>
  <cp:lastModifiedBy>Wang, Eric</cp:lastModifiedBy>
</cp:coreProperties>
</file>