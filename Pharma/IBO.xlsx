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Impact Biomedical Inc</t>
        </is>
      </c>
      <c r="C2" s="10" t="n"/>
    </row>
    <row r="3">
      <c r="B3" t="inlineStr">
        <is>
          <t>Price</t>
        </is>
      </c>
      <c r="C3" s="11">
        <f>INDEX([1]Pharma!$F$1:$F$1000,MATCH("IBO",[1]Pharma!$B$1:$B$1000,0))</f>
        <v>3.2</v>
      </c>
      <c r="F3" s="1" t="n"/>
    </row>
    <row r="4">
      <c r="B4" t="inlineStr">
        <is>
          <t>Shares</t>
        </is>
      </c>
      <c r="C4" s="21" t="n">
        <v>107.821231</v>
      </c>
      <c r="F4" s="1" t="n"/>
    </row>
    <row r="5">
      <c r="B5" t="inlineStr">
        <is>
          <t>Market Cap.</t>
        </is>
      </c>
      <c r="C5" s="13">
        <f>C3*C4</f>
        <v>345.0279392</v>
      </c>
      <c r="F5" s="1" t="n"/>
    </row>
    <row r="6"/>
    <row r="7">
      <c r="B7" t="inlineStr">
        <is>
          <t>Cash</t>
        </is>
      </c>
      <c r="C7" s="21" t="n">
        <v>0.01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345.0179392</v>
      </c>
    </row>
    <row r="10"/>
    <row r="11">
      <c r="B11" s="14" t="inlineStr">
        <is>
          <t>Net Cash / Share</t>
        </is>
      </c>
      <c r="C11" s="11">
        <f>(C7-C8)/C4</f>
        <v>9.27461123125185e-05</v>
      </c>
    </row>
    <row r="12">
      <c r="B12" s="14" t="inlineStr">
        <is>
          <t>Upside</t>
        </is>
      </c>
      <c r="C12" s="15">
        <f>IFERROR(C11/C3-1,"")</f>
        <v>-0.9999710168399023</v>
      </c>
    </row>
    <row r="13">
      <c r="B13" s="14" t="inlineStr">
        <is>
          <t>Cash / Share</t>
        </is>
      </c>
      <c r="C13" s="11">
        <f>IFERROR((C7-C8)/C4,"")</f>
        <v>9.27461123125185e-05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-0.508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0.01968503937007874</v>
      </c>
    </row>
    <row r="19">
      <c r="B19" s="14" t="inlineStr">
        <is>
          <t>Implied Pipeline Value</t>
        </is>
      </c>
      <c r="C19" s="13">
        <f>C9</f>
        <v>345.0179392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0.05</v>
      </c>
      <c r="C2" s="23" t="n">
        <v>0</v>
      </c>
      <c r="D2" s="23" t="n">
        <v>0</v>
      </c>
      <c r="E2" s="23" t="n">
        <v>0.032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0.424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0.05</v>
      </c>
      <c r="C4" s="23">
        <f>C2-C3</f>
        <v>0.0</v>
      </c>
      <c r="D4" s="23">
        <f>D2-D3</f>
        <v>0.0</v>
      </c>
      <c r="E4" s="23">
        <f>E2-E3</f>
        <v>-0.392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1.226</v>
      </c>
      <c r="C5" s="23" t="n">
        <v>1.685</v>
      </c>
      <c r="D5" s="23" t="n">
        <v>0.278</v>
      </c>
      <c r="E5" s="23" t="n">
        <v>0.34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2.228</v>
      </c>
      <c r="C6" s="23" t="n">
        <v>2.343</v>
      </c>
      <c r="D6" s="23" t="n">
        <v>28.475</v>
      </c>
      <c r="E6" s="23" t="n">
        <v>3.55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3.454</v>
      </c>
      <c r="C7" s="23">
        <f>SUM(C5:C6)</f>
        <v>4.0280000000000005</v>
      </c>
      <c r="D7" s="23">
        <f>SUM(D5:D6)</f>
        <v>28.753</v>
      </c>
      <c r="E7" s="23">
        <f>SUM(E5:E6)</f>
        <v>3.8899999999999997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-3.4040000000000004</v>
      </c>
      <c r="C8" s="23">
        <f>C4-C7</f>
        <v>-4.0280000000000005</v>
      </c>
      <c r="D8" s="23">
        <f>D4-D7</f>
        <v>-28.753</v>
      </c>
      <c r="E8" s="23">
        <f>E4-E7</f>
        <v>-4.282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-4.472</v>
      </c>
      <c r="C9" s="23" t="n">
        <v>-0.308</v>
      </c>
      <c r="D9" s="23" t="n">
        <v>4.078</v>
      </c>
      <c r="E9" s="23" t="n">
        <v>-10.136</v>
      </c>
    </row>
    <row r="10">
      <c r="A10" s="2" t="inlineStr">
        <is>
          <t>Pretax</t>
        </is>
      </c>
      <c r="B10" s="23">
        <f>B8+B9</f>
        <v>-7.876000000000001</v>
      </c>
      <c r="C10" s="23">
        <f>C8+C9</f>
        <v>-4.336</v>
      </c>
      <c r="D10" s="23">
        <f>D8+D9</f>
        <v>-24.675</v>
      </c>
      <c r="E10" s="23">
        <f>E8+E9</f>
        <v>-14.418</v>
      </c>
      <c r="I10" s="1" t="n"/>
      <c r="J10" s="1" t="n"/>
      <c r="K10" s="1" t="n"/>
    </row>
    <row r="11">
      <c r="A11" s="2" t="inlineStr">
        <is>
          <t>Taxes</t>
        </is>
      </c>
      <c r="B11" s="23" t="n">
        <v>-0.621</v>
      </c>
      <c r="C11" s="23" t="n">
        <v>0</v>
      </c>
      <c r="D11" s="23" t="n">
        <v>0.033</v>
      </c>
      <c r="E11" s="23" t="n">
        <v>-2.58</v>
      </c>
    </row>
    <row r="12">
      <c r="A12" s="2" t="inlineStr">
        <is>
          <t>Net Income</t>
        </is>
      </c>
      <c r="B12" s="23" t="n">
        <v>-7.255</v>
      </c>
      <c r="C12" s="23" t="n">
        <v>-4.336</v>
      </c>
      <c r="D12" s="23" t="n">
        <v>-24.708</v>
      </c>
      <c r="E12" s="23" t="n">
        <v>-11.838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-0.10291364049024058</v>
      </c>
      <c r="C13" s="11">
        <f>IFERROR(C12/C14,0)</f>
        <v>-0.07196919399814103</v>
      </c>
      <c r="D13" s="11">
        <f>IFERROR(D12/D14,0)</f>
        <v>-2.2969229339035047</v>
      </c>
      <c r="E13" s="11">
        <f>IFERROR(E12/E14,0)</f>
        <v>-0.37521394611727416</v>
      </c>
    </row>
    <row r="14">
      <c r="A14" s="2" t="inlineStr">
        <is>
          <t>Shares</t>
        </is>
      </c>
      <c r="B14" s="23" t="n">
        <v>70.496</v>
      </c>
      <c r="C14" s="23" t="n">
        <v>60.248</v>
      </c>
      <c r="D14" s="23" t="n">
        <v>10.757</v>
      </c>
      <c r="E14" s="23" t="n">
        <v>31.55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>-12.25</v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-68.08</v>
      </c>
      <c r="C18" s="15">
        <f>IFERROR(C8/C2,"")</f>
        <v/>
      </c>
      <c r="D18" s="15">
        <f>IFERROR(D8/D2,"")</f>
        <v/>
      </c>
      <c r="E18" s="15">
        <f>IFERROR(E8/E2,"")</f>
        <v>-133.8125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2026-10-21T06:26:04Z</dcterms:modified>
  <cp:lastModifiedBy>Wang, Eric</cp:lastModifiedBy>
</cp:coreProperties>
</file>