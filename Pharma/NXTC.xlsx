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NextCure Inc</t>
        </is>
      </c>
      <c r="C2" s="10" t="n"/>
    </row>
    <row r="3">
      <c r="B3" t="inlineStr">
        <is>
          <t>Price</t>
        </is>
      </c>
      <c r="C3" s="11">
        <f>INDEX([1]Pharma!$F$1:$F$1000,MATCH("NXTC",[1]Pharma!$B$1:$B$1000,0))</f>
        <v>5.44</v>
      </c>
      <c r="F3" s="1" t="n"/>
    </row>
    <row r="4">
      <c r="B4" t="inlineStr">
        <is>
          <t>Shares</t>
        </is>
      </c>
      <c r="C4" s="21" t="n">
        <v>4.577359</v>
      </c>
      <c r="F4" s="1" t="n"/>
    </row>
    <row r="5">
      <c r="B5" t="inlineStr">
        <is>
          <t>Market Cap.</t>
        </is>
      </c>
      <c r="C5" s="13">
        <f>C3*C4</f>
        <v>24.900832960000002</v>
      </c>
      <c r="F5" s="1" t="n"/>
    </row>
    <row r="6"/>
    <row r="7">
      <c r="B7" t="inlineStr">
        <is>
          <t>Cash</t>
        </is>
      </c>
      <c r="C7" s="21">
        <f>15.26+4.828</f>
        <v>20.088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4.8128329600000015</v>
      </c>
    </row>
    <row r="10"/>
    <row r="11">
      <c r="B11" s="14" t="inlineStr">
        <is>
          <t>Net Cash / Share</t>
        </is>
      </c>
      <c r="C11" s="11">
        <f>(C7-C8)/C4</f>
        <v>4.38855680753902</v>
      </c>
    </row>
    <row r="12">
      <c r="B12" s="14" t="inlineStr">
        <is>
          <t>Upside</t>
        </is>
      </c>
      <c r="C12" s="15">
        <f>IFERROR(C11/C3-1,"")</f>
        <v>-0.1932799986141508</v>
      </c>
    </row>
    <row r="13">
      <c r="B13" s="14" t="inlineStr">
        <is>
          <t>Cash / Share</t>
        </is>
      </c>
      <c r="C13" s="11">
        <f>IFERROR((C7-C8)/C4,"")</f>
        <v>4.38855680753902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-36.984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0.5431537962362103</v>
      </c>
    </row>
    <row r="19">
      <c r="B19" s="14" t="inlineStr">
        <is>
          <t>Implied Pipeline Value</t>
        </is>
      </c>
      <c r="C19" s="13">
        <f>C9</f>
        <v>4.8128329600000015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6.347</v>
      </c>
      <c r="D2" s="23" t="n">
        <v>22.378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6.347</v>
      </c>
      <c r="D4" s="23">
        <f>D2-D3</f>
        <v>22.378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19.787</v>
      </c>
      <c r="C5" s="23" t="n">
        <v>34.216</v>
      </c>
      <c r="D5" s="23" t="n">
        <v>46.554</v>
      </c>
      <c r="E5" s="23" t="n">
        <v>50.192</v>
      </c>
      <c r="F5" s="23" t="n">
        <v>54.199</v>
      </c>
      <c r="G5" s="23" t="n">
        <v>47.931</v>
      </c>
      <c r="H5" s="23" t="n">
        <v>41.488</v>
      </c>
      <c r="I5" s="23" t="n">
        <v>44.923</v>
      </c>
      <c r="J5" s="1" t="n"/>
      <c r="K5" s="1" t="n"/>
    </row>
    <row r="6">
      <c r="A6" s="19" t="inlineStr">
        <is>
          <t>SG&amp;A &amp; Other</t>
        </is>
      </c>
      <c r="B6" s="23" t="n">
        <v>3.409</v>
      </c>
      <c r="C6" s="23" t="n">
        <v>9.613</v>
      </c>
      <c r="D6" s="23" t="n">
        <v>17.049</v>
      </c>
      <c r="E6" s="23" t="n">
        <v>20.573</v>
      </c>
      <c r="F6" s="23" t="n">
        <v>21.71</v>
      </c>
      <c r="G6" s="23" t="n">
        <v>19.706</v>
      </c>
      <c r="H6" s="23" t="n">
        <v>18.26</v>
      </c>
      <c r="I6" s="23" t="n">
        <v>12.693</v>
      </c>
      <c r="J6" s="1" t="n"/>
      <c r="K6" s="1" t="n"/>
    </row>
    <row r="7">
      <c r="A7" s="2" t="inlineStr">
        <is>
          <t>Operating Expense</t>
        </is>
      </c>
      <c r="B7" s="23">
        <f>SUM(B5:B6)</f>
        <v>23.195999999999998</v>
      </c>
      <c r="C7" s="23">
        <f>SUM(C5:C6)</f>
        <v>43.829</v>
      </c>
      <c r="D7" s="23">
        <f>SUM(D5:D6)</f>
        <v>63.603</v>
      </c>
      <c r="E7" s="23">
        <f>SUM(E5:E6)</f>
        <v>70.765</v>
      </c>
      <c r="F7" s="23">
        <f>SUM(F5:F6)</f>
        <v>75.90899999999999</v>
      </c>
      <c r="G7" s="23">
        <f>SUM(G5:G6)</f>
        <v>67.637</v>
      </c>
      <c r="H7" s="23">
        <f>SUM(H5:H6)</f>
        <v>59.748000000000005</v>
      </c>
      <c r="I7" s="23">
        <f>SUM(I5:I6)</f>
        <v>57.616</v>
      </c>
      <c r="J7" s="1" t="n"/>
      <c r="K7" s="1" t="n"/>
    </row>
    <row r="8">
      <c r="A8" s="2" t="inlineStr">
        <is>
          <t>Operating Income</t>
        </is>
      </c>
      <c r="B8" s="23">
        <f>B4-B7</f>
        <v>-23.195999999999998</v>
      </c>
      <c r="C8" s="23">
        <f>C4-C7</f>
        <v>-37.482</v>
      </c>
      <c r="D8" s="23">
        <f>D4-D7</f>
        <v>-41.225</v>
      </c>
      <c r="E8" s="23">
        <f>E4-E7</f>
        <v>-70.765</v>
      </c>
      <c r="F8" s="23">
        <f>F4-F7</f>
        <v>-75.90899999999999</v>
      </c>
      <c r="G8" s="23">
        <f>G4-G7</f>
        <v>-67.637</v>
      </c>
      <c r="H8" s="23">
        <f>H4-H7</f>
        <v>-59.748000000000005</v>
      </c>
      <c r="I8" s="23">
        <f>I4-I7</f>
        <v>-57.616</v>
      </c>
      <c r="J8" s="1" t="n"/>
      <c r="K8" s="1" t="n"/>
    </row>
    <row r="9">
      <c r="A9" s="19" t="inlineStr">
        <is>
          <t>Interest &amp; Other</t>
        </is>
      </c>
      <c r="B9" s="23" t="n">
        <v>0.397</v>
      </c>
      <c r="C9" s="23" t="n">
        <v>3.745</v>
      </c>
      <c r="D9" s="23" t="n">
        <v>4.622</v>
      </c>
      <c r="E9" s="23" t="n">
        <v>1.376</v>
      </c>
      <c r="F9" s="23" t="n">
        <v>1.176</v>
      </c>
      <c r="G9" s="23" t="n">
        <v>4.914</v>
      </c>
      <c r="H9" s="23" t="n">
        <v>4.094</v>
      </c>
      <c r="I9" s="23" t="n">
        <v>1.772</v>
      </c>
    </row>
    <row r="10">
      <c r="A10" s="2" t="inlineStr">
        <is>
          <t>Pretax</t>
        </is>
      </c>
      <c r="B10" s="23">
        <f>B8+B9</f>
        <v>-22.799</v>
      </c>
      <c r="C10" s="23">
        <f>C8+C9</f>
        <v>-33.737</v>
      </c>
      <c r="D10" s="23">
        <f>D8+D9</f>
        <v>-36.603</v>
      </c>
      <c r="E10" s="23">
        <f>E8+E9</f>
        <v>-69.389</v>
      </c>
      <c r="F10" s="23">
        <f>F8+F9</f>
        <v>-74.73299999999999</v>
      </c>
      <c r="G10" s="23">
        <f>G8+G9</f>
        <v>-62.723</v>
      </c>
      <c r="H10" s="23">
        <f>H8+H9</f>
        <v>-55.654</v>
      </c>
      <c r="I10" s="23">
        <f>I8+I9</f>
        <v>-55.844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-22.799</v>
      </c>
      <c r="C12" s="23" t="n">
        <v>-33.737</v>
      </c>
      <c r="D12" s="23" t="n">
        <v>-36.603</v>
      </c>
      <c r="E12" s="23" t="n">
        <v>-69.389</v>
      </c>
      <c r="F12" s="23" t="n">
        <v>-74.733</v>
      </c>
      <c r="G12" s="23" t="n">
        <v>-62.723</v>
      </c>
      <c r="H12" s="23" t="n">
        <v>-55.654</v>
      </c>
      <c r="I12" s="23" t="n">
        <v>-55.844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-199.99122807017542</v>
      </c>
      <c r="C13" s="11">
        <f>IFERROR(C12/C14,0)</f>
        <v>-25.79281345565749</v>
      </c>
      <c r="D13" s="11">
        <f>IFERROR(D12/D14,0)</f>
        <v>-15.955972101133392</v>
      </c>
      <c r="E13" s="11">
        <f>IFERROR(E12/E14,0)</f>
        <v>-30.156019122120814</v>
      </c>
      <c r="F13" s="11">
        <f>IFERROR(F12/F14,0)</f>
        <v>-32.32396193771627</v>
      </c>
      <c r="G13" s="11">
        <f>IFERROR(G12/G14,0)</f>
        <v>-27.035775862068967</v>
      </c>
      <c r="H13" s="11">
        <f>IFERROR(H12/H14,0)</f>
        <v>-23.885836909871244</v>
      </c>
      <c r="I13" s="11">
        <f>IFERROR(I12/I14,0)</f>
        <v>-19.64954257565095</v>
      </c>
    </row>
    <row r="14">
      <c r="A14" s="2" t="inlineStr">
        <is>
          <t>Shares</t>
        </is>
      </c>
      <c r="B14" s="23" t="n">
        <v>0.114</v>
      </c>
      <c r="C14" s="23" t="n">
        <v>1.308</v>
      </c>
      <c r="D14" s="23" t="n">
        <v>2.294</v>
      </c>
      <c r="E14" s="23" t="n">
        <v>2.301</v>
      </c>
      <c r="F14" s="23" t="n">
        <v>2.312</v>
      </c>
      <c r="G14" s="23" t="n">
        <v>2.32</v>
      </c>
      <c r="H14" s="23" t="n">
        <v>2.33</v>
      </c>
      <c r="I14" s="23" t="n">
        <v>2.842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2.52576020167008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-5.905467149834567</v>
      </c>
      <c r="D18" s="15">
        <f>IFERROR(D8/D2,"")</f>
        <v>-1.8422111001876844</v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2026-10-21T01:06:23Z</dcterms:modified>
  <cp:lastModifiedBy>Wang, Eric</cp:lastModifiedBy>
</cp:coreProperties>
</file>