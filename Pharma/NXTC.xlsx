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NextCure Inc</t>
        </is>
      </c>
      <c r="C2" s="10" t="n"/>
    </row>
    <row r="3">
      <c r="B3" t="inlineStr">
        <is>
          <t>Price</t>
        </is>
      </c>
      <c r="C3" s="11">
        <f>INDEX([1]Pharma!$F$1:$F$1000,MATCH("NXTC",[1]Pharma!$B$1:$B$1000,0))</f>
        <v>5.44</v>
      </c>
      <c r="F3" s="1" t="n"/>
    </row>
    <row r="4">
      <c r="B4" t="inlineStr">
        <is>
          <t>Shares</t>
        </is>
      </c>
      <c r="C4" s="21" t="n">
        <v>4.577359</v>
      </c>
      <c r="F4" s="1" t="n"/>
    </row>
    <row r="5">
      <c r="B5" t="inlineStr">
        <is>
          <t>Market Cap.</t>
        </is>
      </c>
      <c r="C5" s="13">
        <f>C3*C4</f>
        <v>24.900832960000002</v>
      </c>
      <c r="F5" s="1" t="n"/>
    </row>
    <row r="6"/>
    <row r="7">
      <c r="B7" t="inlineStr">
        <is>
          <t>Cash</t>
        </is>
      </c>
      <c r="C7" s="21">
        <f>15.26+4.828</f>
        <v>20.088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4.8128329600000015</v>
      </c>
    </row>
    <row r="10"/>
    <row r="11">
      <c r="B11" s="14" t="inlineStr">
        <is>
          <t>rNPV / Share</t>
        </is>
      </c>
      <c r="C11" s="11">
        <f>NPV!B27</f>
        <v>-11.989317370762706</v>
      </c>
    </row>
    <row r="12">
      <c r="B12" s="14" t="inlineStr">
        <is>
          <t>Upside</t>
        </is>
      </c>
      <c r="C12" s="15">
        <f>IFERROR(C11/C3-1,"")</f>
        <v>-3.2039186343313797</v>
      </c>
    </row>
    <row r="13">
      <c r="B13" s="14" t="inlineStr">
        <is>
          <t>Cash / Share</t>
        </is>
      </c>
      <c r="C13" s="11">
        <f>IFERROR((C7-C8)/C4,"")</f>
        <v>4.38855680753902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-36.984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0.5431537962362103</v>
      </c>
    </row>
    <row r="19">
      <c r="B19" s="14" t="inlineStr">
        <is>
          <t>Implied Pipeline Value</t>
        </is>
      </c>
      <c r="C19" s="13">
        <f>C9</f>
        <v>4.8128329600000015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6.347</v>
      </c>
      <c r="D2" s="23" t="n">
        <v>22.378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6.347</v>
      </c>
      <c r="D4" s="23">
        <f>D2-D3</f>
        <v>22.378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19.787</v>
      </c>
      <c r="C5" s="23" t="n">
        <v>34.216</v>
      </c>
      <c r="D5" s="23" t="n">
        <v>46.554</v>
      </c>
      <c r="E5" s="23" t="n">
        <v>50.192</v>
      </c>
      <c r="F5" s="23" t="n">
        <v>54.199</v>
      </c>
      <c r="G5" s="23" t="n">
        <v>47.931</v>
      </c>
      <c r="H5" s="23" t="n">
        <v>41.488</v>
      </c>
      <c r="I5" s="23" t="n">
        <v>44.923</v>
      </c>
      <c r="J5" s="1" t="n"/>
      <c r="K5" s="1" t="n"/>
    </row>
    <row r="6">
      <c r="A6" s="19" t="inlineStr">
        <is>
          <t>SG&amp;A &amp; Other</t>
        </is>
      </c>
      <c r="B6" s="23" t="n">
        <v>3.409</v>
      </c>
      <c r="C6" s="23" t="n">
        <v>9.613</v>
      </c>
      <c r="D6" s="23" t="n">
        <v>17.049</v>
      </c>
      <c r="E6" s="23" t="n">
        <v>20.573</v>
      </c>
      <c r="F6" s="23" t="n">
        <v>21.71</v>
      </c>
      <c r="G6" s="23" t="n">
        <v>19.706</v>
      </c>
      <c r="H6" s="23" t="n">
        <v>18.26</v>
      </c>
      <c r="I6" s="23" t="n">
        <v>12.693</v>
      </c>
      <c r="J6" s="1" t="n"/>
      <c r="K6" s="1" t="n"/>
    </row>
    <row r="7">
      <c r="A7" s="2" t="inlineStr">
        <is>
          <t>Operating Expense</t>
        </is>
      </c>
      <c r="B7" s="23">
        <f>SUM(B5:B6)</f>
        <v>23.195999999999998</v>
      </c>
      <c r="C7" s="23">
        <f>SUM(C5:C6)</f>
        <v>43.829</v>
      </c>
      <c r="D7" s="23">
        <f>SUM(D5:D6)</f>
        <v>63.603</v>
      </c>
      <c r="E7" s="23">
        <f>SUM(E5:E6)</f>
        <v>70.765</v>
      </c>
      <c r="F7" s="23">
        <f>SUM(F5:F6)</f>
        <v>75.90899999999999</v>
      </c>
      <c r="G7" s="23">
        <f>SUM(G5:G6)</f>
        <v>67.637</v>
      </c>
      <c r="H7" s="23">
        <f>SUM(H5:H6)</f>
        <v>59.748000000000005</v>
      </c>
      <c r="I7" s="23">
        <f>SUM(I5:I6)</f>
        <v>57.616</v>
      </c>
      <c r="J7" s="1" t="n"/>
      <c r="K7" s="1" t="n"/>
    </row>
    <row r="8">
      <c r="A8" s="2" t="inlineStr">
        <is>
          <t>Operating Income</t>
        </is>
      </c>
      <c r="B8" s="23">
        <f>B4-B7</f>
        <v>-23.195999999999998</v>
      </c>
      <c r="C8" s="23">
        <f>C4-C7</f>
        <v>-37.482</v>
      </c>
      <c r="D8" s="23">
        <f>D4-D7</f>
        <v>-41.225</v>
      </c>
      <c r="E8" s="23">
        <f>E4-E7</f>
        <v>-70.765</v>
      </c>
      <c r="F8" s="23">
        <f>F4-F7</f>
        <v>-75.90899999999999</v>
      </c>
      <c r="G8" s="23">
        <f>G4-G7</f>
        <v>-67.637</v>
      </c>
      <c r="H8" s="23">
        <f>H4-H7</f>
        <v>-59.748000000000005</v>
      </c>
      <c r="I8" s="23">
        <f>I4-I7</f>
        <v>-57.616</v>
      </c>
      <c r="J8" s="1" t="n"/>
      <c r="K8" s="1" t="n"/>
    </row>
    <row r="9">
      <c r="A9" s="19" t="inlineStr">
        <is>
          <t>Interest &amp; Other</t>
        </is>
      </c>
      <c r="B9" s="23" t="n">
        <v>0.397</v>
      </c>
      <c r="C9" s="23" t="n">
        <v>3.745</v>
      </c>
      <c r="D9" s="23" t="n">
        <v>4.622</v>
      </c>
      <c r="E9" s="23" t="n">
        <v>1.376</v>
      </c>
      <c r="F9" s="23" t="n">
        <v>1.176</v>
      </c>
      <c r="G9" s="23" t="n">
        <v>4.914</v>
      </c>
      <c r="H9" s="23" t="n">
        <v>4.094</v>
      </c>
      <c r="I9" s="23" t="n">
        <v>1.772</v>
      </c>
    </row>
    <row r="10">
      <c r="A10" s="2" t="inlineStr">
        <is>
          <t>Pretax</t>
        </is>
      </c>
      <c r="B10" s="23">
        <f>B8+B9</f>
        <v>-22.799</v>
      </c>
      <c r="C10" s="23">
        <f>C8+C9</f>
        <v>-33.737</v>
      </c>
      <c r="D10" s="23">
        <f>D8+D9</f>
        <v>-36.603</v>
      </c>
      <c r="E10" s="23">
        <f>E8+E9</f>
        <v>-69.389</v>
      </c>
      <c r="F10" s="23">
        <f>F8+F9</f>
        <v>-74.73299999999999</v>
      </c>
      <c r="G10" s="23">
        <f>G8+G9</f>
        <v>-62.723</v>
      </c>
      <c r="H10" s="23">
        <f>H8+H9</f>
        <v>-55.654</v>
      </c>
      <c r="I10" s="23">
        <f>I8+I9</f>
        <v>-55.844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-22.799</v>
      </c>
      <c r="C12" s="23" t="n">
        <v>-33.737</v>
      </c>
      <c r="D12" s="23" t="n">
        <v>-36.603</v>
      </c>
      <c r="E12" s="23" t="n">
        <v>-69.389</v>
      </c>
      <c r="F12" s="23" t="n">
        <v>-74.733</v>
      </c>
      <c r="G12" s="23" t="n">
        <v>-62.723</v>
      </c>
      <c r="H12" s="23" t="n">
        <v>-55.654</v>
      </c>
      <c r="I12" s="23" t="n">
        <v>-55.844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-199.99122807017542</v>
      </c>
      <c r="C13" s="11">
        <f>IFERROR(C12/C14,0)</f>
        <v>-25.79281345565749</v>
      </c>
      <c r="D13" s="11">
        <f>IFERROR(D12/D14,0)</f>
        <v>-15.955972101133392</v>
      </c>
      <c r="E13" s="11">
        <f>IFERROR(E12/E14,0)</f>
        <v>-30.156019122120814</v>
      </c>
      <c r="F13" s="11">
        <f>IFERROR(F12/F14,0)</f>
        <v>-32.32396193771627</v>
      </c>
      <c r="G13" s="11">
        <f>IFERROR(G12/G14,0)</f>
        <v>-27.035775862068967</v>
      </c>
      <c r="H13" s="11">
        <f>IFERROR(H12/H14,0)</f>
        <v>-23.885836909871244</v>
      </c>
      <c r="I13" s="11">
        <f>IFERROR(I12/I14,0)</f>
        <v>-19.64954257565095</v>
      </c>
    </row>
    <row r="14">
      <c r="A14" s="2" t="inlineStr">
        <is>
          <t>Shares</t>
        </is>
      </c>
      <c r="B14" s="23" t="n">
        <v>0.114</v>
      </c>
      <c r="C14" s="23" t="n">
        <v>1.308</v>
      </c>
      <c r="D14" s="23" t="n">
        <v>2.294</v>
      </c>
      <c r="E14" s="23" t="n">
        <v>2.301</v>
      </c>
      <c r="F14" s="23" t="n">
        <v>2.312</v>
      </c>
      <c r="G14" s="23" t="n">
        <v>2.32</v>
      </c>
      <c r="H14" s="23" t="n">
        <v>2.33</v>
      </c>
      <c r="I14" s="23" t="n">
        <v>2.842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2.52576020167008</v>
      </c>
      <c r="E16" s="15">
        <f>IFERROR(E2/D2-1,"")</f>
        <v>-1.0</v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-5.905467149834567</v>
      </c>
      <c r="D18" s="15">
        <f>IFERROR(D8/D2,"")</f>
        <v>-1.8422111001876844</v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NextCure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0.05269999999999997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43.901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411.5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-74.96740977091702</v>
      </c>
      <c r="C29" s="42">
        <f>NPV!B25</f>
        <v>-54.879409770917015</v>
      </c>
      <c r="D29" s="43">
        <f>NPV!B27</f>
        <v>-11.989317370762706</v>
      </c>
      <c r="E29" s="44">
        <f>NPV!B29</f>
        <v>-3.2039186343313797</v>
      </c>
    </row>
    <row r="30">
      <c r="A30" s="45" t="n">
        <v>1</v>
      </c>
      <c r="B30" s="46">
        <f t="dataTable" ref="B30:E32" r1="B4"/>
        <v>-104.5087754203445</v>
      </c>
      <c r="C30" s="46">
        <v>-84.42077542034451</v>
      </c>
      <c r="D30" s="47">
        <v>-18.44311871110492</v>
      </c>
      <c r="E30" s="48">
        <v>-4.390279174835463</v>
      </c>
    </row>
    <row r="31">
      <c r="A31" s="45" t="n">
        <v>2</v>
      </c>
      <c r="B31" s="46">
        <v>-74.96740977091702</v>
      </c>
      <c r="C31" s="46">
        <v>-54.879409770917015</v>
      </c>
      <c r="D31" s="47">
        <v>-11.989317370762706</v>
      </c>
      <c r="E31" s="48">
        <v>-3.2039186343313797</v>
      </c>
    </row>
    <row r="32">
      <c r="A32" s="45" t="n">
        <v>3</v>
      </c>
      <c r="B32" s="46">
        <v>-22.367448277509926</v>
      </c>
      <c r="C32" s="46">
        <v>-2.2794482775099247</v>
      </c>
      <c r="D32" s="47">
        <v>-0.497983286325133</v>
      </c>
      <c r="E32" s="48">
        <v>-1.0915410452803553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-11.989317370762706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-20.157064311108996</v>
      </c>
      <c r="C37" s="47">
        <v>-18.34234618573565</v>
      </c>
      <c r="D37" s="47">
        <v>-16.5276280603623</v>
      </c>
      <c r="E37" s="47">
        <v>-12.898191809615605</v>
      </c>
      <c r="F37" s="47">
        <v>-9.268755558868913</v>
      </c>
    </row>
    <row r="38">
      <c r="A38" s="50" t="n">
        <v>0.8</v>
      </c>
      <c r="B38" s="47">
        <v>-19.097721049891433</v>
      </c>
      <c r="C38" s="47">
        <v>-16.67809688272697</v>
      </c>
      <c r="D38" s="47">
        <v>-14.258472715562501</v>
      </c>
      <c r="E38" s="47">
        <v>-9.419224381233578</v>
      </c>
      <c r="F38" s="47">
        <v>-4.579976046904649</v>
      </c>
    </row>
    <row r="39">
      <c r="A39" s="50" t="n">
        <v>1</v>
      </c>
      <c r="B39" s="47">
        <v>-18.038377788673866</v>
      </c>
      <c r="C39" s="47">
        <v>-15.013847579718286</v>
      </c>
      <c r="D39" s="47">
        <v>-11.989317370762706</v>
      </c>
      <c r="E39" s="47">
        <v>-5.940256952851547</v>
      </c>
      <c r="F39" s="47">
        <v>0.10880346505960996</v>
      </c>
    </row>
    <row r="40">
      <c r="A40" s="50" t="n">
        <v>1.2</v>
      </c>
      <c r="B40" s="47">
        <v>-16.979034527456303</v>
      </c>
      <c r="C40" s="47">
        <v>-13.349598276709607</v>
      </c>
      <c r="D40" s="47">
        <v>-9.720162025962912</v>
      </c>
      <c r="E40" s="47">
        <v>-2.4612895244695245</v>
      </c>
      <c r="F40" s="47">
        <v>4.665078481732071</v>
      </c>
    </row>
    <row r="41">
      <c r="A41" s="50" t="n">
        <v>1.4</v>
      </c>
      <c r="B41" s="47">
        <v>-15.919691266238733</v>
      </c>
      <c r="C41" s="47">
        <v>-11.685348973700927</v>
      </c>
      <c r="D41" s="47">
        <v>-7.451006681163111</v>
      </c>
      <c r="E41" s="47">
        <v>1.017677903912508</v>
      </c>
      <c r="F41" s="47">
        <v>8.774354443253287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NextCure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Ovarian cancer</t>
        </is>
      </c>
      <c r="C4" s="14" t="inlineStr">
        <is>
          <t>SIM0505 for injection, LNCB74</t>
        </is>
      </c>
      <c r="D4" s="14" t="inlineStr">
        <is>
          <t>Phase 1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1200</v>
      </c>
      <c r="H4" s="27" t="n">
        <v>0.0527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55.3774422909388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6.324</v>
      </c>
      <c r="U4" s="23">
        <f>IF(U$3&lt;$I4,0,$G4*Assumptions!$E$11*INDEX(Assumptions!$B$24:$G$24,MIN(6,U$3-$I4+1))*IF(U$3&gt;$J4,(1-Assumptions!$B$26)^(U$3-$J4),1)*IF($H4&gt;=1,1,MIN(0.97,$H4*Assumptions!$E$12)))</f>
        <v>15.809999999999999</v>
      </c>
      <c r="V4" s="23">
        <f>IF(V$3&lt;$I4,0,$G4*Assumptions!$E$11*INDEX(Assumptions!$B$24:$G$24,MIN(6,V$3-$I4+1))*IF(V$3&gt;$J4,(1-Assumptions!$B$26)^(V$3-$J4),1)*IF($H4&gt;=1,1,MIN(0.97,$H4*Assumptions!$E$12)))</f>
        <v>28.458</v>
      </c>
      <c r="W4" s="23">
        <f>IF(W$3&lt;$I4,0,$G4*Assumptions!$E$11*INDEX(Assumptions!$B$24:$G$24,MIN(6,W$3-$I4+1))*IF(W$3&gt;$J4,(1-Assumptions!$B$26)^(W$3-$J4),1)*IF($H4&gt;=1,1,MIN(0.97,$H4*Assumptions!$E$12)))</f>
        <v>41.105999999999995</v>
      </c>
      <c r="X4" s="23">
        <f>IF(X$3&lt;$I4,0,$G4*Assumptions!$E$11*INDEX(Assumptions!$B$24:$G$24,MIN(6,X$3-$I4+1))*IF(X$3&gt;$J4,(1-Assumptions!$B$26)^(X$3-$J4),1)*IF($H4&gt;=1,1,MIN(0.97,$H4*Assumptions!$E$12)))</f>
        <v>53.754</v>
      </c>
      <c r="Y4" s="23">
        <f>IF(Y$3&lt;$I4,0,$G4*Assumptions!$E$11*INDEX(Assumptions!$B$24:$G$24,MIN(6,Y$3-$I4+1))*IF(Y$3&gt;$J4,(1-Assumptions!$B$26)^(Y$3-$J4),1)*IF($H4&gt;=1,1,MIN(0.97,$H4*Assumptions!$E$12)))</f>
        <v>63.239999999999995</v>
      </c>
      <c r="Z4" s="23">
        <f>IF(Z$3&lt;$I4,0,$G4*Assumptions!$E$11*INDEX(Assumptions!$B$24:$G$24,MIN(6,Z$3-$I4+1))*IF(Z$3&gt;$J4,(1-Assumptions!$B$26)^(Z$3-$J4),1)*IF($H4&gt;=1,1,MIN(0.97,$H4*Assumptions!$E$12)))</f>
        <v>63.239999999999995</v>
      </c>
      <c r="AA4" s="23">
        <f>IF(AA$3&lt;$I4,0,$G4*Assumptions!$E$11*INDEX(Assumptions!$B$24:$G$24,MIN(6,AA$3-$I4+1))*IF(AA$3&gt;$J4,(1-Assumptions!$B$26)^(AA$3-$J4),1)*IF($H4&gt;=1,1,MIN(0.97,$H4*Assumptions!$E$12)))</f>
        <v>63.239999999999995</v>
      </c>
      <c r="AB4" s="23">
        <f>IF(AB$3&lt;$I4,0,$G4*Assumptions!$E$11*INDEX(Assumptions!$B$24:$G$24,MIN(6,AB$3-$I4+1))*IF(AB$3&gt;$J4,(1-Assumptions!$B$26)^(AB$3-$J4),1)*IF($H4&gt;=1,1,MIN(0.97,$H4*Assumptions!$E$12)))</f>
        <v>63.239999999999995</v>
      </c>
      <c r="AC4" s="23">
        <f>IF(AC$3&lt;$I4,0,$G4*Assumptions!$E$11*INDEX(Assumptions!$B$24:$G$24,MIN(6,AC$3-$I4+1))*IF(AC$3&gt;$J4,(1-Assumptions!$B$26)^(AC$3-$J4),1)*IF($H4&gt;=1,1,MIN(0.97,$H4*Assumptions!$E$12)))</f>
        <v>63.239999999999995</v>
      </c>
      <c r="AD4" s="23">
        <f>IF(AD$3&lt;$I4,0,$G4*Assumptions!$E$11*INDEX(Assumptions!$B$24:$G$24,MIN(6,AD$3-$I4+1))*IF(AD$3&gt;$J4,(1-Assumptions!$B$26)^(AD$3-$J4),1)*IF($H4&gt;=1,1,MIN(0.97,$H4*Assumptions!$E$12)))</f>
        <v>63.239999999999995</v>
      </c>
      <c r="AE4" s="23">
        <f>IF(AE$3&lt;$I4,0,$G4*Assumptions!$E$11*INDEX(Assumptions!$B$24:$G$24,MIN(6,AE$3-$I4+1))*IF(AE$3&gt;$J4,(1-Assumptions!$B$26)^(AE$3-$J4),1)*IF($H4&gt;=1,1,MIN(0.97,$H4*Assumptions!$E$12)))</f>
        <v>63.239999999999995</v>
      </c>
      <c r="AF4" s="23">
        <f>IF(AF$3&lt;$I4,0,$G4*Assumptions!$E$11*INDEX(Assumptions!$B$24:$G$24,MIN(6,AF$3-$I4+1))*IF(AF$3&gt;$J4,(1-Assumptions!$B$26)^(AF$3-$J4),1)*IF($H4&gt;=1,1,MIN(0.97,$H4*Assumptions!$E$12)))</f>
        <v>63.239999999999995</v>
      </c>
      <c r="AG4" s="35">
        <f>IF(F4="Owned",1-IF(H4&gt;=1,1,MIN(0.97,H4*Assumptions!$E$12)),1)</f>
        <v>0.9473</v>
      </c>
    </row>
    <row r="5">
      <c r="B5" s="24" t="inlineStr">
        <is>
          <t>Risked revenue</t>
        </is>
      </c>
      <c r="L5" s="54">
        <f>SUM(L4:L4)</f>
        <v>55.3774422909388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0.0</v>
      </c>
      <c r="T5" s="54">
        <f>SUM(T4:T4)</f>
        <v>6.324</v>
      </c>
      <c r="U5" s="54">
        <f>SUM(U4:U4)</f>
        <v>15.809999999999999</v>
      </c>
      <c r="V5" s="54">
        <f>SUM(V4:V4)</f>
        <v>28.458</v>
      </c>
      <c r="W5" s="54">
        <f>SUM(W4:W4)</f>
        <v>41.105999999999995</v>
      </c>
      <c r="X5" s="54">
        <f>SUM(X4:X4)</f>
        <v>53.754</v>
      </c>
      <c r="Y5" s="54">
        <f>SUM(Y4:Y4)</f>
        <v>63.239999999999995</v>
      </c>
      <c r="Z5" s="54">
        <f>SUM(Z4:Z4)</f>
        <v>63.239999999999995</v>
      </c>
      <c r="AA5" s="54">
        <f>SUM(AA4:AA4)</f>
        <v>63.239999999999995</v>
      </c>
      <c r="AB5" s="54">
        <f>SUM(AB4:AB4)</f>
        <v>63.239999999999995</v>
      </c>
      <c r="AC5" s="54">
        <f>SUM(AC4:AC4)</f>
        <v>63.239999999999995</v>
      </c>
      <c r="AD5" s="54">
        <f>SUM(AD4:AD4)</f>
        <v>63.239999999999995</v>
      </c>
      <c r="AE5" s="54">
        <f>SUM(AE4:AE4)</f>
        <v>63.239999999999995</v>
      </c>
      <c r="AF5" s="54">
        <f>SUM(AF4:AF4)</f>
        <v>63.239999999999995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0.0</v>
      </c>
      <c r="T6" s="55">
        <f>SUMPRODUCT(T4:T4,$K$4:$K$4)</f>
        <v>2.5296000000000003</v>
      </c>
      <c r="U6" s="55">
        <f>SUMPRODUCT(U4:U4,$K$4:$K$4)</f>
        <v>6.324</v>
      </c>
      <c r="V6" s="55">
        <f>SUMPRODUCT(V4:V4,$K$4:$K$4)</f>
        <v>11.3832</v>
      </c>
      <c r="W6" s="55">
        <f>SUMPRODUCT(W4:W4,$K$4:$K$4)</f>
        <v>16.4424</v>
      </c>
      <c r="X6" s="55">
        <f>SUMPRODUCT(X4:X4,$K$4:$K$4)</f>
        <v>21.5016</v>
      </c>
      <c r="Y6" s="55">
        <f>SUMPRODUCT(Y4:Y4,$K$4:$K$4)</f>
        <v>25.296</v>
      </c>
      <c r="Z6" s="55">
        <f>SUMPRODUCT(Z4:Z4,$K$4:$K$4)</f>
        <v>25.296</v>
      </c>
      <c r="AA6" s="55">
        <f>SUMPRODUCT(AA4:AA4,$K$4:$K$4)</f>
        <v>25.296</v>
      </c>
      <c r="AB6" s="55">
        <f>SUMPRODUCT(AB4:AB4,$K$4:$K$4)</f>
        <v>25.296</v>
      </c>
      <c r="AC6" s="55">
        <f>SUMPRODUCT(AC4:AC4,$K$4:$K$4)</f>
        <v>25.296</v>
      </c>
      <c r="AD6" s="55">
        <f>SUMPRODUCT(AD4:AD4,$K$4:$K$4)</f>
        <v>25.296</v>
      </c>
      <c r="AE6" s="55">
        <f>SUMPRODUCT(AE4:AE4,$K$4:$K$4)</f>
        <v>25.296</v>
      </c>
      <c r="AF6" s="55">
        <f>SUMPRODUCT(AF4:AF4,$K$4:$K$4)</f>
        <v>25.296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NextCure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0.0</v>
      </c>
      <c r="J4" s="57">
        <f>Pipeline!T5</f>
        <v>6.324</v>
      </c>
      <c r="K4" s="57">
        <f>Pipeline!U5</f>
        <v>15.809999999999999</v>
      </c>
      <c r="L4" s="57">
        <f>Pipeline!V5</f>
        <v>28.458</v>
      </c>
      <c r="M4" s="57">
        <f>Pipeline!W5</f>
        <v>41.105999999999995</v>
      </c>
      <c r="N4" s="57">
        <f>Pipeline!X5</f>
        <v>53.754</v>
      </c>
      <c r="O4" s="57">
        <f>Pipeline!Y5</f>
        <v>63.239999999999995</v>
      </c>
      <c r="P4" s="57">
        <f>Pipeline!Z5</f>
        <v>63.239999999999995</v>
      </c>
      <c r="Q4" s="57">
        <f>Pipeline!AA5</f>
        <v>63.239999999999995</v>
      </c>
      <c r="R4" s="57">
        <f>Pipeline!AB5</f>
        <v>63.239999999999995</v>
      </c>
      <c r="S4" s="57">
        <f>Pipeline!AC5</f>
        <v>63.239999999999995</v>
      </c>
      <c r="T4" s="57">
        <f>Pipeline!AD5</f>
        <v>63.239999999999995</v>
      </c>
      <c r="U4" s="57">
        <f>Pipeline!AE5</f>
        <v>63.239999999999995</v>
      </c>
      <c r="V4" s="57">
        <f>Pipeline!AF5</f>
        <v>63.239999999999995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0.0</v>
      </c>
      <c r="J5" s="57">
        <f>Pipeline!T6</f>
        <v>2.5296000000000003</v>
      </c>
      <c r="K5" s="57">
        <f>Pipeline!U6</f>
        <v>6.324</v>
      </c>
      <c r="L5" s="57">
        <f>Pipeline!V6</f>
        <v>11.3832</v>
      </c>
      <c r="M5" s="57">
        <f>Pipeline!W6</f>
        <v>16.4424</v>
      </c>
      <c r="N5" s="57">
        <f>Pipeline!X6</f>
        <v>21.5016</v>
      </c>
      <c r="O5" s="57">
        <f>Pipeline!Y6</f>
        <v>25.296</v>
      </c>
      <c r="P5" s="57">
        <f>Pipeline!Z6</f>
        <v>25.296</v>
      </c>
      <c r="Q5" s="57">
        <f>Pipeline!AA6</f>
        <v>25.296</v>
      </c>
      <c r="R5" s="57">
        <f>Pipeline!AB6</f>
        <v>25.296</v>
      </c>
      <c r="S5" s="57">
        <f>Pipeline!AC6</f>
        <v>25.296</v>
      </c>
      <c r="T5" s="57">
        <f>Pipeline!AD6</f>
        <v>25.296</v>
      </c>
      <c r="U5" s="57">
        <f>Pipeline!AE6</f>
        <v>25.296</v>
      </c>
      <c r="V5" s="57">
        <f>Pipeline!AF6</f>
        <v>25.296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-43.901</v>
      </c>
      <c r="D6" s="23">
        <f>-IF(D3-2026&lt;Assumptions!$B$19,Assumptions!$B$18,Assumptions!$B$18*Assumptions!$B$20*Assumptions!$B$16)</f>
        <v>-43.901</v>
      </c>
      <c r="E6" s="23">
        <f>-IF(E3-2026&lt;Assumptions!$B$19,Assumptions!$B$18,Assumptions!$B$18*Assumptions!$B$20*Assumptions!$B$16)</f>
        <v>-43.901</v>
      </c>
      <c r="F6" s="23">
        <f>-IF(F3-2026&lt;Assumptions!$B$19,Assumptions!$B$18,Assumptions!$B$18*Assumptions!$B$20*Assumptions!$B$16)</f>
        <v>-43.901</v>
      </c>
      <c r="G6" s="23">
        <f>-IF(G3-2026&lt;Assumptions!$B$19,Assumptions!$B$18,Assumptions!$B$18*Assumptions!$B$20*Assumptions!$B$16)</f>
        <v>-0.6940748099999996</v>
      </c>
      <c r="H6" s="23">
        <f>-IF(H3-2026&lt;Assumptions!$B$19,Assumptions!$B$18,Assumptions!$B$18*Assumptions!$B$20*Assumptions!$B$16)</f>
        <v>-0.6940748099999996</v>
      </c>
      <c r="I6" s="23">
        <f>-IF(I3-2026&lt;Assumptions!$B$19,Assumptions!$B$18,Assumptions!$B$18*Assumptions!$B$20*Assumptions!$B$16)</f>
        <v>-0.6940748099999996</v>
      </c>
      <c r="J6" s="23">
        <f>-IF(J3-2026&lt;Assumptions!$B$19,Assumptions!$B$18,Assumptions!$B$18*Assumptions!$B$20*Assumptions!$B$16)</f>
        <v>-0.6940748099999996</v>
      </c>
      <c r="K6" s="23">
        <f>-IF(K3-2026&lt;Assumptions!$B$19,Assumptions!$B$18,Assumptions!$B$18*Assumptions!$B$20*Assumptions!$B$16)</f>
        <v>-0.6940748099999996</v>
      </c>
      <c r="L6" s="23">
        <f>-IF(L3-2026&lt;Assumptions!$B$19,Assumptions!$B$18,Assumptions!$B$18*Assumptions!$B$20*Assumptions!$B$16)</f>
        <v>-0.6940748099999996</v>
      </c>
      <c r="M6" s="23">
        <f>-IF(M3-2026&lt;Assumptions!$B$19,Assumptions!$B$18,Assumptions!$B$18*Assumptions!$B$20*Assumptions!$B$16)</f>
        <v>-0.6940748099999996</v>
      </c>
      <c r="N6" s="23">
        <f>-IF(N3-2026&lt;Assumptions!$B$19,Assumptions!$B$18,Assumptions!$B$18*Assumptions!$B$20*Assumptions!$B$16)</f>
        <v>-0.6940748099999996</v>
      </c>
      <c r="O6" s="23">
        <f>-IF(O3-2026&lt;Assumptions!$B$19,Assumptions!$B$18,Assumptions!$B$18*Assumptions!$B$20*Assumptions!$B$16)</f>
        <v>-0.6940748099999996</v>
      </c>
      <c r="P6" s="23">
        <f>-IF(P3-2026&lt;Assumptions!$B$19,Assumptions!$B$18,Assumptions!$B$18*Assumptions!$B$20*Assumptions!$B$16)</f>
        <v>-0.6940748099999996</v>
      </c>
      <c r="Q6" s="23">
        <f>-IF(Q3-2026&lt;Assumptions!$B$19,Assumptions!$B$18,Assumptions!$B$18*Assumptions!$B$20*Assumptions!$B$16)</f>
        <v>-0.6940748099999996</v>
      </c>
      <c r="R6" s="23">
        <f>-IF(R3-2026&lt;Assumptions!$B$19,Assumptions!$B$18,Assumptions!$B$18*Assumptions!$B$20*Assumptions!$B$16)</f>
        <v>-0.6940748099999996</v>
      </c>
      <c r="S6" s="23">
        <f>-IF(S3-2026&lt;Assumptions!$B$19,Assumptions!$B$18,Assumptions!$B$18*Assumptions!$B$20*Assumptions!$B$16)</f>
        <v>-0.6940748099999996</v>
      </c>
      <c r="T6" s="23">
        <f>-IF(T3-2026&lt;Assumptions!$B$19,Assumptions!$B$18,Assumptions!$B$18*Assumptions!$B$20*Assumptions!$B$16)</f>
        <v>-0.6940748099999996</v>
      </c>
      <c r="U6" s="23">
        <f>-IF(U3-2026&lt;Assumptions!$B$19,Assumptions!$B$18,Assumptions!$B$18*Assumptions!$B$20*Assumptions!$B$16)</f>
        <v>-0.6940748099999996</v>
      </c>
      <c r="V6" s="23">
        <f>-IF(V3-2026&lt;Assumptions!$B$19,Assumptions!$B$18,Assumptions!$B$18*Assumptions!$B$20*Assumptions!$B$16)</f>
        <v>-0.6940748099999996</v>
      </c>
    </row>
    <row r="7">
      <c r="A7" s="14" t="inlineStr">
        <is>
          <t>Pre-tax cash flow</t>
        </is>
      </c>
      <c r="C7" s="23">
        <f>C5+C6</f>
        <v>-43.901</v>
      </c>
      <c r="D7" s="23">
        <f>D5+D6</f>
        <v>-43.901</v>
      </c>
      <c r="E7" s="23">
        <f>E5+E6</f>
        <v>-43.901</v>
      </c>
      <c r="F7" s="23">
        <f>F5+F6</f>
        <v>-43.901</v>
      </c>
      <c r="G7" s="23">
        <f>G5+G6</f>
        <v>-0.6940748099999996</v>
      </c>
      <c r="H7" s="23">
        <f>H5+H6</f>
        <v>-0.6940748099999996</v>
      </c>
      <c r="I7" s="23">
        <f>I5+I6</f>
        <v>-0.6940748099999996</v>
      </c>
      <c r="J7" s="23">
        <f>J5+J6</f>
        <v>1.8355251900000007</v>
      </c>
      <c r="K7" s="23">
        <f>K5+K6</f>
        <v>5.62992519</v>
      </c>
      <c r="L7" s="23">
        <f>L5+L6</f>
        <v>10.68912519</v>
      </c>
      <c r="M7" s="23">
        <f>M5+M6</f>
        <v>15.74832519</v>
      </c>
      <c r="N7" s="23">
        <f>N5+N6</f>
        <v>20.80752519</v>
      </c>
      <c r="O7" s="23">
        <f>O5+O6</f>
        <v>24.60192519</v>
      </c>
      <c r="P7" s="23">
        <f>P5+P6</f>
        <v>24.60192519</v>
      </c>
      <c r="Q7" s="23">
        <f>Q5+Q6</f>
        <v>24.60192519</v>
      </c>
      <c r="R7" s="23">
        <f>R5+R6</f>
        <v>24.60192519</v>
      </c>
      <c r="S7" s="23">
        <f>S5+S6</f>
        <v>24.60192519</v>
      </c>
      <c r="T7" s="23">
        <f>T5+T6</f>
        <v>24.60192519</v>
      </c>
      <c r="U7" s="23">
        <f>U5+U6</f>
        <v>24.60192519</v>
      </c>
      <c r="V7" s="23">
        <f>V5+V6</f>
        <v>24.60192519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</v>
      </c>
      <c r="J8" s="23">
        <f>MIN(I17,MAX(0,J7))</f>
        <v>1.8355251900000007</v>
      </c>
      <c r="K8" s="23">
        <f>MIN(J17,MAX(0,K7))</f>
        <v>5.62992519</v>
      </c>
      <c r="L8" s="23">
        <f>MIN(K17,MAX(0,L7))</f>
        <v>10.68912519</v>
      </c>
      <c r="M8" s="23">
        <f>MIN(L17,MAX(0,M7))</f>
        <v>15.74832519</v>
      </c>
      <c r="N8" s="23">
        <f>MIN(M17,MAX(0,N7))</f>
        <v>20.80752519</v>
      </c>
      <c r="O8" s="23">
        <f>MIN(N17,MAX(0,O7))</f>
        <v>24.60192519</v>
      </c>
      <c r="P8" s="23">
        <f>MIN(O17,MAX(0,P7))</f>
        <v>24.60192519</v>
      </c>
      <c r="Q8" s="23">
        <f>MIN(P17,MAX(0,Q7))</f>
        <v>24.60192519</v>
      </c>
      <c r="R8" s="23">
        <f>MIN(Q17,MAX(0,R7))</f>
        <v>24.60192519</v>
      </c>
      <c r="S8" s="23">
        <f>MIN(R17,MAX(0,S7))</f>
        <v>24.60192519</v>
      </c>
      <c r="T8" s="23">
        <f>MIN(S17,MAX(0,T7))</f>
        <v>24.60192519</v>
      </c>
      <c r="U8" s="23">
        <f>MIN(T17,MAX(0,U7))</f>
        <v>24.60192519</v>
      </c>
      <c r="V8" s="23">
        <f>MIN(U17,MAX(0,V7))</f>
        <v>24.60192519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-43.901</v>
      </c>
      <c r="D11" s="55">
        <f>D7-D10</f>
        <v>-43.901</v>
      </c>
      <c r="E11" s="55">
        <f>E7-E10</f>
        <v>-43.901</v>
      </c>
      <c r="F11" s="55">
        <f>F7-F10</f>
        <v>-43.901</v>
      </c>
      <c r="G11" s="55">
        <f>G7-G10</f>
        <v>-0.6940748099999996</v>
      </c>
      <c r="H11" s="55">
        <f>H7-H10</f>
        <v>-0.6940748099999996</v>
      </c>
      <c r="I11" s="55">
        <f>I7-I10</f>
        <v>-0.6940748099999996</v>
      </c>
      <c r="J11" s="55">
        <f>J7-J10</f>
        <v>1.8355251900000007</v>
      </c>
      <c r="K11" s="55">
        <f>K7-K10</f>
        <v>5.62992519</v>
      </c>
      <c r="L11" s="55">
        <f>L7-L10</f>
        <v>10.68912519</v>
      </c>
      <c r="M11" s="55">
        <f>M7-M10</f>
        <v>15.74832519</v>
      </c>
      <c r="N11" s="55">
        <f>N7-N10</f>
        <v>20.80752519</v>
      </c>
      <c r="O11" s="55">
        <f>O7-O10</f>
        <v>24.60192519</v>
      </c>
      <c r="P11" s="55">
        <f>P7-P10</f>
        <v>24.60192519</v>
      </c>
      <c r="Q11" s="55">
        <f>Q7-Q10</f>
        <v>24.60192519</v>
      </c>
      <c r="R11" s="55">
        <f>R7-R10</f>
        <v>24.60192519</v>
      </c>
      <c r="S11" s="55">
        <f>S7-S10</f>
        <v>24.60192519</v>
      </c>
      <c r="T11" s="55">
        <f>T7-T10</f>
        <v>24.60192519</v>
      </c>
      <c r="U11" s="55">
        <f>U7-U10</f>
        <v>24.60192519</v>
      </c>
      <c r="V11" s="55">
        <f>V7-V10</f>
        <v>24.60192519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-21.507290826092646</v>
      </c>
      <c r="D16" s="55">
        <f>D11*D15</f>
        <v>-39.17911271750534</v>
      </c>
      <c r="E16" s="55">
        <f>E11*E15</f>
        <v>-34.981350640629756</v>
      </c>
      <c r="F16" s="55">
        <f>F11*F15</f>
        <v>-31.23334878627657</v>
      </c>
      <c r="G16" s="55">
        <f>G11*G15</f>
        <v>-0.44089218242056444</v>
      </c>
      <c r="H16" s="55">
        <f>H11*H15</f>
        <v>-0.39365373430407535</v>
      </c>
      <c r="I16" s="55">
        <f>I11*I15</f>
        <v>-0.3514765484857815</v>
      </c>
      <c r="J16" s="55">
        <f>J11*J15</f>
        <v>0.8299126728859656</v>
      </c>
      <c r="K16" s="55">
        <f>K11*K15</f>
        <v>2.2727760736681875</v>
      </c>
      <c r="L16" s="55">
        <f>L11*L15</f>
        <v>3.8528150845064655</v>
      </c>
      <c r="M16" s="55">
        <f>M11*M15</f>
        <v>5.068183765645961</v>
      </c>
      <c r="N16" s="55">
        <f>N11*N15</f>
        <v>5.978887556234445</v>
      </c>
      <c r="O16" s="55">
        <f>O11*O15</f>
        <v>6.311768005408993</v>
      </c>
      <c r="P16" s="55">
        <f>P11*P15</f>
        <v>5.635507147686599</v>
      </c>
      <c r="Q16" s="55">
        <f>Q11*Q15</f>
        <v>5.0317028104344645</v>
      </c>
      <c r="R16" s="55">
        <f>R11*R15</f>
        <v>4.492591795030771</v>
      </c>
      <c r="S16" s="55">
        <f>S11*S15</f>
        <v>4.011242674134617</v>
      </c>
      <c r="T16" s="55">
        <f>T11*T15</f>
        <v>3.581466673334479</v>
      </c>
      <c r="U16" s="55">
        <f>U11*U15</f>
        <v>3.197738101191499</v>
      </c>
      <c r="V16" s="55">
        <f>V11*V15</f>
        <v>2.855123304635266</v>
      </c>
    </row>
    <row r="17">
      <c r="A17" s="14" t="inlineStr">
        <is>
          <t>Tax-loss carryforward, end of year</t>
        </is>
      </c>
      <c r="C17" s="23">
        <f>Assumptions!$B$21-C8+MAX(0,-C7)</f>
        <v>455.401</v>
      </c>
      <c r="D17" s="23">
        <f>C17-D8+MAX(0,-D7)</f>
        <v>499.302</v>
      </c>
      <c r="E17" s="23">
        <f>D17-E8+MAX(0,-E7)</f>
        <v>543.203</v>
      </c>
      <c r="F17" s="23">
        <f>E17-F8+MAX(0,-F7)</f>
        <v>587.1039999999999</v>
      </c>
      <c r="G17" s="23">
        <f>F17-G8+MAX(0,-G7)</f>
        <v>587.7980748099999</v>
      </c>
      <c r="H17" s="23">
        <f>G17-H8+MAX(0,-H7)</f>
        <v>588.4921496199999</v>
      </c>
      <c r="I17" s="23">
        <f>H17-I8+MAX(0,-I7)</f>
        <v>589.1862244299998</v>
      </c>
      <c r="J17" s="23">
        <f>I17-J8+MAX(0,-J7)</f>
        <v>587.3506992399998</v>
      </c>
      <c r="K17" s="23">
        <f>J17-K8+MAX(0,-K7)</f>
        <v>581.7207740499998</v>
      </c>
      <c r="L17" s="23">
        <f>K17-L8+MAX(0,-L7)</f>
        <v>571.0316488599998</v>
      </c>
      <c r="M17" s="23">
        <f>L17-M8+MAX(0,-M7)</f>
        <v>555.2833236699998</v>
      </c>
      <c r="N17" s="23">
        <f>M17-N8+MAX(0,-N7)</f>
        <v>534.4757984799999</v>
      </c>
      <c r="O17" s="23">
        <f>N17-O8+MAX(0,-O7)</f>
        <v>509.8738732899999</v>
      </c>
      <c r="P17" s="23">
        <f>O17-P8+MAX(0,-P7)</f>
        <v>485.2719480999999</v>
      </c>
      <c r="Q17" s="23">
        <f>P17-Q8+MAX(0,-Q7)</f>
        <v>460.67002290999994</v>
      </c>
      <c r="R17" s="23">
        <f>Q17-R8+MAX(0,-R7)</f>
        <v>436.06809771999997</v>
      </c>
      <c r="S17" s="23">
        <f>R17-S8+MAX(0,-S7)</f>
        <v>411.46617253</v>
      </c>
      <c r="T17" s="23">
        <f>S17-T8+MAX(0,-T7)</f>
        <v>386.86424734</v>
      </c>
      <c r="U17" s="23">
        <f>T17-U8+MAX(0,-U7)</f>
        <v>362.26232215000005</v>
      </c>
      <c r="V17" s="23">
        <f>U17-V8+MAX(0,-V7)</f>
        <v>337.66039696000007</v>
      </c>
    </row>
    <row r="19">
      <c r="A19" s="14" t="inlineStr">
        <is>
          <t>PV of risked pipeline contribution</t>
        </is>
      </c>
      <c r="B19" s="23">
        <f>SUMPRODUCT(C5:V5,C15:V15)</f>
        <v>55.3774422909388</v>
      </c>
    </row>
    <row r="20">
      <c r="A20" s="14" t="inlineStr">
        <is>
          <t>PV of corporate burn</t>
        </is>
      </c>
      <c r="B20" s="23">
        <f>SUMPRODUCT(C6:V6,C15:V15)</f>
        <v>-130.34485206185585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-74.96740977091702</v>
      </c>
    </row>
    <row r="23">
      <c r="A23" s="14" t="inlineStr">
        <is>
          <t>Cash &amp; investments</t>
        </is>
      </c>
      <c r="B23" s="57">
        <f>Main!C7</f>
        <v>20.088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-54.879409770917015</v>
      </c>
    </row>
    <row r="26">
      <c r="A26" s="14" t="inlineStr">
        <is>
          <t>Shares (mm)</t>
        </is>
      </c>
      <c r="B26" s="57">
        <f>Main!C4</f>
        <v>4.577359</v>
      </c>
    </row>
    <row r="27">
      <c r="A27" s="24" t="inlineStr">
        <is>
          <t>rNPV / share</t>
        </is>
      </c>
      <c r="B27" s="60">
        <f>B25/B26</f>
        <v>-11.989317370762706</v>
      </c>
    </row>
    <row r="28">
      <c r="A28" s="14" t="inlineStr">
        <is>
          <t>Price</t>
        </is>
      </c>
      <c r="B28" s="61">
        <f>Main!C3</f>
        <v>5.44</v>
      </c>
    </row>
    <row r="29">
      <c r="A29" s="14" t="inlineStr">
        <is>
          <t>Upside</t>
        </is>
      </c>
      <c r="B29" s="62">
        <f>B27/B28-1</f>
        <v>-3.2039186343313797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2026-10-21T06:29:56Z</dcterms:modified>
  <cp:lastModifiedBy>Wang, Eric</cp:lastModifiedBy>
</cp:coreProperties>
</file>