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Propanc Biopharma Inc</t>
        </is>
      </c>
      <c r="C2" s="10" t="n"/>
    </row>
    <row r="3">
      <c r="B3" t="inlineStr">
        <is>
          <t>Price</t>
        </is>
      </c>
      <c r="C3" s="11">
        <f>INDEX([1]Pharma!$F$1:$F$1000,MATCH("PPCB",[1]Pharma!$B$1:$B$1000,0))</f>
        <v>0.321</v>
      </c>
      <c r="F3" s="1" t="n"/>
    </row>
    <row r="4">
      <c r="B4" t="inlineStr">
        <is>
          <t>Shares</t>
        </is>
      </c>
      <c r="C4" s="21" t="n">
        <v>6.331116</v>
      </c>
      <c r="F4" s="1" t="n"/>
    </row>
    <row r="5">
      <c r="B5" t="inlineStr">
        <is>
          <t>Market Cap.</t>
        </is>
      </c>
      <c r="C5" s="13">
        <f>C3*C4</f>
        <v>2.032288236</v>
      </c>
      <c r="F5" s="1" t="n"/>
    </row>
    <row r="6"/>
    <row r="7">
      <c r="B7" t="inlineStr">
        <is>
          <t>Cash</t>
        </is>
      </c>
      <c r="C7" s="21" t="n">
        <v>0.832006</v>
      </c>
    </row>
    <row r="8">
      <c r="B8" t="inlineStr">
        <is>
          <t>Debt</t>
        </is>
      </c>
      <c r="C8" s="21" t="n">
        <v>0.20065</v>
      </c>
    </row>
    <row r="9">
      <c r="B9" t="inlineStr">
        <is>
          <t>Enterprise V.</t>
        </is>
      </c>
      <c r="C9" s="13">
        <f>C5-C7+C8</f>
        <v>1.4009322359999998</v>
      </c>
    </row>
    <row r="10"/>
    <row r="11">
      <c r="B11" s="14" t="inlineStr">
        <is>
          <t>Net Cash / Share</t>
        </is>
      </c>
      <c r="C11" s="11">
        <f>(C7-C8)/C4</f>
        <v>0.09972270291683173</v>
      </c>
    </row>
    <row r="12">
      <c r="B12" s="14" t="inlineStr">
        <is>
          <t>Upside</t>
        </is>
      </c>
      <c r="C12" s="15">
        <f>IFERROR(C11/C3-1,"")</f>
        <v>-0.6893373740908668</v>
      </c>
    </row>
    <row r="13">
      <c r="B13" s="14" t="inlineStr">
        <is>
          <t>Cash / Share</t>
        </is>
      </c>
      <c r="C13" s="11">
        <f>IFERROR((C7-C8)/C4,"")</f>
        <v>0.09972270291683173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-5.683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0.1110955481259898</v>
      </c>
    </row>
    <row r="19">
      <c r="B19" s="14" t="inlineStr">
        <is>
          <t>Implied Pipeline Value</t>
        </is>
      </c>
      <c r="C19" s="13">
        <f>C9</f>
        <v>1.4009322359999998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17" t="n">
        <v>2026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0.029</v>
      </c>
      <c r="K3" s="23" t="n">
        <v>0.031</v>
      </c>
      <c r="L3" s="23" t="n">
        <v>0.028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-0.029</v>
      </c>
      <c r="K4" s="23">
        <f>K2-K3</f>
        <v>-0.031</v>
      </c>
      <c r="L4" s="23">
        <f>L2-L3</f>
        <v>-0.028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0.386</v>
      </c>
      <c r="E5" s="23" t="n">
        <v>0.005</v>
      </c>
      <c r="F5" s="23" t="n">
        <v>0.012</v>
      </c>
      <c r="G5" s="23" t="n">
        <v>0.008</v>
      </c>
      <c r="H5" s="23" t="n">
        <v>0.134</v>
      </c>
      <c r="I5" s="23" t="n">
        <v>1.447</v>
      </c>
      <c r="J5" s="23" t="n">
        <v>0.972</v>
      </c>
      <c r="K5" s="23" t="n">
        <v>1.826</v>
      </c>
      <c r="L5" s="23" t="n">
        <v>0.26</v>
      </c>
      <c r="M5" s="23" t="n">
        <v>0.18</v>
      </c>
      <c r="N5" s="23" t="n">
        <v>0.231</v>
      </c>
      <c r="O5" s="23" t="n">
        <v>0.256</v>
      </c>
      <c r="P5" s="23" t="n">
        <v>0.248</v>
      </c>
      <c r="Q5" s="23" t="n">
        <v>0.248</v>
      </c>
      <c r="R5" s="23" t="n">
        <v>0.224</v>
      </c>
      <c r="S5" s="23" t="n">
        <v>0.625</v>
      </c>
    </row>
    <row r="6">
      <c r="A6" s="19" t="inlineStr">
        <is>
          <t>SG&amp;A &amp; Other</t>
        </is>
      </c>
      <c r="B6" s="23" t="n">
        <v>0.444</v>
      </c>
      <c r="C6" s="23" t="n">
        <v>0.842</v>
      </c>
      <c r="D6" s="23" t="n">
        <v>1.85</v>
      </c>
      <c r="E6" s="23" t="n">
        <v>11.584</v>
      </c>
      <c r="F6" s="23" t="n">
        <v>1.35</v>
      </c>
      <c r="G6" s="23" t="n">
        <v>0.753</v>
      </c>
      <c r="H6" s="23" t="n">
        <v>1.571</v>
      </c>
      <c r="I6" s="23" t="n">
        <v>5.451</v>
      </c>
      <c r="J6" s="23" t="n">
        <v>4.739</v>
      </c>
      <c r="K6" s="23" t="n">
        <v>2.104</v>
      </c>
      <c r="L6" s="23" t="n">
        <v>2.326</v>
      </c>
      <c r="M6" s="23" t="n">
        <v>3.314</v>
      </c>
      <c r="N6" s="23" t="n">
        <v>1.581</v>
      </c>
      <c r="O6" s="23" t="n">
        <v>1.735</v>
      </c>
      <c r="P6" s="23" t="n">
        <v>1.529</v>
      </c>
      <c r="Q6" s="23" t="n">
        <v>1.288</v>
      </c>
      <c r="R6" s="23" t="n">
        <v>57.054</v>
      </c>
      <c r="S6" s="23" t="n">
        <v>17.56</v>
      </c>
    </row>
    <row r="7">
      <c r="A7" s="2" t="inlineStr">
        <is>
          <t>Operating Expense</t>
        </is>
      </c>
      <c r="B7" s="23">
        <f>SUM(B5:B6)</f>
        <v>0.444</v>
      </c>
      <c r="C7" s="23">
        <f>SUM(C5:C6)</f>
        <v>0.842</v>
      </c>
      <c r="D7" s="23">
        <f>SUM(D5:D6)</f>
        <v>2.236</v>
      </c>
      <c r="E7" s="23">
        <f>SUM(E5:E6)</f>
        <v>11.589</v>
      </c>
      <c r="F7" s="23">
        <f>SUM(F5:F6)</f>
        <v>1.362</v>
      </c>
      <c r="G7" s="23">
        <f>SUM(G5:G6)</f>
        <v>0.761</v>
      </c>
      <c r="H7" s="23">
        <f>SUM(H5:H6)</f>
        <v>1.705</v>
      </c>
      <c r="I7" s="23">
        <f>SUM(I5:I6)</f>
        <v>6.898</v>
      </c>
      <c r="J7" s="23">
        <f>SUM(J5:J6)</f>
        <v>5.711</v>
      </c>
      <c r="K7" s="23">
        <f>SUM(K5:K6)</f>
        <v>3.93</v>
      </c>
      <c r="L7" s="23">
        <f>SUM(L5:L6)</f>
        <v>2.5860000000000003</v>
      </c>
      <c r="M7" s="23">
        <f>SUM(M5:M6)</f>
        <v>3.494</v>
      </c>
      <c r="N7" s="23">
        <f>SUM(N5:N6)</f>
        <v>1.812</v>
      </c>
      <c r="O7" s="23">
        <f>SUM(O5:O6)</f>
        <v>1.991</v>
      </c>
      <c r="P7" s="23">
        <f>SUM(P5:P6)</f>
        <v>1.777</v>
      </c>
      <c r="Q7" s="23">
        <f>SUM(Q5:Q6)</f>
        <v>1.536</v>
      </c>
      <c r="R7" s="23">
        <f>SUM(R5:R6)</f>
        <v>57.278</v>
      </c>
      <c r="S7" s="23">
        <f>SUM(S5:S6)</f>
        <v>18.185</v>
      </c>
    </row>
    <row r="8">
      <c r="A8" s="2" t="inlineStr">
        <is>
          <t>Operating Income</t>
        </is>
      </c>
      <c r="B8" s="23">
        <f>B4-B7</f>
        <v>-0.444</v>
      </c>
      <c r="C8" s="23">
        <f>C4-C7</f>
        <v>-0.842</v>
      </c>
      <c r="D8" s="23">
        <f>D4-D7</f>
        <v>-2.236</v>
      </c>
      <c r="E8" s="23">
        <f>E4-E7</f>
        <v>-11.589</v>
      </c>
      <c r="F8" s="23">
        <f>F4-F7</f>
        <v>-1.362</v>
      </c>
      <c r="G8" s="23">
        <f>G4-G7</f>
        <v>-0.761</v>
      </c>
      <c r="H8" s="23">
        <f>H4-H7</f>
        <v>-1.705</v>
      </c>
      <c r="I8" s="23">
        <f>I4-I7</f>
        <v>-6.898</v>
      </c>
      <c r="J8" s="23">
        <f>J4-J7</f>
        <v>-5.74</v>
      </c>
      <c r="K8" s="23">
        <f>K4-K7</f>
        <v>-3.9610000000000003</v>
      </c>
      <c r="L8" s="23">
        <f>L4-L7</f>
        <v>-2.6140000000000003</v>
      </c>
      <c r="M8" s="23">
        <f>M4-M7</f>
        <v>-3.494</v>
      </c>
      <c r="N8" s="23">
        <f>N4-N7</f>
        <v>-1.812</v>
      </c>
      <c r="O8" s="23">
        <f>O4-O7</f>
        <v>-1.991</v>
      </c>
      <c r="P8" s="23">
        <f>P4-P7</f>
        <v>-1.777</v>
      </c>
      <c r="Q8" s="23">
        <f>Q4-Q7</f>
        <v>-1.536</v>
      </c>
      <c r="R8" s="23">
        <f>R4-R7</f>
        <v>-57.278</v>
      </c>
      <c r="S8" s="23">
        <f>S4-S7</f>
        <v>-18.185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-0.001</v>
      </c>
      <c r="E9" s="23" t="n">
        <v>-0.019</v>
      </c>
      <c r="F9" s="23" t="n">
        <v>-0.141</v>
      </c>
      <c r="G9" s="23" t="n">
        <v>-0.117</v>
      </c>
      <c r="H9" s="23" t="n">
        <v>-1.785</v>
      </c>
      <c r="I9" s="23" t="n">
        <v>-2.585</v>
      </c>
      <c r="J9" s="23" t="n">
        <v>-2.433</v>
      </c>
      <c r="K9" s="23" t="n">
        <v>-3.259</v>
      </c>
      <c r="L9" s="23" t="n">
        <v>-3.259</v>
      </c>
      <c r="M9" s="23" t="n">
        <v>-1.381</v>
      </c>
      <c r="N9" s="23" t="n">
        <v>-0.327</v>
      </c>
      <c r="O9" s="23" t="n">
        <v>-0.722</v>
      </c>
      <c r="P9" s="23" t="n">
        <v>-1.014</v>
      </c>
      <c r="Q9" s="23" t="n">
        <v>-0.414</v>
      </c>
      <c r="R9" s="23" t="n">
        <v>-1.645</v>
      </c>
      <c r="S9" s="23" t="n">
        <v>-0.677</v>
      </c>
    </row>
    <row r="10">
      <c r="A10" s="2" t="inlineStr">
        <is>
          <t>Pretax</t>
        </is>
      </c>
      <c r="B10" s="23">
        <f>B8+B9</f>
        <v>-0.444</v>
      </c>
      <c r="C10" s="23">
        <f>C8+C9</f>
        <v>-0.842</v>
      </c>
      <c r="D10" s="23">
        <f>D8+D9</f>
        <v>-2.237</v>
      </c>
      <c r="E10" s="23">
        <f>E8+E9</f>
        <v>-11.608</v>
      </c>
      <c r="F10" s="23">
        <f>F8+F9</f>
        <v>-1.5030000000000001</v>
      </c>
      <c r="G10" s="23">
        <f>G8+G9</f>
        <v>-0.878</v>
      </c>
      <c r="H10" s="23">
        <f>H8+H9</f>
        <v>-3.49</v>
      </c>
      <c r="I10" s="23">
        <f>I8+I9</f>
        <v>-9.483</v>
      </c>
      <c r="J10" s="23">
        <f>J8+J9</f>
        <v>-8.173</v>
      </c>
      <c r="K10" s="23">
        <f>K8+K9</f>
        <v>-7.220000000000001</v>
      </c>
      <c r="L10" s="23">
        <f>L8+L9</f>
        <v>-5.873</v>
      </c>
      <c r="M10" s="23">
        <f>M8+M9</f>
        <v>-4.875</v>
      </c>
      <c r="N10" s="23">
        <f>N8+N9</f>
        <v>-2.1390000000000002</v>
      </c>
      <c r="O10" s="23">
        <f>O8+O9</f>
        <v>-2.713</v>
      </c>
      <c r="P10" s="23">
        <f>P8+P9</f>
        <v>-2.791</v>
      </c>
      <c r="Q10" s="23">
        <f>Q8+Q9</f>
        <v>-1.95</v>
      </c>
      <c r="R10" s="23">
        <f>R8+R9</f>
        <v>-58.923</v>
      </c>
      <c r="S10" s="23">
        <f>S8+S9</f>
        <v>-18.862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-0.08500000000000001</v>
      </c>
      <c r="E11" s="23" t="n">
        <v>-0.174</v>
      </c>
      <c r="F11" s="23" t="n">
        <v>-0.06</v>
      </c>
      <c r="G11" s="23" t="n">
        <v>-0.048</v>
      </c>
      <c r="H11" s="23" t="n">
        <v>-0.077</v>
      </c>
      <c r="I11" s="23" t="n">
        <v>-0.073</v>
      </c>
      <c r="J11" s="23" t="n">
        <v>-0.306</v>
      </c>
      <c r="K11" s="23" t="n">
        <v>-0.179</v>
      </c>
      <c r="L11" s="23" t="n">
        <v>-0.115</v>
      </c>
      <c r="M11" s="23" t="n">
        <v>-0.135</v>
      </c>
      <c r="N11" s="23" t="n">
        <v>-0.113</v>
      </c>
      <c r="O11" s="23" t="n">
        <v>-0.055</v>
      </c>
      <c r="P11" s="23" t="n">
        <v>-0.13</v>
      </c>
      <c r="Q11" s="23" t="n">
        <v>-0.129</v>
      </c>
      <c r="R11" s="23" t="n">
        <v>0</v>
      </c>
      <c r="S11" s="23" t="n">
        <v>0</v>
      </c>
    </row>
    <row r="12">
      <c r="A12" s="2" t="inlineStr">
        <is>
          <t>Net Income</t>
        </is>
      </c>
      <c r="B12" s="23" t="n">
        <v>-0.444</v>
      </c>
      <c r="C12" s="23" t="n">
        <v>-0.842</v>
      </c>
      <c r="D12" s="23" t="n">
        <v>-2.152</v>
      </c>
      <c r="E12" s="23" t="n">
        <v>-11.434</v>
      </c>
      <c r="F12" s="23" t="n">
        <v>-1.443</v>
      </c>
      <c r="G12" s="23" t="n">
        <v>-0.83</v>
      </c>
      <c r="H12" s="23" t="n">
        <v>-3.413</v>
      </c>
      <c r="I12" s="23" t="n">
        <v>-9.41</v>
      </c>
      <c r="J12" s="23" t="n">
        <v>-7.867</v>
      </c>
      <c r="K12" s="23" t="n">
        <v>-7.039</v>
      </c>
      <c r="L12" s="23" t="n">
        <v>-5.758</v>
      </c>
      <c r="M12" s="23" t="n">
        <v>-4.741</v>
      </c>
      <c r="N12" s="23" t="n">
        <v>-2.026</v>
      </c>
      <c r="O12" s="23" t="n">
        <v>-2.658</v>
      </c>
      <c r="P12" s="23" t="n">
        <v>-2.661</v>
      </c>
      <c r="Q12" s="23" t="n">
        <v>-1.821</v>
      </c>
      <c r="R12" s="23" t="n">
        <v>-58.923</v>
      </c>
      <c r="S12" s="23" t="n">
        <v>-18.863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-75.94736842105263</v>
      </c>
      <c r="G13" s="11">
        <f>IFERROR(G12/G14,0)</f>
        <v>-43.68421052631579</v>
      </c>
      <c r="H13" s="11">
        <f>IFERROR(H12/H14,0)</f>
        <v>-72.61702127659574</v>
      </c>
      <c r="I13" s="11">
        <f>IFERROR(I12/I14,0)</f>
        <v>-200.2127659574468</v>
      </c>
      <c r="J13" s="11">
        <f>IFERROR(J12/J14,0)</f>
        <v>-93.6547619047619</v>
      </c>
      <c r="K13" s="11">
        <f>IFERROR(K12/K14,0)</f>
        <v>-83.79761904761904</v>
      </c>
      <c r="L13" s="11">
        <f>IFERROR(L12/L14,0)</f>
        <v>-5.159498207885304</v>
      </c>
      <c r="M13" s="11">
        <f>IFERROR(M12/M14,0)</f>
        <v>-4.31</v>
      </c>
      <c r="N13" s="11">
        <f>IFERROR(N12/N14,0)</f>
        <v>-1.8401453224341506</v>
      </c>
      <c r="O13" s="11">
        <f>IFERROR(O12/O14,0)</f>
        <v>-2.4385321100917428</v>
      </c>
      <c r="P13" s="11">
        <f>IFERROR(P12/P14,0)</f>
        <v>-2.395139513951395</v>
      </c>
      <c r="Q13" s="11">
        <f>IFERROR(Q12/Q14,0)</f>
        <v>-1.6390639063906391</v>
      </c>
      <c r="R13" s="11">
        <f>IFERROR(R12/R14,0)</f>
        <v>-53.03600360036004</v>
      </c>
      <c r="S13" s="11">
        <f>IFERROR(S12/S14,0)</f>
        <v>-16.782028469750887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>
        <v>0.019</v>
      </c>
      <c r="G14" s="23" t="n">
        <v>0.019</v>
      </c>
      <c r="H14" s="23" t="n">
        <v>0.047</v>
      </c>
      <c r="I14" s="23" t="n">
        <v>0.047</v>
      </c>
      <c r="J14" s="23" t="n">
        <v>0.08400000000000001</v>
      </c>
      <c r="K14" s="23" t="n">
        <v>0.08400000000000001</v>
      </c>
      <c r="L14" s="23" t="n">
        <v>1.116</v>
      </c>
      <c r="M14" s="23" t="n">
        <v>1.1</v>
      </c>
      <c r="N14" s="23" t="n">
        <v>1.101</v>
      </c>
      <c r="O14" s="23" t="n">
        <v>1.09</v>
      </c>
      <c r="P14" s="23" t="n">
        <v>1.111</v>
      </c>
      <c r="Q14" s="23" t="n">
        <v>1.111</v>
      </c>
      <c r="R14" s="23" t="n">
        <v>1.111</v>
      </c>
      <c r="S14" s="23" t="n">
        <v>1.124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2026-10-21T06:31:41Z</dcterms:modified>
  <cp:lastModifiedBy>Wang, Eric</cp:lastModifiedBy>
</cp:coreProperties>
</file>