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Elicio Therapeutics Inc</t>
        </is>
      </c>
      <c r="C2" s="10" t="n"/>
    </row>
    <row r="3">
      <c r="B3" t="inlineStr">
        <is>
          <t>Price</t>
        </is>
      </c>
      <c r="C3" s="11">
        <f>INDEX([1]Pharma!$F$1:$F$1000,MATCH("ELTX",[1]Pharma!$B$1:$B$1000,0))</f>
        <v>1.57</v>
      </c>
      <c r="F3" s="1" t="n"/>
    </row>
    <row r="4">
      <c r="B4" t="inlineStr">
        <is>
          <t>Shares</t>
        </is>
      </c>
      <c r="C4" s="21" t="n">
        <v>26.281882</v>
      </c>
      <c r="F4" s="1" t="n"/>
    </row>
    <row r="5">
      <c r="B5" t="inlineStr">
        <is>
          <t>Market Cap.</t>
        </is>
      </c>
      <c r="C5" s="13">
        <f>C3*C4</f>
        <v>41.26255474</v>
      </c>
      <c r="F5" s="1" t="n"/>
    </row>
    <row r="6"/>
    <row r="7">
      <c r="B7" t="inlineStr">
        <is>
          <t>Cash</t>
        </is>
      </c>
      <c r="C7" s="21" t="n">
        <v>23.48</v>
      </c>
    </row>
    <row r="8">
      <c r="B8" t="inlineStr">
        <is>
          <t>Debt</t>
        </is>
      </c>
      <c r="C8" s="21" t="n">
        <v>9.535</v>
      </c>
    </row>
    <row r="9">
      <c r="B9" t="inlineStr">
        <is>
          <t>Enterprise V.</t>
        </is>
      </c>
      <c r="C9" s="13">
        <f>C5-C7+C8</f>
        <v>27.31755474</v>
      </c>
    </row>
    <row r="10"/>
    <row r="11">
      <c r="B11" s="14" t="inlineStr">
        <is>
          <t>Net Cash / Share</t>
        </is>
      </c>
      <c r="C11" s="11">
        <f>(C7-C8)/C4</f>
        <v>0.5305936614432711</v>
      </c>
    </row>
    <row r="12">
      <c r="B12" s="14" t="inlineStr">
        <is>
          <t>Upside</t>
        </is>
      </c>
      <c r="C12" s="15">
        <f>IFERROR(C11/C3-1,"")</f>
        <v>-0.662042253857789</v>
      </c>
    </row>
    <row r="13">
      <c r="B13" s="14" t="inlineStr">
        <is>
          <t>Cash / Share</t>
        </is>
      </c>
      <c r="C13" s="11">
        <f>IFERROR((C7-C8)/C4,"")</f>
        <v>0.5305936614432711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-37.693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0.3699625925238108</v>
      </c>
    </row>
    <row r="19">
      <c r="B19" s="14" t="inlineStr">
        <is>
          <t>Implied Pipeline Value</t>
        </is>
      </c>
      <c r="C19" s="13">
        <f>C9</f>
        <v>27.31755474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2.88</v>
      </c>
      <c r="C2" s="23" t="n">
        <v>28.312</v>
      </c>
      <c r="D2" s="23" t="n">
        <v>2.301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1.19</v>
      </c>
      <c r="C3" s="23" t="n">
        <v>0.433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1.69</v>
      </c>
      <c r="C4" s="23">
        <f>C2-C3</f>
        <v>27.879</v>
      </c>
      <c r="D4" s="23">
        <f>D2-D3</f>
        <v>2.301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38.977</v>
      </c>
      <c r="C5" s="23" t="n">
        <v>48.698</v>
      </c>
      <c r="D5" s="23" t="n">
        <v>18.103</v>
      </c>
      <c r="E5" s="23" t="n">
        <v>23.849</v>
      </c>
      <c r="F5" s="23" t="n">
        <v>33.656</v>
      </c>
      <c r="G5" s="23" t="n">
        <v>24.903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17.986</v>
      </c>
      <c r="C6" s="23" t="n">
        <v>18.488</v>
      </c>
      <c r="D6" s="23" t="n">
        <v>7.931</v>
      </c>
      <c r="E6" s="23" t="n">
        <v>11.896</v>
      </c>
      <c r="F6" s="23" t="n">
        <v>11.33</v>
      </c>
      <c r="G6" s="23" t="n">
        <v>12.811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56.962999999999994</v>
      </c>
      <c r="C7" s="23">
        <f>SUM(C5:C6)</f>
        <v>67.186</v>
      </c>
      <c r="D7" s="23">
        <f>SUM(D5:D6)</f>
        <v>26.034000000000002</v>
      </c>
      <c r="E7" s="23">
        <f>SUM(E5:E6)</f>
        <v>35.745000000000005</v>
      </c>
      <c r="F7" s="23">
        <f>SUM(F5:F6)</f>
        <v>44.986</v>
      </c>
      <c r="G7" s="23">
        <f>SUM(G5:G6)</f>
        <v>37.714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-55.272999999999996</v>
      </c>
      <c r="C8" s="23">
        <f>C4-C7</f>
        <v>-39.307</v>
      </c>
      <c r="D8" s="23">
        <f>D4-D7</f>
        <v>-23.733000000000004</v>
      </c>
      <c r="E8" s="23">
        <f>E4-E7</f>
        <v>-35.745000000000005</v>
      </c>
      <c r="F8" s="23">
        <f>F4-F7</f>
        <v>-44.986</v>
      </c>
      <c r="G8" s="23">
        <f>G4-G7</f>
        <v>-37.714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-24.834</v>
      </c>
      <c r="C9" s="23" t="n">
        <v>-15.266</v>
      </c>
      <c r="D9" s="23" t="n">
        <v>-4.475</v>
      </c>
      <c r="E9" s="23" t="n">
        <v>0.55</v>
      </c>
      <c r="F9" s="23" t="n">
        <v>-6.912</v>
      </c>
      <c r="G9" s="23" t="n">
        <v>-1.857</v>
      </c>
    </row>
    <row r="10">
      <c r="A10" s="2" t="inlineStr">
        <is>
          <t>Pretax</t>
        </is>
      </c>
      <c r="B10" s="23">
        <f>B8+B9</f>
        <v>-80.107</v>
      </c>
      <c r="C10" s="23">
        <f>C8+C9</f>
        <v>-54.573</v>
      </c>
      <c r="D10" s="23">
        <f>D8+D9</f>
        <v>-28.208000000000006</v>
      </c>
      <c r="E10" s="23">
        <f>E8+E9</f>
        <v>-35.19500000000001</v>
      </c>
      <c r="F10" s="23">
        <f>F8+F9</f>
        <v>-51.897999999999996</v>
      </c>
      <c r="G10" s="23">
        <f>G8+G9</f>
        <v>-39.571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-80.107</v>
      </c>
      <c r="C12" s="23" t="n">
        <v>-54.573</v>
      </c>
      <c r="D12" s="23" t="n">
        <v>-28.208</v>
      </c>
      <c r="E12" s="23" t="n">
        <v>-35.195</v>
      </c>
      <c r="F12" s="23" t="n">
        <v>-51.898</v>
      </c>
      <c r="G12" s="23" t="n">
        <v>-39.571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-30.183496608892238</v>
      </c>
      <c r="C13" s="11">
        <f>IFERROR(C12/C14,0)</f>
        <v>-10.746947617172115</v>
      </c>
      <c r="D13" s="11">
        <f>IFERROR(D12/D14,0)</f>
        <v>-5.579113924050633</v>
      </c>
      <c r="E13" s="11">
        <f>IFERROR(E12/E14,0)</f>
        <v>-6.961036392405063</v>
      </c>
      <c r="F13" s="11">
        <f>IFERROR(F12/F14,0)</f>
        <v>-4.252888633942474</v>
      </c>
      <c r="G13" s="11">
        <f>IFERROR(G12/G14,0)</f>
        <v>-2.5841441912100827</v>
      </c>
    </row>
    <row r="14">
      <c r="A14" s="2" t="inlineStr">
        <is>
          <t>Shares</t>
        </is>
      </c>
      <c r="B14" s="23" t="n">
        <v>2.654</v>
      </c>
      <c r="C14" s="23" t="n">
        <v>5.078</v>
      </c>
      <c r="D14" s="23" t="n">
        <v>5.056</v>
      </c>
      <c r="E14" s="23" t="n">
        <v>5.056</v>
      </c>
      <c r="F14" s="23" t="n">
        <v>12.203</v>
      </c>
      <c r="G14" s="23" t="n">
        <v>15.313</v>
      </c>
    </row>
    <row r="15"/>
    <row r="16" customFormat="1" s="4">
      <c r="A16" s="3" t="inlineStr">
        <is>
          <t>Revenue Change</t>
        </is>
      </c>
      <c r="C16" s="15">
        <f>IFERROR(C2/B2-1,"")</f>
        <v>8.830555555555556</v>
      </c>
      <c r="D16" s="15">
        <f>IFERROR(D2/C2-1,"")</f>
        <v>-0.9187270415371573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0.5868055555555556</v>
      </c>
      <c r="C17" s="15">
        <f>IFERROR(C4/C2,"")</f>
        <v>0.9847061316756146</v>
      </c>
      <c r="D17" s="15">
        <f>IFERROR(D4/D2,"")</f>
        <v>1.0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-19.192013888888887</v>
      </c>
      <c r="C18" s="15">
        <f>IFERROR(C8/C2,"")</f>
        <v>-1.3883512291607798</v>
      </c>
      <c r="D18" s="15">
        <f>IFERROR(D8/D2,"")</f>
        <v>-10.314211212516298</v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2026-10-21T01:06:13Z</dcterms:modified>
  <cp:lastModifiedBy>Wang, Eric</cp:lastModifiedBy>
</cp:coreProperties>
</file>