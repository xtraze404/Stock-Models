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Korro Bio, Inc.</t>
        </is>
      </c>
      <c r="C2" s="10" t="n"/>
    </row>
    <row r="3">
      <c r="B3" t="inlineStr">
        <is>
          <t>Price</t>
        </is>
      </c>
      <c r="C3" s="11">
        <f>INDEX([1]Pharma!$F$1:$F$1000,MATCH("KRRO",[1]Pharma!$B$1:$B$1000,0))</f>
        <v>9.44</v>
      </c>
      <c r="F3" s="1" t="n"/>
    </row>
    <row r="4">
      <c r="B4" t="inlineStr">
        <is>
          <t>Shares</t>
        </is>
      </c>
      <c r="C4" s="21" t="n">
        <v>14.725646</v>
      </c>
      <c r="F4" s="1" t="n"/>
    </row>
    <row r="5">
      <c r="B5" t="inlineStr">
        <is>
          <t>Market Cap.</t>
        </is>
      </c>
      <c r="C5" s="13">
        <f>C3*C4</f>
        <v>139.01009824</v>
      </c>
      <c r="F5" s="1" t="n"/>
    </row>
    <row r="6"/>
    <row r="7">
      <c r="B7" t="inlineStr">
        <is>
          <t>Cash</t>
        </is>
      </c>
      <c r="C7" s="21">
        <f>24.905+90.131</f>
        <v>115.036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23.97409823999999</v>
      </c>
    </row>
    <row r="10"/>
    <row r="11">
      <c r="B11" s="14" t="inlineStr">
        <is>
          <t>Net Cash / Share</t>
        </is>
      </c>
      <c r="C11" s="11">
        <f>(C7-C8)/C4</f>
        <v>7.811949302597659</v>
      </c>
    </row>
    <row r="12">
      <c r="B12" s="14" t="inlineStr">
        <is>
          <t>Upside</t>
        </is>
      </c>
      <c r="C12" s="15">
        <f>IFERROR(C11/C3-1,"")</f>
        <v>-0.1724629976061801</v>
      </c>
    </row>
    <row r="13">
      <c r="B13" s="14" t="inlineStr">
        <is>
          <t>Cash / Share</t>
        </is>
      </c>
      <c r="C13" s="11">
        <f>IFERROR((C7-C8)/C4,"")</f>
        <v>7.811949302597659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-67.94799999999999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1.693000529816919</v>
      </c>
    </row>
    <row r="19">
      <c r="B19" s="14" t="inlineStr">
        <is>
          <t>Implied Pipeline Value</t>
        </is>
      </c>
      <c r="C19" s="13">
        <f>C9</f>
        <v>23.97409823999999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28.947</v>
      </c>
      <c r="E2" s="23" t="n">
        <v>36.984</v>
      </c>
      <c r="F2" s="23" t="n">
        <v>14.068</v>
      </c>
      <c r="G2" s="23" t="n">
        <v>0</v>
      </c>
      <c r="H2" s="23" t="n">
        <v>0</v>
      </c>
      <c r="I2" s="23" t="n">
        <v>2.271</v>
      </c>
      <c r="J2" s="23" t="n">
        <v>6.392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28.947</v>
      </c>
      <c r="E4" s="23">
        <f>E2-E3</f>
        <v>36.984</v>
      </c>
      <c r="F4" s="23">
        <f>F2-F3</f>
        <v>14.068</v>
      </c>
      <c r="G4" s="23">
        <f>G2-G3</f>
        <v>0.0</v>
      </c>
      <c r="H4" s="23">
        <f>H2-H3</f>
        <v>0.0</v>
      </c>
      <c r="I4" s="23">
        <f>I2-I3</f>
        <v>2.271</v>
      </c>
      <c r="J4" s="23">
        <f>J2-J3</f>
        <v>6.392</v>
      </c>
      <c r="K4" s="1" t="n"/>
    </row>
    <row r="5">
      <c r="A5" s="2" t="inlineStr">
        <is>
          <t>Research &amp; Dev.</t>
        </is>
      </c>
      <c r="B5" s="23" t="n">
        <v>11.966</v>
      </c>
      <c r="C5" s="23" t="n">
        <v>11.88</v>
      </c>
      <c r="D5" s="23" t="n">
        <v>18.784</v>
      </c>
      <c r="E5" s="23" t="n">
        <v>37.415</v>
      </c>
      <c r="F5" s="23" t="n">
        <v>60.923</v>
      </c>
      <c r="G5" s="23" t="n">
        <v>42.201</v>
      </c>
      <c r="H5" s="23" t="n">
        <v>57.25</v>
      </c>
      <c r="I5" s="23" t="n">
        <v>63.636</v>
      </c>
      <c r="J5" s="23" t="n">
        <v>65.575</v>
      </c>
      <c r="K5" s="1" t="n"/>
    </row>
    <row r="6">
      <c r="A6" s="19" t="inlineStr">
        <is>
          <t>SG&amp;A &amp; Other</t>
        </is>
      </c>
      <c r="B6" s="23" t="n">
        <v>4.34</v>
      </c>
      <c r="C6" s="23" t="n">
        <v>7.064</v>
      </c>
      <c r="D6" s="23" t="n">
        <v>30.838</v>
      </c>
      <c r="E6" s="23" t="n">
        <v>27.119</v>
      </c>
      <c r="F6" s="23" t="n">
        <v>37.176</v>
      </c>
      <c r="G6" s="23" t="n">
        <v>16.797</v>
      </c>
      <c r="H6" s="23" t="n">
        <v>27.284</v>
      </c>
      <c r="I6" s="23" t="n">
        <v>30.545</v>
      </c>
      <c r="J6" s="23" t="n">
        <v>62.672</v>
      </c>
      <c r="K6" s="1" t="n"/>
    </row>
    <row r="7">
      <c r="A7" s="2" t="inlineStr">
        <is>
          <t>Operating Expense</t>
        </is>
      </c>
      <c r="B7" s="23">
        <f>SUM(B5:B6)</f>
        <v>16.305999999999997</v>
      </c>
      <c r="C7" s="23">
        <f>SUM(C5:C6)</f>
        <v>18.944000000000003</v>
      </c>
      <c r="D7" s="23">
        <f>SUM(D5:D6)</f>
        <v>49.622</v>
      </c>
      <c r="E7" s="23">
        <f>SUM(E5:E6)</f>
        <v>64.53399999999999</v>
      </c>
      <c r="F7" s="23">
        <f>SUM(F5:F6)</f>
        <v>98.099</v>
      </c>
      <c r="G7" s="23">
        <f>SUM(G5:G6)</f>
        <v>58.998000000000005</v>
      </c>
      <c r="H7" s="23">
        <f>SUM(H5:H6)</f>
        <v>84.53399999999999</v>
      </c>
      <c r="I7" s="23">
        <f>SUM(I5:I6)</f>
        <v>94.18100000000001</v>
      </c>
      <c r="J7" s="23">
        <f>SUM(J5:J6)</f>
        <v>128.247</v>
      </c>
      <c r="K7" s="1" t="n"/>
    </row>
    <row r="8">
      <c r="A8" s="2" t="inlineStr">
        <is>
          <t>Operating Income</t>
        </is>
      </c>
      <c r="B8" s="23">
        <f>B4-B7</f>
        <v>-16.305999999999997</v>
      </c>
      <c r="C8" s="23">
        <f>C4-C7</f>
        <v>-18.944000000000003</v>
      </c>
      <c r="D8" s="23">
        <f>D4-D7</f>
        <v>-20.675</v>
      </c>
      <c r="E8" s="23">
        <f>E4-E7</f>
        <v>-27.54999999999999</v>
      </c>
      <c r="F8" s="23">
        <f>F4-F7</f>
        <v>-84.031</v>
      </c>
      <c r="G8" s="23">
        <f>G4-G7</f>
        <v>-58.998000000000005</v>
      </c>
      <c r="H8" s="23">
        <f>H4-H7</f>
        <v>-84.53399999999999</v>
      </c>
      <c r="I8" s="23">
        <f>I4-I7</f>
        <v>-91.91000000000001</v>
      </c>
      <c r="J8" s="23">
        <f>J4-J7</f>
        <v>-121.85500000000002</v>
      </c>
      <c r="K8" s="1" t="n"/>
    </row>
    <row r="9">
      <c r="A9" s="19" t="inlineStr">
        <is>
          <t>Interest &amp; Other</t>
        </is>
      </c>
      <c r="B9" s="23" t="n">
        <v>-3.931</v>
      </c>
      <c r="C9" s="23" t="n">
        <v>-0.224</v>
      </c>
      <c r="D9" s="23" t="n">
        <v>1.929</v>
      </c>
      <c r="E9" s="23" t="n">
        <v>1.074</v>
      </c>
      <c r="F9" s="23" t="n">
        <v>-0.64</v>
      </c>
      <c r="G9" s="23" t="n">
        <v>0.976</v>
      </c>
      <c r="H9" s="23" t="n">
        <v>3.389</v>
      </c>
      <c r="I9" s="23" t="n">
        <v>8.470000000000001</v>
      </c>
      <c r="J9" s="23" t="n">
        <v>5.232</v>
      </c>
    </row>
    <row r="10">
      <c r="A10" s="2" t="inlineStr">
        <is>
          <t>Pretax</t>
        </is>
      </c>
      <c r="B10" s="23">
        <f>B8+B9</f>
        <v>-20.237</v>
      </c>
      <c r="C10" s="23">
        <f>C8+C9</f>
        <v>-19.168000000000003</v>
      </c>
      <c r="D10" s="23">
        <f>D8+D9</f>
        <v>-18.746000000000002</v>
      </c>
      <c r="E10" s="23">
        <f>E8+E9</f>
        <v>-26.47599999999999</v>
      </c>
      <c r="F10" s="23">
        <f>F8+F9</f>
        <v>-84.671</v>
      </c>
      <c r="G10" s="23">
        <f>G8+G9</f>
        <v>-58.022000000000006</v>
      </c>
      <c r="H10" s="23">
        <f>H8+H9</f>
        <v>-81.145</v>
      </c>
      <c r="I10" s="23">
        <f>I8+I9</f>
        <v>-83.44000000000001</v>
      </c>
      <c r="J10" s="23">
        <f>J8+J9</f>
        <v>-116.62300000000002</v>
      </c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0.035</v>
      </c>
      <c r="F11" s="23" t="n">
        <v>0.015</v>
      </c>
      <c r="G11" s="23" t="n">
        <v>0.01</v>
      </c>
      <c r="H11" s="23" t="n">
        <v>0.027</v>
      </c>
      <c r="I11" s="23" t="n">
        <v>0.141</v>
      </c>
      <c r="J11" s="23" t="n">
        <v>0.637</v>
      </c>
    </row>
    <row r="12">
      <c r="A12" s="2" t="inlineStr">
        <is>
          <t>Net Income</t>
        </is>
      </c>
      <c r="B12" s="23" t="n">
        <v>-20.237</v>
      </c>
      <c r="C12" s="23" t="n">
        <v>-19.168</v>
      </c>
      <c r="D12" s="23" t="n">
        <v>-18.746</v>
      </c>
      <c r="E12" s="23" t="n">
        <v>-26.511</v>
      </c>
      <c r="F12" s="23" t="n">
        <v>-84.68600000000001</v>
      </c>
      <c r="G12" s="23" t="n">
        <v>-58.032</v>
      </c>
      <c r="H12" s="23" t="n">
        <v>-81.172</v>
      </c>
      <c r="I12" s="23" t="n">
        <v>-83.581</v>
      </c>
      <c r="J12" s="23" t="n">
        <v>-117.26</v>
      </c>
      <c r="K12" s="1" t="n"/>
    </row>
    <row r="13">
      <c r="A13" s="2" t="inlineStr">
        <is>
          <t>Earnings per Share</t>
        </is>
      </c>
      <c r="B13" s="11">
        <f>IFERROR(B12/B14,0)</f>
        <v>-652.8064516129032</v>
      </c>
      <c r="C13" s="11">
        <f>IFERROR(C12/C14,0)</f>
        <v>-281.88235294117646</v>
      </c>
      <c r="D13" s="11">
        <f>IFERROR(D12/D14,0)</f>
        <v>-48.81770833333333</v>
      </c>
      <c r="E13" s="11">
        <f>IFERROR(E12/E14,0)</f>
        <v>-18.500348918353104</v>
      </c>
      <c r="F13" s="11">
        <f>IFERROR(F12/F14,0)</f>
        <v>-55.45907007203668</v>
      </c>
      <c r="G13" s="11">
        <f>IFERROR(G12/G14,0)</f>
        <v>-37.9046374918354</v>
      </c>
      <c r="H13" s="11">
        <f>IFERROR(H12/H14,0)</f>
        <v>-53.088293001962064</v>
      </c>
      <c r="I13" s="11">
        <f>IFERROR(I12/I14,0)</f>
        <v>-9.369016926353549</v>
      </c>
      <c r="J13" s="11">
        <f>IFERROR(J12/J14,0)</f>
        <v>-12.481106971793508</v>
      </c>
    </row>
    <row r="14">
      <c r="A14" s="2" t="inlineStr">
        <is>
          <t>Shares</t>
        </is>
      </c>
      <c r="B14" s="23" t="n">
        <v>0.031</v>
      </c>
      <c r="C14" s="23" t="n">
        <v>0.068</v>
      </c>
      <c r="D14" s="23" t="n">
        <v>0.384</v>
      </c>
      <c r="E14" s="23" t="n">
        <v>1.433</v>
      </c>
      <c r="F14" s="23" t="n">
        <v>1.527</v>
      </c>
      <c r="G14" s="23" t="n">
        <v>1.531</v>
      </c>
      <c r="H14" s="23" t="n">
        <v>1.529</v>
      </c>
      <c r="I14" s="23" t="n">
        <v>8.920999999999999</v>
      </c>
      <c r="J14" s="23" t="n">
        <v>9.395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0.27764535184993266</v>
      </c>
      <c r="F16" s="15">
        <f>IFERROR(F2/E2-1,"")</f>
        <v>-0.6196192948301968</v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>1.8146191105239984</v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-0.7142363630082565</v>
      </c>
      <c r="E18" s="15">
        <f>IFERROR(E8/E2,"")</f>
        <v>-0.7449167207441053</v>
      </c>
      <c r="F18" s="15">
        <f>IFERROR(F8/F2,"")</f>
        <v>-5.973201592266136</v>
      </c>
      <c r="G18" s="15">
        <f>IFERROR(G8/G2,"")</f>
        <v/>
      </c>
      <c r="H18" s="15">
        <f>IFERROR(H8/H2,"")</f>
        <v/>
      </c>
      <c r="I18" s="15">
        <f>IFERROR(I8/I2,"")</f>
        <v>-40.47115808014092</v>
      </c>
      <c r="J18" s="15">
        <f>IFERROR(J8/J2,"")</f>
        <v>-19.0636733416771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2026-10-21T01:05:50Z</dcterms:modified>
  <cp:lastModifiedBy>Wang, Eric</cp:lastModifiedBy>
</cp:coreProperties>
</file>