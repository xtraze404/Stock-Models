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Korro Bio, Inc.</t>
        </is>
      </c>
      <c r="C2" s="10" t="n"/>
    </row>
    <row r="3">
      <c r="B3" t="inlineStr">
        <is>
          <t>Price</t>
        </is>
      </c>
      <c r="C3" s="11">
        <f>INDEX([1]Pharma!$F$1:$F$1000,MATCH("KRRO",[1]Pharma!$B$1:$B$1000,0))</f>
        <v>9.44</v>
      </c>
      <c r="F3" s="1" t="n"/>
    </row>
    <row r="4">
      <c r="B4" t="inlineStr">
        <is>
          <t>Shares</t>
        </is>
      </c>
      <c r="C4" s="21" t="n">
        <v>14.725646</v>
      </c>
      <c r="F4" s="1" t="n"/>
    </row>
    <row r="5">
      <c r="B5" t="inlineStr">
        <is>
          <t>Market Cap.</t>
        </is>
      </c>
      <c r="C5" s="13">
        <f>C3*C4</f>
        <v>139.01009824</v>
      </c>
      <c r="F5" s="1" t="n"/>
    </row>
    <row r="6"/>
    <row r="7">
      <c r="B7" t="inlineStr">
        <is>
          <t>Cash</t>
        </is>
      </c>
      <c r="C7" s="21">
        <f>24.905+90.131</f>
        <v>115.036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23.97409823999999</v>
      </c>
    </row>
    <row r="10"/>
    <row r="11">
      <c r="B11" s="14" t="inlineStr">
        <is>
          <t>rNPV / Share</t>
        </is>
      </c>
      <c r="C11" s="11">
        <f>NPV!B27</f>
        <v>-6.2424149362704835</v>
      </c>
    </row>
    <row r="12">
      <c r="B12" s="14" t="inlineStr">
        <is>
          <t>Upside</t>
        </is>
      </c>
      <c r="C12" s="15">
        <f>IFERROR(C11/C3-1,"")</f>
        <v>-1.661272768672721</v>
      </c>
    </row>
    <row r="13">
      <c r="B13" s="14" t="inlineStr">
        <is>
          <t>Cash / Share</t>
        </is>
      </c>
      <c r="C13" s="11">
        <f>IFERROR((C7-C8)/C4,"")</f>
        <v>7.811949302597659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-67.94799999999999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1.693000529816919</v>
      </c>
    </row>
    <row r="19">
      <c r="B19" s="14" t="inlineStr">
        <is>
          <t>Implied Pipeline Value</t>
        </is>
      </c>
      <c r="C19" s="13">
        <f>C9</f>
        <v>23.97409823999999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28.947</v>
      </c>
      <c r="E2" s="23" t="n">
        <v>36.984</v>
      </c>
      <c r="F2" s="23" t="n">
        <v>14.068</v>
      </c>
      <c r="G2" s="23" t="n">
        <v>0</v>
      </c>
      <c r="H2" s="23" t="n">
        <v>0</v>
      </c>
      <c r="I2" s="23" t="n">
        <v>2.271</v>
      </c>
      <c r="J2" s="23" t="n">
        <v>6.392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28.947</v>
      </c>
      <c r="E4" s="23">
        <f>E2-E3</f>
        <v>36.984</v>
      </c>
      <c r="F4" s="23">
        <f>F2-F3</f>
        <v>14.068</v>
      </c>
      <c r="G4" s="23">
        <f>G2-G3</f>
        <v>0.0</v>
      </c>
      <c r="H4" s="23">
        <f>H2-H3</f>
        <v>0.0</v>
      </c>
      <c r="I4" s="23">
        <f>I2-I3</f>
        <v>2.271</v>
      </c>
      <c r="J4" s="23">
        <f>J2-J3</f>
        <v>6.392</v>
      </c>
      <c r="K4" s="1" t="n"/>
    </row>
    <row r="5">
      <c r="A5" s="2" t="inlineStr">
        <is>
          <t>Research &amp; Dev.</t>
        </is>
      </c>
      <c r="B5" s="23" t="n">
        <v>11.966</v>
      </c>
      <c r="C5" s="23" t="n">
        <v>11.88</v>
      </c>
      <c r="D5" s="23" t="n">
        <v>18.784</v>
      </c>
      <c r="E5" s="23" t="n">
        <v>37.415</v>
      </c>
      <c r="F5" s="23" t="n">
        <v>60.923</v>
      </c>
      <c r="G5" s="23" t="n">
        <v>42.201</v>
      </c>
      <c r="H5" s="23" t="n">
        <v>57.25</v>
      </c>
      <c r="I5" s="23" t="n">
        <v>63.636</v>
      </c>
      <c r="J5" s="23" t="n">
        <v>65.575</v>
      </c>
      <c r="K5" s="1" t="n"/>
    </row>
    <row r="6">
      <c r="A6" s="19" t="inlineStr">
        <is>
          <t>SG&amp;A &amp; Other</t>
        </is>
      </c>
      <c r="B6" s="23" t="n">
        <v>4.34</v>
      </c>
      <c r="C6" s="23" t="n">
        <v>7.064</v>
      </c>
      <c r="D6" s="23" t="n">
        <v>30.838</v>
      </c>
      <c r="E6" s="23" t="n">
        <v>27.119</v>
      </c>
      <c r="F6" s="23" t="n">
        <v>37.176</v>
      </c>
      <c r="G6" s="23" t="n">
        <v>16.797</v>
      </c>
      <c r="H6" s="23" t="n">
        <v>27.284</v>
      </c>
      <c r="I6" s="23" t="n">
        <v>30.545</v>
      </c>
      <c r="J6" s="23" t="n">
        <v>62.672</v>
      </c>
      <c r="K6" s="1" t="n"/>
    </row>
    <row r="7">
      <c r="A7" s="2" t="inlineStr">
        <is>
          <t>Operating Expense</t>
        </is>
      </c>
      <c r="B7" s="23">
        <f>SUM(B5:B6)</f>
        <v>16.305999999999997</v>
      </c>
      <c r="C7" s="23">
        <f>SUM(C5:C6)</f>
        <v>18.944000000000003</v>
      </c>
      <c r="D7" s="23">
        <f>SUM(D5:D6)</f>
        <v>49.622</v>
      </c>
      <c r="E7" s="23">
        <f>SUM(E5:E6)</f>
        <v>64.53399999999999</v>
      </c>
      <c r="F7" s="23">
        <f>SUM(F5:F6)</f>
        <v>98.099</v>
      </c>
      <c r="G7" s="23">
        <f>SUM(G5:G6)</f>
        <v>58.998000000000005</v>
      </c>
      <c r="H7" s="23">
        <f>SUM(H5:H6)</f>
        <v>84.53399999999999</v>
      </c>
      <c r="I7" s="23">
        <f>SUM(I5:I6)</f>
        <v>94.18100000000001</v>
      </c>
      <c r="J7" s="23">
        <f>SUM(J5:J6)</f>
        <v>128.247</v>
      </c>
      <c r="K7" s="1" t="n"/>
    </row>
    <row r="8">
      <c r="A8" s="2" t="inlineStr">
        <is>
          <t>Operating Income</t>
        </is>
      </c>
      <c r="B8" s="23">
        <f>B4-B7</f>
        <v>-16.305999999999997</v>
      </c>
      <c r="C8" s="23">
        <f>C4-C7</f>
        <v>-18.944000000000003</v>
      </c>
      <c r="D8" s="23">
        <f>D4-D7</f>
        <v>-20.675</v>
      </c>
      <c r="E8" s="23">
        <f>E4-E7</f>
        <v>-27.54999999999999</v>
      </c>
      <c r="F8" s="23">
        <f>F4-F7</f>
        <v>-84.031</v>
      </c>
      <c r="G8" s="23">
        <f>G4-G7</f>
        <v>-58.998000000000005</v>
      </c>
      <c r="H8" s="23">
        <f>H4-H7</f>
        <v>-84.53399999999999</v>
      </c>
      <c r="I8" s="23">
        <f>I4-I7</f>
        <v>-91.91000000000001</v>
      </c>
      <c r="J8" s="23">
        <f>J4-J7</f>
        <v>-121.85500000000002</v>
      </c>
      <c r="K8" s="1" t="n"/>
    </row>
    <row r="9">
      <c r="A9" s="19" t="inlineStr">
        <is>
          <t>Interest &amp; Other</t>
        </is>
      </c>
      <c r="B9" s="23" t="n">
        <v>-3.931</v>
      </c>
      <c r="C9" s="23" t="n">
        <v>-0.224</v>
      </c>
      <c r="D9" s="23" t="n">
        <v>1.929</v>
      </c>
      <c r="E9" s="23" t="n">
        <v>1.074</v>
      </c>
      <c r="F9" s="23" t="n">
        <v>-0.64</v>
      </c>
      <c r="G9" s="23" t="n">
        <v>0.976</v>
      </c>
      <c r="H9" s="23" t="n">
        <v>3.389</v>
      </c>
      <c r="I9" s="23" t="n">
        <v>8.470000000000001</v>
      </c>
      <c r="J9" s="23" t="n">
        <v>5.232</v>
      </c>
    </row>
    <row r="10">
      <c r="A10" s="2" t="inlineStr">
        <is>
          <t>Pretax</t>
        </is>
      </c>
      <c r="B10" s="23">
        <f>B8+B9</f>
        <v>-20.237</v>
      </c>
      <c r="C10" s="23">
        <f>C8+C9</f>
        <v>-19.168000000000003</v>
      </c>
      <c r="D10" s="23">
        <f>D8+D9</f>
        <v>-18.746000000000002</v>
      </c>
      <c r="E10" s="23">
        <f>E8+E9</f>
        <v>-26.47599999999999</v>
      </c>
      <c r="F10" s="23">
        <f>F8+F9</f>
        <v>-84.671</v>
      </c>
      <c r="G10" s="23">
        <f>G8+G9</f>
        <v>-58.022000000000006</v>
      </c>
      <c r="H10" s="23">
        <f>H8+H9</f>
        <v>-81.145</v>
      </c>
      <c r="I10" s="23">
        <f>I8+I9</f>
        <v>-83.44000000000001</v>
      </c>
      <c r="J10" s="23">
        <f>J8+J9</f>
        <v>-116.62300000000002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0.035</v>
      </c>
      <c r="F11" s="23" t="n">
        <v>0.015</v>
      </c>
      <c r="G11" s="23" t="n">
        <v>0.01</v>
      </c>
      <c r="H11" s="23" t="n">
        <v>0.027</v>
      </c>
      <c r="I11" s="23" t="n">
        <v>0.141</v>
      </c>
      <c r="J11" s="23" t="n">
        <v>0.637</v>
      </c>
    </row>
    <row r="12">
      <c r="A12" s="2" t="inlineStr">
        <is>
          <t>Net Income</t>
        </is>
      </c>
      <c r="B12" s="23" t="n">
        <v>-20.237</v>
      </c>
      <c r="C12" s="23" t="n">
        <v>-19.168</v>
      </c>
      <c r="D12" s="23" t="n">
        <v>-18.746</v>
      </c>
      <c r="E12" s="23" t="n">
        <v>-26.511</v>
      </c>
      <c r="F12" s="23" t="n">
        <v>-84.68600000000001</v>
      </c>
      <c r="G12" s="23" t="n">
        <v>-58.032</v>
      </c>
      <c r="H12" s="23" t="n">
        <v>-81.172</v>
      </c>
      <c r="I12" s="23" t="n">
        <v>-83.581</v>
      </c>
      <c r="J12" s="23" t="n">
        <v>-117.26</v>
      </c>
      <c r="K12" s="1" t="n"/>
    </row>
    <row r="13">
      <c r="A13" s="2" t="inlineStr">
        <is>
          <t>Earnings per Share</t>
        </is>
      </c>
      <c r="B13" s="11">
        <f>IFERROR(B12/B14,0)</f>
        <v>-652.8064516129032</v>
      </c>
      <c r="C13" s="11">
        <f>IFERROR(C12/C14,0)</f>
        <v>-281.88235294117646</v>
      </c>
      <c r="D13" s="11">
        <f>IFERROR(D12/D14,0)</f>
        <v>-48.81770833333333</v>
      </c>
      <c r="E13" s="11">
        <f>IFERROR(E12/E14,0)</f>
        <v>-18.500348918353104</v>
      </c>
      <c r="F13" s="11">
        <f>IFERROR(F12/F14,0)</f>
        <v>-55.45907007203668</v>
      </c>
      <c r="G13" s="11">
        <f>IFERROR(G12/G14,0)</f>
        <v>-37.9046374918354</v>
      </c>
      <c r="H13" s="11">
        <f>IFERROR(H12/H14,0)</f>
        <v>-53.088293001962064</v>
      </c>
      <c r="I13" s="11">
        <f>IFERROR(I12/I14,0)</f>
        <v>-9.369016926353549</v>
      </c>
      <c r="J13" s="11">
        <f>IFERROR(J12/J14,0)</f>
        <v>-12.481106971793508</v>
      </c>
    </row>
    <row r="14">
      <c r="A14" s="2" t="inlineStr">
        <is>
          <t>Shares</t>
        </is>
      </c>
      <c r="B14" s="23" t="n">
        <v>0.031</v>
      </c>
      <c r="C14" s="23" t="n">
        <v>0.068</v>
      </c>
      <c r="D14" s="23" t="n">
        <v>0.384</v>
      </c>
      <c r="E14" s="23" t="n">
        <v>1.433</v>
      </c>
      <c r="F14" s="23" t="n">
        <v>1.527</v>
      </c>
      <c r="G14" s="23" t="n">
        <v>1.531</v>
      </c>
      <c r="H14" s="23" t="n">
        <v>1.529</v>
      </c>
      <c r="I14" s="23" t="n">
        <v>8.920999999999999</v>
      </c>
      <c r="J14" s="23" t="n">
        <v>9.395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0.27764535184993266</v>
      </c>
      <c r="F16" s="15">
        <f>IFERROR(F2/E2-1,"")</f>
        <v>-0.6196192948301968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>1.8146191105239984</v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-0.7142363630082565</v>
      </c>
      <c r="E18" s="15">
        <f>IFERROR(E8/E2,"")</f>
        <v>-0.7449167207441053</v>
      </c>
      <c r="F18" s="15">
        <f>IFERROR(F8/F2,"")</f>
        <v>-5.973201592266136</v>
      </c>
      <c r="G18" s="15">
        <f>IFERROR(G8/G2,"")</f>
        <v/>
      </c>
      <c r="H18" s="15">
        <f>IFERROR(H8/H2,"")</f>
        <v/>
      </c>
      <c r="I18" s="15">
        <f>IFERROR(I8/I2,"")</f>
        <v>-40.47115808014092</v>
      </c>
      <c r="J18" s="15">
        <f>IFERROR(J8/J2,"")</f>
        <v>-19.0636733416771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Korro Bio,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0.20699999999999996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110.179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509.4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-206.9595925366317</v>
      </c>
      <c r="C29" s="42">
        <f>NPV!B25</f>
        <v>-91.9235925366317</v>
      </c>
      <c r="D29" s="43">
        <f>NPV!B27</f>
        <v>-6.2424149362704835</v>
      </c>
      <c r="E29" s="44">
        <f>NPV!B29</f>
        <v>-1.661272768672721</v>
      </c>
    </row>
    <row r="30">
      <c r="A30" s="45" t="n">
        <v>1</v>
      </c>
      <c r="B30" s="46">
        <f t="dataTable" ref="B30:E32" r1="B4"/>
        <v>-276.21765639296603</v>
      </c>
      <c r="C30" s="46">
        <v>-161.18165639296603</v>
      </c>
      <c r="D30" s="47">
        <v>-10.94564247931575</v>
      </c>
      <c r="E30" s="48">
        <v>-2.1594960253512445</v>
      </c>
    </row>
    <row r="31">
      <c r="A31" s="45" t="n">
        <v>2</v>
      </c>
      <c r="B31" s="46">
        <v>-206.9595925366317</v>
      </c>
      <c r="C31" s="46">
        <v>-91.9235925366317</v>
      </c>
      <c r="D31" s="47">
        <v>-6.2424149362704835</v>
      </c>
      <c r="E31" s="48">
        <v>-1.661272768672721</v>
      </c>
    </row>
    <row r="32">
      <c r="A32" s="45" t="n">
        <v>3</v>
      </c>
      <c r="B32" s="46">
        <v>-81.76476181558505</v>
      </c>
      <c r="C32" s="46">
        <v>33.271238184414955</v>
      </c>
      <c r="D32" s="47">
        <v>2.2594077152482788</v>
      </c>
      <c r="E32" s="48">
        <v>-0.7606559623677671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-6.2424149362704835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-12.235540401146219</v>
      </c>
      <c r="C37" s="47">
        <v>-10.753695790612738</v>
      </c>
      <c r="D37" s="47">
        <v>-9.271851180079253</v>
      </c>
      <c r="E37" s="47">
        <v>-6.308161959012283</v>
      </c>
      <c r="F37" s="47">
        <v>-3.3444727379453068</v>
      </c>
    </row>
    <row r="38">
      <c r="A38" s="50" t="n">
        <v>0.8</v>
      </c>
      <c r="B38" s="47">
        <v>-11.708718686264167</v>
      </c>
      <c r="C38" s="47">
        <v>-9.732925872219518</v>
      </c>
      <c r="D38" s="47">
        <v>-7.75713305817487</v>
      </c>
      <c r="E38" s="47">
        <v>-3.8055474300855776</v>
      </c>
      <c r="F38" s="47">
        <v>0.14603819800371814</v>
      </c>
    </row>
    <row r="39">
      <c r="A39" s="50" t="n">
        <v>1</v>
      </c>
      <c r="B39" s="47">
        <v>-11.181896971382107</v>
      </c>
      <c r="C39" s="47">
        <v>-8.712155953826295</v>
      </c>
      <c r="D39" s="47">
        <v>-6.2424149362704835</v>
      </c>
      <c r="E39" s="47">
        <v>-1.3029329011588724</v>
      </c>
      <c r="F39" s="47">
        <v>3.283014846542951</v>
      </c>
    </row>
    <row r="40">
      <c r="A40" s="50" t="n">
        <v>1.2</v>
      </c>
      <c r="B40" s="47">
        <v>-10.655075256500048</v>
      </c>
      <c r="C40" s="47">
        <v>-7.691386035433076</v>
      </c>
      <c r="D40" s="47">
        <v>-4.727696814366103</v>
      </c>
      <c r="E40" s="47">
        <v>1.124520503836681</v>
      </c>
      <c r="F40" s="47">
        <v>6.283980123470555</v>
      </c>
    </row>
    <row r="41">
      <c r="A41" s="50" t="n">
        <v>1.4</v>
      </c>
      <c r="B41" s="47">
        <v>-10.128253541617987</v>
      </c>
      <c r="C41" s="47">
        <v>-6.670616117039855</v>
      </c>
      <c r="D41" s="47">
        <v>-3.212978692461721</v>
      </c>
      <c r="E41" s="47">
        <v>3.3104654643468137</v>
      </c>
      <c r="F41" s="47">
        <v>9.232399118613355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Korro Bio,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Rare metabolic / lysosomal</t>
        </is>
      </c>
      <c r="C4" s="14" t="inlineStr">
        <is>
          <t>KRRO-121</t>
        </is>
      </c>
      <c r="D4" s="14" t="inlineStr">
        <is>
          <t>Phase 1/2</t>
        </is>
      </c>
      <c r="E4" s="14" t="inlineStr">
        <is>
          <t>Metabolic / rare</t>
        </is>
      </c>
      <c r="F4" s="14" t="inlineStr">
        <is>
          <t>Owned</t>
        </is>
      </c>
      <c r="G4" s="40" t="n">
        <v>700</v>
      </c>
      <c r="H4" s="27" t="n">
        <v>0.207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145.47412774482652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14.489999999999998</v>
      </c>
      <c r="T4" s="23">
        <f>IF(T$3&lt;$I4,0,$G4*Assumptions!$E$11*INDEX(Assumptions!$B$24:$G$24,MIN(6,T$3-$I4+1))*IF(T$3&gt;$J4,(1-Assumptions!$B$26)^(T$3-$J4),1)*IF($H4&gt;=1,1,MIN(0.97,$H4*Assumptions!$E$12)))</f>
        <v>36.225</v>
      </c>
      <c r="U4" s="23">
        <f>IF(U$3&lt;$I4,0,$G4*Assumptions!$E$11*INDEX(Assumptions!$B$24:$G$24,MIN(6,U$3-$I4+1))*IF(U$3&gt;$J4,(1-Assumptions!$B$26)^(U$3-$J4),1)*IF($H4&gt;=1,1,MIN(0.97,$H4*Assumptions!$E$12)))</f>
        <v>65.205</v>
      </c>
      <c r="V4" s="23">
        <f>IF(V$3&lt;$I4,0,$G4*Assumptions!$E$11*INDEX(Assumptions!$B$24:$G$24,MIN(6,V$3-$I4+1))*IF(V$3&gt;$J4,(1-Assumptions!$B$26)^(V$3-$J4),1)*IF($H4&gt;=1,1,MIN(0.97,$H4*Assumptions!$E$12)))</f>
        <v>94.185</v>
      </c>
      <c r="W4" s="23">
        <f>IF(W$3&lt;$I4,0,$G4*Assumptions!$E$11*INDEX(Assumptions!$B$24:$G$24,MIN(6,W$3-$I4+1))*IF(W$3&gt;$J4,(1-Assumptions!$B$26)^(W$3-$J4),1)*IF($H4&gt;=1,1,MIN(0.97,$H4*Assumptions!$E$12)))</f>
        <v>123.16499999999999</v>
      </c>
      <c r="X4" s="23">
        <f>IF(X$3&lt;$I4,0,$G4*Assumptions!$E$11*INDEX(Assumptions!$B$24:$G$24,MIN(6,X$3-$I4+1))*IF(X$3&gt;$J4,(1-Assumptions!$B$26)^(X$3-$J4),1)*IF($H4&gt;=1,1,MIN(0.97,$H4*Assumptions!$E$12)))</f>
        <v>144.9</v>
      </c>
      <c r="Y4" s="23">
        <f>IF(Y$3&lt;$I4,0,$G4*Assumptions!$E$11*INDEX(Assumptions!$B$24:$G$24,MIN(6,Y$3-$I4+1))*IF(Y$3&gt;$J4,(1-Assumptions!$B$26)^(Y$3-$J4),1)*IF($H4&gt;=1,1,MIN(0.97,$H4*Assumptions!$E$12)))</f>
        <v>144.9</v>
      </c>
      <c r="Z4" s="23">
        <f>IF(Z$3&lt;$I4,0,$G4*Assumptions!$E$11*INDEX(Assumptions!$B$24:$G$24,MIN(6,Z$3-$I4+1))*IF(Z$3&gt;$J4,(1-Assumptions!$B$26)^(Z$3-$J4),1)*IF($H4&gt;=1,1,MIN(0.97,$H4*Assumptions!$E$12)))</f>
        <v>144.9</v>
      </c>
      <c r="AA4" s="23">
        <f>IF(AA$3&lt;$I4,0,$G4*Assumptions!$E$11*INDEX(Assumptions!$B$24:$G$24,MIN(6,AA$3-$I4+1))*IF(AA$3&gt;$J4,(1-Assumptions!$B$26)^(AA$3-$J4),1)*IF($H4&gt;=1,1,MIN(0.97,$H4*Assumptions!$E$12)))</f>
        <v>144.9</v>
      </c>
      <c r="AB4" s="23">
        <f>IF(AB$3&lt;$I4,0,$G4*Assumptions!$E$11*INDEX(Assumptions!$B$24:$G$24,MIN(6,AB$3-$I4+1))*IF(AB$3&gt;$J4,(1-Assumptions!$B$26)^(AB$3-$J4),1)*IF($H4&gt;=1,1,MIN(0.97,$H4*Assumptions!$E$12)))</f>
        <v>144.9</v>
      </c>
      <c r="AC4" s="23">
        <f>IF(AC$3&lt;$I4,0,$G4*Assumptions!$E$11*INDEX(Assumptions!$B$24:$G$24,MIN(6,AC$3-$I4+1))*IF(AC$3&gt;$J4,(1-Assumptions!$B$26)^(AC$3-$J4),1)*IF($H4&gt;=1,1,MIN(0.97,$H4*Assumptions!$E$12)))</f>
        <v>144.9</v>
      </c>
      <c r="AD4" s="23">
        <f>IF(AD$3&lt;$I4,0,$G4*Assumptions!$E$11*INDEX(Assumptions!$B$24:$G$24,MIN(6,AD$3-$I4+1))*IF(AD$3&gt;$J4,(1-Assumptions!$B$26)^(AD$3-$J4),1)*IF($H4&gt;=1,1,MIN(0.97,$H4*Assumptions!$E$12)))</f>
        <v>144.9</v>
      </c>
      <c r="AE4" s="23">
        <f>IF(AE$3&lt;$I4,0,$G4*Assumptions!$E$11*INDEX(Assumptions!$B$24:$G$24,MIN(6,AE$3-$I4+1))*IF(AE$3&gt;$J4,(1-Assumptions!$B$26)^(AE$3-$J4),1)*IF($H4&gt;=1,1,MIN(0.97,$H4*Assumptions!$E$12)))</f>
        <v>144.9</v>
      </c>
      <c r="AF4" s="23">
        <f>IF(AF$3&lt;$I4,0,$G4*Assumptions!$E$11*INDEX(Assumptions!$B$24:$G$24,MIN(6,AF$3-$I4+1))*IF(AF$3&gt;$J4,(1-Assumptions!$B$26)^(AF$3-$J4),1)*IF($H4&gt;=1,1,MIN(0.97,$H4*Assumptions!$E$12)))</f>
        <v>72.45</v>
      </c>
      <c r="AG4" s="35">
        <f>IF(F4="Owned",1-IF(H4&gt;=1,1,MIN(0.97,H4*Assumptions!$E$12)),1)</f>
        <v>0.793</v>
      </c>
    </row>
    <row r="5">
      <c r="B5" s="24" t="inlineStr">
        <is>
          <t>Risked revenue</t>
        </is>
      </c>
      <c r="L5" s="54">
        <f>SUM(L4:L4)</f>
        <v>145.47412774482652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14.489999999999998</v>
      </c>
      <c r="T5" s="54">
        <f>SUM(T4:T4)</f>
        <v>36.225</v>
      </c>
      <c r="U5" s="54">
        <f>SUM(U4:U4)</f>
        <v>65.205</v>
      </c>
      <c r="V5" s="54">
        <f>SUM(V4:V4)</f>
        <v>94.185</v>
      </c>
      <c r="W5" s="54">
        <f>SUM(W4:W4)</f>
        <v>123.16499999999999</v>
      </c>
      <c r="X5" s="54">
        <f>SUM(X4:X4)</f>
        <v>144.9</v>
      </c>
      <c r="Y5" s="54">
        <f>SUM(Y4:Y4)</f>
        <v>144.9</v>
      </c>
      <c r="Z5" s="54">
        <f>SUM(Z4:Z4)</f>
        <v>144.9</v>
      </c>
      <c r="AA5" s="54">
        <f>SUM(AA4:AA4)</f>
        <v>144.9</v>
      </c>
      <c r="AB5" s="54">
        <f>SUM(AB4:AB4)</f>
        <v>144.9</v>
      </c>
      <c r="AC5" s="54">
        <f>SUM(AC4:AC4)</f>
        <v>144.9</v>
      </c>
      <c r="AD5" s="54">
        <f>SUM(AD4:AD4)</f>
        <v>144.9</v>
      </c>
      <c r="AE5" s="54">
        <f>SUM(AE4:AE4)</f>
        <v>144.9</v>
      </c>
      <c r="AF5" s="54">
        <f>SUM(AF4:AF4)</f>
        <v>72.45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5.795999999999999</v>
      </c>
      <c r="T6" s="55">
        <f>SUMPRODUCT(T4:T4,$K$4:$K$4)</f>
        <v>14.490000000000002</v>
      </c>
      <c r="U6" s="55">
        <f>SUMPRODUCT(U4:U4,$K$4:$K$4)</f>
        <v>26.082</v>
      </c>
      <c r="V6" s="55">
        <f>SUMPRODUCT(V4:V4,$K$4:$K$4)</f>
        <v>37.674</v>
      </c>
      <c r="W6" s="55">
        <f>SUMPRODUCT(W4:W4,$K$4:$K$4)</f>
        <v>49.266</v>
      </c>
      <c r="X6" s="55">
        <f>SUMPRODUCT(X4:X4,$K$4:$K$4)</f>
        <v>57.96000000000001</v>
      </c>
      <c r="Y6" s="55">
        <f>SUMPRODUCT(Y4:Y4,$K$4:$K$4)</f>
        <v>57.96000000000001</v>
      </c>
      <c r="Z6" s="55">
        <f>SUMPRODUCT(Z4:Z4,$K$4:$K$4)</f>
        <v>57.96000000000001</v>
      </c>
      <c r="AA6" s="55">
        <f>SUMPRODUCT(AA4:AA4,$K$4:$K$4)</f>
        <v>57.96000000000001</v>
      </c>
      <c r="AB6" s="55">
        <f>SUMPRODUCT(AB4:AB4,$K$4:$K$4)</f>
        <v>57.96000000000001</v>
      </c>
      <c r="AC6" s="55">
        <f>SUMPRODUCT(AC4:AC4,$K$4:$K$4)</f>
        <v>57.96000000000001</v>
      </c>
      <c r="AD6" s="55">
        <f>SUMPRODUCT(AD4:AD4,$K$4:$K$4)</f>
        <v>57.96000000000001</v>
      </c>
      <c r="AE6" s="55">
        <f>SUMPRODUCT(AE4:AE4,$K$4:$K$4)</f>
        <v>57.96000000000001</v>
      </c>
      <c r="AF6" s="55">
        <f>SUMPRODUCT(AF4:AF4,$K$4:$K$4)</f>
        <v>28.980000000000004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Korro Bio,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14.489999999999998</v>
      </c>
      <c r="J4" s="57">
        <f>Pipeline!T5</f>
        <v>36.225</v>
      </c>
      <c r="K4" s="57">
        <f>Pipeline!U5</f>
        <v>65.205</v>
      </c>
      <c r="L4" s="57">
        <f>Pipeline!V5</f>
        <v>94.185</v>
      </c>
      <c r="M4" s="57">
        <f>Pipeline!W5</f>
        <v>123.16499999999999</v>
      </c>
      <c r="N4" s="57">
        <f>Pipeline!X5</f>
        <v>144.9</v>
      </c>
      <c r="O4" s="57">
        <f>Pipeline!Y5</f>
        <v>144.9</v>
      </c>
      <c r="P4" s="57">
        <f>Pipeline!Z5</f>
        <v>144.9</v>
      </c>
      <c r="Q4" s="57">
        <f>Pipeline!AA5</f>
        <v>144.9</v>
      </c>
      <c r="R4" s="57">
        <f>Pipeline!AB5</f>
        <v>144.9</v>
      </c>
      <c r="S4" s="57">
        <f>Pipeline!AC5</f>
        <v>144.9</v>
      </c>
      <c r="T4" s="57">
        <f>Pipeline!AD5</f>
        <v>144.9</v>
      </c>
      <c r="U4" s="57">
        <f>Pipeline!AE5</f>
        <v>144.9</v>
      </c>
      <c r="V4" s="57">
        <f>Pipeline!AF5</f>
        <v>72.45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5.795999999999999</v>
      </c>
      <c r="J5" s="57">
        <f>Pipeline!T6</f>
        <v>14.490000000000002</v>
      </c>
      <c r="K5" s="57">
        <f>Pipeline!U6</f>
        <v>26.082</v>
      </c>
      <c r="L5" s="57">
        <f>Pipeline!V6</f>
        <v>37.674</v>
      </c>
      <c r="M5" s="57">
        <f>Pipeline!W6</f>
        <v>49.266</v>
      </c>
      <c r="N5" s="57">
        <f>Pipeline!X6</f>
        <v>57.96000000000001</v>
      </c>
      <c r="O5" s="57">
        <f>Pipeline!Y6</f>
        <v>57.96000000000001</v>
      </c>
      <c r="P5" s="57">
        <f>Pipeline!Z6</f>
        <v>57.96000000000001</v>
      </c>
      <c r="Q5" s="57">
        <f>Pipeline!AA6</f>
        <v>57.96000000000001</v>
      </c>
      <c r="R5" s="57">
        <f>Pipeline!AB6</f>
        <v>57.96000000000001</v>
      </c>
      <c r="S5" s="57">
        <f>Pipeline!AC6</f>
        <v>57.96000000000001</v>
      </c>
      <c r="T5" s="57">
        <f>Pipeline!AD6</f>
        <v>57.96000000000001</v>
      </c>
      <c r="U5" s="57">
        <f>Pipeline!AE6</f>
        <v>57.96000000000001</v>
      </c>
      <c r="V5" s="57">
        <f>Pipeline!AF6</f>
        <v>28.980000000000004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-110.179</v>
      </c>
      <c r="D6" s="23">
        <f>-IF(D3-2026&lt;Assumptions!$B$19,Assumptions!$B$18,Assumptions!$B$18*Assumptions!$B$20*Assumptions!$B$16)</f>
        <v>-110.179</v>
      </c>
      <c r="E6" s="23">
        <f>-IF(E3-2026&lt;Assumptions!$B$19,Assumptions!$B$18,Assumptions!$B$18*Assumptions!$B$20*Assumptions!$B$16)</f>
        <v>-110.179</v>
      </c>
      <c r="F6" s="23">
        <f>-IF(F3-2026&lt;Assumptions!$B$19,Assumptions!$B$18,Assumptions!$B$18*Assumptions!$B$20*Assumptions!$B$16)</f>
        <v>-110.179</v>
      </c>
      <c r="G6" s="23">
        <f>-IF(G3-2026&lt;Assumptions!$B$19,Assumptions!$B$18,Assumptions!$B$18*Assumptions!$B$20*Assumptions!$B$16)</f>
        <v>-6.842115899999999</v>
      </c>
      <c r="H6" s="23">
        <f>-IF(H3-2026&lt;Assumptions!$B$19,Assumptions!$B$18,Assumptions!$B$18*Assumptions!$B$20*Assumptions!$B$16)</f>
        <v>-6.842115899999999</v>
      </c>
      <c r="I6" s="23">
        <f>-IF(I3-2026&lt;Assumptions!$B$19,Assumptions!$B$18,Assumptions!$B$18*Assumptions!$B$20*Assumptions!$B$16)</f>
        <v>-6.842115899999999</v>
      </c>
      <c r="J6" s="23">
        <f>-IF(J3-2026&lt;Assumptions!$B$19,Assumptions!$B$18,Assumptions!$B$18*Assumptions!$B$20*Assumptions!$B$16)</f>
        <v>-6.842115899999999</v>
      </c>
      <c r="K6" s="23">
        <f>-IF(K3-2026&lt;Assumptions!$B$19,Assumptions!$B$18,Assumptions!$B$18*Assumptions!$B$20*Assumptions!$B$16)</f>
        <v>-6.842115899999999</v>
      </c>
      <c r="L6" s="23">
        <f>-IF(L3-2026&lt;Assumptions!$B$19,Assumptions!$B$18,Assumptions!$B$18*Assumptions!$B$20*Assumptions!$B$16)</f>
        <v>-6.842115899999999</v>
      </c>
      <c r="M6" s="23">
        <f>-IF(M3-2026&lt;Assumptions!$B$19,Assumptions!$B$18,Assumptions!$B$18*Assumptions!$B$20*Assumptions!$B$16)</f>
        <v>-6.842115899999999</v>
      </c>
      <c r="N6" s="23">
        <f>-IF(N3-2026&lt;Assumptions!$B$19,Assumptions!$B$18,Assumptions!$B$18*Assumptions!$B$20*Assumptions!$B$16)</f>
        <v>-6.842115899999999</v>
      </c>
      <c r="O6" s="23">
        <f>-IF(O3-2026&lt;Assumptions!$B$19,Assumptions!$B$18,Assumptions!$B$18*Assumptions!$B$20*Assumptions!$B$16)</f>
        <v>-6.842115899999999</v>
      </c>
      <c r="P6" s="23">
        <f>-IF(P3-2026&lt;Assumptions!$B$19,Assumptions!$B$18,Assumptions!$B$18*Assumptions!$B$20*Assumptions!$B$16)</f>
        <v>-6.842115899999999</v>
      </c>
      <c r="Q6" s="23">
        <f>-IF(Q3-2026&lt;Assumptions!$B$19,Assumptions!$B$18,Assumptions!$B$18*Assumptions!$B$20*Assumptions!$B$16)</f>
        <v>-6.842115899999999</v>
      </c>
      <c r="R6" s="23">
        <f>-IF(R3-2026&lt;Assumptions!$B$19,Assumptions!$B$18,Assumptions!$B$18*Assumptions!$B$20*Assumptions!$B$16)</f>
        <v>-6.842115899999999</v>
      </c>
      <c r="S6" s="23">
        <f>-IF(S3-2026&lt;Assumptions!$B$19,Assumptions!$B$18,Assumptions!$B$18*Assumptions!$B$20*Assumptions!$B$16)</f>
        <v>-6.842115899999999</v>
      </c>
      <c r="T6" s="23">
        <f>-IF(T3-2026&lt;Assumptions!$B$19,Assumptions!$B$18,Assumptions!$B$18*Assumptions!$B$20*Assumptions!$B$16)</f>
        <v>-6.842115899999999</v>
      </c>
      <c r="U6" s="23">
        <f>-IF(U3-2026&lt;Assumptions!$B$19,Assumptions!$B$18,Assumptions!$B$18*Assumptions!$B$20*Assumptions!$B$16)</f>
        <v>-6.842115899999999</v>
      </c>
      <c r="V6" s="23">
        <f>-IF(V3-2026&lt;Assumptions!$B$19,Assumptions!$B$18,Assumptions!$B$18*Assumptions!$B$20*Assumptions!$B$16)</f>
        <v>-6.842115899999999</v>
      </c>
    </row>
    <row r="7">
      <c r="A7" s="14" t="inlineStr">
        <is>
          <t>Pre-tax cash flow</t>
        </is>
      </c>
      <c r="C7" s="23">
        <f>C5+C6</f>
        <v>-110.179</v>
      </c>
      <c r="D7" s="23">
        <f>D5+D6</f>
        <v>-110.179</v>
      </c>
      <c r="E7" s="23">
        <f>E5+E6</f>
        <v>-110.179</v>
      </c>
      <c r="F7" s="23">
        <f>F5+F6</f>
        <v>-110.179</v>
      </c>
      <c r="G7" s="23">
        <f>G5+G6</f>
        <v>-6.842115899999999</v>
      </c>
      <c r="H7" s="23">
        <f>H5+H6</f>
        <v>-6.842115899999999</v>
      </c>
      <c r="I7" s="23">
        <f>I5+I6</f>
        <v>-1.0461158999999993</v>
      </c>
      <c r="J7" s="23">
        <f>J5+J6</f>
        <v>7.647884100000003</v>
      </c>
      <c r="K7" s="23">
        <f>K5+K6</f>
        <v>19.2398841</v>
      </c>
      <c r="L7" s="23">
        <f>L5+L6</f>
        <v>30.8318841</v>
      </c>
      <c r="M7" s="23">
        <f>M5+M6</f>
        <v>42.4238841</v>
      </c>
      <c r="N7" s="23">
        <f>N5+N6</f>
        <v>51.11788410000001</v>
      </c>
      <c r="O7" s="23">
        <f>O5+O6</f>
        <v>51.11788410000001</v>
      </c>
      <c r="P7" s="23">
        <f>P5+P6</f>
        <v>51.11788410000001</v>
      </c>
      <c r="Q7" s="23">
        <f>Q5+Q6</f>
        <v>51.11788410000001</v>
      </c>
      <c r="R7" s="23">
        <f>R5+R6</f>
        <v>51.11788410000001</v>
      </c>
      <c r="S7" s="23">
        <f>S5+S6</f>
        <v>51.11788410000001</v>
      </c>
      <c r="T7" s="23">
        <f>T5+T6</f>
        <v>51.11788410000001</v>
      </c>
      <c r="U7" s="23">
        <f>U5+U6</f>
        <v>51.11788410000001</v>
      </c>
      <c r="V7" s="23">
        <f>V5+V6</f>
        <v>22.137884100000004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7.647884100000003</v>
      </c>
      <c r="K8" s="23">
        <f>MIN(J17,MAX(0,K7))</f>
        <v>19.2398841</v>
      </c>
      <c r="L8" s="23">
        <f>MIN(K17,MAX(0,L7))</f>
        <v>30.8318841</v>
      </c>
      <c r="M8" s="23">
        <f>MIN(L17,MAX(0,M7))</f>
        <v>42.4238841</v>
      </c>
      <c r="N8" s="23">
        <f>MIN(M17,MAX(0,N7))</f>
        <v>51.11788410000001</v>
      </c>
      <c r="O8" s="23">
        <f>MIN(N17,MAX(0,O7))</f>
        <v>51.11788410000001</v>
      </c>
      <c r="P8" s="23">
        <f>MIN(O17,MAX(0,P7))</f>
        <v>51.11788410000001</v>
      </c>
      <c r="Q8" s="23">
        <f>MIN(P17,MAX(0,Q7))</f>
        <v>51.11788410000001</v>
      </c>
      <c r="R8" s="23">
        <f>MIN(Q17,MAX(0,R7))</f>
        <v>51.11788410000001</v>
      </c>
      <c r="S8" s="23">
        <f>MIN(R17,MAX(0,S7))</f>
        <v>51.11788410000001</v>
      </c>
      <c r="T8" s="23">
        <f>MIN(S17,MAX(0,T7))</f>
        <v>51.11788410000001</v>
      </c>
      <c r="U8" s="23">
        <f>MIN(T17,MAX(0,U7))</f>
        <v>51.11788410000001</v>
      </c>
      <c r="V8" s="23">
        <f>MIN(U17,MAX(0,V7))</f>
        <v>22.137884100000004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-110.179</v>
      </c>
      <c r="D11" s="55">
        <f>D7-D10</f>
        <v>-110.179</v>
      </c>
      <c r="E11" s="55">
        <f>E7-E10</f>
        <v>-110.179</v>
      </c>
      <c r="F11" s="55">
        <f>F7-F10</f>
        <v>-110.179</v>
      </c>
      <c r="G11" s="55">
        <f>G7-G10</f>
        <v>-6.842115899999999</v>
      </c>
      <c r="H11" s="55">
        <f>H7-H10</f>
        <v>-6.842115899999999</v>
      </c>
      <c r="I11" s="55">
        <f>I7-I10</f>
        <v>-1.0461158999999993</v>
      </c>
      <c r="J11" s="55">
        <f>J7-J10</f>
        <v>7.647884100000003</v>
      </c>
      <c r="K11" s="55">
        <f>K7-K10</f>
        <v>19.2398841</v>
      </c>
      <c r="L11" s="55">
        <f>L7-L10</f>
        <v>30.8318841</v>
      </c>
      <c r="M11" s="55">
        <f>M7-M10</f>
        <v>42.4238841</v>
      </c>
      <c r="N11" s="55">
        <f>N7-N10</f>
        <v>51.11788410000001</v>
      </c>
      <c r="O11" s="55">
        <f>O7-O10</f>
        <v>51.11788410000001</v>
      </c>
      <c r="P11" s="55">
        <f>P7-P10</f>
        <v>51.11788410000001</v>
      </c>
      <c r="Q11" s="55">
        <f>Q7-Q10</f>
        <v>51.11788410000001</v>
      </c>
      <c r="R11" s="55">
        <f>R7-R10</f>
        <v>51.11788410000001</v>
      </c>
      <c r="S11" s="55">
        <f>S7-S10</f>
        <v>51.11788410000001</v>
      </c>
      <c r="T11" s="55">
        <f>T7-T10</f>
        <v>51.11788410000001</v>
      </c>
      <c r="U11" s="55">
        <f>U7-U10</f>
        <v>51.11788410000001</v>
      </c>
      <c r="V11" s="55">
        <f>V7-V10</f>
        <v>22.137884100000004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-53.97717127008636</v>
      </c>
      <c r="D16" s="55">
        <f>D11*D15</f>
        <v>-98.32840846682355</v>
      </c>
      <c r="E16" s="55">
        <f>E11*E15</f>
        <v>-87.79322184537814</v>
      </c>
      <c r="F16" s="55">
        <f>F11*F15</f>
        <v>-78.38680521908763</v>
      </c>
      <c r="G16" s="55">
        <f>G11*G15</f>
        <v>-4.346268396522625</v>
      </c>
      <c r="H16" s="55">
        <f>H11*H15</f>
        <v>-3.8805967826094863</v>
      </c>
      <c r="I16" s="55">
        <f>I11*I15</f>
        <v>-0.5297486676516858</v>
      </c>
      <c r="J16" s="55">
        <f>J11*J15</f>
        <v>3.4579072899310512</v>
      </c>
      <c r="K16" s="55">
        <f>K11*K15</f>
        <v>7.767056713346665</v>
      </c>
      <c r="L16" s="55">
        <f>L11*L15</f>
        <v>11.113121610304113</v>
      </c>
      <c r="M16" s="55">
        <f>M11*M15</f>
        <v>13.653009959928688</v>
      </c>
      <c r="N16" s="55">
        <f>N11*N15</f>
        <v>14.688343681227794</v>
      </c>
      <c r="O16" s="55">
        <f>O11*O15</f>
        <v>13.114592572524815</v>
      </c>
      <c r="P16" s="55">
        <f>P11*P15</f>
        <v>11.709457654040012</v>
      </c>
      <c r="Q16" s="55">
        <f>Q11*Q15</f>
        <v>10.454872905392868</v>
      </c>
      <c r="R16" s="55">
        <f>R11*R15</f>
        <v>9.334707951243631</v>
      </c>
      <c r="S16" s="55">
        <f>S11*S15</f>
        <v>8.334560670753241</v>
      </c>
      <c r="T16" s="55">
        <f>T11*T15</f>
        <v>7.441572027458251</v>
      </c>
      <c r="U16" s="55">
        <f>U11*U15</f>
        <v>6.644260738802009</v>
      </c>
      <c r="V16" s="55">
        <f>V11*V15</f>
        <v>2.5691643365746097</v>
      </c>
    </row>
    <row r="17">
      <c r="A17" s="14" t="inlineStr">
        <is>
          <t>Tax-loss carryforward, end of year</t>
        </is>
      </c>
      <c r="C17" s="23">
        <f>Assumptions!$B$21-C8+MAX(0,-C7)</f>
        <v>619.579</v>
      </c>
      <c r="D17" s="23">
        <f>C17-D8+MAX(0,-D7)</f>
        <v>729.7579999999999</v>
      </c>
      <c r="E17" s="23">
        <f>D17-E8+MAX(0,-E7)</f>
        <v>839.9369999999999</v>
      </c>
      <c r="F17" s="23">
        <f>E17-F8+MAX(0,-F7)</f>
        <v>950.1159999999999</v>
      </c>
      <c r="G17" s="23">
        <f>F17-G8+MAX(0,-G7)</f>
        <v>956.9581158999998</v>
      </c>
      <c r="H17" s="23">
        <f>G17-H8+MAX(0,-H7)</f>
        <v>963.8002317999998</v>
      </c>
      <c r="I17" s="23">
        <f>H17-I8+MAX(0,-I7)</f>
        <v>964.8463476999998</v>
      </c>
      <c r="J17" s="23">
        <f>I17-J8+MAX(0,-J7)</f>
        <v>957.1984635999997</v>
      </c>
      <c r="K17" s="23">
        <f>J17-K8+MAX(0,-K7)</f>
        <v>937.9585794999997</v>
      </c>
      <c r="L17" s="23">
        <f>K17-L8+MAX(0,-L7)</f>
        <v>907.1266953999997</v>
      </c>
      <c r="M17" s="23">
        <f>L17-M8+MAX(0,-M7)</f>
        <v>864.7028112999997</v>
      </c>
      <c r="N17" s="23">
        <f>M17-N8+MAX(0,-N7)</f>
        <v>813.5849271999997</v>
      </c>
      <c r="O17" s="23">
        <f>N17-O8+MAX(0,-O7)</f>
        <v>762.4670430999997</v>
      </c>
      <c r="P17" s="23">
        <f>O17-P8+MAX(0,-P7)</f>
        <v>711.3491589999998</v>
      </c>
      <c r="Q17" s="23">
        <f>P17-Q8+MAX(0,-Q7)</f>
        <v>660.2312748999998</v>
      </c>
      <c r="R17" s="23">
        <f>Q17-R8+MAX(0,-R7)</f>
        <v>609.1133907999998</v>
      </c>
      <c r="S17" s="23">
        <f>R17-S8+MAX(0,-S7)</f>
        <v>557.9955066999999</v>
      </c>
      <c r="T17" s="23">
        <f>S17-T8+MAX(0,-T7)</f>
        <v>506.8776225999998</v>
      </c>
      <c r="U17" s="23">
        <f>T17-U8+MAX(0,-U7)</f>
        <v>455.7597384999998</v>
      </c>
      <c r="V17" s="23">
        <f>U17-V8+MAX(0,-V7)</f>
        <v>433.6218543999998</v>
      </c>
    </row>
    <row r="19">
      <c r="A19" s="14" t="inlineStr">
        <is>
          <t>PV of risked pipeline contribution</t>
        </is>
      </c>
      <c r="B19" s="23">
        <f>SUMPRODUCT(C5:V5,C15:V15)</f>
        <v>145.4741277448265</v>
      </c>
    </row>
    <row r="20">
      <c r="A20" s="14" t="inlineStr">
        <is>
          <t>PV of corporate burn</t>
        </is>
      </c>
      <c r="B20" s="23">
        <f>SUMPRODUCT(C6:V6,C15:V15)</f>
        <v>-352.43372028145825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-206.9595925366317</v>
      </c>
    </row>
    <row r="23">
      <c r="A23" s="14" t="inlineStr">
        <is>
          <t>Cash &amp; investments</t>
        </is>
      </c>
      <c r="B23" s="57">
        <f>Main!C7</f>
        <v>115.036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-91.9235925366317</v>
      </c>
    </row>
    <row r="26">
      <c r="A26" s="14" t="inlineStr">
        <is>
          <t>Shares (mm)</t>
        </is>
      </c>
      <c r="B26" s="57">
        <f>Main!C4</f>
        <v>14.725646</v>
      </c>
    </row>
    <row r="27">
      <c r="A27" s="24" t="inlineStr">
        <is>
          <t>rNPV / share</t>
        </is>
      </c>
      <c r="B27" s="60">
        <f>B25/B26</f>
        <v>-6.2424149362704835</v>
      </c>
    </row>
    <row r="28">
      <c r="A28" s="14" t="inlineStr">
        <is>
          <t>Price</t>
        </is>
      </c>
      <c r="B28" s="61">
        <f>Main!C3</f>
        <v>9.44</v>
      </c>
    </row>
    <row r="29">
      <c r="A29" s="14" t="inlineStr">
        <is>
          <t>Upside</t>
        </is>
      </c>
      <c r="B29" s="62">
        <f>B27/B28-1</f>
        <v>-1.661272768672721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2026-10-21T06:27:45Z</dcterms:modified>
  <cp:lastModifiedBy>Wang, Eric</cp:lastModifiedBy>
</cp:coreProperties>
</file>