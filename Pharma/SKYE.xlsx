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Skye Bioscience, Inc.</t>
        </is>
      </c>
      <c r="C2" s="10" t="n"/>
    </row>
    <row r="3">
      <c r="B3" t="inlineStr">
        <is>
          <t>Price</t>
        </is>
      </c>
      <c r="C3" s="11">
        <f>INDEX([1]Pharma!$F$1:$F$1000,MATCH("SKYE",[1]Pharma!$B$1:$B$1000,0))</f>
        <v>1.62</v>
      </c>
      <c r="F3" s="1" t="n"/>
    </row>
    <row r="4">
      <c r="B4" t="inlineStr">
        <is>
          <t>Shares</t>
        </is>
      </c>
      <c r="C4" s="21" t="n">
        <v>35.421413</v>
      </c>
      <c r="F4" s="1" t="n"/>
    </row>
    <row r="5">
      <c r="B5" t="inlineStr">
        <is>
          <t>Market Cap.</t>
        </is>
      </c>
      <c r="C5" s="13">
        <f>C3*C4</f>
        <v>57.382689060000004</v>
      </c>
      <c r="F5" s="1" t="n"/>
    </row>
    <row r="6"/>
    <row r="7">
      <c r="B7" t="inlineStr">
        <is>
          <t>Cash</t>
        </is>
      </c>
      <c r="C7" s="21">
        <f>8.068357+1.995784</f>
        <v>10.064141000000001</v>
      </c>
    </row>
    <row r="8">
      <c r="B8" t="inlineStr">
        <is>
          <t>Debt</t>
        </is>
      </c>
      <c r="C8" s="21" t="n">
        <v>0.14305</v>
      </c>
    </row>
    <row r="9">
      <c r="B9" t="inlineStr">
        <is>
          <t>Enterprise V.</t>
        </is>
      </c>
      <c r="C9" s="13">
        <f>C5-C7+C8</f>
        <v>47.46159806000001</v>
      </c>
    </row>
    <row r="10"/>
    <row r="11">
      <c r="B11" s="14" t="inlineStr">
        <is>
          <t>Net Cash / Share</t>
        </is>
      </c>
      <c r="C11" s="11">
        <f>(C7-C8)/C4</f>
        <v>0.28008738668895</v>
      </c>
    </row>
    <row r="12">
      <c r="B12" s="14" t="inlineStr">
        <is>
          <t>Upside</t>
        </is>
      </c>
      <c r="C12" s="15">
        <f>IFERROR(C11/C3-1,"")</f>
        <v>-0.8271065514265741</v>
      </c>
    </row>
    <row r="13">
      <c r="B13" s="14" t="inlineStr">
        <is>
          <t>Cash / Share</t>
        </is>
      </c>
      <c r="C13" s="11">
        <f>IFERROR((C7-C8)/C4,"")</f>
        <v>0.28008738668895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-38.81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0.25563233702653954</v>
      </c>
    </row>
    <row r="19">
      <c r="B19" s="14" t="inlineStr">
        <is>
          <t>Implied Pipeline Value</t>
        </is>
      </c>
      <c r="C19" s="13">
        <f>C9</f>
        <v>47.46159806000001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2012</v>
      </c>
      <c r="C1" s="17" t="n">
        <v>2013</v>
      </c>
      <c r="D1" s="17" t="n">
        <v>2014</v>
      </c>
      <c r="E1" s="17" t="n">
        <v>2015</v>
      </c>
      <c r="F1" s="17" t="n">
        <v>2016</v>
      </c>
      <c r="G1" s="17" t="n">
        <v>2017</v>
      </c>
      <c r="H1" s="17" t="n">
        <v>2018</v>
      </c>
      <c r="I1" s="17" t="n">
        <v>2019</v>
      </c>
      <c r="J1" s="17" t="n">
        <v>2020</v>
      </c>
      <c r="K1" s="17" t="n">
        <v>2021</v>
      </c>
      <c r="L1" s="17" t="n">
        <v>2022</v>
      </c>
      <c r="M1" s="17" t="n">
        <v>2023</v>
      </c>
      <c r="N1" s="17" t="n">
        <v>2024</v>
      </c>
      <c r="O1" s="17" t="n">
        <v>2025</v>
      </c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0.228</v>
      </c>
      <c r="E5" s="23" t="n">
        <v>0.576</v>
      </c>
      <c r="F5" s="23" t="n">
        <v>0.9389999999999999</v>
      </c>
      <c r="G5" s="23" t="n">
        <v>0.311</v>
      </c>
      <c r="H5" s="23" t="n">
        <v>0.33</v>
      </c>
      <c r="I5" s="23" t="n">
        <v>2.238</v>
      </c>
      <c r="J5" s="23" t="n">
        <v>1.944</v>
      </c>
      <c r="K5" s="23" t="n">
        <v>2.931</v>
      </c>
      <c r="L5" s="23" t="n">
        <v>6.012</v>
      </c>
      <c r="M5" s="23" t="n">
        <v>5.819</v>
      </c>
      <c r="N5" s="23" t="n">
        <v>18.702</v>
      </c>
      <c r="O5" s="23" t="n">
        <v>42.362</v>
      </c>
    </row>
    <row r="6">
      <c r="A6" s="19" t="inlineStr">
        <is>
          <t>SG&amp;A &amp; Other</t>
        </is>
      </c>
      <c r="B6" s="23" t="n">
        <v>-0.004</v>
      </c>
      <c r="C6" s="23" t="n">
        <v>0.12</v>
      </c>
      <c r="D6" s="23" t="n">
        <v>2.504</v>
      </c>
      <c r="E6" s="23" t="n">
        <v>3.741</v>
      </c>
      <c r="F6" s="23" t="n">
        <v>3.532</v>
      </c>
      <c r="G6" s="23" t="n">
        <v>3.548</v>
      </c>
      <c r="H6" s="23" t="n">
        <v>4.363</v>
      </c>
      <c r="I6" s="23" t="n">
        <v>4.395</v>
      </c>
      <c r="J6" s="23" t="n">
        <v>4.345</v>
      </c>
      <c r="K6" s="23" t="n">
        <v>4.916</v>
      </c>
      <c r="L6" s="23" t="n">
        <v>12.3</v>
      </c>
      <c r="M6" s="23" t="n">
        <v>28.916</v>
      </c>
      <c r="N6" s="23" t="n">
        <v>11.491</v>
      </c>
      <c r="O6" s="23" t="n">
        <v>15.802</v>
      </c>
    </row>
    <row r="7">
      <c r="A7" s="2" t="inlineStr">
        <is>
          <t>Operating Expense</t>
        </is>
      </c>
      <c r="B7" s="23">
        <f>SUM(B5:B6)</f>
        <v>-0.004</v>
      </c>
      <c r="C7" s="23">
        <f>SUM(C5:C6)</f>
        <v>0.12</v>
      </c>
      <c r="D7" s="23">
        <f>SUM(D5:D6)</f>
        <v>2.732</v>
      </c>
      <c r="E7" s="23">
        <f>SUM(E5:E6)</f>
        <v>4.317</v>
      </c>
      <c r="F7" s="23">
        <f>SUM(F5:F6)</f>
        <v>4.471</v>
      </c>
      <c r="G7" s="23">
        <f>SUM(G5:G6)</f>
        <v>3.859</v>
      </c>
      <c r="H7" s="23">
        <f>SUM(H5:H6)</f>
        <v>4.6930000000000005</v>
      </c>
      <c r="I7" s="23">
        <f>SUM(I5:I6)</f>
        <v>6.632999999999999</v>
      </c>
      <c r="J7" s="23">
        <f>SUM(J5:J6)</f>
        <v>6.289</v>
      </c>
      <c r="K7" s="23">
        <f>SUM(K5:K6)</f>
        <v>7.847</v>
      </c>
      <c r="L7" s="23">
        <f>SUM(L5:L6)</f>
        <v>18.312</v>
      </c>
      <c r="M7" s="23">
        <f>SUM(M5:M6)</f>
        <v>34.735</v>
      </c>
      <c r="N7" s="23">
        <f>SUM(N5:N6)</f>
        <v>30.193</v>
      </c>
      <c r="O7" s="23">
        <f>SUM(O5:O6)</f>
        <v>58.164</v>
      </c>
    </row>
    <row r="8">
      <c r="A8" s="2" t="inlineStr">
        <is>
          <t>Operating Income</t>
        </is>
      </c>
      <c r="B8" s="23">
        <f>B4-B7</f>
        <v>0.004</v>
      </c>
      <c r="C8" s="23">
        <f>C4-C7</f>
        <v>-0.12</v>
      </c>
      <c r="D8" s="23">
        <f>D4-D7</f>
        <v>-2.732</v>
      </c>
      <c r="E8" s="23">
        <f>E4-E7</f>
        <v>-4.317</v>
      </c>
      <c r="F8" s="23">
        <f>F4-F7</f>
        <v>-4.471</v>
      </c>
      <c r="G8" s="23">
        <f>G4-G7</f>
        <v>-3.859</v>
      </c>
      <c r="H8" s="23">
        <f>H4-H7</f>
        <v>-4.6930000000000005</v>
      </c>
      <c r="I8" s="23">
        <f>I4-I7</f>
        <v>-6.632999999999999</v>
      </c>
      <c r="J8" s="23">
        <f>J4-J7</f>
        <v>-6.289</v>
      </c>
      <c r="K8" s="23">
        <f>K4-K7</f>
        <v>-7.847</v>
      </c>
      <c r="L8" s="23">
        <f>L4-L7</f>
        <v>-18.312</v>
      </c>
      <c r="M8" s="23">
        <f>M4-M7</f>
        <v>-34.735</v>
      </c>
      <c r="N8" s="23">
        <f>N4-N7</f>
        <v>-30.193</v>
      </c>
      <c r="O8" s="23">
        <f>O4-O7</f>
        <v>-58.164</v>
      </c>
    </row>
    <row r="9">
      <c r="A9" s="19" t="inlineStr">
        <is>
          <t>Interest &amp; Other</t>
        </is>
      </c>
      <c r="B9" s="23" t="n">
        <v>0.001</v>
      </c>
      <c r="C9" s="23" t="n">
        <v>0</v>
      </c>
      <c r="D9" s="23" t="n">
        <v>0</v>
      </c>
      <c r="E9" s="23" t="n">
        <v>-0.522</v>
      </c>
      <c r="F9" s="23" t="n">
        <v>1.294</v>
      </c>
      <c r="G9" s="23" t="n">
        <v>0.767</v>
      </c>
      <c r="H9" s="23" t="n">
        <v>-14.5</v>
      </c>
      <c r="I9" s="23" t="n">
        <v>7.686</v>
      </c>
      <c r="J9" s="23" t="n">
        <v>-0.27</v>
      </c>
      <c r="K9" s="23" t="n">
        <v>-0.672</v>
      </c>
      <c r="L9" s="23" t="n">
        <v>-1.163</v>
      </c>
      <c r="M9" s="23" t="n">
        <v>-2.906</v>
      </c>
      <c r="N9" s="23" t="n">
        <v>3.636</v>
      </c>
      <c r="O9" s="23" t="n">
        <v>2.244</v>
      </c>
    </row>
    <row r="10">
      <c r="A10" s="2" t="inlineStr">
        <is>
          <t>Pretax</t>
        </is>
      </c>
      <c r="B10" s="23">
        <f>B8+B9</f>
        <v>0.005</v>
      </c>
      <c r="C10" s="23">
        <f>C8+C9</f>
        <v>-0.12</v>
      </c>
      <c r="D10" s="23">
        <f>D8+D9</f>
        <v>-2.732</v>
      </c>
      <c r="E10" s="23">
        <f>E8+E9</f>
        <v>-4.839</v>
      </c>
      <c r="F10" s="23">
        <f>F8+F9</f>
        <v>-3.177</v>
      </c>
      <c r="G10" s="23">
        <f>G8+G9</f>
        <v>-3.092</v>
      </c>
      <c r="H10" s="23">
        <f>H8+H9</f>
        <v>-19.193</v>
      </c>
      <c r="I10" s="23">
        <f>I8+I9</f>
        <v>1.0530000000000008</v>
      </c>
      <c r="J10" s="23">
        <f>J8+J9</f>
        <v>-6.558999999999999</v>
      </c>
      <c r="K10" s="23">
        <f>K8+K9</f>
        <v>-8.519</v>
      </c>
      <c r="L10" s="23">
        <f>L8+L9</f>
        <v>-19.475</v>
      </c>
      <c r="M10" s="23">
        <f>M8+M9</f>
        <v>-37.641</v>
      </c>
      <c r="N10" s="23">
        <f>N8+N9</f>
        <v>-26.557000000000002</v>
      </c>
      <c r="O10" s="23">
        <f>O8+O9</f>
        <v>-55.92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0.003</v>
      </c>
      <c r="E11" s="23" t="n">
        <v>0.002</v>
      </c>
      <c r="F11" s="23" t="n">
        <v>0.002</v>
      </c>
      <c r="G11" s="23" t="n">
        <v>0.002</v>
      </c>
      <c r="H11" s="23" t="n">
        <v>0.002</v>
      </c>
      <c r="I11" s="23" t="n">
        <v>0.002</v>
      </c>
      <c r="J11" s="23" t="n">
        <v>0.002</v>
      </c>
      <c r="K11" s="23" t="n">
        <v>0.002</v>
      </c>
      <c r="L11" s="23" t="n">
        <v>0.007</v>
      </c>
      <c r="M11" s="23" t="n">
        <v>0.004</v>
      </c>
      <c r="N11" s="23" t="n">
        <v>0.01</v>
      </c>
      <c r="O11" s="23" t="n">
        <v>0.005</v>
      </c>
    </row>
    <row r="12">
      <c r="A12" s="2" t="inlineStr">
        <is>
          <t>Net Income</t>
        </is>
      </c>
      <c r="B12" s="23" t="n">
        <v>0.005</v>
      </c>
      <c r="C12" s="23" t="n">
        <v>-0.12</v>
      </c>
      <c r="D12" s="23" t="n">
        <v>-2.734</v>
      </c>
      <c r="E12" s="23" t="n">
        <v>-4.841</v>
      </c>
      <c r="F12" s="23" t="n">
        <v>-3.178</v>
      </c>
      <c r="G12" s="23" t="n">
        <v>-3.094</v>
      </c>
      <c r="H12" s="23" t="n">
        <v>-19.194</v>
      </c>
      <c r="I12" s="23" t="n">
        <v>1.052</v>
      </c>
      <c r="J12" s="23" t="n">
        <v>-6.561</v>
      </c>
      <c r="K12" s="23" t="n">
        <v>-8.522</v>
      </c>
      <c r="L12" s="23" t="n">
        <v>-19.482</v>
      </c>
      <c r="M12" s="23" t="n">
        <v>-37.645</v>
      </c>
      <c r="N12" s="23" t="n">
        <v>-26.567</v>
      </c>
      <c r="O12" s="23" t="n">
        <v>-55.925</v>
      </c>
    </row>
    <row r="13">
      <c r="A13" s="2" t="inlineStr">
        <is>
          <t>Earnings per Share</t>
        </is>
      </c>
      <c r="B13" s="11">
        <f>IFERROR(B12/B14,0)</f>
        <v>0.38461538461538464</v>
      </c>
      <c r="C13" s="11">
        <f>IFERROR(C12/C14,0)</f>
        <v>-2.8571428571428568</v>
      </c>
      <c r="D13" s="11">
        <f>IFERROR(D12/D14,0)</f>
        <v>-48.82142857142857</v>
      </c>
      <c r="E13" s="11">
        <f>IFERROR(E12/E14,0)</f>
        <v>-52.053763440860216</v>
      </c>
      <c r="F13" s="11">
        <f>IFERROR(F12/F14,0)</f>
        <v>-30.55769230769231</v>
      </c>
      <c r="G13" s="11">
        <f>IFERROR(G12/G14,0)</f>
        <v>-20.355263157894736</v>
      </c>
      <c r="H13" s="11">
        <f>IFERROR(H12/H14,0)</f>
        <v>-28.99395770392749</v>
      </c>
      <c r="I13" s="11">
        <f>IFERROR(I12/I14,0)</f>
        <v>1.134843581445523</v>
      </c>
      <c r="J13" s="11">
        <f>IFERROR(J12/J14,0)</f>
        <v>-5.186561264822135</v>
      </c>
      <c r="K13" s="11">
        <f>IFERROR(K12/K14,0)</f>
        <v>-3.8352835283528353</v>
      </c>
      <c r="L13" s="11">
        <f>IFERROR(L12/L14,0)</f>
        <v>-8.771724448446646</v>
      </c>
      <c r="M13" s="11">
        <f>IFERROR(M12/M14,0)</f>
        <v>-5.373251498715387</v>
      </c>
      <c r="N13" s="11">
        <f>IFERROR(N12/N14,0)</f>
        <v>-0.7281223449447748</v>
      </c>
      <c r="O13" s="11">
        <f>IFERROR(O12/O14,0)</f>
        <v>-1.410004286110481</v>
      </c>
    </row>
    <row r="14">
      <c r="A14" s="2" t="inlineStr">
        <is>
          <t>Shares</t>
        </is>
      </c>
      <c r="B14" s="23" t="n">
        <v>0.013</v>
      </c>
      <c r="C14" s="23" t="n">
        <v>0.042</v>
      </c>
      <c r="D14" s="23" t="n">
        <v>0.056</v>
      </c>
      <c r="E14" s="23" t="n">
        <v>0.093</v>
      </c>
      <c r="F14" s="23" t="n">
        <v>0.104</v>
      </c>
      <c r="G14" s="23" t="n">
        <v>0.152</v>
      </c>
      <c r="H14" s="23" t="n">
        <v>0.662</v>
      </c>
      <c r="I14" s="23" t="n">
        <v>0.927</v>
      </c>
      <c r="J14" s="23" t="n">
        <v>1.265</v>
      </c>
      <c r="K14" s="23" t="n">
        <v>2.222</v>
      </c>
      <c r="L14" s="23" t="n">
        <v>2.221</v>
      </c>
      <c r="M14" s="23" t="n">
        <v>7.006</v>
      </c>
      <c r="N14" s="23" t="n">
        <v>36.487</v>
      </c>
      <c r="O14" s="23" t="n">
        <v>39.663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2026-10-21T01:06:09Z</dcterms:modified>
  <cp:lastModifiedBy>Wang, Eric</cp:lastModifiedBy>
</cp:coreProperties>
</file>