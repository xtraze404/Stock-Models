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Perrigo Company PLC</t>
        </is>
      </c>
      <c r="C2" s="10" t="n"/>
    </row>
    <row r="3">
      <c r="B3" t="inlineStr">
        <is>
          <t>Price</t>
        </is>
      </c>
      <c r="C3" s="11">
        <f>INDEX([1]Pharma!$F$1:$F$1000,MATCH("PRGO",[1]Pharma!$B$1:$B$1000,0))</f>
        <v>16.17</v>
      </c>
      <c r="F3" s="1" t="n"/>
    </row>
    <row r="4">
      <c r="B4" t="inlineStr">
        <is>
          <t>Shares</t>
        </is>
      </c>
      <c r="C4" s="51" t="n">
        <v>138.769245</v>
      </c>
      <c r="F4" s="1" t="n"/>
    </row>
    <row r="5">
      <c r="B5" t="inlineStr">
        <is>
          <t>Market Cap.</t>
        </is>
      </c>
      <c r="C5" s="13">
        <f>C3*C4</f>
        <v>2243.8986916500003</v>
      </c>
      <c r="F5" s="1" t="n"/>
    </row>
    <row r="6"/>
    <row r="7">
      <c r="B7" t="inlineStr">
        <is>
          <t>Cash</t>
        </is>
      </c>
      <c r="C7" s="51" t="n">
        <v>399.7</v>
      </c>
    </row>
    <row r="8">
      <c r="B8" t="inlineStr">
        <is>
          <t>Debt</t>
        </is>
      </c>
      <c r="C8" s="51">
        <f>11.4+3283.4</f>
        <v>3294.8</v>
      </c>
    </row>
    <row r="9">
      <c r="B9" t="inlineStr">
        <is>
          <t>Enterprise V.</t>
        </is>
      </c>
      <c r="C9" s="13">
        <f>C5-C7+C8</f>
        <v>5138.99869165</v>
      </c>
    </row>
    <row r="10"/>
    <row r="11">
      <c r="B11" s="14" t="inlineStr">
        <is>
          <t>NPV / Share</t>
        </is>
      </c>
      <c r="C11" s="11">
        <f>NPV!B28</f>
        <v>13.749304210124896</v>
      </c>
    </row>
    <row r="12">
      <c r="B12" s="14" t="inlineStr">
        <is>
          <t>Upside</t>
        </is>
      </c>
      <c r="C12" s="15">
        <f>IFERROR(C11/C3-1,"")</f>
        <v>-0.14970289362245548</v>
      </c>
    </row>
    <row r="13">
      <c r="B13" s="14" t="inlineStr">
        <is>
          <t>Cash / Share</t>
        </is>
      </c>
      <c r="C13" s="11">
        <f>IFERROR((C7-C8)/C4,"")</f>
        <v>-20.862691873837033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3173.2</v>
      </c>
      <c r="C2" s="52" t="n">
        <v>3539.8</v>
      </c>
      <c r="D2" s="52" t="n">
        <v>4060.8</v>
      </c>
      <c r="E2" s="52" t="n">
        <v>4227.1</v>
      </c>
      <c r="F2" s="52" t="n">
        <v>5280.6</v>
      </c>
      <c r="G2" s="52" t="n">
        <v>4946.2</v>
      </c>
      <c r="H2" s="52" t="n">
        <v>4731.7</v>
      </c>
      <c r="I2" s="52" t="n">
        <v>3869.9</v>
      </c>
      <c r="J2" s="52" t="n">
        <v>4088.2</v>
      </c>
      <c r="K2" s="52" t="n">
        <v>4138.7</v>
      </c>
      <c r="L2" s="52" t="n">
        <v>4451.6</v>
      </c>
      <c r="M2" s="52" t="n">
        <v>4655.6</v>
      </c>
      <c r="N2" s="52" t="n">
        <v>4373.4</v>
      </c>
      <c r="O2" s="52" t="n">
        <v>4253.1</v>
      </c>
      <c r="P2" s="52">
        <f>O2*(1+NPV!C5)</f>
        <v>4034.0653500000003</v>
      </c>
      <c r="Q2" s="52">
        <f>P2*(1+NPV!D5)</f>
        <v>3860.60053995</v>
      </c>
      <c r="R2" s="52">
        <f>Q2*(1+NPV!E5)</f>
        <v>3727.4098213217253</v>
      </c>
      <c r="S2" s="52">
        <f>R2*(1+NPV!F5)</f>
        <v>3630.49716596736</v>
      </c>
      <c r="T2" s="52">
        <f>S2*(1+NPV!G5)</f>
        <v>3566.9634655629316</v>
      </c>
      <c r="U2" s="52">
        <f>T2*(1+NPV!H5)</f>
        <v>3534.8607943728653</v>
      </c>
      <c r="V2" s="52">
        <f>U2*(1+NPV!I5)</f>
        <v>3533.093363975679</v>
      </c>
      <c r="W2" s="52">
        <f>V2*(1+NPV!J5)</f>
        <v>3561.3581108874846</v>
      </c>
      <c r="X2" s="52">
        <f>W2*(1+NPV!K5)</f>
        <v>3620.120519717128</v>
      </c>
      <c r="Y2" s="52">
        <f>X2*(1+NPV!L5)</f>
        <v>3710.6235327100558</v>
      </c>
    </row>
    <row r="3" customFormat="1" s="1">
      <c r="A3" s="5" t="inlineStr">
        <is>
          <t>Cost of Sales</t>
        </is>
      </c>
      <c r="B3" s="52" t="n">
        <v>2077.7</v>
      </c>
      <c r="C3" s="52" t="n">
        <v>2259.8</v>
      </c>
      <c r="D3" s="52" t="n">
        <v>2613.1</v>
      </c>
      <c r="E3" s="52" t="n">
        <v>2891.4</v>
      </c>
      <c r="F3" s="52" t="n">
        <v>3228.8</v>
      </c>
      <c r="G3" s="52" t="n">
        <v>2966.7</v>
      </c>
      <c r="H3" s="52" t="n">
        <v>2900.2</v>
      </c>
      <c r="I3" s="52" t="n">
        <v>2436.2</v>
      </c>
      <c r="J3" s="52" t="n">
        <v>2593.3</v>
      </c>
      <c r="K3" s="52" t="n">
        <v>2722.5</v>
      </c>
      <c r="L3" s="52" t="n">
        <v>2996.2</v>
      </c>
      <c r="M3" s="52" t="n">
        <v>2975.2</v>
      </c>
      <c r="N3" s="52" t="n">
        <v>2830.7</v>
      </c>
      <c r="O3" s="52" t="n">
        <v>2758.6</v>
      </c>
      <c r="P3" s="52">
        <f>P2*(1-Assumptions!$B$19)</f>
        <v>2616.4947860100006</v>
      </c>
      <c r="Q3" s="52">
        <f>Q2*(1-Assumptions!$B$19)</f>
        <v>2503.9855102115703</v>
      </c>
      <c r="R3" s="52">
        <f>R2*(1-Assumptions!$B$19)</f>
        <v>2417.5980101092714</v>
      </c>
      <c r="S3" s="52">
        <f>S2*(1-Assumptions!$B$19)</f>
        <v>2354.74046184643</v>
      </c>
      <c r="T3" s="52">
        <f>T2*(1-Assumptions!$B$19)</f>
        <v>2313.532503764118</v>
      </c>
      <c r="U3" s="52">
        <f>U2*(1-Assumptions!$B$19)</f>
        <v>2292.7107112302406</v>
      </c>
      <c r="V3" s="52">
        <f>V2*(1-Assumptions!$B$19)</f>
        <v>2291.5643558746256</v>
      </c>
      <c r="W3" s="52">
        <f>W2*(1-Assumptions!$B$19)</f>
        <v>2309.8968707216227</v>
      </c>
      <c r="X3" s="52">
        <f>X2*(1-Assumptions!$B$19)</f>
        <v>2348.0101690885294</v>
      </c>
      <c r="Y3" s="52">
        <f>Y2*(1-Assumptions!$B$19)</f>
        <v>2406.7104233157424</v>
      </c>
    </row>
    <row r="4" customFormat="1" s="1">
      <c r="A4" s="5" t="inlineStr">
        <is>
          <t>Gross Margin</t>
        </is>
      </c>
      <c r="B4" s="52">
        <f>B2-B3</f>
        <v>1095.5</v>
      </c>
      <c r="C4" s="52">
        <f>C2-C3</f>
        <v>1280.0</v>
      </c>
      <c r="D4" s="52">
        <f>D2-D3</f>
        <v>1447.7000000000003</v>
      </c>
      <c r="E4" s="52">
        <f>E2-E3</f>
        <v>1335.7000000000003</v>
      </c>
      <c r="F4" s="52">
        <f>F2-F3</f>
        <v>2051.8</v>
      </c>
      <c r="G4" s="52">
        <f>G2-G3</f>
        <v>1979.5</v>
      </c>
      <c r="H4" s="52">
        <f>H2-H3</f>
        <v>1831.5</v>
      </c>
      <c r="I4" s="52">
        <f>I2-I3</f>
        <v>1433.7000000000003</v>
      </c>
      <c r="J4" s="52">
        <f>J2-J3</f>
        <v>1494.8999999999996</v>
      </c>
      <c r="K4" s="52">
        <f>K2-K3</f>
        <v>1416.1999999999998</v>
      </c>
      <c r="L4" s="52">
        <f>L2-L3</f>
        <v>1455.4000000000005</v>
      </c>
      <c r="M4" s="52">
        <f>M2-M3</f>
        <v>1680.4000000000005</v>
      </c>
      <c r="N4" s="52">
        <f>N2-N3</f>
        <v>1542.6999999999998</v>
      </c>
      <c r="O4" s="52">
        <f>O2-O3</f>
        <v>1494.5000000000005</v>
      </c>
      <c r="P4" s="52">
        <f>P2-P3</f>
        <v>1417.5705639899998</v>
      </c>
      <c r="Q4" s="52">
        <f>Q2-Q3</f>
        <v>1356.6150297384297</v>
      </c>
      <c r="R4" s="52">
        <f>R2-R3</f>
        <v>1309.811811212454</v>
      </c>
      <c r="S4" s="52">
        <f>S2-S3</f>
        <v>1275.75670412093</v>
      </c>
      <c r="T4" s="52">
        <f>T2-T3</f>
        <v>1253.4309617988138</v>
      </c>
      <c r="U4" s="52">
        <f>U2-U3</f>
        <v>1242.1500831426247</v>
      </c>
      <c r="V4" s="52">
        <f>V2-V3</f>
        <v>1241.5290081010535</v>
      </c>
      <c r="W4" s="52">
        <f>W2-W3</f>
        <v>1251.461240165862</v>
      </c>
      <c r="X4" s="52">
        <f>X2-X3</f>
        <v>1272.1103506285986</v>
      </c>
      <c r="Y4" s="52">
        <f>Y2-Y3</f>
        <v>1303.9131093943133</v>
      </c>
    </row>
    <row r="5">
      <c r="A5" s="2" t="inlineStr">
        <is>
          <t>Research &amp; Dev.</t>
        </is>
      </c>
      <c r="B5" s="52" t="n">
        <v>105.8</v>
      </c>
      <c r="C5" s="52" t="n">
        <v>115.2</v>
      </c>
      <c r="D5" s="52" t="n">
        <v>152.5</v>
      </c>
      <c r="E5" s="52" t="n">
        <v>187.8</v>
      </c>
      <c r="F5" s="52" t="n">
        <v>184</v>
      </c>
      <c r="G5" s="52" t="n">
        <v>167.7</v>
      </c>
      <c r="H5" s="52" t="n">
        <v>218.6</v>
      </c>
      <c r="I5" s="52" t="n">
        <v>119.2</v>
      </c>
      <c r="J5" s="52" t="n">
        <v>121.7</v>
      </c>
      <c r="K5" s="52" t="n">
        <v>122</v>
      </c>
      <c r="L5" s="52" t="n">
        <v>123.1</v>
      </c>
      <c r="M5" s="52" t="n">
        <v>122.5</v>
      </c>
      <c r="N5" s="52" t="n">
        <v>112.2</v>
      </c>
      <c r="O5" s="52" t="n">
        <v>95.40000000000001</v>
      </c>
      <c r="P5" s="52">
        <f>P7*Assumptions!$B$20</f>
        <v>45.377466474049484</v>
      </c>
      <c r="Q5" s="52">
        <f>Q7*Assumptions!$B$20</f>
        <v>40.97154977434895</v>
      </c>
      <c r="R5" s="52">
        <f>R7*Assumptions!$B$20</f>
        <v>37.188032320442915</v>
      </c>
      <c r="S5" s="52">
        <f>S7*Assumptions!$B$20</f>
        <v>33.912764467074375</v>
      </c>
      <c r="T5" s="52">
        <f>T7*Assumptions!$B$20</f>
        <v>31.05130870859169</v>
      </c>
      <c r="U5" s="52">
        <f>U7*Assumptions!$B$20</f>
        <v>28.524276391328275</v>
      </c>
      <c r="V5" s="52">
        <f>V7*Assumptions!$B$20</f>
        <v>26.26356749951596</v>
      </c>
      <c r="W5" s="52">
        <f>W7*Assumptions!$B$20</f>
        <v>24.2092577118665</v>
      </c>
      <c r="X5" s="52">
        <f>X7*Assumptions!$B$20</f>
        <v>22.306929234060554</v>
      </c>
      <c r="Y5" s="52">
        <f>Y7*Assumptions!$B$20</f>
        <v>20.50527670410903</v>
      </c>
    </row>
    <row r="6">
      <c r="A6" s="18" t="inlineStr">
        <is>
          <t>SG&amp;A &amp; Other</t>
        </is>
      </c>
      <c r="B6" s="52" t="n">
        <v>420.5</v>
      </c>
      <c r="C6" s="52" t="n">
        <v>485.7</v>
      </c>
      <c r="D6" s="52" t="n">
        <v>723.8</v>
      </c>
      <c r="E6" s="52" t="n">
        <v>475.4</v>
      </c>
      <c r="F6" s="52" t="n">
        <v>3867.5</v>
      </c>
      <c r="G6" s="52" t="n">
        <v>1213.6</v>
      </c>
      <c r="H6" s="52" t="n">
        <v>1376.4</v>
      </c>
      <c r="I6" s="52" t="n">
        <v>1139.8</v>
      </c>
      <c r="J6" s="52" t="n">
        <v>1108</v>
      </c>
      <c r="K6" s="52" t="n">
        <v>883.8</v>
      </c>
      <c r="L6" s="52" t="n">
        <v>1253.4</v>
      </c>
      <c r="M6" s="52" t="n">
        <v>1406</v>
      </c>
      <c r="N6" s="52" t="n">
        <v>1317.6</v>
      </c>
      <c r="O6" s="52" t="n">
        <v>2521.3</v>
      </c>
      <c r="P6" s="52">
        <f>P7-P5</f>
        <v>1197.8407930889502</v>
      </c>
      <c r="Q6" s="52">
        <f>Q7-Q5</f>
        <v>1081.5366632215128</v>
      </c>
      <c r="R6" s="52">
        <f>R7-R5</f>
        <v>981.6621682396371</v>
      </c>
      <c r="S6" s="52">
        <f>S7-S5</f>
        <v>895.2040702472921</v>
      </c>
      <c r="T6" s="52">
        <f>T7-T5</f>
        <v>819.669477828167</v>
      </c>
      <c r="U6" s="52">
        <f>U7-U5</f>
        <v>752.9627480286246</v>
      </c>
      <c r="V6" s="52">
        <f>V7-V5</f>
        <v>693.2862270077707</v>
      </c>
      <c r="W6" s="52">
        <f>W7-W5</f>
        <v>639.0580768598185</v>
      </c>
      <c r="X6" s="52">
        <f>X7-X5</f>
        <v>588.8418169045848</v>
      </c>
      <c r="Y6" s="52">
        <f>Y7-Y5</f>
        <v>541.2831261481931</v>
      </c>
    </row>
    <row r="7">
      <c r="A7" s="2" t="inlineStr">
        <is>
          <t>Operating Expense</t>
        </is>
      </c>
      <c r="B7" s="52">
        <f>SUM(B5:B6)</f>
        <v>526.3</v>
      </c>
      <c r="C7" s="52">
        <f>SUM(C5:C6)</f>
        <v>600.9</v>
      </c>
      <c r="D7" s="52">
        <f>SUM(D5:D6)</f>
        <v>876.3</v>
      </c>
      <c r="E7" s="52">
        <f>SUM(E5:E6)</f>
        <v>663.2</v>
      </c>
      <c r="F7" s="52">
        <f>SUM(F5:F6)</f>
        <v>4051.5</v>
      </c>
      <c r="G7" s="52">
        <f>SUM(G5:G6)</f>
        <v>1381.3</v>
      </c>
      <c r="H7" s="52">
        <f>SUM(H5:H6)</f>
        <v>1595.0</v>
      </c>
      <c r="I7" s="52">
        <f>SUM(I5:I6)</f>
        <v>1259.0</v>
      </c>
      <c r="J7" s="52">
        <f>SUM(J5:J6)</f>
        <v>1229.7</v>
      </c>
      <c r="K7" s="52">
        <f>SUM(K5:K6)</f>
        <v>1005.8</v>
      </c>
      <c r="L7" s="52">
        <f>SUM(L5:L6)</f>
        <v>1376.5</v>
      </c>
      <c r="M7" s="52">
        <f>SUM(M5:M6)</f>
        <v>1528.5</v>
      </c>
      <c r="N7" s="52">
        <f>SUM(N5:N6)</f>
        <v>1429.8</v>
      </c>
      <c r="O7" s="52">
        <f>SUM(O5:O6)</f>
        <v>2616.7000000000003</v>
      </c>
      <c r="P7" s="52">
        <f>P4-P2*NPV!C6</f>
        <v>1243.2182595629997</v>
      </c>
      <c r="Q7" s="52">
        <f>Q4-Q2*NPV!D6</f>
        <v>1122.5082129958616</v>
      </c>
      <c r="R7" s="52">
        <f>R4-R2*NPV!E6</f>
        <v>1018.85020056008</v>
      </c>
      <c r="S7" s="52">
        <f>S4-S2*NPV!F6</f>
        <v>929.1168347143664</v>
      </c>
      <c r="T7" s="52">
        <f>T4-T2*NPV!G6</f>
        <v>850.7207865367587</v>
      </c>
      <c r="U7" s="52">
        <f>U4-U2*NPV!H6</f>
        <v>781.4870244199528</v>
      </c>
      <c r="V7" s="52">
        <f>V4-V2*NPV!I6</f>
        <v>719.5497945072866</v>
      </c>
      <c r="W7" s="52">
        <f>W4-W2*NPV!J6</f>
        <v>663.267334571685</v>
      </c>
      <c r="X7" s="52">
        <f>X4-X2*NPV!K6</f>
        <v>611.1487461386454</v>
      </c>
      <c r="Y7" s="52">
        <f>Y4-Y2*NPV!L6</f>
        <v>561.7884028523022</v>
      </c>
    </row>
    <row r="8">
      <c r="A8" s="2" t="inlineStr">
        <is>
          <t>Operating Income</t>
        </is>
      </c>
      <c r="B8" s="52">
        <f>B4-B7</f>
        <v>569.2</v>
      </c>
      <c r="C8" s="52">
        <f>C4-C7</f>
        <v>679.1</v>
      </c>
      <c r="D8" s="52">
        <f>D4-D7</f>
        <v>571.4000000000003</v>
      </c>
      <c r="E8" s="52">
        <f>E4-E7</f>
        <v>672.5000000000002</v>
      </c>
      <c r="F8" s="52">
        <f>F4-F7</f>
        <v>-1999.6999999999998</v>
      </c>
      <c r="G8" s="52">
        <f>G4-G7</f>
        <v>598.2</v>
      </c>
      <c r="H8" s="52">
        <f>H4-H7</f>
        <v>236.5</v>
      </c>
      <c r="I8" s="52">
        <f>I4-I7</f>
        <v>174.70000000000027</v>
      </c>
      <c r="J8" s="52">
        <f>J4-J7</f>
        <v>265.1999999999996</v>
      </c>
      <c r="K8" s="52">
        <f>K4-K7</f>
        <v>410.39999999999986</v>
      </c>
      <c r="L8" s="52">
        <f>L4-L7</f>
        <v>78.90000000000055</v>
      </c>
      <c r="M8" s="52">
        <f>M4-M7</f>
        <v>151.90000000000055</v>
      </c>
      <c r="N8" s="52">
        <f>N4-N7</f>
        <v>112.89999999999986</v>
      </c>
      <c r="O8" s="52">
        <f>O4-O7</f>
        <v>-1122.1999999999998</v>
      </c>
      <c r="P8" s="52">
        <f>P4-P7</f>
        <v>174.35230442700004</v>
      </c>
      <c r="Q8" s="52">
        <f>Q4-Q7</f>
        <v>234.10681674256807</v>
      </c>
      <c r="R8" s="52">
        <f>R4-R7</f>
        <v>290.9616106523739</v>
      </c>
      <c r="S8" s="52">
        <f>S4-S7</f>
        <v>346.63986940656355</v>
      </c>
      <c r="T8" s="52">
        <f>T4-T7</f>
        <v>402.71017526205503</v>
      </c>
      <c r="U8" s="52">
        <f>U4-U7</f>
        <v>460.66305872267185</v>
      </c>
      <c r="V8" s="52">
        <f>V4-V7</f>
        <v>521.9792135937669</v>
      </c>
      <c r="W8" s="52">
        <f>W4-W7</f>
        <v>588.193905594177</v>
      </c>
      <c r="X8" s="52">
        <f>X4-X7</f>
        <v>660.9616044899532</v>
      </c>
      <c r="Y8" s="52">
        <f>Y4-Y7</f>
        <v>742.1247065420112</v>
      </c>
    </row>
    <row r="9">
      <c r="A9" s="18" t="inlineStr">
        <is>
          <t>Interest &amp; Other</t>
        </is>
      </c>
      <c r="B9" s="52" t="n">
        <v>-48.6</v>
      </c>
      <c r="C9" s="52" t="n">
        <v>-71.40000000000001</v>
      </c>
      <c r="D9" s="52" t="n">
        <v>-267.8</v>
      </c>
      <c r="E9" s="52" t="n">
        <v>-412.2</v>
      </c>
      <c r="F9" s="52" t="n">
        <v>-2848.6</v>
      </c>
      <c r="G9" s="52" t="n">
        <v>-318.1</v>
      </c>
      <c r="H9" s="52" t="n">
        <v>54.1</v>
      </c>
      <c r="I9" s="52" t="n">
        <v>-39.3</v>
      </c>
      <c r="J9" s="52" t="n">
        <v>-466.1</v>
      </c>
      <c r="K9" s="52" t="n">
        <v>-89.7</v>
      </c>
      <c r="L9" s="52" t="n">
        <v>-227.7</v>
      </c>
      <c r="M9" s="52" t="n">
        <v>-168.5</v>
      </c>
      <c r="N9" s="52" t="n">
        <v>-204.7</v>
      </c>
      <c r="O9" s="52" t="n">
        <v>-198.8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520.6</v>
      </c>
      <c r="C10" s="52">
        <f>C8+C9</f>
        <v>607.7</v>
      </c>
      <c r="D10" s="52">
        <f>D8+D9</f>
        <v>303.6000000000003</v>
      </c>
      <c r="E10" s="52">
        <f>E8+E9</f>
        <v>260.30000000000024</v>
      </c>
      <c r="F10" s="52">
        <f>F8+F9</f>
        <v>-4848.299999999999</v>
      </c>
      <c r="G10" s="52">
        <f>G8+G9</f>
        <v>280.1</v>
      </c>
      <c r="H10" s="52">
        <f>H8+H9</f>
        <v>290.6</v>
      </c>
      <c r="I10" s="52">
        <f>I8+I9</f>
        <v>135.40000000000026</v>
      </c>
      <c r="J10" s="52">
        <f>J8+J9</f>
        <v>-200.90000000000043</v>
      </c>
      <c r="K10" s="52">
        <f>K8+K9</f>
        <v>320.6999999999999</v>
      </c>
      <c r="L10" s="52">
        <f>L8+L9</f>
        <v>-148.79999999999944</v>
      </c>
      <c r="M10" s="52">
        <f>M8+M9</f>
        <v>-16.599999999999454</v>
      </c>
      <c r="N10" s="52">
        <f>N8+N9</f>
        <v>-91.80000000000013</v>
      </c>
      <c r="O10" s="52">
        <f>O8+O9</f>
        <v>-1320.9999999999998</v>
      </c>
      <c r="P10" s="52">
        <f>P8+P9</f>
        <v>174.35230442700004</v>
      </c>
      <c r="Q10" s="52">
        <f>Q8+Q9</f>
        <v>234.10681674256807</v>
      </c>
      <c r="R10" s="52">
        <f>R8+R9</f>
        <v>290.9616106523739</v>
      </c>
      <c r="S10" s="52">
        <f>S8+S9</f>
        <v>346.63986940656355</v>
      </c>
      <c r="T10" s="52">
        <f>T8+T9</f>
        <v>402.71017526205503</v>
      </c>
      <c r="U10" s="52">
        <f>U8+U9</f>
        <v>460.66305872267185</v>
      </c>
      <c r="V10" s="52">
        <f>V8+V9</f>
        <v>521.9792135937669</v>
      </c>
      <c r="W10" s="52">
        <f>W8+W9</f>
        <v>588.193905594177</v>
      </c>
      <c r="X10" s="52">
        <f>X8+X9</f>
        <v>660.9616044899532</v>
      </c>
      <c r="Y10" s="52">
        <f>Y8+Y9</f>
        <v>742.1247065420112</v>
      </c>
    </row>
    <row r="11">
      <c r="A11" s="2" t="inlineStr">
        <is>
          <t>Taxes</t>
        </is>
      </c>
      <c r="B11" s="52" t="n">
        <v>119</v>
      </c>
      <c r="C11" s="52" t="n">
        <v>165.8</v>
      </c>
      <c r="D11" s="52" t="n">
        <v>70.8</v>
      </c>
      <c r="E11" s="52" t="n">
        <v>124.2</v>
      </c>
      <c r="F11" s="52" t="n">
        <v>-835.5</v>
      </c>
      <c r="G11" s="52" t="n">
        <v>160.5</v>
      </c>
      <c r="H11" s="52" t="n">
        <v>159.6</v>
      </c>
      <c r="I11" s="52" t="n">
        <v>-10.7</v>
      </c>
      <c r="J11" s="52" t="n">
        <v>-38.3</v>
      </c>
      <c r="K11" s="52" t="n">
        <v>389.6</v>
      </c>
      <c r="L11" s="52" t="n">
        <v>-8.199999999999999</v>
      </c>
      <c r="M11" s="52" t="n">
        <v>-3.9</v>
      </c>
      <c r="N11" s="52" t="n">
        <v>80</v>
      </c>
      <c r="O11" s="52" t="n">
        <v>104.4</v>
      </c>
      <c r="P11" s="52">
        <f>MAX(0,P10)*Assumptions!$E$14</f>
        <v>29.639891752590007</v>
      </c>
      <c r="Q11" s="52">
        <f>MAX(0,Q10)*Assumptions!$E$14</f>
        <v>39.798158846236575</v>
      </c>
      <c r="R11" s="52">
        <f>MAX(0,R10)*Assumptions!$E$14</f>
        <v>49.463473810903565</v>
      </c>
      <c r="S11" s="52">
        <f>MAX(0,S10)*Assumptions!$E$14</f>
        <v>58.92877779911581</v>
      </c>
      <c r="T11" s="52">
        <f>MAX(0,T10)*Assumptions!$E$14</f>
        <v>68.46072979454937</v>
      </c>
      <c r="U11" s="52">
        <f>MAX(0,U10)*Assumptions!$E$14</f>
        <v>78.31271998285422</v>
      </c>
      <c r="V11" s="52">
        <f>MAX(0,V10)*Assumptions!$E$14</f>
        <v>88.73646631094037</v>
      </c>
      <c r="W11" s="52">
        <f>MAX(0,W10)*Assumptions!$E$14</f>
        <v>99.99296395101008</v>
      </c>
      <c r="X11" s="52">
        <f>MAX(0,X10)*Assumptions!$E$14</f>
        <v>112.36347276329205</v>
      </c>
      <c r="Y11" s="52">
        <f>MAX(0,Y10)*Assumptions!$E$14</f>
        <v>126.1612001121419</v>
      </c>
    </row>
    <row r="12">
      <c r="A12" s="2" t="inlineStr">
        <is>
          <t>Net Income</t>
        </is>
      </c>
      <c r="B12" s="52" t="n">
        <v>401.6</v>
      </c>
      <c r="C12" s="52" t="n">
        <v>441.9</v>
      </c>
      <c r="D12" s="52" t="n">
        <v>232.8</v>
      </c>
      <c r="E12" s="52" t="n">
        <v>136.1</v>
      </c>
      <c r="F12" s="52" t="n">
        <v>-4012.8</v>
      </c>
      <c r="G12" s="52" t="n">
        <v>119.6</v>
      </c>
      <c r="H12" s="52" t="n">
        <v>131</v>
      </c>
      <c r="I12" s="52" t="n">
        <v>146.1</v>
      </c>
      <c r="J12" s="52" t="n">
        <v>-162.6</v>
      </c>
      <c r="K12" s="52" t="n">
        <v>-68.90000000000001</v>
      </c>
      <c r="L12" s="52" t="n">
        <v>-140.6</v>
      </c>
      <c r="M12" s="52" t="n">
        <v>-12.7</v>
      </c>
      <c r="N12" s="52" t="n">
        <v>-171.8</v>
      </c>
      <c r="O12" s="52" t="n">
        <v>-1425.4</v>
      </c>
      <c r="P12" s="52">
        <f>P10-P11</f>
        <v>144.71241267441002</v>
      </c>
      <c r="Q12" s="52">
        <f>Q10-Q11</f>
        <v>194.3086578963315</v>
      </c>
      <c r="R12" s="52">
        <f>R10-R11</f>
        <v>241.49813684147034</v>
      </c>
      <c r="S12" s="52">
        <f>S10-S11</f>
        <v>287.71109160744777</v>
      </c>
      <c r="T12" s="52">
        <f>T10-T11</f>
        <v>334.24944546750567</v>
      </c>
      <c r="U12" s="52">
        <f>U10-U11</f>
        <v>382.35033873981763</v>
      </c>
      <c r="V12" s="52">
        <f>V10-V11</f>
        <v>433.2427472828265</v>
      </c>
      <c r="W12" s="52">
        <f>W10-W11</f>
        <v>488.20094164316686</v>
      </c>
      <c r="X12" s="52">
        <f>X10-X11</f>
        <v>548.5981317266611</v>
      </c>
      <c r="Y12" s="52">
        <f>Y10-Y11</f>
        <v>615.9635064298693</v>
      </c>
    </row>
    <row r="13">
      <c r="A13" s="2" t="inlineStr">
        <is>
          <t>Earnings per Share</t>
        </is>
      </c>
      <c r="B13" s="11">
        <f>IFERROR(B12/B14,0)</f>
        <v>4.267800212539852</v>
      </c>
      <c r="C13" s="11">
        <f>IFERROR(C12/C14,0)</f>
        <v>4.676190476190476</v>
      </c>
      <c r="D13" s="11">
        <f>IFERROR(D12/D14,0)</f>
        <v>2.013840830449827</v>
      </c>
      <c r="E13" s="11">
        <f>IFERROR(E12/E14,0)</f>
        <v>0.9735336194563661</v>
      </c>
      <c r="F13" s="11">
        <f>IFERROR(F12/F14,0)</f>
        <v>-28.002791346824843</v>
      </c>
      <c r="G13" s="11">
        <f>IFERROR(G12/G14,0)</f>
        <v>0.8387096774193549</v>
      </c>
      <c r="H13" s="11">
        <f>IFERROR(H12/H14,0)</f>
        <v>0.9472161966738972</v>
      </c>
      <c r="I13" s="11">
        <f>IFERROR(I12/I14,0)</f>
        <v>1.0703296703296703</v>
      </c>
      <c r="J13" s="11">
        <f>IFERROR(J12/J14,0)</f>
        <v>-1.185131195335277</v>
      </c>
      <c r="K13" s="11">
        <f>IFERROR(K12/K14,0)</f>
        <v>-0.5157185628742516</v>
      </c>
      <c r="L13" s="11">
        <f>IFERROR(L12/L14,0)</f>
        <v>-1.045353159851301</v>
      </c>
      <c r="M13" s="11">
        <f>IFERROR(M12/M14,0)</f>
        <v>-0.09386548410938654</v>
      </c>
      <c r="N13" s="11">
        <f>IFERROR(N12/N14,0)</f>
        <v>-1.250363901018923</v>
      </c>
      <c r="O13" s="11">
        <f>IFERROR(O12/O14,0)</f>
        <v>-10.291696750902528</v>
      </c>
      <c r="P13" s="11">
        <f>IFERROR(P12/P14,0)</f>
        <v>1.0428277005788278</v>
      </c>
      <c r="Q13" s="11">
        <f>IFERROR(Q12/Q14,0)</f>
        <v>1.4002285441297277</v>
      </c>
      <c r="R13" s="11">
        <f>IFERROR(R12/R14,0)</f>
        <v>1.7402857300367263</v>
      </c>
      <c r="S13" s="11">
        <f>IFERROR(S12/S14,0)</f>
        <v>2.073305879897579</v>
      </c>
      <c r="T13" s="11">
        <f>IFERROR(T12/T14,0)</f>
        <v>2.408670923211448</v>
      </c>
      <c r="U13" s="11">
        <f>IFERROR(U12/U14,0)</f>
        <v>2.755295950048713</v>
      </c>
      <c r="V13" s="11">
        <f>IFERROR(V12/V14,0)</f>
        <v>3.1220372156872833</v>
      </c>
      <c r="W13" s="11">
        <f>IFERROR(W12/W14,0)</f>
        <v>3.5180773783352848</v>
      </c>
      <c r="X13" s="11">
        <f>IFERROR(X12/X14,0)</f>
        <v>3.9533120737715413</v>
      </c>
      <c r="Y13" s="11">
        <f>IFERROR(Y12/Y14,0)</f>
        <v>4.438760954776898</v>
      </c>
    </row>
    <row r="14">
      <c r="A14" s="2" t="inlineStr">
        <is>
          <t>Shares</t>
        </is>
      </c>
      <c r="B14" s="52" t="n">
        <v>94.09999999999999</v>
      </c>
      <c r="C14" s="52" t="n">
        <v>94.5</v>
      </c>
      <c r="D14" s="52" t="n">
        <v>115.6</v>
      </c>
      <c r="E14" s="52" t="n">
        <v>139.8</v>
      </c>
      <c r="F14" s="52" t="n">
        <v>143.3</v>
      </c>
      <c r="G14" s="52" t="n">
        <v>142.6</v>
      </c>
      <c r="H14" s="52" t="n">
        <v>138.3</v>
      </c>
      <c r="I14" s="52" t="n">
        <v>136.5</v>
      </c>
      <c r="J14" s="52" t="n">
        <v>137.2</v>
      </c>
      <c r="K14" s="52" t="n">
        <v>133.6</v>
      </c>
      <c r="L14" s="52" t="n">
        <v>134.5</v>
      </c>
      <c r="M14" s="52" t="n">
        <v>135.3</v>
      </c>
      <c r="N14" s="52" t="n">
        <v>137.4</v>
      </c>
      <c r="O14" s="52" t="n">
        <v>138.5</v>
      </c>
      <c r="P14" s="52">
        <f>Main!$C$4</f>
        <v>138.769245</v>
      </c>
      <c r="Q14" s="52">
        <f>Main!$C$4</f>
        <v>138.769245</v>
      </c>
      <c r="R14" s="52">
        <f>Main!$C$4</f>
        <v>138.769245</v>
      </c>
      <c r="S14" s="52">
        <f>Main!$C$4</f>
        <v>138.769245</v>
      </c>
      <c r="T14" s="52">
        <f>Main!$C$4</f>
        <v>138.769245</v>
      </c>
      <c r="U14" s="52">
        <f>Main!$C$4</f>
        <v>138.769245</v>
      </c>
      <c r="V14" s="52">
        <f>Main!$C$4</f>
        <v>138.769245</v>
      </c>
      <c r="W14" s="52">
        <f>Main!$C$4</f>
        <v>138.769245</v>
      </c>
      <c r="X14" s="52">
        <f>Main!$C$4</f>
        <v>138.769245</v>
      </c>
      <c r="Y14" s="52">
        <f>Main!$C$4</f>
        <v>138.769245</v>
      </c>
    </row>
    <row r="15"/>
    <row r="16" customFormat="1" s="4">
      <c r="A16" s="3" t="inlineStr">
        <is>
          <t>Revenue Change</t>
        </is>
      </c>
      <c r="C16" s="15">
        <f>IFERROR(C2/B2-1,"")</f>
        <v>0.11553006428841561</v>
      </c>
      <c r="D16" s="15">
        <f>IFERROR(D2/C2-1,"")</f>
        <v>0.14718345669246857</v>
      </c>
      <c r="E16" s="15">
        <f>IFERROR(E2/D2-1,"")</f>
        <v>0.04095252167060681</v>
      </c>
      <c r="F16" s="15">
        <f>IFERROR(F2/E2-1,"")</f>
        <v>0.24922523716022793</v>
      </c>
      <c r="G16" s="15">
        <f>IFERROR(G2/F2-1,"")</f>
        <v>-0.06332613718138103</v>
      </c>
      <c r="H16" s="15">
        <f>IFERROR(H2/G2-1,"")</f>
        <v>-0.043366624883749094</v>
      </c>
      <c r="I16" s="15">
        <f>IFERROR(I2/H2-1,"")</f>
        <v>-0.18213327134011026</v>
      </c>
      <c r="J16" s="15">
        <f>IFERROR(J2/I2-1,"")</f>
        <v>0.05640972634951802</v>
      </c>
      <c r="K16" s="15">
        <f>IFERROR(K2/J2-1,"")</f>
        <v>0.012352624626975173</v>
      </c>
      <c r="L16" s="15">
        <f>IFERROR(L2/K2-1,"")</f>
        <v>0.07560345035880855</v>
      </c>
      <c r="M16" s="15">
        <f>IFERROR(M2/L2-1,"")</f>
        <v>0.04582621978614432</v>
      </c>
      <c r="N16" s="15">
        <f>IFERROR(N2/M2-1,"")</f>
        <v>-0.060615173124839106</v>
      </c>
      <c r="O16" s="15">
        <f>IFERROR(O2/N2-1,"")</f>
        <v>-0.027507202634106</v>
      </c>
      <c r="P16" s="15">
        <f>IFERROR(P2/O2-1,"")</f>
        <v>-0.05149999999999999</v>
      </c>
      <c r="Q16" s="15">
        <f>IFERROR(Q2/P2-1,"")</f>
        <v>-0.04300000000000004</v>
      </c>
      <c r="R16" s="15">
        <f>IFERROR(R2/Q2-1,"")</f>
        <v>-0.034499999999999864</v>
      </c>
      <c r="S16" s="15">
        <f>IFERROR(S2/R2-1,"")</f>
        <v>-0.026000000000000023</v>
      </c>
      <c r="T16" s="15">
        <f>IFERROR(T2/S2-1,"")</f>
        <v>-0.01749999999999996</v>
      </c>
      <c r="U16" s="15">
        <f>IFERROR(U2/T2-1,"")</f>
        <v>-0.009000000000000008</v>
      </c>
      <c r="V16" s="15">
        <f>IFERROR(V2/U2-1,"")</f>
        <v>-0.0004999999999999449</v>
      </c>
      <c r="W16" s="15">
        <f>IFERROR(W2/V2-1,"")</f>
        <v>0.008000000000000007</v>
      </c>
      <c r="X16" s="15">
        <f>IFERROR(X2/W2-1,"")</f>
        <v>0.01649999999999996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0.3452350939115089</v>
      </c>
      <c r="C17" s="15">
        <f>IFERROR(C4/C2,"")</f>
        <v>0.36160235041527766</v>
      </c>
      <c r="D17" s="15">
        <f>IFERROR(D4/D2,"")</f>
        <v>0.35650610717100084</v>
      </c>
      <c r="E17" s="15">
        <f>IFERROR(E4/E2,"")</f>
        <v>0.3159849542239361</v>
      </c>
      <c r="F17" s="15">
        <f>IFERROR(F4/F2,"")</f>
        <v>0.38855433094724084</v>
      </c>
      <c r="G17" s="15">
        <f>IFERROR(G4/G2,"")</f>
        <v>0.40020621891553115</v>
      </c>
      <c r="H17" s="15">
        <f>IFERROR(H4/H2,"")</f>
        <v>0.3870701861910096</v>
      </c>
      <c r="I17" s="15">
        <f>IFERROR(I4/I2,"")</f>
        <v>0.3704746892684566</v>
      </c>
      <c r="J17" s="15">
        <f>IFERROR(J4/J2,"")</f>
        <v>0.36566214960129145</v>
      </c>
      <c r="K17" s="15">
        <f>IFERROR(K4/K2,"")</f>
        <v>0.34218474400173965</v>
      </c>
      <c r="L17" s="15">
        <f>IFERROR(L4/L2,"")</f>
        <v>0.3269386288076198</v>
      </c>
      <c r="M17" s="15">
        <f>IFERROR(M4/M2,"")</f>
        <v>0.3609416616547814</v>
      </c>
      <c r="N17" s="15">
        <f>IFERROR(N4/N2,"")</f>
        <v>0.3527461471623908</v>
      </c>
      <c r="O17" s="15">
        <f>IFERROR(O4/O2,"")</f>
        <v>0.35139075027626915</v>
      </c>
      <c r="P17" s="15">
        <f>IFERROR(P4/P2,"")</f>
        <v>0.35139999999999993</v>
      </c>
      <c r="Q17" s="15">
        <f>IFERROR(Q4/Q2,"")</f>
        <v>0.35139999999999993</v>
      </c>
      <c r="R17" s="15">
        <f>IFERROR(R4/R2,"")</f>
        <v>0.3513999999999999</v>
      </c>
      <c r="S17" s="15">
        <f>IFERROR(S4/S2,"")</f>
        <v>0.3513999999999999</v>
      </c>
      <c r="T17" s="15">
        <f>IFERROR(T4/T2,"")</f>
        <v>0.3513999999999999</v>
      </c>
      <c r="U17" s="15">
        <f>IFERROR(U4/U2,"")</f>
        <v>0.35139999999999993</v>
      </c>
      <c r="V17" s="15">
        <f>IFERROR(V4/V2,"")</f>
        <v>0.35139999999999993</v>
      </c>
      <c r="W17" s="15">
        <f>IFERROR(W4/W2,"")</f>
        <v>0.35139999999999993</v>
      </c>
      <c r="X17" s="15">
        <f>IFERROR(X4/X2,"")</f>
        <v>0.35139999999999993</v>
      </c>
      <c r="Y17" s="15">
        <f>IFERROR(Y4/Y2,"")</f>
        <v>0.35139999999999993</v>
      </c>
    </row>
    <row r="18">
      <c r="A18" s="14" t="inlineStr">
        <is>
          <t>Operating Margin</t>
        </is>
      </c>
      <c r="B18" s="15">
        <f>IFERROR(B8/B2,"")</f>
        <v>0.1793772847598639</v>
      </c>
      <c r="C18" s="15">
        <f>IFERROR(C8/C2,"")</f>
        <v>0.19184699700548052</v>
      </c>
      <c r="D18" s="15">
        <f>IFERROR(D8/D2,"")</f>
        <v>0.14071118991331766</v>
      </c>
      <c r="E18" s="15">
        <f>IFERROR(E8/E2,"")</f>
        <v>0.1590925220600412</v>
      </c>
      <c r="F18" s="15">
        <f>IFERROR(F8/F2,"")</f>
        <v>-0.3786880278756201</v>
      </c>
      <c r="G18" s="15">
        <f>IFERROR(G8/G2,"")</f>
        <v>0.12094132869677733</v>
      </c>
      <c r="H18" s="15">
        <f>IFERROR(H8/H2,"")</f>
        <v>0.04998203605469493</v>
      </c>
      <c r="I18" s="15">
        <f>IFERROR(I8/I2,"")</f>
        <v>0.04514328535621082</v>
      </c>
      <c r="J18" s="15">
        <f>IFERROR(J8/J2,"")</f>
        <v>0.06486962477373896</v>
      </c>
      <c r="K18" s="15">
        <f>IFERROR(K8/K2,"")</f>
        <v>0.09916157247444847</v>
      </c>
      <c r="L18" s="15">
        <f>IFERROR(L8/L2,"")</f>
        <v>0.017723964417288286</v>
      </c>
      <c r="M18" s="15">
        <f>IFERROR(M8/M2,"")</f>
        <v>0.03262737348569476</v>
      </c>
      <c r="N18" s="15">
        <f>IFERROR(N8/N2,"")</f>
        <v>0.025815155256779593</v>
      </c>
      <c r="O18" s="15">
        <f>IFERROR(O8/O2,"")</f>
        <v>-0.26385460017399065</v>
      </c>
      <c r="P18" s="15">
        <f>IFERROR(P8/P2,"")</f>
        <v>0.04322000000000001</v>
      </c>
      <c r="Q18" s="15">
        <f>IFERROR(Q8/Q2,"")</f>
        <v>0.06064000000000002</v>
      </c>
      <c r="R18" s="15">
        <f>IFERROR(R8/R2,"")</f>
        <v>0.07806</v>
      </c>
      <c r="S18" s="15">
        <f>IFERROR(S8/S2,"")</f>
        <v>0.09548</v>
      </c>
      <c r="T18" s="15">
        <f>IFERROR(T8/T2,"")</f>
        <v>0.11290000000000001</v>
      </c>
      <c r="U18" s="15">
        <f>IFERROR(U8/U2,"")</f>
        <v>0.13032000000000002</v>
      </c>
      <c r="V18" s="15">
        <f>IFERROR(V8/V2,"")</f>
        <v>0.14774</v>
      </c>
      <c r="W18" s="15">
        <f>IFERROR(W8/W2,"")</f>
        <v>0.16516</v>
      </c>
      <c r="X18" s="15">
        <f>IFERROR(X8/X2,"")</f>
        <v>0.18258</v>
      </c>
      <c r="Y18" s="15">
        <f>IFERROR(Y8/Y2,"")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Perrigo Company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-0.1015</v>
      </c>
      <c r="C12" s="53" t="n">
        <v>-0.0515</v>
      </c>
      <c r="D12" s="53" t="n">
        <v>-0.0015</v>
      </c>
      <c r="E12" s="54">
        <f>CHOOSE($B$4,B12,C12,D12)</f>
        <v>-0.0515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0.0258</v>
      </c>
    </row>
    <row r="19">
      <c r="A19" s="14" t="inlineStr">
        <is>
          <t>Gross margin (forecast)</t>
        </is>
      </c>
      <c r="B19" s="53" t="n">
        <v>0.3514</v>
      </c>
    </row>
    <row r="20">
      <c r="A20" s="14" t="inlineStr">
        <is>
          <t>R&amp;D share of operating expense (forecast)</t>
        </is>
      </c>
      <c r="B20" s="53" t="n">
        <v>0.0365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0.5123</v>
      </c>
    </row>
    <row r="23">
      <c r="A23" s="14" t="inlineStr">
        <is>
          <t>Balance sheet date</t>
        </is>
      </c>
      <c r="B23" s="31" t="n">
        <v>46200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4253.1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4803.080564514354</v>
      </c>
      <c r="C29" s="56">
        <f>NPV!B26</f>
        <v>1907.9805645143533</v>
      </c>
      <c r="D29" s="35">
        <f>NPV!B28</f>
        <v>13.749304210124896</v>
      </c>
      <c r="E29" s="57">
        <f>NPV!B30</f>
        <v>-0.14970289362245548</v>
      </c>
    </row>
    <row r="30">
      <c r="A30" s="58" t="n">
        <v>1</v>
      </c>
      <c r="B30" s="59">
        <f t="dataTable" ref="B30:E32" r1="B4"/>
        <v>2641.894095823406</v>
      </c>
      <c r="C30" s="59">
        <v>-253.20590417659423</v>
      </c>
      <c r="D30" s="39">
        <v>-1.8246543330014817</v>
      </c>
      <c r="E30" s="60">
        <v>-1.112841950092856</v>
      </c>
    </row>
    <row r="31">
      <c r="A31" s="58" t="n">
        <v>2</v>
      </c>
      <c r="B31" s="59">
        <v>4803.080564514354</v>
      </c>
      <c r="C31" s="59">
        <v>1907.9805645143533</v>
      </c>
      <c r="D31" s="39">
        <v>13.749304210124896</v>
      </c>
      <c r="E31" s="60">
        <v>-0.14970289362245548</v>
      </c>
    </row>
    <row r="32">
      <c r="A32" s="58" t="n">
        <v>3</v>
      </c>
      <c r="B32" s="59">
        <v>8981.841758811825</v>
      </c>
      <c r="C32" s="59">
        <v>6086.741758811825</v>
      </c>
      <c r="D32" s="39">
        <v>43.86232524945873</v>
      </c>
      <c r="E32" s="60">
        <v>1.7125742269300384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13.749304210124896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20.54482630990822</v>
      </c>
      <c r="C37" s="39">
        <v>22.981261656570236</v>
      </c>
      <c r="D37" s="39">
        <v>25.793187202398652</v>
      </c>
      <c r="E37" s="39">
        <v>29.074496125961417</v>
      </c>
      <c r="F37" s="39">
        <v>32.95322500510731</v>
      </c>
    </row>
    <row r="38">
      <c r="A38" s="62" t="n">
        <v>0.1</v>
      </c>
      <c r="B38" s="39">
        <v>15.106450325150169</v>
      </c>
      <c r="C38" s="39">
        <v>16.904528372403313</v>
      </c>
      <c r="D38" s="39">
        <v>18.942873209761274</v>
      </c>
      <c r="E38" s="39">
        <v>21.27298680629428</v>
      </c>
      <c r="F38" s="39">
        <v>23.962218223880896</v>
      </c>
    </row>
    <row r="39">
      <c r="A39" s="62" t="n">
        <v>0.11</v>
      </c>
      <c r="B39" s="39">
        <v>10.853054339537612</v>
      </c>
      <c r="C39" s="39">
        <v>12.220525361855843</v>
      </c>
      <c r="D39" s="39">
        <v>13.749304210124896</v>
      </c>
      <c r="E39" s="39">
        <v>15.469649164881119</v>
      </c>
      <c r="F39" s="39">
        <v>17.419887649056527</v>
      </c>
    </row>
    <row r="40">
      <c r="A40" s="62" t="n">
        <v>0.12</v>
      </c>
      <c r="B40" s="39">
        <v>7.4427663895996625</v>
      </c>
      <c r="C40" s="39">
        <v>8.507932982102067</v>
      </c>
      <c r="D40" s="39">
        <v>9.68558150348838</v>
      </c>
      <c r="E40" s="39">
        <v>10.994469649429949</v>
      </c>
      <c r="F40" s="39">
        <v>12.45776891018742</v>
      </c>
    </row>
    <row r="41">
      <c r="A41" s="62" t="n">
        <v>0.13</v>
      </c>
      <c r="B41" s="39">
        <v>4.6529463575070915</v>
      </c>
      <c r="C41" s="39">
        <v>5.4989774062844985</v>
      </c>
      <c r="D41" s="39">
        <v>6.425889074612249</v>
      </c>
      <c r="E41" s="39">
        <v>7.445822362908753</v>
      </c>
      <c r="F41" s="39">
        <v>8.573474453893473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Perrigo Company PLC: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-0.0515</v>
      </c>
      <c r="D5" s="63">
        <f>Assumptions!$E$12+(Assumptions!$E$11-Assumptions!$E$12)*(D4-1)/(Assumptions!$B$21-1)</f>
        <v>-0.043</v>
      </c>
      <c r="E5" s="63">
        <f>Assumptions!$E$12+(Assumptions!$E$11-Assumptions!$E$12)*(E4-1)/(Assumptions!$B$21-1)</f>
        <v>-0.034499999999999996</v>
      </c>
      <c r="F5" s="63">
        <f>Assumptions!$E$12+(Assumptions!$E$11-Assumptions!$E$12)*(F4-1)/(Assumptions!$B$21-1)</f>
        <v>-0.026</v>
      </c>
      <c r="G5" s="63">
        <f>Assumptions!$E$12+(Assumptions!$E$11-Assumptions!$E$12)*(G4-1)/(Assumptions!$B$21-1)</f>
        <v>-0.017499999999999995</v>
      </c>
      <c r="H5" s="63">
        <f>Assumptions!$E$12+(Assumptions!$E$11-Assumptions!$E$12)*(H4-1)/(Assumptions!$B$21-1)</f>
        <v>-0.008999999999999994</v>
      </c>
      <c r="I5" s="63">
        <f>Assumptions!$E$12+(Assumptions!$E$11-Assumptions!$E$12)*(I4-1)/(Assumptions!$B$21-1)</f>
        <v>-0.0005000000000000004</v>
      </c>
      <c r="J5" s="63">
        <f>Assumptions!$E$12+(Assumptions!$E$11-Assumptions!$E$12)*(J4-1)/(Assumptions!$B$21-1)</f>
        <v>0.008</v>
      </c>
      <c r="K5" s="63">
        <f>Assumptions!$E$12+(Assumptions!$E$11-Assumptions!$E$12)*(K4-1)/(Assumptions!$B$21-1)</f>
        <v>0.016500000000000008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-0.26385460017399065</v>
      </c>
      <c r="C6" s="63">
        <f>Assumptions!$B$18+(Assumptions!$E$13-Assumptions!$B$18)*C4/Assumptions!$B$21</f>
        <v>0.04322</v>
      </c>
      <c r="D6" s="63">
        <f>Assumptions!$B$18+(Assumptions!$E$13-Assumptions!$B$18)*D4/Assumptions!$B$21</f>
        <v>0.06064</v>
      </c>
      <c r="E6" s="63">
        <f>Assumptions!$B$18+(Assumptions!$E$13-Assumptions!$B$18)*E4/Assumptions!$B$21</f>
        <v>0.07806</v>
      </c>
      <c r="F6" s="63">
        <f>Assumptions!$B$18+(Assumptions!$E$13-Assumptions!$B$18)*F4/Assumptions!$B$21</f>
        <v>0.09548000000000001</v>
      </c>
      <c r="G6" s="63">
        <f>Assumptions!$B$18+(Assumptions!$E$13-Assumptions!$B$18)*G4/Assumptions!$B$21</f>
        <v>0.11290000000000001</v>
      </c>
      <c r="H6" s="63">
        <f>Assumptions!$B$18+(Assumptions!$E$13-Assumptions!$B$18)*H4/Assumptions!$B$21</f>
        <v>0.13032000000000002</v>
      </c>
      <c r="I6" s="63">
        <f>Assumptions!$B$18+(Assumptions!$E$13-Assumptions!$B$18)*I4/Assumptions!$B$21</f>
        <v>0.14774</v>
      </c>
      <c r="J6" s="63">
        <f>Assumptions!$B$18+(Assumptions!$E$13-Assumptions!$B$18)*J4/Assumptions!$B$21</f>
        <v>0.16516</v>
      </c>
      <c r="K6" s="63">
        <f>Assumptions!$B$18+(Assumptions!$E$13-Assumptions!$B$18)*K4/Assumptions!$B$21</f>
        <v>0.18258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Model'!O2</f>
        <v>4253.1</v>
      </c>
      <c r="C7" s="55">
        <f>'Yearly Model'!P2</f>
        <v>4034.0653500000003</v>
      </c>
      <c r="D7" s="55">
        <f>'Yearly Model'!Q2</f>
        <v>3860.60053995</v>
      </c>
      <c r="E7" s="55">
        <f>'Yearly Model'!R2</f>
        <v>3727.4098213217253</v>
      </c>
      <c r="F7" s="55">
        <f>'Yearly Model'!S2</f>
        <v>3630.49716596736</v>
      </c>
      <c r="G7" s="55">
        <f>'Yearly Model'!T2</f>
        <v>3566.9634655629316</v>
      </c>
      <c r="H7" s="55">
        <f>'Yearly Model'!U2</f>
        <v>3534.8607943728653</v>
      </c>
      <c r="I7" s="55">
        <f>'Yearly Model'!V2</f>
        <v>3533.093363975679</v>
      </c>
      <c r="J7" s="55">
        <f>'Yearly Model'!W2</f>
        <v>3561.3581108874846</v>
      </c>
      <c r="K7" s="55">
        <f>'Yearly Model'!X2</f>
        <v>3620.120519717128</v>
      </c>
      <c r="L7" s="55">
        <f>'Yearly Model'!Y2</f>
        <v>3710.6235327100558</v>
      </c>
    </row>
    <row r="8">
      <c r="A8" s="14" t="inlineStr">
        <is>
          <t>Operating income</t>
        </is>
      </c>
      <c r="B8" s="55">
        <f>'Yearly Model'!O8</f>
        <v>-1122.1999999999998</v>
      </c>
      <c r="C8" s="55">
        <f>'Yearly Model'!P8</f>
        <v>174.35230442700004</v>
      </c>
      <c r="D8" s="55">
        <f>'Yearly Model'!Q8</f>
        <v>234.10681674256807</v>
      </c>
      <c r="E8" s="55">
        <f>'Yearly Model'!R8</f>
        <v>290.9616106523739</v>
      </c>
      <c r="F8" s="55">
        <f>'Yearly Model'!S8</f>
        <v>346.63986940656355</v>
      </c>
      <c r="G8" s="55">
        <f>'Yearly Model'!T8</f>
        <v>402.71017526205503</v>
      </c>
      <c r="H8" s="55">
        <f>'Yearly Model'!U8</f>
        <v>460.66305872267185</v>
      </c>
      <c r="I8" s="55">
        <f>'Yearly Model'!V8</f>
        <v>521.9792135937669</v>
      </c>
      <c r="J8" s="55">
        <f>'Yearly Model'!W8</f>
        <v>588.193905594177</v>
      </c>
      <c r="K8" s="55">
        <f>'Yearly Model'!X8</f>
        <v>660.9616044899532</v>
      </c>
      <c r="L8" s="55">
        <f>'Yearly Model'!Y8</f>
        <v>742.1247065420112</v>
      </c>
    </row>
    <row r="9">
      <c r="A9" s="14" t="inlineStr">
        <is>
          <t>Tax on operating income</t>
        </is>
      </c>
      <c r="C9" s="52">
        <f>MAX(0,C8)*Assumptions!$E$14</f>
        <v>29.639891752590007</v>
      </c>
      <c r="D9" s="52">
        <f>MAX(0,D8)*Assumptions!$E$14</f>
        <v>39.798158846236575</v>
      </c>
      <c r="E9" s="52">
        <f>MAX(0,E8)*Assumptions!$E$14</f>
        <v>49.463473810903565</v>
      </c>
      <c r="F9" s="52">
        <f>MAX(0,F8)*Assumptions!$E$14</f>
        <v>58.92877779911581</v>
      </c>
      <c r="G9" s="52">
        <f>MAX(0,G8)*Assumptions!$E$14</f>
        <v>68.46072979454937</v>
      </c>
      <c r="H9" s="52">
        <f>MAX(0,H8)*Assumptions!$E$14</f>
        <v>78.31271998285422</v>
      </c>
      <c r="I9" s="52">
        <f>MAX(0,I8)*Assumptions!$E$14</f>
        <v>88.73646631094037</v>
      </c>
      <c r="J9" s="52">
        <f>MAX(0,J8)*Assumptions!$E$14</f>
        <v>99.99296395101008</v>
      </c>
      <c r="K9" s="52">
        <f>MAX(0,K8)*Assumptions!$E$14</f>
        <v>112.36347276329205</v>
      </c>
      <c r="L9" s="52">
        <f>MAX(0,L8)*Assumptions!$E$14</f>
        <v>126.1612001121419</v>
      </c>
    </row>
    <row r="10">
      <c r="A10" s="14" t="inlineStr">
        <is>
          <t>NOPAT</t>
        </is>
      </c>
      <c r="C10" s="52">
        <f>C8-C9</f>
        <v>144.71241267441002</v>
      </c>
      <c r="D10" s="52">
        <f>D8-D9</f>
        <v>194.3086578963315</v>
      </c>
      <c r="E10" s="52">
        <f>E8-E9</f>
        <v>241.49813684147034</v>
      </c>
      <c r="F10" s="52">
        <f>F8-F9</f>
        <v>287.71109160744777</v>
      </c>
      <c r="G10" s="52">
        <f>G8-G9</f>
        <v>334.24944546750567</v>
      </c>
      <c r="H10" s="52">
        <f>H8-H9</f>
        <v>382.35033873981763</v>
      </c>
      <c r="I10" s="52">
        <f>I8-I9</f>
        <v>433.2427472828265</v>
      </c>
      <c r="J10" s="52">
        <f>J8-J9</f>
        <v>488.20094164316686</v>
      </c>
      <c r="K10" s="52">
        <f>K8-K9</f>
        <v>548.5981317266611</v>
      </c>
      <c r="L10" s="52">
        <f>L8-L9</f>
        <v>615.9635064298693</v>
      </c>
    </row>
    <row r="11">
      <c r="A11" s="14" t="inlineStr">
        <is>
          <t>Reinvestment</t>
        </is>
      </c>
      <c r="C11" s="52">
        <f>(C7-B7)*Assumptions!$E$15</f>
        <v>-54.758662500000014</v>
      </c>
      <c r="D11" s="52">
        <f>(D7-C7)*Assumptions!$E$15</f>
        <v>-43.36620251250008</v>
      </c>
      <c r="E11" s="52">
        <f>(E7-D7)*Assumptions!$E$15</f>
        <v>-33.29767965706867</v>
      </c>
      <c r="F11" s="52">
        <f>(F7-E7)*Assumptions!$E$15</f>
        <v>-24.228163838591286</v>
      </c>
      <c r="G11" s="52">
        <f>(G7-F7)*Assumptions!$E$15</f>
        <v>-15.88342510110715</v>
      </c>
      <c r="H11" s="52">
        <f>(H7-G7)*Assumptions!$E$15</f>
        <v>-8.025667797516576</v>
      </c>
      <c r="I11" s="52">
        <f>(I7-H7)*Assumptions!$E$15</f>
        <v>-0.4418575992965543</v>
      </c>
      <c r="J11" s="52">
        <f>(J7-I7)*Assumptions!$E$15</f>
        <v>7.06618672795139</v>
      </c>
      <c r="K11" s="52">
        <f>(K7-J7)*Assumptions!$E$15</f>
        <v>14.690602207410848</v>
      </c>
      <c r="L11" s="52">
        <f>(L7-K7)*Assumptions!$E$15</f>
        <v>22.625753248231945</v>
      </c>
    </row>
    <row r="12">
      <c r="A12" s="20" t="inlineStr">
        <is>
          <t>Free cash flow</t>
        </is>
      </c>
      <c r="C12" s="64">
        <f>C10-C11</f>
        <v>199.47107517441003</v>
      </c>
      <c r="D12" s="64">
        <f>D10-D11</f>
        <v>237.6748604088316</v>
      </c>
      <c r="E12" s="64">
        <f>E10-E11</f>
        <v>274.795816498539</v>
      </c>
      <c r="F12" s="64">
        <f>F10-F11</f>
        <v>311.93925544603906</v>
      </c>
      <c r="G12" s="64">
        <f>G10-G11</f>
        <v>350.1328705686128</v>
      </c>
      <c r="H12" s="64">
        <f>H10-H11</f>
        <v>390.3760065373342</v>
      </c>
      <c r="I12" s="64">
        <f>I10-I11</f>
        <v>433.68460488212304</v>
      </c>
      <c r="J12" s="64">
        <f>J10-J11</f>
        <v>481.13475491521547</v>
      </c>
      <c r="K12" s="64">
        <f>K10-K11</f>
        <v>533.9075295192503</v>
      </c>
      <c r="L12" s="64">
        <f>L10-L11</f>
        <v>593.3377531816374</v>
      </c>
    </row>
    <row r="13">
      <c r="A13" s="14" t="inlineStr">
        <is>
          <t>Year fraction</t>
        </is>
      </c>
      <c r="C13" s="46">
        <f>Assumptions!$B$22</f>
        <v>0.5123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0.25615</v>
      </c>
      <c r="D14" s="11">
        <f>C14+C13/2+D13/2</f>
        <v>1.0123</v>
      </c>
      <c r="E14" s="11">
        <f>D14+D13/2+E13/2</f>
        <v>2.0122999999999998</v>
      </c>
      <c r="F14" s="11">
        <f>E14+E13/2+F13/2</f>
        <v>3.0122999999999998</v>
      </c>
      <c r="G14" s="11">
        <f>F14+F13/2+G13/2</f>
        <v>4.0123</v>
      </c>
      <c r="H14" s="11">
        <f>G14+G13/2+H13/2</f>
        <v>5.0123</v>
      </c>
      <c r="I14" s="11">
        <f>H14+H13/2+I13/2</f>
        <v>6.0123</v>
      </c>
      <c r="J14" s="11">
        <f>I14+I13/2+J13/2</f>
        <v>7.0123</v>
      </c>
      <c r="K14" s="11">
        <f>J14+J13/2+K13/2</f>
        <v>8.0123</v>
      </c>
      <c r="L14" s="11">
        <f>K14+K13/2+L13/2</f>
        <v>9.0123</v>
      </c>
    </row>
    <row r="15">
      <c r="A15" s="14" t="inlineStr">
        <is>
          <t>Discount factor</t>
        </is>
      </c>
      <c r="C15" s="65">
        <f>1/(1+Assumptions!$E$10)^C14</f>
        <v>0.9736223145675071</v>
      </c>
      <c r="D15" s="65">
        <f>1/(1+Assumptions!$E$10)^D14</f>
        <v>0.8997452209998037</v>
      </c>
      <c r="E15" s="65">
        <f>1/(1+Assumptions!$E$10)^E14</f>
        <v>0.8105812801800032</v>
      </c>
      <c r="F15" s="65">
        <f>1/(1+Assumptions!$E$10)^F14</f>
        <v>0.7302534055675703</v>
      </c>
      <c r="G15" s="65">
        <f>1/(1+Assumptions!$E$10)^G14</f>
        <v>0.657885950961775</v>
      </c>
      <c r="H15" s="65">
        <f>1/(1+Assumptions!$E$10)^H14</f>
        <v>0.5926900459115091</v>
      </c>
      <c r="I15" s="65">
        <f>1/(1+Assumptions!$E$10)^I14</f>
        <v>0.5339549963166748</v>
      </c>
      <c r="J15" s="65">
        <f>1/(1+Assumptions!$E$10)^J14</f>
        <v>0.48104053722222945</v>
      </c>
      <c r="K15" s="65">
        <f>1/(1+Assumptions!$E$10)^K14</f>
        <v>0.4333698533533598</v>
      </c>
      <c r="L15" s="65">
        <f>1/(1+Assumptions!$E$10)^L14</f>
        <v>0.3904232913093331</v>
      </c>
    </row>
    <row r="16">
      <c r="A16" s="20" t="inlineStr">
        <is>
          <t>PV of free cash flow</t>
        </is>
      </c>
      <c r="C16" s="64">
        <f>C12*C13*C15</f>
        <v>99.49352167606627</v>
      </c>
      <c r="D16" s="64">
        <f>D12*D13*D15</f>
        <v>213.84681980464168</v>
      </c>
      <c r="E16" s="64">
        <f>E12*E13*E15</f>
        <v>222.74434472549498</v>
      </c>
      <c r="F16" s="64">
        <f>F12*F13*F15</f>
        <v>227.79470361968228</v>
      </c>
      <c r="G16" s="64">
        <f>G12*G13*G15</f>
        <v>230.34749651700795</v>
      </c>
      <c r="H16" s="64">
        <f>H12*H13*H15</f>
        <v>231.3719732373642</v>
      </c>
      <c r="I16" s="64">
        <f>I12*I13*I15</f>
        <v>231.56806160243255</v>
      </c>
      <c r="J16" s="64">
        <f>J12*J13*J15</f>
        <v>231.44532098070096</v>
      </c>
      <c r="K16" s="64">
        <f>K12*K13*K15</f>
        <v>231.37942777201212</v>
      </c>
      <c r="L16" s="64">
        <f>L12*L13*L15</f>
        <v>231.6528784552596</v>
      </c>
    </row>
    <row r="19">
      <c r="A19" s="14" t="inlineStr">
        <is>
          <t>PV of forecast free cash flow</t>
        </is>
      </c>
      <c r="B19" s="52">
        <f>SUM(C16:L16)</f>
        <v>2151.6445483906627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608.1711970111782</v>
      </c>
    </row>
    <row r="21">
      <c r="A21" s="14" t="inlineStr">
        <is>
          <t>Terminal value</t>
        </is>
      </c>
      <c r="B21" s="52">
        <f>B20/(Assumptions!$E$10-Assumptions!$E$11)</f>
        <v>7154.955258955038</v>
      </c>
    </row>
    <row r="22">
      <c r="A22" s="14" t="inlineStr">
        <is>
          <t>PV of terminal value</t>
        </is>
      </c>
      <c r="B22" s="52">
        <f>B21/(1+Assumptions!$E$10)^(L14+0.5)</f>
        <v>2651.436016123691</v>
      </c>
    </row>
    <row r="23">
      <c r="A23" s="20" t="inlineStr">
        <is>
          <t>Enterprise value</t>
        </is>
      </c>
      <c r="B23" s="66">
        <f>B19+B22</f>
        <v>4803.080564514354</v>
      </c>
    </row>
    <row r="24">
      <c r="A24" s="14" t="inlineStr">
        <is>
          <t>Cash &amp; investments</t>
        </is>
      </c>
      <c r="B24" s="55">
        <f>Main!C7</f>
        <v>399.7</v>
      </c>
    </row>
    <row r="25">
      <c r="A25" s="14" t="inlineStr">
        <is>
          <t>Debt</t>
        </is>
      </c>
      <c r="B25" s="55">
        <f>Main!C8</f>
        <v>3294.8</v>
      </c>
    </row>
    <row r="26">
      <c r="A26" s="20" t="inlineStr">
        <is>
          <t>Equity value</t>
        </is>
      </c>
      <c r="B26" s="66">
        <f>B23+B24-B25</f>
        <v>1907.9805645143533</v>
      </c>
    </row>
    <row r="27">
      <c r="A27" s="14" t="inlineStr">
        <is>
          <t>Shares (mm)</t>
        </is>
      </c>
      <c r="B27" s="55">
        <f>Main!C4</f>
        <v>138.769245</v>
      </c>
    </row>
    <row r="28">
      <c r="A28" s="20" t="inlineStr">
        <is>
          <t>NPV / share</t>
        </is>
      </c>
      <c r="B28" s="49">
        <f>B26/B27</f>
        <v>13.749304210124896</v>
      </c>
    </row>
    <row r="29">
      <c r="A29" s="14" t="inlineStr">
        <is>
          <t>Price</t>
        </is>
      </c>
      <c r="B29" s="50">
        <f>Main!C3</f>
        <v>16.17</v>
      </c>
    </row>
    <row r="30">
      <c r="A30" s="14" t="inlineStr">
        <is>
          <t>Upside</t>
        </is>
      </c>
      <c r="B30" s="63">
        <f>B28/B29-1</f>
        <v>-0.14970289362245548</v>
      </c>
    </row>
    <row r="31">
      <c r="A31" s="14" t="inlineStr">
        <is>
          <t>Terminal value, % of EV</t>
        </is>
      </c>
      <c r="B31" s="63">
        <f>IFERROR(B22/B23,0)</f>
        <v>0.5520282203285886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2026-10-21T01:04:21Z</dcterms:modified>
  <cp:lastModifiedBy>Wang, Eric</cp:lastModifiedBy>
</cp:coreProperties>
</file>