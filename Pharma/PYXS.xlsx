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Pyxis Oncology Inc</t>
        </is>
      </c>
      <c r="C2" s="10" t="n"/>
    </row>
    <row r="3">
      <c r="B3" t="inlineStr">
        <is>
          <t>Price</t>
        </is>
      </c>
      <c r="C3" s="11">
        <f>INDEX([1]Pharma!$F$1:$F$1000,MATCH("PYXS",[1]Pharma!$B$1:$B$1000,0))</f>
        <v>1.84</v>
      </c>
      <c r="F3" s="1" t="n"/>
    </row>
    <row r="4">
      <c r="B4" t="inlineStr">
        <is>
          <t>Shares</t>
        </is>
      </c>
      <c r="C4" s="21" t="n">
        <v>83.40805</v>
      </c>
      <c r="F4" s="1" t="n"/>
    </row>
    <row r="5">
      <c r="B5" t="inlineStr">
        <is>
          <t>Market Cap.</t>
        </is>
      </c>
      <c r="C5" s="13">
        <f>C3*C4</f>
        <v>153.47081200000002</v>
      </c>
      <c r="F5" s="1" t="n"/>
    </row>
    <row r="6"/>
    <row r="7">
      <c r="B7" t="inlineStr">
        <is>
          <t>Cash</t>
        </is>
      </c>
      <c r="C7" s="21">
        <f>18.855+14.141</f>
        <v>32.996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120.47481200000001</v>
      </c>
    </row>
    <row r="10"/>
    <row r="11">
      <c r="B11" s="14" t="inlineStr">
        <is>
          <t>Net Cash / Share</t>
        </is>
      </c>
      <c r="C11" s="11">
        <f>(C7-C8)/C4</f>
        <v>0.3955973074541366</v>
      </c>
    </row>
    <row r="12">
      <c r="B12" s="14" t="inlineStr">
        <is>
          <t>Upside</t>
        </is>
      </c>
      <c r="C12" s="15">
        <f>IFERROR(C11/C3-1,"")</f>
        <v>-0.7850014633401432</v>
      </c>
    </row>
    <row r="13">
      <c r="B13" s="14" t="inlineStr">
        <is>
          <t>Cash / Share</t>
        </is>
      </c>
      <c r="C13" s="11">
        <f>IFERROR((C7-C8)/C4,"")</f>
        <v>0.3955973074541366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-67.91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0.4858783684288029</v>
      </c>
    </row>
    <row r="19">
      <c r="B19" s="14" t="inlineStr">
        <is>
          <t>Implied Pipeline Value</t>
        </is>
      </c>
      <c r="C19" s="13">
        <f>C9</f>
        <v>120.47481200000001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16.146</v>
      </c>
      <c r="G2" s="23" t="n">
        <v>13.858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0.475</v>
      </c>
      <c r="G3" s="23" t="n">
        <v>2.388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15.671000000000001</v>
      </c>
      <c r="G4" s="23">
        <f>G2-G3</f>
        <v>11.47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9.048</v>
      </c>
      <c r="C5" s="23" t="n">
        <v>51.054</v>
      </c>
      <c r="D5" s="23" t="n">
        <v>86.129</v>
      </c>
      <c r="E5" s="23" t="n">
        <v>49.586</v>
      </c>
      <c r="F5" s="23" t="n">
        <v>58.747</v>
      </c>
      <c r="G5" s="23" t="n">
        <v>73.696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3.846</v>
      </c>
      <c r="C6" s="23" t="n">
        <v>18.663</v>
      </c>
      <c r="D6" s="23" t="n">
        <v>37.352</v>
      </c>
      <c r="E6" s="23" t="n">
        <v>32.61</v>
      </c>
      <c r="F6" s="23" t="n">
        <v>46.384</v>
      </c>
      <c r="G6" s="23" t="n">
        <v>22.194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12.894</v>
      </c>
      <c r="C7" s="23">
        <f>SUM(C5:C6)</f>
        <v>69.717</v>
      </c>
      <c r="D7" s="23">
        <f>SUM(D5:D6)</f>
        <v>123.481</v>
      </c>
      <c r="E7" s="23">
        <f>SUM(E5:E6)</f>
        <v>82.196</v>
      </c>
      <c r="F7" s="23">
        <f>SUM(F5:F6)</f>
        <v>105.131</v>
      </c>
      <c r="G7" s="23">
        <f>SUM(G5:G6)</f>
        <v>95.89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-12.894</v>
      </c>
      <c r="C8" s="23">
        <f>C4-C7</f>
        <v>-69.717</v>
      </c>
      <c r="D8" s="23">
        <f>D4-D7</f>
        <v>-123.481</v>
      </c>
      <c r="E8" s="23">
        <f>E4-E7</f>
        <v>-82.196</v>
      </c>
      <c r="F8" s="23">
        <f>F4-F7</f>
        <v>-89.46</v>
      </c>
      <c r="G8" s="23">
        <f>G4-G7</f>
        <v>-84.42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0.066</v>
      </c>
      <c r="C9" s="23" t="n">
        <v>-6.258</v>
      </c>
      <c r="D9" s="23" t="n">
        <v>2.764</v>
      </c>
      <c r="E9" s="23" t="n">
        <v>8.406000000000001</v>
      </c>
      <c r="F9" s="23" t="n">
        <v>9.965</v>
      </c>
      <c r="G9" s="23" t="n">
        <v>6.185</v>
      </c>
    </row>
    <row r="10">
      <c r="A10" s="2" t="inlineStr">
        <is>
          <t>Pretax</t>
        </is>
      </c>
      <c r="B10" s="23">
        <f>B8+B9</f>
        <v>-12.828</v>
      </c>
      <c r="C10" s="23">
        <f>C8+C9</f>
        <v>-75.975</v>
      </c>
      <c r="D10" s="23">
        <f>D8+D9</f>
        <v>-120.717</v>
      </c>
      <c r="E10" s="23">
        <f>E8+E9</f>
        <v>-73.78999999999999</v>
      </c>
      <c r="F10" s="23">
        <f>F8+F9</f>
        <v>-79.49499999999999</v>
      </c>
      <c r="G10" s="23">
        <f>G8+G9</f>
        <v>-78.235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-2.164</v>
      </c>
      <c r="G11" s="23" t="n">
        <v>1.386</v>
      </c>
    </row>
    <row r="12">
      <c r="A12" s="2" t="inlineStr">
        <is>
          <t>Net Income</t>
        </is>
      </c>
      <c r="B12" s="23" t="n">
        <v>-12.828</v>
      </c>
      <c r="C12" s="23" t="n">
        <v>-75.97499999999999</v>
      </c>
      <c r="D12" s="23" t="n">
        <v>-120.717</v>
      </c>
      <c r="E12" s="23" t="n">
        <v>-73.79000000000001</v>
      </c>
      <c r="F12" s="23" t="n">
        <v>-77.331</v>
      </c>
      <c r="G12" s="23" t="n">
        <v>-79.621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-12.442289039767216</v>
      </c>
      <c r="C13" s="11">
        <f>IFERROR(C12/C14,0)</f>
        <v>-8.94560226068527</v>
      </c>
      <c r="D13" s="11">
        <f>IFERROR(D12/D14,0)</f>
        <v>-3.6544364726182907</v>
      </c>
      <c r="E13" s="11">
        <f>IFERROR(E12/E14,0)</f>
        <v>-1.8491417115649669</v>
      </c>
      <c r="F13" s="11">
        <f>IFERROR(F12/F14,0)</f>
        <v>-1.3231187763063341</v>
      </c>
      <c r="G13" s="11">
        <f>IFERROR(G12/G14,0)</f>
        <v>-1.2812545258516645</v>
      </c>
    </row>
    <row r="14">
      <c r="A14" s="2" t="inlineStr">
        <is>
          <t>Shares</t>
        </is>
      </c>
      <c r="B14" s="23" t="n">
        <v>1.031</v>
      </c>
      <c r="C14" s="23" t="n">
        <v>8.493</v>
      </c>
      <c r="D14" s="23" t="n">
        <v>33.033</v>
      </c>
      <c r="E14" s="23" t="n">
        <v>39.905</v>
      </c>
      <c r="F14" s="23" t="n">
        <v>58.446</v>
      </c>
      <c r="G14" s="23" t="n">
        <v>62.143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>-0.14170692431561993</v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>0.9705809488418184</v>
      </c>
      <c r="G17" s="15">
        <f>IFERROR(G4/G2,"")</f>
        <v>0.8276807620147207</v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>-5.540691192865105</v>
      </c>
      <c r="G18" s="15">
        <f>IFERROR(G8/G2,"")</f>
        <v>-6.091788136816279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2026-10-21T01:05:46Z</dcterms:modified>
  <cp:lastModifiedBy>Wang, Eric</cp:lastModifiedBy>
</cp:coreProperties>
</file>