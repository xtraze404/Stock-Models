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Pyxis Oncology Inc</t>
        </is>
      </c>
      <c r="C2" s="10" t="n"/>
    </row>
    <row r="3">
      <c r="B3" t="inlineStr">
        <is>
          <t>Price</t>
        </is>
      </c>
      <c r="C3" s="11">
        <f>INDEX([1]Pharma!$F$1:$F$1000,MATCH("PYXS",[1]Pharma!$B$1:$B$1000,0))</f>
        <v>1.84</v>
      </c>
      <c r="F3" s="1" t="n"/>
    </row>
    <row r="4">
      <c r="B4" t="inlineStr">
        <is>
          <t>Shares</t>
        </is>
      </c>
      <c r="C4" s="21" t="n">
        <v>83.40805</v>
      </c>
      <c r="F4" s="1" t="n"/>
    </row>
    <row r="5">
      <c r="B5" t="inlineStr">
        <is>
          <t>Market Cap.</t>
        </is>
      </c>
      <c r="C5" s="13">
        <f>C3*C4</f>
        <v>153.47081200000002</v>
      </c>
      <c r="F5" s="1" t="n"/>
    </row>
    <row r="6"/>
    <row r="7">
      <c r="B7" t="inlineStr">
        <is>
          <t>Cash</t>
        </is>
      </c>
      <c r="C7" s="21">
        <f>18.855+14.141</f>
        <v>32.996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120.47481200000001</v>
      </c>
    </row>
    <row r="10"/>
    <row r="11">
      <c r="B11" s="14" t="inlineStr">
        <is>
          <t>rNPV / Share</t>
        </is>
      </c>
      <c r="C11" s="11">
        <f>NPV!B27</f>
        <v>-1.5590410320552592</v>
      </c>
    </row>
    <row r="12">
      <c r="B12" s="14" t="inlineStr">
        <is>
          <t>Upside</t>
        </is>
      </c>
      <c r="C12" s="15">
        <f>IFERROR(C11/C3-1,"")</f>
        <v>-1.8473049087256843</v>
      </c>
    </row>
    <row r="13">
      <c r="B13" s="14" t="inlineStr">
        <is>
          <t>Cash / Share</t>
        </is>
      </c>
      <c r="C13" s="11">
        <f>IFERROR((C7-C8)/C4,"")</f>
        <v>0.3955973074541366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-67.91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0.4858783684288029</v>
      </c>
    </row>
    <row r="19">
      <c r="B19" s="14" t="inlineStr">
        <is>
          <t>Implied Pipeline Value</t>
        </is>
      </c>
      <c r="C19" s="13">
        <f>C9</f>
        <v>120.47481200000001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16.146</v>
      </c>
      <c r="G2" s="23" t="n">
        <v>13.858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0.475</v>
      </c>
      <c r="G3" s="23" t="n">
        <v>2.388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15.671000000000001</v>
      </c>
      <c r="G4" s="23">
        <f>G2-G3</f>
        <v>11.47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9.048</v>
      </c>
      <c r="C5" s="23" t="n">
        <v>51.054</v>
      </c>
      <c r="D5" s="23" t="n">
        <v>86.129</v>
      </c>
      <c r="E5" s="23" t="n">
        <v>49.586</v>
      </c>
      <c r="F5" s="23" t="n">
        <v>58.747</v>
      </c>
      <c r="G5" s="23" t="n">
        <v>73.696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3.846</v>
      </c>
      <c r="C6" s="23" t="n">
        <v>18.663</v>
      </c>
      <c r="D6" s="23" t="n">
        <v>37.352</v>
      </c>
      <c r="E6" s="23" t="n">
        <v>32.61</v>
      </c>
      <c r="F6" s="23" t="n">
        <v>46.384</v>
      </c>
      <c r="G6" s="23" t="n">
        <v>22.194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12.894</v>
      </c>
      <c r="C7" s="23">
        <f>SUM(C5:C6)</f>
        <v>69.717</v>
      </c>
      <c r="D7" s="23">
        <f>SUM(D5:D6)</f>
        <v>123.481</v>
      </c>
      <c r="E7" s="23">
        <f>SUM(E5:E6)</f>
        <v>82.196</v>
      </c>
      <c r="F7" s="23">
        <f>SUM(F5:F6)</f>
        <v>105.131</v>
      </c>
      <c r="G7" s="23">
        <f>SUM(G5:G6)</f>
        <v>95.89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-12.894</v>
      </c>
      <c r="C8" s="23">
        <f>C4-C7</f>
        <v>-69.717</v>
      </c>
      <c r="D8" s="23">
        <f>D4-D7</f>
        <v>-123.481</v>
      </c>
      <c r="E8" s="23">
        <f>E4-E7</f>
        <v>-82.196</v>
      </c>
      <c r="F8" s="23">
        <f>F4-F7</f>
        <v>-89.46</v>
      </c>
      <c r="G8" s="23">
        <f>G4-G7</f>
        <v>-84.42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0.066</v>
      </c>
      <c r="C9" s="23" t="n">
        <v>-6.258</v>
      </c>
      <c r="D9" s="23" t="n">
        <v>2.764</v>
      </c>
      <c r="E9" s="23" t="n">
        <v>8.406000000000001</v>
      </c>
      <c r="F9" s="23" t="n">
        <v>9.965</v>
      </c>
      <c r="G9" s="23" t="n">
        <v>6.185</v>
      </c>
    </row>
    <row r="10">
      <c r="A10" s="2" t="inlineStr">
        <is>
          <t>Pretax</t>
        </is>
      </c>
      <c r="B10" s="23">
        <f>B8+B9</f>
        <v>-12.828</v>
      </c>
      <c r="C10" s="23">
        <f>C8+C9</f>
        <v>-75.975</v>
      </c>
      <c r="D10" s="23">
        <f>D8+D9</f>
        <v>-120.717</v>
      </c>
      <c r="E10" s="23">
        <f>E8+E9</f>
        <v>-73.78999999999999</v>
      </c>
      <c r="F10" s="23">
        <f>F8+F9</f>
        <v>-79.49499999999999</v>
      </c>
      <c r="G10" s="23">
        <f>G8+G9</f>
        <v>-78.235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-2.164</v>
      </c>
      <c r="G11" s="23" t="n">
        <v>1.386</v>
      </c>
    </row>
    <row r="12">
      <c r="A12" s="2" t="inlineStr">
        <is>
          <t>Net Income</t>
        </is>
      </c>
      <c r="B12" s="23" t="n">
        <v>-12.828</v>
      </c>
      <c r="C12" s="23" t="n">
        <v>-75.97499999999999</v>
      </c>
      <c r="D12" s="23" t="n">
        <v>-120.717</v>
      </c>
      <c r="E12" s="23" t="n">
        <v>-73.79000000000001</v>
      </c>
      <c r="F12" s="23" t="n">
        <v>-77.331</v>
      </c>
      <c r="G12" s="23" t="n">
        <v>-79.621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-12.442289039767216</v>
      </c>
      <c r="C13" s="11">
        <f>IFERROR(C12/C14,0)</f>
        <v>-8.94560226068527</v>
      </c>
      <c r="D13" s="11">
        <f>IFERROR(D12/D14,0)</f>
        <v>-3.6544364726182907</v>
      </c>
      <c r="E13" s="11">
        <f>IFERROR(E12/E14,0)</f>
        <v>-1.8491417115649669</v>
      </c>
      <c r="F13" s="11">
        <f>IFERROR(F12/F14,0)</f>
        <v>-1.3231187763063341</v>
      </c>
      <c r="G13" s="11">
        <f>IFERROR(G12/G14,0)</f>
        <v>-1.2812545258516645</v>
      </c>
    </row>
    <row r="14">
      <c r="A14" s="2" t="inlineStr">
        <is>
          <t>Shares</t>
        </is>
      </c>
      <c r="B14" s="23" t="n">
        <v>1.031</v>
      </c>
      <c r="C14" s="23" t="n">
        <v>8.493</v>
      </c>
      <c r="D14" s="23" t="n">
        <v>33.033</v>
      </c>
      <c r="E14" s="23" t="n">
        <v>39.905</v>
      </c>
      <c r="F14" s="23" t="n">
        <v>58.446</v>
      </c>
      <c r="G14" s="23" t="n">
        <v>62.143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-0.14170692431561993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0.9705809488418184</v>
      </c>
      <c r="G17" s="15">
        <f>IFERROR(G4/G2,"")</f>
        <v>0.8276807620147207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-5.540691192865105</v>
      </c>
      <c r="G18" s="15">
        <f>IFERROR(G8/G2,"")</f>
        <v>-6.091788136816279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Pyxis Oncology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0.07540000000000002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92.10599999999999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440.3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-163.0325723537167</v>
      </c>
      <c r="C29" s="42">
        <f>NPV!B25</f>
        <v>-130.03657235371668</v>
      </c>
      <c r="D29" s="43">
        <f>NPV!B27</f>
        <v>-1.5590410320552592</v>
      </c>
      <c r="E29" s="44">
        <f>NPV!B29</f>
        <v>-1.8473049087256843</v>
      </c>
    </row>
    <row r="30">
      <c r="A30" s="45" t="n">
        <v>1</v>
      </c>
      <c r="B30" s="46">
        <f t="dataTable" ref="B30:E32" r1="B4"/>
        <v>-221.73497587086626</v>
      </c>
      <c r="C30" s="46">
        <v>-188.73897587086626</v>
      </c>
      <c r="D30" s="47">
        <v>-2.262838849138258</v>
      </c>
      <c r="E30" s="48">
        <v>-2.2298037223577487</v>
      </c>
    </row>
    <row r="31">
      <c r="A31" s="45" t="n">
        <v>2</v>
      </c>
      <c r="B31" s="46">
        <v>-163.0325723537167</v>
      </c>
      <c r="C31" s="46">
        <v>-130.03657235371668</v>
      </c>
      <c r="D31" s="47">
        <v>-1.5590410320552592</v>
      </c>
      <c r="E31" s="48">
        <v>-1.8473049087256843</v>
      </c>
    </row>
    <row r="32">
      <c r="A32" s="45" t="n">
        <v>3</v>
      </c>
      <c r="B32" s="46">
        <v>-59.99883038220929</v>
      </c>
      <c r="C32" s="46">
        <v>-27.00283038220929</v>
      </c>
      <c r="D32" s="47">
        <v>-0.323743695988688</v>
      </c>
      <c r="E32" s="48">
        <v>-1.1759476608634174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-1.5590410320552592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-2.46241646421007</v>
      </c>
      <c r="C37" s="47">
        <v>-2.258212921455078</v>
      </c>
      <c r="D37" s="47">
        <v>-2.0540093787000844</v>
      </c>
      <c r="E37" s="47">
        <v>-1.6456022931900987</v>
      </c>
      <c r="F37" s="47">
        <v>-1.2371952076801127</v>
      </c>
    </row>
    <row r="38">
      <c r="A38" s="50" t="n">
        <v>0.8</v>
      </c>
      <c r="B38" s="47">
        <v>-2.3510679860576538</v>
      </c>
      <c r="C38" s="47">
        <v>-2.0787965957176624</v>
      </c>
      <c r="D38" s="47">
        <v>-1.8065252053776726</v>
      </c>
      <c r="E38" s="47">
        <v>-1.2619824246976912</v>
      </c>
      <c r="F38" s="47">
        <v>-0.7174396440177102</v>
      </c>
    </row>
    <row r="39">
      <c r="A39" s="50" t="n">
        <v>1</v>
      </c>
      <c r="B39" s="47">
        <v>-2.2397195079052366</v>
      </c>
      <c r="C39" s="47">
        <v>-1.8993802699802484</v>
      </c>
      <c r="D39" s="47">
        <v>-1.5590410320552592</v>
      </c>
      <c r="E39" s="47">
        <v>-0.8783625562052836</v>
      </c>
      <c r="F39" s="47">
        <v>-0.24053136552628002</v>
      </c>
    </row>
    <row r="40">
      <c r="A40" s="50" t="n">
        <v>1.2</v>
      </c>
      <c r="B40" s="47">
        <v>-2.128371029752818</v>
      </c>
      <c r="C40" s="47">
        <v>-1.7199639442428334</v>
      </c>
      <c r="D40" s="47">
        <v>-1.311556858732847</v>
      </c>
      <c r="E40" s="47">
        <v>-0.5037245264728039</v>
      </c>
      <c r="F40" s="47">
        <v>0.20873428482897288</v>
      </c>
    </row>
    <row r="41">
      <c r="A41" s="50" t="n">
        <v>1.4</v>
      </c>
      <c r="B41" s="47">
        <v>-2.017022551600402</v>
      </c>
      <c r="C41" s="47">
        <v>-1.540547618505418</v>
      </c>
      <c r="D41" s="47">
        <v>-1.0640726854104348</v>
      </c>
      <c r="E41" s="47">
        <v>-0.16673983690245728</v>
      </c>
      <c r="F41" s="47">
        <v>0.6502799539447708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Pyxis Oncology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Solid tumors (basket)</t>
        </is>
      </c>
      <c r="C4" s="14" t="inlineStr">
        <is>
          <t>PYX-201, PYX-106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113.54812869523724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11.309999999999999</v>
      </c>
      <c r="T4" s="23">
        <f>IF(T$3&lt;$I4,0,$G4*Assumptions!$E$11*INDEX(Assumptions!$B$24:$G$24,MIN(6,T$3-$I4+1))*IF(T$3&gt;$J4,(1-Assumptions!$B$26)^(T$3-$J4),1)*IF($H4&gt;=1,1,MIN(0.97,$H4*Assumptions!$E$12)))</f>
        <v>28.275</v>
      </c>
      <c r="U4" s="23">
        <f>IF(U$3&lt;$I4,0,$G4*Assumptions!$E$11*INDEX(Assumptions!$B$24:$G$24,MIN(6,U$3-$I4+1))*IF(U$3&gt;$J4,(1-Assumptions!$B$26)^(U$3-$J4),1)*IF($H4&gt;=1,1,MIN(0.97,$H4*Assumptions!$E$12)))</f>
        <v>50.894999999999996</v>
      </c>
      <c r="V4" s="23">
        <f>IF(V$3&lt;$I4,0,$G4*Assumptions!$E$11*INDEX(Assumptions!$B$24:$G$24,MIN(6,V$3-$I4+1))*IF(V$3&gt;$J4,(1-Assumptions!$B$26)^(V$3-$J4),1)*IF($H4&gt;=1,1,MIN(0.97,$H4*Assumptions!$E$12)))</f>
        <v>73.515</v>
      </c>
      <c r="W4" s="23">
        <f>IF(W$3&lt;$I4,0,$G4*Assumptions!$E$11*INDEX(Assumptions!$B$24:$G$24,MIN(6,W$3-$I4+1))*IF(W$3&gt;$J4,(1-Assumptions!$B$26)^(W$3-$J4),1)*IF($H4&gt;=1,1,MIN(0.97,$H4*Assumptions!$E$12)))</f>
        <v>96.13499999999999</v>
      </c>
      <c r="X4" s="23">
        <f>IF(X$3&lt;$I4,0,$G4*Assumptions!$E$11*INDEX(Assumptions!$B$24:$G$24,MIN(6,X$3-$I4+1))*IF(X$3&gt;$J4,(1-Assumptions!$B$26)^(X$3-$J4),1)*IF($H4&gt;=1,1,MIN(0.97,$H4*Assumptions!$E$12)))</f>
        <v>113.1</v>
      </c>
      <c r="Y4" s="23">
        <f>IF(Y$3&lt;$I4,0,$G4*Assumptions!$E$11*INDEX(Assumptions!$B$24:$G$24,MIN(6,Y$3-$I4+1))*IF(Y$3&gt;$J4,(1-Assumptions!$B$26)^(Y$3-$J4),1)*IF($H4&gt;=1,1,MIN(0.97,$H4*Assumptions!$E$12)))</f>
        <v>113.1</v>
      </c>
      <c r="Z4" s="23">
        <f>IF(Z$3&lt;$I4,0,$G4*Assumptions!$E$11*INDEX(Assumptions!$B$24:$G$24,MIN(6,Z$3-$I4+1))*IF(Z$3&gt;$J4,(1-Assumptions!$B$26)^(Z$3-$J4),1)*IF($H4&gt;=1,1,MIN(0.97,$H4*Assumptions!$E$12)))</f>
        <v>113.1</v>
      </c>
      <c r="AA4" s="23">
        <f>IF(AA$3&lt;$I4,0,$G4*Assumptions!$E$11*INDEX(Assumptions!$B$24:$G$24,MIN(6,AA$3-$I4+1))*IF(AA$3&gt;$J4,(1-Assumptions!$B$26)^(AA$3-$J4),1)*IF($H4&gt;=1,1,MIN(0.97,$H4*Assumptions!$E$12)))</f>
        <v>113.1</v>
      </c>
      <c r="AB4" s="23">
        <f>IF(AB$3&lt;$I4,0,$G4*Assumptions!$E$11*INDEX(Assumptions!$B$24:$G$24,MIN(6,AB$3-$I4+1))*IF(AB$3&gt;$J4,(1-Assumptions!$B$26)^(AB$3-$J4),1)*IF($H4&gt;=1,1,MIN(0.97,$H4*Assumptions!$E$12)))</f>
        <v>113.1</v>
      </c>
      <c r="AC4" s="23">
        <f>IF(AC$3&lt;$I4,0,$G4*Assumptions!$E$11*INDEX(Assumptions!$B$24:$G$24,MIN(6,AC$3-$I4+1))*IF(AC$3&gt;$J4,(1-Assumptions!$B$26)^(AC$3-$J4),1)*IF($H4&gt;=1,1,MIN(0.97,$H4*Assumptions!$E$12)))</f>
        <v>113.1</v>
      </c>
      <c r="AD4" s="23">
        <f>IF(AD$3&lt;$I4,0,$G4*Assumptions!$E$11*INDEX(Assumptions!$B$24:$G$24,MIN(6,AD$3-$I4+1))*IF(AD$3&gt;$J4,(1-Assumptions!$B$26)^(AD$3-$J4),1)*IF($H4&gt;=1,1,MIN(0.97,$H4*Assumptions!$E$12)))</f>
        <v>113.1</v>
      </c>
      <c r="AE4" s="23">
        <f>IF(AE$3&lt;$I4,0,$G4*Assumptions!$E$11*INDEX(Assumptions!$B$24:$G$24,MIN(6,AE$3-$I4+1))*IF(AE$3&gt;$J4,(1-Assumptions!$B$26)^(AE$3-$J4),1)*IF($H4&gt;=1,1,MIN(0.97,$H4*Assumptions!$E$12)))</f>
        <v>113.1</v>
      </c>
      <c r="AF4" s="23">
        <f>IF(AF$3&lt;$I4,0,$G4*Assumptions!$E$11*INDEX(Assumptions!$B$24:$G$24,MIN(6,AF$3-$I4+1))*IF(AF$3&gt;$J4,(1-Assumptions!$B$26)^(AF$3-$J4),1)*IF($H4&gt;=1,1,MIN(0.97,$H4*Assumptions!$E$12)))</f>
        <v>56.55</v>
      </c>
      <c r="AG4" s="35">
        <f>IF(F4="Owned",1-IF(H4&gt;=1,1,MIN(0.97,H4*Assumptions!$E$12)),1)</f>
        <v>0.9246</v>
      </c>
    </row>
    <row r="5">
      <c r="B5" s="24" t="inlineStr">
        <is>
          <t>Risked revenue</t>
        </is>
      </c>
      <c r="L5" s="54">
        <f>SUM(L4:L4)</f>
        <v>113.54812869523724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11.309999999999999</v>
      </c>
      <c r="T5" s="54">
        <f>SUM(T4:T4)</f>
        <v>28.275</v>
      </c>
      <c r="U5" s="54">
        <f>SUM(U4:U4)</f>
        <v>50.894999999999996</v>
      </c>
      <c r="V5" s="54">
        <f>SUM(V4:V4)</f>
        <v>73.515</v>
      </c>
      <c r="W5" s="54">
        <f>SUM(W4:W4)</f>
        <v>96.13499999999999</v>
      </c>
      <c r="X5" s="54">
        <f>SUM(X4:X4)</f>
        <v>113.1</v>
      </c>
      <c r="Y5" s="54">
        <f>SUM(Y4:Y4)</f>
        <v>113.1</v>
      </c>
      <c r="Z5" s="54">
        <f>SUM(Z4:Z4)</f>
        <v>113.1</v>
      </c>
      <c r="AA5" s="54">
        <f>SUM(AA4:AA4)</f>
        <v>113.1</v>
      </c>
      <c r="AB5" s="54">
        <f>SUM(AB4:AB4)</f>
        <v>113.1</v>
      </c>
      <c r="AC5" s="54">
        <f>SUM(AC4:AC4)</f>
        <v>113.1</v>
      </c>
      <c r="AD5" s="54">
        <f>SUM(AD4:AD4)</f>
        <v>113.1</v>
      </c>
      <c r="AE5" s="54">
        <f>SUM(AE4:AE4)</f>
        <v>113.1</v>
      </c>
      <c r="AF5" s="54">
        <f>SUM(AF4:AF4)</f>
        <v>56.55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4.524</v>
      </c>
      <c r="T6" s="55">
        <f>SUMPRODUCT(T4:T4,$K$4:$K$4)</f>
        <v>11.31</v>
      </c>
      <c r="U6" s="55">
        <f>SUMPRODUCT(U4:U4,$K$4:$K$4)</f>
        <v>20.358</v>
      </c>
      <c r="V6" s="55">
        <f>SUMPRODUCT(V4:V4,$K$4:$K$4)</f>
        <v>29.406000000000002</v>
      </c>
      <c r="W6" s="55">
        <f>SUMPRODUCT(W4:W4,$K$4:$K$4)</f>
        <v>38.454</v>
      </c>
      <c r="X6" s="55">
        <f>SUMPRODUCT(X4:X4,$K$4:$K$4)</f>
        <v>45.24</v>
      </c>
      <c r="Y6" s="55">
        <f>SUMPRODUCT(Y4:Y4,$K$4:$K$4)</f>
        <v>45.24</v>
      </c>
      <c r="Z6" s="55">
        <f>SUMPRODUCT(Z4:Z4,$K$4:$K$4)</f>
        <v>45.24</v>
      </c>
      <c r="AA6" s="55">
        <f>SUMPRODUCT(AA4:AA4,$K$4:$K$4)</f>
        <v>45.24</v>
      </c>
      <c r="AB6" s="55">
        <f>SUMPRODUCT(AB4:AB4,$K$4:$K$4)</f>
        <v>45.24</v>
      </c>
      <c r="AC6" s="55">
        <f>SUMPRODUCT(AC4:AC4,$K$4:$K$4)</f>
        <v>45.24</v>
      </c>
      <c r="AD6" s="55">
        <f>SUMPRODUCT(AD4:AD4,$K$4:$K$4)</f>
        <v>45.24</v>
      </c>
      <c r="AE6" s="55">
        <f>SUMPRODUCT(AE4:AE4,$K$4:$K$4)</f>
        <v>45.24</v>
      </c>
      <c r="AF6" s="55">
        <f>SUMPRODUCT(AF4:AF4,$K$4:$K$4)</f>
        <v>22.62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Pyxis Oncology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11.309999999999999</v>
      </c>
      <c r="J4" s="57">
        <f>Pipeline!T5</f>
        <v>28.275</v>
      </c>
      <c r="K4" s="57">
        <f>Pipeline!U5</f>
        <v>50.894999999999996</v>
      </c>
      <c r="L4" s="57">
        <f>Pipeline!V5</f>
        <v>73.515</v>
      </c>
      <c r="M4" s="57">
        <f>Pipeline!W5</f>
        <v>96.13499999999999</v>
      </c>
      <c r="N4" s="57">
        <f>Pipeline!X5</f>
        <v>113.1</v>
      </c>
      <c r="O4" s="57">
        <f>Pipeline!Y5</f>
        <v>113.1</v>
      </c>
      <c r="P4" s="57">
        <f>Pipeline!Z5</f>
        <v>113.1</v>
      </c>
      <c r="Q4" s="57">
        <f>Pipeline!AA5</f>
        <v>113.1</v>
      </c>
      <c r="R4" s="57">
        <f>Pipeline!AB5</f>
        <v>113.1</v>
      </c>
      <c r="S4" s="57">
        <f>Pipeline!AC5</f>
        <v>113.1</v>
      </c>
      <c r="T4" s="57">
        <f>Pipeline!AD5</f>
        <v>113.1</v>
      </c>
      <c r="U4" s="57">
        <f>Pipeline!AE5</f>
        <v>113.1</v>
      </c>
      <c r="V4" s="57">
        <f>Pipeline!AF5</f>
        <v>56.55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4.524</v>
      </c>
      <c r="J5" s="57">
        <f>Pipeline!T6</f>
        <v>11.31</v>
      </c>
      <c r="K5" s="57">
        <f>Pipeline!U6</f>
        <v>20.358</v>
      </c>
      <c r="L5" s="57">
        <f>Pipeline!V6</f>
        <v>29.406000000000002</v>
      </c>
      <c r="M5" s="57">
        <f>Pipeline!W6</f>
        <v>38.454</v>
      </c>
      <c r="N5" s="57">
        <f>Pipeline!X6</f>
        <v>45.24</v>
      </c>
      <c r="O5" s="57">
        <f>Pipeline!Y6</f>
        <v>45.24</v>
      </c>
      <c r="P5" s="57">
        <f>Pipeline!Z6</f>
        <v>45.24</v>
      </c>
      <c r="Q5" s="57">
        <f>Pipeline!AA6</f>
        <v>45.24</v>
      </c>
      <c r="R5" s="57">
        <f>Pipeline!AB6</f>
        <v>45.24</v>
      </c>
      <c r="S5" s="57">
        <f>Pipeline!AC6</f>
        <v>45.24</v>
      </c>
      <c r="T5" s="57">
        <f>Pipeline!AD6</f>
        <v>45.24</v>
      </c>
      <c r="U5" s="57">
        <f>Pipeline!AE6</f>
        <v>45.24</v>
      </c>
      <c r="V5" s="57">
        <f>Pipeline!AF6</f>
        <v>22.62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-92.106</v>
      </c>
      <c r="D6" s="23">
        <f>-IF(D3-2026&lt;Assumptions!$B$19,Assumptions!$B$18,Assumptions!$B$18*Assumptions!$B$20*Assumptions!$B$16)</f>
        <v>-92.106</v>
      </c>
      <c r="E6" s="23">
        <f>-IF(E3-2026&lt;Assumptions!$B$19,Assumptions!$B$18,Assumptions!$B$18*Assumptions!$B$20*Assumptions!$B$16)</f>
        <v>-92.106</v>
      </c>
      <c r="F6" s="23">
        <f>-IF(F3-2026&lt;Assumptions!$B$19,Assumptions!$B$18,Assumptions!$B$18*Assumptions!$B$20*Assumptions!$B$16)</f>
        <v>-92.106</v>
      </c>
      <c r="G6" s="23">
        <f>-IF(G3-2026&lt;Assumptions!$B$19,Assumptions!$B$18,Assumptions!$B$18*Assumptions!$B$20*Assumptions!$B$16)</f>
        <v>-2.0834377200000005</v>
      </c>
      <c r="H6" s="23">
        <f>-IF(H3-2026&lt;Assumptions!$B$19,Assumptions!$B$18,Assumptions!$B$18*Assumptions!$B$20*Assumptions!$B$16)</f>
        <v>-2.0834377200000005</v>
      </c>
      <c r="I6" s="23">
        <f>-IF(I3-2026&lt;Assumptions!$B$19,Assumptions!$B$18,Assumptions!$B$18*Assumptions!$B$20*Assumptions!$B$16)</f>
        <v>-2.0834377200000005</v>
      </c>
      <c r="J6" s="23">
        <f>-IF(J3-2026&lt;Assumptions!$B$19,Assumptions!$B$18,Assumptions!$B$18*Assumptions!$B$20*Assumptions!$B$16)</f>
        <v>-2.0834377200000005</v>
      </c>
      <c r="K6" s="23">
        <f>-IF(K3-2026&lt;Assumptions!$B$19,Assumptions!$B$18,Assumptions!$B$18*Assumptions!$B$20*Assumptions!$B$16)</f>
        <v>-2.0834377200000005</v>
      </c>
      <c r="L6" s="23">
        <f>-IF(L3-2026&lt;Assumptions!$B$19,Assumptions!$B$18,Assumptions!$B$18*Assumptions!$B$20*Assumptions!$B$16)</f>
        <v>-2.0834377200000005</v>
      </c>
      <c r="M6" s="23">
        <f>-IF(M3-2026&lt;Assumptions!$B$19,Assumptions!$B$18,Assumptions!$B$18*Assumptions!$B$20*Assumptions!$B$16)</f>
        <v>-2.0834377200000005</v>
      </c>
      <c r="N6" s="23">
        <f>-IF(N3-2026&lt;Assumptions!$B$19,Assumptions!$B$18,Assumptions!$B$18*Assumptions!$B$20*Assumptions!$B$16)</f>
        <v>-2.0834377200000005</v>
      </c>
      <c r="O6" s="23">
        <f>-IF(O3-2026&lt;Assumptions!$B$19,Assumptions!$B$18,Assumptions!$B$18*Assumptions!$B$20*Assumptions!$B$16)</f>
        <v>-2.0834377200000005</v>
      </c>
      <c r="P6" s="23">
        <f>-IF(P3-2026&lt;Assumptions!$B$19,Assumptions!$B$18,Assumptions!$B$18*Assumptions!$B$20*Assumptions!$B$16)</f>
        <v>-2.0834377200000005</v>
      </c>
      <c r="Q6" s="23">
        <f>-IF(Q3-2026&lt;Assumptions!$B$19,Assumptions!$B$18,Assumptions!$B$18*Assumptions!$B$20*Assumptions!$B$16)</f>
        <v>-2.0834377200000005</v>
      </c>
      <c r="R6" s="23">
        <f>-IF(R3-2026&lt;Assumptions!$B$19,Assumptions!$B$18,Assumptions!$B$18*Assumptions!$B$20*Assumptions!$B$16)</f>
        <v>-2.0834377200000005</v>
      </c>
      <c r="S6" s="23">
        <f>-IF(S3-2026&lt;Assumptions!$B$19,Assumptions!$B$18,Assumptions!$B$18*Assumptions!$B$20*Assumptions!$B$16)</f>
        <v>-2.0834377200000005</v>
      </c>
      <c r="T6" s="23">
        <f>-IF(T3-2026&lt;Assumptions!$B$19,Assumptions!$B$18,Assumptions!$B$18*Assumptions!$B$20*Assumptions!$B$16)</f>
        <v>-2.0834377200000005</v>
      </c>
      <c r="U6" s="23">
        <f>-IF(U3-2026&lt;Assumptions!$B$19,Assumptions!$B$18,Assumptions!$B$18*Assumptions!$B$20*Assumptions!$B$16)</f>
        <v>-2.0834377200000005</v>
      </c>
      <c r="V6" s="23">
        <f>-IF(V3-2026&lt;Assumptions!$B$19,Assumptions!$B$18,Assumptions!$B$18*Assumptions!$B$20*Assumptions!$B$16)</f>
        <v>-2.0834377200000005</v>
      </c>
    </row>
    <row r="7">
      <c r="A7" s="14" t="inlineStr">
        <is>
          <t>Pre-tax cash flow</t>
        </is>
      </c>
      <c r="C7" s="23">
        <f>C5+C6</f>
        <v>-92.106</v>
      </c>
      <c r="D7" s="23">
        <f>D5+D6</f>
        <v>-92.106</v>
      </c>
      <c r="E7" s="23">
        <f>E5+E6</f>
        <v>-92.106</v>
      </c>
      <c r="F7" s="23">
        <f>F5+F6</f>
        <v>-92.106</v>
      </c>
      <c r="G7" s="23">
        <f>G5+G6</f>
        <v>-2.0834377200000005</v>
      </c>
      <c r="H7" s="23">
        <f>H5+H6</f>
        <v>-2.0834377200000005</v>
      </c>
      <c r="I7" s="23">
        <f>I5+I6</f>
        <v>2.4405622799999995</v>
      </c>
      <c r="J7" s="23">
        <f>J5+J6</f>
        <v>9.22656228</v>
      </c>
      <c r="K7" s="23">
        <f>K5+K6</f>
        <v>18.27456228</v>
      </c>
      <c r="L7" s="23">
        <f>L5+L6</f>
        <v>27.322562280000003</v>
      </c>
      <c r="M7" s="23">
        <f>M5+M6</f>
        <v>36.37056228</v>
      </c>
      <c r="N7" s="23">
        <f>N5+N6</f>
        <v>43.15656228</v>
      </c>
      <c r="O7" s="23">
        <f>O5+O6</f>
        <v>43.15656228</v>
      </c>
      <c r="P7" s="23">
        <f>P5+P6</f>
        <v>43.15656228</v>
      </c>
      <c r="Q7" s="23">
        <f>Q5+Q6</f>
        <v>43.15656228</v>
      </c>
      <c r="R7" s="23">
        <f>R5+R6</f>
        <v>43.15656228</v>
      </c>
      <c r="S7" s="23">
        <f>S5+S6</f>
        <v>43.15656228</v>
      </c>
      <c r="T7" s="23">
        <f>T5+T6</f>
        <v>43.15656228</v>
      </c>
      <c r="U7" s="23">
        <f>U5+U6</f>
        <v>43.15656228</v>
      </c>
      <c r="V7" s="23">
        <f>V5+V6</f>
        <v>20.536562280000002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2.4405622799999995</v>
      </c>
      <c r="J8" s="23">
        <f>MIN(I17,MAX(0,J7))</f>
        <v>9.22656228</v>
      </c>
      <c r="K8" s="23">
        <f>MIN(J17,MAX(0,K7))</f>
        <v>18.27456228</v>
      </c>
      <c r="L8" s="23">
        <f>MIN(K17,MAX(0,L7))</f>
        <v>27.322562280000003</v>
      </c>
      <c r="M8" s="23">
        <f>MIN(L17,MAX(0,M7))</f>
        <v>36.37056228</v>
      </c>
      <c r="N8" s="23">
        <f>MIN(M17,MAX(0,N7))</f>
        <v>43.15656228</v>
      </c>
      <c r="O8" s="23">
        <f>MIN(N17,MAX(0,O7))</f>
        <v>43.15656228</v>
      </c>
      <c r="P8" s="23">
        <f>MIN(O17,MAX(0,P7))</f>
        <v>43.15656228</v>
      </c>
      <c r="Q8" s="23">
        <f>MIN(P17,MAX(0,Q7))</f>
        <v>43.15656228</v>
      </c>
      <c r="R8" s="23">
        <f>MIN(Q17,MAX(0,R7))</f>
        <v>43.15656228</v>
      </c>
      <c r="S8" s="23">
        <f>MIN(R17,MAX(0,S7))</f>
        <v>43.15656228</v>
      </c>
      <c r="T8" s="23">
        <f>MIN(S17,MAX(0,T7))</f>
        <v>43.15656228</v>
      </c>
      <c r="U8" s="23">
        <f>MIN(T17,MAX(0,U7))</f>
        <v>43.15656228</v>
      </c>
      <c r="V8" s="23">
        <f>MIN(U17,MAX(0,V7))</f>
        <v>20.536562280000002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-92.106</v>
      </c>
      <c r="D11" s="55">
        <f>D7-D10</f>
        <v>-92.106</v>
      </c>
      <c r="E11" s="55">
        <f>E7-E10</f>
        <v>-92.106</v>
      </c>
      <c r="F11" s="55">
        <f>F7-F10</f>
        <v>-92.106</v>
      </c>
      <c r="G11" s="55">
        <f>G7-G10</f>
        <v>-2.0834377200000005</v>
      </c>
      <c r="H11" s="55">
        <f>H7-H10</f>
        <v>-2.0834377200000005</v>
      </c>
      <c r="I11" s="55">
        <f>I7-I10</f>
        <v>2.4405622799999995</v>
      </c>
      <c r="J11" s="55">
        <f>J7-J10</f>
        <v>9.22656228</v>
      </c>
      <c r="K11" s="55">
        <f>K7-K10</f>
        <v>18.27456228</v>
      </c>
      <c r="L11" s="55">
        <f>L7-L10</f>
        <v>27.322562280000003</v>
      </c>
      <c r="M11" s="55">
        <f>M7-M10</f>
        <v>36.37056228</v>
      </c>
      <c r="N11" s="55">
        <f>N7-N10</f>
        <v>43.15656228</v>
      </c>
      <c r="O11" s="55">
        <f>O7-O10</f>
        <v>43.15656228</v>
      </c>
      <c r="P11" s="55">
        <f>P7-P10</f>
        <v>43.15656228</v>
      </c>
      <c r="Q11" s="55">
        <f>Q7-Q10</f>
        <v>43.15656228</v>
      </c>
      <c r="R11" s="55">
        <f>R7-R10</f>
        <v>43.15656228</v>
      </c>
      <c r="S11" s="55">
        <f>S7-S10</f>
        <v>43.15656228</v>
      </c>
      <c r="T11" s="55">
        <f>T7-T10</f>
        <v>43.15656228</v>
      </c>
      <c r="U11" s="55">
        <f>U7-U10</f>
        <v>43.15656228</v>
      </c>
      <c r="V11" s="55">
        <f>V7-V10</f>
        <v>20.536562280000002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-45.12312997034439</v>
      </c>
      <c r="D16" s="55">
        <f>D11*D15</f>
        <v>-82.19929741824893</v>
      </c>
      <c r="E16" s="55">
        <f>E11*E15</f>
        <v>-73.39222983772224</v>
      </c>
      <c r="F16" s="55">
        <f>F11*F15</f>
        <v>-65.52877664082342</v>
      </c>
      <c r="G16" s="55">
        <f>G11*G15</f>
        <v>-1.3234472567994877</v>
      </c>
      <c r="H16" s="55">
        <f>H11*H15</f>
        <v>-1.181649336428114</v>
      </c>
      <c r="I16" s="55">
        <f>I11*I15</f>
        <v>1.2358904172577447</v>
      </c>
      <c r="J16" s="55">
        <f>J11*J15</f>
        <v>4.171689391712257</v>
      </c>
      <c r="K16" s="55">
        <f>K11*K15</f>
        <v>7.377360534118068</v>
      </c>
      <c r="L16" s="55">
        <f>L11*L15</f>
        <v>9.848212854521856</v>
      </c>
      <c r="M16" s="55">
        <f>M11*M15</f>
        <v>11.704907732789291</v>
      </c>
      <c r="N16" s="55">
        <f>N11*N15</f>
        <v>12.400717088150206</v>
      </c>
      <c r="O16" s="55">
        <f>O11*O15</f>
        <v>11.07206882870554</v>
      </c>
      <c r="P16" s="55">
        <f>P11*P15</f>
        <v>9.885775739915658</v>
      </c>
      <c r="Q16" s="55">
        <f>Q11*Q15</f>
        <v>8.826585482067552</v>
      </c>
      <c r="R16" s="55">
        <f>R11*R15</f>
        <v>7.880879894703171</v>
      </c>
      <c r="S16" s="55">
        <f>S11*S15</f>
        <v>7.036499905984973</v>
      </c>
      <c r="T16" s="55">
        <f>T11*T15</f>
        <v>6.282589201772297</v>
      </c>
      <c r="U16" s="55">
        <f>U11*U15</f>
        <v>5.609454644439551</v>
      </c>
      <c r="V16" s="55">
        <f>V11*V15</f>
        <v>2.3833263905116997</v>
      </c>
    </row>
    <row r="17">
      <c r="A17" s="14" t="inlineStr">
        <is>
          <t>Tax-loss carryforward, end of year</t>
        </is>
      </c>
      <c r="C17" s="23">
        <f>Assumptions!$B$21-C8+MAX(0,-C7)</f>
        <v>532.406</v>
      </c>
      <c r="D17" s="23">
        <f>C17-D8+MAX(0,-D7)</f>
        <v>624.512</v>
      </c>
      <c r="E17" s="23">
        <f>D17-E8+MAX(0,-E7)</f>
        <v>716.6179999999999</v>
      </c>
      <c r="F17" s="23">
        <f>E17-F8+MAX(0,-F7)</f>
        <v>808.7239999999999</v>
      </c>
      <c r="G17" s="23">
        <f>F17-G8+MAX(0,-G7)</f>
        <v>810.8074377199999</v>
      </c>
      <c r="H17" s="23">
        <f>G17-H8+MAX(0,-H7)</f>
        <v>812.89087544</v>
      </c>
      <c r="I17" s="23">
        <f>H17-I8+MAX(0,-I7)</f>
        <v>810.45031316</v>
      </c>
      <c r="J17" s="23">
        <f>I17-J8+MAX(0,-J7)</f>
        <v>801.2237508799999</v>
      </c>
      <c r="K17" s="23">
        <f>J17-K8+MAX(0,-K7)</f>
        <v>782.9491885999998</v>
      </c>
      <c r="L17" s="23">
        <f>K17-L8+MAX(0,-L7)</f>
        <v>755.6266263199998</v>
      </c>
      <c r="M17" s="23">
        <f>L17-M8+MAX(0,-M7)</f>
        <v>719.2560640399997</v>
      </c>
      <c r="N17" s="23">
        <f>M17-N8+MAX(0,-N7)</f>
        <v>676.0995017599997</v>
      </c>
      <c r="O17" s="23">
        <f>N17-O8+MAX(0,-O7)</f>
        <v>632.9429394799997</v>
      </c>
      <c r="P17" s="23">
        <f>O17-P8+MAX(0,-P7)</f>
        <v>589.7863771999997</v>
      </c>
      <c r="Q17" s="23">
        <f>P17-Q8+MAX(0,-Q7)</f>
        <v>546.6298149199997</v>
      </c>
      <c r="R17" s="23">
        <f>Q17-R8+MAX(0,-R7)</f>
        <v>503.4732526399997</v>
      </c>
      <c r="S17" s="23">
        <f>R17-S8+MAX(0,-S7)</f>
        <v>460.3166903599997</v>
      </c>
      <c r="T17" s="23">
        <f>S17-T8+MAX(0,-T7)</f>
        <v>417.1601280799997</v>
      </c>
      <c r="U17" s="23">
        <f>T17-U8+MAX(0,-U7)</f>
        <v>374.0035657999997</v>
      </c>
      <c r="V17" s="23">
        <f>U17-V8+MAX(0,-V7)</f>
        <v>353.4670035199997</v>
      </c>
    </row>
    <row r="19">
      <c r="A19" s="14" t="inlineStr">
        <is>
          <t>PV of risked pipeline contribution</t>
        </is>
      </c>
      <c r="B19" s="23">
        <f>SUMPRODUCT(C5:V5,C15:V15)</f>
        <v>113.54812869523724</v>
      </c>
    </row>
    <row r="20">
      <c r="A20" s="14" t="inlineStr">
        <is>
          <t>PV of corporate burn</t>
        </is>
      </c>
      <c r="B20" s="23">
        <f>SUMPRODUCT(C6:V6,C15:V15)</f>
        <v>-276.580701048954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-163.0325723537167</v>
      </c>
    </row>
    <row r="23">
      <c r="A23" s="14" t="inlineStr">
        <is>
          <t>Cash &amp; investments</t>
        </is>
      </c>
      <c r="B23" s="57">
        <f>Main!C7</f>
        <v>32.996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-130.03657235371668</v>
      </c>
    </row>
    <row r="26">
      <c r="A26" s="14" t="inlineStr">
        <is>
          <t>Shares (mm)</t>
        </is>
      </c>
      <c r="B26" s="57">
        <f>Main!C4</f>
        <v>83.40805</v>
      </c>
    </row>
    <row r="27">
      <c r="A27" s="24" t="inlineStr">
        <is>
          <t>rNPV / share</t>
        </is>
      </c>
      <c r="B27" s="60">
        <f>B25/B26</f>
        <v>-1.5590410320552592</v>
      </c>
    </row>
    <row r="28">
      <c r="A28" s="14" t="inlineStr">
        <is>
          <t>Price</t>
        </is>
      </c>
      <c r="B28" s="61">
        <f>Main!C3</f>
        <v>1.84</v>
      </c>
    </row>
    <row r="29">
      <c r="A29" s="14" t="inlineStr">
        <is>
          <t>Upside</t>
        </is>
      </c>
      <c r="B29" s="62">
        <f>B27/B28-1</f>
        <v>-1.8473049087256843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2026-10-21T06:27:26Z</dcterms:modified>
  <cp:lastModifiedBy>Wang, Eric</cp:lastModifiedBy>
</cp:coreProperties>
</file>