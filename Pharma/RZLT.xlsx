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Rezolute, Inc.</t>
        </is>
      </c>
      <c r="C2" s="10" t="n"/>
    </row>
    <row r="3">
      <c r="B3" t="inlineStr">
        <is>
          <t>Price</t>
        </is>
      </c>
      <c r="C3" s="11">
        <f>INDEX([1]Pharma!$F$1:$F$1000,MATCH("RZLT",[1]Pharma!$B$1:$B$1000,0))</f>
        <v>3.7</v>
      </c>
      <c r="F3" s="1" t="n"/>
    </row>
    <row r="4">
      <c r="B4" t="inlineStr">
        <is>
          <t>Shares</t>
        </is>
      </c>
      <c r="C4" s="21" t="n">
        <v>96.72233300000001</v>
      </c>
      <c r="F4" s="1" t="n"/>
    </row>
    <row r="5">
      <c r="B5" t="inlineStr">
        <is>
          <t>Market Cap.</t>
        </is>
      </c>
      <c r="C5" s="13">
        <f>C3*C4</f>
        <v>357.87263210000003</v>
      </c>
      <c r="F5" s="1" t="n"/>
    </row>
    <row r="6"/>
    <row r="7">
      <c r="B7" t="inlineStr">
        <is>
          <t>Cash</t>
        </is>
      </c>
      <c r="C7" s="21">
        <f>10.615+97.186</f>
        <v>107.801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250.07163210000004</v>
      </c>
    </row>
    <row r="10"/>
    <row r="11">
      <c r="B11" s="14" t="inlineStr">
        <is>
          <t>Net Cash / Share</t>
        </is>
      </c>
      <c r="C11" s="11">
        <f>(C7-C8)/C4</f>
        <v>1.1145409406119267</v>
      </c>
    </row>
    <row r="12">
      <c r="B12" s="14" t="inlineStr">
        <is>
          <t>Upside</t>
        </is>
      </c>
      <c r="C12" s="15">
        <f>IFERROR(C11/C3-1,"")</f>
        <v>-0.6987727187535333</v>
      </c>
    </row>
    <row r="13">
      <c r="B13" s="14" t="inlineStr">
        <is>
          <t>Cash / Share</t>
        </is>
      </c>
      <c r="C13" s="11">
        <f>IFERROR((C7-C8)/C4,"")</f>
        <v>1.1145409406119267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-64.63500000000001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1.6678425001933936</v>
      </c>
    </row>
    <row r="19">
      <c r="B19" s="14" t="inlineStr">
        <is>
          <t>Implied Pipeline Value</t>
        </is>
      </c>
      <c r="C19" s="13">
        <f>C9</f>
        <v>250.07163210000004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2011</v>
      </c>
      <c r="C1" s="17" t="n">
        <v>2012</v>
      </c>
      <c r="D1" s="17" t="n">
        <v>2013</v>
      </c>
      <c r="E1" s="17" t="n">
        <v>2014</v>
      </c>
      <c r="F1" s="17" t="n">
        <v>2015</v>
      </c>
      <c r="G1" s="17" t="n">
        <v>2016</v>
      </c>
      <c r="H1" s="17" t="n">
        <v>2017</v>
      </c>
      <c r="I1" s="17" t="n">
        <v>2018</v>
      </c>
      <c r="J1" s="17" t="n">
        <v>2019</v>
      </c>
      <c r="K1" s="17" t="n">
        <v>2020</v>
      </c>
      <c r="L1" s="17" t="n">
        <v>2021</v>
      </c>
      <c r="M1" s="17" t="n">
        <v>2022</v>
      </c>
      <c r="N1" s="17" t="n">
        <v>2023</v>
      </c>
      <c r="O1" s="17" t="n">
        <v>2024</v>
      </c>
      <c r="P1" s="17" t="n">
        <v>2025</v>
      </c>
      <c r="Q1" s="17" t="n">
        <v>2026</v>
      </c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0</v>
      </c>
      <c r="Q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  <c r="M4" s="23">
        <f>M2-M3</f>
        <v>0.0</v>
      </c>
      <c r="N4" s="23">
        <f>N2-N3</f>
        <v>0.0</v>
      </c>
      <c r="O4" s="23">
        <f>O2-O3</f>
        <v>0.0</v>
      </c>
      <c r="P4" s="23">
        <f>P2-P3</f>
        <v>0.0</v>
      </c>
      <c r="Q4" s="23">
        <f>Q2-Q3</f>
        <v>0.0</v>
      </c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0.003</v>
      </c>
      <c r="E5" s="23" t="n">
        <v>0.034</v>
      </c>
      <c r="F5" s="23" t="n">
        <v>4.701</v>
      </c>
      <c r="G5" s="23" t="n">
        <v>9.448</v>
      </c>
      <c r="H5" s="23" t="n">
        <v>12.095</v>
      </c>
      <c r="I5" s="23" t="n">
        <v>17.28</v>
      </c>
      <c r="J5" s="23" t="n">
        <v>19.079</v>
      </c>
      <c r="K5" s="23" t="n">
        <v>14.45</v>
      </c>
      <c r="L5" s="23" t="n">
        <v>14.987</v>
      </c>
      <c r="M5" s="23" t="n">
        <v>32.486</v>
      </c>
      <c r="N5" s="23" t="n">
        <v>43.813</v>
      </c>
      <c r="O5" s="23" t="n">
        <v>55.743</v>
      </c>
      <c r="P5" s="23" t="n">
        <v>61.527</v>
      </c>
      <c r="Q5" s="23" t="n">
        <v>53.798</v>
      </c>
    </row>
    <row r="6">
      <c r="A6" s="19" t="inlineStr">
        <is>
          <t>SG&amp;A &amp; Other</t>
        </is>
      </c>
      <c r="B6" s="23" t="n">
        <v>0.393</v>
      </c>
      <c r="C6" s="23" t="n">
        <v>0.049</v>
      </c>
      <c r="D6" s="23" t="n">
        <v>6.103</v>
      </c>
      <c r="E6" s="23" t="n">
        <v>5.142</v>
      </c>
      <c r="F6" s="23" t="n">
        <v>5.997</v>
      </c>
      <c r="G6" s="23" t="n">
        <v>5.503</v>
      </c>
      <c r="H6" s="23" t="n">
        <v>8.228999999999999</v>
      </c>
      <c r="I6" s="23" t="n">
        <v>11.454</v>
      </c>
      <c r="J6" s="23" t="n">
        <v>6.865</v>
      </c>
      <c r="K6" s="23" t="n">
        <v>6.071</v>
      </c>
      <c r="L6" s="23" t="n">
        <v>7.907</v>
      </c>
      <c r="M6" s="23" t="n">
        <v>9.356999999999999</v>
      </c>
      <c r="N6" s="23" t="n">
        <v>12.177</v>
      </c>
      <c r="O6" s="23" t="n">
        <v>14.68</v>
      </c>
      <c r="P6" s="23" t="n">
        <v>18.367</v>
      </c>
      <c r="Q6" s="23" t="n">
        <v>29.168</v>
      </c>
    </row>
    <row r="7">
      <c r="A7" s="2" t="inlineStr">
        <is>
          <t>Operating Expense</t>
        </is>
      </c>
      <c r="B7" s="23">
        <f>SUM(B5:B6)</f>
        <v>0.393</v>
      </c>
      <c r="C7" s="23">
        <f>SUM(C5:C6)</f>
        <v>0.049</v>
      </c>
      <c r="D7" s="23">
        <f>SUM(D5:D6)</f>
        <v>6.106</v>
      </c>
      <c r="E7" s="23">
        <f>SUM(E5:E6)</f>
        <v>5.176</v>
      </c>
      <c r="F7" s="23">
        <f>SUM(F5:F6)</f>
        <v>10.698</v>
      </c>
      <c r="G7" s="23">
        <f>SUM(G5:G6)</f>
        <v>14.951</v>
      </c>
      <c r="H7" s="23">
        <f>SUM(H5:H6)</f>
        <v>20.323999999999998</v>
      </c>
      <c r="I7" s="23">
        <f>SUM(I5:I6)</f>
        <v>28.734</v>
      </c>
      <c r="J7" s="23">
        <f>SUM(J5:J6)</f>
        <v>25.944000000000003</v>
      </c>
      <c r="K7" s="23">
        <f>SUM(K5:K6)</f>
        <v>20.521</v>
      </c>
      <c r="L7" s="23">
        <f>SUM(L5:L6)</f>
        <v>22.894</v>
      </c>
      <c r="M7" s="23">
        <f>SUM(M5:M6)</f>
        <v>41.842999999999996</v>
      </c>
      <c r="N7" s="23">
        <f>SUM(N5:N6)</f>
        <v>55.99</v>
      </c>
      <c r="O7" s="23">
        <f>SUM(O5:O6)</f>
        <v>70.423</v>
      </c>
      <c r="P7" s="23">
        <f>SUM(P5:P6)</f>
        <v>79.894</v>
      </c>
      <c r="Q7" s="23">
        <f>SUM(Q5:Q6)</f>
        <v>82.96600000000001</v>
      </c>
    </row>
    <row r="8">
      <c r="A8" s="2" t="inlineStr">
        <is>
          <t>Operating Income</t>
        </is>
      </c>
      <c r="B8" s="23">
        <f>B4-B7</f>
        <v>-0.393</v>
      </c>
      <c r="C8" s="23">
        <f>C4-C7</f>
        <v>-0.049</v>
      </c>
      <c r="D8" s="23">
        <f>D4-D7</f>
        <v>-6.106</v>
      </c>
      <c r="E8" s="23">
        <f>E4-E7</f>
        <v>-5.176</v>
      </c>
      <c r="F8" s="23">
        <f>F4-F7</f>
        <v>-10.698</v>
      </c>
      <c r="G8" s="23">
        <f>G4-G7</f>
        <v>-14.951</v>
      </c>
      <c r="H8" s="23">
        <f>H4-H7</f>
        <v>-20.323999999999998</v>
      </c>
      <c r="I8" s="23">
        <f>I4-I7</f>
        <v>-28.734</v>
      </c>
      <c r="J8" s="23">
        <f>J4-J7</f>
        <v>-25.944000000000003</v>
      </c>
      <c r="K8" s="23">
        <f>K4-K7</f>
        <v>-20.521</v>
      </c>
      <c r="L8" s="23">
        <f>L4-L7</f>
        <v>-22.894</v>
      </c>
      <c r="M8" s="23">
        <f>M4-M7</f>
        <v>-41.842999999999996</v>
      </c>
      <c r="N8" s="23">
        <f>N4-N7</f>
        <v>-55.99</v>
      </c>
      <c r="O8" s="23">
        <f>O4-O7</f>
        <v>-70.423</v>
      </c>
      <c r="P8" s="23">
        <f>P4-P7</f>
        <v>-79.894</v>
      </c>
      <c r="Q8" s="23">
        <f>Q4-Q7</f>
        <v>-82.96600000000001</v>
      </c>
    </row>
    <row r="9">
      <c r="A9" s="19" t="inlineStr">
        <is>
          <t>Interest &amp; Other</t>
        </is>
      </c>
      <c r="B9" s="23" t="n">
        <v>-0.197</v>
      </c>
      <c r="C9" s="23" t="n">
        <v>-0.734</v>
      </c>
      <c r="D9" s="23" t="n">
        <v>-0.621</v>
      </c>
      <c r="E9" s="23" t="n">
        <v>-4.554</v>
      </c>
      <c r="F9" s="23" t="n">
        <v>-0.664</v>
      </c>
      <c r="G9" s="23" t="n">
        <v>0.016</v>
      </c>
      <c r="H9" s="23" t="n">
        <v>0.047</v>
      </c>
      <c r="I9" s="23" t="n">
        <v>-1.128</v>
      </c>
      <c r="J9" s="23" t="n">
        <v>-4.502</v>
      </c>
      <c r="K9" s="23" t="n">
        <v>0.188</v>
      </c>
      <c r="L9" s="23" t="n">
        <v>1.992</v>
      </c>
      <c r="M9" s="23" t="n">
        <v>0.783</v>
      </c>
      <c r="N9" s="23" t="n">
        <v>4.203</v>
      </c>
      <c r="O9" s="23" t="n">
        <v>1.964</v>
      </c>
      <c r="P9" s="23" t="n">
        <v>5.482</v>
      </c>
      <c r="Q9" s="23" t="n">
        <v>5.38</v>
      </c>
    </row>
    <row r="10">
      <c r="A10" s="2" t="inlineStr">
        <is>
          <t>Pretax</t>
        </is>
      </c>
      <c r="B10" s="23">
        <f>B8+B9</f>
        <v>-0.5900000000000001</v>
      </c>
      <c r="C10" s="23">
        <f>C8+C9</f>
        <v>-0.783</v>
      </c>
      <c r="D10" s="23">
        <f>D8+D9</f>
        <v>-6.727</v>
      </c>
      <c r="E10" s="23">
        <f>E8+E9</f>
        <v>-9.73</v>
      </c>
      <c r="F10" s="23">
        <f>F8+F9</f>
        <v>-11.362</v>
      </c>
      <c r="G10" s="23">
        <f>G8+G9</f>
        <v>-14.935</v>
      </c>
      <c r="H10" s="23">
        <f>H8+H9</f>
        <v>-20.276999999999997</v>
      </c>
      <c r="I10" s="23">
        <f>I8+I9</f>
        <v>-29.862000000000002</v>
      </c>
      <c r="J10" s="23">
        <f>J8+J9</f>
        <v>-30.446</v>
      </c>
      <c r="K10" s="23">
        <f>K8+K9</f>
        <v>-20.333000000000002</v>
      </c>
      <c r="L10" s="23">
        <f>L8+L9</f>
        <v>-20.901999999999997</v>
      </c>
      <c r="M10" s="23">
        <f>M8+M9</f>
        <v>-41.059999999999995</v>
      </c>
      <c r="N10" s="23">
        <f>N8+N9</f>
        <v>-51.787</v>
      </c>
      <c r="O10" s="23">
        <f>O8+O9</f>
        <v>-68.459</v>
      </c>
      <c r="P10" s="23">
        <f>P8+P9</f>
        <v>-74.412</v>
      </c>
      <c r="Q10" s="23">
        <f>Q8+Q9</f>
        <v>-77.58600000000001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</row>
    <row r="12">
      <c r="A12" s="2" t="inlineStr">
        <is>
          <t>Net Income</t>
        </is>
      </c>
      <c r="B12" s="23" t="n">
        <v>-0.59</v>
      </c>
      <c r="C12" s="23" t="n">
        <v>-0.783</v>
      </c>
      <c r="D12" s="23" t="n">
        <v>-6.727</v>
      </c>
      <c r="E12" s="23" t="n">
        <v>-9.73</v>
      </c>
      <c r="F12" s="23" t="n">
        <v>-11.362</v>
      </c>
      <c r="G12" s="23" t="n">
        <v>-14.936</v>
      </c>
      <c r="H12" s="23" t="n">
        <v>-20.277</v>
      </c>
      <c r="I12" s="23" t="n">
        <v>-29.862</v>
      </c>
      <c r="J12" s="23" t="n">
        <v>-30.446</v>
      </c>
      <c r="K12" s="23" t="n">
        <v>-20.333</v>
      </c>
      <c r="L12" s="23" t="n">
        <v>-20.902</v>
      </c>
      <c r="M12" s="23" t="n">
        <v>-41.06</v>
      </c>
      <c r="N12" s="23" t="n">
        <v>-51.787</v>
      </c>
      <c r="O12" s="23" t="n">
        <v>-68.459</v>
      </c>
      <c r="P12" s="23" t="n">
        <v>-74.41200000000001</v>
      </c>
      <c r="Q12" s="23" t="n">
        <v>-77.586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-25.481060606060606</v>
      </c>
      <c r="E13" s="11">
        <f>IFERROR(E12/E14,0)</f>
        <v>-24.325</v>
      </c>
      <c r="F13" s="11">
        <f>IFERROR(F12/F14,0)</f>
        <v>-12.737668161434977</v>
      </c>
      <c r="G13" s="11">
        <f>IFERROR(G12/G14,0)</f>
        <v>-14.157345971563982</v>
      </c>
      <c r="H13" s="11">
        <f>IFERROR(H12/H14,0)</f>
        <v>-11.527572484366118</v>
      </c>
      <c r="I13" s="11">
        <f>IFERROR(I12/I14,0)</f>
        <v>-12.599999999999998</v>
      </c>
      <c r="J13" s="11">
        <f>IFERROR(J12/J14,0)</f>
        <v>-12.840995360607339</v>
      </c>
      <c r="K13" s="11">
        <f>IFERROR(K12/K14,0)</f>
        <v>-2.650286757038582</v>
      </c>
      <c r="L13" s="11">
        <f>IFERROR(L12/L14,0)</f>
        <v>-2.724807717377135</v>
      </c>
      <c r="M13" s="11">
        <f>IFERROR(M12/M14,0)</f>
        <v>-2.1070457227895525</v>
      </c>
      <c r="N13" s="11">
        <f>IFERROR(N12/N14,0)</f>
        <v>-1.011721726219548</v>
      </c>
      <c r="O13" s="11">
        <f>IFERROR(O12/O14,0)</f>
        <v>-1.3301791473982825</v>
      </c>
      <c r="P13" s="11">
        <f>IFERROR(P12/P14,0)</f>
        <v>-0.9791181462913987</v>
      </c>
      <c r="Q13" s="11">
        <f>IFERROR(Q12/Q14,0)</f>
        <v>-0.7466869412070409</v>
      </c>
    </row>
    <row r="14">
      <c r="A14" s="2" t="inlineStr">
        <is>
          <t>Shares</t>
        </is>
      </c>
      <c r="B14" s="23" t="n"/>
      <c r="C14" s="23" t="n"/>
      <c r="D14" s="23" t="n">
        <v>0.264</v>
      </c>
      <c r="E14" s="23" t="n">
        <v>0.4</v>
      </c>
      <c r="F14" s="23" t="n">
        <v>0.892</v>
      </c>
      <c r="G14" s="23" t="n">
        <v>1.055</v>
      </c>
      <c r="H14" s="23" t="n">
        <v>1.759</v>
      </c>
      <c r="I14" s="23" t="n">
        <v>2.37</v>
      </c>
      <c r="J14" s="23" t="n">
        <v>2.371</v>
      </c>
      <c r="K14" s="23" t="n">
        <v>7.672</v>
      </c>
      <c r="L14" s="23" t="n">
        <v>7.671</v>
      </c>
      <c r="M14" s="23" t="n">
        <v>19.487</v>
      </c>
      <c r="N14" s="23" t="n">
        <v>51.187</v>
      </c>
      <c r="O14" s="23" t="n">
        <v>51.466</v>
      </c>
      <c r="P14" s="23" t="n">
        <v>75.999</v>
      </c>
      <c r="Q14" s="23" t="n">
        <v>103.907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/>
      </c>
      <c r="O16" s="15">
        <f>IFERROR(O2/N2-1,"")</f>
        <v/>
      </c>
      <c r="P16" s="15">
        <f>IFERROR(P2/O2-1,"")</f>
        <v/>
      </c>
      <c r="Q16" s="15">
        <f>IFERROR(Q2/P2-1,"")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/>
      </c>
      <c r="O17" s="15">
        <f>IFERROR(O4/O2,"")</f>
        <v/>
      </c>
      <c r="P17" s="15">
        <f>IFERROR(P4/P2,"")</f>
        <v/>
      </c>
      <c r="Q17" s="15">
        <f>IFERROR(Q4/Q2,"")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/>
      </c>
      <c r="O18" s="15">
        <f>IFERROR(O8/O2,"")</f>
        <v/>
      </c>
      <c r="P18" s="15">
        <f>IFERROR(P8/P2,"")</f>
        <v/>
      </c>
      <c r="Q18" s="15">
        <f>IFERROR(Q8/Q2,"")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2026-10-21T01:05:20Z</dcterms:modified>
  <cp:lastModifiedBy>Wang, Eric</cp:lastModifiedBy>
</cp:coreProperties>
</file>