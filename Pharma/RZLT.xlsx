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Rezolute, Inc.</t>
        </is>
      </c>
      <c r="C2" s="10" t="n"/>
    </row>
    <row r="3">
      <c r="B3" t="inlineStr">
        <is>
          <t>Price</t>
        </is>
      </c>
      <c r="C3" s="11">
        <f>INDEX([1]Pharma!$F$1:$F$1000,MATCH("RZLT",[1]Pharma!$B$1:$B$1000,0))</f>
        <v>3.7</v>
      </c>
      <c r="F3" s="1" t="n"/>
    </row>
    <row r="4">
      <c r="B4" t="inlineStr">
        <is>
          <t>Shares</t>
        </is>
      </c>
      <c r="C4" s="21" t="n">
        <v>96.72233300000001</v>
      </c>
      <c r="F4" s="1" t="n"/>
    </row>
    <row r="5">
      <c r="B5" t="inlineStr">
        <is>
          <t>Market Cap.</t>
        </is>
      </c>
      <c r="C5" s="13">
        <f>C3*C4</f>
        <v>357.87263210000003</v>
      </c>
      <c r="F5" s="1" t="n"/>
    </row>
    <row r="6"/>
    <row r="7">
      <c r="B7" t="inlineStr">
        <is>
          <t>Cash</t>
        </is>
      </c>
      <c r="C7" s="21">
        <f>10.615+97.186</f>
        <v>107.801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250.07163210000004</v>
      </c>
    </row>
    <row r="10"/>
    <row r="11">
      <c r="B11" s="14" t="inlineStr">
        <is>
          <t>rNPV / Share</t>
        </is>
      </c>
      <c r="C11" s="11">
        <f>NPV!B27</f>
        <v>11.556310555631825</v>
      </c>
    </row>
    <row r="12">
      <c r="B12" s="14" t="inlineStr">
        <is>
          <t>Upside</t>
        </is>
      </c>
      <c r="C12" s="15">
        <f>IFERROR(C11/C3-1,"")</f>
        <v>2.1233271771977904</v>
      </c>
    </row>
    <row r="13">
      <c r="B13" s="14" t="inlineStr">
        <is>
          <t>Cash / Share</t>
        </is>
      </c>
      <c r="C13" s="11">
        <f>IFERROR((C7-C8)/C4,"")</f>
        <v>1.1145409406119267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-64.63500000000001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1.6678425001933936</v>
      </c>
    </row>
    <row r="19">
      <c r="B19" s="14" t="inlineStr">
        <is>
          <t>Implied Pipeline Value</t>
        </is>
      </c>
      <c r="C19" s="13">
        <f>C9</f>
        <v>250.07163210000004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17" t="n">
        <v>2026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0.003</v>
      </c>
      <c r="E5" s="23" t="n">
        <v>0.034</v>
      </c>
      <c r="F5" s="23" t="n">
        <v>4.701</v>
      </c>
      <c r="G5" s="23" t="n">
        <v>9.448</v>
      </c>
      <c r="H5" s="23" t="n">
        <v>12.095</v>
      </c>
      <c r="I5" s="23" t="n">
        <v>17.28</v>
      </c>
      <c r="J5" s="23" t="n">
        <v>19.079</v>
      </c>
      <c r="K5" s="23" t="n">
        <v>14.45</v>
      </c>
      <c r="L5" s="23" t="n">
        <v>14.987</v>
      </c>
      <c r="M5" s="23" t="n">
        <v>32.486</v>
      </c>
      <c r="N5" s="23" t="n">
        <v>43.813</v>
      </c>
      <c r="O5" s="23" t="n">
        <v>55.743</v>
      </c>
      <c r="P5" s="23" t="n">
        <v>61.527</v>
      </c>
      <c r="Q5" s="23" t="n">
        <v>53.798</v>
      </c>
    </row>
    <row r="6">
      <c r="A6" s="19" t="inlineStr">
        <is>
          <t>SG&amp;A &amp; Other</t>
        </is>
      </c>
      <c r="B6" s="23" t="n">
        <v>0.393</v>
      </c>
      <c r="C6" s="23" t="n">
        <v>0.049</v>
      </c>
      <c r="D6" s="23" t="n">
        <v>6.103</v>
      </c>
      <c r="E6" s="23" t="n">
        <v>5.142</v>
      </c>
      <c r="F6" s="23" t="n">
        <v>5.997</v>
      </c>
      <c r="G6" s="23" t="n">
        <v>5.503</v>
      </c>
      <c r="H6" s="23" t="n">
        <v>8.228999999999999</v>
      </c>
      <c r="I6" s="23" t="n">
        <v>11.454</v>
      </c>
      <c r="J6" s="23" t="n">
        <v>6.865</v>
      </c>
      <c r="K6" s="23" t="n">
        <v>6.071</v>
      </c>
      <c r="L6" s="23" t="n">
        <v>7.907</v>
      </c>
      <c r="M6" s="23" t="n">
        <v>9.356999999999999</v>
      </c>
      <c r="N6" s="23" t="n">
        <v>12.177</v>
      </c>
      <c r="O6" s="23" t="n">
        <v>14.68</v>
      </c>
      <c r="P6" s="23" t="n">
        <v>18.367</v>
      </c>
      <c r="Q6" s="23" t="n">
        <v>29.168</v>
      </c>
    </row>
    <row r="7">
      <c r="A7" s="2" t="inlineStr">
        <is>
          <t>Operating Expense</t>
        </is>
      </c>
      <c r="B7" s="23">
        <f>SUM(B5:B6)</f>
        <v>0.393</v>
      </c>
      <c r="C7" s="23">
        <f>SUM(C5:C6)</f>
        <v>0.049</v>
      </c>
      <c r="D7" s="23">
        <f>SUM(D5:D6)</f>
        <v>6.106</v>
      </c>
      <c r="E7" s="23">
        <f>SUM(E5:E6)</f>
        <v>5.176</v>
      </c>
      <c r="F7" s="23">
        <f>SUM(F5:F6)</f>
        <v>10.698</v>
      </c>
      <c r="G7" s="23">
        <f>SUM(G5:G6)</f>
        <v>14.951</v>
      </c>
      <c r="H7" s="23">
        <f>SUM(H5:H6)</f>
        <v>20.323999999999998</v>
      </c>
      <c r="I7" s="23">
        <f>SUM(I5:I6)</f>
        <v>28.734</v>
      </c>
      <c r="J7" s="23">
        <f>SUM(J5:J6)</f>
        <v>25.944000000000003</v>
      </c>
      <c r="K7" s="23">
        <f>SUM(K5:K6)</f>
        <v>20.521</v>
      </c>
      <c r="L7" s="23">
        <f>SUM(L5:L6)</f>
        <v>22.894</v>
      </c>
      <c r="M7" s="23">
        <f>SUM(M5:M6)</f>
        <v>41.842999999999996</v>
      </c>
      <c r="N7" s="23">
        <f>SUM(N5:N6)</f>
        <v>55.99</v>
      </c>
      <c r="O7" s="23">
        <f>SUM(O5:O6)</f>
        <v>70.423</v>
      </c>
      <c r="P7" s="23">
        <f>SUM(P5:P6)</f>
        <v>79.894</v>
      </c>
      <c r="Q7" s="23">
        <f>SUM(Q5:Q6)</f>
        <v>82.96600000000001</v>
      </c>
    </row>
    <row r="8">
      <c r="A8" s="2" t="inlineStr">
        <is>
          <t>Operating Income</t>
        </is>
      </c>
      <c r="B8" s="23">
        <f>B4-B7</f>
        <v>-0.393</v>
      </c>
      <c r="C8" s="23">
        <f>C4-C7</f>
        <v>-0.049</v>
      </c>
      <c r="D8" s="23">
        <f>D4-D7</f>
        <v>-6.106</v>
      </c>
      <c r="E8" s="23">
        <f>E4-E7</f>
        <v>-5.176</v>
      </c>
      <c r="F8" s="23">
        <f>F4-F7</f>
        <v>-10.698</v>
      </c>
      <c r="G8" s="23">
        <f>G4-G7</f>
        <v>-14.951</v>
      </c>
      <c r="H8" s="23">
        <f>H4-H7</f>
        <v>-20.323999999999998</v>
      </c>
      <c r="I8" s="23">
        <f>I4-I7</f>
        <v>-28.734</v>
      </c>
      <c r="J8" s="23">
        <f>J4-J7</f>
        <v>-25.944000000000003</v>
      </c>
      <c r="K8" s="23">
        <f>K4-K7</f>
        <v>-20.521</v>
      </c>
      <c r="L8" s="23">
        <f>L4-L7</f>
        <v>-22.894</v>
      </c>
      <c r="M8" s="23">
        <f>M4-M7</f>
        <v>-41.842999999999996</v>
      </c>
      <c r="N8" s="23">
        <f>N4-N7</f>
        <v>-55.99</v>
      </c>
      <c r="O8" s="23">
        <f>O4-O7</f>
        <v>-70.423</v>
      </c>
      <c r="P8" s="23">
        <f>P4-P7</f>
        <v>-79.894</v>
      </c>
      <c r="Q8" s="23">
        <f>Q4-Q7</f>
        <v>-82.96600000000001</v>
      </c>
    </row>
    <row r="9">
      <c r="A9" s="19" t="inlineStr">
        <is>
          <t>Interest &amp; Other</t>
        </is>
      </c>
      <c r="B9" s="23" t="n">
        <v>-0.197</v>
      </c>
      <c r="C9" s="23" t="n">
        <v>-0.734</v>
      </c>
      <c r="D9" s="23" t="n">
        <v>-0.621</v>
      </c>
      <c r="E9" s="23" t="n">
        <v>-4.554</v>
      </c>
      <c r="F9" s="23" t="n">
        <v>-0.664</v>
      </c>
      <c r="G9" s="23" t="n">
        <v>0.016</v>
      </c>
      <c r="H9" s="23" t="n">
        <v>0.047</v>
      </c>
      <c r="I9" s="23" t="n">
        <v>-1.128</v>
      </c>
      <c r="J9" s="23" t="n">
        <v>-4.502</v>
      </c>
      <c r="K9" s="23" t="n">
        <v>0.188</v>
      </c>
      <c r="L9" s="23" t="n">
        <v>1.992</v>
      </c>
      <c r="M9" s="23" t="n">
        <v>0.783</v>
      </c>
      <c r="N9" s="23" t="n">
        <v>4.203</v>
      </c>
      <c r="O9" s="23" t="n">
        <v>1.964</v>
      </c>
      <c r="P9" s="23" t="n">
        <v>5.482</v>
      </c>
      <c r="Q9" s="23" t="n">
        <v>5.38</v>
      </c>
    </row>
    <row r="10">
      <c r="A10" s="2" t="inlineStr">
        <is>
          <t>Pretax</t>
        </is>
      </c>
      <c r="B10" s="23">
        <f>B8+B9</f>
        <v>-0.5900000000000001</v>
      </c>
      <c r="C10" s="23">
        <f>C8+C9</f>
        <v>-0.783</v>
      </c>
      <c r="D10" s="23">
        <f>D8+D9</f>
        <v>-6.727</v>
      </c>
      <c r="E10" s="23">
        <f>E8+E9</f>
        <v>-9.73</v>
      </c>
      <c r="F10" s="23">
        <f>F8+F9</f>
        <v>-11.362</v>
      </c>
      <c r="G10" s="23">
        <f>G8+G9</f>
        <v>-14.935</v>
      </c>
      <c r="H10" s="23">
        <f>H8+H9</f>
        <v>-20.276999999999997</v>
      </c>
      <c r="I10" s="23">
        <f>I8+I9</f>
        <v>-29.862000000000002</v>
      </c>
      <c r="J10" s="23">
        <f>J8+J9</f>
        <v>-30.446</v>
      </c>
      <c r="K10" s="23">
        <f>K8+K9</f>
        <v>-20.333000000000002</v>
      </c>
      <c r="L10" s="23">
        <f>L8+L9</f>
        <v>-20.901999999999997</v>
      </c>
      <c r="M10" s="23">
        <f>M8+M9</f>
        <v>-41.059999999999995</v>
      </c>
      <c r="N10" s="23">
        <f>N8+N9</f>
        <v>-51.787</v>
      </c>
      <c r="O10" s="23">
        <f>O8+O9</f>
        <v>-68.459</v>
      </c>
      <c r="P10" s="23">
        <f>P8+P9</f>
        <v>-74.412</v>
      </c>
      <c r="Q10" s="23">
        <f>Q8+Q9</f>
        <v>-77.58600000000001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-0.59</v>
      </c>
      <c r="C12" s="23" t="n">
        <v>-0.783</v>
      </c>
      <c r="D12" s="23" t="n">
        <v>-6.727</v>
      </c>
      <c r="E12" s="23" t="n">
        <v>-9.73</v>
      </c>
      <c r="F12" s="23" t="n">
        <v>-11.362</v>
      </c>
      <c r="G12" s="23" t="n">
        <v>-14.936</v>
      </c>
      <c r="H12" s="23" t="n">
        <v>-20.277</v>
      </c>
      <c r="I12" s="23" t="n">
        <v>-29.862</v>
      </c>
      <c r="J12" s="23" t="n">
        <v>-30.446</v>
      </c>
      <c r="K12" s="23" t="n">
        <v>-20.333</v>
      </c>
      <c r="L12" s="23" t="n">
        <v>-20.902</v>
      </c>
      <c r="M12" s="23" t="n">
        <v>-41.06</v>
      </c>
      <c r="N12" s="23" t="n">
        <v>-51.787</v>
      </c>
      <c r="O12" s="23" t="n">
        <v>-68.459</v>
      </c>
      <c r="P12" s="23" t="n">
        <v>-74.41200000000001</v>
      </c>
      <c r="Q12" s="23" t="n">
        <v>-77.586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-25.481060606060606</v>
      </c>
      <c r="E13" s="11">
        <f>IFERROR(E12/E14,0)</f>
        <v>-24.325</v>
      </c>
      <c r="F13" s="11">
        <f>IFERROR(F12/F14,0)</f>
        <v>-12.737668161434977</v>
      </c>
      <c r="G13" s="11">
        <f>IFERROR(G12/G14,0)</f>
        <v>-14.157345971563982</v>
      </c>
      <c r="H13" s="11">
        <f>IFERROR(H12/H14,0)</f>
        <v>-11.527572484366118</v>
      </c>
      <c r="I13" s="11">
        <f>IFERROR(I12/I14,0)</f>
        <v>-12.599999999999998</v>
      </c>
      <c r="J13" s="11">
        <f>IFERROR(J12/J14,0)</f>
        <v>-12.840995360607339</v>
      </c>
      <c r="K13" s="11">
        <f>IFERROR(K12/K14,0)</f>
        <v>-2.650286757038582</v>
      </c>
      <c r="L13" s="11">
        <f>IFERROR(L12/L14,0)</f>
        <v>-2.724807717377135</v>
      </c>
      <c r="M13" s="11">
        <f>IFERROR(M12/M14,0)</f>
        <v>-2.1070457227895525</v>
      </c>
      <c r="N13" s="11">
        <f>IFERROR(N12/N14,0)</f>
        <v>-1.011721726219548</v>
      </c>
      <c r="O13" s="11">
        <f>IFERROR(O12/O14,0)</f>
        <v>-1.3301791473982825</v>
      </c>
      <c r="P13" s="11">
        <f>IFERROR(P12/P14,0)</f>
        <v>-0.9791181462913987</v>
      </c>
      <c r="Q13" s="11">
        <f>IFERROR(Q12/Q14,0)</f>
        <v>-0.7466869412070409</v>
      </c>
    </row>
    <row r="14">
      <c r="A14" s="2" t="inlineStr">
        <is>
          <t>Shares</t>
        </is>
      </c>
      <c r="B14" s="23" t="n"/>
      <c r="C14" s="23" t="n"/>
      <c r="D14" s="23" t="n">
        <v>0.264</v>
      </c>
      <c r="E14" s="23" t="n">
        <v>0.4</v>
      </c>
      <c r="F14" s="23" t="n">
        <v>0.892</v>
      </c>
      <c r="G14" s="23" t="n">
        <v>1.055</v>
      </c>
      <c r="H14" s="23" t="n">
        <v>1.759</v>
      </c>
      <c r="I14" s="23" t="n">
        <v>2.37</v>
      </c>
      <c r="J14" s="23" t="n">
        <v>2.371</v>
      </c>
      <c r="K14" s="23" t="n">
        <v>7.672</v>
      </c>
      <c r="L14" s="23" t="n">
        <v>7.671</v>
      </c>
      <c r="M14" s="23" t="n">
        <v>19.487</v>
      </c>
      <c r="N14" s="23" t="n">
        <v>51.187</v>
      </c>
      <c r="O14" s="23" t="n">
        <v>51.466</v>
      </c>
      <c r="P14" s="23" t="n">
        <v>75.999</v>
      </c>
      <c r="Q14" s="23" t="n">
        <v>103.907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Rezolute,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0.75604636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82.96599999999999</v>
      </c>
    </row>
    <row r="19">
      <c r="A19" s="14" t="inlineStr">
        <is>
          <t>Years of full burn (until the first launch, max 4)</t>
        </is>
      </c>
      <c r="B19" s="39">
        <f>MIN(4,MAX(1,MIN(Pipeline!I4:I5)-2026))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479.3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1009.9523178132364</v>
      </c>
      <c r="C29" s="42">
        <f>NPV!B25</f>
        <v>1117.7533178132364</v>
      </c>
      <c r="D29" s="43">
        <f>NPV!B27</f>
        <v>11.556310555631825</v>
      </c>
      <c r="E29" s="44">
        <f>NPV!B29</f>
        <v>2.1233271771977904</v>
      </c>
    </row>
    <row r="30">
      <c r="A30" s="45" t="n">
        <v>1</v>
      </c>
      <c r="B30" s="46">
        <f t="dataTable" ref="B30:E32" r1="B4"/>
        <v>308.2251174462553</v>
      </c>
      <c r="C30" s="46">
        <v>416.0261174462553</v>
      </c>
      <c r="D30" s="47">
        <v>4.30124154931473</v>
      </c>
      <c r="E30" s="48">
        <v>0.16249771603100793</v>
      </c>
    </row>
    <row r="31">
      <c r="A31" s="45" t="n">
        <v>2</v>
      </c>
      <c r="B31" s="46">
        <v>1009.9523178132364</v>
      </c>
      <c r="C31" s="46">
        <v>1117.7533178132364</v>
      </c>
      <c r="D31" s="47">
        <v>11.556310555631825</v>
      </c>
      <c r="E31" s="48">
        <v>2.1233271771977904</v>
      </c>
    </row>
    <row r="32">
      <c r="A32" s="45" t="n">
        <v>3</v>
      </c>
      <c r="B32" s="46">
        <v>2084.419493908338</v>
      </c>
      <c r="C32" s="46">
        <v>2192.220493908338</v>
      </c>
      <c r="D32" s="47">
        <v>22.665091152302313</v>
      </c>
      <c r="E32" s="48">
        <v>5.125700311433057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11.556310555631825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2.9709198045694656</v>
      </c>
      <c r="C37" s="47">
        <v>4.918658859002689</v>
      </c>
      <c r="D37" s="47">
        <v>6.8251007676205475</v>
      </c>
      <c r="E37" s="47">
        <v>10.59514891522622</v>
      </c>
      <c r="F37" s="47">
        <v>14.343077770147321</v>
      </c>
    </row>
    <row r="38">
      <c r="A38" s="50" t="n">
        <v>0.8</v>
      </c>
      <c r="B38" s="47">
        <v>4.112291375089997</v>
      </c>
      <c r="C38" s="47">
        <v>6.66747730543693</v>
      </c>
      <c r="D38" s="47">
        <v>9.186551562928718</v>
      </c>
      <c r="E38" s="47">
        <v>14.187232620772134</v>
      </c>
      <c r="F38" s="47">
        <v>19.162600081150313</v>
      </c>
    </row>
    <row r="39">
      <c r="A39" s="50" t="n">
        <v>1</v>
      </c>
      <c r="B39" s="47">
        <v>5.259177604562655</v>
      </c>
      <c r="C39" s="47">
        <v>8.423035139411846</v>
      </c>
      <c r="D39" s="47">
        <v>11.556310555631825</v>
      </c>
      <c r="E39" s="47">
        <v>17.789496302342922</v>
      </c>
      <c r="F39" s="47">
        <v>24.000040676161547</v>
      </c>
    </row>
    <row r="40">
      <c r="A40" s="50" t="n">
        <v>1.2</v>
      </c>
      <c r="B40" s="47">
        <v>6.4205923939952365</v>
      </c>
      <c r="C40" s="47">
        <v>10.198240429647486</v>
      </c>
      <c r="D40" s="47">
        <v>13.946169284568585</v>
      </c>
      <c r="E40" s="47">
        <v>21.40813760784212</v>
      </c>
      <c r="F40" s="47">
        <v>28.85842841670258</v>
      </c>
    </row>
    <row r="41">
      <c r="A41" s="50" t="n">
        <v>1.4</v>
      </c>
      <c r="B41" s="47">
        <v>7.596042579962558</v>
      </c>
      <c r="C41" s="47">
        <v>11.986986670279675</v>
      </c>
      <c r="D41" s="47">
        <v>16.35532637524694</v>
      </c>
      <c r="E41" s="47">
        <v>25.050088498593006</v>
      </c>
      <c r="F41" s="47">
        <v>33.725397591352134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Rezolute,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Ersodetug</t>
        </is>
      </c>
      <c r="D4" s="14" t="inlineStr">
        <is>
          <t>Phase 3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0.4388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944.156702827894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65.82000000000001</v>
      </c>
      <c r="Q4" s="23">
        <f>IF(Q$3&lt;$I4,0,$G4*Assumptions!$E$11*INDEX(Assumptions!$B$24:$G$24,MIN(6,Q$3-$I4+1))*IF(Q$3&gt;$J4,(1-Assumptions!$B$26)^(Q$3-$J4),1)*IF($H4&gt;=1,1,MIN(0.97,$H4*Assumptions!$E$12)))</f>
        <v>164.55</v>
      </c>
      <c r="R4" s="23">
        <f>IF(R$3&lt;$I4,0,$G4*Assumptions!$E$11*INDEX(Assumptions!$B$24:$G$24,MIN(6,R$3-$I4+1))*IF(R$3&gt;$J4,(1-Assumptions!$B$26)^(R$3-$J4),1)*IF($H4&gt;=1,1,MIN(0.97,$H4*Assumptions!$E$12)))</f>
        <v>296.19</v>
      </c>
      <c r="S4" s="23">
        <f>IF(S$3&lt;$I4,0,$G4*Assumptions!$E$11*INDEX(Assumptions!$B$24:$G$24,MIN(6,S$3-$I4+1))*IF(S$3&gt;$J4,(1-Assumptions!$B$26)^(S$3-$J4),1)*IF($H4&gt;=1,1,MIN(0.97,$H4*Assumptions!$E$12)))</f>
        <v>427.83000000000004</v>
      </c>
      <c r="T4" s="23">
        <f>IF(T$3&lt;$I4,0,$G4*Assumptions!$E$11*INDEX(Assumptions!$B$24:$G$24,MIN(6,T$3-$I4+1))*IF(T$3&gt;$J4,(1-Assumptions!$B$26)^(T$3-$J4),1)*IF($H4&gt;=1,1,MIN(0.97,$H4*Assumptions!$E$12)))</f>
        <v>559.47</v>
      </c>
      <c r="U4" s="23">
        <f>IF(U$3&lt;$I4,0,$G4*Assumptions!$E$11*INDEX(Assumptions!$B$24:$G$24,MIN(6,U$3-$I4+1))*IF(U$3&gt;$J4,(1-Assumptions!$B$26)^(U$3-$J4),1)*IF($H4&gt;=1,1,MIN(0.97,$H4*Assumptions!$E$12)))</f>
        <v>658.2</v>
      </c>
      <c r="V4" s="23">
        <f>IF(V$3&lt;$I4,0,$G4*Assumptions!$E$11*INDEX(Assumptions!$B$24:$G$24,MIN(6,V$3-$I4+1))*IF(V$3&gt;$J4,(1-Assumptions!$B$26)^(V$3-$J4),1)*IF($H4&gt;=1,1,MIN(0.97,$H4*Assumptions!$E$12)))</f>
        <v>658.2</v>
      </c>
      <c r="W4" s="23">
        <f>IF(W$3&lt;$I4,0,$G4*Assumptions!$E$11*INDEX(Assumptions!$B$24:$G$24,MIN(6,W$3-$I4+1))*IF(W$3&gt;$J4,(1-Assumptions!$B$26)^(W$3-$J4),1)*IF($H4&gt;=1,1,MIN(0.97,$H4*Assumptions!$E$12)))</f>
        <v>658.2</v>
      </c>
      <c r="X4" s="23">
        <f>IF(X$3&lt;$I4,0,$G4*Assumptions!$E$11*INDEX(Assumptions!$B$24:$G$24,MIN(6,X$3-$I4+1))*IF(X$3&gt;$J4,(1-Assumptions!$B$26)^(X$3-$J4),1)*IF($H4&gt;=1,1,MIN(0.97,$H4*Assumptions!$E$12)))</f>
        <v>658.2</v>
      </c>
      <c r="Y4" s="23">
        <f>IF(Y$3&lt;$I4,0,$G4*Assumptions!$E$11*INDEX(Assumptions!$B$24:$G$24,MIN(6,Y$3-$I4+1))*IF(Y$3&gt;$J4,(1-Assumptions!$B$26)^(Y$3-$J4),1)*IF($H4&gt;=1,1,MIN(0.97,$H4*Assumptions!$E$12)))</f>
        <v>658.2</v>
      </c>
      <c r="Z4" s="23">
        <f>IF(Z$3&lt;$I4,0,$G4*Assumptions!$E$11*INDEX(Assumptions!$B$24:$G$24,MIN(6,Z$3-$I4+1))*IF(Z$3&gt;$J4,(1-Assumptions!$B$26)^(Z$3-$J4),1)*IF($H4&gt;=1,1,MIN(0.97,$H4*Assumptions!$E$12)))</f>
        <v>658.2</v>
      </c>
      <c r="AA4" s="23">
        <f>IF(AA$3&lt;$I4,0,$G4*Assumptions!$E$11*INDEX(Assumptions!$B$24:$G$24,MIN(6,AA$3-$I4+1))*IF(AA$3&gt;$J4,(1-Assumptions!$B$26)^(AA$3-$J4),1)*IF($H4&gt;=1,1,MIN(0.97,$H4*Assumptions!$E$12)))</f>
        <v>658.2</v>
      </c>
      <c r="AB4" s="23">
        <f>IF(AB$3&lt;$I4,0,$G4*Assumptions!$E$11*INDEX(Assumptions!$B$24:$G$24,MIN(6,AB$3-$I4+1))*IF(AB$3&gt;$J4,(1-Assumptions!$B$26)^(AB$3-$J4),1)*IF($H4&gt;=1,1,MIN(0.97,$H4*Assumptions!$E$12)))</f>
        <v>658.2</v>
      </c>
      <c r="AC4" s="23">
        <f>IF(AC$3&lt;$I4,0,$G4*Assumptions!$E$11*INDEX(Assumptions!$B$24:$G$24,MIN(6,AC$3-$I4+1))*IF(AC$3&gt;$J4,(1-Assumptions!$B$26)^(AC$3-$J4),1)*IF($H4&gt;=1,1,MIN(0.97,$H4*Assumptions!$E$12)))</f>
        <v>329.1</v>
      </c>
      <c r="AD4" s="23">
        <f>IF(AD$3&lt;$I4,0,$G4*Assumptions!$E$11*INDEX(Assumptions!$B$24:$G$24,MIN(6,AD$3-$I4+1))*IF(AD$3&gt;$J4,(1-Assumptions!$B$26)^(AD$3-$J4),1)*IF($H4&gt;=1,1,MIN(0.97,$H4*Assumptions!$E$12)))</f>
        <v>164.55</v>
      </c>
      <c r="AE4" s="23">
        <f>IF(AE$3&lt;$I4,0,$G4*Assumptions!$E$11*INDEX(Assumptions!$B$24:$G$24,MIN(6,AE$3-$I4+1))*IF(AE$3&gt;$J4,(1-Assumptions!$B$26)^(AE$3-$J4),1)*IF($H4&gt;=1,1,MIN(0.97,$H4*Assumptions!$E$12)))</f>
        <v>82.275</v>
      </c>
      <c r="AF4" s="23">
        <f>IF(AF$3&lt;$I4,0,$G4*Assumptions!$E$11*INDEX(Assumptions!$B$24:$G$24,MIN(6,AF$3-$I4+1))*IF(AF$3&gt;$J4,(1-Assumptions!$B$26)^(AF$3-$J4),1)*IF($H4&gt;=1,1,MIN(0.97,$H4*Assumptions!$E$12)))</f>
        <v>41.1375</v>
      </c>
      <c r="AG4" s="35">
        <f>IF(F4="Owned",1-IF(H4&gt;=1,1,MIN(0.97,H4*Assumptions!$E$12)),1)</f>
        <v>0.5611999999999999</v>
      </c>
    </row>
    <row r="5">
      <c r="A5" s="39" t="n">
        <v>2</v>
      </c>
      <c r="B5" s="14" t="inlineStr">
        <is>
          <t>Endocrine (rare)</t>
        </is>
      </c>
      <c r="C5" s="14" t="inlineStr">
        <is>
          <t>RZ358 Sequential Group Cohort 1, RZ358 Sequential Group Coho</t>
        </is>
      </c>
      <c r="D5" s="14" t="inlineStr">
        <is>
          <t>Phase 3</t>
        </is>
      </c>
      <c r="E5" s="14" t="inlineStr">
        <is>
          <t>Endocrine / rare</t>
        </is>
      </c>
      <c r="F5" s="14" t="inlineStr">
        <is>
          <t>Owned</t>
        </is>
      </c>
      <c r="G5" s="40" t="n">
        <v>700</v>
      </c>
      <c r="H5" s="27" t="n">
        <v>0.5653</v>
      </c>
      <c r="I5" s="26" t="n">
        <v>2029</v>
      </c>
      <c r="J5" s="39">
        <f>I5+Assumptions!$B$25</f>
        <v>2041.0</v>
      </c>
      <c r="K5" s="53">
        <f>Assumptions!$E$13</f>
        <v>0.4</v>
      </c>
      <c r="L5" s="23">
        <f>K5*SUMPRODUCT(M5:AF5,NPV!$C$15:$V$15)</f>
        <v>567.6272392525461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39.571000000000005</v>
      </c>
      <c r="Q5" s="23">
        <f>IF(Q$3&lt;$I5,0,$G5*Assumptions!$E$11*INDEX(Assumptions!$B$24:$G$24,MIN(6,Q$3-$I5+1))*IF(Q$3&gt;$J5,(1-Assumptions!$B$26)^(Q$3-$J5),1)*IF($H5&gt;=1,1,MIN(0.97,$H5*Assumptions!$E$12)))</f>
        <v>98.92750000000001</v>
      </c>
      <c r="R5" s="23">
        <f>IF(R$3&lt;$I5,0,$G5*Assumptions!$E$11*INDEX(Assumptions!$B$24:$G$24,MIN(6,R$3-$I5+1))*IF(R$3&gt;$J5,(1-Assumptions!$B$26)^(R$3-$J5),1)*IF($H5&gt;=1,1,MIN(0.97,$H5*Assumptions!$E$12)))</f>
        <v>178.0695</v>
      </c>
      <c r="S5" s="23">
        <f>IF(S$3&lt;$I5,0,$G5*Assumptions!$E$11*INDEX(Assumptions!$B$24:$G$24,MIN(6,S$3-$I5+1))*IF(S$3&gt;$J5,(1-Assumptions!$B$26)^(S$3-$J5),1)*IF($H5&gt;=1,1,MIN(0.97,$H5*Assumptions!$E$12)))</f>
        <v>257.2115</v>
      </c>
      <c r="T5" s="23">
        <f>IF(T$3&lt;$I5,0,$G5*Assumptions!$E$11*INDEX(Assumptions!$B$24:$G$24,MIN(6,T$3-$I5+1))*IF(T$3&gt;$J5,(1-Assumptions!$B$26)^(T$3-$J5),1)*IF($H5&gt;=1,1,MIN(0.97,$H5*Assumptions!$E$12)))</f>
        <v>336.3535</v>
      </c>
      <c r="U5" s="23">
        <f>IF(U$3&lt;$I5,0,$G5*Assumptions!$E$11*INDEX(Assumptions!$B$24:$G$24,MIN(6,U$3-$I5+1))*IF(U$3&gt;$J5,(1-Assumptions!$B$26)^(U$3-$J5),1)*IF($H5&gt;=1,1,MIN(0.97,$H5*Assumptions!$E$12)))</f>
        <v>395.71000000000004</v>
      </c>
      <c r="V5" s="23">
        <f>IF(V$3&lt;$I5,0,$G5*Assumptions!$E$11*INDEX(Assumptions!$B$24:$G$24,MIN(6,V$3-$I5+1))*IF(V$3&gt;$J5,(1-Assumptions!$B$26)^(V$3-$J5),1)*IF($H5&gt;=1,1,MIN(0.97,$H5*Assumptions!$E$12)))</f>
        <v>395.71000000000004</v>
      </c>
      <c r="W5" s="23">
        <f>IF(W$3&lt;$I5,0,$G5*Assumptions!$E$11*INDEX(Assumptions!$B$24:$G$24,MIN(6,W$3-$I5+1))*IF(W$3&gt;$J5,(1-Assumptions!$B$26)^(W$3-$J5),1)*IF($H5&gt;=1,1,MIN(0.97,$H5*Assumptions!$E$12)))</f>
        <v>395.71000000000004</v>
      </c>
      <c r="X5" s="23">
        <f>IF(X$3&lt;$I5,0,$G5*Assumptions!$E$11*INDEX(Assumptions!$B$24:$G$24,MIN(6,X$3-$I5+1))*IF(X$3&gt;$J5,(1-Assumptions!$B$26)^(X$3-$J5),1)*IF($H5&gt;=1,1,MIN(0.97,$H5*Assumptions!$E$12)))</f>
        <v>395.71000000000004</v>
      </c>
      <c r="Y5" s="23">
        <f>IF(Y$3&lt;$I5,0,$G5*Assumptions!$E$11*INDEX(Assumptions!$B$24:$G$24,MIN(6,Y$3-$I5+1))*IF(Y$3&gt;$J5,(1-Assumptions!$B$26)^(Y$3-$J5),1)*IF($H5&gt;=1,1,MIN(0.97,$H5*Assumptions!$E$12)))</f>
        <v>395.71000000000004</v>
      </c>
      <c r="Z5" s="23">
        <f>IF(Z$3&lt;$I5,0,$G5*Assumptions!$E$11*INDEX(Assumptions!$B$24:$G$24,MIN(6,Z$3-$I5+1))*IF(Z$3&gt;$J5,(1-Assumptions!$B$26)^(Z$3-$J5),1)*IF($H5&gt;=1,1,MIN(0.97,$H5*Assumptions!$E$12)))</f>
        <v>395.71000000000004</v>
      </c>
      <c r="AA5" s="23">
        <f>IF(AA$3&lt;$I5,0,$G5*Assumptions!$E$11*INDEX(Assumptions!$B$24:$G$24,MIN(6,AA$3-$I5+1))*IF(AA$3&gt;$J5,(1-Assumptions!$B$26)^(AA$3-$J5),1)*IF($H5&gt;=1,1,MIN(0.97,$H5*Assumptions!$E$12)))</f>
        <v>395.71000000000004</v>
      </c>
      <c r="AB5" s="23">
        <f>IF(AB$3&lt;$I5,0,$G5*Assumptions!$E$11*INDEX(Assumptions!$B$24:$G$24,MIN(6,AB$3-$I5+1))*IF(AB$3&gt;$J5,(1-Assumptions!$B$26)^(AB$3-$J5),1)*IF($H5&gt;=1,1,MIN(0.97,$H5*Assumptions!$E$12)))</f>
        <v>395.71000000000004</v>
      </c>
      <c r="AC5" s="23">
        <f>IF(AC$3&lt;$I5,0,$G5*Assumptions!$E$11*INDEX(Assumptions!$B$24:$G$24,MIN(6,AC$3-$I5+1))*IF(AC$3&gt;$J5,(1-Assumptions!$B$26)^(AC$3-$J5),1)*IF($H5&gt;=1,1,MIN(0.97,$H5*Assumptions!$E$12)))</f>
        <v>197.85500000000002</v>
      </c>
      <c r="AD5" s="23">
        <f>IF(AD$3&lt;$I5,0,$G5*Assumptions!$E$11*INDEX(Assumptions!$B$24:$G$24,MIN(6,AD$3-$I5+1))*IF(AD$3&gt;$J5,(1-Assumptions!$B$26)^(AD$3-$J5),1)*IF($H5&gt;=1,1,MIN(0.97,$H5*Assumptions!$E$12)))</f>
        <v>98.92750000000001</v>
      </c>
      <c r="AE5" s="23">
        <f>IF(AE$3&lt;$I5,0,$G5*Assumptions!$E$11*INDEX(Assumptions!$B$24:$G$24,MIN(6,AE$3-$I5+1))*IF(AE$3&gt;$J5,(1-Assumptions!$B$26)^(AE$3-$J5),1)*IF($H5&gt;=1,1,MIN(0.97,$H5*Assumptions!$E$12)))</f>
        <v>49.463750000000005</v>
      </c>
      <c r="AF5" s="23">
        <f>IF(AF$3&lt;$I5,0,$G5*Assumptions!$E$11*INDEX(Assumptions!$B$24:$G$24,MIN(6,AF$3-$I5+1))*IF(AF$3&gt;$J5,(1-Assumptions!$B$26)^(AF$3-$J5),1)*IF($H5&gt;=1,1,MIN(0.97,$H5*Assumptions!$E$12)))</f>
        <v>24.731875000000002</v>
      </c>
      <c r="AG5" s="35">
        <f>IF(F5="Owned",1-IF(H5&gt;=1,1,MIN(0.97,H5*Assumptions!$E$12)),1)</f>
        <v>0.4347</v>
      </c>
    </row>
    <row r="6">
      <c r="B6" s="24" t="inlineStr">
        <is>
          <t>Risked revenue</t>
        </is>
      </c>
      <c r="L6" s="54">
        <f>SUM(L4:L5)</f>
        <v>1511.7839420804403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105.39100000000002</v>
      </c>
      <c r="Q6" s="54">
        <f>SUM(Q4:Q5)</f>
        <v>263.4775</v>
      </c>
      <c r="R6" s="54">
        <f>SUM(R4:R5)</f>
        <v>474.2595</v>
      </c>
      <c r="S6" s="54">
        <f>SUM(S4:S5)</f>
        <v>685.0415</v>
      </c>
      <c r="T6" s="54">
        <f>SUM(T4:T5)</f>
        <v>895.8235</v>
      </c>
      <c r="U6" s="54">
        <f>SUM(U4:U5)</f>
        <v>1053.91</v>
      </c>
      <c r="V6" s="54">
        <f>SUM(V4:V5)</f>
        <v>1053.91</v>
      </c>
      <c r="W6" s="54">
        <f>SUM(W4:W5)</f>
        <v>1053.91</v>
      </c>
      <c r="X6" s="54">
        <f>SUM(X4:X5)</f>
        <v>1053.91</v>
      </c>
      <c r="Y6" s="54">
        <f>SUM(Y4:Y5)</f>
        <v>1053.91</v>
      </c>
      <c r="Z6" s="54">
        <f>SUM(Z4:Z5)</f>
        <v>1053.91</v>
      </c>
      <c r="AA6" s="54">
        <f>SUM(AA4:AA5)</f>
        <v>1053.91</v>
      </c>
      <c r="AB6" s="54">
        <f>SUM(AB4:AB5)</f>
        <v>1053.91</v>
      </c>
      <c r="AC6" s="54">
        <f>SUM(AC4:AC5)</f>
        <v>526.955</v>
      </c>
      <c r="AD6" s="54">
        <f>SUM(AD4:AD5)</f>
        <v>263.4775</v>
      </c>
      <c r="AE6" s="54">
        <f>SUM(AE4:AE5)</f>
        <v>131.73875</v>
      </c>
      <c r="AF6" s="54">
        <f>SUM(AF4:AF5)</f>
        <v>65.869375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42.156400000000005</v>
      </c>
      <c r="Q7" s="55">
        <f>SUMPRODUCT(Q4:Q5,$K$4:$K$5)</f>
        <v>105.39100000000002</v>
      </c>
      <c r="R7" s="55">
        <f>SUMPRODUCT(R4:R5,$K$4:$K$5)</f>
        <v>189.7038</v>
      </c>
      <c r="S7" s="55">
        <f>SUMPRODUCT(S4:S5,$K$4:$K$5)</f>
        <v>274.01660000000004</v>
      </c>
      <c r="T7" s="55">
        <f>SUMPRODUCT(T4:T5,$K$4:$K$5)</f>
        <v>358.3294</v>
      </c>
      <c r="U7" s="55">
        <f>SUMPRODUCT(U4:U5,$K$4:$K$5)</f>
        <v>421.5640000000001</v>
      </c>
      <c r="V7" s="55">
        <f>SUMPRODUCT(V4:V5,$K$4:$K$5)</f>
        <v>421.5640000000001</v>
      </c>
      <c r="W7" s="55">
        <f>SUMPRODUCT(W4:W5,$K$4:$K$5)</f>
        <v>421.5640000000001</v>
      </c>
      <c r="X7" s="55">
        <f>SUMPRODUCT(X4:X5,$K$4:$K$5)</f>
        <v>421.5640000000001</v>
      </c>
      <c r="Y7" s="55">
        <f>SUMPRODUCT(Y4:Y5,$K$4:$K$5)</f>
        <v>421.5640000000001</v>
      </c>
      <c r="Z7" s="55">
        <f>SUMPRODUCT(Z4:Z5,$K$4:$K$5)</f>
        <v>421.5640000000001</v>
      </c>
      <c r="AA7" s="55">
        <f>SUMPRODUCT(AA4:AA5,$K$4:$K$5)</f>
        <v>421.5640000000001</v>
      </c>
      <c r="AB7" s="55">
        <f>SUMPRODUCT(AB4:AB5,$K$4:$K$5)</f>
        <v>421.5640000000001</v>
      </c>
      <c r="AC7" s="55">
        <f>SUMPRODUCT(AC4:AC5,$K$4:$K$5)</f>
        <v>210.78200000000004</v>
      </c>
      <c r="AD7" s="55">
        <f>SUMPRODUCT(AD4:AD5,$K$4:$K$5)</f>
        <v>105.39100000000002</v>
      </c>
      <c r="AE7" s="55">
        <f>SUMPRODUCT(AE4:AE5,$K$4:$K$5)</f>
        <v>52.69550000000001</v>
      </c>
      <c r="AF7" s="55">
        <f>SUMPRODUCT(AF4:AF5,$K$4:$K$5)</f>
        <v>26.347750000000005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Rezolute,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105.39100000000002</v>
      </c>
      <c r="G4" s="57">
        <f>Pipeline!Q6</f>
        <v>263.4775</v>
      </c>
      <c r="H4" s="57">
        <f>Pipeline!R6</f>
        <v>474.2595</v>
      </c>
      <c r="I4" s="57">
        <f>Pipeline!S6</f>
        <v>685.0415</v>
      </c>
      <c r="J4" s="57">
        <f>Pipeline!T6</f>
        <v>895.8235</v>
      </c>
      <c r="K4" s="57">
        <f>Pipeline!U6</f>
        <v>1053.91</v>
      </c>
      <c r="L4" s="57">
        <f>Pipeline!V6</f>
        <v>1053.91</v>
      </c>
      <c r="M4" s="57">
        <f>Pipeline!W6</f>
        <v>1053.91</v>
      </c>
      <c r="N4" s="57">
        <f>Pipeline!X6</f>
        <v>1053.91</v>
      </c>
      <c r="O4" s="57">
        <f>Pipeline!Y6</f>
        <v>1053.91</v>
      </c>
      <c r="P4" s="57">
        <f>Pipeline!Z6</f>
        <v>1053.91</v>
      </c>
      <c r="Q4" s="57">
        <f>Pipeline!AA6</f>
        <v>1053.91</v>
      </c>
      <c r="R4" s="57">
        <f>Pipeline!AB6</f>
        <v>1053.91</v>
      </c>
      <c r="S4" s="57">
        <f>Pipeline!AC6</f>
        <v>526.955</v>
      </c>
      <c r="T4" s="57">
        <f>Pipeline!AD6</f>
        <v>263.4775</v>
      </c>
      <c r="U4" s="57">
        <f>Pipeline!AE6</f>
        <v>131.73875</v>
      </c>
      <c r="V4" s="57">
        <f>Pipeline!AF6</f>
        <v>65.869375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42.156400000000005</v>
      </c>
      <c r="G5" s="57">
        <f>Pipeline!Q7</f>
        <v>105.39100000000002</v>
      </c>
      <c r="H5" s="57">
        <f>Pipeline!R7</f>
        <v>189.7038</v>
      </c>
      <c r="I5" s="57">
        <f>Pipeline!S7</f>
        <v>274.01660000000004</v>
      </c>
      <c r="J5" s="57">
        <f>Pipeline!T7</f>
        <v>358.3294</v>
      </c>
      <c r="K5" s="57">
        <f>Pipeline!U7</f>
        <v>421.5640000000001</v>
      </c>
      <c r="L5" s="57">
        <f>Pipeline!V7</f>
        <v>421.5640000000001</v>
      </c>
      <c r="M5" s="57">
        <f>Pipeline!W7</f>
        <v>421.5640000000001</v>
      </c>
      <c r="N5" s="57">
        <f>Pipeline!X7</f>
        <v>421.5640000000001</v>
      </c>
      <c r="O5" s="57">
        <f>Pipeline!Y7</f>
        <v>421.5640000000001</v>
      </c>
      <c r="P5" s="57">
        <f>Pipeline!Z7</f>
        <v>421.5640000000001</v>
      </c>
      <c r="Q5" s="57">
        <f>Pipeline!AA7</f>
        <v>421.5640000000001</v>
      </c>
      <c r="R5" s="57">
        <f>Pipeline!AB7</f>
        <v>421.5640000000001</v>
      </c>
      <c r="S5" s="57">
        <f>Pipeline!AC7</f>
        <v>210.78200000000004</v>
      </c>
      <c r="T5" s="57">
        <f>Pipeline!AD7</f>
        <v>105.39100000000002</v>
      </c>
      <c r="U5" s="57">
        <f>Pipeline!AE7</f>
        <v>52.69550000000001</v>
      </c>
      <c r="V5" s="57">
        <f>Pipeline!AF7</f>
        <v>26.347750000000005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-82.966</v>
      </c>
      <c r="D6" s="23">
        <f>-IF(D3-2026&lt;Assumptions!$B$19,Assumptions!$B$18,Assumptions!$B$18*Assumptions!$B$20*Assumptions!$B$16)</f>
        <v>-82.966</v>
      </c>
      <c r="E6" s="23">
        <f>-IF(E3-2026&lt;Assumptions!$B$19,Assumptions!$B$18,Assumptions!$B$18*Assumptions!$B$20*Assumptions!$B$16)</f>
        <v>-82.966</v>
      </c>
      <c r="F6" s="23">
        <f>-IF(F3-2026&lt;Assumptions!$B$19,Assumptions!$B$18,Assumptions!$B$18*Assumptions!$B$20*Assumptions!$B$16)</f>
        <v>-18.817842691128</v>
      </c>
      <c r="G6" s="23">
        <f>-IF(G3-2026&lt;Assumptions!$B$19,Assumptions!$B$18,Assumptions!$B$18*Assumptions!$B$20*Assumptions!$B$16)</f>
        <v>-18.817842691128</v>
      </c>
      <c r="H6" s="23">
        <f>-IF(H3-2026&lt;Assumptions!$B$19,Assumptions!$B$18,Assumptions!$B$18*Assumptions!$B$20*Assumptions!$B$16)</f>
        <v>-18.817842691128</v>
      </c>
      <c r="I6" s="23">
        <f>-IF(I3-2026&lt;Assumptions!$B$19,Assumptions!$B$18,Assumptions!$B$18*Assumptions!$B$20*Assumptions!$B$16)</f>
        <v>-18.817842691128</v>
      </c>
      <c r="J6" s="23">
        <f>-IF(J3-2026&lt;Assumptions!$B$19,Assumptions!$B$18,Assumptions!$B$18*Assumptions!$B$20*Assumptions!$B$16)</f>
        <v>-18.817842691128</v>
      </c>
      <c r="K6" s="23">
        <f>-IF(K3-2026&lt;Assumptions!$B$19,Assumptions!$B$18,Assumptions!$B$18*Assumptions!$B$20*Assumptions!$B$16)</f>
        <v>-18.817842691128</v>
      </c>
      <c r="L6" s="23">
        <f>-IF(L3-2026&lt;Assumptions!$B$19,Assumptions!$B$18,Assumptions!$B$18*Assumptions!$B$20*Assumptions!$B$16)</f>
        <v>-18.817842691128</v>
      </c>
      <c r="M6" s="23">
        <f>-IF(M3-2026&lt;Assumptions!$B$19,Assumptions!$B$18,Assumptions!$B$18*Assumptions!$B$20*Assumptions!$B$16)</f>
        <v>-18.817842691128</v>
      </c>
      <c r="N6" s="23">
        <f>-IF(N3-2026&lt;Assumptions!$B$19,Assumptions!$B$18,Assumptions!$B$18*Assumptions!$B$20*Assumptions!$B$16)</f>
        <v>-18.817842691128</v>
      </c>
      <c r="O6" s="23">
        <f>-IF(O3-2026&lt;Assumptions!$B$19,Assumptions!$B$18,Assumptions!$B$18*Assumptions!$B$20*Assumptions!$B$16)</f>
        <v>-18.817842691128</v>
      </c>
      <c r="P6" s="23">
        <f>-IF(P3-2026&lt;Assumptions!$B$19,Assumptions!$B$18,Assumptions!$B$18*Assumptions!$B$20*Assumptions!$B$16)</f>
        <v>-18.817842691128</v>
      </c>
      <c r="Q6" s="23">
        <f>-IF(Q3-2026&lt;Assumptions!$B$19,Assumptions!$B$18,Assumptions!$B$18*Assumptions!$B$20*Assumptions!$B$16)</f>
        <v>-18.817842691128</v>
      </c>
      <c r="R6" s="23">
        <f>-IF(R3-2026&lt;Assumptions!$B$19,Assumptions!$B$18,Assumptions!$B$18*Assumptions!$B$20*Assumptions!$B$16)</f>
        <v>-18.817842691128</v>
      </c>
      <c r="S6" s="23">
        <f>-IF(S3-2026&lt;Assumptions!$B$19,Assumptions!$B$18,Assumptions!$B$18*Assumptions!$B$20*Assumptions!$B$16)</f>
        <v>-18.817842691128</v>
      </c>
      <c r="T6" s="23">
        <f>-IF(T3-2026&lt;Assumptions!$B$19,Assumptions!$B$18,Assumptions!$B$18*Assumptions!$B$20*Assumptions!$B$16)</f>
        <v>-18.817842691128</v>
      </c>
      <c r="U6" s="23">
        <f>-IF(U3-2026&lt;Assumptions!$B$19,Assumptions!$B$18,Assumptions!$B$18*Assumptions!$B$20*Assumptions!$B$16)</f>
        <v>-18.817842691128</v>
      </c>
      <c r="V6" s="23">
        <f>-IF(V3-2026&lt;Assumptions!$B$19,Assumptions!$B$18,Assumptions!$B$18*Assumptions!$B$20*Assumptions!$B$16)</f>
        <v>-18.817842691128</v>
      </c>
    </row>
    <row r="7">
      <c r="A7" s="14" t="inlineStr">
        <is>
          <t>Pre-tax cash flow</t>
        </is>
      </c>
      <c r="C7" s="23">
        <f>C5+C6</f>
        <v>-82.966</v>
      </c>
      <c r="D7" s="23">
        <f>D5+D6</f>
        <v>-82.966</v>
      </c>
      <c r="E7" s="23">
        <f>E5+E6</f>
        <v>-82.966</v>
      </c>
      <c r="F7" s="23">
        <f>F5+F6</f>
        <v>23.338557308872005</v>
      </c>
      <c r="G7" s="23">
        <f>G5+G6</f>
        <v>86.57315730887203</v>
      </c>
      <c r="H7" s="23">
        <f>H5+H6</f>
        <v>170.885957308872</v>
      </c>
      <c r="I7" s="23">
        <f>I5+I6</f>
        <v>255.19875730887205</v>
      </c>
      <c r="J7" s="23">
        <f>J5+J6</f>
        <v>339.511557308872</v>
      </c>
      <c r="K7" s="23">
        <f>K5+K6</f>
        <v>402.74615730887206</v>
      </c>
      <c r="L7" s="23">
        <f>L5+L6</f>
        <v>402.74615730887206</v>
      </c>
      <c r="M7" s="23">
        <f>M5+M6</f>
        <v>402.74615730887206</v>
      </c>
      <c r="N7" s="23">
        <f>N5+N6</f>
        <v>402.74615730887206</v>
      </c>
      <c r="O7" s="23">
        <f>O5+O6</f>
        <v>402.74615730887206</v>
      </c>
      <c r="P7" s="23">
        <f>P5+P6</f>
        <v>402.74615730887206</v>
      </c>
      <c r="Q7" s="23">
        <f>Q5+Q6</f>
        <v>402.74615730887206</v>
      </c>
      <c r="R7" s="23">
        <f>R5+R6</f>
        <v>402.74615730887206</v>
      </c>
      <c r="S7" s="23">
        <f>S5+S6</f>
        <v>191.96415730887205</v>
      </c>
      <c r="T7" s="23">
        <f>T5+T6</f>
        <v>86.57315730887203</v>
      </c>
      <c r="U7" s="23">
        <f>U5+U6</f>
        <v>33.87765730887201</v>
      </c>
      <c r="V7" s="23">
        <f>V5+V6</f>
        <v>7.529907308872005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23.338557308872005</v>
      </c>
      <c r="G8" s="23">
        <f>MIN(F17,MAX(0,G7))</f>
        <v>86.57315730887203</v>
      </c>
      <c r="H8" s="23">
        <f>MIN(G17,MAX(0,H7))</f>
        <v>170.885957308872</v>
      </c>
      <c r="I8" s="23">
        <f>MIN(H17,MAX(0,I7))</f>
        <v>255.19875730887205</v>
      </c>
      <c r="J8" s="23">
        <f>MIN(I17,MAX(0,J7))</f>
        <v>192.20157076451184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147.30998654436016</v>
      </c>
      <c r="K9" s="23">
        <f>MAX(0,K7)-K8</f>
        <v>402.74615730887206</v>
      </c>
      <c r="L9" s="23">
        <f>MAX(0,L7)-L8</f>
        <v>402.74615730887206</v>
      </c>
      <c r="M9" s="23">
        <f>MAX(0,M7)-M8</f>
        <v>402.74615730887206</v>
      </c>
      <c r="N9" s="23">
        <f>MAX(0,N7)-N8</f>
        <v>402.74615730887206</v>
      </c>
      <c r="O9" s="23">
        <f>MAX(0,O7)-O8</f>
        <v>402.74615730887206</v>
      </c>
      <c r="P9" s="23">
        <f>MAX(0,P7)-P8</f>
        <v>402.74615730887206</v>
      </c>
      <c r="Q9" s="23">
        <f>MAX(0,Q7)-Q8</f>
        <v>402.74615730887206</v>
      </c>
      <c r="R9" s="23">
        <f>MAX(0,R7)-R8</f>
        <v>402.74615730887206</v>
      </c>
      <c r="S9" s="23">
        <f>MAX(0,S7)-S8</f>
        <v>191.96415730887205</v>
      </c>
      <c r="T9" s="23">
        <f>MAX(0,T7)-T8</f>
        <v>86.57315730887203</v>
      </c>
      <c r="U9" s="23">
        <f>MAX(0,U7)-U8</f>
        <v>33.87765730887201</v>
      </c>
      <c r="V9" s="23">
        <f>MAX(0,V7)-V8</f>
        <v>7.529907308872005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30.935097174315633</v>
      </c>
      <c r="K10" s="23">
        <f>K9*Assumptions!$E$15</f>
        <v>84.57669303486313</v>
      </c>
      <c r="L10" s="23">
        <f>L9*Assumptions!$E$15</f>
        <v>84.57669303486313</v>
      </c>
      <c r="M10" s="23">
        <f>M9*Assumptions!$E$15</f>
        <v>84.57669303486313</v>
      </c>
      <c r="N10" s="23">
        <f>N9*Assumptions!$E$15</f>
        <v>84.57669303486313</v>
      </c>
      <c r="O10" s="23">
        <f>O9*Assumptions!$E$15</f>
        <v>84.57669303486313</v>
      </c>
      <c r="P10" s="23">
        <f>P9*Assumptions!$E$15</f>
        <v>84.57669303486313</v>
      </c>
      <c r="Q10" s="23">
        <f>Q9*Assumptions!$E$15</f>
        <v>84.57669303486313</v>
      </c>
      <c r="R10" s="23">
        <f>R9*Assumptions!$E$15</f>
        <v>84.57669303486313</v>
      </c>
      <c r="S10" s="23">
        <f>S9*Assumptions!$E$15</f>
        <v>40.31247303486313</v>
      </c>
      <c r="T10" s="23">
        <f>T9*Assumptions!$E$15</f>
        <v>18.180363034863124</v>
      </c>
      <c r="U10" s="23">
        <f>U9*Assumptions!$E$15</f>
        <v>7.114308034863122</v>
      </c>
      <c r="V10" s="23">
        <f>V9*Assumptions!$E$15</f>
        <v>1.581280534863121</v>
      </c>
    </row>
    <row r="11">
      <c r="A11" s="24" t="inlineStr">
        <is>
          <t>Free cash flow</t>
        </is>
      </c>
      <c r="C11" s="55">
        <f>C7-C10</f>
        <v>-82.966</v>
      </c>
      <c r="D11" s="55">
        <f>D7-D10</f>
        <v>-82.966</v>
      </c>
      <c r="E11" s="55">
        <f>E7-E10</f>
        <v>-82.966</v>
      </c>
      <c r="F11" s="55">
        <f>F7-F10</f>
        <v>23.338557308872005</v>
      </c>
      <c r="G11" s="55">
        <f>G7-G10</f>
        <v>86.57315730887203</v>
      </c>
      <c r="H11" s="55">
        <f>H7-H10</f>
        <v>170.885957308872</v>
      </c>
      <c r="I11" s="55">
        <f>I7-I10</f>
        <v>255.19875730887205</v>
      </c>
      <c r="J11" s="55">
        <f>J7-J10</f>
        <v>308.5764601345564</v>
      </c>
      <c r="K11" s="55">
        <f>K7-K10</f>
        <v>318.16946427400893</v>
      </c>
      <c r="L11" s="55">
        <f>L7-L10</f>
        <v>318.16946427400893</v>
      </c>
      <c r="M11" s="55">
        <f>M7-M10</f>
        <v>318.16946427400893</v>
      </c>
      <c r="N11" s="55">
        <f>N7-N10</f>
        <v>318.16946427400893</v>
      </c>
      <c r="O11" s="55">
        <f>O7-O10</f>
        <v>318.16946427400893</v>
      </c>
      <c r="P11" s="55">
        <f>P7-P10</f>
        <v>318.16946427400893</v>
      </c>
      <c r="Q11" s="55">
        <f>Q7-Q10</f>
        <v>318.16946427400893</v>
      </c>
      <c r="R11" s="55">
        <f>R7-R10</f>
        <v>318.16946427400893</v>
      </c>
      <c r="S11" s="55">
        <f>S7-S10</f>
        <v>151.65168427400891</v>
      </c>
      <c r="T11" s="55">
        <f>T7-T10</f>
        <v>68.3927942740089</v>
      </c>
      <c r="U11" s="55">
        <f>U7-U10</f>
        <v>26.76334927400889</v>
      </c>
      <c r="V11" s="55">
        <f>V7-V10</f>
        <v>5.9486267740088845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-40.64540422035038</v>
      </c>
      <c r="D16" s="55">
        <f>D11*D15</f>
        <v>-74.04237410811935</v>
      </c>
      <c r="E16" s="55">
        <f>E11*E15</f>
        <v>-66.10926259653512</v>
      </c>
      <c r="F16" s="55">
        <f>F11*F15</f>
        <v>16.60420720704548</v>
      </c>
      <c r="G16" s="55">
        <f>G11*G15</f>
        <v>54.99324815569585</v>
      </c>
      <c r="H16" s="55">
        <f>H11*H15</f>
        <v>96.92023722163943</v>
      </c>
      <c r="I16" s="55">
        <f>I11*I15</f>
        <v>129.23157144513428</v>
      </c>
      <c r="J16" s="55">
        <f>J11*J15</f>
        <v>139.51947715844707</v>
      </c>
      <c r="K16" s="55">
        <f>K11*K15</f>
        <v>128.4436153891048</v>
      </c>
      <c r="L16" s="55">
        <f>L11*L15</f>
        <v>114.68179945455785</v>
      </c>
      <c r="M16" s="55">
        <f>M11*M15</f>
        <v>102.39446379871235</v>
      </c>
      <c r="N16" s="55">
        <f>N11*N15</f>
        <v>91.42362839170744</v>
      </c>
      <c r="O16" s="55">
        <f>O11*O15</f>
        <v>81.62823963545307</v>
      </c>
      <c r="P16" s="55">
        <f>P11*P15</f>
        <v>72.8823568173688</v>
      </c>
      <c r="Q16" s="55">
        <f>Q11*Q15</f>
        <v>65.07353287265072</v>
      </c>
      <c r="R16" s="55">
        <f>R11*R15</f>
        <v>58.10136863629528</v>
      </c>
      <c r="S16" s="55">
        <f>S11*S15</f>
        <v>24.726183128609623</v>
      </c>
      <c r="T16" s="55">
        <f>T11*T15</f>
        <v>9.956396155864585</v>
      </c>
      <c r="U16" s="55">
        <f>U11*U15</f>
        <v>3.4786782346521745</v>
      </c>
      <c r="V16" s="55">
        <f>V11*V15</f>
        <v>0.690355035302425</v>
      </c>
    </row>
    <row r="17">
      <c r="A17" s="14" t="inlineStr">
        <is>
          <t>Tax-loss carryforward, end of year</t>
        </is>
      </c>
      <c r="C17" s="23">
        <f>Assumptions!$B$21-C8+MAX(0,-C7)</f>
        <v>562.266</v>
      </c>
      <c r="D17" s="23">
        <f>C17-D8+MAX(0,-D7)</f>
        <v>645.232</v>
      </c>
      <c r="E17" s="23">
        <f>D17-E8+MAX(0,-E7)</f>
        <v>728.198</v>
      </c>
      <c r="F17" s="23">
        <f>E17-F8+MAX(0,-F7)</f>
        <v>704.8594426911279</v>
      </c>
      <c r="G17" s="23">
        <f>F17-G8+MAX(0,-G7)</f>
        <v>618.2862853822559</v>
      </c>
      <c r="H17" s="23">
        <f>G17-H8+MAX(0,-H7)</f>
        <v>447.4003280733839</v>
      </c>
      <c r="I17" s="23">
        <f>H17-I8+MAX(0,-I7)</f>
        <v>192.20157076451184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1511.78394208044</v>
      </c>
    </row>
    <row r="20">
      <c r="A20" s="14" t="inlineStr">
        <is>
          <t>PV of corporate burn</t>
        </is>
      </c>
      <c r="B20" s="23">
        <f>SUMPRODUCT(C6:V6,C15:V15)</f>
        <v>-287.55234179698243</v>
      </c>
    </row>
    <row r="21">
      <c r="A21" s="14" t="inlineStr">
        <is>
          <t>PV of taxes</t>
        </is>
      </c>
      <c r="B21" s="23">
        <f>-SUMPRODUCT(C10:V10,C15:V15)</f>
        <v>-214.27928247022123</v>
      </c>
    </row>
    <row r="22">
      <c r="A22" s="24" t="inlineStr">
        <is>
          <t>Pipeline rNPV (operations)</t>
        </is>
      </c>
      <c r="B22" s="54">
        <f>SUM(C16:V16)</f>
        <v>1009.9523178132364</v>
      </c>
    </row>
    <row r="23">
      <c r="A23" s="14" t="inlineStr">
        <is>
          <t>Cash &amp; investments</t>
        </is>
      </c>
      <c r="B23" s="57">
        <f>Main!C7</f>
        <v>107.801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1117.7533178132364</v>
      </c>
    </row>
    <row r="26">
      <c r="A26" s="14" t="inlineStr">
        <is>
          <t>Shares (mm)</t>
        </is>
      </c>
      <c r="B26" s="57">
        <f>Main!C4</f>
        <v>96.722333</v>
      </c>
    </row>
    <row r="27">
      <c r="A27" s="24" t="inlineStr">
        <is>
          <t>rNPV / share</t>
        </is>
      </c>
      <c r="B27" s="60">
        <f>B25/B26</f>
        <v>11.556310555631825</v>
      </c>
    </row>
    <row r="28">
      <c r="A28" s="14" t="inlineStr">
        <is>
          <t>Price</t>
        </is>
      </c>
      <c r="B28" s="61">
        <f>Main!C3</f>
        <v>3.7</v>
      </c>
    </row>
    <row r="29">
      <c r="A29" s="14" t="inlineStr">
        <is>
          <t>Upside</t>
        </is>
      </c>
      <c r="B29" s="62">
        <f>B27/B28-1</f>
        <v>2.1233271771977904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2026-10-21T06:25:49Z</dcterms:modified>
  <cp:lastModifiedBy>Wang, Eric</cp:lastModifiedBy>
</cp:coreProperties>
</file>