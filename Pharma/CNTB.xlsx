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Connect Biopharma Holdings Ltd</t>
        </is>
      </c>
      <c r="C2" s="10" t="n"/>
    </row>
    <row r="3">
      <c r="B3" t="inlineStr">
        <is>
          <t>Price</t>
        </is>
      </c>
      <c r="C3" s="11">
        <f>INDEX([1]Pharma!$F$1:$F$1000,MATCH("CNTB",[1]Pharma!$B$1:$B$1000,0))</f>
        <v>0.8752</v>
      </c>
      <c r="F3" s="1" t="n"/>
    </row>
    <row r="4">
      <c r="B4" t="inlineStr">
        <is>
          <t>Shares</t>
        </is>
      </c>
      <c r="C4" s="21" t="n">
        <v>62.974309</v>
      </c>
      <c r="F4" s="1" t="n"/>
    </row>
    <row r="5">
      <c r="B5" t="inlineStr">
        <is>
          <t>Market Cap.</t>
        </is>
      </c>
      <c r="C5" s="13">
        <f>C3*C4</f>
        <v>55.115115236799994</v>
      </c>
      <c r="F5" s="1" t="n"/>
    </row>
    <row r="6"/>
    <row r="7">
      <c r="B7" t="inlineStr">
        <is>
          <t>Cash</t>
        </is>
      </c>
      <c r="C7" s="21">
        <f>27.015+4.471</f>
        <v>31.486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23.629115236799993</v>
      </c>
    </row>
    <row r="10"/>
    <row r="11">
      <c r="B11" s="14" t="inlineStr">
        <is>
          <t>Net Cash / Share</t>
        </is>
      </c>
      <c r="C11" s="11">
        <f>(C7-C8)/C4</f>
        <v>0.4999816671271455</v>
      </c>
    </row>
    <row r="12">
      <c r="B12" s="14" t="inlineStr">
        <is>
          <t>Upside</t>
        </is>
      </c>
      <c r="C12" s="15">
        <f>IFERROR(C11/C3-1,"")</f>
        <v>-0.42872295803571125</v>
      </c>
    </row>
    <row r="13">
      <c r="B13" s="14" t="inlineStr">
        <is>
          <t>Cash / Share</t>
        </is>
      </c>
      <c r="C13" s="11">
        <f>IFERROR((C7-C8)/C4,"")</f>
        <v>0.4999816671271455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-60.583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0.5197167522242213</v>
      </c>
    </row>
    <row r="19">
      <c r="B19" s="14" t="inlineStr">
        <is>
          <t>Implied Pipeline Value</t>
        </is>
      </c>
      <c r="C19" s="13">
        <f>C9</f>
        <v>23.629115236799993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26.033</v>
      </c>
      <c r="H2" s="23" t="n">
        <v>0.064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26.033</v>
      </c>
      <c r="H4" s="23">
        <f>H2-H3</f>
        <v>0.064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15.915</v>
      </c>
      <c r="C5" s="23" t="n">
        <v>22.574</v>
      </c>
      <c r="D5" s="23" t="n">
        <v>80.496</v>
      </c>
      <c r="E5" s="23" t="n">
        <v>96.63</v>
      </c>
      <c r="F5" s="23" t="n">
        <v>53.002</v>
      </c>
      <c r="G5" s="23" t="n">
        <v>29.256</v>
      </c>
      <c r="H5" s="23" t="n">
        <v>37.798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0.572</v>
      </c>
      <c r="C6" s="23" t="n">
        <v>7.004</v>
      </c>
      <c r="D6" s="23" t="n">
        <v>17.611</v>
      </c>
      <c r="E6" s="23" t="n">
        <v>22.686</v>
      </c>
      <c r="F6" s="23" t="n">
        <v>16.054</v>
      </c>
      <c r="G6" s="23" t="n">
        <v>19.229</v>
      </c>
      <c r="H6" s="23" t="n">
        <v>20.34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16.487</v>
      </c>
      <c r="C7" s="23">
        <f>SUM(C5:C6)</f>
        <v>29.578000000000003</v>
      </c>
      <c r="D7" s="23">
        <f>SUM(D5:D6)</f>
        <v>98.107</v>
      </c>
      <c r="E7" s="23">
        <f>SUM(E5:E6)</f>
        <v>119.316</v>
      </c>
      <c r="F7" s="23">
        <f>SUM(F5:F6)</f>
        <v>69.056</v>
      </c>
      <c r="G7" s="23">
        <f>SUM(G5:G6)</f>
        <v>48.485</v>
      </c>
      <c r="H7" s="23">
        <f>SUM(H5:H6)</f>
        <v>58.138000000000005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-16.487</v>
      </c>
      <c r="C8" s="23">
        <f>C4-C7</f>
        <v>-29.578000000000003</v>
      </c>
      <c r="D8" s="23">
        <f>D4-D7</f>
        <v>-98.107</v>
      </c>
      <c r="E8" s="23">
        <f>E4-E7</f>
        <v>-119.316</v>
      </c>
      <c r="F8" s="23">
        <f>F4-F7</f>
        <v>-69.056</v>
      </c>
      <c r="G8" s="23">
        <f>G4-G7</f>
        <v>-22.451999999999998</v>
      </c>
      <c r="H8" s="23">
        <f>H4-H7</f>
        <v>-58.074000000000005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-8.731999999999999</v>
      </c>
      <c r="C9" s="23" t="n">
        <v>-86.964</v>
      </c>
      <c r="D9" s="23" t="n">
        <v>-103.893</v>
      </c>
      <c r="E9" s="23" t="n">
        <v>1.523</v>
      </c>
      <c r="F9" s="23" t="n">
        <v>7.07</v>
      </c>
      <c r="G9" s="23" t="n">
        <v>7.047</v>
      </c>
      <c r="H9" s="23" t="n">
        <v>2.791</v>
      </c>
    </row>
    <row r="10">
      <c r="A10" s="2" t="inlineStr">
        <is>
          <t>Pretax</t>
        </is>
      </c>
      <c r="B10" s="23">
        <f>B8+B9</f>
        <v>-25.218999999999998</v>
      </c>
      <c r="C10" s="23">
        <f>C8+C9</f>
        <v>-116.542</v>
      </c>
      <c r="D10" s="23">
        <f>D8+D9</f>
        <v>-202.0</v>
      </c>
      <c r="E10" s="23">
        <f>E8+E9</f>
        <v>-117.793</v>
      </c>
      <c r="F10" s="23">
        <f>F8+F9</f>
        <v>-61.986</v>
      </c>
      <c r="G10" s="23">
        <f>G8+G9</f>
        <v>-15.404999999999998</v>
      </c>
      <c r="H10" s="23">
        <f>H8+H9</f>
        <v>-55.28300000000001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0.266</v>
      </c>
      <c r="E11" s="23" t="n">
        <v>0.298</v>
      </c>
      <c r="F11" s="23" t="n">
        <v>0.12</v>
      </c>
      <c r="G11" s="23" t="n">
        <v>0.223</v>
      </c>
      <c r="H11" s="23" t="n">
        <v>0.197</v>
      </c>
    </row>
    <row r="12">
      <c r="A12" s="2" t="inlineStr">
        <is>
          <t>Net Income</t>
        </is>
      </c>
      <c r="B12" s="23" t="n">
        <v>-25.22</v>
      </c>
      <c r="C12" s="23" t="n">
        <v>-116.542</v>
      </c>
      <c r="D12" s="23" t="n">
        <v>-202.266</v>
      </c>
      <c r="E12" s="23" t="n">
        <v>-118.091</v>
      </c>
      <c r="F12" s="23" t="n">
        <v>-62.106</v>
      </c>
      <c r="G12" s="23" t="n">
        <v>-15.628</v>
      </c>
      <c r="H12" s="23" t="n">
        <v>-55.48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-0.4981728395061728</v>
      </c>
      <c r="C13" s="11">
        <f>IFERROR(C12/C14,0)</f>
        <v>-2.273103179247123</v>
      </c>
      <c r="D13" s="11">
        <f>IFERROR(D12/D14,0)</f>
        <v>-3.8765356383080665</v>
      </c>
      <c r="E13" s="11">
        <f>IFERROR(E12/E14,0)</f>
        <v>-2.1453927766877405</v>
      </c>
      <c r="F13" s="11">
        <f>IFERROR(F12/F14,0)</f>
        <v>-1.127826102747562</v>
      </c>
      <c r="G13" s="11">
        <f>IFERROR(G12/G14,0)</f>
        <v>-0.2830492818720229</v>
      </c>
      <c r="H13" s="11">
        <f>IFERROR(H12/H14,0)</f>
        <v>-0.9967660797700324</v>
      </c>
    </row>
    <row r="14">
      <c r="A14" s="2" t="inlineStr">
        <is>
          <t>Shares</t>
        </is>
      </c>
      <c r="B14" s="23" t="n">
        <v>50.625</v>
      </c>
      <c r="C14" s="23" t="n">
        <v>51.27</v>
      </c>
      <c r="D14" s="23" t="n">
        <v>52.177</v>
      </c>
      <c r="E14" s="23" t="n">
        <v>55.044</v>
      </c>
      <c r="F14" s="23" t="n">
        <v>55.067</v>
      </c>
      <c r="G14" s="23" t="n">
        <v>55.213</v>
      </c>
      <c r="H14" s="23" t="n">
        <v>55.66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-0.9975415818384359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-0.8624438213037298</v>
      </c>
      <c r="H18" s="15">
        <f>IFERROR(H8/H2,"")</f>
        <v>-907.4062500000001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2026-10-21T01:06:08Z</dcterms:modified>
  <cp:lastModifiedBy>Wang, Eric</cp:lastModifiedBy>
</cp:coreProperties>
</file>