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Solid Biosciences Inc</t>
        </is>
      </c>
      <c r="C2" s="10" t="n"/>
    </row>
    <row r="3">
      <c r="B3" t="inlineStr">
        <is>
          <t>Price</t>
        </is>
      </c>
      <c r="C3" s="11">
        <f>INDEX([1]Pharma!$F$1:$F$1000,MATCH("SLDB",[1]Pharma!$B$1:$B$1000,0))</f>
        <v>6.4</v>
      </c>
      <c r="F3" s="1" t="n"/>
    </row>
    <row r="4">
      <c r="B4" t="inlineStr">
        <is>
          <t>Shares</t>
        </is>
      </c>
      <c r="C4" s="21" t="n">
        <v>107.225238</v>
      </c>
      <c r="F4" s="1" t="n"/>
    </row>
    <row r="5">
      <c r="B5" t="inlineStr">
        <is>
          <t>Market Cap.</t>
        </is>
      </c>
      <c r="C5" s="13">
        <f>C3*C4</f>
        <v>686.2415232000001</v>
      </c>
      <c r="F5" s="1" t="n"/>
    </row>
    <row r="6"/>
    <row r="7">
      <c r="B7" t="inlineStr">
        <is>
          <t>Cash</t>
        </is>
      </c>
      <c r="C7" s="21">
        <f>159.394+218.284</f>
        <v>377.678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308.5635232000001</v>
      </c>
    </row>
    <row r="10"/>
    <row r="11">
      <c r="B11" s="14" t="inlineStr">
        <is>
          <t>Net Cash / Share</t>
        </is>
      </c>
      <c r="C11" s="11">
        <f>(C7-C8)/C4</f>
        <v>3.522286422903533</v>
      </c>
    </row>
    <row r="12">
      <c r="B12" s="14" t="inlineStr">
        <is>
          <t>Upside</t>
        </is>
      </c>
      <c r="C12" s="15">
        <f>IFERROR(C11/C3-1,"")</f>
        <v>-0.44964274642132307</v>
      </c>
    </row>
    <row r="13">
      <c r="B13" s="14" t="inlineStr">
        <is>
          <t>Cash / Share</t>
        </is>
      </c>
      <c r="C13" s="11">
        <f>IFERROR((C7-C8)/C4,"")</f>
        <v>3.522286422903533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-186.844</v>
      </c>
    </row>
    <row r="18">
      <c r="B18" s="14" t="inlineStr">
        <is>
          <t>Runway (years)</t>
        </is>
      </c>
      <c r="C18" s="22">
        <f>IF(AND(ISNUMBER(C17),C17&lt;0),IF(C7&gt;C8,(C7-C8)/-C17,"net debt"),"n/a")</f>
        <v>2.0213547130226286</v>
      </c>
    </row>
    <row r="19">
      <c r="B19" s="14" t="inlineStr">
        <is>
          <t>Implied Pipeline Value</t>
        </is>
      </c>
      <c r="C19" s="13">
        <f>C9</f>
        <v>308.5635232000001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2016</v>
      </c>
      <c r="C1" s="17" t="n">
        <v>2017</v>
      </c>
      <c r="D1" s="17" t="n">
        <v>2018</v>
      </c>
      <c r="E1" s="17" t="n">
        <v>2019</v>
      </c>
      <c r="F1" s="17" t="n">
        <v>2020</v>
      </c>
      <c r="G1" s="17" t="n">
        <v>2021</v>
      </c>
      <c r="H1" s="17" t="n">
        <v>2022</v>
      </c>
      <c r="I1" s="17" t="n">
        <v>2023</v>
      </c>
      <c r="J1" s="17" t="n">
        <v>2024</v>
      </c>
      <c r="K1" s="17" t="n">
        <v>2025</v>
      </c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13.62</v>
      </c>
      <c r="H2" s="23" t="n">
        <v>8.093999999999999</v>
      </c>
      <c r="I2" s="23" t="n">
        <v>0</v>
      </c>
      <c r="J2" s="23" t="n">
        <v>0</v>
      </c>
      <c r="K2" s="23" t="n">
        <v>0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13.62</v>
      </c>
      <c r="H4" s="23">
        <f>H2-H3</f>
        <v>8.094</v>
      </c>
      <c r="I4" s="23">
        <f>I2-I3</f>
        <v>0.0</v>
      </c>
      <c r="J4" s="23">
        <f>J2-J3</f>
        <v>0.0</v>
      </c>
      <c r="K4" s="23">
        <f>K2-K3</f>
        <v>0.0</v>
      </c>
    </row>
    <row r="5">
      <c r="A5" s="2" t="inlineStr">
        <is>
          <t>Research &amp; Dev.</t>
        </is>
      </c>
      <c r="B5" s="23" t="n">
        <v>20.116</v>
      </c>
      <c r="C5" s="23" t="n">
        <v>39.905</v>
      </c>
      <c r="D5" s="23" t="n">
        <v>57.965</v>
      </c>
      <c r="E5" s="23" t="n">
        <v>94.73699999999999</v>
      </c>
      <c r="F5" s="23" t="n">
        <v>64.881</v>
      </c>
      <c r="G5" s="23" t="n">
        <v>58.739</v>
      </c>
      <c r="H5" s="23" t="n">
        <v>78.42</v>
      </c>
      <c r="I5" s="23" t="n">
        <v>76.563</v>
      </c>
      <c r="J5" s="23" t="n">
        <v>96.431</v>
      </c>
      <c r="K5" s="23" t="n">
        <v>140.325</v>
      </c>
    </row>
    <row r="6">
      <c r="A6" s="19" t="inlineStr">
        <is>
          <t>SG&amp;A &amp; Other</t>
        </is>
      </c>
      <c r="B6" s="23" t="n">
        <v>5.46</v>
      </c>
      <c r="C6" s="23" t="n">
        <v>14.952</v>
      </c>
      <c r="D6" s="23" t="n">
        <v>17.722</v>
      </c>
      <c r="E6" s="23" t="n">
        <v>24.581</v>
      </c>
      <c r="F6" s="23" t="n">
        <v>23.525</v>
      </c>
      <c r="G6" s="23" t="n">
        <v>27.135</v>
      </c>
      <c r="H6" s="23" t="n">
        <v>36.126</v>
      </c>
      <c r="I6" s="23" t="n">
        <v>27.689</v>
      </c>
      <c r="J6" s="23" t="n">
        <v>33.297</v>
      </c>
      <c r="K6" s="23" t="n">
        <v>38.881</v>
      </c>
    </row>
    <row r="7">
      <c r="A7" s="2" t="inlineStr">
        <is>
          <t>Operating Expense</t>
        </is>
      </c>
      <c r="B7" s="23">
        <f>SUM(B5:B6)</f>
        <v>25.576</v>
      </c>
      <c r="C7" s="23">
        <f>SUM(C5:C6)</f>
        <v>54.857</v>
      </c>
      <c r="D7" s="23">
        <f>SUM(D5:D6)</f>
        <v>75.68700000000001</v>
      </c>
      <c r="E7" s="23">
        <f>SUM(E5:E6)</f>
        <v>119.318</v>
      </c>
      <c r="F7" s="23">
        <f>SUM(F5:F6)</f>
        <v>88.406</v>
      </c>
      <c r="G7" s="23">
        <f>SUM(G5:G6)</f>
        <v>85.874</v>
      </c>
      <c r="H7" s="23">
        <f>SUM(H5:H6)</f>
        <v>114.54599999999999</v>
      </c>
      <c r="I7" s="23">
        <f>SUM(I5:I6)</f>
        <v>104.25200000000001</v>
      </c>
      <c r="J7" s="23">
        <f>SUM(J5:J6)</f>
        <v>129.728</v>
      </c>
      <c r="K7" s="23">
        <f>SUM(K5:K6)</f>
        <v>179.206</v>
      </c>
    </row>
    <row r="8">
      <c r="A8" s="2" t="inlineStr">
        <is>
          <t>Operating Income</t>
        </is>
      </c>
      <c r="B8" s="23">
        <f>B4-B7</f>
        <v>-25.576</v>
      </c>
      <c r="C8" s="23">
        <f>C4-C7</f>
        <v>-54.857</v>
      </c>
      <c r="D8" s="23">
        <f>D4-D7</f>
        <v>-75.68700000000001</v>
      </c>
      <c r="E8" s="23">
        <f>E4-E7</f>
        <v>-119.318</v>
      </c>
      <c r="F8" s="23">
        <f>F4-F7</f>
        <v>-88.406</v>
      </c>
      <c r="G8" s="23">
        <f>G4-G7</f>
        <v>-72.25399999999999</v>
      </c>
      <c r="H8" s="23">
        <f>H4-H7</f>
        <v>-106.452</v>
      </c>
      <c r="I8" s="23">
        <f>I4-I7</f>
        <v>-104.25200000000001</v>
      </c>
      <c r="J8" s="23">
        <f>J4-J7</f>
        <v>-129.728</v>
      </c>
      <c r="K8" s="23">
        <f>K4-K7</f>
        <v>-179.206</v>
      </c>
    </row>
    <row r="9">
      <c r="A9" s="19" t="inlineStr">
        <is>
          <t>Interest &amp; Other</t>
        </is>
      </c>
      <c r="B9" s="23" t="n">
        <v>4.037</v>
      </c>
      <c r="C9" s="23" t="n">
        <v>2.739</v>
      </c>
      <c r="D9" s="23" t="n">
        <v>0.889</v>
      </c>
      <c r="E9" s="23" t="n">
        <v>2.095</v>
      </c>
      <c r="F9" s="23" t="n">
        <v>0.116</v>
      </c>
      <c r="G9" s="23" t="n">
        <v>0.066</v>
      </c>
      <c r="H9" s="23" t="n">
        <v>20.471</v>
      </c>
      <c r="I9" s="23" t="n">
        <v>8.231999999999999</v>
      </c>
      <c r="J9" s="23" t="n">
        <v>5.028</v>
      </c>
      <c r="K9" s="23" t="n">
        <v>4.876</v>
      </c>
    </row>
    <row r="10">
      <c r="A10" s="2" t="inlineStr">
        <is>
          <t>Pretax</t>
        </is>
      </c>
      <c r="B10" s="23">
        <f>B8+B9</f>
        <v>-21.539</v>
      </c>
      <c r="C10" s="23">
        <f>C8+C9</f>
        <v>-52.118</v>
      </c>
      <c r="D10" s="23">
        <f>D8+D9</f>
        <v>-74.79800000000002</v>
      </c>
      <c r="E10" s="23">
        <f>E8+E9</f>
        <v>-117.223</v>
      </c>
      <c r="F10" s="23">
        <f>F8+F9</f>
        <v>-88.29</v>
      </c>
      <c r="G10" s="23">
        <f>G8+G9</f>
        <v>-72.18799999999999</v>
      </c>
      <c r="H10" s="23">
        <f>H8+H9</f>
        <v>-85.981</v>
      </c>
      <c r="I10" s="23">
        <f>I8+I9</f>
        <v>-96.02000000000001</v>
      </c>
      <c r="J10" s="23">
        <f>J8+J9</f>
        <v>-124.7</v>
      </c>
      <c r="K10" s="23">
        <f>K8+K9</f>
        <v>-174.32999999999998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</row>
    <row r="12">
      <c r="A12" s="2" t="inlineStr">
        <is>
          <t>Net Income</t>
        </is>
      </c>
      <c r="B12" s="23" t="n">
        <v>-21.539</v>
      </c>
      <c r="C12" s="23" t="n">
        <v>-52.118</v>
      </c>
      <c r="D12" s="23" t="n">
        <v>-74.798</v>
      </c>
      <c r="E12" s="23" t="n">
        <v>-117.223</v>
      </c>
      <c r="F12" s="23" t="n">
        <v>-88.29000000000001</v>
      </c>
      <c r="G12" s="23" t="n">
        <v>-72.188</v>
      </c>
      <c r="H12" s="23" t="n">
        <v>-85.98099999999999</v>
      </c>
      <c r="I12" s="23" t="n">
        <v>-96.02</v>
      </c>
      <c r="J12" s="23" t="n">
        <v>-124.7</v>
      </c>
      <c r="K12" s="23" t="n">
        <v>-174.33</v>
      </c>
    </row>
    <row r="13">
      <c r="A13" s="2" t="inlineStr">
        <is>
          <t>Earnings per Share</t>
        </is>
      </c>
      <c r="B13" s="11">
        <f>IFERROR(B12/B14,0)</f>
        <v>-1.5847987638878671</v>
      </c>
      <c r="C13" s="11">
        <f>IFERROR(C12/C14,0)</f>
        <v>-3.8184482379661517</v>
      </c>
      <c r="D13" s="11">
        <f>IFERROR(D12/D14,0)</f>
        <v>-2.248684724769263</v>
      </c>
      <c r="E13" s="11">
        <f>IFERROR(E12/E14,0)</f>
        <v>-2.909553476134925</v>
      </c>
      <c r="F13" s="11">
        <f>IFERROR(F12/F14,0)</f>
        <v>-25.50259965337955</v>
      </c>
      <c r="G13" s="11">
        <f>IFERROR(G12/G14,0)</f>
        <v>-10.141612812587805</v>
      </c>
      <c r="H13" s="11">
        <f>IFERROR(H12/H14,0)</f>
        <v>-10.101151315789473</v>
      </c>
      <c r="I13" s="11">
        <f>IFERROR(I12/I14,0)</f>
        <v>-4.829008247837457</v>
      </c>
      <c r="J13" s="11">
        <f>IFERROR(J12/J14,0)</f>
        <v>-3.055099590856751</v>
      </c>
      <c r="K13" s="11">
        <f>IFERROR(K12/K14,0)</f>
        <v>-1.9922290154848297</v>
      </c>
    </row>
    <row r="14">
      <c r="A14" s="2" t="inlineStr">
        <is>
          <t>Shares</t>
        </is>
      </c>
      <c r="B14" s="23" t="n">
        <v>13.591</v>
      </c>
      <c r="C14" s="23" t="n">
        <v>13.649</v>
      </c>
      <c r="D14" s="23" t="n">
        <v>33.263</v>
      </c>
      <c r="E14" s="23" t="n">
        <v>40.289</v>
      </c>
      <c r="F14" s="23" t="n">
        <v>3.462</v>
      </c>
      <c r="G14" s="23" t="n">
        <v>7.118</v>
      </c>
      <c r="H14" s="23" t="n">
        <v>8.512</v>
      </c>
      <c r="I14" s="23" t="n">
        <v>19.884</v>
      </c>
      <c r="J14" s="23" t="n">
        <v>40.817</v>
      </c>
      <c r="K14" s="23" t="n">
        <v>87.505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>-0.405726872246696</v>
      </c>
      <c r="I16" s="15">
        <f>IFERROR(I2/H2-1,"")</f>
        <v>-1.0</v>
      </c>
      <c r="J16" s="15">
        <f>IFERROR(J2/I2-1,"")</f>
        <v/>
      </c>
      <c r="K16" s="15">
        <f>IFERROR(K2/J2-1,"")</f>
        <v/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>1.0</v>
      </c>
      <c r="H17" s="15">
        <f>IFERROR(H4/H2,"")</f>
        <v>1.0</v>
      </c>
      <c r="I17" s="15">
        <f>IFERROR(I4/I2,"")</f>
        <v/>
      </c>
      <c r="J17" s="15">
        <f>IFERROR(J4/J2,"")</f>
        <v/>
      </c>
      <c r="K17" s="15">
        <f>IFERROR(K4/K2,"")</f>
        <v/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>-5.3049926578560935</v>
      </c>
      <c r="H18" s="15">
        <f>IFERROR(H8/H2,"")</f>
        <v>-13.151964418087474</v>
      </c>
      <c r="I18" s="15">
        <f>IFERROR(I8/I2,"")</f>
        <v/>
      </c>
      <c r="J18" s="15">
        <f>IFERROR(J8/J2,"")</f>
        <v/>
      </c>
      <c r="K18" s="15">
        <f>IFERROR(K8/K2,"")</f>
        <v/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2026-10-21T01:05:04Z</dcterms:modified>
  <cp:lastModifiedBy>Wang, Eric</cp:lastModifiedBy>
</cp:coreProperties>
</file>