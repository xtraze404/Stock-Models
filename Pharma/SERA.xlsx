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Sera Prognostics, Inc.</t>
        </is>
      </c>
      <c r="C2" s="10" t="n"/>
    </row>
    <row r="3">
      <c r="B3" t="inlineStr">
        <is>
          <t>Price</t>
        </is>
      </c>
      <c r="C3" s="11">
        <f>INDEX([1]Pharma!$F$1:$F$1000,MATCH("SERA",[1]Pharma!$B$1:$B$1000,0))</f>
        <v>2.03</v>
      </c>
      <c r="F3" s="1" t="n"/>
    </row>
    <row r="4">
      <c r="B4" t="inlineStr">
        <is>
          <t>Shares</t>
        </is>
      </c>
      <c r="C4" s="21" t="n"/>
      <c r="F4" s="1" t="n"/>
    </row>
    <row r="5">
      <c r="B5" t="inlineStr">
        <is>
          <t>Market Cap.</t>
        </is>
      </c>
      <c r="C5" s="13">
        <f>C3*C4</f>
        <v>0.0</v>
      </c>
      <c r="F5" s="1" t="n"/>
    </row>
    <row r="6"/>
    <row r="7">
      <c r="B7" t="inlineStr">
        <is>
          <t>Cash</t>
        </is>
      </c>
      <c r="C7" s="21">
        <f>4.398+42.047</f>
        <v>46.44499999999999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-46.44499999999999</v>
      </c>
    </row>
    <row r="10"/>
    <row r="11">
      <c r="B11" s="14" t="inlineStr">
        <is>
          <t>NPV / Share</t>
        </is>
      </c>
      <c r="C11" s="11" t="n"/>
    </row>
    <row r="12">
      <c r="B12" s="14" t="inlineStr">
        <is>
          <t>Upside</t>
        </is>
      </c>
      <c r="C12" s="15" t="n"/>
    </row>
    <row r="13">
      <c r="B13" s="14" t="inlineStr">
        <is>
          <t>Cash / Share</t>
        </is>
      </c>
      <c r="C13" s="11">
        <f>IFERROR((C7-C8)/C4,"")</f>
        <v/>
      </c>
    </row>
    <row r="14">
      <c r="B14" s="14" t="inlineStr">
        <is>
          <t>Scenario</t>
        </is>
      </c>
      <c r="C14" s="14" t="inlineStr">
        <is>
          <t>no data</t>
        </is>
      </c>
    </row>
    <row r="15">
      <c r="B15" s="14" t="inlineStr">
        <is>
          <t>Model</t>
        </is>
      </c>
      <c r="C15" s="14" t="inlineStr">
        <is>
          <t>n/a</t>
        </is>
      </c>
    </row>
    <row r="16"/>
    <row r="17">
      <c r="B17" s="14" t="inlineStr">
        <is>
          <t>TTM Operating Cash Flow</t>
        </is>
      </c>
      <c r="C17" s="21" t="n">
        <v>-27.682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1.6778050718878692</v>
      </c>
    </row>
    <row r="19">
      <c r="B19" s="14" t="inlineStr">
        <is>
          <t>Implied Pipeline Value</t>
        </is>
      </c>
      <c r="C19" s="13">
        <f>C9</f>
        <v>-46.44499999999999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0.025</v>
      </c>
      <c r="C2" s="23" t="n">
        <v>0.082</v>
      </c>
      <c r="D2" s="23" t="n">
        <v>0.268</v>
      </c>
      <c r="E2" s="23" t="n">
        <v>0.306</v>
      </c>
      <c r="F2" s="23" t="n">
        <v>0.077</v>
      </c>
      <c r="G2" s="23" t="n">
        <v>0.081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0.21</v>
      </c>
      <c r="F3" s="23" t="n">
        <v>0.082</v>
      </c>
      <c r="G3" s="23" t="n">
        <v>0.164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0.025</v>
      </c>
      <c r="C4" s="23">
        <f>C2-C3</f>
        <v>0.082</v>
      </c>
      <c r="D4" s="23">
        <f>D2-D3</f>
        <v>0.268</v>
      </c>
      <c r="E4" s="23">
        <f>E2-E3</f>
        <v>0.096</v>
      </c>
      <c r="F4" s="23">
        <f>F2-F3</f>
        <v>-0.0050000000000000044</v>
      </c>
      <c r="G4" s="23">
        <f>G2-G3</f>
        <v>-0.083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7.782</v>
      </c>
      <c r="C5" s="23" t="n">
        <v>11.019</v>
      </c>
      <c r="D5" s="23" t="n">
        <v>14.244</v>
      </c>
      <c r="E5" s="23" t="n">
        <v>15.225</v>
      </c>
      <c r="F5" s="23" t="n">
        <v>14.73</v>
      </c>
      <c r="G5" s="23" t="n">
        <v>13.171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10.214</v>
      </c>
      <c r="C6" s="23" t="n">
        <v>24.458</v>
      </c>
      <c r="D6" s="23" t="n">
        <v>31.676</v>
      </c>
      <c r="E6" s="23" t="n">
        <v>24.692</v>
      </c>
      <c r="F6" s="23" t="n">
        <v>21.9</v>
      </c>
      <c r="G6" s="23" t="n">
        <v>23.25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17.996000000000002</v>
      </c>
      <c r="C7" s="23">
        <f>SUM(C5:C6)</f>
        <v>35.477</v>
      </c>
      <c r="D7" s="23">
        <f>SUM(D5:D6)</f>
        <v>45.92</v>
      </c>
      <c r="E7" s="23">
        <f>SUM(E5:E6)</f>
        <v>39.917</v>
      </c>
      <c r="F7" s="23">
        <f>SUM(F5:F6)</f>
        <v>36.629999999999995</v>
      </c>
      <c r="G7" s="23">
        <f>SUM(G5:G6)</f>
        <v>36.421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-17.971000000000004</v>
      </c>
      <c r="C8" s="23">
        <f>C4-C7</f>
        <v>-35.394999999999996</v>
      </c>
      <c r="D8" s="23">
        <f>D4-D7</f>
        <v>-45.652</v>
      </c>
      <c r="E8" s="23">
        <f>E4-E7</f>
        <v>-39.821000000000005</v>
      </c>
      <c r="F8" s="23">
        <f>F4-F7</f>
        <v>-36.635</v>
      </c>
      <c r="G8" s="23">
        <f>G4-G7</f>
        <v>-36.504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-1.877</v>
      </c>
      <c r="C9" s="23" t="n">
        <v>0.386</v>
      </c>
      <c r="D9" s="23" t="n">
        <v>1.466</v>
      </c>
      <c r="E9" s="23" t="n">
        <v>3.579</v>
      </c>
      <c r="F9" s="23" t="n">
        <v>3.737</v>
      </c>
      <c r="G9" s="23" t="n">
        <v>4.576</v>
      </c>
    </row>
    <row r="10">
      <c r="A10" s="2" t="inlineStr">
        <is>
          <t>Pretax</t>
        </is>
      </c>
      <c r="B10" s="23">
        <f>B8+B9</f>
        <v>-19.848000000000003</v>
      </c>
      <c r="C10" s="23">
        <f>C8+C9</f>
        <v>-35.00899999999999</v>
      </c>
      <c r="D10" s="23">
        <f>D8+D9</f>
        <v>-44.186</v>
      </c>
      <c r="E10" s="23">
        <f>E8+E9</f>
        <v>-36.242000000000004</v>
      </c>
      <c r="F10" s="23">
        <f>F8+F9</f>
        <v>-32.897999999999996</v>
      </c>
      <c r="G10" s="23">
        <f>G8+G9</f>
        <v>-31.927999999999997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-19.848</v>
      </c>
      <c r="C12" s="23" t="n">
        <v>-35.009</v>
      </c>
      <c r="D12" s="23" t="n">
        <v>-44.186</v>
      </c>
      <c r="E12" s="23" t="n">
        <v>-36.242</v>
      </c>
      <c r="F12" s="23" t="n">
        <v>-32.898</v>
      </c>
      <c r="G12" s="23" t="n">
        <v>-31.928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-12.755784061696657</v>
      </c>
      <c r="C13" s="11">
        <f>IFERROR(C12/C14,0)</f>
        <v>-2.3334666400053323</v>
      </c>
      <c r="D13" s="11">
        <f>IFERROR(D12/D14,0)</f>
        <v>-1.4279804802378566</v>
      </c>
      <c r="E13" s="11">
        <f>IFERROR(E12/E14,0)</f>
        <v>-1.1615653344444088</v>
      </c>
      <c r="F13" s="11">
        <f>IFERROR(F12/F14,0)</f>
        <v>-0.9921886781071872</v>
      </c>
      <c r="G13" s="11">
        <f>IFERROR(G12/G14,0)</f>
        <v>-0.6698837648441106</v>
      </c>
    </row>
    <row r="14">
      <c r="A14" s="2" t="inlineStr">
        <is>
          <t>Shares</t>
        </is>
      </c>
      <c r="B14" s="23" t="n">
        <v>1.556</v>
      </c>
      <c r="C14" s="23" t="n">
        <v>15.003</v>
      </c>
      <c r="D14" s="23" t="n">
        <v>30.943</v>
      </c>
      <c r="E14" s="23" t="n">
        <v>31.201</v>
      </c>
      <c r="F14" s="23" t="n">
        <v>33.157</v>
      </c>
      <c r="G14" s="23" t="n">
        <v>47.662</v>
      </c>
    </row>
    <row r="15"/>
    <row r="16" customFormat="1" s="4">
      <c r="A16" s="3" t="inlineStr">
        <is>
          <t>Revenue Change</t>
        </is>
      </c>
      <c r="C16" s="15">
        <f>IFERROR(C2/B2-1,"")</f>
        <v>2.28</v>
      </c>
      <c r="D16" s="15">
        <f>IFERROR(D2/C2-1,"")</f>
        <v>2.2682926829268295</v>
      </c>
      <c r="E16" s="15">
        <f>IFERROR(E2/D2-1,"")</f>
        <v>0.14179104477611926</v>
      </c>
      <c r="F16" s="15">
        <f>IFERROR(F2/E2-1,"")</f>
        <v>-0.7483660130718954</v>
      </c>
      <c r="G16" s="15">
        <f>IFERROR(G2/F2-1,"")</f>
        <v>0.051948051948051965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0.3137254901960784</v>
      </c>
      <c r="F17" s="15">
        <f>IFERROR(F4/F2,"")</f>
        <v>-0.064935064935065</v>
      </c>
      <c r="G17" s="15">
        <f>IFERROR(G4/G2,"")</f>
        <v>-1.0246913580246915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-718.8400000000001</v>
      </c>
      <c r="C18" s="15">
        <f>IFERROR(C8/C2,"")</f>
        <v>-431.64634146341456</v>
      </c>
      <c r="D18" s="15">
        <f>IFERROR(D8/D2,"")</f>
        <v>-170.34328358208955</v>
      </c>
      <c r="E18" s="15">
        <f>IFERROR(E8/E2,"")</f>
        <v>-130.1339869281046</v>
      </c>
      <c r="F18" s="15">
        <f>IFERROR(F8/F2,"")</f>
        <v>-475.77922077922074</v>
      </c>
      <c r="G18" s="15">
        <f>IFERROR(G8/G2,"")</f>
        <v>-450.66666666666663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2026-10-21T01:06:59Z</dcterms:modified>
  <cp:lastModifiedBy>Wang, Eric</cp:lastModifiedBy>
</cp:coreProperties>
</file>