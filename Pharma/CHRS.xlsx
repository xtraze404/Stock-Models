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Coherus Oncology Inc</t>
        </is>
      </c>
      <c r="C2" s="10" t="n"/>
    </row>
    <row r="3">
      <c r="B3" t="inlineStr">
        <is>
          <t>Price</t>
        </is>
      </c>
      <c r="C3" s="11">
        <f>INDEX([1]Pharma!$F$1:$F$1000,MATCH("CHRS",[1]Pharma!$B$1:$B$1000,0))</f>
        <v>1</v>
      </c>
      <c r="F3" s="1" t="n"/>
    </row>
    <row r="4">
      <c r="B4" t="inlineStr">
        <is>
          <t>Shares</t>
        </is>
      </c>
      <c r="C4" s="51" t="n">
        <v>154.500966</v>
      </c>
      <c r="F4" s="1" t="n"/>
    </row>
    <row r="5">
      <c r="B5" t="inlineStr">
        <is>
          <t>Market Cap.</t>
        </is>
      </c>
      <c r="C5" s="13">
        <f>C3*C4</f>
        <v>154.500966</v>
      </c>
      <c r="F5" s="1" t="n"/>
    </row>
    <row r="6"/>
    <row r="7">
      <c r="B7" t="inlineStr">
        <is>
          <t>Cash</t>
        </is>
      </c>
      <c r="C7" s="51">
        <f>82.923+22.383</f>
        <v>105.306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49.19496600000001</v>
      </c>
    </row>
    <row r="10"/>
    <row r="11">
      <c r="B11" s="14" t="inlineStr">
        <is>
          <t>NPV / Share</t>
        </is>
      </c>
      <c r="C11" s="11">
        <f>NPV!B28</f>
        <v>-1.2139637571779212</v>
      </c>
    </row>
    <row r="12">
      <c r="B12" s="14" t="inlineStr">
        <is>
          <t>Upside</t>
        </is>
      </c>
      <c r="C12" s="15">
        <f>IFERROR(C11/C3-1,"")</f>
        <v>-2.213963757177921</v>
      </c>
    </row>
    <row r="13">
      <c r="B13" s="14" t="inlineStr">
        <is>
          <t>Cash / Share</t>
        </is>
      </c>
      <c r="C13" s="11">
        <f>IFERROR((C7-C8)/C4,"")</f>
        <v>0.6815879714305475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1.899</v>
      </c>
      <c r="C2" s="52" t="n">
        <v>2.751</v>
      </c>
      <c r="D2" s="52" t="n">
        <v>31.106</v>
      </c>
      <c r="E2" s="52" t="n">
        <v>30.041</v>
      </c>
      <c r="F2" s="52" t="n">
        <v>190.106</v>
      </c>
      <c r="G2" s="52" t="n">
        <v>1.556</v>
      </c>
      <c r="H2" s="52" t="n">
        <v>0</v>
      </c>
      <c r="I2" s="52" t="n">
        <v>356.071</v>
      </c>
      <c r="J2" s="52" t="n">
        <v>475.824</v>
      </c>
      <c r="K2" s="52" t="n">
        <v>326.551</v>
      </c>
      <c r="L2" s="52" t="n">
        <v>211.042</v>
      </c>
      <c r="M2" s="52" t="n">
        <v>1.218</v>
      </c>
      <c r="N2" s="52" t="n">
        <v>26.389</v>
      </c>
      <c r="O2" s="52" t="n">
        <v>42.172</v>
      </c>
      <c r="P2" s="52">
        <f>O2*(1+NPV!C5)</f>
        <v>56.9322</v>
      </c>
      <c r="Q2" s="52">
        <f>P2*(1+NPV!D5)</f>
        <v>74.80258500000001</v>
      </c>
      <c r="R2" s="52">
        <f>Q2*(1+NPV!E5)</f>
        <v>95.58108083333333</v>
      </c>
      <c r="S2" s="52">
        <f>R2*(1+NPV!F5)</f>
        <v>118.67984203472223</v>
      </c>
      <c r="T2" s="52">
        <f>S2*(1+NPV!G5)</f>
        <v>143.07514289741513</v>
      </c>
      <c r="U2" s="52">
        <f>T2*(1+NPV!H5)</f>
        <v>167.31843099947716</v>
      </c>
      <c r="V2" s="52">
        <f>U2*(1+NPV!I5)</f>
        <v>189.62755513274078</v>
      </c>
      <c r="W2" s="52">
        <f>V2*(1+NPV!J5)</f>
        <v>208.06356743731283</v>
      </c>
      <c r="X2" s="52">
        <f>W2*(1+NPV!K5)</f>
        <v>220.77856322514862</v>
      </c>
      <c r="Y2" s="52">
        <f>X2*(1+NPV!L5)</f>
        <v>226.2980273057773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17.078</v>
      </c>
      <c r="J3" s="52" t="n">
        <v>37.667</v>
      </c>
      <c r="K3" s="52" t="n">
        <v>57.591</v>
      </c>
      <c r="L3" s="52" t="n">
        <v>70.083</v>
      </c>
      <c r="M3" s="52" t="n">
        <v>0.438</v>
      </c>
      <c r="N3" s="52" t="n">
        <v>8.727</v>
      </c>
      <c r="O3" s="52" t="n">
        <v>13.814</v>
      </c>
      <c r="P3" s="52">
        <f>P2*(1-Assumptions!$B$19)</f>
        <v>18.65098872</v>
      </c>
      <c r="Q3" s="52">
        <f>Q2*(1-Assumptions!$B$19)</f>
        <v>24.505326846000003</v>
      </c>
      <c r="R3" s="52">
        <f>R2*(1-Assumptions!$B$19)</f>
        <v>31.312362081</v>
      </c>
      <c r="S3" s="52">
        <f>S2*(1-Assumptions!$B$19)</f>
        <v>38.879516250575</v>
      </c>
      <c r="T3" s="52">
        <f>T2*(1-Assumptions!$B$19)</f>
        <v>46.8714168131932</v>
      </c>
      <c r="U3" s="52">
        <f>U2*(1-Assumptions!$B$19)</f>
        <v>54.81351799542872</v>
      </c>
      <c r="V3" s="52">
        <f>V2*(1-Assumptions!$B$19)</f>
        <v>62.12198706148588</v>
      </c>
      <c r="W3" s="52">
        <f>W2*(1-Assumptions!$B$19)</f>
        <v>68.16162469246368</v>
      </c>
      <c r="X3" s="52">
        <f>X2*(1-Assumptions!$B$19)</f>
        <v>72.3270573125587</v>
      </c>
      <c r="Y3" s="52">
        <f>Y2*(1-Assumptions!$B$19)</f>
        <v>74.13523374537264</v>
      </c>
    </row>
    <row r="4" customFormat="1" s="1">
      <c r="A4" s="5" t="inlineStr">
        <is>
          <t>Gross Margin</t>
        </is>
      </c>
      <c r="B4" s="52">
        <f>B2-B3</f>
        <v>1.899</v>
      </c>
      <c r="C4" s="52">
        <f>C2-C3</f>
        <v>2.751</v>
      </c>
      <c r="D4" s="52">
        <f>D2-D3</f>
        <v>31.106</v>
      </c>
      <c r="E4" s="52">
        <f>E2-E3</f>
        <v>30.041</v>
      </c>
      <c r="F4" s="52">
        <f>F2-F3</f>
        <v>190.106</v>
      </c>
      <c r="G4" s="52">
        <f>G2-G3</f>
        <v>1.556</v>
      </c>
      <c r="H4" s="52">
        <f>H2-H3</f>
        <v>0.0</v>
      </c>
      <c r="I4" s="52">
        <f>I2-I3</f>
        <v>338.99300000000005</v>
      </c>
      <c r="J4" s="52">
        <f>J2-J3</f>
        <v>438.15700000000004</v>
      </c>
      <c r="K4" s="52">
        <f>K2-K3</f>
        <v>268.96</v>
      </c>
      <c r="L4" s="52">
        <f>L2-L3</f>
        <v>140.959</v>
      </c>
      <c r="M4" s="52">
        <f>M2-M3</f>
        <v>0.78</v>
      </c>
      <c r="N4" s="52">
        <f>N2-N3</f>
        <v>17.662</v>
      </c>
      <c r="O4" s="52">
        <f>O2-O3</f>
        <v>28.357999999999997</v>
      </c>
      <c r="P4" s="52">
        <f>P2-P3</f>
        <v>38.28121128</v>
      </c>
      <c r="Q4" s="52">
        <f>Q2-Q3</f>
        <v>50.297258154000005</v>
      </c>
      <c r="R4" s="52">
        <f>R2-R3</f>
        <v>64.26871875233333</v>
      </c>
      <c r="S4" s="52">
        <f>S2-S3</f>
        <v>79.80032578414722</v>
      </c>
      <c r="T4" s="52">
        <f>T2-T3</f>
        <v>96.20372608422193</v>
      </c>
      <c r="U4" s="52">
        <f>U2-U3</f>
        <v>112.50491300404843</v>
      </c>
      <c r="V4" s="52">
        <f>V2-V3</f>
        <v>127.5055680712549</v>
      </c>
      <c r="W4" s="52">
        <f>W2-W3</f>
        <v>139.90194274484915</v>
      </c>
      <c r="X4" s="52">
        <f>X2-X3</f>
        <v>148.45150591258994</v>
      </c>
      <c r="Y4" s="52">
        <f>Y2-Y3</f>
        <v>152.16279356040468</v>
      </c>
    </row>
    <row r="5">
      <c r="A5" s="2" t="inlineStr">
        <is>
          <t>Research &amp; Dev.</t>
        </is>
      </c>
      <c r="B5" s="52" t="n">
        <v>34.886</v>
      </c>
      <c r="C5" s="52" t="n">
        <v>31.279</v>
      </c>
      <c r="D5" s="52" t="n">
        <v>78.224</v>
      </c>
      <c r="E5" s="52" t="n">
        <v>213.062</v>
      </c>
      <c r="F5" s="52" t="n">
        <v>254.44</v>
      </c>
      <c r="G5" s="52" t="n">
        <v>162.389</v>
      </c>
      <c r="H5" s="52" t="n">
        <v>110.239</v>
      </c>
      <c r="I5" s="52" t="n">
        <v>94.188</v>
      </c>
      <c r="J5" s="52" t="n">
        <v>142.759</v>
      </c>
      <c r="K5" s="52" t="n">
        <v>363.105</v>
      </c>
      <c r="L5" s="52" t="n">
        <v>199.358</v>
      </c>
      <c r="M5" s="52" t="n">
        <v>96.11</v>
      </c>
      <c r="N5" s="52" t="n">
        <v>91.833</v>
      </c>
      <c r="O5" s="52" t="n">
        <v>108.888</v>
      </c>
      <c r="P5" s="52">
        <f>P7*Assumptions!$B$20</f>
        <v>59.257739178144014</v>
      </c>
      <c r="Q5" s="52">
        <f>Q7*Assumptions!$B$20</f>
        <v>71.2480798607292</v>
      </c>
      <c r="R5" s="52">
        <f>R7*Assumptions!$B$20</f>
        <v>82.59309536645787</v>
      </c>
      <c r="S5" s="52">
        <f>S7*Assumptions!$B$20</f>
        <v>92.0658304921116</v>
      </c>
      <c r="T5" s="52">
        <f>T7*Assumptions!$B$20</f>
        <v>98.34749534932821</v>
      </c>
      <c r="U5" s="52">
        <f>U7*Assumptions!$B$20</f>
        <v>100.22667158759793</v>
      </c>
      <c r="V5" s="52">
        <f>V7*Assumptions!$B$20</f>
        <v>96.83359926241789</v>
      </c>
      <c r="W5" s="52">
        <f>W7*Assumptions!$B$20</f>
        <v>87.86223176832073</v>
      </c>
      <c r="X5" s="52">
        <f>X7*Assumptions!$B$20</f>
        <v>73.72227185843131</v>
      </c>
      <c r="Y5" s="52">
        <f>Y7*Assumptions!$B$20</f>
        <v>55.568277173989756</v>
      </c>
    </row>
    <row r="6">
      <c r="A6" s="18" t="inlineStr">
        <is>
          <t>SG&amp;A &amp; Other</t>
        </is>
      </c>
      <c r="B6" s="52" t="n">
        <v>5.531</v>
      </c>
      <c r="C6" s="52" t="n">
        <v>7.465</v>
      </c>
      <c r="D6" s="52" t="n">
        <v>17.564</v>
      </c>
      <c r="E6" s="52" t="n">
        <v>36.046</v>
      </c>
      <c r="F6" s="52" t="n">
        <v>51.597</v>
      </c>
      <c r="G6" s="52" t="n">
        <v>71.303</v>
      </c>
      <c r="H6" s="52" t="n">
        <v>94.17700000000001</v>
      </c>
      <c r="I6" s="52" t="n">
        <v>137.037</v>
      </c>
      <c r="J6" s="52" t="n">
        <v>139.079</v>
      </c>
      <c r="K6" s="52" t="n">
        <v>169.713</v>
      </c>
      <c r="L6" s="52" t="n">
        <v>198.481</v>
      </c>
      <c r="M6" s="52" t="n">
        <v>120.458</v>
      </c>
      <c r="N6" s="52" t="n">
        <v>125.482</v>
      </c>
      <c r="O6" s="52" t="n">
        <v>100.604</v>
      </c>
      <c r="P6" s="52">
        <f>P7-P5</f>
        <v>54.743298101856006</v>
      </c>
      <c r="Q6" s="52">
        <f>Q7-Q5</f>
        <v>65.8201768932708</v>
      </c>
      <c r="R6" s="52">
        <f>R7-R5</f>
        <v>76.30089341087546</v>
      </c>
      <c r="S6" s="52">
        <f>S7-S5</f>
        <v>85.05196576050785</v>
      </c>
      <c r="T6" s="52">
        <f>T7-T5</f>
        <v>90.85507361821355</v>
      </c>
      <c r="U6" s="52">
        <f>U7-U5</f>
        <v>92.59108829619953</v>
      </c>
      <c r="V6" s="52">
        <f>V7-V5</f>
        <v>89.45651089998665</v>
      </c>
      <c r="W6" s="52">
        <f>W7-W5</f>
        <v>81.16861041775223</v>
      </c>
      <c r="X6" s="52">
        <f>X7-X5</f>
        <v>68.10587715740421</v>
      </c>
      <c r="Y6" s="52">
        <f>Y7-Y5</f>
        <v>51.33491092525948</v>
      </c>
    </row>
    <row r="7">
      <c r="A7" s="2" t="inlineStr">
        <is>
          <t>Operating Expense</t>
        </is>
      </c>
      <c r="B7" s="52">
        <f>SUM(B5:B6)</f>
        <v>40.417</v>
      </c>
      <c r="C7" s="52">
        <f>SUM(C5:C6)</f>
        <v>38.744</v>
      </c>
      <c r="D7" s="52">
        <f>SUM(D5:D6)</f>
        <v>95.78800000000001</v>
      </c>
      <c r="E7" s="52">
        <f>SUM(E5:E6)</f>
        <v>249.108</v>
      </c>
      <c r="F7" s="52">
        <f>SUM(F5:F6)</f>
        <v>306.037</v>
      </c>
      <c r="G7" s="52">
        <f>SUM(G5:G6)</f>
        <v>233.692</v>
      </c>
      <c r="H7" s="52">
        <f>SUM(H5:H6)</f>
        <v>204.416</v>
      </c>
      <c r="I7" s="52">
        <f>SUM(I5:I6)</f>
        <v>231.22500000000002</v>
      </c>
      <c r="J7" s="52">
        <f>SUM(J5:J6)</f>
        <v>281.83799999999997</v>
      </c>
      <c r="K7" s="52">
        <f>SUM(K5:K6)</f>
        <v>532.818</v>
      </c>
      <c r="L7" s="52">
        <f>SUM(L5:L6)</f>
        <v>397.839</v>
      </c>
      <c r="M7" s="52">
        <f>SUM(M5:M6)</f>
        <v>216.56799999999998</v>
      </c>
      <c r="N7" s="52">
        <f>SUM(N5:N6)</f>
        <v>217.315</v>
      </c>
      <c r="O7" s="52">
        <f>SUM(O5:O6)</f>
        <v>209.49200000000002</v>
      </c>
      <c r="P7" s="52">
        <f>P4-P2*NPV!C6</f>
        <v>114.00103728000002</v>
      </c>
      <c r="Q7" s="52">
        <f>Q4-Q2*NPV!D6</f>
        <v>137.068256754</v>
      </c>
      <c r="R7" s="52">
        <f>R4-R2*NPV!E6</f>
        <v>158.89398877733333</v>
      </c>
      <c r="S7" s="52">
        <f>S4-S2*NPV!F6</f>
        <v>177.11779625261946</v>
      </c>
      <c r="T7" s="52">
        <f>T4-T2*NPV!G6</f>
        <v>189.20256896754177</v>
      </c>
      <c r="U7" s="52">
        <f>U4-U2*NPV!H6</f>
        <v>192.81775988379746</v>
      </c>
      <c r="V7" s="52">
        <f>V4-V2*NPV!I6</f>
        <v>186.29011016240455</v>
      </c>
      <c r="W7" s="52">
        <f>W4-W2*NPV!J6</f>
        <v>169.03084218607296</v>
      </c>
      <c r="X7" s="52">
        <f>X4-X2*NPV!K6</f>
        <v>141.82814901583552</v>
      </c>
      <c r="Y7" s="52">
        <f>Y4-Y2*NPV!L6</f>
        <v>106.90318809924923</v>
      </c>
    </row>
    <row r="8">
      <c r="A8" s="2" t="inlineStr">
        <is>
          <t>Operating Income</t>
        </is>
      </c>
      <c r="B8" s="52">
        <f>B4-B7</f>
        <v>-38.518</v>
      </c>
      <c r="C8" s="52">
        <f>C4-C7</f>
        <v>-35.993</v>
      </c>
      <c r="D8" s="52">
        <f>D4-D7</f>
        <v>-64.68200000000002</v>
      </c>
      <c r="E8" s="52">
        <f>E4-E7</f>
        <v>-219.067</v>
      </c>
      <c r="F8" s="52">
        <f>F4-F7</f>
        <v>-115.93099999999998</v>
      </c>
      <c r="G8" s="52">
        <f>G4-G7</f>
        <v>-232.136</v>
      </c>
      <c r="H8" s="52">
        <f>H4-H7</f>
        <v>-204.416</v>
      </c>
      <c r="I8" s="52">
        <f>I4-I7</f>
        <v>107.76800000000003</v>
      </c>
      <c r="J8" s="52">
        <f>J4-J7</f>
        <v>156.31900000000007</v>
      </c>
      <c r="K8" s="52">
        <f>K4-K7</f>
        <v>-263.858</v>
      </c>
      <c r="L8" s="52">
        <f>L4-L7</f>
        <v>-256.88</v>
      </c>
      <c r="M8" s="52">
        <f>M4-M7</f>
        <v>-215.78799999999998</v>
      </c>
      <c r="N8" s="52">
        <f>N4-N7</f>
        <v>-199.653</v>
      </c>
      <c r="O8" s="52">
        <f>O4-O7</f>
        <v>-181.13400000000001</v>
      </c>
      <c r="P8" s="52">
        <f>P4-P7</f>
        <v>-75.71982600000001</v>
      </c>
      <c r="Q8" s="52">
        <f>Q4-Q7</f>
        <v>-86.7709986</v>
      </c>
      <c r="R8" s="52">
        <f>R4-R7</f>
        <v>-94.625270025</v>
      </c>
      <c r="S8" s="52">
        <f>S4-S7</f>
        <v>-97.31747046847224</v>
      </c>
      <c r="T8" s="52">
        <f>T4-T7</f>
        <v>-92.99884288331984</v>
      </c>
      <c r="U8" s="52">
        <f>U4-U7</f>
        <v>-80.31284687974903</v>
      </c>
      <c r="V8" s="52">
        <f>V4-V7</f>
        <v>-58.784542091149646</v>
      </c>
      <c r="W8" s="52">
        <f>W4-W7</f>
        <v>-29.12889944122381</v>
      </c>
      <c r="X8" s="52">
        <f>X4-X7</f>
        <v>6.623356896754416</v>
      </c>
      <c r="Y8" s="52">
        <f>Y4-Y7</f>
        <v>45.259605461155445</v>
      </c>
    </row>
    <row r="9">
      <c r="A9" s="18" t="inlineStr">
        <is>
          <t>Interest &amp; Other</t>
        </is>
      </c>
      <c r="B9" s="52" t="n">
        <v>5.5</v>
      </c>
      <c r="C9" s="52" t="n">
        <v>-17.642</v>
      </c>
      <c r="D9" s="52" t="n">
        <v>-22.451</v>
      </c>
      <c r="E9" s="52" t="n">
        <v>-4.193</v>
      </c>
      <c r="F9" s="52" t="n">
        <v>-11.406</v>
      </c>
      <c r="G9" s="52" t="n">
        <v>-6.034</v>
      </c>
      <c r="H9" s="52" t="n">
        <v>-4.923</v>
      </c>
      <c r="I9" s="52" t="n">
        <v>-14.993</v>
      </c>
      <c r="J9" s="52" t="n">
        <v>-20.612</v>
      </c>
      <c r="K9" s="52" t="n">
        <v>-23.242</v>
      </c>
      <c r="L9" s="52" t="n">
        <v>-34.874</v>
      </c>
      <c r="M9" s="52" t="n">
        <v>-22.484</v>
      </c>
      <c r="N9" s="52" t="n">
        <v>228.16</v>
      </c>
      <c r="O9" s="52" t="n">
        <v>349.158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-33.018</v>
      </c>
      <c r="C10" s="52">
        <f>C8+C9</f>
        <v>-53.635000000000005</v>
      </c>
      <c r="D10" s="52">
        <f>D8+D9</f>
        <v>-87.13300000000001</v>
      </c>
      <c r="E10" s="52">
        <f>E8+E9</f>
        <v>-223.26000000000002</v>
      </c>
      <c r="F10" s="52">
        <f>F8+F9</f>
        <v>-127.33699999999999</v>
      </c>
      <c r="G10" s="52">
        <f>G8+G9</f>
        <v>-238.17</v>
      </c>
      <c r="H10" s="52">
        <f>H8+H9</f>
        <v>-209.339</v>
      </c>
      <c r="I10" s="52">
        <f>I8+I9</f>
        <v>92.77500000000003</v>
      </c>
      <c r="J10" s="52">
        <f>J8+J9</f>
        <v>135.70700000000008</v>
      </c>
      <c r="K10" s="52">
        <f>K8+K9</f>
        <v>-287.1</v>
      </c>
      <c r="L10" s="52">
        <f>L8+L9</f>
        <v>-291.754</v>
      </c>
      <c r="M10" s="52">
        <f>M8+M9</f>
        <v>-238.272</v>
      </c>
      <c r="N10" s="52">
        <f>N8+N9</f>
        <v>28.507000000000005</v>
      </c>
      <c r="O10" s="52">
        <f>O8+O9</f>
        <v>168.024</v>
      </c>
      <c r="P10" s="52">
        <f>P8+P9</f>
        <v>-75.71982600000001</v>
      </c>
      <c r="Q10" s="52">
        <f>Q8+Q9</f>
        <v>-86.7709986</v>
      </c>
      <c r="R10" s="52">
        <f>R8+R9</f>
        <v>-94.625270025</v>
      </c>
      <c r="S10" s="52">
        <f>S8+S9</f>
        <v>-97.31747046847224</v>
      </c>
      <c r="T10" s="52">
        <f>T8+T9</f>
        <v>-92.99884288331984</v>
      </c>
      <c r="U10" s="52">
        <f>U8+U9</f>
        <v>-80.31284687974903</v>
      </c>
      <c r="V10" s="52">
        <f>V8+V9</f>
        <v>-58.784542091149646</v>
      </c>
      <c r="W10" s="52">
        <f>W8+W9</f>
        <v>-29.12889944122381</v>
      </c>
      <c r="X10" s="52">
        <f>X8+X9</f>
        <v>6.623356896754416</v>
      </c>
      <c r="Y10" s="52">
        <f>Y8+Y9</f>
        <v>45.259605461155445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2.942</v>
      </c>
      <c r="J11" s="52" t="n">
        <v>3.463</v>
      </c>
      <c r="K11" s="52" t="n">
        <v>0</v>
      </c>
      <c r="L11" s="52" t="n">
        <v>0</v>
      </c>
      <c r="M11" s="52" t="n">
        <v>-0.38</v>
      </c>
      <c r="N11" s="52" t="n">
        <v>0</v>
      </c>
      <c r="O11" s="52" t="n">
        <v>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1.1259706724482508</v>
      </c>
      <c r="Y11" s="52">
        <f>MAX(0,Y10)*Assumptions!$E$14</f>
        <v>7.694132928396426</v>
      </c>
    </row>
    <row r="12">
      <c r="A12" s="2" t="inlineStr">
        <is>
          <t>Net Income</t>
        </is>
      </c>
      <c r="B12" s="52" t="n">
        <v>-33.018</v>
      </c>
      <c r="C12" s="52" t="n">
        <v>-53.635</v>
      </c>
      <c r="D12" s="52" t="n">
        <v>-87.133</v>
      </c>
      <c r="E12" s="52" t="n">
        <v>-223.26</v>
      </c>
      <c r="F12" s="52" t="n">
        <v>-127.337</v>
      </c>
      <c r="G12" s="52" t="n">
        <v>-238.17</v>
      </c>
      <c r="H12" s="52" t="n">
        <v>-209.339</v>
      </c>
      <c r="I12" s="52" t="n">
        <v>89.833</v>
      </c>
      <c r="J12" s="52" t="n">
        <v>132.244</v>
      </c>
      <c r="K12" s="52" t="n">
        <v>-287.1</v>
      </c>
      <c r="L12" s="52" t="n">
        <v>-291.754</v>
      </c>
      <c r="M12" s="52" t="n">
        <v>-237.892</v>
      </c>
      <c r="N12" s="52" t="n">
        <v>28.507</v>
      </c>
      <c r="O12" s="52" t="n">
        <v>168.024</v>
      </c>
      <c r="P12" s="52">
        <f>P10-P11</f>
        <v>-75.71982600000001</v>
      </c>
      <c r="Q12" s="52">
        <f>Q10-Q11</f>
        <v>-86.7709986</v>
      </c>
      <c r="R12" s="52">
        <f>R10-R11</f>
        <v>-94.625270025</v>
      </c>
      <c r="S12" s="52">
        <f>S10-S11</f>
        <v>-97.31747046847224</v>
      </c>
      <c r="T12" s="52">
        <f>T10-T11</f>
        <v>-92.99884288331984</v>
      </c>
      <c r="U12" s="52">
        <f>U10-U11</f>
        <v>-80.31284687974903</v>
      </c>
      <c r="V12" s="52">
        <f>V10-V11</f>
        <v>-58.784542091149646</v>
      </c>
      <c r="W12" s="52">
        <f>W10-W11</f>
        <v>-29.12889944122381</v>
      </c>
      <c r="X12" s="52">
        <f>X10-X11</f>
        <v>5.497386224306165</v>
      </c>
      <c r="Y12" s="52">
        <f>Y10-Y11</f>
        <v>37.56547253275902</v>
      </c>
    </row>
    <row r="13">
      <c r="A13" s="2" t="inlineStr">
        <is>
          <t>Earnings per Share</t>
        </is>
      </c>
      <c r="B13" s="11">
        <f>IFERROR(B12/B14,0)</f>
        <v>-15.85117618819011</v>
      </c>
      <c r="C13" s="11">
        <f>IFERROR(C12/C14,0)</f>
        <v>-16.096938775510203</v>
      </c>
      <c r="D13" s="11">
        <f>IFERROR(D12/D14,0)</f>
        <v>-10.642848418224014</v>
      </c>
      <c r="E13" s="11">
        <f>IFERROR(E12/E14,0)</f>
        <v>-6.014223371585582</v>
      </c>
      <c r="F13" s="11">
        <f>IFERROR(F12/F14,0)</f>
        <v>-3.0381990837946176</v>
      </c>
      <c r="G13" s="11">
        <f>IFERROR(G12/G14,0)</f>
        <v>-4.482440621824067</v>
      </c>
      <c r="H13" s="11">
        <f>IFERROR(H12/H14,0)</f>
        <v>-3.218866764050127</v>
      </c>
      <c r="I13" s="11">
        <f>IFERROR(I12/I14,0)</f>
        <v>1.2274615363594128</v>
      </c>
      <c r="J13" s="11">
        <f>IFERROR(J12/J14,0)</f>
        <v>1.5839122311119627</v>
      </c>
      <c r="K13" s="11">
        <f>IFERROR(K12/K14,0)</f>
        <v>-3.805168986083499</v>
      </c>
      <c r="L13" s="11">
        <f>IFERROR(L12/L14,0)</f>
        <v>-3.758263557902873</v>
      </c>
      <c r="M13" s="11">
        <f>IFERROR(M12/M14,0)</f>
        <v>-2.526385098180814</v>
      </c>
      <c r="N13" s="11">
        <f>IFERROR(N12/N14,0)</f>
        <v>0.2488520697662238</v>
      </c>
      <c r="O13" s="11">
        <f>IFERROR(O12/O14,0)</f>
        <v>1.434349470305524</v>
      </c>
      <c r="P13" s="11">
        <f>IFERROR(P12/P14,0)</f>
        <v>-0.49009289689489716</v>
      </c>
      <c r="Q13" s="11">
        <f>IFERROR(Q12/Q14,0)</f>
        <v>-0.5616210749128908</v>
      </c>
      <c r="R13" s="11">
        <f>IFERROR(R12/R14,0)</f>
        <v>-0.6124574653144887</v>
      </c>
      <c r="S13" s="11">
        <f>IFERROR(S12/S14,0)</f>
        <v>-0.6298826019539078</v>
      </c>
      <c r="T13" s="11">
        <f>IFERROR(T12/T14,0)</f>
        <v>-0.6019304946178773</v>
      </c>
      <c r="U13" s="11">
        <f>IFERROR(U12/U14,0)</f>
        <v>-0.5198210015059002</v>
      </c>
      <c r="V13" s="11">
        <f>IFERROR(V12/V14,0)</f>
        <v>-0.3804800941577909</v>
      </c>
      <c r="W13" s="11">
        <f>IFERROR(W12/W14,0)</f>
        <v>-0.18853538715883372</v>
      </c>
      <c r="X13" s="11">
        <f>IFERROR(X12/X14,0)</f>
        <v>0.03558156538844013</v>
      </c>
      <c r="Y13" s="11">
        <f>IFERROR(Y12/Y14,0)</f>
        <v>0.24314069682100897</v>
      </c>
    </row>
    <row r="14">
      <c r="A14" s="2" t="inlineStr">
        <is>
          <t>Shares</t>
        </is>
      </c>
      <c r="B14" s="52" t="n">
        <v>2.083</v>
      </c>
      <c r="C14" s="52" t="n">
        <v>3.332</v>
      </c>
      <c r="D14" s="52" t="n">
        <v>8.186999999999999</v>
      </c>
      <c r="E14" s="52" t="n">
        <v>37.122</v>
      </c>
      <c r="F14" s="52" t="n">
        <v>41.912</v>
      </c>
      <c r="G14" s="52" t="n">
        <v>53.134</v>
      </c>
      <c r="H14" s="52" t="n">
        <v>65.035</v>
      </c>
      <c r="I14" s="52" t="n">
        <v>73.18600000000001</v>
      </c>
      <c r="J14" s="52" t="n">
        <v>83.492</v>
      </c>
      <c r="K14" s="52" t="n">
        <v>75.45</v>
      </c>
      <c r="L14" s="52" t="n">
        <v>77.63</v>
      </c>
      <c r="M14" s="52" t="n">
        <v>94.163</v>
      </c>
      <c r="N14" s="52" t="n">
        <v>114.554</v>
      </c>
      <c r="O14" s="52" t="n">
        <v>117.143</v>
      </c>
      <c r="P14" s="52">
        <f>Main!$C$4</f>
        <v>154.500966</v>
      </c>
      <c r="Q14" s="52">
        <f>Main!$C$4</f>
        <v>154.500966</v>
      </c>
      <c r="R14" s="52">
        <f>Main!$C$4</f>
        <v>154.500966</v>
      </c>
      <c r="S14" s="52">
        <f>Main!$C$4</f>
        <v>154.500966</v>
      </c>
      <c r="T14" s="52">
        <f>Main!$C$4</f>
        <v>154.500966</v>
      </c>
      <c r="U14" s="52">
        <f>Main!$C$4</f>
        <v>154.500966</v>
      </c>
      <c r="V14" s="52">
        <f>Main!$C$4</f>
        <v>154.500966</v>
      </c>
      <c r="W14" s="52">
        <f>Main!$C$4</f>
        <v>154.500966</v>
      </c>
      <c r="X14" s="52">
        <f>Main!$C$4</f>
        <v>154.500966</v>
      </c>
      <c r="Y14" s="52">
        <f>Main!$C$4</f>
        <v>154.500966</v>
      </c>
    </row>
    <row r="15"/>
    <row r="16" customFormat="1" s="4">
      <c r="A16" s="3" t="inlineStr">
        <is>
          <t>Revenue Change</t>
        </is>
      </c>
      <c r="C16" s="15">
        <f>IFERROR(C2/B2-1,"")</f>
        <v>0.4486571879936807</v>
      </c>
      <c r="D16" s="15">
        <f>IFERROR(D2/C2-1,"")</f>
        <v>10.307161032351873</v>
      </c>
      <c r="E16" s="15">
        <f>IFERROR(E2/D2-1,"")</f>
        <v>-0.034237767633254035</v>
      </c>
      <c r="F16" s="15">
        <f>IFERROR(F2/E2-1,"")</f>
        <v>5.328218101927366</v>
      </c>
      <c r="G16" s="15">
        <f>IFERROR(G2/F2-1,"")</f>
        <v>-0.9918150926325313</v>
      </c>
      <c r="H16" s="15">
        <f>IFERROR(H2/G2-1,"")</f>
        <v>-1.0</v>
      </c>
      <c r="I16" s="15">
        <f>IFERROR(I2/H2-1,"")</f>
        <v/>
      </c>
      <c r="J16" s="15">
        <f>IFERROR(J2/I2-1,"")</f>
        <v>0.3363177568518638</v>
      </c>
      <c r="K16" s="15">
        <f>IFERROR(K2/J2-1,"")</f>
        <v>-0.3137147348599483</v>
      </c>
      <c r="L16" s="15">
        <f>IFERROR(L2/K2-1,"")</f>
        <v>-0.3537242268435864</v>
      </c>
      <c r="M16" s="15">
        <f>IFERROR(M2/L2-1,"")</f>
        <v>-0.9942286369537817</v>
      </c>
      <c r="N16" s="15">
        <f>IFERROR(N2/M2-1,"")</f>
        <v>20.665845648604268</v>
      </c>
      <c r="O16" s="15">
        <f>IFERROR(O2/N2-1,"")</f>
        <v>0.598090113304786</v>
      </c>
      <c r="P16" s="15">
        <f>IFERROR(P2/O2-1,"")</f>
        <v>0.3500000000000001</v>
      </c>
      <c r="Q16" s="15">
        <f>IFERROR(Q2/P2-1,"")</f>
        <v>0.3138888888888889</v>
      </c>
      <c r="R16" s="15">
        <f>IFERROR(R2/Q2-1,"")</f>
        <v>0.2777777777777777</v>
      </c>
      <c r="S16" s="15">
        <f>IFERROR(S2/R2-1,"")</f>
        <v>0.2416666666666667</v>
      </c>
      <c r="T16" s="15">
        <f>IFERROR(T2/S2-1,"")</f>
        <v>0.2055555555555555</v>
      </c>
      <c r="U16" s="15">
        <f>IFERROR(U2/T2-1,"")</f>
        <v>0.1694444444444445</v>
      </c>
      <c r="V16" s="15">
        <f>IFERROR(V2/U2-1,"")</f>
        <v>0.1333333333333333</v>
      </c>
      <c r="W16" s="15">
        <f>IFERROR(W2/V2-1,"")</f>
        <v>0.09722222222222232</v>
      </c>
      <c r="X16" s="15">
        <f>IFERROR(X2/W2-1,"")</f>
        <v>0.061111111111111116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>0.9520376554114208</v>
      </c>
      <c r="J17" s="15">
        <f>IFERROR(J4/J2,"")</f>
        <v>0.9208383772151048</v>
      </c>
      <c r="K17" s="15">
        <f>IFERROR(K4/K2,"")</f>
        <v>0.8236385740665317</v>
      </c>
      <c r="L17" s="15">
        <f>IFERROR(L4/L2,"")</f>
        <v>0.6679191819637798</v>
      </c>
      <c r="M17" s="15">
        <f>IFERROR(M4/M2,"")</f>
        <v>0.6403940886699507</v>
      </c>
      <c r="N17" s="15">
        <f>IFERROR(N4/N2,"")</f>
        <v>0.669294024025162</v>
      </c>
      <c r="O17" s="15">
        <f>IFERROR(O4/O2,"")</f>
        <v>0.6724366878497581</v>
      </c>
      <c r="P17" s="15">
        <f>IFERROR(P4/P2,"")</f>
        <v>0.6724</v>
      </c>
      <c r="Q17" s="15">
        <f>IFERROR(Q4/Q2,"")</f>
        <v>0.6724</v>
      </c>
      <c r="R17" s="15">
        <f>IFERROR(R4/R2,"")</f>
        <v>0.6724</v>
      </c>
      <c r="S17" s="15">
        <f>IFERROR(S4/S2,"")</f>
        <v>0.6724</v>
      </c>
      <c r="T17" s="15">
        <f>IFERROR(T4/T2,"")</f>
        <v>0.6723999999999999</v>
      </c>
      <c r="U17" s="15">
        <f>IFERROR(U4/U2,"")</f>
        <v>0.6724</v>
      </c>
      <c r="V17" s="15">
        <f>IFERROR(V4/V2,"")</f>
        <v>0.6724</v>
      </c>
      <c r="W17" s="15">
        <f>IFERROR(W4/W2,"")</f>
        <v>0.6724</v>
      </c>
      <c r="X17" s="15">
        <f>IFERROR(X4/X2,"")</f>
        <v>0.6724</v>
      </c>
      <c r="Y17" s="15">
        <f>IFERROR(Y4/Y2,"")</f>
        <v>0.6724000000000001</v>
      </c>
    </row>
    <row r="18">
      <c r="A18" s="14" t="inlineStr">
        <is>
          <t>Operating Margin</t>
        </is>
      </c>
      <c r="B18" s="15">
        <f>IFERROR(B8/B2,"")</f>
        <v>-20.28330700368615</v>
      </c>
      <c r="C18" s="15">
        <f>IFERROR(C8/C2,"")</f>
        <v>-13.083605961468558</v>
      </c>
      <c r="D18" s="15">
        <f>IFERROR(D8/D2,"")</f>
        <v>-2.0794059023982516</v>
      </c>
      <c r="E18" s="15">
        <f>IFERROR(E8/E2,"")</f>
        <v>-7.2922672347791355</v>
      </c>
      <c r="F18" s="15">
        <f>IFERROR(F8/F2,"")</f>
        <v>-0.6098229408856111</v>
      </c>
      <c r="G18" s="15">
        <f>IFERROR(G8/G2,"")</f>
        <v>-149.18766066838046</v>
      </c>
      <c r="H18" s="15">
        <f>IFERROR(H8/H2,"")</f>
        <v/>
      </c>
      <c r="I18" s="15">
        <f>IFERROR(I8/I2,"")</f>
        <v>0.3026587394087135</v>
      </c>
      <c r="J18" s="15">
        <f>IFERROR(J8/J2,"")</f>
        <v>0.32852273109385</v>
      </c>
      <c r="K18" s="15">
        <f>IFERROR(K8/K2,"")</f>
        <v>-0.8080146745837558</v>
      </c>
      <c r="L18" s="15">
        <f>IFERROR(L8/L2,"")</f>
        <v>-1.2171984723419982</v>
      </c>
      <c r="M18" s="15">
        <f>IFERROR(M8/M2,"")</f>
        <v>-177.16584564860426</v>
      </c>
      <c r="N18" s="15">
        <f>IFERROR(N8/N2,"")</f>
        <v>-7.565766038879836</v>
      </c>
      <c r="O18" s="15">
        <f>IFERROR(O8/O2,"")</f>
        <v>-4.295124727307218</v>
      </c>
      <c r="P18" s="15">
        <f>IFERROR(P8/P2,"")</f>
        <v>-1.33</v>
      </c>
      <c r="Q18" s="15">
        <f>IFERROR(Q8/Q2,"")</f>
        <v>-1.16</v>
      </c>
      <c r="R18" s="15">
        <f>IFERROR(R8/R2,"")</f>
        <v>-0.9900000000000001</v>
      </c>
      <c r="S18" s="15">
        <f>IFERROR(S8/S2,"")</f>
        <v>-0.8200000000000001</v>
      </c>
      <c r="T18" s="15">
        <f>IFERROR(T8/T2,"")</f>
        <v>-0.65</v>
      </c>
      <c r="U18" s="15">
        <f>IFERROR(U8/U2,"")</f>
        <v>-0.48</v>
      </c>
      <c r="V18" s="15">
        <f>IFERROR(V8/V2,"")</f>
        <v>-0.31</v>
      </c>
      <c r="W18" s="15">
        <f>IFERROR(W8/W2,"")</f>
        <v>-0.14000000000000007</v>
      </c>
      <c r="X18" s="15">
        <f>IFERROR(X8/X2,"")</f>
        <v>0.029999999999999808</v>
      </c>
      <c r="Y18" s="15">
        <f>IFERROR(Y8/Y2,"")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Coherus Oncology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0.6724</v>
      </c>
    </row>
    <row r="20">
      <c r="A20" s="14" t="inlineStr">
        <is>
          <t>R&amp;D share of operating expense (forecast)</t>
        </is>
      </c>
      <c r="B20" s="53" t="n">
        <v>0.5198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42.172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-292.8645731729782</v>
      </c>
      <c r="C29" s="56">
        <f>NPV!B26</f>
        <v>-187.55857317297824</v>
      </c>
      <c r="D29" s="35">
        <f>NPV!B28</f>
        <v>-1.2139637571779212</v>
      </c>
      <c r="E29" s="57">
        <f>NPV!B30</f>
        <v>-2.213963757177921</v>
      </c>
    </row>
    <row r="30">
      <c r="A30" s="58" t="n">
        <v>1</v>
      </c>
      <c r="B30" s="59">
        <f t="dataTable" ref="B30:E32" r1="B4"/>
        <v>-315.9274314062659</v>
      </c>
      <c r="C30" s="59">
        <v>-210.6214314062659</v>
      </c>
      <c r="D30" s="39">
        <v>-1.3632369871801702</v>
      </c>
      <c r="E30" s="60">
        <v>-2.36323698718017</v>
      </c>
    </row>
    <row r="31">
      <c r="A31" s="58" t="n">
        <v>2</v>
      </c>
      <c r="B31" s="59">
        <v>-292.8645731729782</v>
      </c>
      <c r="C31" s="59">
        <v>-187.55857317297824</v>
      </c>
      <c r="D31" s="39">
        <v>-1.2139637571779212</v>
      </c>
      <c r="E31" s="60">
        <v>-2.213963757177921</v>
      </c>
    </row>
    <row r="32">
      <c r="A32" s="58" t="n">
        <v>3</v>
      </c>
      <c r="B32" s="59">
        <v>-210.56758113910018</v>
      </c>
      <c r="C32" s="59">
        <v>-105.26158113910019</v>
      </c>
      <c r="D32" s="39">
        <v>-0.6813004725103154</v>
      </c>
      <c r="E32" s="60">
        <v>-1.6813004725103156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-1.2139637571779212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-1.1186375900875503</v>
      </c>
      <c r="C37" s="39">
        <v>-1.050029760846444</v>
      </c>
      <c r="D37" s="39">
        <v>-0.9711907793570912</v>
      </c>
      <c r="E37" s="39">
        <v>-0.8800560112012927</v>
      </c>
      <c r="F37" s="39">
        <v>-0.7739707293452939</v>
      </c>
    </row>
    <row r="38">
      <c r="A38" s="62" t="n">
        <v>0.115</v>
      </c>
      <c r="B38" s="39">
        <v>-1.2230052289699547</v>
      </c>
      <c r="C38" s="39">
        <v>-1.1729773223058204</v>
      </c>
      <c r="D38" s="39">
        <v>-1.1159981069849967</v>
      </c>
      <c r="E38" s="39">
        <v>-1.0508256319381684</v>
      </c>
      <c r="F38" s="39">
        <v>-0.9759072969861838</v>
      </c>
    </row>
    <row r="39">
      <c r="A39" s="62" t="n">
        <v>0.125</v>
      </c>
      <c r="B39" s="39">
        <v>-1.2927531741470888</v>
      </c>
      <c r="C39" s="39">
        <v>-1.2557998291198647</v>
      </c>
      <c r="D39" s="39">
        <v>-1.2139637571779212</v>
      </c>
      <c r="E39" s="39">
        <v>-1.166461178874737</v>
      </c>
      <c r="F39" s="39">
        <v>-1.1123340072714263</v>
      </c>
    </row>
    <row r="40">
      <c r="A40" s="62" t="n">
        <v>0.135</v>
      </c>
      <c r="B40" s="39">
        <v>-1.3376221476843</v>
      </c>
      <c r="C40" s="39">
        <v>-1.310119190489674</v>
      </c>
      <c r="D40" s="39">
        <v>-1.2790925270504945</v>
      </c>
      <c r="E40" s="39">
        <v>-1.2440278602279575</v>
      </c>
      <c r="F40" s="39">
        <v>-1.2043079202226332</v>
      </c>
    </row>
    <row r="41">
      <c r="A41" s="62" t="n">
        <v>0.145</v>
      </c>
      <c r="B41" s="39">
        <v>-1.3642694683461805</v>
      </c>
      <c r="C41" s="39">
        <v>-1.343746901181164</v>
      </c>
      <c r="D41" s="39">
        <v>-1.3206239426721058</v>
      </c>
      <c r="E41" s="39">
        <v>-1.2945520361017724</v>
      </c>
      <c r="F41" s="39">
        <v>-1.2651191542932492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Coherus Oncology Inc: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-4.295124727307218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Model'!O2</f>
        <v>42.172</v>
      </c>
      <c r="C7" s="55">
        <f>'Yearly Model'!P2</f>
        <v>56.9322</v>
      </c>
      <c r="D7" s="55">
        <f>'Yearly Model'!Q2</f>
        <v>74.80258500000001</v>
      </c>
      <c r="E7" s="55">
        <f>'Yearly Model'!R2</f>
        <v>95.58108083333333</v>
      </c>
      <c r="F7" s="55">
        <f>'Yearly Model'!S2</f>
        <v>118.67984203472223</v>
      </c>
      <c r="G7" s="55">
        <f>'Yearly Model'!T2</f>
        <v>143.07514289741513</v>
      </c>
      <c r="H7" s="55">
        <f>'Yearly Model'!U2</f>
        <v>167.31843099947716</v>
      </c>
      <c r="I7" s="55">
        <f>'Yearly Model'!V2</f>
        <v>189.62755513274078</v>
      </c>
      <c r="J7" s="55">
        <f>'Yearly Model'!W2</f>
        <v>208.06356743731283</v>
      </c>
      <c r="K7" s="55">
        <f>'Yearly Model'!X2</f>
        <v>220.77856322514862</v>
      </c>
      <c r="L7" s="55">
        <f>'Yearly Model'!Y2</f>
        <v>226.2980273057773</v>
      </c>
    </row>
    <row r="8">
      <c r="A8" s="14" t="inlineStr">
        <is>
          <t>Operating income</t>
        </is>
      </c>
      <c r="B8" s="55">
        <f>'Yearly Model'!O8</f>
        <v>-181.13400000000001</v>
      </c>
      <c r="C8" s="55">
        <f>'Yearly Model'!P8</f>
        <v>-75.71982600000001</v>
      </c>
      <c r="D8" s="55">
        <f>'Yearly Model'!Q8</f>
        <v>-86.7709986</v>
      </c>
      <c r="E8" s="55">
        <f>'Yearly Model'!R8</f>
        <v>-94.625270025</v>
      </c>
      <c r="F8" s="55">
        <f>'Yearly Model'!S8</f>
        <v>-97.31747046847224</v>
      </c>
      <c r="G8" s="55">
        <f>'Yearly Model'!T8</f>
        <v>-92.99884288331984</v>
      </c>
      <c r="H8" s="55">
        <f>'Yearly Model'!U8</f>
        <v>-80.31284687974903</v>
      </c>
      <c r="I8" s="55">
        <f>'Yearly Model'!V8</f>
        <v>-58.784542091149646</v>
      </c>
      <c r="J8" s="55">
        <f>'Yearly Model'!W8</f>
        <v>-29.12889944122381</v>
      </c>
      <c r="K8" s="55">
        <f>'Yearly Model'!X8</f>
        <v>6.623356896754416</v>
      </c>
      <c r="L8" s="55">
        <f>'Yearly Model'!Y8</f>
        <v>45.259605461155445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1.1259706724482508</v>
      </c>
      <c r="L9" s="52">
        <f>MAX(0,L8)*Assumptions!$E$14</f>
        <v>7.694132928396426</v>
      </c>
    </row>
    <row r="10">
      <c r="A10" s="14" t="inlineStr">
        <is>
          <t>NOPAT</t>
        </is>
      </c>
      <c r="C10" s="52">
        <f>C8-C9</f>
        <v>-75.71982600000001</v>
      </c>
      <c r="D10" s="52">
        <f>D8-D9</f>
        <v>-86.7709986</v>
      </c>
      <c r="E10" s="52">
        <f>E8-E9</f>
        <v>-94.625270025</v>
      </c>
      <c r="F10" s="52">
        <f>F8-F9</f>
        <v>-97.31747046847224</v>
      </c>
      <c r="G10" s="52">
        <f>G8-G9</f>
        <v>-92.99884288331984</v>
      </c>
      <c r="H10" s="52">
        <f>H8-H9</f>
        <v>-80.31284687974903</v>
      </c>
      <c r="I10" s="52">
        <f>I8-I9</f>
        <v>-58.784542091149646</v>
      </c>
      <c r="J10" s="52">
        <f>J8-J9</f>
        <v>-29.12889944122381</v>
      </c>
      <c r="K10" s="52">
        <f>K8-K9</f>
        <v>5.497386224306165</v>
      </c>
      <c r="L10" s="52">
        <f>L8-L9</f>
        <v>37.56547253275902</v>
      </c>
    </row>
    <row r="11">
      <c r="A11" s="14" t="inlineStr">
        <is>
          <t>Reinvestment</t>
        </is>
      </c>
      <c r="C11" s="52">
        <f>(C7-B7)*Assumptions!$E$15</f>
        <v>3.690050000000001</v>
      </c>
      <c r="D11" s="52">
        <f>(D7-C7)*Assumptions!$E$15</f>
        <v>4.4675962500000015</v>
      </c>
      <c r="E11" s="52">
        <f>(E7-D7)*Assumptions!$E$15</f>
        <v>5.194623958333331</v>
      </c>
      <c r="F11" s="52">
        <f>(F7-E7)*Assumptions!$E$15</f>
        <v>5.774690300347224</v>
      </c>
      <c r="G11" s="52">
        <f>(G7-F7)*Assumptions!$E$15</f>
        <v>6.0988252156732266</v>
      </c>
      <c r="H11" s="52">
        <f>(H7-G7)*Assumptions!$E$15</f>
        <v>6.060822025515506</v>
      </c>
      <c r="I11" s="52">
        <f>(I7-H7)*Assumptions!$E$15</f>
        <v>5.577281033315906</v>
      </c>
      <c r="J11" s="52">
        <f>(J7-I7)*Assumptions!$E$15</f>
        <v>4.609003076143011</v>
      </c>
      <c r="K11" s="52">
        <f>(K7-J7)*Assumptions!$E$15</f>
        <v>3.1787489469589474</v>
      </c>
      <c r="L11" s="52">
        <f>(L7-K7)*Assumptions!$E$15</f>
        <v>1.3798660201571735</v>
      </c>
    </row>
    <row r="12">
      <c r="A12" s="20" t="inlineStr">
        <is>
          <t>Free cash flow</t>
        </is>
      </c>
      <c r="C12" s="64">
        <f>C10-C11</f>
        <v>-79.40987600000001</v>
      </c>
      <c r="D12" s="64">
        <f>D10-D11</f>
        <v>-91.23859485</v>
      </c>
      <c r="E12" s="64">
        <f>E10-E11</f>
        <v>-99.81989398333334</v>
      </c>
      <c r="F12" s="64">
        <f>F10-F11</f>
        <v>-103.09216076881947</v>
      </c>
      <c r="G12" s="64">
        <f>G10-G11</f>
        <v>-99.09766809899307</v>
      </c>
      <c r="H12" s="64">
        <f>H10-H11</f>
        <v>-86.37366890526454</v>
      </c>
      <c r="I12" s="64">
        <f>I10-I11</f>
        <v>-64.36182312446556</v>
      </c>
      <c r="J12" s="64">
        <f>J10-J11</f>
        <v>-33.73790251736682</v>
      </c>
      <c r="K12" s="64">
        <f>K10-K11</f>
        <v>2.318637277347218</v>
      </c>
      <c r="L12" s="64">
        <f>L10-L11</f>
        <v>36.185606512601844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-38.85959070569569</v>
      </c>
      <c r="D16" s="64">
        <f>D12*D13*D15</f>
        <v>-81.06181814779823</v>
      </c>
      <c r="E16" s="64">
        <f>E12*E13*E15</f>
        <v>-78.83196171934193</v>
      </c>
      <c r="F16" s="64">
        <f>F12*F13*F15</f>
        <v>-72.3699628466068</v>
      </c>
      <c r="G16" s="64">
        <f>G12*G13*G15</f>
        <v>-61.836317718273</v>
      </c>
      <c r="H16" s="64">
        <f>H12*H13*H15</f>
        <v>-47.90810911095607</v>
      </c>
      <c r="I16" s="64">
        <f>I12*I13*I15</f>
        <v>-31.732440724976676</v>
      </c>
      <c r="J16" s="64">
        <f>J12*J13*J15</f>
        <v>-14.78565936341266</v>
      </c>
      <c r="K16" s="64">
        <f>K12*K13*K15</f>
        <v>0.9032394735010065</v>
      </c>
      <c r="L16" s="64">
        <f>L12*L13*L15</f>
        <v>12.530068029979159</v>
      </c>
    </row>
    <row r="19">
      <c r="A19" s="14" t="inlineStr">
        <is>
          <t>PV of forecast free cash flow</t>
        </is>
      </c>
      <c r="B19" s="52">
        <f>SUM(C16:L16)</f>
        <v>-413.9525528335809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37.090246675416886</v>
      </c>
    </row>
    <row r="21">
      <c r="A21" s="14" t="inlineStr">
        <is>
          <t>Terminal value</t>
        </is>
      </c>
      <c r="B21" s="52">
        <f>B20/(Assumptions!$E$10-Assumptions!$E$11)</f>
        <v>370.9024667541688</v>
      </c>
    </row>
    <row r="22">
      <c r="A22" s="14" t="inlineStr">
        <is>
          <t>PV of terminal value</t>
        </is>
      </c>
      <c r="B22" s="52">
        <f>B21/(1+Assumptions!$E$10)^(L14+0.5)</f>
        <v>121.08797966060268</v>
      </c>
    </row>
    <row r="23">
      <c r="A23" s="20" t="inlineStr">
        <is>
          <t>Enterprise value</t>
        </is>
      </c>
      <c r="B23" s="66">
        <f>B19+B22</f>
        <v>-292.8645731729782</v>
      </c>
    </row>
    <row r="24">
      <c r="A24" s="14" t="inlineStr">
        <is>
          <t>Cash &amp; investments</t>
        </is>
      </c>
      <c r="B24" s="55">
        <f>Main!C7</f>
        <v>105.306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-187.55857317297824</v>
      </c>
    </row>
    <row r="27">
      <c r="A27" s="14" t="inlineStr">
        <is>
          <t>Shares (mm)</t>
        </is>
      </c>
      <c r="B27" s="55">
        <f>Main!C4</f>
        <v>154.500966</v>
      </c>
    </row>
    <row r="28">
      <c r="A28" s="20" t="inlineStr">
        <is>
          <t>NPV / share</t>
        </is>
      </c>
      <c r="B28" s="49">
        <f>B26/B27</f>
        <v>-1.2139637571779212</v>
      </c>
    </row>
    <row r="29">
      <c r="A29" s="14" t="inlineStr">
        <is>
          <t>Price</t>
        </is>
      </c>
      <c r="B29" s="50">
        <f>Main!C3</f>
        <v>1</v>
      </c>
    </row>
    <row r="30">
      <c r="A30" s="14" t="inlineStr">
        <is>
          <t>Upside</t>
        </is>
      </c>
      <c r="B30" s="63">
        <f>B28/B29-1</f>
        <v>-2.213963757177921</v>
      </c>
    </row>
    <row r="31">
      <c r="A31" s="14" t="inlineStr">
        <is>
          <t>Terminal value, % of EV</t>
        </is>
      </c>
      <c r="B31" s="63">
        <f>IFERROR(B22/B23,0)</f>
        <v>-0.4134606598152211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2026-10-21T01:05:45Z</dcterms:modified>
  <cp:lastModifiedBy>Wang, Eric</cp:lastModifiedBy>
</cp:coreProperties>
</file>