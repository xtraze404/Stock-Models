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X4 Pharmaceuticals, Inc.</t>
        </is>
      </c>
      <c r="C2" s="10" t="n"/>
    </row>
    <row r="3">
      <c r="B3" t="inlineStr">
        <is>
          <t>Price</t>
        </is>
      </c>
      <c r="C3" s="11">
        <f>INDEX([1]Pharma!$F$1:$F$1000,MATCH("XFOR",[1]Pharma!$B$1:$B$1000,0))</f>
        <v>3.02</v>
      </c>
      <c r="F3" s="1" t="n"/>
    </row>
    <row r="4">
      <c r="B4" t="inlineStr">
        <is>
          <t>Shares</t>
        </is>
      </c>
      <c r="C4" s="21" t="n">
        <v>99.146743</v>
      </c>
      <c r="F4" s="1" t="n"/>
    </row>
    <row r="5">
      <c r="B5" t="inlineStr">
        <is>
          <t>Market Cap.</t>
        </is>
      </c>
      <c r="C5" s="13">
        <f>C3*C4</f>
        <v>299.42316386</v>
      </c>
      <c r="F5" s="1" t="n"/>
    </row>
    <row r="6"/>
    <row r="7">
      <c r="B7" t="inlineStr">
        <is>
          <t>Cash</t>
        </is>
      </c>
      <c r="C7" s="21" t="n">
        <v>208</v>
      </c>
    </row>
    <row r="8">
      <c r="B8" t="inlineStr">
        <is>
          <t>Debt</t>
        </is>
      </c>
      <c r="C8" s="21" t="n">
        <v>75</v>
      </c>
    </row>
    <row r="9">
      <c r="B9" t="inlineStr">
        <is>
          <t>Enterprise V.</t>
        </is>
      </c>
      <c r="C9" s="13">
        <f>C5-C7+C8</f>
        <v>166.42316386</v>
      </c>
    </row>
    <row r="10"/>
    <row r="11">
      <c r="B11" s="14" t="inlineStr">
        <is>
          <t>Net Cash / Share</t>
        </is>
      </c>
      <c r="C11" s="11">
        <f>(C7-C8)/C4</f>
        <v>1.3414459817404187</v>
      </c>
    </row>
    <row r="12">
      <c r="B12" s="14" t="inlineStr">
        <is>
          <t>Upside</t>
        </is>
      </c>
      <c r="C12" s="15">
        <f>IFERROR(C11/C3-1,"")</f>
        <v>-0.5558125888276759</v>
      </c>
    </row>
    <row r="13">
      <c r="B13" s="14" t="inlineStr">
        <is>
          <t>Cash / Share</t>
        </is>
      </c>
      <c r="C13" s="11">
        <f>IFERROR((C7-C8)/C4,"")</f>
        <v>1.3414459817404187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-83.736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1.588325212572848</v>
      </c>
    </row>
    <row r="19">
      <c r="B19" s="14" t="inlineStr">
        <is>
          <t>Implied Pipeline Value</t>
        </is>
      </c>
      <c r="C19" s="13">
        <f>C9</f>
        <v>166.42316386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3</v>
      </c>
      <c r="G2" s="23" t="n">
        <v>0</v>
      </c>
      <c r="H2" s="23" t="n">
        <v>0</v>
      </c>
      <c r="I2" s="23" t="n">
        <v>0</v>
      </c>
      <c r="J2" s="23" t="n">
        <v>2.6</v>
      </c>
      <c r="K2" s="23" t="n">
        <v>35.113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0.797</v>
      </c>
      <c r="K3" s="23" t="n">
        <v>5.757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3.0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1.803</v>
      </c>
      <c r="K4" s="23">
        <f>K2-K3</f>
        <v>29.356</v>
      </c>
    </row>
    <row r="5">
      <c r="A5" s="2" t="inlineStr">
        <is>
          <t>Research &amp; Dev.</t>
        </is>
      </c>
      <c r="B5" s="23" t="n">
        <v>17.831</v>
      </c>
      <c r="C5" s="23" t="n">
        <v>17.066</v>
      </c>
      <c r="D5" s="23" t="n">
        <v>20.346</v>
      </c>
      <c r="E5" s="23" t="n">
        <v>30.163</v>
      </c>
      <c r="F5" s="23" t="n">
        <v>41.932</v>
      </c>
      <c r="G5" s="23" t="n">
        <v>50.647</v>
      </c>
      <c r="H5" s="23" t="n">
        <v>61.058</v>
      </c>
      <c r="I5" s="23" t="n">
        <v>72.017</v>
      </c>
      <c r="J5" s="23" t="n">
        <v>81.643</v>
      </c>
      <c r="K5" s="23" t="n">
        <v>72.723</v>
      </c>
    </row>
    <row r="6">
      <c r="A6" s="19" t="inlineStr">
        <is>
          <t>SG&amp;A &amp; Other</t>
        </is>
      </c>
      <c r="B6" s="23" t="n">
        <v>6.515</v>
      </c>
      <c r="C6" s="23" t="n">
        <v>5.181</v>
      </c>
      <c r="D6" s="23" t="n">
        <v>8.739000000000001</v>
      </c>
      <c r="E6" s="23" t="n">
        <v>21.54</v>
      </c>
      <c r="F6" s="23" t="n">
        <v>20.942</v>
      </c>
      <c r="G6" s="23" t="n">
        <v>34.46</v>
      </c>
      <c r="H6" s="23" t="n">
        <v>26.511</v>
      </c>
      <c r="I6" s="23" t="n">
        <v>35.505</v>
      </c>
      <c r="J6" s="23" t="n">
        <v>-43.439</v>
      </c>
      <c r="K6" s="23" t="n">
        <v>43.516</v>
      </c>
    </row>
    <row r="7">
      <c r="A7" s="2" t="inlineStr">
        <is>
          <t>Operating Expense</t>
        </is>
      </c>
      <c r="B7" s="23">
        <f>SUM(B5:B6)</f>
        <v>24.346</v>
      </c>
      <c r="C7" s="23">
        <f>SUM(C5:C6)</f>
        <v>22.247</v>
      </c>
      <c r="D7" s="23">
        <f>SUM(D5:D6)</f>
        <v>29.085</v>
      </c>
      <c r="E7" s="23">
        <f>SUM(E5:E6)</f>
        <v>51.703</v>
      </c>
      <c r="F7" s="23">
        <f>SUM(F5:F6)</f>
        <v>62.874</v>
      </c>
      <c r="G7" s="23">
        <f>SUM(G5:G6)</f>
        <v>85.107</v>
      </c>
      <c r="H7" s="23">
        <f>SUM(H5:H6)</f>
        <v>87.569</v>
      </c>
      <c r="I7" s="23">
        <f>SUM(I5:I6)</f>
        <v>107.52199999999999</v>
      </c>
      <c r="J7" s="23">
        <f>SUM(J5:J6)</f>
        <v>38.204</v>
      </c>
      <c r="K7" s="23">
        <f>SUM(K5:K6)</f>
        <v>116.239</v>
      </c>
    </row>
    <row r="8">
      <c r="A8" s="2" t="inlineStr">
        <is>
          <t>Operating Income</t>
        </is>
      </c>
      <c r="B8" s="23">
        <f>B4-B7</f>
        <v>-24.346</v>
      </c>
      <c r="C8" s="23">
        <f>C4-C7</f>
        <v>-22.247</v>
      </c>
      <c r="D8" s="23">
        <f>D4-D7</f>
        <v>-29.085</v>
      </c>
      <c r="E8" s="23">
        <f>E4-E7</f>
        <v>-51.703</v>
      </c>
      <c r="F8" s="23">
        <f>F4-F7</f>
        <v>-59.874</v>
      </c>
      <c r="G8" s="23">
        <f>G4-G7</f>
        <v>-85.107</v>
      </c>
      <c r="H8" s="23">
        <f>H4-H7</f>
        <v>-87.569</v>
      </c>
      <c r="I8" s="23">
        <f>I4-I7</f>
        <v>-107.52199999999999</v>
      </c>
      <c r="J8" s="23">
        <f>J4-J7</f>
        <v>-36.401</v>
      </c>
      <c r="K8" s="23">
        <f>K4-K7</f>
        <v>-86.88300000000001</v>
      </c>
    </row>
    <row r="9">
      <c r="A9" s="19" t="inlineStr">
        <is>
          <t>Interest &amp; Other</t>
        </is>
      </c>
      <c r="B9" s="23" t="n">
        <v>1.371</v>
      </c>
      <c r="C9" s="23" t="n">
        <v>0.253</v>
      </c>
      <c r="D9" s="23" t="n">
        <v>-4.2</v>
      </c>
      <c r="E9" s="23" t="n">
        <v>-1.104</v>
      </c>
      <c r="F9" s="23" t="n">
        <v>-2.109</v>
      </c>
      <c r="G9" s="23" t="n">
        <v>-3.572</v>
      </c>
      <c r="H9" s="23" t="n">
        <v>-6.27</v>
      </c>
      <c r="I9" s="23" t="n">
        <v>6.433</v>
      </c>
      <c r="J9" s="23" t="n">
        <v>-0.739</v>
      </c>
      <c r="K9" s="23" t="n">
        <v>7.725</v>
      </c>
    </row>
    <row r="10">
      <c r="A10" s="2" t="inlineStr">
        <is>
          <t>Pretax</t>
        </is>
      </c>
      <c r="B10" s="23">
        <f>B8+B9</f>
        <v>-22.975</v>
      </c>
      <c r="C10" s="23">
        <f>C8+C9</f>
        <v>-21.994</v>
      </c>
      <c r="D10" s="23">
        <f>D8+D9</f>
        <v>-33.285000000000004</v>
      </c>
      <c r="E10" s="23">
        <f>E8+E9</f>
        <v>-52.807</v>
      </c>
      <c r="F10" s="23">
        <f>F8+F9</f>
        <v>-61.983000000000004</v>
      </c>
      <c r="G10" s="23">
        <f>G8+G9</f>
        <v>-88.679</v>
      </c>
      <c r="H10" s="23">
        <f>H8+H9</f>
        <v>-93.839</v>
      </c>
      <c r="I10" s="23">
        <f>I8+I9</f>
        <v>-101.089</v>
      </c>
      <c r="J10" s="23">
        <f>J8+J9</f>
        <v>-37.14</v>
      </c>
      <c r="K10" s="23">
        <f>K8+K9</f>
        <v>-79.15800000000002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0.148</v>
      </c>
      <c r="G11" s="23" t="n">
        <v>0.017</v>
      </c>
      <c r="H11" s="23" t="n">
        <v>0.028</v>
      </c>
      <c r="I11" s="23" t="n">
        <v>0.078</v>
      </c>
      <c r="J11" s="23" t="n">
        <v>0.31</v>
      </c>
      <c r="K11" s="23" t="n">
        <v>0.041</v>
      </c>
    </row>
    <row r="12">
      <c r="A12" s="2" t="inlineStr">
        <is>
          <t>Net Income</t>
        </is>
      </c>
      <c r="B12" s="23" t="n">
        <v>-22.975</v>
      </c>
      <c r="C12" s="23" t="n">
        <v>-21.994</v>
      </c>
      <c r="D12" s="23" t="n">
        <v>-33.285</v>
      </c>
      <c r="E12" s="23" t="n">
        <v>-52.807</v>
      </c>
      <c r="F12" s="23" t="n">
        <v>-62.131</v>
      </c>
      <c r="G12" s="23" t="n">
        <v>-88.696</v>
      </c>
      <c r="H12" s="23" t="n">
        <v>-93.867</v>
      </c>
      <c r="I12" s="23" t="n">
        <v>-101.167</v>
      </c>
      <c r="J12" s="23" t="n">
        <v>-37.45</v>
      </c>
      <c r="K12" s="23" t="n">
        <v>-79.199</v>
      </c>
    </row>
    <row r="13">
      <c r="A13" s="2" t="inlineStr">
        <is>
          <t>Earnings per Share</t>
        </is>
      </c>
      <c r="B13" s="11">
        <f>IFERROR(B12/B14,0)</f>
        <v>-1.7896089733603366</v>
      </c>
      <c r="C13" s="11">
        <f>IFERROR(C12/C14,0)</f>
        <v>-1.9208733624454148</v>
      </c>
      <c r="D13" s="11">
        <f>IFERROR(D12/D14,0)</f>
        <v>-2.9006535947712417</v>
      </c>
      <c r="E13" s="11">
        <f>IFERROR(E12/E14,0)</f>
        <v>-4.579965307892455</v>
      </c>
      <c r="F13" s="11">
        <f>IFERROR(F12/F14,0)</f>
        <v>-3.0946356527369625</v>
      </c>
      <c r="G13" s="11">
        <f>IFERROR(G12/G14,0)</f>
        <v>-3.4446386267427864</v>
      </c>
      <c r="H13" s="11">
        <f>IFERROR(H12/H14,0)</f>
        <v>-1.4776154645342066</v>
      </c>
      <c r="I13" s="11">
        <f>IFERROR(I12/I14,0)</f>
        <v>-17.068837523198923</v>
      </c>
      <c r="J13" s="11">
        <f>IFERROR(J12/J14,0)</f>
        <v>-5.587884213667563</v>
      </c>
      <c r="K13" s="11">
        <f>IFERROR(K12/K14,0)</f>
        <v>-1.8726266758092356</v>
      </c>
    </row>
    <row r="14">
      <c r="A14" s="2" t="inlineStr">
        <is>
          <t>Shares</t>
        </is>
      </c>
      <c r="B14" s="23" t="n">
        <v>12.838</v>
      </c>
      <c r="C14" s="23" t="n">
        <v>11.45</v>
      </c>
      <c r="D14" s="23" t="n">
        <v>11.475</v>
      </c>
      <c r="E14" s="23" t="n">
        <v>11.53</v>
      </c>
      <c r="F14" s="23" t="n">
        <v>20.077</v>
      </c>
      <c r="G14" s="23" t="n">
        <v>25.749</v>
      </c>
      <c r="H14" s="23" t="n">
        <v>63.526</v>
      </c>
      <c r="I14" s="23" t="n">
        <v>5.927</v>
      </c>
      <c r="J14" s="23" t="n">
        <v>6.702</v>
      </c>
      <c r="K14" s="23" t="n">
        <v>42.293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12.504999999999999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0.6934615384615385</v>
      </c>
      <c r="K17" s="15">
        <f>IFERROR(K4/K2,"")</f>
        <v>0.8360436305641785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-19.958000000000002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-14.000384615384617</v>
      </c>
      <c r="K18" s="15">
        <f>IFERROR(K8/K2,"")</f>
        <v>-2.47438270725942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2026-10-21T01:05:27Z</dcterms:modified>
  <cp:lastModifiedBy>Wang, Eric</cp:lastModifiedBy>
</cp:coreProperties>
</file>