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Biote Corp</t>
        </is>
      </c>
      <c r="C2" s="10" t="n"/>
    </row>
    <row r="3">
      <c r="B3" t="inlineStr">
        <is>
          <t>Price</t>
        </is>
      </c>
      <c r="C3" s="11">
        <f>INDEX([1]Pharma!$F$1:$F$1000,MATCH("BTMD",[1]Pharma!$B$1:$B$1000,0))</f>
        <v>1.07</v>
      </c>
      <c r="F3" s="1" t="n"/>
    </row>
    <row r="4">
      <c r="B4" t="inlineStr">
        <is>
          <t>Shares</t>
        </is>
      </c>
      <c r="C4" s="51" t="n">
        <v>35.927468</v>
      </c>
      <c r="F4" s="1" t="n"/>
    </row>
    <row r="5">
      <c r="B5" t="inlineStr">
        <is>
          <t>Market Cap.</t>
        </is>
      </c>
      <c r="C5" s="13">
        <f>C3*C4</f>
        <v>38.44239076</v>
      </c>
      <c r="F5" s="1" t="n"/>
    </row>
    <row r="6"/>
    <row r="7">
      <c r="B7" t="inlineStr">
        <is>
          <t>Cash</t>
        </is>
      </c>
      <c r="C7" s="51" t="n">
        <v>11.168</v>
      </c>
    </row>
    <row r="8">
      <c r="B8" t="inlineStr">
        <is>
          <t>Debt</t>
        </is>
      </c>
      <c r="C8" s="51">
        <f>3.125+118.377</f>
        <v>121.502</v>
      </c>
    </row>
    <row r="9">
      <c r="B9" t="inlineStr">
        <is>
          <t>Enterprise V.</t>
        </is>
      </c>
      <c r="C9" s="13">
        <f>C5-C7+C8</f>
        <v>148.77639076</v>
      </c>
    </row>
    <row r="10"/>
    <row r="11">
      <c r="B11" s="14" t="inlineStr">
        <is>
          <t>NPV / Share</t>
        </is>
      </c>
      <c r="C11" s="11">
        <f>NPV!B28</f>
        <v>1.8771717917677544</v>
      </c>
    </row>
    <row r="12">
      <c r="B12" s="14" t="inlineStr">
        <is>
          <t>Upside</t>
        </is>
      </c>
      <c r="C12" s="15">
        <f>IFERROR(C11/C3-1,"")</f>
        <v>0.7543661605306116</v>
      </c>
    </row>
    <row r="13">
      <c r="B13" s="14" t="inlineStr">
        <is>
          <t>Cash / Share</t>
        </is>
      </c>
      <c r="C13" s="11">
        <f>IFERROR((C7-C8)/C4,"")</f>
        <v>-3.071020757711064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2021</v>
      </c>
      <c r="C1" s="16" t="n">
        <v>2022</v>
      </c>
      <c r="D1" s="16" t="n">
        <v>2023</v>
      </c>
      <c r="E1" s="16" t="n">
        <v>2024</v>
      </c>
      <c r="F1" s="16" t="n">
        <v>2025</v>
      </c>
      <c r="G1" s="16" t="n">
        <v>2026</v>
      </c>
      <c r="H1" s="16" t="n">
        <v>2027</v>
      </c>
      <c r="I1" s="16" t="n">
        <v>2028</v>
      </c>
      <c r="J1" s="16" t="n">
        <v>2029</v>
      </c>
      <c r="K1" s="16" t="n">
        <v>2030</v>
      </c>
      <c r="L1" s="16" t="n">
        <v>2031</v>
      </c>
      <c r="M1" s="16" t="n">
        <v>2032</v>
      </c>
      <c r="N1" s="16" t="n">
        <v>2033</v>
      </c>
      <c r="O1" s="16" t="n">
        <v>2034</v>
      </c>
      <c r="P1" s="16" t="n">
        <v>2035</v>
      </c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139.396</v>
      </c>
      <c r="C2" s="52" t="n">
        <v>164.957</v>
      </c>
      <c r="D2" s="52" t="n">
        <v>185.36</v>
      </c>
      <c r="E2" s="52" t="n">
        <v>197.191</v>
      </c>
      <c r="F2" s="52" t="n">
        <v>192.219</v>
      </c>
      <c r="G2" s="52">
        <f>F2*(1+NPV!C5)</f>
        <v>175.1499528</v>
      </c>
      <c r="H2" s="52">
        <f>G2*(1+NPV!D5)</f>
        <v>161.81131083898666</v>
      </c>
      <c r="I2" s="52">
        <f>H2*(1+NPV!E5)</f>
        <v>151.53449469725723</v>
      </c>
      <c r="J2" s="52">
        <f>I2*(1+NPV!F5)</f>
        <v>143.82644006699007</v>
      </c>
      <c r="K2" s="52">
        <f>J2*(1+NPV!G5)</f>
        <v>138.32907391331844</v>
      </c>
      <c r="L2" s="52">
        <f>K2*(1+NPV!H5)</f>
        <v>134.7909236005578</v>
      </c>
      <c r="M2" s="52">
        <f>L2*(1+NPV!I5)</f>
        <v>133.0476276553239</v>
      </c>
      <c r="N2" s="52">
        <f>M2*(1+NPV!J5)</f>
        <v>133.00919167400124</v>
      </c>
      <c r="O2" s="52">
        <f>N2*(1+NPV!K5)</f>
        <v>134.65259413112892</v>
      </c>
      <c r="P2" s="52">
        <f>O2*(1+NPV!L5)</f>
        <v>138.01890898440712</v>
      </c>
    </row>
    <row r="3" customFormat="1" s="1">
      <c r="A3" s="5" t="inlineStr">
        <is>
          <t>Cost of Sales</t>
        </is>
      </c>
      <c r="B3" s="52" t="n">
        <v>48.817</v>
      </c>
      <c r="C3" s="52" t="n">
        <v>54.575</v>
      </c>
      <c r="D3" s="52" t="n">
        <v>57.877</v>
      </c>
      <c r="E3" s="52" t="n">
        <v>58.13</v>
      </c>
      <c r="F3" s="52" t="n">
        <v>54.858</v>
      </c>
      <c r="G3" s="52">
        <f>G2*(1-Assumptions!$B$19)</f>
        <v>49.98779652912</v>
      </c>
      <c r="H3" s="52">
        <f>H2*(1-Assumptions!$B$19)</f>
        <v>46.18094811344679</v>
      </c>
      <c r="I3" s="52">
        <f>I2*(1-Assumptions!$B$19)</f>
        <v>43.24794478659721</v>
      </c>
      <c r="J3" s="52">
        <f>J2*(1-Assumptions!$B$19)</f>
        <v>41.04806599511897</v>
      </c>
      <c r="K3" s="52">
        <f>K2*(1-Assumptions!$B$19)</f>
        <v>39.47911769486108</v>
      </c>
      <c r="L3" s="52">
        <f>L2*(1-Assumptions!$B$19)</f>
        <v>38.46932959559919</v>
      </c>
      <c r="M3" s="52">
        <f>M2*(1-Assumptions!$B$19)</f>
        <v>37.971792932829445</v>
      </c>
      <c r="N3" s="52">
        <f>N2*(1-Assumptions!$B$19)</f>
        <v>37.96082330375995</v>
      </c>
      <c r="O3" s="52">
        <f>O2*(1-Assumptions!$B$19)</f>
        <v>38.429850365024194</v>
      </c>
      <c r="P3" s="52">
        <f>P2*(1-Assumptions!$B$19)</f>
        <v>39.39059662414979</v>
      </c>
    </row>
    <row r="4" customFormat="1" s="1">
      <c r="A4" s="5" t="inlineStr">
        <is>
          <t>Gross Margin</t>
        </is>
      </c>
      <c r="B4" s="52">
        <f>B2-B3</f>
        <v>90.57899999999998</v>
      </c>
      <c r="C4" s="52">
        <f>C2-C3</f>
        <v>110.38199999999999</v>
      </c>
      <c r="D4" s="52">
        <f>D2-D3</f>
        <v>127.483</v>
      </c>
      <c r="E4" s="52">
        <f>E2-E3</f>
        <v>139.061</v>
      </c>
      <c r="F4" s="52">
        <f>F2-F3</f>
        <v>137.361</v>
      </c>
      <c r="G4" s="52">
        <f>G2-G3</f>
        <v>125.16215627087999</v>
      </c>
      <c r="H4" s="52">
        <f>H2-H3</f>
        <v>115.63036272553987</v>
      </c>
      <c r="I4" s="52">
        <f>I2-I3</f>
        <v>108.28654991066003</v>
      </c>
      <c r="J4" s="52">
        <f>J2-J3</f>
        <v>102.7783740718711</v>
      </c>
      <c r="K4" s="52">
        <f>K2-K3</f>
        <v>98.84995621845735</v>
      </c>
      <c r="L4" s="52">
        <f>L2-L3</f>
        <v>96.3215940049586</v>
      </c>
      <c r="M4" s="52">
        <f>M2-M3</f>
        <v>95.07583472249446</v>
      </c>
      <c r="N4" s="52">
        <f>N2-N3</f>
        <v>95.04836837024129</v>
      </c>
      <c r="O4" s="52">
        <f>O2-O3</f>
        <v>96.22274376610473</v>
      </c>
      <c r="P4" s="52">
        <f>P2-P3</f>
        <v>98.62831236025733</v>
      </c>
    </row>
    <row r="5">
      <c r="A5" s="2" t="inlineStr">
        <is>
          <t>Research &amp; Dev.</t>
        </is>
      </c>
      <c r="B5" s="52" t="n">
        <v>0</v>
      </c>
      <c r="C5" s="52" t="n">
        <v>0</v>
      </c>
      <c r="D5" s="52" t="n">
        <v>0</v>
      </c>
      <c r="E5" s="52" t="n">
        <v>0</v>
      </c>
      <c r="F5" s="52" t="n">
        <v>0</v>
      </c>
      <c r="G5" s="52">
        <f>G7*Assumptions!$B$20</f>
        <v>0.0</v>
      </c>
      <c r="H5" s="52">
        <f>H7*Assumptions!$B$20</f>
        <v>0.0</v>
      </c>
      <c r="I5" s="52">
        <f>I7*Assumptions!$B$20</f>
        <v>0.0</v>
      </c>
      <c r="J5" s="52">
        <f>J7*Assumptions!$B$20</f>
        <v>0.0</v>
      </c>
      <c r="K5" s="52">
        <f>K7*Assumptions!$B$20</f>
        <v>0.0</v>
      </c>
      <c r="L5" s="52">
        <f>L7*Assumptions!$B$20</f>
        <v>0.0</v>
      </c>
      <c r="M5" s="52">
        <f>M7*Assumptions!$B$20</f>
        <v>0.0</v>
      </c>
      <c r="N5" s="52">
        <f>N7*Assumptions!$B$20</f>
        <v>0.0</v>
      </c>
      <c r="O5" s="52">
        <f>O7*Assumptions!$B$20</f>
        <v>0.0</v>
      </c>
      <c r="P5" s="52">
        <f>P7*Assumptions!$B$20</f>
        <v>0.0</v>
      </c>
    </row>
    <row r="6">
      <c r="A6" s="18" t="inlineStr">
        <is>
          <t>SG&amp;A &amp; Other</t>
        </is>
      </c>
      <c r="B6" s="52" t="n">
        <v>56.018</v>
      </c>
      <c r="C6" s="52" t="n">
        <v>171.104</v>
      </c>
      <c r="D6" s="52" t="n">
        <v>98.82599999999999</v>
      </c>
      <c r="E6" s="52" t="n">
        <v>107.45</v>
      </c>
      <c r="F6" s="52" t="n">
        <v>101.81</v>
      </c>
      <c r="G6" s="52">
        <f>G7-G5</f>
        <v>108.98530663027199</v>
      </c>
      <c r="H6" s="52">
        <f>H7-H5</f>
        <v>98.75020677881679</v>
      </c>
      <c r="I6" s="52">
        <f>I7-I5</f>
        <v>90.66611886726295</v>
      </c>
      <c r="J6" s="52">
        <f>J7-J5</f>
        <v>84.33407139768029</v>
      </c>
      <c r="K6" s="52">
        <f>K7-K5</f>
        <v>79.4562200558101</v>
      </c>
      <c r="L6" s="52">
        <f>L7-L5</f>
        <v>75.81180706989772</v>
      </c>
      <c r="M6" s="52">
        <f>M7-M5</f>
        <v>73.2400580717027</v>
      </c>
      <c r="N6" s="52">
        <f>N7-N5</f>
        <v>71.62810990028315</v>
      </c>
      <c r="O6" s="52">
        <f>O7-O5</f>
        <v>70.90266996568725</v>
      </c>
      <c r="P6" s="52">
        <f>P7-P5</f>
        <v>71.0245305633759</v>
      </c>
    </row>
    <row r="7">
      <c r="A7" s="2" t="inlineStr">
        <is>
          <t>Operating Expense</t>
        </is>
      </c>
      <c r="B7" s="52">
        <f>SUM(B5:B6)</f>
        <v>56.018</v>
      </c>
      <c r="C7" s="52">
        <f>SUM(C5:C6)</f>
        <v>171.104</v>
      </c>
      <c r="D7" s="52">
        <f>SUM(D5:D6)</f>
        <v>98.826</v>
      </c>
      <c r="E7" s="52">
        <f>SUM(E5:E6)</f>
        <v>107.45</v>
      </c>
      <c r="F7" s="52">
        <f>SUM(F5:F6)</f>
        <v>101.81</v>
      </c>
      <c r="G7" s="52">
        <f>G4-G2*NPV!C6</f>
        <v>108.98530663027199</v>
      </c>
      <c r="H7" s="52">
        <f>H4-H2*NPV!D6</f>
        <v>98.75020677881679</v>
      </c>
      <c r="I7" s="52">
        <f>I4-I2*NPV!E6</f>
        <v>90.66611886726295</v>
      </c>
      <c r="J7" s="52">
        <f>J4-J2*NPV!F6</f>
        <v>84.33407139768029</v>
      </c>
      <c r="K7" s="52">
        <f>K4-K2*NPV!G6</f>
        <v>79.4562200558101</v>
      </c>
      <c r="L7" s="52">
        <f>L4-L2*NPV!H6</f>
        <v>75.81180706989772</v>
      </c>
      <c r="M7" s="52">
        <f>M4-M2*NPV!I6</f>
        <v>73.2400580717027</v>
      </c>
      <c r="N7" s="52">
        <f>N4-N2*NPV!J6</f>
        <v>71.62810990028315</v>
      </c>
      <c r="O7" s="52">
        <f>O4-O2*NPV!K6</f>
        <v>70.90266996568725</v>
      </c>
      <c r="P7" s="52">
        <f>P4-P2*NPV!L6</f>
        <v>71.0245305633759</v>
      </c>
    </row>
    <row r="8">
      <c r="A8" s="2" t="inlineStr">
        <is>
          <t>Operating Income</t>
        </is>
      </c>
      <c r="B8" s="52">
        <f>B4-B7</f>
        <v>34.56099999999998</v>
      </c>
      <c r="C8" s="52">
        <f>C4-C7</f>
        <v>-60.72200000000002</v>
      </c>
      <c r="D8" s="52">
        <f>D4-D7</f>
        <v>28.65700000000001</v>
      </c>
      <c r="E8" s="52">
        <f>E4-E7</f>
        <v>31.611000000000004</v>
      </c>
      <c r="F8" s="52">
        <f>F4-F7</f>
        <v>35.55099999999999</v>
      </c>
      <c r="G8" s="52">
        <f>G4-G7</f>
        <v>16.176849640607998</v>
      </c>
      <c r="H8" s="52">
        <f>H4-H7</f>
        <v>16.88015594672308</v>
      </c>
      <c r="I8" s="52">
        <f>I4-I7</f>
        <v>17.620431043397076</v>
      </c>
      <c r="J8" s="52">
        <f>J4-J7</f>
        <v>18.44430267419081</v>
      </c>
      <c r="K8" s="52">
        <f>K4-K7</f>
        <v>19.393736162647244</v>
      </c>
      <c r="L8" s="52">
        <f>L4-L7</f>
        <v>20.509786935060873</v>
      </c>
      <c r="M8" s="52">
        <f>M4-M7</f>
        <v>21.835776650791757</v>
      </c>
      <c r="N8" s="52">
        <f>N4-N7</f>
        <v>23.420258469958142</v>
      </c>
      <c r="O8" s="52">
        <f>O4-O7</f>
        <v>25.320073800417475</v>
      </c>
      <c r="P8" s="52">
        <f>P4-P7</f>
        <v>27.60378179688142</v>
      </c>
    </row>
    <row r="9">
      <c r="A9" s="18" t="inlineStr">
        <is>
          <t>Interest &amp; Other</t>
        </is>
      </c>
      <c r="B9" s="52" t="n">
        <v>-23.162</v>
      </c>
      <c r="C9" s="52" t="n">
        <v>60.141</v>
      </c>
      <c r="D9" s="52" t="n">
        <v>-22.659</v>
      </c>
      <c r="E9" s="52" t="n">
        <v>-27.484</v>
      </c>
      <c r="F9" s="52" t="n">
        <v>-2.519</v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</row>
    <row r="10">
      <c r="A10" s="2" t="inlineStr">
        <is>
          <t>Pretax</t>
        </is>
      </c>
      <c r="B10" s="52">
        <f>B8+B9</f>
        <v>11.39899999999998</v>
      </c>
      <c r="C10" s="52">
        <f>C8+C9</f>
        <v>-0.5810000000000244</v>
      </c>
      <c r="D10" s="52">
        <f>D8+D9</f>
        <v>5.998000000000012</v>
      </c>
      <c r="E10" s="52">
        <f>E8+E9</f>
        <v>4.1270000000000024</v>
      </c>
      <c r="F10" s="52">
        <f>F8+F9</f>
        <v>33.03199999999999</v>
      </c>
      <c r="G10" s="52">
        <f>G8+G9</f>
        <v>16.176849640607998</v>
      </c>
      <c r="H10" s="52">
        <f>H8+H9</f>
        <v>16.88015594672308</v>
      </c>
      <c r="I10" s="52">
        <f>I8+I9</f>
        <v>17.620431043397076</v>
      </c>
      <c r="J10" s="52">
        <f>J8+J9</f>
        <v>18.44430267419081</v>
      </c>
      <c r="K10" s="52">
        <f>K8+K9</f>
        <v>19.393736162647244</v>
      </c>
      <c r="L10" s="52">
        <f>L8+L9</f>
        <v>20.509786935060873</v>
      </c>
      <c r="M10" s="52">
        <f>M8+M9</f>
        <v>21.835776650791757</v>
      </c>
      <c r="N10" s="52">
        <f>N8+N9</f>
        <v>23.420258469958142</v>
      </c>
      <c r="O10" s="52">
        <f>O8+O9</f>
        <v>25.320073800417475</v>
      </c>
      <c r="P10" s="52">
        <f>P8+P9</f>
        <v>27.60378179688142</v>
      </c>
    </row>
    <row r="11">
      <c r="A11" s="2" t="inlineStr">
        <is>
          <t>Taxes</t>
        </is>
      </c>
      <c r="B11" s="52" t="n">
        <v>0.286</v>
      </c>
      <c r="C11" s="52" t="n">
        <v>0.388</v>
      </c>
      <c r="D11" s="52" t="n">
        <v>2.682</v>
      </c>
      <c r="E11" s="52" t="n">
        <v>0.97</v>
      </c>
      <c r="F11" s="52" t="n">
        <v>5.987</v>
      </c>
      <c r="G11" s="52">
        <f>MAX(0,G10)*Assumptions!$E$14</f>
        <v>2.75006443890336</v>
      </c>
      <c r="H11" s="52">
        <f>MAX(0,H10)*Assumptions!$E$14</f>
        <v>2.8696265109429238</v>
      </c>
      <c r="I11" s="52">
        <f>MAX(0,I10)*Assumptions!$E$14</f>
        <v>2.9954732773775032</v>
      </c>
      <c r="J11" s="52">
        <f>MAX(0,J10)*Assumptions!$E$14</f>
        <v>3.1355314546124378</v>
      </c>
      <c r="K11" s="52">
        <f>MAX(0,K10)*Assumptions!$E$14</f>
        <v>3.2969351476500317</v>
      </c>
      <c r="L11" s="52">
        <f>MAX(0,L10)*Assumptions!$E$14</f>
        <v>3.4866637789603487</v>
      </c>
      <c r="M11" s="52">
        <f>MAX(0,M10)*Assumptions!$E$14</f>
        <v>3.712082030634599</v>
      </c>
      <c r="N11" s="52">
        <f>MAX(0,N10)*Assumptions!$E$14</f>
        <v>3.9814439398928845</v>
      </c>
      <c r="O11" s="52">
        <f>MAX(0,O10)*Assumptions!$E$14</f>
        <v>4.304412546070971</v>
      </c>
      <c r="P11" s="52">
        <f>MAX(0,P10)*Assumptions!$E$14</f>
        <v>4.6926429054698415</v>
      </c>
    </row>
    <row r="12">
      <c r="A12" s="2" t="inlineStr">
        <is>
          <t>Net Income</t>
        </is>
      </c>
      <c r="B12" s="52" t="n">
        <v>11.113</v>
      </c>
      <c r="C12" s="52" t="n">
        <v>-0.969</v>
      </c>
      <c r="D12" s="52" t="n">
        <v>3.316</v>
      </c>
      <c r="E12" s="52" t="n">
        <v>3.157</v>
      </c>
      <c r="F12" s="52" t="n">
        <v>27.045</v>
      </c>
      <c r="G12" s="52">
        <f>G10-G11</f>
        <v>13.426785201704638</v>
      </c>
      <c r="H12" s="52">
        <f>H10-H11</f>
        <v>14.010529435780155</v>
      </c>
      <c r="I12" s="52">
        <f>I10-I11</f>
        <v>14.624957766019573</v>
      </c>
      <c r="J12" s="52">
        <f>J10-J11</f>
        <v>15.308771219578372</v>
      </c>
      <c r="K12" s="52">
        <f>K10-K11</f>
        <v>16.09680101499721</v>
      </c>
      <c r="L12" s="52">
        <f>L10-L11</f>
        <v>17.023123156100525</v>
      </c>
      <c r="M12" s="52">
        <f>M10-M11</f>
        <v>18.12369462015716</v>
      </c>
      <c r="N12" s="52">
        <f>N10-N11</f>
        <v>19.438814530065258</v>
      </c>
      <c r="O12" s="52">
        <f>O10-O11</f>
        <v>21.015661254346504</v>
      </c>
      <c r="P12" s="52">
        <f>P10-P11</f>
        <v>22.91113889141158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-0.1202382429581834</v>
      </c>
      <c r="D13" s="11">
        <f>IFERROR(D12/D14,0)</f>
        <v>0.12898206853631022</v>
      </c>
      <c r="E13" s="11">
        <f>IFERROR(E12/E14,0)</f>
        <v>0.09211870094248782</v>
      </c>
      <c r="F13" s="11">
        <f>IFERROR(F12/F14,0)</f>
        <v>0.7375842037799657</v>
      </c>
      <c r="G13" s="11">
        <f>IFERROR(G12/G14,0)</f>
        <v>0.3737192167759954</v>
      </c>
      <c r="H13" s="11">
        <f>IFERROR(H12/H14,0)</f>
        <v>0.389967070203226</v>
      </c>
      <c r="I13" s="11">
        <f>IFERROR(I12/I14,0)</f>
        <v>0.4070689803695483</v>
      </c>
      <c r="J13" s="11">
        <f>IFERROR(J12/J14,0)</f>
        <v>0.4261021461233609</v>
      </c>
      <c r="K13" s="11">
        <f>IFERROR(K12/K14,0)</f>
        <v>0.4480360546141802</v>
      </c>
      <c r="L13" s="11">
        <f>IFERROR(L12/L14,0)</f>
        <v>0.47381917245324734</v>
      </c>
      <c r="M13" s="11">
        <f>IFERROR(M12/M14,0)</f>
        <v>0.5044523209973261</v>
      </c>
      <c r="N13" s="11">
        <f>IFERROR(N12/N14,0)</f>
        <v>0.5410571802628913</v>
      </c>
      <c r="O13" s="11">
        <f>IFERROR(O12/O14,0)</f>
        <v>0.5849469062040917</v>
      </c>
      <c r="P13" s="11">
        <f>IFERROR(P12/P14,0)</f>
        <v>0.6377053593482174</v>
      </c>
    </row>
    <row r="14">
      <c r="A14" s="2" t="inlineStr">
        <is>
          <t>Shares</t>
        </is>
      </c>
      <c r="B14" s="52" t="n"/>
      <c r="C14" s="52" t="n">
        <v>8.058999999999999</v>
      </c>
      <c r="D14" s="52" t="n">
        <v>25.709</v>
      </c>
      <c r="E14" s="52" t="n">
        <v>34.271</v>
      </c>
      <c r="F14" s="52" t="n">
        <v>36.667</v>
      </c>
      <c r="G14" s="52">
        <f>Main!$C$4</f>
        <v>35.927468</v>
      </c>
      <c r="H14" s="52">
        <f>Main!$C$4</f>
        <v>35.927468</v>
      </c>
      <c r="I14" s="52">
        <f>Main!$C$4</f>
        <v>35.927468</v>
      </c>
      <c r="J14" s="52">
        <f>Main!$C$4</f>
        <v>35.927468</v>
      </c>
      <c r="K14" s="52">
        <f>Main!$C$4</f>
        <v>35.927468</v>
      </c>
      <c r="L14" s="52">
        <f>Main!$C$4</f>
        <v>35.927468</v>
      </c>
      <c r="M14" s="52">
        <f>Main!$C$4</f>
        <v>35.927468</v>
      </c>
      <c r="N14" s="52">
        <f>Main!$C$4</f>
        <v>35.927468</v>
      </c>
      <c r="O14" s="52">
        <f>Main!$C$4</f>
        <v>35.927468</v>
      </c>
      <c r="P14" s="52">
        <f>Main!$C$4</f>
        <v>35.927468</v>
      </c>
    </row>
    <row r="15"/>
    <row r="16" customFormat="1" s="4">
      <c r="A16" s="3" t="inlineStr">
        <is>
          <t>Revenue Change</t>
        </is>
      </c>
      <c r="C16" s="15">
        <f>IFERROR(C2/B2-1,"")</f>
        <v>0.18336968062211256</v>
      </c>
      <c r="D16" s="15">
        <f>IFERROR(D2/C2-1,"")</f>
        <v>0.12368677897876434</v>
      </c>
      <c r="E16" s="15">
        <f>IFERROR(E2/D2-1,"")</f>
        <v>0.06382714717306848</v>
      </c>
      <c r="F16" s="15">
        <f>IFERROR(F2/E2-1,"")</f>
        <v>-0.025214132490833818</v>
      </c>
      <c r="G16" s="15">
        <f>IFERROR(G2/F2-1,"")</f>
        <v>-0.08879999999999999</v>
      </c>
      <c r="H16" s="15">
        <f>IFERROR(H2/G2-1,"")</f>
        <v>-0.07615555555555553</v>
      </c>
      <c r="I16" s="15">
        <f>IFERROR(I2/H2-1,"")</f>
        <v>-0.06351111111111118</v>
      </c>
      <c r="J16" s="15">
        <f>IFERROR(J2/I2-1,"")</f>
        <v>-0.05086666666666673</v>
      </c>
      <c r="K16" s="15">
        <f>IFERROR(K2/J2-1,"")</f>
        <v>-0.03822222222222227</v>
      </c>
      <c r="L16" s="15">
        <f>IFERROR(L2/K2-1,"")</f>
        <v>-0.0255777777777777</v>
      </c>
      <c r="M16" s="15">
        <f>IFERROR(M2/L2-1,"")</f>
        <v>-0.012933333333333352</v>
      </c>
      <c r="N16" s="15">
        <f>IFERROR(N2/M2-1,"")</f>
        <v>-0.0002888888888890051</v>
      </c>
      <c r="O16" s="15">
        <f>IFERROR(O2/N2-1,"")</f>
        <v>0.012355555555555675</v>
      </c>
      <c r="P16" s="15">
        <f>IFERROR(P2/O2-1,"")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0.6497962638813165</v>
      </c>
      <c r="C17" s="15">
        <f>IFERROR(C4/C2,"")</f>
        <v>0.6691562043441623</v>
      </c>
      <c r="D17" s="15">
        <f>IFERROR(D4/D2,"")</f>
        <v>0.6877589555459646</v>
      </c>
      <c r="E17" s="15">
        <f>IFERROR(E4/E2,"")</f>
        <v>0.7052096698125169</v>
      </c>
      <c r="F17" s="15">
        <f>IFERROR(F4/F2,"")</f>
        <v>0.7146067766453889</v>
      </c>
      <c r="G17" s="15">
        <f>IFERROR(G4/G2,"")</f>
        <v>0.7146</v>
      </c>
      <c r="H17" s="15">
        <f>IFERROR(H4/H2,"")</f>
        <v>0.7146</v>
      </c>
      <c r="I17" s="15">
        <f>IFERROR(I4/I2,"")</f>
        <v>0.7146000000000001</v>
      </c>
      <c r="J17" s="15">
        <f>IFERROR(J4/J2,"")</f>
        <v>0.7145999999999999</v>
      </c>
      <c r="K17" s="15">
        <f>IFERROR(K4/K2,"")</f>
        <v>0.7146</v>
      </c>
      <c r="L17" s="15">
        <f>IFERROR(L4/L2,"")</f>
        <v>0.7146</v>
      </c>
      <c r="M17" s="15">
        <f>IFERROR(M4/M2,"")</f>
        <v>0.7146</v>
      </c>
      <c r="N17" s="15">
        <f>IFERROR(N4/N2,"")</f>
        <v>0.7146</v>
      </c>
      <c r="O17" s="15">
        <f>IFERROR(O4/O2,"")</f>
        <v>0.7146</v>
      </c>
      <c r="P17" s="15">
        <f>IFERROR(P4/P2,"")</f>
        <v>0.7146</v>
      </c>
    </row>
    <row r="18">
      <c r="A18" s="14" t="inlineStr">
        <is>
          <t>Operating Margin</t>
        </is>
      </c>
      <c r="B18" s="15">
        <f>IFERROR(B8/B2,"")</f>
        <v>0.24793394358518164</v>
      </c>
      <c r="C18" s="15">
        <f>IFERROR(C8/C2,"")</f>
        <v>-0.3681080524015351</v>
      </c>
      <c r="D18" s="15">
        <f>IFERROR(D8/D2,"")</f>
        <v>0.15460185584807945</v>
      </c>
      <c r="E18" s="15">
        <f>IFERROR(E8/E2,"")</f>
        <v>0.16030650486076953</v>
      </c>
      <c r="F18" s="15">
        <f>IFERROR(F8/F2,"")</f>
        <v>0.18495049917021725</v>
      </c>
      <c r="G18" s="15">
        <f>IFERROR(G8/G2,"")</f>
        <v>0.09235999999999998</v>
      </c>
      <c r="H18" s="15">
        <f>IFERROR(H8/H2,"")</f>
        <v>0.10431999999999994</v>
      </c>
      <c r="I18" s="15">
        <f>IFERROR(I8/I2,"")</f>
        <v>0.11628000000000004</v>
      </c>
      <c r="J18" s="15">
        <f>IFERROR(J8/J2,"")</f>
        <v>0.12824000000000002</v>
      </c>
      <c r="K18" s="15">
        <f>IFERROR(K8/K2,"")</f>
        <v>0.1402</v>
      </c>
      <c r="L18" s="15">
        <f>IFERROR(L8/L2,"")</f>
        <v>0.15216</v>
      </c>
      <c r="M18" s="15">
        <f>IFERROR(M8/M2,"")</f>
        <v>0.16412</v>
      </c>
      <c r="N18" s="15">
        <f>IFERROR(N8/N2,"")</f>
        <v>0.17608000000000001</v>
      </c>
      <c r="O18" s="15">
        <f>IFERROR(O8/O2,"")</f>
        <v>0.18803999999999996</v>
      </c>
      <c r="P18" s="15">
        <f>IFERROR(P8/P2,"")</f>
        <v>0.19999999999999998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E</t>
        </is>
      </c>
      <c r="H19" s="19" t="inlineStr">
        <is>
          <t>E</t>
        </is>
      </c>
      <c r="I19" s="19" t="inlineStr">
        <is>
          <t>E</t>
        </is>
      </c>
      <c r="J19" s="19" t="inlineStr">
        <is>
          <t>E</t>
        </is>
      </c>
      <c r="K19" s="19" t="inlineStr">
        <is>
          <t>E</t>
        </is>
      </c>
      <c r="L19" s="19" t="inlineStr">
        <is>
          <t>E</t>
        </is>
      </c>
      <c r="M19" s="19" t="inlineStr">
        <is>
          <t>E</t>
        </is>
      </c>
      <c r="N19" s="19" t="inlineStr">
        <is>
          <t>E</t>
        </is>
      </c>
      <c r="O19" s="19" t="inlineStr">
        <is>
          <t>E</t>
        </is>
      </c>
      <c r="P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Biote Corp: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0.135</v>
      </c>
      <c r="C10" s="53" t="n">
        <v>0.125</v>
      </c>
      <c r="D10" s="53" t="n">
        <v>0.115</v>
      </c>
      <c r="E10" s="54">
        <f>IF(ISNUMBER($B$6),$B$6,CHOOSE($B$4,B10,C10,D10))</f>
        <v>0.125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-0.1388</v>
      </c>
      <c r="C12" s="53" t="n">
        <v>-0.0888</v>
      </c>
      <c r="D12" s="53" t="n">
        <v>-0.0388</v>
      </c>
      <c r="E12" s="54">
        <f>CHOOSE($B$4,B12,C12,D12)</f>
        <v>-0.0888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0.0804</v>
      </c>
    </row>
    <row r="19">
      <c r="A19" s="14" t="inlineStr">
        <is>
          <t>Gross margin (forecast)</t>
        </is>
      </c>
      <c r="B19" s="53" t="n">
        <v>0.7146</v>
      </c>
    </row>
    <row r="20">
      <c r="A20" s="14" t="inlineStr">
        <is>
          <t>R&amp;D share of operating expense (forecast)</t>
        </is>
      </c>
      <c r="B20" s="53" t="n">
        <v>0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Model'!F2</f>
        <v>192.219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177.77602947923864</v>
      </c>
      <c r="C29" s="56">
        <f>NPV!B26</f>
        <v>67.44202947923866</v>
      </c>
      <c r="D29" s="35">
        <f>NPV!B28</f>
        <v>1.8771717917677544</v>
      </c>
      <c r="E29" s="57">
        <f>NPV!B30</f>
        <v>0.7543661605306116</v>
      </c>
    </row>
    <row r="30">
      <c r="A30" s="58" t="n">
        <v>1</v>
      </c>
      <c r="B30" s="59">
        <f t="dataTable" ref="B30:E32" r1="B4"/>
        <v>109.55419403657912</v>
      </c>
      <c r="C30" s="59">
        <v>-0.779805963420884</v>
      </c>
      <c r="D30" s="39">
        <v>-0.0217050075285262</v>
      </c>
      <c r="E30" s="60">
        <v>-1.0202850537649777</v>
      </c>
    </row>
    <row r="31">
      <c r="A31" s="58" t="n">
        <v>2</v>
      </c>
      <c r="B31" s="59">
        <v>177.77602947923864</v>
      </c>
      <c r="C31" s="59">
        <v>67.44202947923866</v>
      </c>
      <c r="D31" s="39">
        <v>1.8771717917677544</v>
      </c>
      <c r="E31" s="60">
        <v>0.7543661605306116</v>
      </c>
    </row>
    <row r="32">
      <c r="A32" s="58" t="n">
        <v>3</v>
      </c>
      <c r="B32" s="59">
        <v>301.8830377237529</v>
      </c>
      <c r="C32" s="59">
        <v>191.54903772375292</v>
      </c>
      <c r="D32" s="39">
        <v>5.331548488854069</v>
      </c>
      <c r="E32" s="60">
        <v>3.982755597059877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1.8771717917677544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0.105</v>
      </c>
      <c r="B37" s="39">
        <f t="dataTable" ref="B37:F41" dt2D="1" r1="B7" r2="B6"/>
        <v>2.6071613738563615</v>
      </c>
      <c r="C37" s="39">
        <v>2.834978594081448</v>
      </c>
      <c r="D37" s="39">
        <v>3.091092885091359</v>
      </c>
      <c r="E37" s="39">
        <v>3.3811630848157597</v>
      </c>
      <c r="F37" s="39">
        <v>3.7124648550000767</v>
      </c>
    </row>
    <row r="38">
      <c r="A38" s="62" t="n">
        <v>0.115</v>
      </c>
      <c r="B38" s="39">
        <v>2.044294140557624</v>
      </c>
      <c r="C38" s="39">
        <v>2.220248173988295</v>
      </c>
      <c r="D38" s="39">
        <v>2.4155993880695954</v>
      </c>
      <c r="E38" s="39">
        <v>2.6337702978269544</v>
      </c>
      <c r="F38" s="39">
        <v>2.8790390573133666</v>
      </c>
    </row>
    <row r="39">
      <c r="A39" s="62" t="n">
        <v>0.125</v>
      </c>
      <c r="B39" s="39">
        <v>1.5856365083839266</v>
      </c>
      <c r="C39" s="39">
        <v>1.724525617088657</v>
      </c>
      <c r="D39" s="39">
        <v>1.8771717917677544</v>
      </c>
      <c r="E39" s="39">
        <v>2.0457467360430734</v>
      </c>
      <c r="F39" s="39">
        <v>2.2329047626165037</v>
      </c>
    </row>
    <row r="40">
      <c r="A40" s="62" t="n">
        <v>0.135</v>
      </c>
      <c r="B40" s="39">
        <v>1.2049269875904398</v>
      </c>
      <c r="C40" s="39">
        <v>1.3165471050042066</v>
      </c>
      <c r="D40" s="39">
        <v>1.438200128322071</v>
      </c>
      <c r="E40" s="39">
        <v>1.571318911295127</v>
      </c>
      <c r="F40" s="39">
        <v>1.7176228851899746</v>
      </c>
    </row>
    <row r="41">
      <c r="A41" s="62" t="n">
        <v>0.145</v>
      </c>
      <c r="B41" s="39">
        <v>0.8840081837481185</v>
      </c>
      <c r="C41" s="39">
        <v>0.9750780615500785</v>
      </c>
      <c r="D41" s="39">
        <v>1.0736371942655483</v>
      </c>
      <c r="E41" s="39">
        <v>1.1806620637893688</v>
      </c>
      <c r="F41" s="39">
        <v>1.2973066997785563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Biote Corp: free-cash-flow DCF ($mm)</t>
        </is>
      </c>
    </row>
    <row r="3">
      <c r="A3" s="20" t="inlineStr">
        <is>
          <t>Fiscal year</t>
        </is>
      </c>
      <c r="B3" s="43">
        <f>'Yearly Model'!F1</f>
        <v>2025</v>
      </c>
      <c r="C3" s="43">
        <f>'Yearly Model'!G1</f>
        <v>2026</v>
      </c>
      <c r="D3" s="43">
        <f>'Yearly Model'!H1</f>
        <v>2027</v>
      </c>
      <c r="E3" s="43">
        <f>'Yearly Model'!I1</f>
        <v>2028</v>
      </c>
      <c r="F3" s="43">
        <f>'Yearly Model'!J1</f>
        <v>2029</v>
      </c>
      <c r="G3" s="43">
        <f>'Yearly Model'!K1</f>
        <v>2030</v>
      </c>
      <c r="H3" s="43">
        <f>'Yearly Model'!L1</f>
        <v>2031</v>
      </c>
      <c r="I3" s="43">
        <f>'Yearly Model'!M1</f>
        <v>2032</v>
      </c>
      <c r="J3" s="43">
        <f>'Yearly Model'!N1</f>
        <v>2033</v>
      </c>
      <c r="K3" s="43">
        <f>'Yearly Model'!O1</f>
        <v>2034</v>
      </c>
      <c r="L3" s="43">
        <f>'Yearly Model'!P1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-0.0888</v>
      </c>
      <c r="D5" s="63">
        <f>Assumptions!$E$12+(Assumptions!$E$11-Assumptions!$E$12)*(D4-1)/(Assumptions!$B$21-1)</f>
        <v>-0.07615555555555556</v>
      </c>
      <c r="E5" s="63">
        <f>Assumptions!$E$12+(Assumptions!$E$11-Assumptions!$E$12)*(E4-1)/(Assumptions!$B$21-1)</f>
        <v>-0.06351111111111112</v>
      </c>
      <c r="F5" s="63">
        <f>Assumptions!$E$12+(Assumptions!$E$11-Assumptions!$E$12)*(F4-1)/(Assumptions!$B$21-1)</f>
        <v>-0.050866666666666664</v>
      </c>
      <c r="G5" s="63">
        <f>Assumptions!$E$12+(Assumptions!$E$11-Assumptions!$E$12)*(G4-1)/(Assumptions!$B$21-1)</f>
        <v>-0.03822222222222222</v>
      </c>
      <c r="H5" s="63">
        <f>Assumptions!$E$12+(Assumptions!$E$11-Assumptions!$E$12)*(H4-1)/(Assumptions!$B$21-1)</f>
        <v>-0.02557777777777777</v>
      </c>
      <c r="I5" s="63">
        <f>Assumptions!$E$12+(Assumptions!$E$11-Assumptions!$E$12)*(I4-1)/(Assumptions!$B$21-1)</f>
        <v>-0.012933333333333324</v>
      </c>
      <c r="J5" s="63">
        <f>Assumptions!$E$12+(Assumptions!$E$11-Assumptions!$E$12)*(J4-1)/(Assumptions!$B$21-1)</f>
        <v>-0.0002888888888888802</v>
      </c>
      <c r="K5" s="63">
        <f>Assumptions!$E$12+(Assumptions!$E$11-Assumptions!$E$12)*(K4-1)/(Assumptions!$B$21-1)</f>
        <v>0.012355555555555564</v>
      </c>
      <c r="L5" s="63">
        <f>Assumptions!$E$12+(Assumptions!$E$11-Assumptions!$E$12)*(L4-1)/(Assumptions!$B$21-1)</f>
        <v>0.024999999999999994</v>
      </c>
    </row>
    <row r="6">
      <c r="A6" s="14" t="inlineStr">
        <is>
          <t>Operating margin</t>
        </is>
      </c>
      <c r="B6" s="63">
        <f>IFERROR(B8/B7,0)</f>
        <v>0.18495049917021725</v>
      </c>
      <c r="C6" s="63">
        <f>Assumptions!$B$18+(Assumptions!$E$13-Assumptions!$B$18)*C4/Assumptions!$B$21</f>
        <v>0.09236</v>
      </c>
      <c r="D6" s="63">
        <f>Assumptions!$B$18+(Assumptions!$E$13-Assumptions!$B$18)*D4/Assumptions!$B$21</f>
        <v>0.10432</v>
      </c>
      <c r="E6" s="63">
        <f>Assumptions!$B$18+(Assumptions!$E$13-Assumptions!$B$18)*E4/Assumptions!$B$21</f>
        <v>0.11628</v>
      </c>
      <c r="F6" s="63">
        <f>Assumptions!$B$18+(Assumptions!$E$13-Assumptions!$B$18)*F4/Assumptions!$B$21</f>
        <v>0.12824000000000002</v>
      </c>
      <c r="G6" s="63">
        <f>Assumptions!$B$18+(Assumptions!$E$13-Assumptions!$B$18)*G4/Assumptions!$B$21</f>
        <v>0.1402</v>
      </c>
      <c r="H6" s="63">
        <f>Assumptions!$B$18+(Assumptions!$E$13-Assumptions!$B$18)*H4/Assumptions!$B$21</f>
        <v>0.15216000000000002</v>
      </c>
      <c r="I6" s="63">
        <f>Assumptions!$B$18+(Assumptions!$E$13-Assumptions!$B$18)*I4/Assumptions!$B$21</f>
        <v>0.16412</v>
      </c>
      <c r="J6" s="63">
        <f>Assumptions!$B$18+(Assumptions!$E$13-Assumptions!$B$18)*J4/Assumptions!$B$21</f>
        <v>0.17608000000000001</v>
      </c>
      <c r="K6" s="63">
        <f>Assumptions!$B$18+(Assumptions!$E$13-Assumptions!$B$18)*K4/Assumptions!$B$21</f>
        <v>0.18803999999999998</v>
      </c>
      <c r="L6" s="63">
        <f>Assumptions!$B$18+(Assumptions!$E$13-Assumptions!$B$18)*L4/Assumptions!$B$21</f>
        <v>0.2</v>
      </c>
    </row>
    <row r="7">
      <c r="A7" s="14" t="inlineStr">
        <is>
          <t>Revenue</t>
        </is>
      </c>
      <c r="B7" s="55">
        <f>'Yearly Model'!F2</f>
        <v>192.219</v>
      </c>
      <c r="C7" s="55">
        <f>'Yearly Model'!G2</f>
        <v>175.1499528</v>
      </c>
      <c r="D7" s="55">
        <f>'Yearly Model'!H2</f>
        <v>161.81131083898666</v>
      </c>
      <c r="E7" s="55">
        <f>'Yearly Model'!I2</f>
        <v>151.53449469725723</v>
      </c>
      <c r="F7" s="55">
        <f>'Yearly Model'!J2</f>
        <v>143.82644006699007</v>
      </c>
      <c r="G7" s="55">
        <f>'Yearly Model'!K2</f>
        <v>138.32907391331844</v>
      </c>
      <c r="H7" s="55">
        <f>'Yearly Model'!L2</f>
        <v>134.7909236005578</v>
      </c>
      <c r="I7" s="55">
        <f>'Yearly Model'!M2</f>
        <v>133.0476276553239</v>
      </c>
      <c r="J7" s="55">
        <f>'Yearly Model'!N2</f>
        <v>133.00919167400124</v>
      </c>
      <c r="K7" s="55">
        <f>'Yearly Model'!O2</f>
        <v>134.65259413112892</v>
      </c>
      <c r="L7" s="55">
        <f>'Yearly Model'!P2</f>
        <v>138.01890898440712</v>
      </c>
    </row>
    <row r="8">
      <c r="A8" s="14" t="inlineStr">
        <is>
          <t>Operating income</t>
        </is>
      </c>
      <c r="B8" s="55">
        <f>'Yearly Model'!F8</f>
        <v>35.55099999999999</v>
      </c>
      <c r="C8" s="55">
        <f>'Yearly Model'!G8</f>
        <v>16.176849640607998</v>
      </c>
      <c r="D8" s="55">
        <f>'Yearly Model'!H8</f>
        <v>16.88015594672308</v>
      </c>
      <c r="E8" s="55">
        <f>'Yearly Model'!I8</f>
        <v>17.620431043397076</v>
      </c>
      <c r="F8" s="55">
        <f>'Yearly Model'!J8</f>
        <v>18.44430267419081</v>
      </c>
      <c r="G8" s="55">
        <f>'Yearly Model'!K8</f>
        <v>19.393736162647244</v>
      </c>
      <c r="H8" s="55">
        <f>'Yearly Model'!L8</f>
        <v>20.509786935060873</v>
      </c>
      <c r="I8" s="55">
        <f>'Yearly Model'!M8</f>
        <v>21.835776650791757</v>
      </c>
      <c r="J8" s="55">
        <f>'Yearly Model'!N8</f>
        <v>23.420258469958142</v>
      </c>
      <c r="K8" s="55">
        <f>'Yearly Model'!O8</f>
        <v>25.320073800417475</v>
      </c>
      <c r="L8" s="55">
        <f>'Yearly Model'!P8</f>
        <v>27.60378179688142</v>
      </c>
    </row>
    <row r="9">
      <c r="A9" s="14" t="inlineStr">
        <is>
          <t>Tax on operating income</t>
        </is>
      </c>
      <c r="C9" s="52">
        <f>MAX(0,C8)*Assumptions!$E$14</f>
        <v>2.75006443890336</v>
      </c>
      <c r="D9" s="52">
        <f>MAX(0,D8)*Assumptions!$E$14</f>
        <v>2.8696265109429238</v>
      </c>
      <c r="E9" s="52">
        <f>MAX(0,E8)*Assumptions!$E$14</f>
        <v>2.9954732773775032</v>
      </c>
      <c r="F9" s="52">
        <f>MAX(0,F8)*Assumptions!$E$14</f>
        <v>3.1355314546124378</v>
      </c>
      <c r="G9" s="52">
        <f>MAX(0,G8)*Assumptions!$E$14</f>
        <v>3.2969351476500317</v>
      </c>
      <c r="H9" s="52">
        <f>MAX(0,H8)*Assumptions!$E$14</f>
        <v>3.4866637789603487</v>
      </c>
      <c r="I9" s="52">
        <f>MAX(0,I8)*Assumptions!$E$14</f>
        <v>3.712082030634599</v>
      </c>
      <c r="J9" s="52">
        <f>MAX(0,J8)*Assumptions!$E$14</f>
        <v>3.9814439398928845</v>
      </c>
      <c r="K9" s="52">
        <f>MAX(0,K8)*Assumptions!$E$14</f>
        <v>4.304412546070971</v>
      </c>
      <c r="L9" s="52">
        <f>MAX(0,L8)*Assumptions!$E$14</f>
        <v>4.6926429054698415</v>
      </c>
    </row>
    <row r="10">
      <c r="A10" s="14" t="inlineStr">
        <is>
          <t>NOPAT</t>
        </is>
      </c>
      <c r="C10" s="52">
        <f>C8-C9</f>
        <v>13.426785201704638</v>
      </c>
      <c r="D10" s="52">
        <f>D8-D9</f>
        <v>14.010529435780155</v>
      </c>
      <c r="E10" s="52">
        <f>E8-E9</f>
        <v>14.624957766019573</v>
      </c>
      <c r="F10" s="52">
        <f>F8-F9</f>
        <v>15.308771219578372</v>
      </c>
      <c r="G10" s="52">
        <f>G8-G9</f>
        <v>16.09680101499721</v>
      </c>
      <c r="H10" s="52">
        <f>H8-H9</f>
        <v>17.023123156100525</v>
      </c>
      <c r="I10" s="52">
        <f>I8-I9</f>
        <v>18.12369462015716</v>
      </c>
      <c r="J10" s="52">
        <f>J8-J9</f>
        <v>19.438814530065258</v>
      </c>
      <c r="K10" s="52">
        <f>K8-K9</f>
        <v>21.015661254346504</v>
      </c>
      <c r="L10" s="52">
        <f>L8-L9</f>
        <v>22.91113889141158</v>
      </c>
    </row>
    <row r="11">
      <c r="A11" s="14" t="inlineStr">
        <is>
          <t>Reinvestment</t>
        </is>
      </c>
      <c r="C11" s="52">
        <f>(C7-B7)*Assumptions!$E$15</f>
        <v>-4.2672618</v>
      </c>
      <c r="D11" s="52">
        <f>(D7-C7)*Assumptions!$E$15</f>
        <v>-3.3346604902533343</v>
      </c>
      <c r="E11" s="52">
        <f>(E7-D7)*Assumptions!$E$15</f>
        <v>-2.5692040354323566</v>
      </c>
      <c r="F11" s="52">
        <f>(F7-E7)*Assumptions!$E$15</f>
        <v>-1.927013657566789</v>
      </c>
      <c r="G11" s="52">
        <f>(G7-F7)*Assumptions!$E$15</f>
        <v>-1.3743415384179087</v>
      </c>
      <c r="H11" s="52">
        <f>(H7-G7)*Assumptions!$E$15</f>
        <v>-0.8845375781901623</v>
      </c>
      <c r="I11" s="52">
        <f>(I7-H7)*Assumptions!$E$15</f>
        <v>-0.4358239863084705</v>
      </c>
      <c r="J11" s="52">
        <f>(J7-I7)*Assumptions!$E$15</f>
        <v>-0.009608995330665948</v>
      </c>
      <c r="K11" s="52">
        <f>(K7-J7)*Assumptions!$E$15</f>
        <v>0.4108506142819195</v>
      </c>
      <c r="L11" s="52">
        <f>(L7-K7)*Assumptions!$E$15</f>
        <v>0.8415787133195494</v>
      </c>
    </row>
    <row r="12">
      <c r="A12" s="20" t="inlineStr">
        <is>
          <t>Free cash flow</t>
        </is>
      </c>
      <c r="C12" s="64">
        <f>C10-C11</f>
        <v>17.69404700170464</v>
      </c>
      <c r="D12" s="64">
        <f>D10-D11</f>
        <v>17.34518992603349</v>
      </c>
      <c r="E12" s="64">
        <f>E10-E11</f>
        <v>17.19416180145193</v>
      </c>
      <c r="F12" s="64">
        <f>F10-F11</f>
        <v>17.23578487714516</v>
      </c>
      <c r="G12" s="64">
        <f>G10-G11</f>
        <v>17.47114255341512</v>
      </c>
      <c r="H12" s="64">
        <f>H10-H11</f>
        <v>17.907660734290687</v>
      </c>
      <c r="I12" s="64">
        <f>I10-I11</f>
        <v>18.55951860646563</v>
      </c>
      <c r="J12" s="64">
        <f>J10-J11</f>
        <v>19.448423525395924</v>
      </c>
      <c r="K12" s="64">
        <f>K10-K11</f>
        <v>20.604810640064585</v>
      </c>
      <c r="L12" s="64">
        <f>L10-L11</f>
        <v>22.06956017809203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0.9707491226687451</v>
      </c>
      <c r="D15" s="65">
        <f>1/(1+Assumptions!$E$10)^D14</f>
        <v>0.8884597387878145</v>
      </c>
      <c r="E15" s="65">
        <f>1/(1+Assumptions!$E$10)^E14</f>
        <v>0.7897419900336128</v>
      </c>
      <c r="F15" s="65">
        <f>1/(1+Assumptions!$E$10)^F14</f>
        <v>0.7019928800298781</v>
      </c>
      <c r="G15" s="65">
        <f>1/(1+Assumptions!$E$10)^G14</f>
        <v>0.6239936711376695</v>
      </c>
      <c r="H15" s="65">
        <f>1/(1+Assumptions!$E$10)^H14</f>
        <v>0.5546610410112617</v>
      </c>
      <c r="I15" s="65">
        <f>1/(1+Assumptions!$E$10)^I14</f>
        <v>0.4930320364544548</v>
      </c>
      <c r="J15" s="65">
        <f>1/(1+Assumptions!$E$10)^J14</f>
        <v>0.4382506990706266</v>
      </c>
      <c r="K15" s="65">
        <f>1/(1+Assumptions!$E$10)^K14</f>
        <v>0.389556176951668</v>
      </c>
      <c r="L15" s="65">
        <f>1/(1+Assumptions!$E$10)^L14</f>
        <v>0.34627215729037153</v>
      </c>
    </row>
    <row r="16">
      <c r="A16" s="20" t="inlineStr">
        <is>
          <t>PV of free cash flow</t>
        </is>
      </c>
      <c r="C16" s="64">
        <f>C12*C13*C15</f>
        <v>8.658663872155953</v>
      </c>
      <c r="D16" s="64">
        <f>D12*D13*D15</f>
        <v>15.410502910908747</v>
      </c>
      <c r="E16" s="64">
        <f>E12*E13*E15</f>
        <v>13.578951558038575</v>
      </c>
      <c r="F16" s="64">
        <f>F12*F13*F15</f>
        <v>12.09939826548255</v>
      </c>
      <c r="G16" s="64">
        <f>G12*G13*G15</f>
        <v>10.901882380875056</v>
      </c>
      <c r="H16" s="64">
        <f>H12*H13*H15</f>
        <v>9.932681744958167</v>
      </c>
      <c r="I16" s="64">
        <f>I12*I13*I15</f>
        <v>9.150437254160096</v>
      </c>
      <c r="J16" s="64">
        <f>J12*J13*J15</f>
        <v>8.523285205826383</v>
      </c>
      <c r="K16" s="64">
        <f>K12*K13*K15</f>
        <v>8.02673125975661</v>
      </c>
      <c r="L16" s="64">
        <f>L12*L13*L15</f>
        <v>7.642074213317603</v>
      </c>
    </row>
    <row r="19">
      <c r="A19" s="14" t="inlineStr">
        <is>
          <t>PV of forecast free cash flow</t>
        </is>
      </c>
      <c r="B19" s="52">
        <f>SUM(C16:L16)</f>
        <v>103.92460866547974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22.62129918254432</v>
      </c>
    </row>
    <row r="21">
      <c r="A21" s="14" t="inlineStr">
        <is>
          <t>Terminal value</t>
        </is>
      </c>
      <c r="B21" s="52">
        <f>B20/(Assumptions!$E$10-Assumptions!$E$11)</f>
        <v>226.2129918254432</v>
      </c>
    </row>
    <row r="22">
      <c r="A22" s="14" t="inlineStr">
        <is>
          <t>PV of terminal value</t>
        </is>
      </c>
      <c r="B22" s="52">
        <f>B21/(1+Assumptions!$E$10)^(L14+0.5)</f>
        <v>73.8514208137589</v>
      </c>
    </row>
    <row r="23">
      <c r="A23" s="20" t="inlineStr">
        <is>
          <t>Enterprise value</t>
        </is>
      </c>
      <c r="B23" s="66">
        <f>B19+B22</f>
        <v>177.77602947923864</v>
      </c>
    </row>
    <row r="24">
      <c r="A24" s="14" t="inlineStr">
        <is>
          <t>Cash &amp; investments</t>
        </is>
      </c>
      <c r="B24" s="55">
        <f>Main!C7</f>
        <v>11.168</v>
      </c>
    </row>
    <row r="25">
      <c r="A25" s="14" t="inlineStr">
        <is>
          <t>Debt</t>
        </is>
      </c>
      <c r="B25" s="55">
        <f>Main!C8</f>
        <v>121.502</v>
      </c>
    </row>
    <row r="26">
      <c r="A26" s="20" t="inlineStr">
        <is>
          <t>Equity value</t>
        </is>
      </c>
      <c r="B26" s="66">
        <f>B23+B24-B25</f>
        <v>67.44202947923866</v>
      </c>
    </row>
    <row r="27">
      <c r="A27" s="14" t="inlineStr">
        <is>
          <t>Shares (mm)</t>
        </is>
      </c>
      <c r="B27" s="55">
        <f>Main!C4</f>
        <v>35.927468</v>
      </c>
    </row>
    <row r="28">
      <c r="A28" s="20" t="inlineStr">
        <is>
          <t>NPV / share</t>
        </is>
      </c>
      <c r="B28" s="49">
        <f>B26/B27</f>
        <v>1.8771717917677544</v>
      </c>
    </row>
    <row r="29">
      <c r="A29" s="14" t="inlineStr">
        <is>
          <t>Price</t>
        </is>
      </c>
      <c r="B29" s="50">
        <f>Main!C3</f>
        <v>1.07</v>
      </c>
    </row>
    <row r="30">
      <c r="A30" s="14" t="inlineStr">
        <is>
          <t>Upside</t>
        </is>
      </c>
      <c r="B30" s="63">
        <f>B28/B29-1</f>
        <v>0.7543661605306116</v>
      </c>
    </row>
    <row r="31">
      <c r="A31" s="14" t="inlineStr">
        <is>
          <t>Terminal value, % of EV</t>
        </is>
      </c>
      <c r="B31" s="63">
        <f>IFERROR(B22/B23,0)</f>
        <v>0.41541832737570256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2026-10-21T06:29:40Z</dcterms:modified>
  <cp:lastModifiedBy>Wang, Eric</cp:lastModifiedBy>
</cp:coreProperties>
</file>