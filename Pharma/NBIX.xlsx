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Neurocrine Biosciences, Inc.</t>
        </is>
      </c>
      <c r="C2" s="10" t="n"/>
    </row>
    <row r="3">
      <c r="B3" t="inlineStr">
        <is>
          <t>Price</t>
        </is>
      </c>
      <c r="C3" s="11">
        <f>INDEX([1]Pharma!$F$1:$F$1000,MATCH("NBIX",[1]Pharma!$B$1:$B$1000,0))</f>
        <v>142</v>
      </c>
      <c r="F3" s="1" t="n"/>
    </row>
    <row r="4">
      <c r="B4" t="inlineStr">
        <is>
          <t>Shares</t>
        </is>
      </c>
      <c r="C4" s="57" t="n">
        <v>101.649181</v>
      </c>
      <c r="F4" s="1" t="n"/>
    </row>
    <row r="5">
      <c r="B5" t="inlineStr">
        <is>
          <t>Market Cap.</t>
        </is>
      </c>
      <c r="C5" s="13">
        <f>C3*C4</f>
        <v>14434.183702</v>
      </c>
      <c r="F5" s="1" t="n"/>
    </row>
    <row r="6"/>
    <row r="7">
      <c r="B7" t="inlineStr">
        <is>
          <t>Cash</t>
        </is>
      </c>
      <c r="C7" s="57">
        <f>332.4+57.4</f>
        <v>389.79999999999995</v>
      </c>
    </row>
    <row r="8">
      <c r="B8" t="inlineStr">
        <is>
          <t>Debt</t>
        </is>
      </c>
      <c r="C8" s="57" t="n">
        <v>0</v>
      </c>
    </row>
    <row r="9">
      <c r="B9" t="inlineStr">
        <is>
          <t>Enterprise V.</t>
        </is>
      </c>
      <c r="C9" s="13">
        <f>C5-C7+C8</f>
        <v>14044.383702000001</v>
      </c>
    </row>
    <row r="10"/>
    <row r="11">
      <c r="B11" s="14" t="inlineStr">
        <is>
          <t>NPV / Share</t>
        </is>
      </c>
      <c r="C11" s="11">
        <f>NPV!B28</f>
        <v>166.5269222105302</v>
      </c>
    </row>
    <row r="12">
      <c r="B12" s="14" t="inlineStr">
        <is>
          <t>Upside</t>
        </is>
      </c>
      <c r="C12" s="15">
        <f>IFERROR(C11/C3-1,"")</f>
        <v>0.17272480429950843</v>
      </c>
    </row>
    <row r="13">
      <c r="B13" s="14" t="inlineStr">
        <is>
          <t>Cash / Share</t>
        </is>
      </c>
      <c r="C13" s="11">
        <f>IFERROR((C7-C8)/C4,"")</f>
        <v>3.83475790129583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2.953</v>
      </c>
      <c r="C2" s="58" t="n">
        <v>33.501</v>
      </c>
      <c r="D2" s="58" t="n">
        <v>77.413</v>
      </c>
      <c r="E2" s="58" t="n">
        <v>53.14</v>
      </c>
      <c r="F2" s="58" t="n">
        <v>2.919</v>
      </c>
      <c r="G2" s="58" t="n">
        <v>0</v>
      </c>
      <c r="H2" s="58" t="n">
        <v>19.769</v>
      </c>
      <c r="I2" s="58" t="n">
        <v>15</v>
      </c>
      <c r="J2" s="58" t="n">
        <v>161.626</v>
      </c>
      <c r="K2" s="58" t="n">
        <v>451.2</v>
      </c>
      <c r="L2" s="58" t="n">
        <v>788.1</v>
      </c>
      <c r="M2" s="58" t="n">
        <v>1045.9</v>
      </c>
      <c r="N2" s="58" t="n">
        <v>1133.5</v>
      </c>
      <c r="O2" s="58" t="n">
        <v>1488.7</v>
      </c>
      <c r="P2" s="58" t="n">
        <v>1887.1</v>
      </c>
      <c r="Q2" s="58" t="n">
        <v>2355.3</v>
      </c>
      <c r="R2" s="58" t="n">
        <v>2860.5</v>
      </c>
      <c r="S2" s="58">
        <f>R2*(1+NPV!C5)</f>
        <v>3861.675</v>
      </c>
      <c r="T2" s="58">
        <f>S2*(1+NPV!D5)</f>
        <v>4440.9262499999995</v>
      </c>
      <c r="U2" s="58">
        <f>T2*(1+NPV!E5)</f>
        <v>4796.20035</v>
      </c>
      <c r="V2" s="58">
        <f>U2*(1+NPV!F5)</f>
        <v>4892.124357000001</v>
      </c>
      <c r="W2" s="58">
        <f>V2*(1+NPV!G5)</f>
        <v>5038.888087710001</v>
      </c>
      <c r="X2" s="58">
        <f>W2*(1+NPV!H5)</f>
        <v>5240.443611218401</v>
      </c>
      <c r="Y2" s="58">
        <f>X2*(1+NPV!I5)</f>
        <v>5450.061355667138</v>
      </c>
      <c r="Z2" s="58">
        <f>Y2*(1+NPV!J5)</f>
        <v>5613.5631963371525</v>
      </c>
      <c r="AA2" s="58">
        <f>Z2*(1+NPV!K5)</f>
        <v>5781.970092227267</v>
      </c>
      <c r="AB2" s="58">
        <f>AA2*(1+NPV!L5)</f>
        <v>5926.519344532948</v>
      </c>
    </row>
    <row r="3" customFormat="1" s="1">
      <c r="A3" s="5" t="inlineStr">
        <is>
          <t>Cost of Sales</t>
        </is>
      </c>
      <c r="B3" s="58" t="n">
        <v>0</v>
      </c>
      <c r="C3" s="58" t="n">
        <v>0</v>
      </c>
      <c r="D3" s="58" t="n">
        <v>0</v>
      </c>
      <c r="E3" s="58" t="n">
        <v>0</v>
      </c>
      <c r="F3" s="58" t="n">
        <v>0</v>
      </c>
      <c r="G3" s="58" t="n">
        <v>0</v>
      </c>
      <c r="H3" s="58" t="n">
        <v>0</v>
      </c>
      <c r="I3" s="58" t="n">
        <v>0</v>
      </c>
      <c r="J3" s="58" t="n">
        <v>1.254</v>
      </c>
      <c r="K3" s="58" t="n">
        <v>4.889</v>
      </c>
      <c r="L3" s="58" t="n">
        <v>0</v>
      </c>
      <c r="M3" s="58" t="n">
        <v>10.1</v>
      </c>
      <c r="N3" s="58" t="n">
        <v>14.3</v>
      </c>
      <c r="O3" s="58" t="n">
        <v>23.2</v>
      </c>
      <c r="P3" s="58" t="n">
        <v>39.7</v>
      </c>
      <c r="Q3" s="58" t="n">
        <v>34</v>
      </c>
      <c r="R3" s="58" t="n">
        <v>52.1</v>
      </c>
      <c r="S3" s="58">
        <f>S2*(1-Assumptions!$B$19)</f>
        <v>70.28248499999998</v>
      </c>
      <c r="T3" s="58">
        <f>T2*(1-Assumptions!$B$19)</f>
        <v>80.82485774999996</v>
      </c>
      <c r="U3" s="58">
        <f>U2*(1-Assumptions!$B$19)</f>
        <v>87.29084636999997</v>
      </c>
      <c r="V3" s="58">
        <f>V2*(1-Assumptions!$B$19)</f>
        <v>89.03666329739998</v>
      </c>
      <c r="W3" s="58">
        <f>W2*(1-Assumptions!$B$19)</f>
        <v>91.70776319632199</v>
      </c>
      <c r="X3" s="58">
        <f>X2*(1-Assumptions!$B$19)</f>
        <v>95.37607372417487</v>
      </c>
      <c r="Y3" s="58">
        <f>Y2*(1-Assumptions!$B$19)</f>
        <v>99.19111667314188</v>
      </c>
      <c r="Z3" s="58">
        <f>Z2*(1-Assumptions!$B$19)</f>
        <v>102.16685017333614</v>
      </c>
      <c r="AA3" s="58">
        <f>AA2*(1-Assumptions!$B$19)</f>
        <v>105.23185567853622</v>
      </c>
      <c r="AB3" s="58">
        <f>AB2*(1-Assumptions!$B$19)</f>
        <v>107.86265207049962</v>
      </c>
    </row>
    <row r="4" customFormat="1" s="1">
      <c r="A4" s="5" t="inlineStr">
        <is>
          <t>Gross Margin</t>
        </is>
      </c>
      <c r="B4" s="58">
        <f>B2-B3</f>
        <v>2.953</v>
      </c>
      <c r="C4" s="58">
        <f>C2-C3</f>
        <v>33.501</v>
      </c>
      <c r="D4" s="58">
        <f>D2-D3</f>
        <v>77.413</v>
      </c>
      <c r="E4" s="58">
        <f>E2-E3</f>
        <v>53.14</v>
      </c>
      <c r="F4" s="58">
        <f>F2-F3</f>
        <v>2.919</v>
      </c>
      <c r="G4" s="58">
        <f>G2-G3</f>
        <v>0.0</v>
      </c>
      <c r="H4" s="58">
        <f>H2-H3</f>
        <v>19.769</v>
      </c>
      <c r="I4" s="58">
        <f>I2-I3</f>
        <v>15.0</v>
      </c>
      <c r="J4" s="58">
        <f>J2-J3</f>
        <v>160.372</v>
      </c>
      <c r="K4" s="58">
        <f>K2-K3</f>
        <v>446.311</v>
      </c>
      <c r="L4" s="58">
        <f>L2-L3</f>
        <v>788.1</v>
      </c>
      <c r="M4" s="58">
        <f>M2-M3</f>
        <v>1035.8000000000002</v>
      </c>
      <c r="N4" s="58">
        <f>N2-N3</f>
        <v>1119.2</v>
      </c>
      <c r="O4" s="58">
        <f>O2-O3</f>
        <v>1465.5</v>
      </c>
      <c r="P4" s="58">
        <f>P2-P3</f>
        <v>1847.3999999999999</v>
      </c>
      <c r="Q4" s="58">
        <f>Q2-Q3</f>
        <v>2321.3</v>
      </c>
      <c r="R4" s="58">
        <f>R2-R3</f>
        <v>2808.4</v>
      </c>
      <c r="S4" s="58">
        <f>S2-S3</f>
        <v>3791.392515</v>
      </c>
      <c r="T4" s="58">
        <f>T2-T3</f>
        <v>4360.10139225</v>
      </c>
      <c r="U4" s="58">
        <f>U2-U3</f>
        <v>4708.9095036300005</v>
      </c>
      <c r="V4" s="58">
        <f>V2-V3</f>
        <v>4803.0876937026005</v>
      </c>
      <c r="W4" s="58">
        <f>W2-W3</f>
        <v>4947.180324513679</v>
      </c>
      <c r="X4" s="58">
        <f>X2-X3</f>
        <v>5145.067537494227</v>
      </c>
      <c r="Y4" s="58">
        <f>Y2-Y3</f>
        <v>5350.870238993996</v>
      </c>
      <c r="Z4" s="58">
        <f>Z2-Z3</f>
        <v>5511.396346163816</v>
      </c>
      <c r="AA4" s="58">
        <f>AA2-AA3</f>
        <v>5676.738236548731</v>
      </c>
      <c r="AB4" s="58">
        <f>AB2-AB3</f>
        <v>5818.6566924624485</v>
      </c>
    </row>
    <row r="5">
      <c r="A5" s="2" t="inlineStr">
        <is>
          <t>Research &amp; Dev.</t>
        </is>
      </c>
      <c r="B5" s="58" t="n">
        <v>33.722</v>
      </c>
      <c r="C5" s="58" t="n">
        <v>31.151</v>
      </c>
      <c r="D5" s="58" t="n">
        <v>30.951</v>
      </c>
      <c r="E5" s="58" t="n">
        <v>37.163</v>
      </c>
      <c r="F5" s="58" t="n">
        <v>39.248</v>
      </c>
      <c r="G5" s="58" t="n">
        <v>46.425</v>
      </c>
      <c r="H5" s="58" t="n">
        <v>81.491</v>
      </c>
      <c r="I5" s="58" t="n">
        <v>94.291</v>
      </c>
      <c r="J5" s="58" t="n">
        <v>121.827</v>
      </c>
      <c r="K5" s="58" t="n">
        <v>160.524</v>
      </c>
      <c r="L5" s="58" t="n">
        <v>0</v>
      </c>
      <c r="M5" s="58" t="n">
        <v>275</v>
      </c>
      <c r="N5" s="58" t="n">
        <v>328.1</v>
      </c>
      <c r="O5" s="58" t="n">
        <v>463.8</v>
      </c>
      <c r="P5" s="58" t="n">
        <v>565</v>
      </c>
      <c r="Q5" s="58" t="n">
        <v>731.1</v>
      </c>
      <c r="R5" s="58" t="n">
        <v>1015.7</v>
      </c>
      <c r="S5" s="58">
        <f>S7*Assumptions!$B$20</f>
        <v>1314.5520916485</v>
      </c>
      <c r="T5" s="58">
        <f>T7*Assumptions!$B$20</f>
        <v>1495.2537398967747</v>
      </c>
      <c r="U5" s="58">
        <f>U7*Assumptions!$B$20</f>
        <v>1597.074380349597</v>
      </c>
      <c r="V5" s="58">
        <f>V7*Assumptions!$B$20</f>
        <v>1610.8602160428907</v>
      </c>
      <c r="W5" s="58">
        <f>W7*Assumptions!$B$20</f>
        <v>1640.485701053068</v>
      </c>
      <c r="X5" s="58">
        <f>X7*Assumptions!$B$20</f>
        <v>1686.6567947652375</v>
      </c>
      <c r="Y5" s="58">
        <f>Y7*Assumptions!$B$20</f>
        <v>1733.8967988526952</v>
      </c>
      <c r="Z5" s="58">
        <f>Z7*Assumptions!$B$20</f>
        <v>1765.0806470840294</v>
      </c>
      <c r="AA5" s="58">
        <f>AA7*Assumptions!$B$20</f>
        <v>1796.5750190902766</v>
      </c>
      <c r="AB5" s="58">
        <f>AB7*Assumptions!$B$20</f>
        <v>1819.4948959761027</v>
      </c>
    </row>
    <row r="6">
      <c r="A6" s="18" t="inlineStr">
        <is>
          <t>SG&amp;A &amp; Other</t>
        </is>
      </c>
      <c r="B6" s="58" t="n">
        <v>22.901</v>
      </c>
      <c r="C6" s="58" t="n">
        <v>16.072</v>
      </c>
      <c r="D6" s="58" t="n">
        <v>12.54</v>
      </c>
      <c r="E6" s="58" t="n">
        <v>14.529</v>
      </c>
      <c r="F6" s="58" t="n">
        <v>13.349</v>
      </c>
      <c r="G6" s="58" t="n">
        <v>17.986</v>
      </c>
      <c r="H6" s="58" t="n">
        <v>32.48</v>
      </c>
      <c r="I6" s="58" t="n">
        <v>68.081</v>
      </c>
      <c r="J6" s="58" t="n">
        <v>169.906</v>
      </c>
      <c r="K6" s="58" t="n">
        <v>248.987</v>
      </c>
      <c r="L6" s="58" t="n">
        <v>715.8</v>
      </c>
      <c r="M6" s="58" t="n">
        <v>597.8</v>
      </c>
      <c r="N6" s="58" t="n">
        <v>688.6</v>
      </c>
      <c r="O6" s="58" t="n">
        <v>752.7</v>
      </c>
      <c r="P6" s="58" t="n">
        <v>1031.5</v>
      </c>
      <c r="Q6" s="58" t="n">
        <v>1019.7</v>
      </c>
      <c r="R6" s="58" t="n">
        <v>1173.6</v>
      </c>
      <c r="S6" s="58">
        <f>S7-S5</f>
        <v>1519.1450233515</v>
      </c>
      <c r="T6" s="58">
        <f>T7-T5</f>
        <v>1727.9705323532248</v>
      </c>
      <c r="U6" s="58">
        <f>U7-U5</f>
        <v>1845.6382308804032</v>
      </c>
      <c r="V6" s="58">
        <f>V7-V5</f>
        <v>1861.5696525557098</v>
      </c>
      <c r="W6" s="58">
        <f>W7-W5</f>
        <v>1895.8059589018105</v>
      </c>
      <c r="X6" s="58">
        <f>X7-X5</f>
        <v>1949.1629826980898</v>
      </c>
      <c r="Y6" s="58">
        <f>Y7-Y5</f>
        <v>2003.7552788638282</v>
      </c>
      <c r="Z6" s="58">
        <f>Z7-Z5</f>
        <v>2039.792487393292</v>
      </c>
      <c r="AA6" s="58">
        <f>AA7-AA5</f>
        <v>2076.188548683547</v>
      </c>
      <c r="AB6" s="58">
        <f>AB7-AB5</f>
        <v>2102.675606235802</v>
      </c>
    </row>
    <row r="7">
      <c r="A7" s="2" t="inlineStr">
        <is>
          <t>Operating Expense</t>
        </is>
      </c>
      <c r="B7" s="58">
        <f>SUM(B5:B6)</f>
        <v>56.623000000000005</v>
      </c>
      <c r="C7" s="58">
        <f>SUM(C5:C6)</f>
        <v>47.223</v>
      </c>
      <c r="D7" s="58">
        <f>SUM(D5:D6)</f>
        <v>43.491</v>
      </c>
      <c r="E7" s="58">
        <f>SUM(E5:E6)</f>
        <v>51.69199999999999</v>
      </c>
      <c r="F7" s="58">
        <f>SUM(F5:F6)</f>
        <v>52.596999999999994</v>
      </c>
      <c r="G7" s="58">
        <f>SUM(G5:G6)</f>
        <v>64.411</v>
      </c>
      <c r="H7" s="58">
        <f>SUM(H5:H6)</f>
        <v>113.971</v>
      </c>
      <c r="I7" s="58">
        <f>SUM(I5:I6)</f>
        <v>162.372</v>
      </c>
      <c r="J7" s="58">
        <f>SUM(J5:J6)</f>
        <v>291.733</v>
      </c>
      <c r="K7" s="58">
        <f>SUM(K5:K6)</f>
        <v>409.51099999999997</v>
      </c>
      <c r="L7" s="58">
        <f>SUM(L5:L6)</f>
        <v>715.8</v>
      </c>
      <c r="M7" s="58">
        <f>SUM(M5:M6)</f>
        <v>872.8</v>
      </c>
      <c r="N7" s="58">
        <f>SUM(N5:N6)</f>
        <v>1016.7</v>
      </c>
      <c r="O7" s="58">
        <f>SUM(O5:O6)</f>
        <v>1216.5</v>
      </c>
      <c r="P7" s="58">
        <f>SUM(P5:P6)</f>
        <v>1596.5</v>
      </c>
      <c r="Q7" s="58">
        <f>SUM(Q5:Q6)</f>
        <v>1750.8000000000002</v>
      </c>
      <c r="R7" s="58">
        <f>SUM(R5:R6)</f>
        <v>2189.3</v>
      </c>
      <c r="S7" s="58">
        <f>S4-S2*NPV!C6</f>
        <v>2833.697115</v>
      </c>
      <c r="T7" s="58">
        <f>T4-T2*NPV!D6</f>
        <v>3223.2242722499996</v>
      </c>
      <c r="U7" s="58">
        <f>U4-U2*NPV!E6</f>
        <v>3442.71261123</v>
      </c>
      <c r="V7" s="58">
        <f>V4-V2*NPV!F6</f>
        <v>3472.4298685986005</v>
      </c>
      <c r="W7" s="58">
        <f>W4-W2*NPV!G6</f>
        <v>3536.2916599548785</v>
      </c>
      <c r="X7" s="58">
        <f>X4-X2*NPV!H6</f>
        <v>3635.8197774633272</v>
      </c>
      <c r="Y7" s="58">
        <f>Y4-Y2*NPV!I6</f>
        <v>3737.6520777165233</v>
      </c>
      <c r="Z7" s="58">
        <f>Z4-Z2*NPV!J6</f>
        <v>3804.8731344773214</v>
      </c>
      <c r="AA7" s="58">
        <f>AA4-AA2*NPV!K6</f>
        <v>3872.7635677738235</v>
      </c>
      <c r="AB7" s="58">
        <f>AB4-AB2*NPV!L6</f>
        <v>3922.170502211905</v>
      </c>
    </row>
    <row r="8">
      <c r="A8" s="2" t="inlineStr">
        <is>
          <t>Operating Income</t>
        </is>
      </c>
      <c r="B8" s="58">
        <f>B4-B7</f>
        <v>-53.67</v>
      </c>
      <c r="C8" s="58">
        <f>C4-C7</f>
        <v>-13.722000000000001</v>
      </c>
      <c r="D8" s="58">
        <f>D4-D7</f>
        <v>33.922</v>
      </c>
      <c r="E8" s="58">
        <f>E4-E7</f>
        <v>1.4480000000000075</v>
      </c>
      <c r="F8" s="58">
        <f>F4-F7</f>
        <v>-49.678</v>
      </c>
      <c r="G8" s="58">
        <f>G4-G7</f>
        <v>-64.411</v>
      </c>
      <c r="H8" s="58">
        <f>H4-H7</f>
        <v>-94.202</v>
      </c>
      <c r="I8" s="58">
        <f>I4-I7</f>
        <v>-147.372</v>
      </c>
      <c r="J8" s="58">
        <f>J4-J7</f>
        <v>-131.361</v>
      </c>
      <c r="K8" s="58">
        <f>K4-K7</f>
        <v>36.80000000000001</v>
      </c>
      <c r="L8" s="58">
        <f>L4-L7</f>
        <v>72.30000000000007</v>
      </c>
      <c r="M8" s="58">
        <f>M4-M7</f>
        <v>163.00000000000023</v>
      </c>
      <c r="N8" s="58">
        <f>N4-N7</f>
        <v>102.5</v>
      </c>
      <c r="O8" s="58">
        <f>O4-O7</f>
        <v>249.0</v>
      </c>
      <c r="P8" s="58">
        <f>P4-P7</f>
        <v>250.89999999999986</v>
      </c>
      <c r="Q8" s="58">
        <f>Q4-Q7</f>
        <v>570.5</v>
      </c>
      <c r="R8" s="58">
        <f>R4-R7</f>
        <v>619.0999999999999</v>
      </c>
      <c r="S8" s="58">
        <f>S4-S7</f>
        <v>957.6954000000001</v>
      </c>
      <c r="T8" s="58">
        <f>T4-T7</f>
        <v>1136.87712</v>
      </c>
      <c r="U8" s="58">
        <f>U4-U7</f>
        <v>1266.1968924000003</v>
      </c>
      <c r="V8" s="58">
        <f>V4-V7</f>
        <v>1330.657825104</v>
      </c>
      <c r="W8" s="58">
        <f>W4-W7</f>
        <v>1410.8886645588004</v>
      </c>
      <c r="X8" s="58">
        <f>X4-X7</f>
        <v>1509.2477600308994</v>
      </c>
      <c r="Y8" s="58">
        <f>Y4-Y7</f>
        <v>1613.218161277473</v>
      </c>
      <c r="Z8" s="58">
        <f>Z4-Z7</f>
        <v>1706.5232116864945</v>
      </c>
      <c r="AA8" s="58">
        <f>AA4-AA7</f>
        <v>1803.9746687749075</v>
      </c>
      <c r="AB8" s="58">
        <f>AB4-AB7</f>
        <v>1896.4861902505436</v>
      </c>
    </row>
    <row r="9">
      <c r="A9" s="18" t="inlineStr">
        <is>
          <t>Interest &amp; Other</t>
        </is>
      </c>
      <c r="B9" s="58" t="n">
        <v>2.632</v>
      </c>
      <c r="C9" s="58" t="n">
        <v>5.754</v>
      </c>
      <c r="D9" s="58" t="n">
        <v>3.649</v>
      </c>
      <c r="E9" s="58" t="n">
        <v>3.577</v>
      </c>
      <c r="F9" s="58" t="n">
        <v>3.588</v>
      </c>
      <c r="G9" s="58" t="n">
        <v>3.869</v>
      </c>
      <c r="H9" s="58" t="n">
        <v>5.273</v>
      </c>
      <c r="I9" s="58" t="n">
        <v>6.282</v>
      </c>
      <c r="J9" s="58" t="n">
        <v>-11.181</v>
      </c>
      <c r="K9" s="58" t="n">
        <v>-15</v>
      </c>
      <c r="L9" s="58" t="n">
        <v>-25.8</v>
      </c>
      <c r="M9" s="58" t="n">
        <v>-56.3</v>
      </c>
      <c r="N9" s="58" t="n">
        <v>-1.1</v>
      </c>
      <c r="O9" s="58" t="n">
        <v>-35.1</v>
      </c>
      <c r="P9" s="58" t="n">
        <v>81.2</v>
      </c>
      <c r="Q9" s="58" t="n">
        <v>-84.5</v>
      </c>
      <c r="R9" s="58" t="n">
        <v>86.3</v>
      </c>
      <c r="S9" s="58" t="n">
        <v>0</v>
      </c>
      <c r="T9" s="58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</row>
    <row r="10">
      <c r="A10" s="2" t="inlineStr">
        <is>
          <t>Pretax</t>
        </is>
      </c>
      <c r="B10" s="58">
        <f>B8+B9</f>
        <v>-51.038000000000004</v>
      </c>
      <c r="C10" s="58">
        <f>C8+C9</f>
        <v>-7.968000000000002</v>
      </c>
      <c r="D10" s="58">
        <f>D8+D9</f>
        <v>37.571</v>
      </c>
      <c r="E10" s="58">
        <f>E8+E9</f>
        <v>5.0250000000000075</v>
      </c>
      <c r="F10" s="58">
        <f>F8+F9</f>
        <v>-46.089999999999996</v>
      </c>
      <c r="G10" s="58">
        <f>G8+G9</f>
        <v>-60.542</v>
      </c>
      <c r="H10" s="58">
        <f>H8+H9</f>
        <v>-88.929</v>
      </c>
      <c r="I10" s="58">
        <f>I8+I9</f>
        <v>-141.09</v>
      </c>
      <c r="J10" s="58">
        <f>J8+J9</f>
        <v>-142.542</v>
      </c>
      <c r="K10" s="58">
        <f>K8+K9</f>
        <v>21.80000000000001</v>
      </c>
      <c r="L10" s="58">
        <f>L8+L9</f>
        <v>46.50000000000007</v>
      </c>
      <c r="M10" s="58">
        <f>M8+M9</f>
        <v>106.70000000000023</v>
      </c>
      <c r="N10" s="58">
        <f>N8+N9</f>
        <v>101.4</v>
      </c>
      <c r="O10" s="58">
        <f>O8+O9</f>
        <v>213.9</v>
      </c>
      <c r="P10" s="58">
        <f>P8+P9</f>
        <v>332.09999999999985</v>
      </c>
      <c r="Q10" s="58">
        <f>Q8+Q9</f>
        <v>486.0</v>
      </c>
      <c r="R10" s="58">
        <f>R8+R9</f>
        <v>705.3999999999999</v>
      </c>
      <c r="S10" s="58">
        <f>S8+S9</f>
        <v>957.6954000000001</v>
      </c>
      <c r="T10" s="58">
        <f>T8+T9</f>
        <v>1136.87712</v>
      </c>
      <c r="U10" s="58">
        <f>U8+U9</f>
        <v>1266.1968924000003</v>
      </c>
      <c r="V10" s="58">
        <f>V8+V9</f>
        <v>1330.657825104</v>
      </c>
      <c r="W10" s="58">
        <f>W8+W9</f>
        <v>1410.8886645588004</v>
      </c>
      <c r="X10" s="58">
        <f>X8+X9</f>
        <v>1509.2477600308994</v>
      </c>
      <c r="Y10" s="58">
        <f>Y8+Y9</f>
        <v>1613.218161277473</v>
      </c>
      <c r="Z10" s="58">
        <f>Z8+Z9</f>
        <v>1706.5232116864945</v>
      </c>
      <c r="AA10" s="58">
        <f>AA8+AA9</f>
        <v>1803.9746687749075</v>
      </c>
      <c r="AB10" s="58">
        <f>AB8+AB9</f>
        <v>1896.4861902505436</v>
      </c>
    </row>
    <row r="11">
      <c r="A11" s="2" t="inlineStr">
        <is>
          <t>Taxes</t>
        </is>
      </c>
      <c r="B11" s="58" t="n">
        <v>0</v>
      </c>
      <c r="C11" s="58" t="n">
        <v>0</v>
      </c>
      <c r="D11" s="58" t="n">
        <v>0</v>
      </c>
      <c r="E11" s="58" t="n">
        <v>0</v>
      </c>
      <c r="F11" s="58" t="n">
        <v>0</v>
      </c>
      <c r="G11" s="58" t="n">
        <v>0</v>
      </c>
      <c r="H11" s="58" t="n">
        <v>0</v>
      </c>
      <c r="I11" s="58" t="n">
        <v>0</v>
      </c>
      <c r="J11" s="58" t="n">
        <v>0</v>
      </c>
      <c r="K11" s="58" t="n">
        <v>0.7</v>
      </c>
      <c r="L11" s="58" t="n">
        <v>9.5</v>
      </c>
      <c r="M11" s="58" t="n">
        <v>-300.6</v>
      </c>
      <c r="N11" s="58" t="n">
        <v>11.8</v>
      </c>
      <c r="O11" s="58" t="n">
        <v>59.4</v>
      </c>
      <c r="P11" s="58" t="n">
        <v>82.40000000000001</v>
      </c>
      <c r="Q11" s="58" t="n">
        <v>144.7</v>
      </c>
      <c r="R11" s="58" t="n">
        <v>226.8</v>
      </c>
      <c r="S11" s="58">
        <f>MAX(0,S10)*Assumptions!$E$14</f>
        <v>162.808218</v>
      </c>
      <c r="T11" s="58">
        <f>MAX(0,T10)*Assumptions!$E$14</f>
        <v>193.26911040000005</v>
      </c>
      <c r="U11" s="58">
        <f>MAX(0,U10)*Assumptions!$E$14</f>
        <v>215.25347170800006</v>
      </c>
      <c r="V11" s="58">
        <f>MAX(0,V10)*Assumptions!$E$14</f>
        <v>226.21183026768003</v>
      </c>
      <c r="W11" s="58">
        <f>MAX(0,W10)*Assumptions!$E$14</f>
        <v>239.8510729749961</v>
      </c>
      <c r="X11" s="58">
        <f>MAX(0,X10)*Assumptions!$E$14</f>
        <v>256.57211920525293</v>
      </c>
      <c r="Y11" s="58">
        <f>MAX(0,Y10)*Assumptions!$E$14</f>
        <v>274.2470874171704</v>
      </c>
      <c r="Z11" s="58">
        <f>MAX(0,Z10)*Assumptions!$E$14</f>
        <v>290.1089459867041</v>
      </c>
      <c r="AA11" s="58">
        <f>MAX(0,AA10)*Assumptions!$E$14</f>
        <v>306.6756936917343</v>
      </c>
      <c r="AB11" s="58">
        <f>MAX(0,AB10)*Assumptions!$E$14</f>
        <v>322.40265234259243</v>
      </c>
    </row>
    <row r="12">
      <c r="A12" s="2" t="inlineStr">
        <is>
          <t>Net Income</t>
        </is>
      </c>
      <c r="B12" s="58" t="n">
        <v>-51.038</v>
      </c>
      <c r="C12" s="58" t="n">
        <v>-7.968</v>
      </c>
      <c r="D12" s="58" t="n">
        <v>37.571</v>
      </c>
      <c r="E12" s="58" t="n">
        <v>5.025</v>
      </c>
      <c r="F12" s="58" t="n">
        <v>-46.09</v>
      </c>
      <c r="G12" s="58" t="n">
        <v>-60.542</v>
      </c>
      <c r="H12" s="58" t="n">
        <v>-88.929</v>
      </c>
      <c r="I12" s="58" t="n">
        <v>-141.09</v>
      </c>
      <c r="J12" s="58" t="n">
        <v>-142.542</v>
      </c>
      <c r="K12" s="58" t="n">
        <v>21.1</v>
      </c>
      <c r="L12" s="58" t="n">
        <v>37</v>
      </c>
      <c r="M12" s="58" t="n">
        <v>407.3</v>
      </c>
      <c r="N12" s="58" t="n">
        <v>89.59999999999999</v>
      </c>
      <c r="O12" s="58" t="n">
        <v>154.5</v>
      </c>
      <c r="P12" s="58" t="n">
        <v>249.7</v>
      </c>
      <c r="Q12" s="58" t="n">
        <v>341.3</v>
      </c>
      <c r="R12" s="58" t="n">
        <v>478.6</v>
      </c>
      <c r="S12" s="58">
        <f>S10-S11</f>
        <v>794.887182</v>
      </c>
      <c r="T12" s="58">
        <f>T10-T11</f>
        <v>943.6080096000001</v>
      </c>
      <c r="U12" s="58">
        <f>U10-U11</f>
        <v>1050.9434206920002</v>
      </c>
      <c r="V12" s="58">
        <f>V10-V11</f>
        <v>1104.44599483632</v>
      </c>
      <c r="W12" s="58">
        <f>W10-W11</f>
        <v>1171.0375915838044</v>
      </c>
      <c r="X12" s="58">
        <f>X10-X11</f>
        <v>1252.6756408256465</v>
      </c>
      <c r="Y12" s="58">
        <f>Y10-Y11</f>
        <v>1338.9710738603026</v>
      </c>
      <c r="Z12" s="58">
        <f>Z10-Z11</f>
        <v>1416.4142656997903</v>
      </c>
      <c r="AA12" s="58">
        <f>AA10-AA11</f>
        <v>1497.2989750831732</v>
      </c>
      <c r="AB12" s="58">
        <f>AB10-AB11</f>
        <v>1574.0835379079513</v>
      </c>
    </row>
    <row r="13">
      <c r="A13" s="2" t="inlineStr">
        <is>
          <t>Earnings per Share</t>
        </is>
      </c>
      <c r="B13" s="11">
        <f>IFERROR(B12/B14,0)</f>
        <v>-1.3040856478524159</v>
      </c>
      <c r="C13" s="11">
        <f>IFERROR(C12/C14,0)</f>
        <v>-0.15085195001893223</v>
      </c>
      <c r="D13" s="11">
        <f>IFERROR(D12/D14,0)</f>
        <v>0.6667790654338296</v>
      </c>
      <c r="E13" s="11">
        <f>IFERROR(E12/E14,0)</f>
        <v>0.07506049651958295</v>
      </c>
      <c r="F13" s="11">
        <f>IFERROR(F12/F14,0)</f>
        <v>-0.6880234068279867</v>
      </c>
      <c r="G13" s="11">
        <f>IFERROR(G12/G14,0)</f>
        <v>-0.8118052482668919</v>
      </c>
      <c r="H13" s="11">
        <f>IFERROR(H12/H14,0)</f>
        <v>-1.052464021965537</v>
      </c>
      <c r="I13" s="11">
        <f>IFERROR(I12/I14,0)</f>
        <v>-1.627091670222458</v>
      </c>
      <c r="J13" s="11">
        <f>IFERROR(J12/J14,0)</f>
        <v>-1.618158907468583</v>
      </c>
      <c r="K13" s="11">
        <f>IFERROR(K12/K14,0)</f>
        <v>0.22117400419287211</v>
      </c>
      <c r="L13" s="11">
        <f>IFERROR(L12/L14,0)</f>
        <v>0.38662486938349006</v>
      </c>
      <c r="M13" s="11">
        <f>IFERROR(M12/M14,0)</f>
        <v>4.164621676891616</v>
      </c>
      <c r="N13" s="11">
        <f>IFERROR(N12/N14,0)</f>
        <v>0.9152196118488252</v>
      </c>
      <c r="O13" s="11">
        <f>IFERROR(O12/O14,0)</f>
        <v>1.5621840242669363</v>
      </c>
      <c r="P13" s="11">
        <f>IFERROR(P12/P14,0)</f>
        <v>2.4722772277227723</v>
      </c>
      <c r="Q13" s="11">
        <f>IFERROR(Q12/Q14,0)</f>
        <v>3.29122468659595</v>
      </c>
      <c r="R13" s="11">
        <f>IFERROR(R12/R14,0)</f>
        <v>4.669268292682927</v>
      </c>
      <c r="S13" s="11">
        <f>IFERROR(S12/S14,0)</f>
        <v>7.819907393056123</v>
      </c>
      <c r="T13" s="11">
        <f>IFERROR(T12/T14,0)</f>
        <v>9.282986840789205</v>
      </c>
      <c r="U13" s="11">
        <f>IFERROR(U12/U14,0)</f>
        <v>10.338926593928978</v>
      </c>
      <c r="V13" s="11">
        <f>IFERROR(V12/V14,0)</f>
        <v>10.865271947801725</v>
      </c>
      <c r="W13" s="11">
        <f>IFERROR(W12/W14,0)</f>
        <v>11.520383932889773</v>
      </c>
      <c r="X13" s="11">
        <f>IFERROR(X12/X14,0)</f>
        <v>12.323519269925514</v>
      </c>
      <c r="Y13" s="11">
        <f>IFERROR(Y12/Y14,0)</f>
        <v>13.1724728196315</v>
      </c>
      <c r="Z13" s="11">
        <f>IFERROR(Z12/Z14,0)</f>
        <v>13.934340166496673</v>
      </c>
      <c r="AA13" s="11">
        <f>IFERROR(AA12/AA14,0)</f>
        <v>14.730064328636088</v>
      </c>
      <c r="AB13" s="11">
        <f>IFERROR(AB12/AB14,0)</f>
        <v>15.485452242925119</v>
      </c>
    </row>
    <row r="14">
      <c r="A14" s="2" t="inlineStr">
        <is>
          <t>Shares</t>
        </is>
      </c>
      <c r="B14" s="58" t="n">
        <v>39.137</v>
      </c>
      <c r="C14" s="58" t="n">
        <v>52.82</v>
      </c>
      <c r="D14" s="58" t="n">
        <v>56.347</v>
      </c>
      <c r="E14" s="58" t="n">
        <v>66.946</v>
      </c>
      <c r="F14" s="58" t="n">
        <v>66.989</v>
      </c>
      <c r="G14" s="58" t="n">
        <v>74.577</v>
      </c>
      <c r="H14" s="58" t="n">
        <v>84.496</v>
      </c>
      <c r="I14" s="58" t="n">
        <v>86.71299999999999</v>
      </c>
      <c r="J14" s="58" t="n">
        <v>88.089</v>
      </c>
      <c r="K14" s="58" t="n">
        <v>95.40000000000001</v>
      </c>
      <c r="L14" s="58" t="n">
        <v>95.7</v>
      </c>
      <c r="M14" s="58" t="n">
        <v>97.8</v>
      </c>
      <c r="N14" s="58" t="n">
        <v>97.90000000000001</v>
      </c>
      <c r="O14" s="58" t="n">
        <v>98.90000000000001</v>
      </c>
      <c r="P14" s="58" t="n">
        <v>101</v>
      </c>
      <c r="Q14" s="58" t="n">
        <v>103.7</v>
      </c>
      <c r="R14" s="58" t="n">
        <v>102.5</v>
      </c>
      <c r="S14" s="58">
        <f>Main!$C$4</f>
        <v>101.649181</v>
      </c>
      <c r="T14" s="58">
        <f>Main!$C$4</f>
        <v>101.649181</v>
      </c>
      <c r="U14" s="58">
        <f>Main!$C$4</f>
        <v>101.649181</v>
      </c>
      <c r="V14" s="58">
        <f>Main!$C$4</f>
        <v>101.649181</v>
      </c>
      <c r="W14" s="58">
        <f>Main!$C$4</f>
        <v>101.649181</v>
      </c>
      <c r="X14" s="58">
        <f>Main!$C$4</f>
        <v>101.649181</v>
      </c>
      <c r="Y14" s="58">
        <f>Main!$C$4</f>
        <v>101.649181</v>
      </c>
      <c r="Z14" s="58">
        <f>Main!$C$4</f>
        <v>101.649181</v>
      </c>
      <c r="AA14" s="58">
        <f>Main!$C$4</f>
        <v>101.649181</v>
      </c>
      <c r="AB14" s="58">
        <f>Main!$C$4</f>
        <v>101.649181</v>
      </c>
    </row>
    <row r="15"/>
    <row r="16" customFormat="1" s="4">
      <c r="A16" s="3" t="inlineStr">
        <is>
          <t>Revenue Change</t>
        </is>
      </c>
      <c r="C16" s="15">
        <f>IFERROR(C2/B2-1,"")</f>
        <v>10.34473416864206</v>
      </c>
      <c r="D16" s="15">
        <f>IFERROR(D2/C2-1,"")</f>
        <v>1.3107668427808128</v>
      </c>
      <c r="E16" s="15">
        <f>IFERROR(E2/D2-1,"")</f>
        <v>-0.3135519873922984</v>
      </c>
      <c r="F16" s="15">
        <f>IFERROR(F2/E2-1,"")</f>
        <v>-0.9450696273993225</v>
      </c>
      <c r="G16" s="15">
        <f>IFERROR(G2/F2-1,"")</f>
        <v>-1.0</v>
      </c>
      <c r="H16" s="15">
        <f>IFERROR(H2/G2-1,"")</f>
        <v/>
      </c>
      <c r="I16" s="15">
        <f>IFERROR(I2/H2-1,"")</f>
        <v>-0.24123627902271227</v>
      </c>
      <c r="J16" s="15">
        <f>IFERROR(J2/I2-1,"")</f>
        <v>9.775066666666667</v>
      </c>
      <c r="K16" s="15">
        <f>IFERROR(K2/J2-1,"")</f>
        <v>1.7916300595201267</v>
      </c>
      <c r="L16" s="15">
        <f>IFERROR(L2/K2-1,"")</f>
        <v>0.7466755319148937</v>
      </c>
      <c r="M16" s="15">
        <f>IFERROR(M2/L2-1,"")</f>
        <v>0.32711584824260886</v>
      </c>
      <c r="N16" s="15">
        <f>IFERROR(N2/M2-1,"")</f>
        <v>0.08375561717181368</v>
      </c>
      <c r="O16" s="15">
        <f>IFERROR(O2/N2-1,"")</f>
        <v>0.31336568151742394</v>
      </c>
      <c r="P16" s="15">
        <f>IFERROR(P2/O2-1,"")</f>
        <v>0.2676160408410022</v>
      </c>
      <c r="Q16" s="15">
        <f>IFERROR(Q2/P2-1,"")</f>
        <v>0.24810555879391671</v>
      </c>
      <c r="R16" s="15">
        <f>IFERROR(R2/Q2-1,"")</f>
        <v>0.21449496879378405</v>
      </c>
      <c r="S16" s="15">
        <f>IFERROR(S2/R2-1,"")</f>
        <v>0.3500000000000001</v>
      </c>
      <c r="T16" s="15">
        <f>IFERROR(T2/S2-1,"")</f>
        <v>0.1499999999999999</v>
      </c>
      <c r="U16" s="15">
        <f>IFERROR(U2/T2-1,"")</f>
        <v>0.08000000000000007</v>
      </c>
      <c r="V16" s="15">
        <f>IFERROR(V2/U2-1,"")</f>
        <v>0.020000000000000018</v>
      </c>
      <c r="W16" s="15">
        <f>IFERROR(W2/V2-1,"")</f>
        <v>0.030000000000000027</v>
      </c>
      <c r="X16" s="15">
        <f>IFERROR(X2/W2-1,"")</f>
        <v>0.040000000000000036</v>
      </c>
      <c r="Y16" s="15">
        <f>IFERROR(Y2/X2-1,"")</f>
        <v>0.040000000000000036</v>
      </c>
      <c r="Z16" s="15">
        <f>IFERROR(Z2/Y2-1,"")</f>
        <v>0.030000000000000027</v>
      </c>
      <c r="AA16" s="15">
        <f>IFERROR(AA2/Z2-1,"")</f>
        <v>0.030000000000000027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15">
        <f>IFERROR(J4/J2,"")</f>
        <v>0.9922413473079826</v>
      </c>
      <c r="K17" s="15">
        <f>IFERROR(K4/K2,"")</f>
        <v>0.9891644503546099</v>
      </c>
      <c r="L17" s="15">
        <f>IFERROR(L4/L2,"")</f>
        <v>1.0</v>
      </c>
      <c r="M17" s="15">
        <f>IFERROR(M4/M2,"")</f>
        <v>0.9903432450521084</v>
      </c>
      <c r="N17" s="15">
        <f>IFERROR(N4/N2,"")</f>
        <v>0.9873842082046759</v>
      </c>
      <c r="O17" s="15">
        <f>IFERROR(O4/O2,"")</f>
        <v>0.9844159333646806</v>
      </c>
      <c r="P17" s="15">
        <f>IFERROR(P4/P2,"")</f>
        <v>0.9789624291240527</v>
      </c>
      <c r="Q17" s="15">
        <f>IFERROR(Q4/Q2,"")</f>
        <v>0.9855644716172037</v>
      </c>
      <c r="R17" s="15">
        <f>IFERROR(R4/R2,"")</f>
        <v>0.9817864009788498</v>
      </c>
      <c r="S17" s="15">
        <f>IFERROR(S4/S2,"")</f>
        <v>0.9818</v>
      </c>
      <c r="T17" s="15">
        <f>IFERROR(T4/T2,"")</f>
        <v>0.9818</v>
      </c>
      <c r="U17" s="15">
        <f>IFERROR(U4/U2,"")</f>
        <v>0.9818000000000001</v>
      </c>
      <c r="V17" s="15">
        <f>IFERROR(V4/V2,"")</f>
        <v>0.9818</v>
      </c>
      <c r="W17" s="15">
        <f>IFERROR(W4/W2,"")</f>
        <v>0.9818</v>
      </c>
      <c r="X17" s="15">
        <f>IFERROR(X4/X2,"")</f>
        <v>0.9818</v>
      </c>
      <c r="Y17" s="15">
        <f>IFERROR(Y4/Y2,"")</f>
        <v>0.9818000000000001</v>
      </c>
      <c r="Z17" s="15">
        <f>IFERROR(Z4/Z2,"")</f>
        <v>0.9817999999999999</v>
      </c>
      <c r="AA17" s="15">
        <f>IFERROR(AA4/AA2,"")</f>
        <v>0.9818000000000001</v>
      </c>
      <c r="AB17" s="15">
        <f>IFERROR(AB4/AB2,"")</f>
        <v>0.9818000000000001</v>
      </c>
    </row>
    <row r="18">
      <c r="A18" s="14" t="inlineStr">
        <is>
          <t>Operating Margin</t>
        </is>
      </c>
      <c r="B18" s="15">
        <f>IFERROR(B8/B2,"")</f>
        <v>-18.174737555028784</v>
      </c>
      <c r="C18" s="15">
        <f>IFERROR(C8/C2,"")</f>
        <v>-0.4095997134413899</v>
      </c>
      <c r="D18" s="15">
        <f>IFERROR(D8/D2,"")</f>
        <v>0.438195135184013</v>
      </c>
      <c r="E18" s="15">
        <f>IFERROR(E8/E2,"")</f>
        <v>0.027248776815957988</v>
      </c>
      <c r="F18" s="15">
        <f>IFERROR(F8/F2,"")</f>
        <v>-17.01884206920178</v>
      </c>
      <c r="G18" s="15">
        <f>IFERROR(G8/G2,"")</f>
        <v/>
      </c>
      <c r="H18" s="15">
        <f>IFERROR(H8/H2,"")</f>
        <v>-4.765137336233497</v>
      </c>
      <c r="I18" s="15">
        <f>IFERROR(I8/I2,"")</f>
        <v>-9.824800000000002</v>
      </c>
      <c r="J18" s="15">
        <f>IFERROR(J8/J2,"")</f>
        <v>-0.8127467115439346</v>
      </c>
      <c r="K18" s="15">
        <f>IFERROR(K8/K2,"")</f>
        <v>0.08156028368794328</v>
      </c>
      <c r="L18" s="15">
        <f>IFERROR(L8/L2,"")</f>
        <v>0.09173962695089465</v>
      </c>
      <c r="M18" s="15">
        <f>IFERROR(M8/M2,"")</f>
        <v>0.15584663925805547</v>
      </c>
      <c r="N18" s="15">
        <f>IFERROR(N8/N2,"")</f>
        <v>0.09042787825319806</v>
      </c>
      <c r="O18" s="15">
        <f>IFERROR(O8/O2,"")</f>
        <v>0.16726002552562638</v>
      </c>
      <c r="P18" s="15">
        <f>IFERROR(P8/P2,"")</f>
        <v>0.13295532828149006</v>
      </c>
      <c r="Q18" s="15">
        <f>IFERROR(Q8/Q2,"")</f>
        <v>0.242219674776037</v>
      </c>
      <c r="R18" s="15">
        <f>IFERROR(R8/R2,"")</f>
        <v>0.21643069393462677</v>
      </c>
      <c r="S18" s="15">
        <f>IFERROR(S8/S2,"")</f>
        <v>0.248</v>
      </c>
      <c r="T18" s="15">
        <f>IFERROR(T8/T2,"")</f>
        <v>0.25600000000000006</v>
      </c>
      <c r="U18" s="15">
        <f>IFERROR(U8/U2,"")</f>
        <v>0.26400000000000007</v>
      </c>
      <c r="V18" s="15">
        <f>IFERROR(V8/V2,"")</f>
        <v>0.27199999999999996</v>
      </c>
      <c r="W18" s="15">
        <f>IFERROR(W8/W2,"")</f>
        <v>0.28</v>
      </c>
      <c r="X18" s="15">
        <f>IFERROR(X8/X2,"")</f>
        <v>0.288</v>
      </c>
      <c r="Y18" s="15">
        <f>IFERROR(Y8/Y2,"")</f>
        <v>0.29600000000000004</v>
      </c>
      <c r="Z18" s="15">
        <f>IFERROR(Z8/Z2,"")</f>
        <v>0.30400000000000005</v>
      </c>
      <c r="AA18" s="15">
        <f>IFERROR(AA8/AA2,"")</f>
        <v>0.31200000000000006</v>
      </c>
      <c r="AB18" s="15">
        <f>IFERROR(AB8/AB2,"")</f>
        <v>0.32000000000000006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Neurocrine Biosciences,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0.105</v>
      </c>
      <c r="C10" s="59" t="n">
        <v>0.095</v>
      </c>
      <c r="D10" s="59" t="n">
        <v>0.08500000000000001</v>
      </c>
      <c r="E10" s="60">
        <f>IF(ISNUMBER($B$6),$B$6,CHOOSE($B$4,B10,C10,D10))</f>
        <v>0.095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0.3</v>
      </c>
      <c r="C12" s="59" t="n">
        <v>0.35</v>
      </c>
      <c r="D12" s="59" t="n">
        <v>0.4</v>
      </c>
      <c r="E12" s="60">
        <f>CHOOSE($B$4,B12,C12,D12)</f>
        <v>0.35</v>
      </c>
    </row>
    <row r="13">
      <c r="A13" s="14" t="inlineStr">
        <is>
          <t>Operating margin, year 10</t>
        </is>
      </c>
      <c r="B13" s="59" t="n">
        <v>0.26</v>
      </c>
      <c r="C13" s="59" t="n">
        <v>0.32</v>
      </c>
      <c r="D13" s="59" t="n">
        <v>0.38</v>
      </c>
      <c r="E13" s="60">
        <f>CHOOSE($B$4,B13,C13,D13)</f>
        <v>0.32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0.24</v>
      </c>
    </row>
    <row r="19">
      <c r="A19" s="14" t="inlineStr">
        <is>
          <t>Gross margin (forecast)</t>
        </is>
      </c>
      <c r="B19" s="59" t="n">
        <v>0.9818</v>
      </c>
    </row>
    <row r="20">
      <c r="A20" s="14" t="inlineStr">
        <is>
          <t>R&amp;D share of operating expense (forecast)</t>
        </is>
      </c>
      <c r="B20" s="59" t="n">
        <v>0.4639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61">
        <f>'Yearly Model'!R2</f>
        <v>2860.5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16537.525257151105</v>
      </c>
      <c r="C29" s="62">
        <f>NPV!B26</f>
        <v>16927.325257151104</v>
      </c>
      <c r="D29" s="35">
        <f>NPV!B28</f>
        <v>166.5269222105302</v>
      </c>
      <c r="E29" s="63">
        <f>NPV!B30</f>
        <v>0.17272480429950843</v>
      </c>
    </row>
    <row r="30">
      <c r="A30" s="64" t="n">
        <v>1</v>
      </c>
      <c r="B30" s="65">
        <f t="dataTable" ref="B30:E32" r1="B4"/>
        <v>9798.797720785147</v>
      </c>
      <c r="C30" s="65">
        <v>10188.597720785147</v>
      </c>
      <c r="D30" s="39">
        <v>100.23295436866478</v>
      </c>
      <c r="E30" s="66">
        <v>-0.2941341241643326</v>
      </c>
    </row>
    <row r="31">
      <c r="A31" s="64" t="n">
        <v>2</v>
      </c>
      <c r="B31" s="65">
        <v>16537.525257151105</v>
      </c>
      <c r="C31" s="65">
        <v>16927.325257151104</v>
      </c>
      <c r="D31" s="39">
        <v>166.5269222105302</v>
      </c>
      <c r="E31" s="66">
        <v>0.17272480429950843</v>
      </c>
    </row>
    <row r="32">
      <c r="A32" s="64" t="n">
        <v>3</v>
      </c>
      <c r="B32" s="65">
        <v>29235.37244500934</v>
      </c>
      <c r="C32" s="65">
        <v>29625.17244500934</v>
      </c>
      <c r="D32" s="39">
        <v>291.4452645221936</v>
      </c>
      <c r="E32" s="66">
        <v>1.0524314402971382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166.5269222105302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0.075</v>
      </c>
      <c r="B37" s="39">
        <f t="dataTable" ref="B37:F41" dt2D="1" r1="B7" r2="B6"/>
        <v>209.30414605287672</v>
      </c>
      <c r="C37" s="39">
        <v>221.1558198795985</v>
      </c>
      <c r="D37" s="39">
        <v>235.37782847166469</v>
      </c>
      <c r="E37" s="39">
        <v>252.76028341752325</v>
      </c>
      <c r="F37" s="39">
        <v>274.48835209984657</v>
      </c>
    </row>
    <row r="38">
      <c r="A38" s="68" t="n">
        <v>0.08500000000000001</v>
      </c>
      <c r="B38" s="39">
        <v>178.06939940579122</v>
      </c>
      <c r="C38" s="39">
        <v>185.945613882983</v>
      </c>
      <c r="D38" s="39">
        <v>195.13453077304013</v>
      </c>
      <c r="E38" s="39">
        <v>205.99415982492582</v>
      </c>
      <c r="F38" s="39">
        <v>219.0257146871886</v>
      </c>
    </row>
    <row r="39">
      <c r="A39" s="68" t="n">
        <v>0.095</v>
      </c>
      <c r="B39" s="39">
        <v>154.78993354644535</v>
      </c>
      <c r="C39" s="39">
        <v>160.26719492301828</v>
      </c>
      <c r="D39" s="39">
        <v>166.5269222105302</v>
      </c>
      <c r="E39" s="39">
        <v>173.74968446535163</v>
      </c>
      <c r="F39" s="39">
        <v>182.17624042930998</v>
      </c>
    </row>
    <row r="40">
      <c r="A40" s="68" t="n">
        <v>0.105</v>
      </c>
      <c r="B40" s="39">
        <v>136.80082365449525</v>
      </c>
      <c r="C40" s="39">
        <v>140.7434278340571</v>
      </c>
      <c r="D40" s="39">
        <v>145.17885753606413</v>
      </c>
      <c r="E40" s="39">
        <v>150.20567786500544</v>
      </c>
      <c r="F40" s="39">
        <v>155.95061538379554</v>
      </c>
    </row>
    <row r="41">
      <c r="A41" s="68" t="n">
        <v>0.115</v>
      </c>
      <c r="B41" s="39">
        <v>122.50447678152082</v>
      </c>
      <c r="C41" s="39">
        <v>125.42048546159137</v>
      </c>
      <c r="D41" s="39">
        <v>128.66049510611418</v>
      </c>
      <c r="E41" s="39">
        <v>132.28168235587495</v>
      </c>
      <c r="F41" s="39">
        <v>136.35551801185582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0.35</v>
      </c>
      <c r="C46" s="59" t="n">
        <v>0.15</v>
      </c>
      <c r="D46" s="59" t="n">
        <v>0.08</v>
      </c>
      <c r="E46" s="59" t="n">
        <v>0.02</v>
      </c>
      <c r="F46" s="59" t="n">
        <v>0.03</v>
      </c>
      <c r="G46" s="59" t="n">
        <v>0.04</v>
      </c>
      <c r="H46" s="59" t="n">
        <v>0.04</v>
      </c>
      <c r="I46" s="59" t="n">
        <v>0.03</v>
      </c>
      <c r="J46" s="59" t="n">
        <v>0.03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Neurocrine Biosciences, Inc.: free-cash-flow DCF ($mm)</t>
        </is>
      </c>
    </row>
    <row r="3">
      <c r="A3" s="20" t="inlineStr">
        <is>
          <t>Fiscal year</t>
        </is>
      </c>
      <c r="B3" s="44">
        <f>'Yearly Model'!R1</f>
        <v>2025</v>
      </c>
      <c r="C3" s="44">
        <f>'Yearly Model'!S1</f>
        <v>2026</v>
      </c>
      <c r="D3" s="44">
        <f>'Yearly Model'!T1</f>
        <v>2027</v>
      </c>
      <c r="E3" s="44">
        <f>'Yearly Model'!U1</f>
        <v>2028</v>
      </c>
      <c r="F3" s="44">
        <f>'Yearly Model'!V1</f>
        <v>2029</v>
      </c>
      <c r="G3" s="44">
        <f>'Yearly Model'!W1</f>
        <v>2030</v>
      </c>
      <c r="H3" s="44">
        <f>'Yearly Model'!X1</f>
        <v>2031</v>
      </c>
      <c r="I3" s="44">
        <f>'Yearly Model'!Y1</f>
        <v>2032</v>
      </c>
      <c r="J3" s="44">
        <f>'Yearly Model'!Z1</f>
        <v>2033</v>
      </c>
      <c r="K3" s="44">
        <f>'Yearly Model'!AA1</f>
        <v>2034</v>
      </c>
      <c r="L3" s="44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0.35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0.15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0.08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0.02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0.03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0.04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0.04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0.03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0.21643069393462677</v>
      </c>
      <c r="C6" s="69">
        <f>Assumptions!$B$18+(Assumptions!$E$13-Assumptions!$B$18)*C4/Assumptions!$B$21</f>
        <v>0.248</v>
      </c>
      <c r="D6" s="69">
        <f>Assumptions!$B$18+(Assumptions!$E$13-Assumptions!$B$18)*D4/Assumptions!$B$21</f>
        <v>0.256</v>
      </c>
      <c r="E6" s="69">
        <f>Assumptions!$B$18+(Assumptions!$E$13-Assumptions!$B$18)*E4/Assumptions!$B$21</f>
        <v>0.264</v>
      </c>
      <c r="F6" s="69">
        <f>Assumptions!$B$18+(Assumptions!$E$13-Assumptions!$B$18)*F4/Assumptions!$B$21</f>
        <v>0.272</v>
      </c>
      <c r="G6" s="69">
        <f>Assumptions!$B$18+(Assumptions!$E$13-Assumptions!$B$18)*G4/Assumptions!$B$21</f>
        <v>0.28</v>
      </c>
      <c r="H6" s="69">
        <f>Assumptions!$B$18+(Assumptions!$E$13-Assumptions!$B$18)*H4/Assumptions!$B$21</f>
        <v>0.288</v>
      </c>
      <c r="I6" s="69">
        <f>Assumptions!$B$18+(Assumptions!$E$13-Assumptions!$B$18)*I4/Assumptions!$B$21</f>
        <v>0.296</v>
      </c>
      <c r="J6" s="69">
        <f>Assumptions!$B$18+(Assumptions!$E$13-Assumptions!$B$18)*J4/Assumptions!$B$21</f>
        <v>0.304</v>
      </c>
      <c r="K6" s="69">
        <f>Assumptions!$B$18+(Assumptions!$E$13-Assumptions!$B$18)*K4/Assumptions!$B$21</f>
        <v>0.312</v>
      </c>
      <c r="L6" s="69">
        <f>Assumptions!$B$18+(Assumptions!$E$13-Assumptions!$B$18)*L4/Assumptions!$B$21</f>
        <v>0.32</v>
      </c>
    </row>
    <row r="7">
      <c r="A7" s="14" t="inlineStr">
        <is>
          <t>Revenue</t>
        </is>
      </c>
      <c r="B7" s="61">
        <f>'Yearly Model'!R2</f>
        <v>2860.5</v>
      </c>
      <c r="C7" s="61">
        <f>'Yearly Model'!S2</f>
        <v>3861.675</v>
      </c>
      <c r="D7" s="61">
        <f>'Yearly Model'!T2</f>
        <v>4440.9262499999995</v>
      </c>
      <c r="E7" s="61">
        <f>'Yearly Model'!U2</f>
        <v>4796.20035</v>
      </c>
      <c r="F7" s="61">
        <f>'Yearly Model'!V2</f>
        <v>4892.124357000001</v>
      </c>
      <c r="G7" s="61">
        <f>'Yearly Model'!W2</f>
        <v>5038.888087710001</v>
      </c>
      <c r="H7" s="61">
        <f>'Yearly Model'!X2</f>
        <v>5240.443611218401</v>
      </c>
      <c r="I7" s="61">
        <f>'Yearly Model'!Y2</f>
        <v>5450.061355667138</v>
      </c>
      <c r="J7" s="61">
        <f>'Yearly Model'!Z2</f>
        <v>5613.5631963371525</v>
      </c>
      <c r="K7" s="61">
        <f>'Yearly Model'!AA2</f>
        <v>5781.970092227267</v>
      </c>
      <c r="L7" s="61">
        <f>'Yearly Model'!AB2</f>
        <v>5926.519344532948</v>
      </c>
    </row>
    <row r="8">
      <c r="A8" s="14" t="inlineStr">
        <is>
          <t>Operating income</t>
        </is>
      </c>
      <c r="B8" s="61">
        <f>'Yearly Model'!R8</f>
        <v>619.0999999999999</v>
      </c>
      <c r="C8" s="61">
        <f>'Yearly Model'!S8</f>
        <v>957.6954000000001</v>
      </c>
      <c r="D8" s="61">
        <f>'Yearly Model'!T8</f>
        <v>1136.87712</v>
      </c>
      <c r="E8" s="61">
        <f>'Yearly Model'!U8</f>
        <v>1266.1968924000003</v>
      </c>
      <c r="F8" s="61">
        <f>'Yearly Model'!V8</f>
        <v>1330.657825104</v>
      </c>
      <c r="G8" s="61">
        <f>'Yearly Model'!W8</f>
        <v>1410.8886645588004</v>
      </c>
      <c r="H8" s="61">
        <f>'Yearly Model'!X8</f>
        <v>1509.2477600308994</v>
      </c>
      <c r="I8" s="61">
        <f>'Yearly Model'!Y8</f>
        <v>1613.218161277473</v>
      </c>
      <c r="J8" s="61">
        <f>'Yearly Model'!Z8</f>
        <v>1706.5232116864945</v>
      </c>
      <c r="K8" s="61">
        <f>'Yearly Model'!AA8</f>
        <v>1803.9746687749075</v>
      </c>
      <c r="L8" s="61">
        <f>'Yearly Model'!AB8</f>
        <v>1896.4861902505436</v>
      </c>
    </row>
    <row r="9">
      <c r="A9" s="14" t="inlineStr">
        <is>
          <t>Tax on operating income</t>
        </is>
      </c>
      <c r="C9" s="58">
        <f>MAX(0,C8)*Assumptions!$E$14</f>
        <v>162.808218</v>
      </c>
      <c r="D9" s="58">
        <f>MAX(0,D8)*Assumptions!$E$14</f>
        <v>193.26911040000005</v>
      </c>
      <c r="E9" s="58">
        <f>MAX(0,E8)*Assumptions!$E$14</f>
        <v>215.25347170800006</v>
      </c>
      <c r="F9" s="58">
        <f>MAX(0,F8)*Assumptions!$E$14</f>
        <v>226.21183026768003</v>
      </c>
      <c r="G9" s="58">
        <f>MAX(0,G8)*Assumptions!$E$14</f>
        <v>239.8510729749961</v>
      </c>
      <c r="H9" s="58">
        <f>MAX(0,H8)*Assumptions!$E$14</f>
        <v>256.57211920525293</v>
      </c>
      <c r="I9" s="58">
        <f>MAX(0,I8)*Assumptions!$E$14</f>
        <v>274.2470874171704</v>
      </c>
      <c r="J9" s="58">
        <f>MAX(0,J8)*Assumptions!$E$14</f>
        <v>290.1089459867041</v>
      </c>
      <c r="K9" s="58">
        <f>MAX(0,K8)*Assumptions!$E$14</f>
        <v>306.6756936917343</v>
      </c>
      <c r="L9" s="58">
        <f>MAX(0,L8)*Assumptions!$E$14</f>
        <v>322.40265234259243</v>
      </c>
    </row>
    <row r="10">
      <c r="A10" s="14" t="inlineStr">
        <is>
          <t>NOPAT</t>
        </is>
      </c>
      <c r="C10" s="58">
        <f>C8-C9</f>
        <v>794.887182</v>
      </c>
      <c r="D10" s="58">
        <f>D8-D9</f>
        <v>943.6080096000001</v>
      </c>
      <c r="E10" s="58">
        <f>E8-E9</f>
        <v>1050.9434206920002</v>
      </c>
      <c r="F10" s="58">
        <f>F8-F9</f>
        <v>1104.44599483632</v>
      </c>
      <c r="G10" s="58">
        <f>G8-G9</f>
        <v>1171.0375915838044</v>
      </c>
      <c r="H10" s="58">
        <f>H8-H9</f>
        <v>1252.6756408256465</v>
      </c>
      <c r="I10" s="58">
        <f>I8-I9</f>
        <v>1338.9710738603026</v>
      </c>
      <c r="J10" s="58">
        <f>J8-J9</f>
        <v>1416.4142656997903</v>
      </c>
      <c r="K10" s="58">
        <f>K8-K9</f>
        <v>1497.2989750831732</v>
      </c>
      <c r="L10" s="58">
        <f>L8-L9</f>
        <v>1574.0835379079513</v>
      </c>
    </row>
    <row r="11">
      <c r="A11" s="14" t="inlineStr">
        <is>
          <t>Reinvestment</t>
        </is>
      </c>
      <c r="C11" s="58">
        <f>(C7-B7)*Assumptions!$E$15</f>
        <v>250.29375000000005</v>
      </c>
      <c r="D11" s="58">
        <f>(D7-C7)*Assumptions!$E$15</f>
        <v>144.81281249999984</v>
      </c>
      <c r="E11" s="58">
        <f>(E7-D7)*Assumptions!$E$15</f>
        <v>88.81852500000014</v>
      </c>
      <c r="F11" s="58">
        <f>(F7-E7)*Assumptions!$E$15</f>
        <v>23.981001750000132</v>
      </c>
      <c r="G11" s="58">
        <f>(G7-F7)*Assumptions!$E$15</f>
        <v>36.690932677500086</v>
      </c>
      <c r="H11" s="58">
        <f>(H7-G7)*Assumptions!$E$15</f>
        <v>50.388880877100064</v>
      </c>
      <c r="I11" s="58">
        <f>(I7-H7)*Assumptions!$E$15</f>
        <v>52.40443611218416</v>
      </c>
      <c r="J11" s="58">
        <f>(J7-I7)*Assumptions!$E$15</f>
        <v>40.87546016750366</v>
      </c>
      <c r="K11" s="58">
        <f>(K7-J7)*Assumptions!$E$15</f>
        <v>42.10172397252859</v>
      </c>
      <c r="L11" s="58">
        <f>(L7-K7)*Assumptions!$E$15</f>
        <v>36.13731307642024</v>
      </c>
    </row>
    <row r="12">
      <c r="A12" s="20" t="inlineStr">
        <is>
          <t>Free cash flow</t>
        </is>
      </c>
      <c r="C12" s="70">
        <f>C10-C11</f>
        <v>544.593432</v>
      </c>
      <c r="D12" s="70">
        <f>D10-D11</f>
        <v>798.7951971000002</v>
      </c>
      <c r="E12" s="70">
        <f>E10-E11</f>
        <v>962.1248956920001</v>
      </c>
      <c r="F12" s="70">
        <f>F10-F11</f>
        <v>1080.46499308632</v>
      </c>
      <c r="G12" s="70">
        <f>G10-G11</f>
        <v>1134.3466589063044</v>
      </c>
      <c r="H12" s="70">
        <f>H10-H11</f>
        <v>1202.2867599485464</v>
      </c>
      <c r="I12" s="70">
        <f>I10-I11</f>
        <v>1286.5666377481184</v>
      </c>
      <c r="J12" s="70">
        <f>J10-J11</f>
        <v>1375.5388055322867</v>
      </c>
      <c r="K12" s="70">
        <f>K10-K11</f>
        <v>1455.1972511106446</v>
      </c>
      <c r="L12" s="70">
        <f>L10-L11</f>
        <v>1537.946224831531</v>
      </c>
    </row>
    <row r="13">
      <c r="A13" s="14" t="inlineStr">
        <is>
          <t>Year fraction</t>
        </is>
      </c>
      <c r="C13" s="47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71">
        <f>1/(1+Assumptions!$E$10)^C14</f>
        <v>0.9773850037537266</v>
      </c>
      <c r="D15" s="71">
        <f>1/(1+Assumptions!$E$10)^D14</f>
        <v>0.9129022614872813</v>
      </c>
      <c r="E15" s="71">
        <f>1/(1+Assumptions!$E$10)^E14</f>
        <v>0.8337006954221746</v>
      </c>
      <c r="F15" s="71">
        <f>1/(1+Assumptions!$E$10)^F14</f>
        <v>0.7613704981024426</v>
      </c>
      <c r="G15" s="71">
        <f>1/(1+Assumptions!$E$10)^G14</f>
        <v>0.6953155233812262</v>
      </c>
      <c r="H15" s="71">
        <f>1/(1+Assumptions!$E$10)^H14</f>
        <v>0.6349913455536312</v>
      </c>
      <c r="I15" s="71">
        <f>1/(1+Assumptions!$E$10)^I14</f>
        <v>0.5799007721950971</v>
      </c>
      <c r="J15" s="71">
        <f>1/(1+Assumptions!$E$10)^J14</f>
        <v>0.5295897462968923</v>
      </c>
      <c r="K15" s="71">
        <f>1/(1+Assumptions!$E$10)^K14</f>
        <v>0.48364360392410255</v>
      </c>
      <c r="L15" s="71">
        <f>1/(1+Assumptions!$E$10)^L14</f>
        <v>0.44168365655169184</v>
      </c>
    </row>
    <row r="16">
      <c r="A16" s="20" t="inlineStr">
        <is>
          <t>PV of free cash flow</t>
        </is>
      </c>
      <c r="C16" s="70">
        <f>C12*C13*C15</f>
        <v>268.32106434946365</v>
      </c>
      <c r="D16" s="70">
        <f>D12*D13*D15</f>
        <v>729.2219418977688</v>
      </c>
      <c r="E16" s="70">
        <f>E12*E13*E15</f>
        <v>802.1241946214077</v>
      </c>
      <c r="F16" s="70">
        <f>F12*F13*F15</f>
        <v>822.6341699683836</v>
      </c>
      <c r="G16" s="70">
        <f>G12*G13*G15</f>
        <v>788.7288408331823</v>
      </c>
      <c r="H16" s="70">
        <f>H12*H13*H15</f>
        <v>763.4416874410431</v>
      </c>
      <c r="I16" s="70">
        <f>I12*I13*I15</f>
        <v>746.0809867105836</v>
      </c>
      <c r="J16" s="70">
        <f>J12*J13*J15</f>
        <v>728.471247043374</v>
      </c>
      <c r="K16" s="70">
        <f>K12*K13*K15</f>
        <v>703.7968429475994</v>
      </c>
      <c r="L16" s="70">
        <f>L12*L13*L15</f>
        <v>679.285712163461</v>
      </c>
    </row>
    <row r="19">
      <c r="A19" s="14" t="inlineStr">
        <is>
          <t>PV of forecast free cash flow</t>
        </is>
      </c>
      <c r="B19" s="58">
        <f>SUM(C16:L16)</f>
        <v>7032.106687976267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1576.394880452319</v>
      </c>
    </row>
    <row r="21">
      <c r="A21" s="14" t="inlineStr">
        <is>
          <t>Terminal value</t>
        </is>
      </c>
      <c r="B21" s="58">
        <f>B20/(Assumptions!$E$10-Assumptions!$E$11)</f>
        <v>22519.926863604556</v>
      </c>
    </row>
    <row r="22">
      <c r="A22" s="14" t="inlineStr">
        <is>
          <t>PV of terminal value</t>
        </is>
      </c>
      <c r="B22" s="58">
        <f>B21/(1+Assumptions!$E$10)^(L14+0.5)</f>
        <v>9505.418569174837</v>
      </c>
    </row>
    <row r="23">
      <c r="A23" s="20" t="inlineStr">
        <is>
          <t>Enterprise value</t>
        </is>
      </c>
      <c r="B23" s="72">
        <f>B19+B22</f>
        <v>16537.525257151105</v>
      </c>
    </row>
    <row r="24">
      <c r="A24" s="14" t="inlineStr">
        <is>
          <t>Cash &amp; investments</t>
        </is>
      </c>
      <c r="B24" s="61">
        <f>Main!C7</f>
        <v>389.79999999999995</v>
      </c>
    </row>
    <row r="25">
      <c r="A25" s="14" t="inlineStr">
        <is>
          <t>Debt</t>
        </is>
      </c>
      <c r="B25" s="61">
        <f>Main!C8</f>
        <v>0</v>
      </c>
    </row>
    <row r="26">
      <c r="A26" s="20" t="inlineStr">
        <is>
          <t>Equity value</t>
        </is>
      </c>
      <c r="B26" s="72">
        <f>B23+B24-B25</f>
        <v>16927.325257151104</v>
      </c>
    </row>
    <row r="27">
      <c r="A27" s="14" t="inlineStr">
        <is>
          <t>Shares (mm)</t>
        </is>
      </c>
      <c r="B27" s="61">
        <f>Main!C4</f>
        <v>101.649181</v>
      </c>
    </row>
    <row r="28">
      <c r="A28" s="20" t="inlineStr">
        <is>
          <t>NPV / share</t>
        </is>
      </c>
      <c r="B28" s="50">
        <f>B26/B27</f>
        <v>166.5269222105302</v>
      </c>
    </row>
    <row r="29">
      <c r="A29" s="14" t="inlineStr">
        <is>
          <t>Price</t>
        </is>
      </c>
      <c r="B29" s="51">
        <f>Main!C3</f>
        <v>142</v>
      </c>
    </row>
    <row r="30">
      <c r="A30" s="14" t="inlineStr">
        <is>
          <t>Upside</t>
        </is>
      </c>
      <c r="B30" s="69">
        <f>B28/B29-1</f>
        <v>0.17272480429950843</v>
      </c>
    </row>
    <row r="31">
      <c r="A31" s="14" t="inlineStr">
        <is>
          <t>Terminal value, % of EV</t>
        </is>
      </c>
      <c r="B31" s="69">
        <f>IFERROR(B22/B23,0)</f>
        <v>0.5747787786485486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NBIX: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142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46738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1.158904109589041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</v>
      </c>
    </row>
    <row r="12">
      <c r="A12" s="14" t="inlineStr">
        <is>
          <t>ATM implied volatility, near</t>
        </is>
      </c>
      <c r="B12" s="59" t="n">
        <v>0.3611</v>
      </c>
    </row>
    <row r="13">
      <c r="A13" s="14" t="inlineStr">
        <is>
          <t>ATM implied volatility, long</t>
        </is>
      </c>
      <c r="B13" s="59" t="n">
        <v>0.494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140</v>
      </c>
    </row>
    <row r="18">
      <c r="A18" s="14" t="inlineStr">
        <is>
          <t>ATM call (mid)</t>
        </is>
      </c>
      <c r="B18" s="52" t="n">
        <v>11.5</v>
      </c>
    </row>
    <row r="19">
      <c r="A19" s="14" t="inlineStr">
        <is>
          <t>ATM put (theo)</t>
        </is>
      </c>
      <c r="B19" s="52" t="n">
        <v>8.2819</v>
      </c>
    </row>
    <row r="20">
      <c r="A20" s="14" t="inlineStr">
        <is>
          <t>Straddle, % of spot (expected move)</t>
        </is>
      </c>
      <c r="B20" s="69">
        <f>(B18+B19)/B4</f>
        <v>0.13930915492957746</v>
      </c>
    </row>
    <row r="21">
      <c r="A21" s="14" t="inlineStr">
        <is>
          <t>Expected range, low</t>
        </is>
      </c>
      <c r="B21" s="53">
        <f>B4*(1-B20)</f>
        <v>122.21809999999999</v>
      </c>
    </row>
    <row r="22">
      <c r="A22" s="14" t="inlineStr">
        <is>
          <t>Expected range, high</t>
        </is>
      </c>
      <c r="B22" s="53">
        <f>B4*(1+B20)</f>
        <v>161.7819</v>
      </c>
    </row>
    <row r="23">
      <c r="A23" s="14" t="inlineStr">
        <is>
          <t>1-SD move by long expiry (ATM IV)</t>
        </is>
      </c>
      <c r="B23" s="69">
        <f>B13*SQRT(B9)</f>
        <v>0.5318028989086757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148.73753193447277</v>
      </c>
    </row>
    <row r="28">
      <c r="A28" s="14" t="inlineStr">
        <is>
          <t>Bear</t>
        </is>
      </c>
      <c r="B28" s="51">
        <f>Assumptions!D30</f>
        <v>100.23295436866478</v>
      </c>
      <c r="C28" s="69">
        <f>B28/$B$4-1</f>
        <v>-0.2941341241643326</v>
      </c>
      <c r="D28" s="69">
        <f>IF(B28&gt;0,(B28/$B$4)^(1/$B$9)-1,"")</f>
        <v>-0.2596027938588735</v>
      </c>
      <c r="E28" s="69">
        <f>IF(B28&gt;0,NORMSDIST((LN($B$27/B28)-$B$13^2*$B$9/2)/($B$13*SQRT($B$9))),1)</f>
        <v>0.6830571561179857</v>
      </c>
    </row>
    <row r="29">
      <c r="A29" s="14" t="inlineStr">
        <is>
          <t>Base (reviewed)</t>
        </is>
      </c>
      <c r="B29" s="51">
        <f>Assumptions!D31</f>
        <v>166.5269222105302</v>
      </c>
      <c r="C29" s="69">
        <f>B29/$B$4-1</f>
        <v>0.17272480429950843</v>
      </c>
      <c r="D29" s="69">
        <f>IF(B29&gt;0,(B29/$B$4)^(1/$B$9)-1,"")</f>
        <v>0.14738251713490103</v>
      </c>
      <c r="E29" s="69">
        <f>IF(B29&gt;0,NORMSDIST((LN($B$27/B29)-$B$13^2*$B$9/2)/($B$13*SQRT($B$9))),1)</f>
        <v>0.31620523124783345</v>
      </c>
    </row>
    <row r="30">
      <c r="A30" s="14" t="inlineStr">
        <is>
          <t>Bull</t>
        </is>
      </c>
      <c r="B30" s="51">
        <f>Assumptions!D32</f>
        <v>291.4452645221936</v>
      </c>
      <c r="C30" s="69">
        <f>B30/$B$4-1</f>
        <v>1.0524314402971382</v>
      </c>
      <c r="D30" s="69">
        <f>IF(B30&gt;0,(B30/$B$4)^(1/$B$9)-1,"")</f>
        <v>0.8597376338082321</v>
      </c>
      <c r="E30" s="69">
        <f>IF(B30&gt;0,NORMSDIST((LN($B$27/B30)-$B$13^2*$B$9/2)/($B$13*SQRT($B$9))),1)</f>
        <v>0.06291120963364918</v>
      </c>
    </row>
    <row r="32">
      <c r="A32" s="27" t="inlineStr">
        <is>
          <t>Chain, 2027-12-17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100</v>
      </c>
      <c r="B34" s="52" t="n">
        <v>55</v>
      </c>
      <c r="C34" s="52" t="n">
        <v>60</v>
      </c>
      <c r="D34" s="59" t="n">
        <v>0.5181</v>
      </c>
      <c r="E34" s="52" t="n">
        <v>6.5</v>
      </c>
      <c r="F34" s="52" t="n">
        <v>11.5</v>
      </c>
      <c r="G34" s="59" t="n">
        <v>0.5306999999999999</v>
      </c>
      <c r="H34" s="55" t="n">
        <v>25</v>
      </c>
      <c r="I34" s="55" t="n">
        <v>5</v>
      </c>
    </row>
    <row r="35">
      <c r="A35" s="11" t="n">
        <v>125</v>
      </c>
      <c r="B35" s="52" t="n">
        <v>40</v>
      </c>
      <c r="C35" s="52" t="n">
        <v>45</v>
      </c>
      <c r="D35" s="59" t="n">
        <v>0.5031</v>
      </c>
      <c r="E35" s="52" t="n">
        <v>15</v>
      </c>
      <c r="F35" s="52" t="n">
        <v>20</v>
      </c>
      <c r="G35" s="59" t="n">
        <v>0.5032</v>
      </c>
      <c r="H35" s="55" t="n">
        <v>43</v>
      </c>
      <c r="I35" s="55" t="n">
        <v>21</v>
      </c>
    </row>
    <row r="36">
      <c r="A36" s="11" t="n">
        <v>130</v>
      </c>
      <c r="B36" s="52" t="n">
        <v>37.5</v>
      </c>
      <c r="C36" s="52" t="n">
        <v>42.2</v>
      </c>
      <c r="D36" s="59" t="n">
        <v>0.4995</v>
      </c>
      <c r="E36" s="52" t="n">
        <v>17.5</v>
      </c>
      <c r="F36" s="52" t="n">
        <v>22.5</v>
      </c>
      <c r="G36" s="59" t="n">
        <v>0.5057</v>
      </c>
      <c r="H36" s="55" t="n">
        <v>41</v>
      </c>
      <c r="I36" s="55" t="n">
        <v>25</v>
      </c>
    </row>
    <row r="37">
      <c r="A37" s="11" t="n">
        <v>135</v>
      </c>
      <c r="B37" s="52" t="n">
        <v>35</v>
      </c>
      <c r="C37" s="52" t="n">
        <v>39.7</v>
      </c>
      <c r="D37" s="59" t="n">
        <v>0.4965</v>
      </c>
      <c r="E37" s="52" t="n">
        <v>19.5</v>
      </c>
      <c r="F37" s="52" t="n">
        <v>24.5</v>
      </c>
      <c r="G37" s="59" t="n">
        <v>0.4963</v>
      </c>
      <c r="H37" s="55" t="n">
        <v>2</v>
      </c>
      <c r="I37" s="55" t="n">
        <v>3</v>
      </c>
    </row>
    <row r="38">
      <c r="A38" s="11" t="n">
        <v>140</v>
      </c>
      <c r="B38" s="52" t="n">
        <v>32.5</v>
      </c>
      <c r="C38" s="52" t="n">
        <v>37.5</v>
      </c>
      <c r="D38" s="59" t="n">
        <v>0.4941</v>
      </c>
      <c r="E38" s="52" t="n">
        <v>22</v>
      </c>
      <c r="F38" s="52" t="n">
        <v>27</v>
      </c>
      <c r="G38" s="59" t="n">
        <v>0.4938</v>
      </c>
      <c r="H38" s="55" t="n">
        <v>35</v>
      </c>
      <c r="I38" s="55" t="n">
        <v>12</v>
      </c>
    </row>
    <row r="39">
      <c r="A39" s="11" t="n">
        <v>145</v>
      </c>
      <c r="B39" s="52" t="n">
        <v>30</v>
      </c>
      <c r="C39" s="52" t="n">
        <v>35</v>
      </c>
      <c r="D39" s="59" t="n">
        <v>0.487</v>
      </c>
      <c r="E39" s="52" t="n">
        <v>24.5</v>
      </c>
      <c r="F39" s="52" t="n">
        <v>29.5</v>
      </c>
      <c r="G39" s="59" t="n">
        <v>0.489</v>
      </c>
      <c r="H39" s="55" t="n">
        <v>44</v>
      </c>
      <c r="I39" s="55" t="n">
        <v>38</v>
      </c>
    </row>
    <row r="40">
      <c r="A40" s="11" t="n">
        <v>150</v>
      </c>
      <c r="B40" s="52" t="n">
        <v>28</v>
      </c>
      <c r="C40" s="52" t="n">
        <v>33</v>
      </c>
      <c r="D40" s="59" t="n">
        <v>0.4866</v>
      </c>
      <c r="E40" s="52" t="n">
        <v>27</v>
      </c>
      <c r="F40" s="52" t="n">
        <v>32</v>
      </c>
      <c r="G40" s="59" t="n">
        <v>0.4822</v>
      </c>
      <c r="H40" s="55" t="n">
        <v>5023</v>
      </c>
      <c r="I40" s="55" t="n">
        <v>1</v>
      </c>
    </row>
    <row r="41">
      <c r="A41" s="11" t="n">
        <v>155</v>
      </c>
      <c r="B41" s="52" t="n">
        <v>26</v>
      </c>
      <c r="C41" s="52" t="n">
        <v>31</v>
      </c>
      <c r="D41" s="59" t="n">
        <v>0.4844</v>
      </c>
      <c r="E41" s="52" t="n">
        <v>30.5</v>
      </c>
      <c r="F41" s="52" t="n">
        <v>35</v>
      </c>
      <c r="G41" s="59" t="n">
        <v>0.4858</v>
      </c>
      <c r="H41" s="55" t="n">
        <v>50</v>
      </c>
      <c r="I41" s="55" t="n">
        <v>2</v>
      </c>
    </row>
    <row r="42">
      <c r="A42" s="11" t="n">
        <v>160</v>
      </c>
      <c r="B42" s="52" t="n">
        <v>24</v>
      </c>
      <c r="C42" s="52" t="n">
        <v>29</v>
      </c>
      <c r="D42" s="59" t="n">
        <v>0.4803</v>
      </c>
      <c r="E42" s="52" t="n">
        <v>33.5</v>
      </c>
      <c r="F42" s="52" t="n">
        <v>38</v>
      </c>
      <c r="G42" s="59" t="n">
        <v>0.4831</v>
      </c>
      <c r="H42" s="55" t="n">
        <v>363</v>
      </c>
      <c r="I42" s="55" t="n">
        <v>19</v>
      </c>
    </row>
    <row r="43">
      <c r="A43" s="11" t="n">
        <v>165</v>
      </c>
      <c r="B43" s="52" t="n">
        <v>22.5</v>
      </c>
      <c r="C43" s="52" t="n">
        <v>27.5</v>
      </c>
      <c r="D43" s="59" t="n">
        <v>0.4831</v>
      </c>
      <c r="E43" s="52" t="n">
        <v>36.5</v>
      </c>
      <c r="F43" s="52" t="n">
        <v>41</v>
      </c>
      <c r="G43" s="59" t="n">
        <v>0.4784</v>
      </c>
      <c r="H43" s="55" t="n">
        <v>14</v>
      </c>
      <c r="I43" s="55" t="n">
        <v>4</v>
      </c>
    </row>
    <row r="44">
      <c r="A44" s="11" t="n">
        <v>270</v>
      </c>
      <c r="B44" s="52" t="n">
        <v>3.5</v>
      </c>
      <c r="C44" s="52" t="n">
        <v>8.5</v>
      </c>
      <c r="D44" s="59" t="n">
        <v>0.4683</v>
      </c>
      <c r="E44" s="52" t="n">
        <v>125.5</v>
      </c>
      <c r="F44" s="52" t="n">
        <v>130.5</v>
      </c>
      <c r="G44" s="59" t="n">
        <v>0.4792</v>
      </c>
      <c r="H44" s="55" t="n">
        <v>2</v>
      </c>
      <c r="I44" s="55" t="n">
        <v>0</v>
      </c>
    </row>
    <row r="46">
      <c r="A46" s="27" t="inlineStr">
        <is>
          <t>Strategies, 2027-12-17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(mid)</t>
        </is>
      </c>
      <c r="B48" s="30" t="n">
        <v>140</v>
      </c>
      <c r="C48" s="52" t="n">
        <v>35</v>
      </c>
    </row>
    <row r="49">
      <c r="A49" s="14" t="inlineStr">
        <is>
          <t>Upper call (mid)</t>
        </is>
      </c>
      <c r="B49" s="30" t="n">
        <v>165</v>
      </c>
      <c r="C49" s="52" t="n">
        <v>25</v>
      </c>
    </row>
    <row r="50">
      <c r="A50" s="14" t="inlineStr">
        <is>
          <t>ATM put (mid)</t>
        </is>
      </c>
      <c r="B50" s="30" t="n">
        <v>140</v>
      </c>
      <c r="C50" s="52" t="n">
        <v>24.5</v>
      </c>
    </row>
    <row r="51">
      <c r="A51" s="14" t="inlineStr">
        <is>
          <t>Lower put (theo)</t>
        </is>
      </c>
      <c r="B51" s="30" t="n">
        <v>100</v>
      </c>
      <c r="C51" s="52" t="n">
        <v>8.004</v>
      </c>
    </row>
    <row r="52">
      <c r="A52" s="14" t="inlineStr">
        <is>
          <t>Short-put strike (mid)</t>
        </is>
      </c>
      <c r="B52" s="30" t="n">
        <v>130</v>
      </c>
      <c r="C52" s="52" t="n">
        <v>20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-3500.0</v>
      </c>
      <c r="C55" s="73" t="str">
        <f>"Unlimited"</f>
        <v>Unlimited</v>
      </c>
      <c r="D55" s="73">
        <f>B55</f>
        <v>-3500.0</v>
      </c>
      <c r="E55" s="53">
        <f>$B$48+$C$48</f>
        <v>175.0</v>
      </c>
      <c r="F55" s="73">
        <f>(MAX($B$28-$B$48,0)-$C$48)*$B$14</f>
        <v>-3500.0</v>
      </c>
      <c r="G55" s="73">
        <f>(MAX($B$4-$B$48,0)-$C$48)*$B$14</f>
        <v>-3300.0</v>
      </c>
      <c r="H55" s="73">
        <f>(MAX($B$29-$B$48,0)-$C$48)*$B$14</f>
        <v>-847.3077789469812</v>
      </c>
      <c r="I55" s="73">
        <f>(MAX($B$30-$B$48,0)-$C$48)*$B$14</f>
        <v>11644.526452219361</v>
      </c>
      <c r="J55" s="69">
        <f>NORMSDIST((LN($B$27/(E55))-$B$13^2*$B$9/2)/($B$13*SQRT($B$9)))</f>
        <v>0.28377650786950415</v>
      </c>
    </row>
    <row r="56">
      <c r="A56" s="14" t="inlineStr">
        <is>
          <t>Bull call spread (ATM / upper)</t>
        </is>
      </c>
      <c r="B56" s="73">
        <f>-($C$48-$C$49)*$B$14</f>
        <v>-1000.0</v>
      </c>
      <c r="C56" s="73">
        <f>($B$49-$B$48)*$B$14+B56</f>
        <v>1500.0</v>
      </c>
      <c r="D56" s="73">
        <f>B56</f>
        <v>-1000.0</v>
      </c>
      <c r="E56" s="53">
        <f>$B$48+$C$48-$C$49</f>
        <v>150.0</v>
      </c>
      <c r="F56" s="73">
        <f>(MAX($B$28-$B$48,0)-MAX($B$28-$B$49,0)-$C$48+$C$49)*$B$14</f>
        <v>-1000.0</v>
      </c>
      <c r="G56" s="73">
        <f>(MAX($B$4-$B$48,0)-MAX($B$4-$B$49,0)-$C$48+$C$49)*$B$14</f>
        <v>-800.0</v>
      </c>
      <c r="H56" s="73">
        <f>(MAX($B$29-$B$48,0)-MAX($B$29-$B$49,0)-$C$48+$C$49)*$B$14</f>
        <v>1500.0</v>
      </c>
      <c r="I56" s="73">
        <f>(MAX($B$30-$B$48,0)-MAX($B$30-$B$49,0)-$C$48+$C$49)*$B$14</f>
        <v>1500.0</v>
      </c>
      <c r="J56" s="69">
        <f>NORMSDIST((LN($B$27/(E56))-$B$13^2*$B$9/2)/($B$13*SQRT($B$9)))</f>
        <v>0.38905047087055294</v>
      </c>
    </row>
    <row r="57">
      <c r="A57" s="14" t="inlineStr">
        <is>
          <t>Cash-secured put (~10% below spot)</t>
        </is>
      </c>
      <c r="B57" s="73">
        <f>$C$52*$B$14</f>
        <v>2000.0</v>
      </c>
      <c r="C57" s="73">
        <f>B57</f>
        <v>2000.0</v>
      </c>
      <c r="D57" s="73">
        <f>-($B$52*$B$14-B57)</f>
        <v>-11000.0</v>
      </c>
      <c r="E57" s="53">
        <f>$B$52-$C$52</f>
        <v>110.0</v>
      </c>
      <c r="F57" s="73">
        <f>($C$52-MAX($B$52-$B$28,0))*$B$14</f>
        <v>-976.7045631335222</v>
      </c>
      <c r="G57" s="73">
        <f>($C$52-MAX($B$52-$B$4,0))*$B$14</f>
        <v>2000.0</v>
      </c>
      <c r="H57" s="73">
        <f>($C$52-MAX($B$52-$B$29,0))*$B$14</f>
        <v>2000.0</v>
      </c>
      <c r="I57" s="73">
        <f>($C$52-MAX($B$52-$B$30,0))*$B$14</f>
        <v>2000.0</v>
      </c>
      <c r="J57" s="69">
        <f>NORMSDIST((LN($B$27/(E57))-$B$13^2*$B$9/2)/($B$13*SQRT($B$9)))</f>
        <v>0.6184526370483028</v>
      </c>
    </row>
    <row r="58">
      <c r="A58" s="14" t="inlineStr">
        <is>
          <t>Covered call (100 shares + upper call, incl. dividends)</t>
        </is>
      </c>
      <c r="B58" s="73">
        <f>$C$49*$B$14</f>
        <v>2500.0</v>
      </c>
      <c r="C58" s="73">
        <f>($B$49-$B$4)*$B$14+B58+$B$4*$B$11*$B$9*$B$14</f>
        <v>4800.0</v>
      </c>
      <c r="D58" s="73">
        <f>-($B$4*$B$14-B58-$B$4*$B$11*$B$9*$B$14)</f>
        <v>-11700.0</v>
      </c>
      <c r="E58" s="53">
        <f>$B$4-$C$49-$B$4*$B$11*$B$9</f>
        <v>117.0</v>
      </c>
      <c r="F58" s="73">
        <f>($B$28-$B$4+$C$49-MAX($B$28-$B$49,0)+$B$4*$B$11*$B$9)*$B$14</f>
        <v>-1676.7045631335222</v>
      </c>
      <c r="G58" s="73">
        <f>($B$4-$B$4+$C$49-MAX($B$4-$B$49,0)+$B$4*$B$11*$B$9)*$B$14</f>
        <v>2500.0</v>
      </c>
      <c r="H58" s="73">
        <f>($B$29-$B$4+$C$49-MAX($B$29-$B$49,0)+$B$4*$B$11*$B$9)*$B$14</f>
        <v>4800.0</v>
      </c>
      <c r="I58" s="73">
        <f>($B$30-$B$4+$C$49-MAX($B$30-$B$49,0)+$B$4*$B$11*$B$9)*$B$14</f>
        <v>4800.0</v>
      </c>
      <c r="J58" s="69">
        <f>NORMSDIST((LN($B$27/(E58))-$B$13^2*$B$9/2)/($B$13*SQRT($B$9)))</f>
        <v>0.5735466728338785</v>
      </c>
    </row>
    <row r="59">
      <c r="A59" s="14" t="inlineStr">
        <is>
          <t>Bear put spread (ATM / lower)</t>
        </is>
      </c>
      <c r="B59" s="73">
        <f>-($C$50-$C$51)*$B$14</f>
        <v>-1649.6000000000001</v>
      </c>
      <c r="C59" s="73">
        <f>($B$50-$B$51)*$B$14+B59</f>
        <v>2350.3999999999996</v>
      </c>
      <c r="D59" s="73">
        <f>B59</f>
        <v>-1649.6000000000001</v>
      </c>
      <c r="E59" s="53">
        <f>$B$50-$C$50+$C$51</f>
        <v>123.504</v>
      </c>
      <c r="F59" s="73">
        <f>(MAX($B$50-$B$28,0)-MAX($B$51-$B$28,0)-$C$50+$C$51)*$B$14</f>
        <v>2327.104563133522</v>
      </c>
      <c r="G59" s="73">
        <f>(MAX($B$50-$B$4,0)-MAX($B$51-$B$4,0)-$C$50+$C$51)*$B$14</f>
        <v>-1649.6000000000001</v>
      </c>
      <c r="H59" s="73">
        <f>(MAX($B$50-$B$29,0)-MAX($B$51-$B$29,0)-$C$50+$C$51)*$B$14</f>
        <v>-1649.6000000000001</v>
      </c>
      <c r="I59" s="73">
        <f>(MAX($B$50-$B$30,0)-MAX($B$51-$B$30,0)-$C$50+$C$51)*$B$14</f>
        <v>-1649.6000000000001</v>
      </c>
      <c r="J59" s="69">
        <f>1-NORMSDIST((LN($B$27/(E59))-$B$13^2*$B$9/2)/($B$13*SQRT($B$9)))</f>
        <v>0.46665449542583337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2026-10-21T06:21:20Z</dcterms:modified>
  <cp:lastModifiedBy>Wang, Eric</cp:lastModifiedBy>
</cp:coreProperties>
</file>