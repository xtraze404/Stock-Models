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Neurogene Inc.</t>
        </is>
      </c>
      <c r="C2" s="10" t="n"/>
    </row>
    <row r="3">
      <c r="B3" t="inlineStr">
        <is>
          <t>Price</t>
        </is>
      </c>
      <c r="C3" s="11">
        <f>INDEX([1]Pharma!$F$1:$F$1000,MATCH("NGNE",[1]Pharma!$B$1:$B$1000,0))</f>
        <v>25.4</v>
      </c>
      <c r="F3" s="1" t="n"/>
    </row>
    <row r="4">
      <c r="B4" t="inlineStr">
        <is>
          <t>Shares</t>
        </is>
      </c>
      <c r="C4" s="21" t="n">
        <v>20.011382</v>
      </c>
      <c r="F4" s="1" t="n"/>
    </row>
    <row r="5">
      <c r="B5" t="inlineStr">
        <is>
          <t>Market Cap.</t>
        </is>
      </c>
      <c r="C5" s="13">
        <f>C3*C4</f>
        <v>508.2891028</v>
      </c>
      <c r="F5" s="1" t="n"/>
    </row>
    <row r="6"/>
    <row r="7">
      <c r="B7" t="inlineStr">
        <is>
          <t>Cash</t>
        </is>
      </c>
      <c r="C7" s="21">
        <f>112.485+112.907</f>
        <v>225.392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282.8971028</v>
      </c>
    </row>
    <row r="10"/>
    <row r="11">
      <c r="B11" s="14" t="inlineStr">
        <is>
          <t>Net Cash / Share</t>
        </is>
      </c>
      <c r="C11" s="11">
        <f>(C7-C8)/C4</f>
        <v>11.263190118503559</v>
      </c>
    </row>
    <row r="12">
      <c r="B12" s="14" t="inlineStr">
        <is>
          <t>Upside</t>
        </is>
      </c>
      <c r="C12" s="15">
        <f>IFERROR(C11/C3-1,"")</f>
        <v>-0.5565673181691513</v>
      </c>
    </row>
    <row r="13">
      <c r="B13" s="14" t="inlineStr">
        <is>
          <t>Cash / Share</t>
        </is>
      </c>
      <c r="C13" s="11">
        <f>IFERROR((C7-C8)/C4,"")</f>
        <v>11.263190118503559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-86.81699999999999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2.5961735604777867</v>
      </c>
    </row>
    <row r="19">
      <c r="B19" s="14" t="inlineStr">
        <is>
          <t>Implied Pipeline Value</t>
        </is>
      </c>
      <c r="C19" s="13">
        <f>C9</f>
        <v>282.8971028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25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0.925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25.0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0.925</v>
      </c>
      <c r="O4" s="23">
        <f>O2-O3</f>
        <v>0.0</v>
      </c>
    </row>
    <row r="5">
      <c r="A5" s="2" t="inlineStr">
        <is>
          <t>Research &amp; Dev.</t>
        </is>
      </c>
      <c r="B5" s="23" t="n">
        <v>6.045</v>
      </c>
      <c r="C5" s="23" t="n">
        <v>7.599</v>
      </c>
      <c r="D5" s="23" t="n">
        <v>18.079</v>
      </c>
      <c r="E5" s="23" t="n">
        <v>15.799</v>
      </c>
      <c r="F5" s="23" t="n">
        <v>28.382</v>
      </c>
      <c r="G5" s="23" t="n">
        <v>36.267</v>
      </c>
      <c r="H5" s="23" t="n">
        <v>41.789</v>
      </c>
      <c r="I5" s="23" t="n">
        <v>4.417</v>
      </c>
      <c r="J5" s="23" t="n">
        <v>24.344</v>
      </c>
      <c r="K5" s="23" t="n">
        <v>39.162</v>
      </c>
      <c r="L5" s="23" t="n">
        <v>47.505</v>
      </c>
      <c r="M5" s="23" t="n">
        <v>44.394</v>
      </c>
      <c r="N5" s="23" t="n">
        <v>60.917</v>
      </c>
      <c r="O5" s="23" t="n">
        <v>75.011</v>
      </c>
    </row>
    <row r="6">
      <c r="A6" s="19" t="inlineStr">
        <is>
          <t>SG&amp;A &amp; Other</t>
        </is>
      </c>
      <c r="B6" s="23" t="n">
        <v>1.636</v>
      </c>
      <c r="C6" s="23" t="n">
        <v>1.777</v>
      </c>
      <c r="D6" s="23" t="n">
        <v>4.296</v>
      </c>
      <c r="E6" s="23" t="n">
        <v>5.541</v>
      </c>
      <c r="F6" s="23" t="n">
        <v>9.263</v>
      </c>
      <c r="G6" s="23" t="n">
        <v>14.852</v>
      </c>
      <c r="H6" s="23" t="n">
        <v>15.835</v>
      </c>
      <c r="I6" s="23" t="n">
        <v>66.542</v>
      </c>
      <c r="J6" s="23" t="n">
        <v>9.384</v>
      </c>
      <c r="K6" s="23" t="n">
        <v>21.536</v>
      </c>
      <c r="L6" s="23" t="n">
        <v>9.012</v>
      </c>
      <c r="M6" s="23" t="n">
        <v>11.189</v>
      </c>
      <c r="N6" s="23" t="n">
        <v>22.613</v>
      </c>
      <c r="O6" s="23" t="n">
        <v>28.317</v>
      </c>
    </row>
    <row r="7">
      <c r="A7" s="2" t="inlineStr">
        <is>
          <t>Operating Expense</t>
        </is>
      </c>
      <c r="B7" s="23">
        <f>SUM(B5:B6)</f>
        <v>7.681</v>
      </c>
      <c r="C7" s="23">
        <f>SUM(C5:C6)</f>
        <v>9.376</v>
      </c>
      <c r="D7" s="23">
        <f>SUM(D5:D6)</f>
        <v>22.375</v>
      </c>
      <c r="E7" s="23">
        <f>SUM(E5:E6)</f>
        <v>21.34</v>
      </c>
      <c r="F7" s="23">
        <f>SUM(F5:F6)</f>
        <v>37.645</v>
      </c>
      <c r="G7" s="23">
        <f>SUM(G5:G6)</f>
        <v>51.119</v>
      </c>
      <c r="H7" s="23">
        <f>SUM(H5:H6)</f>
        <v>57.624</v>
      </c>
      <c r="I7" s="23">
        <f>SUM(I5:I6)</f>
        <v>70.959</v>
      </c>
      <c r="J7" s="23">
        <f>SUM(J5:J6)</f>
        <v>33.728</v>
      </c>
      <c r="K7" s="23">
        <f>SUM(K5:K6)</f>
        <v>60.698</v>
      </c>
      <c r="L7" s="23">
        <f>SUM(L5:L6)</f>
        <v>56.517</v>
      </c>
      <c r="M7" s="23">
        <f>SUM(M5:M6)</f>
        <v>55.583</v>
      </c>
      <c r="N7" s="23">
        <f>SUM(N5:N6)</f>
        <v>83.53</v>
      </c>
      <c r="O7" s="23">
        <f>SUM(O5:O6)</f>
        <v>103.328</v>
      </c>
    </row>
    <row r="8">
      <c r="A8" s="2" t="inlineStr">
        <is>
          <t>Operating Income</t>
        </is>
      </c>
      <c r="B8" s="23">
        <f>B4-B7</f>
        <v>-7.681</v>
      </c>
      <c r="C8" s="23">
        <f>C4-C7</f>
        <v>-9.376</v>
      </c>
      <c r="D8" s="23">
        <f>D4-D7</f>
        <v>-22.375</v>
      </c>
      <c r="E8" s="23">
        <f>E4-E7</f>
        <v>-21.34</v>
      </c>
      <c r="F8" s="23">
        <f>F4-F7</f>
        <v>-37.645</v>
      </c>
      <c r="G8" s="23">
        <f>G4-G7</f>
        <v>-51.119</v>
      </c>
      <c r="H8" s="23">
        <f>H4-H7</f>
        <v>-32.624</v>
      </c>
      <c r="I8" s="23">
        <f>I4-I7</f>
        <v>-70.959</v>
      </c>
      <c r="J8" s="23">
        <f>J4-J7</f>
        <v>-33.728</v>
      </c>
      <c r="K8" s="23">
        <f>K4-K7</f>
        <v>-60.698</v>
      </c>
      <c r="L8" s="23">
        <f>L4-L7</f>
        <v>-56.517</v>
      </c>
      <c r="M8" s="23">
        <f>M4-M7</f>
        <v>-55.583</v>
      </c>
      <c r="N8" s="23">
        <f>N4-N7</f>
        <v>-82.605</v>
      </c>
      <c r="O8" s="23">
        <f>O4-O7</f>
        <v>-103.328</v>
      </c>
    </row>
    <row r="9">
      <c r="A9" s="19" t="inlineStr">
        <is>
          <t>Interest &amp; Other</t>
        </is>
      </c>
      <c r="B9" s="23" t="n">
        <v>0.008999999999999999</v>
      </c>
      <c r="C9" s="23" t="n">
        <v>0.642</v>
      </c>
      <c r="D9" s="23" t="n">
        <v>-1.652</v>
      </c>
      <c r="E9" s="23" t="n">
        <v>-0.52</v>
      </c>
      <c r="F9" s="23" t="n">
        <v>0.643</v>
      </c>
      <c r="G9" s="23" t="n">
        <v>0.9360000000000001</v>
      </c>
      <c r="H9" s="23" t="n">
        <v>1.039</v>
      </c>
      <c r="I9" s="23" t="n">
        <v>1.517</v>
      </c>
      <c r="J9" s="23" t="n">
        <v>0.451</v>
      </c>
      <c r="K9" s="23" t="n">
        <v>0.006</v>
      </c>
      <c r="L9" s="23" t="n">
        <v>1.328</v>
      </c>
      <c r="M9" s="23" t="n">
        <v>19.266</v>
      </c>
      <c r="N9" s="23" t="n">
        <v>7.461</v>
      </c>
      <c r="O9" s="23" t="n">
        <v>12.977</v>
      </c>
    </row>
    <row r="10">
      <c r="A10" s="2" t="inlineStr">
        <is>
          <t>Pretax</t>
        </is>
      </c>
      <c r="B10" s="23">
        <f>B8+B9</f>
        <v>-7.672</v>
      </c>
      <c r="C10" s="23">
        <f>C8+C9</f>
        <v>-8.734</v>
      </c>
      <c r="D10" s="23">
        <f>D8+D9</f>
        <v>-24.027</v>
      </c>
      <c r="E10" s="23">
        <f>E8+E9</f>
        <v>-21.86</v>
      </c>
      <c r="F10" s="23">
        <f>F8+F9</f>
        <v>-37.002</v>
      </c>
      <c r="G10" s="23">
        <f>G8+G9</f>
        <v>-50.183</v>
      </c>
      <c r="H10" s="23">
        <f>H8+H9</f>
        <v>-31.585</v>
      </c>
      <c r="I10" s="23">
        <f>I8+I9</f>
        <v>-69.44200000000001</v>
      </c>
      <c r="J10" s="23">
        <f>J8+J9</f>
        <v>-33.277</v>
      </c>
      <c r="K10" s="23">
        <f>K8+K9</f>
        <v>-60.692</v>
      </c>
      <c r="L10" s="23">
        <f>L8+L9</f>
        <v>-55.189</v>
      </c>
      <c r="M10" s="23">
        <f>M8+M9</f>
        <v>-36.317</v>
      </c>
      <c r="N10" s="23">
        <f>N8+N9</f>
        <v>-75.144</v>
      </c>
      <c r="O10" s="23">
        <f>O8+O9</f>
        <v>-90.351</v>
      </c>
    </row>
    <row r="11">
      <c r="A11" s="2" t="inlineStr">
        <is>
          <t>Taxes</t>
        </is>
      </c>
      <c r="B11" s="23" t="n">
        <v>0.042</v>
      </c>
      <c r="C11" s="23" t="n">
        <v>-0.005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-7.714</v>
      </c>
      <c r="C12" s="23" t="n">
        <v>-8.728999999999999</v>
      </c>
      <c r="D12" s="23" t="n">
        <v>-24.027</v>
      </c>
      <c r="E12" s="23" t="n">
        <v>-21.86</v>
      </c>
      <c r="F12" s="23" t="n">
        <v>-37.002</v>
      </c>
      <c r="G12" s="23" t="n">
        <v>-50.183</v>
      </c>
      <c r="H12" s="23" t="n">
        <v>-31.585</v>
      </c>
      <c r="I12" s="23" t="n">
        <v>-69.44199999999999</v>
      </c>
      <c r="J12" s="23" t="n">
        <v>-33.277</v>
      </c>
      <c r="K12" s="23" t="n">
        <v>-60.692</v>
      </c>
      <c r="L12" s="23" t="n">
        <v>-55.189</v>
      </c>
      <c r="M12" s="23" t="n">
        <v>-36.317</v>
      </c>
      <c r="N12" s="23" t="n">
        <v>-75.14400000000001</v>
      </c>
      <c r="O12" s="23" t="n">
        <v>-90.351</v>
      </c>
    </row>
    <row r="13">
      <c r="A13" s="2" t="inlineStr">
        <is>
          <t>Earnings per Share</t>
        </is>
      </c>
      <c r="B13" s="11">
        <f>IFERROR(B12/B14,0)</f>
        <v>-0.8814992572277455</v>
      </c>
      <c r="C13" s="11">
        <f>IFERROR(C12/C14,0)</f>
        <v>-0.9974860015998172</v>
      </c>
      <c r="D13" s="11">
        <f>IFERROR(D12/D14,0)</f>
        <v>-2.7722395292488753</v>
      </c>
      <c r="E13" s="11">
        <f>IFERROR(E12/E14,0)</f>
        <v>-1.7297040670992245</v>
      </c>
      <c r="F13" s="11">
        <f>IFERROR(F12/F14,0)</f>
        <v>-1.9583994919021914</v>
      </c>
      <c r="G13" s="11">
        <f>IFERROR(G12/G14,0)</f>
        <v>-2.14</v>
      </c>
      <c r="H13" s="11">
        <f>IFERROR(H12/H14,0)</f>
        <v>-1.3428996598639455</v>
      </c>
      <c r="I13" s="11">
        <f>IFERROR(I12/I14,0)</f>
        <v>-2.5690714021457635</v>
      </c>
      <c r="J13" s="11">
        <f>IFERROR(J12/J14,0)</f>
        <v>-0.6421032320308732</v>
      </c>
      <c r="K13" s="11">
        <f>IFERROR(K12/K14,0)</f>
        <v>-1.1026488863050035</v>
      </c>
      <c r="L13" s="11">
        <f>IFERROR(L12/L14,0)</f>
        <v>-0.9994205103131056</v>
      </c>
      <c r="M13" s="11">
        <f>IFERROR(M12/M14,0)</f>
        <v>0</v>
      </c>
      <c r="N13" s="11">
        <f>IFERROR(N12/N14,0)</f>
        <v>-4.277565890590312</v>
      </c>
      <c r="O13" s="11">
        <f>IFERROR(O12/O14,0)</f>
        <v>-4.236659476695114</v>
      </c>
    </row>
    <row r="14">
      <c r="A14" s="2" t="inlineStr">
        <is>
          <t>Shares</t>
        </is>
      </c>
      <c r="B14" s="23" t="n">
        <v>8.750999999999999</v>
      </c>
      <c r="C14" s="23" t="n">
        <v>8.750999999999999</v>
      </c>
      <c r="D14" s="23" t="n">
        <v>8.667</v>
      </c>
      <c r="E14" s="23" t="n">
        <v>12.638</v>
      </c>
      <c r="F14" s="23" t="n">
        <v>18.894</v>
      </c>
      <c r="G14" s="23" t="n">
        <v>23.45</v>
      </c>
      <c r="H14" s="23" t="n">
        <v>23.52</v>
      </c>
      <c r="I14" s="23" t="n">
        <v>27.03</v>
      </c>
      <c r="J14" s="23" t="n">
        <v>51.825</v>
      </c>
      <c r="K14" s="23" t="n">
        <v>55.042</v>
      </c>
      <c r="L14" s="23" t="n">
        <v>55.221</v>
      </c>
      <c r="M14" s="23" t="n"/>
      <c r="N14" s="23" t="n">
        <v>17.567</v>
      </c>
      <c r="O14" s="23" t="n">
        <v>21.326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-1.0</v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>-1.0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1.0</v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>1.0</v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-1.3049600000000001</v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>-89.3027027027027</v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2026-10-21T01:05:09Z</dcterms:modified>
  <cp:lastModifiedBy>Wang, Eric</cp:lastModifiedBy>
</cp:coreProperties>
</file>