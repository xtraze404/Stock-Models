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Olema Pharmaceuticals, Inc.</t>
        </is>
      </c>
      <c r="C2" s="10" t="n"/>
    </row>
    <row r="3">
      <c r="B3" t="inlineStr">
        <is>
          <t>Price</t>
        </is>
      </c>
      <c r="C3" s="11">
        <f>INDEX([1]Pharma!$F$1:$F$1000,MATCH("OLMA",[1]Pharma!$B$1:$B$1000,0))</f>
        <v>7.25</v>
      </c>
      <c r="F3" s="1" t="n"/>
    </row>
    <row r="4">
      <c r="B4" t="inlineStr">
        <is>
          <t>Shares</t>
        </is>
      </c>
      <c r="C4" s="21" t="n">
        <v>87.497607</v>
      </c>
      <c r="F4" s="1" t="n"/>
    </row>
    <row r="5">
      <c r="B5" t="inlineStr">
        <is>
          <t>Market Cap.</t>
        </is>
      </c>
      <c r="C5" s="13">
        <f>C3*C4</f>
        <v>634.3576507500001</v>
      </c>
      <c r="F5" s="1" t="n"/>
    </row>
    <row r="6"/>
    <row r="7">
      <c r="B7" t="inlineStr">
        <is>
          <t>Cash</t>
        </is>
      </c>
      <c r="C7" s="21">
        <f>48.599+412.471</f>
        <v>461.07</v>
      </c>
    </row>
    <row r="8">
      <c r="B8" t="inlineStr">
        <is>
          <t>Debt</t>
        </is>
      </c>
      <c r="C8" s="21" t="n">
        <v>3</v>
      </c>
    </row>
    <row r="9">
      <c r="B9" t="inlineStr">
        <is>
          <t>Enterprise V.</t>
        </is>
      </c>
      <c r="C9" s="13">
        <f>C5-C7+C8</f>
        <v>176.28765075000007</v>
      </c>
    </row>
    <row r="10"/>
    <row r="11">
      <c r="B11" s="14" t="inlineStr">
        <is>
          <t>Net Cash / Share</t>
        </is>
      </c>
      <c r="C11" s="11">
        <f>(C7-C8)/C4</f>
        <v>5.235228890316966</v>
      </c>
    </row>
    <row r="12">
      <c r="B12" s="14" t="inlineStr">
        <is>
          <t>Upside</t>
        </is>
      </c>
      <c r="C12" s="15">
        <f>IFERROR(C11/C3-1,"")</f>
        <v>-0.2778994634045564</v>
      </c>
    </row>
    <row r="13">
      <c r="B13" s="14" t="inlineStr">
        <is>
          <t>Cash / Share</t>
        </is>
      </c>
      <c r="C13" s="11">
        <f>IFERROR((C7-C8)/C4,"")</f>
        <v>5.235228890316966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-164.737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2.7806139482933405</v>
      </c>
    </row>
    <row r="19">
      <c r="B19" s="14" t="inlineStr">
        <is>
          <t>Implied Pipeline Value</t>
        </is>
      </c>
      <c r="C19" s="13">
        <f>C9</f>
        <v>176.28765075000007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3.92</v>
      </c>
      <c r="C5" s="23" t="n">
        <v>13.704</v>
      </c>
      <c r="D5" s="23" t="n">
        <v>51.1</v>
      </c>
      <c r="E5" s="23" t="n">
        <v>82.274</v>
      </c>
      <c r="F5" s="23" t="n">
        <v>86.14</v>
      </c>
      <c r="G5" s="23" t="n">
        <v>124.517</v>
      </c>
      <c r="H5" s="23" t="n">
        <v>157.697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0.403</v>
      </c>
      <c r="C6" s="23" t="n">
        <v>7.824</v>
      </c>
      <c r="D6" s="23" t="n">
        <v>20.391</v>
      </c>
      <c r="E6" s="23" t="n">
        <v>24.714</v>
      </c>
      <c r="F6" s="23" t="n">
        <v>18.821</v>
      </c>
      <c r="G6" s="23" t="n">
        <v>17.741</v>
      </c>
      <c r="H6" s="23" t="n">
        <v>21.001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4.323</v>
      </c>
      <c r="C7" s="23">
        <f>SUM(C5:C6)</f>
        <v>21.528</v>
      </c>
      <c r="D7" s="23">
        <f>SUM(D5:D6)</f>
        <v>71.491</v>
      </c>
      <c r="E7" s="23">
        <f>SUM(E5:E6)</f>
        <v>106.988</v>
      </c>
      <c r="F7" s="23">
        <f>SUM(F5:F6)</f>
        <v>104.961</v>
      </c>
      <c r="G7" s="23">
        <f>SUM(G5:G6)</f>
        <v>142.25799999999998</v>
      </c>
      <c r="H7" s="23">
        <f>SUM(H5:H6)</f>
        <v>178.698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-4.323</v>
      </c>
      <c r="C8" s="23">
        <f>C4-C7</f>
        <v>-21.528</v>
      </c>
      <c r="D8" s="23">
        <f>D4-D7</f>
        <v>-71.491</v>
      </c>
      <c r="E8" s="23">
        <f>E4-E7</f>
        <v>-106.988</v>
      </c>
      <c r="F8" s="23">
        <f>F4-F7</f>
        <v>-104.961</v>
      </c>
      <c r="G8" s="23">
        <f>G4-G7</f>
        <v>-142.25799999999998</v>
      </c>
      <c r="H8" s="23">
        <f>H4-H7</f>
        <v>-178.698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0.007</v>
      </c>
      <c r="C9" s="23" t="n">
        <v>-0.593</v>
      </c>
      <c r="D9" s="23" t="n">
        <v>0.395</v>
      </c>
      <c r="E9" s="23" t="n">
        <v>2.202</v>
      </c>
      <c r="F9" s="23" t="n">
        <v>8.308</v>
      </c>
      <c r="G9" s="23" t="n">
        <v>12.786</v>
      </c>
      <c r="H9" s="23" t="n">
        <v>16.25</v>
      </c>
    </row>
    <row r="10">
      <c r="A10" s="2" t="inlineStr">
        <is>
          <t>Pretax</t>
        </is>
      </c>
      <c r="B10" s="23">
        <f>B8+B9</f>
        <v>-4.316000000000001</v>
      </c>
      <c r="C10" s="23">
        <f>C8+C9</f>
        <v>-22.121</v>
      </c>
      <c r="D10" s="23">
        <f>D8+D9</f>
        <v>-71.096</v>
      </c>
      <c r="E10" s="23">
        <f>E8+E9</f>
        <v>-104.786</v>
      </c>
      <c r="F10" s="23">
        <f>F8+F9</f>
        <v>-96.65299999999999</v>
      </c>
      <c r="G10" s="23">
        <f>G8+G9</f>
        <v>-129.47199999999998</v>
      </c>
      <c r="H10" s="23">
        <f>H8+H9</f>
        <v>-162.448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0.001</v>
      </c>
      <c r="F11" s="23" t="n">
        <v>0.002</v>
      </c>
      <c r="G11" s="23" t="n">
        <v>0.002</v>
      </c>
      <c r="H11" s="23" t="n">
        <v>0.003</v>
      </c>
    </row>
    <row r="12">
      <c r="A12" s="2" t="inlineStr">
        <is>
          <t>Net Income</t>
        </is>
      </c>
      <c r="B12" s="23" t="n">
        <v>-4.316</v>
      </c>
      <c r="C12" s="23" t="n">
        <v>-22.121</v>
      </c>
      <c r="D12" s="23" t="n">
        <v>-71.096</v>
      </c>
      <c r="E12" s="23" t="n">
        <v>-104.787</v>
      </c>
      <c r="F12" s="23" t="n">
        <v>-96.655</v>
      </c>
      <c r="G12" s="23" t="n">
        <v>-129.474</v>
      </c>
      <c r="H12" s="23" t="n">
        <v>-162.451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-1.6644812957963748</v>
      </c>
      <c r="C13" s="11">
        <f>IFERROR(C12/C14,0)</f>
        <v>-3.1506907847884915</v>
      </c>
      <c r="D13" s="11">
        <f>IFERROR(D12/D14,0)</f>
        <v>-1.7988057888877644</v>
      </c>
      <c r="E13" s="11">
        <f>IFERROR(E12/E14,0)</f>
        <v>-2.6200025003125393</v>
      </c>
      <c r="F13" s="11">
        <f>IFERROR(F12/F14,0)</f>
        <v>-2.136163723561783</v>
      </c>
      <c r="G13" s="11">
        <f>IFERROR(G12/G14,0)</f>
        <v>-2.2040378591856187</v>
      </c>
      <c r="H13" s="11">
        <f>IFERROR(H12/H14,0)</f>
        <v>-1.8671241063834678</v>
      </c>
    </row>
    <row r="14">
      <c r="A14" s="2" t="inlineStr">
        <is>
          <t>Shares</t>
        </is>
      </c>
      <c r="B14" s="23" t="n">
        <v>2.593</v>
      </c>
      <c r="C14" s="23" t="n">
        <v>7.021</v>
      </c>
      <c r="D14" s="23" t="n">
        <v>39.524</v>
      </c>
      <c r="E14" s="23" t="n">
        <v>39.995</v>
      </c>
      <c r="F14" s="23" t="n">
        <v>45.247</v>
      </c>
      <c r="G14" s="23" t="n">
        <v>58.744</v>
      </c>
      <c r="H14" s="23" t="n">
        <v>87.006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2026-10-21T01:05:04Z</dcterms:modified>
  <cp:lastModifiedBy>Wang, Eric</cp:lastModifiedBy>
</cp:coreProperties>
</file>