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Oculis Holding AG</t>
        </is>
      </c>
      <c r="C2" s="10" t="n"/>
    </row>
    <row r="3">
      <c r="B3" t="inlineStr">
        <is>
          <t>Price</t>
        </is>
      </c>
      <c r="C3" s="11">
        <f>INDEX([1]Pharma!$F$1:$F$1000,MATCH("OCS",[1]Pharma!$B$1:$B$1000,0))</f>
        <v>7.49</v>
      </c>
      <c r="F3" s="1" t="n"/>
    </row>
    <row r="4">
      <c r="B4" t="inlineStr">
        <is>
          <t>Shares</t>
        </is>
      </c>
      <c r="C4" s="21" t="n">
        <v>60.089344</v>
      </c>
      <c r="F4" s="1" t="n"/>
    </row>
    <row r="5">
      <c r="B5" t="inlineStr">
        <is>
          <t>Market Cap.</t>
        </is>
      </c>
      <c r="C5" s="13">
        <f>C3*C4</f>
        <v>450.06918656</v>
      </c>
      <c r="F5" s="1" t="n"/>
    </row>
    <row r="6"/>
    <row r="7">
      <c r="B7" t="inlineStr">
        <is>
          <t>Cash</t>
        </is>
      </c>
      <c r="C7" s="21">
        <f>(81.329+0.801)/0.82396</f>
        <v>99.67716879460167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350.39201776539835</v>
      </c>
    </row>
    <row r="10"/>
    <row r="11">
      <c r="B11" s="14" t="inlineStr">
        <is>
          <t>Net Cash / Share</t>
        </is>
      </c>
      <c r="C11" s="11">
        <f>(C7-C8)/C4</f>
        <v>1.6588160588772891</v>
      </c>
    </row>
    <row r="12">
      <c r="B12" s="14" t="inlineStr">
        <is>
          <t>Upside</t>
        </is>
      </c>
      <c r="C12" s="15">
        <f>IFERROR(C11/C3-1,"")</f>
        <v>-0.7785292311245275</v>
      </c>
    </row>
    <row r="13">
      <c r="B13" s="14" t="inlineStr">
        <is>
          <t>Cash / Share</t>
        </is>
      </c>
      <c r="C13" s="11">
        <f>IFERROR((C7-C8)/C4,"")</f>
        <v>1.6588160588772891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-80.47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1.2386873219162629</v>
      </c>
    </row>
    <row r="19">
      <c r="B19" s="14" t="inlineStr">
        <is>
          <t>Implied Pipeline Value</t>
        </is>
      </c>
      <c r="C19" s="13">
        <f>C9</f>
        <v>350.39201776539835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1.205</v>
      </c>
      <c r="C2" s="23" t="n">
        <v>1.165</v>
      </c>
      <c r="D2" s="23" t="n">
        <v>1.107</v>
      </c>
      <c r="E2" s="23" t="n">
        <v>1.072</v>
      </c>
      <c r="F2" s="23" t="n">
        <v>0.833</v>
      </c>
      <c r="G2" s="23" t="n">
        <v>1.455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1.205</v>
      </c>
      <c r="C4" s="23">
        <f>C2-C3</f>
        <v>1.165</v>
      </c>
      <c r="D4" s="23">
        <f>D2-D3</f>
        <v>1.107</v>
      </c>
      <c r="E4" s="23">
        <f>E2-E3</f>
        <v>1.072</v>
      </c>
      <c r="F4" s="23">
        <f>F2-F3</f>
        <v>0.833</v>
      </c>
      <c r="G4" s="23">
        <f>G2-G3</f>
        <v>1.455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11.332</v>
      </c>
      <c r="C5" s="23" t="n">
        <v>11.612</v>
      </c>
      <c r="D5" s="23" t="n">
        <v>26.972</v>
      </c>
      <c r="E5" s="23" t="n">
        <v>35.496</v>
      </c>
      <c r="F5" s="23" t="n">
        <v>63.211</v>
      </c>
      <c r="G5" s="23" t="n">
        <v>69.28100000000001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4.845</v>
      </c>
      <c r="C6" s="23" t="n">
        <v>5.612</v>
      </c>
      <c r="D6" s="23" t="n">
        <v>13.428</v>
      </c>
      <c r="E6" s="23" t="n">
        <v>63.535</v>
      </c>
      <c r="F6" s="23" t="n">
        <v>26.466</v>
      </c>
      <c r="G6" s="23" t="n">
        <v>31.295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16.177</v>
      </c>
      <c r="C7" s="23">
        <f>SUM(C5:C6)</f>
        <v>17.224</v>
      </c>
      <c r="D7" s="23">
        <f>SUM(D5:D6)</f>
        <v>40.400000000000006</v>
      </c>
      <c r="E7" s="23">
        <f>SUM(E5:E6)</f>
        <v>99.031</v>
      </c>
      <c r="F7" s="23">
        <f>SUM(F5:F6)</f>
        <v>89.67699999999999</v>
      </c>
      <c r="G7" s="23">
        <f>SUM(G5:G6)</f>
        <v>100.57600000000001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-14.972</v>
      </c>
      <c r="C8" s="23">
        <f>C4-C7</f>
        <v>-16.059</v>
      </c>
      <c r="D8" s="23">
        <f>D4-D7</f>
        <v>-39.293000000000006</v>
      </c>
      <c r="E8" s="23">
        <f>E4-E7</f>
        <v>-97.959</v>
      </c>
      <c r="F8" s="23">
        <f>F4-F7</f>
        <v>-88.844</v>
      </c>
      <c r="G8" s="23">
        <f>G4-G7</f>
        <v>-99.12100000000001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-2.978</v>
      </c>
      <c r="C9" s="23" t="n">
        <v>-6.424</v>
      </c>
      <c r="D9" s="23" t="n">
        <v>-7.606</v>
      </c>
      <c r="E9" s="23" t="n">
        <v>-9.686</v>
      </c>
      <c r="F9" s="23" t="n">
        <v>-15.453</v>
      </c>
      <c r="G9" s="23" t="n">
        <v>-21.204</v>
      </c>
    </row>
    <row r="10">
      <c r="A10" s="2" t="inlineStr">
        <is>
          <t>Pretax</t>
        </is>
      </c>
      <c r="B10" s="23">
        <f>B8+B9</f>
        <v>-17.95</v>
      </c>
      <c r="C10" s="23">
        <f>C8+C9</f>
        <v>-22.483</v>
      </c>
      <c r="D10" s="23">
        <f>D8+D9</f>
        <v>-46.89900000000001</v>
      </c>
      <c r="E10" s="23">
        <f>E8+E9</f>
        <v>-107.64500000000001</v>
      </c>
      <c r="F10" s="23">
        <f>F8+F9</f>
        <v>-104.297</v>
      </c>
      <c r="G10" s="23">
        <f>G8+G9</f>
        <v>-120.32500000000002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0.101</v>
      </c>
      <c r="C11" s="23" t="n">
        <v>0.033</v>
      </c>
      <c r="D11" s="23" t="n">
        <v>0.067</v>
      </c>
      <c r="E11" s="23" t="n">
        <v>0.13</v>
      </c>
      <c r="F11" s="23" t="n">
        <v>-0.194</v>
      </c>
      <c r="G11" s="23" t="n">
        <v>-0.226</v>
      </c>
    </row>
    <row r="12">
      <c r="A12" s="2" t="inlineStr">
        <is>
          <t>Net Income</t>
        </is>
      </c>
      <c r="B12" s="23" t="n">
        <v>-18.051</v>
      </c>
      <c r="C12" s="23" t="n">
        <v>-22.516</v>
      </c>
      <c r="D12" s="23" t="n">
        <v>-46.966</v>
      </c>
      <c r="E12" s="23" t="n">
        <v>-107.775</v>
      </c>
      <c r="F12" s="23" t="n">
        <v>-104.103</v>
      </c>
      <c r="G12" s="23" t="n">
        <v>-120.099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-0.699813910211677</v>
      </c>
      <c r="C13" s="11">
        <f>IFERROR(C12/C14,0)</f>
        <v>-0.8106278801843317</v>
      </c>
      <c r="D13" s="11">
        <f>IFERROR(D12/D14,0)</f>
        <v>-1.5710844985615844</v>
      </c>
      <c r="E13" s="11">
        <f>IFERROR(E12/E14,0)</f>
        <v>-3.6045150501672243</v>
      </c>
      <c r="F13" s="11">
        <f>IFERROR(F12/F14,0)</f>
        <v>-2.576360531591061</v>
      </c>
      <c r="G13" s="11">
        <f>IFERROR(G12/G14,0)</f>
        <v>-2.29885343490994</v>
      </c>
    </row>
    <row r="14">
      <c r="A14" s="2" t="inlineStr">
        <is>
          <t>Shares</t>
        </is>
      </c>
      <c r="B14" s="23" t="n">
        <v>25.794</v>
      </c>
      <c r="C14" s="23" t="n">
        <v>27.776</v>
      </c>
      <c r="D14" s="23" t="n">
        <v>29.894</v>
      </c>
      <c r="E14" s="23" t="n">
        <v>29.9</v>
      </c>
      <c r="F14" s="23" t="n">
        <v>40.407</v>
      </c>
      <c r="G14" s="23" t="n">
        <v>52.243</v>
      </c>
    </row>
    <row r="15"/>
    <row r="16" customFormat="1" s="4">
      <c r="A16" s="3" t="inlineStr">
        <is>
          <t>Revenue Change</t>
        </is>
      </c>
      <c r="C16" s="15">
        <f>IFERROR(C2/B2-1,"")</f>
        <v>-0.03319502074688796</v>
      </c>
      <c r="D16" s="15">
        <f>IFERROR(D2/C2-1,"")</f>
        <v>-0.04978540772532192</v>
      </c>
      <c r="E16" s="15">
        <f>IFERROR(E2/D2-1,"")</f>
        <v>-0.031616982836494945</v>
      </c>
      <c r="F16" s="15">
        <f>IFERROR(F2/E2-1,"")</f>
        <v>-0.22294776119402993</v>
      </c>
      <c r="G16" s="15">
        <f>IFERROR(G2/F2-1,"")</f>
        <v>0.7466986794717889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-12.424896265560164</v>
      </c>
      <c r="C18" s="15">
        <f>IFERROR(C8/C2,"")</f>
        <v>-13.784549356223176</v>
      </c>
      <c r="D18" s="15">
        <f>IFERROR(D8/D2,"")</f>
        <v>-35.49503161698284</v>
      </c>
      <c r="E18" s="15">
        <f>IFERROR(E8/E2,"")</f>
        <v>-91.37966417910448</v>
      </c>
      <c r="F18" s="15">
        <f>IFERROR(F8/F2,"")</f>
        <v>-106.65546218487395</v>
      </c>
      <c r="G18" s="15">
        <f>IFERROR(G8/G2,"")</f>
        <v>-68.12439862542955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2026-10-21T01:05:13Z</dcterms:modified>
  <cp:lastModifiedBy>Wang, Eric</cp:lastModifiedBy>
</cp:coreProperties>
</file>