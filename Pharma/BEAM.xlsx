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Beam Therapeutics Inc.</t>
        </is>
      </c>
      <c r="C2" s="10" t="n"/>
    </row>
    <row r="3">
      <c r="B3" t="inlineStr">
        <is>
          <t>Price</t>
        </is>
      </c>
      <c r="C3" s="11">
        <f>INDEX([1]Pharma!$F$1:$F$1000,MATCH("BEAM",[1]Pharma!$B$1:$B$1000,0))</f>
        <v>24.93</v>
      </c>
      <c r="F3" s="1" t="n"/>
    </row>
    <row r="4">
      <c r="B4" t="inlineStr">
        <is>
          <t>Shares</t>
        </is>
      </c>
      <c r="C4" s="51" t="n">
        <v>103.287665</v>
      </c>
      <c r="F4" s="1" t="n"/>
    </row>
    <row r="5">
      <c r="B5" t="inlineStr">
        <is>
          <t>Market Cap.</t>
        </is>
      </c>
      <c r="C5" s="13">
        <f>C3*C4</f>
        <v>2574.96148845</v>
      </c>
      <c r="F5" s="1" t="n"/>
    </row>
    <row r="6"/>
    <row r="7">
      <c r="B7" t="inlineStr">
        <is>
          <t>Cash</t>
        </is>
      </c>
      <c r="C7" s="51" t="n">
        <v>1200</v>
      </c>
    </row>
    <row r="8">
      <c r="B8" t="inlineStr">
        <is>
          <t>Debt</t>
        </is>
      </c>
      <c r="C8" s="51" t="n">
        <v>100.258</v>
      </c>
    </row>
    <row r="9">
      <c r="B9" t="inlineStr">
        <is>
          <t>Enterprise V.</t>
        </is>
      </c>
      <c r="C9" s="13">
        <f>C5-C7+C8</f>
        <v>1475.2194884500002</v>
      </c>
    </row>
    <row r="10"/>
    <row r="11">
      <c r="B11" s="14" t="inlineStr">
        <is>
          <t>NPV / Share</t>
        </is>
      </c>
      <c r="C11" s="11">
        <f>NPV!B28</f>
        <v>2.0615725162469447</v>
      </c>
    </row>
    <row r="12">
      <c r="B12" s="14" t="inlineStr">
        <is>
          <t>Upside</t>
        </is>
      </c>
      <c r="C12" s="15">
        <f>IFERROR(C11/C3-1,"")</f>
        <v>-0.917305554903853</v>
      </c>
    </row>
    <row r="13">
      <c r="B13" s="14" t="inlineStr">
        <is>
          <t>Cash / Share</t>
        </is>
      </c>
      <c r="C13" s="11">
        <f>IFERROR((C7-C8)/C4,"")</f>
        <v>10.647370138534935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2019</v>
      </c>
      <c r="C1" s="16" t="n">
        <v>2020</v>
      </c>
      <c r="D1" s="16" t="n">
        <v>2021</v>
      </c>
      <c r="E1" s="16" t="n">
        <v>2022</v>
      </c>
      <c r="F1" s="16" t="n">
        <v>2023</v>
      </c>
      <c r="G1" s="16" t="n">
        <v>2024</v>
      </c>
      <c r="H1" s="16" t="n">
        <v>2025</v>
      </c>
      <c r="I1" s="16" t="n">
        <v>2026</v>
      </c>
      <c r="J1" s="16" t="n">
        <v>2027</v>
      </c>
      <c r="K1" s="16" t="n">
        <v>2028</v>
      </c>
      <c r="L1" s="16" t="n">
        <v>2029</v>
      </c>
      <c r="M1" s="16" t="n">
        <v>2030</v>
      </c>
      <c r="N1" s="16" t="n">
        <v>2031</v>
      </c>
      <c r="O1" s="16" t="n">
        <v>2032</v>
      </c>
      <c r="P1" s="16" t="n">
        <v>2033</v>
      </c>
      <c r="Q1" s="16" t="n">
        <v>2034</v>
      </c>
      <c r="R1" s="16" t="n">
        <v>2035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0.018</v>
      </c>
      <c r="C2" s="52" t="n">
        <v>0.024</v>
      </c>
      <c r="D2" s="52" t="n">
        <v>51.844</v>
      </c>
      <c r="E2" s="52" t="n">
        <v>60.92</v>
      </c>
      <c r="F2" s="52" t="n">
        <v>377.709</v>
      </c>
      <c r="G2" s="52" t="n">
        <v>63.518</v>
      </c>
      <c r="H2" s="52" t="n">
        <v>139.743</v>
      </c>
      <c r="I2" s="52">
        <f>H2*(1+NPV!C5)</f>
        <v>188.65305</v>
      </c>
      <c r="J2" s="52">
        <f>I2*(1+NPV!D5)</f>
        <v>247.86914625</v>
      </c>
      <c r="K2" s="52">
        <f>J2*(1+NPV!E5)</f>
        <v>316.721686875</v>
      </c>
      <c r="L2" s="52">
        <f>K2*(1+NPV!F5)</f>
        <v>393.262761203125</v>
      </c>
      <c r="M2" s="52">
        <f>L2*(1+NPV!G5)</f>
        <v>474.10010656154515</v>
      </c>
      <c r="N2" s="52">
        <f>M2*(1+NPV!H5)</f>
        <v>554.4337357289181</v>
      </c>
      <c r="O2" s="52">
        <f>N2*(1+NPV!I5)</f>
        <v>628.3582338261072</v>
      </c>
      <c r="P2" s="52">
        <f>O2*(1+NPV!J5)</f>
        <v>689.448617670312</v>
      </c>
      <c r="Q2" s="52">
        <f>P2*(1+NPV!K5)</f>
        <v>731.5815887501644</v>
      </c>
      <c r="R2" s="52">
        <f>Q2*(1+NPV!L5)</f>
        <v>749.8711284689185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>
        <f>I2*(1-Assumptions!$B$19)</f>
        <v>0.0</v>
      </c>
      <c r="J3" s="52">
        <f>J2*(1-Assumptions!$B$19)</f>
        <v>0.0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</row>
    <row r="4" customFormat="1" s="1">
      <c r="A4" s="5" t="inlineStr">
        <is>
          <t>Gross Margin</t>
        </is>
      </c>
      <c r="B4" s="52">
        <f>B2-B3</f>
        <v>0.018</v>
      </c>
      <c r="C4" s="52">
        <f>C2-C3</f>
        <v>0.024</v>
      </c>
      <c r="D4" s="52">
        <f>D2-D3</f>
        <v>51.844</v>
      </c>
      <c r="E4" s="52">
        <f>E2-E3</f>
        <v>60.92</v>
      </c>
      <c r="F4" s="52">
        <f>F2-F3</f>
        <v>377.709</v>
      </c>
      <c r="G4" s="52">
        <f>G2-G3</f>
        <v>63.518</v>
      </c>
      <c r="H4" s="52">
        <f>H2-H3</f>
        <v>139.743</v>
      </c>
      <c r="I4" s="52">
        <f>I2-I3</f>
        <v>188.65305</v>
      </c>
      <c r="J4" s="52">
        <f>J2-J3</f>
        <v>247.86914625</v>
      </c>
      <c r="K4" s="52">
        <f>K2-K3</f>
        <v>316.721686875</v>
      </c>
      <c r="L4" s="52">
        <f>L2-L3</f>
        <v>393.262761203125</v>
      </c>
      <c r="M4" s="52">
        <f>M2-M3</f>
        <v>474.10010656154515</v>
      </c>
      <c r="N4" s="52">
        <f>N2-N3</f>
        <v>554.4337357289181</v>
      </c>
      <c r="O4" s="52">
        <f>O2-O3</f>
        <v>628.3582338261072</v>
      </c>
      <c r="P4" s="52">
        <f>P2-P3</f>
        <v>689.448617670312</v>
      </c>
      <c r="Q4" s="52">
        <f>Q2-Q3</f>
        <v>731.5815887501644</v>
      </c>
      <c r="R4" s="52">
        <f>R2-R3</f>
        <v>749.8711284689185</v>
      </c>
    </row>
    <row r="5">
      <c r="A5" s="2" t="inlineStr">
        <is>
          <t>Research &amp; Dev.</t>
        </is>
      </c>
      <c r="B5" s="52" t="n">
        <v>54.619</v>
      </c>
      <c r="C5" s="52" t="n">
        <v>103.179</v>
      </c>
      <c r="D5" s="52" t="n">
        <v>387.087</v>
      </c>
      <c r="E5" s="52" t="n">
        <v>311.594</v>
      </c>
      <c r="F5" s="52" t="n">
        <v>437.381</v>
      </c>
      <c r="G5" s="52" t="n">
        <v>367.561</v>
      </c>
      <c r="H5" s="52" t="n">
        <v>409.618</v>
      </c>
      <c r="I5" s="52">
        <f>I7*Assumptions!$B$20</f>
        <v>344.00091324690004</v>
      </c>
      <c r="J5" s="52">
        <f>J7*Assumptions!$B$20</f>
        <v>419.00197072733994</v>
      </c>
      <c r="K5" s="52">
        <f>K7*Assumptions!$B$20</f>
        <v>493.25412037526627</v>
      </c>
      <c r="L5" s="52">
        <f>L7*Assumptions!$B$20</f>
        <v>560.1367351899695</v>
      </c>
      <c r="M5" s="52">
        <f>M7*Assumptions!$B$20</f>
        <v>612.2007266018576</v>
      </c>
      <c r="N5" s="52">
        <f>N7*Assumptions!$B$20</f>
        <v>642.171765540548</v>
      </c>
      <c r="O5" s="52">
        <f>O7*Assumptions!$B$20</f>
        <v>644.196631467928</v>
      </c>
      <c r="P5" s="52">
        <f>P7*Assumptions!$B$20</f>
        <v>615.1012365352162</v>
      </c>
      <c r="Q5" s="52">
        <f>Q7*Assumptions!$B$20</f>
        <v>555.3596788152024</v>
      </c>
      <c r="R5" s="52">
        <f>R7*Assumptions!$B$20</f>
        <v>469.47931611182054</v>
      </c>
    </row>
    <row r="6">
      <c r="A6" s="18" t="inlineStr">
        <is>
          <t>SG&amp;A &amp; Other</t>
        </is>
      </c>
      <c r="B6" s="52" t="n">
        <v>20.553</v>
      </c>
      <c r="C6" s="52" t="n">
        <v>29.605</v>
      </c>
      <c r="D6" s="52" t="n">
        <v>57.222</v>
      </c>
      <c r="E6" s="52" t="n">
        <v>87.80500000000001</v>
      </c>
      <c r="F6" s="52" t="n">
        <v>116.813</v>
      </c>
      <c r="G6" s="52" t="n">
        <v>111.525</v>
      </c>
      <c r="H6" s="52" t="n">
        <v>113.818</v>
      </c>
      <c r="I6" s="52">
        <f>I7-I5</f>
        <v>95.5606932531</v>
      </c>
      <c r="J6" s="52">
        <f>J7-J5</f>
        <v>116.39538517266004</v>
      </c>
      <c r="K6" s="52">
        <f>K7-K5</f>
        <v>137.02203650598375</v>
      </c>
      <c r="L6" s="52">
        <f>L7-L5</f>
        <v>155.6014901997181</v>
      </c>
      <c r="M6" s="52">
        <f>M7-M5</f>
        <v>170.06444922469188</v>
      </c>
      <c r="N6" s="52">
        <f>N7-N5</f>
        <v>178.3901633382509</v>
      </c>
      <c r="O6" s="52">
        <f>O7-O5</f>
        <v>178.9526548442724</v>
      </c>
      <c r="P6" s="52">
        <f>P7-P5</f>
        <v>170.87018760893955</v>
      </c>
      <c r="Q6" s="52">
        <f>Q7-Q5</f>
        <v>154.27446227245719</v>
      </c>
      <c r="R6" s="52">
        <f>R7-R5</f>
        <v>130.41758666331435</v>
      </c>
    </row>
    <row r="7">
      <c r="A7" s="2" t="inlineStr">
        <is>
          <t>Operating Expense</t>
        </is>
      </c>
      <c r="B7" s="52">
        <f>SUM(B5:B6)</f>
        <v>75.172</v>
      </c>
      <c r="C7" s="52">
        <f>SUM(C5:C6)</f>
        <v>132.784</v>
      </c>
      <c r="D7" s="52">
        <f>SUM(D5:D6)</f>
        <v>444.30899999999997</v>
      </c>
      <c r="E7" s="52">
        <f>SUM(E5:E6)</f>
        <v>399.399</v>
      </c>
      <c r="F7" s="52">
        <f>SUM(F5:F6)</f>
        <v>554.194</v>
      </c>
      <c r="G7" s="52">
        <f>SUM(G5:G6)</f>
        <v>479.086</v>
      </c>
      <c r="H7" s="52">
        <f>SUM(H5:H6)</f>
        <v>523.436</v>
      </c>
      <c r="I7" s="52">
        <f>I4-I2*NPV!C6</f>
        <v>439.56160650000004</v>
      </c>
      <c r="J7" s="52">
        <f>J4-J2*NPV!D6</f>
        <v>535.3973559</v>
      </c>
      <c r="K7" s="52">
        <f>K4-K2*NPV!E6</f>
        <v>630.27615688125</v>
      </c>
      <c r="L7" s="52">
        <f>L4-L2*NPV!F6</f>
        <v>715.7382253896876</v>
      </c>
      <c r="M7" s="52">
        <f>M4-M2*NPV!G6</f>
        <v>782.2651758265495</v>
      </c>
      <c r="N7" s="52">
        <f>N4-N2*NPV!H6</f>
        <v>820.5619288787989</v>
      </c>
      <c r="O7" s="52">
        <f>O4-O2*NPV!I6</f>
        <v>823.1492863122004</v>
      </c>
      <c r="P7" s="52">
        <f>P4-P2*NPV!J6</f>
        <v>785.9714241441558</v>
      </c>
      <c r="Q7" s="52">
        <f>Q4-Q2*NPV!K6</f>
        <v>709.6341410876596</v>
      </c>
      <c r="R7" s="52">
        <f>R4-R2*NPV!L6</f>
        <v>599.8969027751349</v>
      </c>
    </row>
    <row r="8">
      <c r="A8" s="2" t="inlineStr">
        <is>
          <t>Operating Income</t>
        </is>
      </c>
      <c r="B8" s="52">
        <f>B4-B7</f>
        <v>-75.154</v>
      </c>
      <c r="C8" s="52">
        <f>C4-C7</f>
        <v>-132.76</v>
      </c>
      <c r="D8" s="52">
        <f>D4-D7</f>
        <v>-392.465</v>
      </c>
      <c r="E8" s="52">
        <f>E4-E7</f>
        <v>-338.479</v>
      </c>
      <c r="F8" s="52">
        <f>F4-F7</f>
        <v>-176.48499999999996</v>
      </c>
      <c r="G8" s="52">
        <f>G4-G7</f>
        <v>-415.568</v>
      </c>
      <c r="H8" s="52">
        <f>H4-H7</f>
        <v>-383.69300000000004</v>
      </c>
      <c r="I8" s="52">
        <f>I4-I7</f>
        <v>-250.90855650000003</v>
      </c>
      <c r="J8" s="52">
        <f>J4-J7</f>
        <v>-287.52820965</v>
      </c>
      <c r="K8" s="52">
        <f>K4-K7</f>
        <v>-313.55447000625</v>
      </c>
      <c r="L8" s="52">
        <f>L4-L7</f>
        <v>-322.4754641865626</v>
      </c>
      <c r="M8" s="52">
        <f>M4-M7</f>
        <v>-308.1650692650043</v>
      </c>
      <c r="N8" s="52">
        <f>N4-N7</f>
        <v>-266.12819314988076</v>
      </c>
      <c r="O8" s="52">
        <f>O4-O7</f>
        <v>-194.79105248609324</v>
      </c>
      <c r="P8" s="52">
        <f>P4-P7</f>
        <v>-96.52280647384373</v>
      </c>
      <c r="Q8" s="52">
        <f>Q4-Q7</f>
        <v>21.94744766250483</v>
      </c>
      <c r="R8" s="52">
        <f>R4-R7</f>
        <v>149.97422569378364</v>
      </c>
    </row>
    <row r="9">
      <c r="A9" s="18" t="inlineStr">
        <is>
          <t>Interest &amp; Other</t>
        </is>
      </c>
      <c r="B9" s="52" t="n">
        <v>-3.172</v>
      </c>
      <c r="C9" s="52" t="n">
        <v>-61.832</v>
      </c>
      <c r="D9" s="52" t="n">
        <v>21.786</v>
      </c>
      <c r="E9" s="52" t="n">
        <v>52.801</v>
      </c>
      <c r="F9" s="52" t="n">
        <v>45.324</v>
      </c>
      <c r="G9" s="52" t="n">
        <v>38.865</v>
      </c>
      <c r="H9" s="52" t="n">
        <v>303.701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</row>
    <row r="10">
      <c r="A10" s="2" t="inlineStr">
        <is>
          <t>Pretax</t>
        </is>
      </c>
      <c r="B10" s="52">
        <f>B8+B9</f>
        <v>-78.326</v>
      </c>
      <c r="C10" s="52">
        <f>C8+C9</f>
        <v>-194.59199999999998</v>
      </c>
      <c r="D10" s="52">
        <f>D8+D9</f>
        <v>-370.679</v>
      </c>
      <c r="E10" s="52">
        <f>E8+E9</f>
        <v>-285.678</v>
      </c>
      <c r="F10" s="52">
        <f>F8+F9</f>
        <v>-131.16099999999994</v>
      </c>
      <c r="G10" s="52">
        <f>G8+G9</f>
        <v>-376.703</v>
      </c>
      <c r="H10" s="52">
        <f>H8+H9</f>
        <v>-79.99200000000002</v>
      </c>
      <c r="I10" s="52">
        <f>I8+I9</f>
        <v>-250.90855650000003</v>
      </c>
      <c r="J10" s="52">
        <f>J8+J9</f>
        <v>-287.52820965</v>
      </c>
      <c r="K10" s="52">
        <f>K8+K9</f>
        <v>-313.55447000625</v>
      </c>
      <c r="L10" s="52">
        <f>L8+L9</f>
        <v>-322.4754641865626</v>
      </c>
      <c r="M10" s="52">
        <f>M8+M9</f>
        <v>-308.1650692650043</v>
      </c>
      <c r="N10" s="52">
        <f>N8+N9</f>
        <v>-266.12819314988076</v>
      </c>
      <c r="O10" s="52">
        <f>O8+O9</f>
        <v>-194.79105248609324</v>
      </c>
      <c r="P10" s="52">
        <f>P8+P9</f>
        <v>-96.52280647384373</v>
      </c>
      <c r="Q10" s="52">
        <f>Q8+Q9</f>
        <v>21.94744766250483</v>
      </c>
      <c r="R10" s="52">
        <f>R8+R9</f>
        <v>149.97422569378364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3.41</v>
      </c>
      <c r="F11" s="52" t="n">
        <v>1.366</v>
      </c>
      <c r="G11" s="52" t="n">
        <v>0.039</v>
      </c>
      <c r="H11" s="52" t="n">
        <v>0</v>
      </c>
      <c r="I11" s="52">
        <f>MAX(0,I10)*Assumptions!$E$14</f>
        <v>0.0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3.731066102625821</v>
      </c>
      <c r="R11" s="52">
        <f>MAX(0,R10)*Assumptions!$E$14</f>
        <v>25.49561836794322</v>
      </c>
    </row>
    <row r="12">
      <c r="A12" s="2" t="inlineStr">
        <is>
          <t>Net Income</t>
        </is>
      </c>
      <c r="B12" s="52" t="n">
        <v>-78.32599999999999</v>
      </c>
      <c r="C12" s="52" t="n">
        <v>-194.592</v>
      </c>
      <c r="D12" s="52" t="n">
        <v>-370.679</v>
      </c>
      <c r="E12" s="52" t="n">
        <v>-289.088</v>
      </c>
      <c r="F12" s="52" t="n">
        <v>-132.527</v>
      </c>
      <c r="G12" s="52" t="n">
        <v>-376.742</v>
      </c>
      <c r="H12" s="52" t="n">
        <v>-79.992</v>
      </c>
      <c r="I12" s="52">
        <f>I10-I11</f>
        <v>-250.90855650000003</v>
      </c>
      <c r="J12" s="52">
        <f>J10-J11</f>
        <v>-287.52820965</v>
      </c>
      <c r="K12" s="52">
        <f>K10-K11</f>
        <v>-313.55447000625</v>
      </c>
      <c r="L12" s="52">
        <f>L10-L11</f>
        <v>-322.4754641865626</v>
      </c>
      <c r="M12" s="52">
        <f>M10-M11</f>
        <v>-308.1650692650043</v>
      </c>
      <c r="N12" s="52">
        <f>N10-N11</f>
        <v>-266.12819314988076</v>
      </c>
      <c r="O12" s="52">
        <f>O10-O11</f>
        <v>-194.79105248609324</v>
      </c>
      <c r="P12" s="52">
        <f>P10-P11</f>
        <v>-96.52280647384373</v>
      </c>
      <c r="Q12" s="52">
        <f>Q10-Q11</f>
        <v>18.216381559879007</v>
      </c>
      <c r="R12" s="52">
        <f>R10-R11</f>
        <v>124.47860732584041</v>
      </c>
    </row>
    <row r="13">
      <c r="A13" s="2" t="inlineStr">
        <is>
          <t>Earnings per Share</t>
        </is>
      </c>
      <c r="B13" s="11">
        <f>IFERROR(B12/B14,0)</f>
        <v>-12.087345679012344</v>
      </c>
      <c r="C13" s="11">
        <f>IFERROR(C12/C14,0)</f>
        <v>-4.163909870969123</v>
      </c>
      <c r="D13" s="11">
        <f>IFERROR(D12/D14,0)</f>
        <v>-5.771299121878308</v>
      </c>
      <c r="E13" s="11">
        <f>IFERROR(E12/E14,0)</f>
        <v>-4.128943797757624</v>
      </c>
      <c r="F13" s="11">
        <f>IFERROR(F12/F14,0)</f>
        <v>-1.7177390087100786</v>
      </c>
      <c r="G13" s="11">
        <f>IFERROR(G12/G14,0)</f>
        <v>-4.576944103604534</v>
      </c>
      <c r="H13" s="11">
        <f>IFERROR(H12/H14,0)</f>
        <v>-0.8087679210563565</v>
      </c>
      <c r="I13" s="11">
        <f>IFERROR(I12/I14,0)</f>
        <v>-2.4292209190710237</v>
      </c>
      <c r="J13" s="11">
        <f>IFERROR(J12/J14,0)</f>
        <v>-2.783761348947137</v>
      </c>
      <c r="K13" s="11">
        <f>IFERROR(K12/K14,0)</f>
        <v>-3.0357397469121796</v>
      </c>
      <c r="L13" s="11">
        <f>IFERROR(L12/L14,0)</f>
        <v>-3.122110120182914</v>
      </c>
      <c r="M13" s="11">
        <f>IFERROR(M12/M14,0)</f>
        <v>-2.983561195472899</v>
      </c>
      <c r="N13" s="11">
        <f>IFERROR(N12/N14,0)</f>
        <v>-2.5765728477827508</v>
      </c>
      <c r="O13" s="11">
        <f>IFERROR(O12/O14,0)</f>
        <v>-1.8859081816409853</v>
      </c>
      <c r="P13" s="11">
        <f>IFERROR(P12/P14,0)</f>
        <v>-0.9345046814045387</v>
      </c>
      <c r="Q13" s="11">
        <f>IFERROR(Q12/Q14,0)</f>
        <v>0.17636550850364374</v>
      </c>
      <c r="R13" s="11">
        <f>IFERROR(R12/R14,0)</f>
        <v>1.2051643081082375</v>
      </c>
    </row>
    <row r="14">
      <c r="A14" s="2" t="inlineStr">
        <is>
          <t>Shares</t>
        </is>
      </c>
      <c r="B14" s="52" t="n">
        <v>6.48</v>
      </c>
      <c r="C14" s="52" t="n">
        <v>46.733</v>
      </c>
      <c r="D14" s="52" t="n">
        <v>64.22799999999999</v>
      </c>
      <c r="E14" s="52" t="n">
        <v>70.015</v>
      </c>
      <c r="F14" s="52" t="n">
        <v>77.152</v>
      </c>
      <c r="G14" s="52" t="n">
        <v>82.313</v>
      </c>
      <c r="H14" s="52" t="n">
        <v>98.90600000000001</v>
      </c>
      <c r="I14" s="52">
        <f>Main!$C$4</f>
        <v>103.287665</v>
      </c>
      <c r="J14" s="52">
        <f>Main!$C$4</f>
        <v>103.287665</v>
      </c>
      <c r="K14" s="52">
        <f>Main!$C$4</f>
        <v>103.287665</v>
      </c>
      <c r="L14" s="52">
        <f>Main!$C$4</f>
        <v>103.287665</v>
      </c>
      <c r="M14" s="52">
        <f>Main!$C$4</f>
        <v>103.287665</v>
      </c>
      <c r="N14" s="52">
        <f>Main!$C$4</f>
        <v>103.287665</v>
      </c>
      <c r="O14" s="52">
        <f>Main!$C$4</f>
        <v>103.287665</v>
      </c>
      <c r="P14" s="52">
        <f>Main!$C$4</f>
        <v>103.287665</v>
      </c>
      <c r="Q14" s="52">
        <f>Main!$C$4</f>
        <v>103.287665</v>
      </c>
      <c r="R14" s="52">
        <f>Main!$C$4</f>
        <v>103.287665</v>
      </c>
    </row>
    <row r="15"/>
    <row r="16" customFormat="1" s="4">
      <c r="A16" s="3" t="inlineStr">
        <is>
          <t>Revenue Change</t>
        </is>
      </c>
      <c r="C16" s="15">
        <f>IFERROR(C2/B2-1,"")</f>
        <v>0.3333333333333335</v>
      </c>
      <c r="D16" s="15">
        <f>IFERROR(D2/C2-1,"")</f>
        <v>2159.1666666666665</v>
      </c>
      <c r="E16" s="15">
        <f>IFERROR(E2/D2-1,"")</f>
        <v>0.17506365249594946</v>
      </c>
      <c r="F16" s="15">
        <f>IFERROR(F2/E2-1,"")</f>
        <v>5.200082074852265</v>
      </c>
      <c r="G16" s="15">
        <f>IFERROR(G2/F2-1,"")</f>
        <v>-0.8318335014521762</v>
      </c>
      <c r="H16" s="15">
        <f>IFERROR(H2/G2-1,"")</f>
        <v>1.2000535281337572</v>
      </c>
      <c r="I16" s="15">
        <f>IFERROR(I2/H2-1,"")</f>
        <v>0.3500000000000001</v>
      </c>
      <c r="J16" s="15">
        <f>IFERROR(J2/I2-1,"")</f>
        <v>0.3138888888888889</v>
      </c>
      <c r="K16" s="15">
        <f>IFERROR(K2/J2-1,"")</f>
        <v>0.2777777777777777</v>
      </c>
      <c r="L16" s="15">
        <f>IFERROR(L2/K2-1,"")</f>
        <v>0.2416666666666667</v>
      </c>
      <c r="M16" s="15">
        <f>IFERROR(M2/L2-1,"")</f>
        <v>0.2055555555555555</v>
      </c>
      <c r="N16" s="15">
        <f>IFERROR(N2/M2-1,"")</f>
        <v>0.1694444444444445</v>
      </c>
      <c r="O16" s="15">
        <f>IFERROR(O2/N2-1,"")</f>
        <v>0.1333333333333333</v>
      </c>
      <c r="P16" s="15">
        <f>IFERROR(P2/O2-1,"")</f>
        <v>0.09722222222222232</v>
      </c>
      <c r="Q16" s="15">
        <f>IFERROR(Q2/P2-1,"")</f>
        <v>0.061111111111111116</v>
      </c>
      <c r="R16" s="15">
        <f>IFERROR(R2/Q2-1,"")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</row>
    <row r="18">
      <c r="A18" s="14" t="inlineStr">
        <is>
          <t>Operating Margin</t>
        </is>
      </c>
      <c r="B18" s="15">
        <f>IFERROR(B8/B2,"")</f>
        <v>-4175.222222222223</v>
      </c>
      <c r="C18" s="15">
        <f>IFERROR(C8/C2,"")</f>
        <v>-5531.666666666666</v>
      </c>
      <c r="D18" s="15">
        <f>IFERROR(D8/D2,"")</f>
        <v>-7.570114188720005</v>
      </c>
      <c r="E18" s="15">
        <f>IFERROR(E8/E2,"")</f>
        <v>-5.556122783978989</v>
      </c>
      <c r="F18" s="15">
        <f>IFERROR(F8/F2,"")</f>
        <v>-0.4672512436823056</v>
      </c>
      <c r="G18" s="15">
        <f>IFERROR(G8/G2,"")</f>
        <v>-6.542523379199596</v>
      </c>
      <c r="H18" s="15">
        <f>IFERROR(H8/H2,"")</f>
        <v>-2.7457046149002102</v>
      </c>
      <c r="I18" s="15">
        <f>IFERROR(I8/I2,"")</f>
        <v>-1.33</v>
      </c>
      <c r="J18" s="15">
        <f>IFERROR(J8/J2,"")</f>
        <v>-1.1600000000000001</v>
      </c>
      <c r="K18" s="15">
        <f>IFERROR(K8/K2,"")</f>
        <v>-0.9900000000000001</v>
      </c>
      <c r="L18" s="15">
        <f>IFERROR(L8/L2,"")</f>
        <v>-0.8200000000000002</v>
      </c>
      <c r="M18" s="15">
        <f>IFERROR(M8/M2,"")</f>
        <v>-0.6499999999999999</v>
      </c>
      <c r="N18" s="15">
        <f>IFERROR(N8/N2,"")</f>
        <v>-0.4800000000000001</v>
      </c>
      <c r="O18" s="15">
        <f>IFERROR(O8/O2,"")</f>
        <v>-0.31000000000000005</v>
      </c>
      <c r="P18" s="15">
        <f>IFERROR(P8/P2,"")</f>
        <v>-0.14000000000000007</v>
      </c>
      <c r="Q18" s="15">
        <f>IFERROR(Q8/Q2,"")</f>
        <v>0.029999999999999857</v>
      </c>
      <c r="R18" s="15">
        <f>IFERROR(R8/R2,"")</f>
        <v>0.1999999999999999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Beam Therapeutics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0.7826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Model'!H2</f>
        <v>139.743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-886.8069885686785</v>
      </c>
      <c r="C29" s="56">
        <f>NPV!B26</f>
        <v>212.93501143132147</v>
      </c>
      <c r="D29" s="35">
        <f>NPV!B28</f>
        <v>2.0615725162469447</v>
      </c>
      <c r="E29" s="57">
        <f>NPV!B30</f>
        <v>-0.917305554903853</v>
      </c>
    </row>
    <row r="30">
      <c r="A30" s="58" t="n">
        <v>1</v>
      </c>
      <c r="B30" s="59">
        <f t="dataTable" ref="B30:E32" r1="B4"/>
        <v>-1035.5885333027325</v>
      </c>
      <c r="C30" s="59">
        <v>64.15346669726755</v>
      </c>
      <c r="D30" s="39">
        <v>0.6211145028524707</v>
      </c>
      <c r="E30" s="60">
        <v>-0.975085659733154</v>
      </c>
    </row>
    <row r="31">
      <c r="A31" s="58" t="n">
        <v>2</v>
      </c>
      <c r="B31" s="59">
        <v>-886.8069885686785</v>
      </c>
      <c r="C31" s="59">
        <v>212.93501143132147</v>
      </c>
      <c r="D31" s="39">
        <v>2.0615725162469447</v>
      </c>
      <c r="E31" s="60">
        <v>-0.917305554903853</v>
      </c>
    </row>
    <row r="32">
      <c r="A32" s="58" t="n">
        <v>3</v>
      </c>
      <c r="B32" s="59">
        <v>-445.4350720480852</v>
      </c>
      <c r="C32" s="59">
        <v>654.3069279519148</v>
      </c>
      <c r="D32" s="39">
        <v>6.334802204618671</v>
      </c>
      <c r="E32" s="60">
        <v>-0.7458964217962827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2.0615725162469447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2.993018027490752</v>
      </c>
      <c r="C37" s="39">
        <v>3.560613022690924</v>
      </c>
      <c r="D37" s="39">
        <v>4.226511942199792</v>
      </c>
      <c r="E37" s="39">
        <v>5.0154162454192734</v>
      </c>
      <c r="F37" s="39">
        <v>5.961011115987115</v>
      </c>
    </row>
    <row r="38">
      <c r="A38" s="62" t="n">
        <v>0.1</v>
      </c>
      <c r="B38" s="39">
        <v>2.068777723285618</v>
      </c>
      <c r="C38" s="39">
        <v>2.469716343273322</v>
      </c>
      <c r="D38" s="39">
        <v>2.933110931725305</v>
      </c>
      <c r="E38" s="39">
        <v>3.4724457970957876</v>
      </c>
      <c r="F38" s="39">
        <v>4.105355353597422</v>
      </c>
    </row>
    <row r="39">
      <c r="A39" s="62" t="n">
        <v>0.11</v>
      </c>
      <c r="B39" s="39">
        <v>1.4403318272761452</v>
      </c>
      <c r="C39" s="39">
        <v>1.7301483291375914</v>
      </c>
      <c r="D39" s="39">
        <v>2.0615725162469447</v>
      </c>
      <c r="E39" s="39">
        <v>2.442488696755274</v>
      </c>
      <c r="F39" s="39">
        <v>2.882884542778817</v>
      </c>
    </row>
    <row r="40">
      <c r="A40" s="62" t="n">
        <v>0.12</v>
      </c>
      <c r="B40" s="39">
        <v>1.0161143928916907</v>
      </c>
      <c r="C40" s="39">
        <v>1.228964012171435</v>
      </c>
      <c r="D40" s="39">
        <v>1.4705832989994492</v>
      </c>
      <c r="E40" s="39">
        <v>1.7458363959777397</v>
      </c>
      <c r="F40" s="39">
        <v>2.060732678103543</v>
      </c>
    </row>
    <row r="41">
      <c r="A41" s="62" t="n">
        <v>0.13</v>
      </c>
      <c r="B41" s="39">
        <v>0.7369717935473534</v>
      </c>
      <c r="C41" s="39">
        <v>0.894889355393869</v>
      </c>
      <c r="D41" s="39">
        <v>1.0733040123768134</v>
      </c>
      <c r="E41" s="39">
        <v>1.275348877379743</v>
      </c>
      <c r="F41" s="39">
        <v>1.5048172763015006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Beam Therapeutics Inc.: free-cash-flow DCF ($mm)</t>
        </is>
      </c>
    </row>
    <row r="3">
      <c r="A3" s="20" t="inlineStr">
        <is>
          <t>Fiscal year</t>
        </is>
      </c>
      <c r="B3" s="43">
        <f>'Yearly Model'!H1</f>
        <v>2025</v>
      </c>
      <c r="C3" s="43">
        <f>'Yearly Model'!I1</f>
        <v>2026</v>
      </c>
      <c r="D3" s="43">
        <f>'Yearly Model'!J1</f>
        <v>2027</v>
      </c>
      <c r="E3" s="43">
        <f>'Yearly Model'!K1</f>
        <v>2028</v>
      </c>
      <c r="F3" s="43">
        <f>'Yearly Model'!L1</f>
        <v>2029</v>
      </c>
      <c r="G3" s="43">
        <f>'Yearly Model'!M1</f>
        <v>2030</v>
      </c>
      <c r="H3" s="43">
        <f>'Yearly Model'!N1</f>
        <v>2031</v>
      </c>
      <c r="I3" s="43">
        <f>'Yearly Model'!O1</f>
        <v>2032</v>
      </c>
      <c r="J3" s="43">
        <f>'Yearly Model'!P1</f>
        <v>2033</v>
      </c>
      <c r="K3" s="43">
        <f>'Yearly Model'!Q1</f>
        <v>2034</v>
      </c>
      <c r="L3" s="43">
        <f>'Yearly Model'!R1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-2.7457046149002102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Model'!H2</f>
        <v>139.743</v>
      </c>
      <c r="C7" s="55">
        <f>'Yearly Model'!I2</f>
        <v>188.65305</v>
      </c>
      <c r="D7" s="55">
        <f>'Yearly Model'!J2</f>
        <v>247.86914625</v>
      </c>
      <c r="E7" s="55">
        <f>'Yearly Model'!K2</f>
        <v>316.721686875</v>
      </c>
      <c r="F7" s="55">
        <f>'Yearly Model'!L2</f>
        <v>393.262761203125</v>
      </c>
      <c r="G7" s="55">
        <f>'Yearly Model'!M2</f>
        <v>474.10010656154515</v>
      </c>
      <c r="H7" s="55">
        <f>'Yearly Model'!N2</f>
        <v>554.4337357289181</v>
      </c>
      <c r="I7" s="55">
        <f>'Yearly Model'!O2</f>
        <v>628.3582338261072</v>
      </c>
      <c r="J7" s="55">
        <f>'Yearly Model'!P2</f>
        <v>689.448617670312</v>
      </c>
      <c r="K7" s="55">
        <f>'Yearly Model'!Q2</f>
        <v>731.5815887501644</v>
      </c>
      <c r="L7" s="55">
        <f>'Yearly Model'!R2</f>
        <v>749.8711284689185</v>
      </c>
    </row>
    <row r="8">
      <c r="A8" s="14" t="inlineStr">
        <is>
          <t>Operating income</t>
        </is>
      </c>
      <c r="B8" s="55">
        <f>'Yearly Model'!H8</f>
        <v>-383.69300000000004</v>
      </c>
      <c r="C8" s="55">
        <f>'Yearly Model'!I8</f>
        <v>-250.90855650000003</v>
      </c>
      <c r="D8" s="55">
        <f>'Yearly Model'!J8</f>
        <v>-287.52820965</v>
      </c>
      <c r="E8" s="55">
        <f>'Yearly Model'!K8</f>
        <v>-313.55447000625</v>
      </c>
      <c r="F8" s="55">
        <f>'Yearly Model'!L8</f>
        <v>-322.4754641865626</v>
      </c>
      <c r="G8" s="55">
        <f>'Yearly Model'!M8</f>
        <v>-308.1650692650043</v>
      </c>
      <c r="H8" s="55">
        <f>'Yearly Model'!N8</f>
        <v>-266.12819314988076</v>
      </c>
      <c r="I8" s="55">
        <f>'Yearly Model'!O8</f>
        <v>-194.79105248609324</v>
      </c>
      <c r="J8" s="55">
        <f>'Yearly Model'!P8</f>
        <v>-96.52280647384373</v>
      </c>
      <c r="K8" s="55">
        <f>'Yearly Model'!Q8</f>
        <v>21.94744766250483</v>
      </c>
      <c r="L8" s="55">
        <f>'Yearly Model'!R8</f>
        <v>149.97422569378364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3.731066102625821</v>
      </c>
      <c r="L9" s="52">
        <f>MAX(0,L8)*Assumptions!$E$14</f>
        <v>25.49561836794322</v>
      </c>
    </row>
    <row r="10">
      <c r="A10" s="14" t="inlineStr">
        <is>
          <t>NOPAT</t>
        </is>
      </c>
      <c r="C10" s="52">
        <f>C8-C9</f>
        <v>-250.90855650000003</v>
      </c>
      <c r="D10" s="52">
        <f>D8-D9</f>
        <v>-287.52820965</v>
      </c>
      <c r="E10" s="52">
        <f>E8-E9</f>
        <v>-313.55447000625</v>
      </c>
      <c r="F10" s="52">
        <f>F8-F9</f>
        <v>-322.4754641865626</v>
      </c>
      <c r="G10" s="52">
        <f>G8-G9</f>
        <v>-308.1650692650043</v>
      </c>
      <c r="H10" s="52">
        <f>H8-H9</f>
        <v>-266.12819314988076</v>
      </c>
      <c r="I10" s="52">
        <f>I8-I9</f>
        <v>-194.79105248609324</v>
      </c>
      <c r="J10" s="52">
        <f>J8-J9</f>
        <v>-96.52280647384373</v>
      </c>
      <c r="K10" s="52">
        <f>K8-K9</f>
        <v>18.216381559879007</v>
      </c>
      <c r="L10" s="52">
        <f>L8-L9</f>
        <v>124.47860732584041</v>
      </c>
    </row>
    <row r="11">
      <c r="A11" s="14" t="inlineStr">
        <is>
          <t>Reinvestment</t>
        </is>
      </c>
      <c r="C11" s="52">
        <f>(C7-B7)*Assumptions!$E$15</f>
        <v>12.227512500000003</v>
      </c>
      <c r="D11" s="52">
        <f>(D7-C7)*Assumptions!$E$15</f>
        <v>14.804024062499998</v>
      </c>
      <c r="E11" s="52">
        <f>(E7-D7)*Assumptions!$E$15</f>
        <v>17.213135156249997</v>
      </c>
      <c r="F11" s="52">
        <f>(F7-E7)*Assumptions!$E$15</f>
        <v>19.13526858203126</v>
      </c>
      <c r="G11" s="52">
        <f>(G7-F7)*Assumptions!$E$15</f>
        <v>20.20933633960503</v>
      </c>
      <c r="H11" s="52">
        <f>(H7-G7)*Assumptions!$E$15</f>
        <v>20.083407291843244</v>
      </c>
      <c r="I11" s="52">
        <f>(I7-H7)*Assumptions!$E$15</f>
        <v>18.481124524297257</v>
      </c>
      <c r="J11" s="52">
        <f>(J7-I7)*Assumptions!$E$15</f>
        <v>15.272595961051223</v>
      </c>
      <c r="K11" s="52">
        <f>(K7-J7)*Assumptions!$E$15</f>
        <v>10.533242769963095</v>
      </c>
      <c r="L11" s="52">
        <f>(L7-K7)*Assumptions!$E$15</f>
        <v>4.572384929688525</v>
      </c>
    </row>
    <row r="12">
      <c r="A12" s="20" t="inlineStr">
        <is>
          <t>Free cash flow</t>
        </is>
      </c>
      <c r="C12" s="64">
        <f>C10-C11</f>
        <v>-263.136069</v>
      </c>
      <c r="D12" s="64">
        <f>D10-D11</f>
        <v>-302.3322337125</v>
      </c>
      <c r="E12" s="64">
        <f>E10-E11</f>
        <v>-330.76760516250005</v>
      </c>
      <c r="F12" s="64">
        <f>F10-F11</f>
        <v>-341.61073276859383</v>
      </c>
      <c r="G12" s="64">
        <f>G10-G11</f>
        <v>-328.37440560460936</v>
      </c>
      <c r="H12" s="64">
        <f>H10-H11</f>
        <v>-286.211600441724</v>
      </c>
      <c r="I12" s="64">
        <f>I10-I11</f>
        <v>-213.2721770103905</v>
      </c>
      <c r="J12" s="64">
        <f>J10-J11</f>
        <v>-111.79540243489495</v>
      </c>
      <c r="K12" s="64">
        <f>K10-K11</f>
        <v>7.683138789915912</v>
      </c>
      <c r="L12" s="64">
        <f>L10-L11</f>
        <v>119.90622239615189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-129.20324553258502</v>
      </c>
      <c r="D16" s="64">
        <f>D12*D13*D15</f>
        <v>-272.254865457572</v>
      </c>
      <c r="E16" s="64">
        <f>E12*E13*E15</f>
        <v>-268.34356618431707</v>
      </c>
      <c r="F16" s="64">
        <f>F12*F13*F15</f>
        <v>-249.67597033079025</v>
      </c>
      <c r="G16" s="64">
        <f>G12*G13*G15</f>
        <v>-216.217857847299</v>
      </c>
      <c r="H16" s="64">
        <f>H12*H13*H15</f>
        <v>-169.77999404880447</v>
      </c>
      <c r="I16" s="64">
        <f>I12*I13*I15</f>
        <v>-113.97523732084382</v>
      </c>
      <c r="J16" s="64">
        <f>J12*J13*J15</f>
        <v>-53.82416088393456</v>
      </c>
      <c r="K16" s="64">
        <f>K12*K13*K15</f>
        <v>3.3324912973276035</v>
      </c>
      <c r="L16" s="64">
        <f>L12*L13*L15</f>
        <v>46.85426047830609</v>
      </c>
    </row>
    <row r="19">
      <c r="A19" s="14" t="inlineStr">
        <is>
          <t>PV of forecast free cash flow</t>
        </is>
      </c>
      <c r="B19" s="52">
        <f>SUM(C16:L16)</f>
        <v>-1423.0881458305125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122.90387795605567</v>
      </c>
    </row>
    <row r="21">
      <c r="A21" s="14" t="inlineStr">
        <is>
          <t>Terminal value</t>
        </is>
      </c>
      <c r="B21" s="52">
        <f>B20/(Assumptions!$E$10-Assumptions!$E$11)</f>
        <v>1445.9279759535962</v>
      </c>
    </row>
    <row r="22">
      <c r="A22" s="14" t="inlineStr">
        <is>
          <t>PV of terminal value</t>
        </is>
      </c>
      <c r="B22" s="52">
        <f>B21/(1+Assumptions!$E$10)^(L14+0.5)</f>
        <v>536.281157261834</v>
      </c>
    </row>
    <row r="23">
      <c r="A23" s="20" t="inlineStr">
        <is>
          <t>Enterprise value</t>
        </is>
      </c>
      <c r="B23" s="66">
        <f>B19+B22</f>
        <v>-886.8069885686785</v>
      </c>
    </row>
    <row r="24">
      <c r="A24" s="14" t="inlineStr">
        <is>
          <t>Cash &amp; investments</t>
        </is>
      </c>
      <c r="B24" s="55">
        <f>Main!C7</f>
        <v>1200</v>
      </c>
    </row>
    <row r="25">
      <c r="A25" s="14" t="inlineStr">
        <is>
          <t>Debt</t>
        </is>
      </c>
      <c r="B25" s="55">
        <f>Main!C8</f>
        <v>100.258</v>
      </c>
    </row>
    <row r="26">
      <c r="A26" s="20" t="inlineStr">
        <is>
          <t>Equity value</t>
        </is>
      </c>
      <c r="B26" s="66">
        <f>B23+B24-B25</f>
        <v>212.93501143132147</v>
      </c>
    </row>
    <row r="27">
      <c r="A27" s="14" t="inlineStr">
        <is>
          <t>Shares (mm)</t>
        </is>
      </c>
      <c r="B27" s="55">
        <f>Main!C4</f>
        <v>103.287665</v>
      </c>
    </row>
    <row r="28">
      <c r="A28" s="20" t="inlineStr">
        <is>
          <t>NPV / share</t>
        </is>
      </c>
      <c r="B28" s="49">
        <f>B26/B27</f>
        <v>2.0615725162469447</v>
      </c>
    </row>
    <row r="29">
      <c r="A29" s="14" t="inlineStr">
        <is>
          <t>Price</t>
        </is>
      </c>
      <c r="B29" s="50">
        <f>Main!C3</f>
        <v>24.93</v>
      </c>
    </row>
    <row r="30">
      <c r="A30" s="14" t="inlineStr">
        <is>
          <t>Upside</t>
        </is>
      </c>
      <c r="B30" s="63">
        <f>B28/B29-1</f>
        <v>-0.917305554903853</v>
      </c>
    </row>
    <row r="31">
      <c r="A31" s="14" t="inlineStr">
        <is>
          <t>Terminal value, % of EV</t>
        </is>
      </c>
      <c r="B31" s="63">
        <f>IFERROR(B22/B23,0)</f>
        <v>-0.6047326691994171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2026-10-21T06:22:23Z</dcterms:modified>
  <cp:lastModifiedBy>Wang, Eric</cp:lastModifiedBy>
</cp:coreProperties>
</file>