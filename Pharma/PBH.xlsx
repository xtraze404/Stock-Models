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Prestige Consumer Healthcare Inc.</t>
        </is>
      </c>
      <c r="C2" s="10" t="n"/>
    </row>
    <row r="3">
      <c r="B3" t="inlineStr">
        <is>
          <t>Price</t>
        </is>
      </c>
      <c r="C3" s="11">
        <f>INDEX([1]Pharma!$F$1:$F$1000,MATCH("PBH",[1]Pharma!$B$1:$B$1000,0))</f>
        <v>49.35</v>
      </c>
      <c r="F3" s="1" t="n"/>
    </row>
    <row r="4">
      <c r="B4" t="inlineStr">
        <is>
          <t>Shares</t>
        </is>
      </c>
      <c r="C4" s="51" t="n">
        <v>47.374522</v>
      </c>
      <c r="F4" s="1" t="n"/>
    </row>
    <row r="5">
      <c r="B5" t="inlineStr">
        <is>
          <t>Market Cap.</t>
        </is>
      </c>
      <c r="C5" s="13">
        <f>C3*C4</f>
        <v>2337.9326607</v>
      </c>
      <c r="F5" s="1" t="n"/>
    </row>
    <row r="6"/>
    <row r="7">
      <c r="B7" t="inlineStr">
        <is>
          <t>Cash</t>
        </is>
      </c>
      <c r="C7" s="51" t="n">
        <v>89.127</v>
      </c>
    </row>
    <row r="8">
      <c r="B8" t="inlineStr">
        <is>
          <t>Debt</t>
        </is>
      </c>
      <c r="C8" s="51">
        <f>10.45+3.639+2007.235</f>
        <v>2021.3239999999998</v>
      </c>
    </row>
    <row r="9">
      <c r="B9" t="inlineStr">
        <is>
          <t>Enterprise V.</t>
        </is>
      </c>
      <c r="C9" s="13">
        <f>C5-C7+C8</f>
        <v>4270.1296606999995</v>
      </c>
    </row>
    <row r="10"/>
    <row r="11">
      <c r="B11" s="14" t="inlineStr">
        <is>
          <t>NPV / Share</t>
        </is>
      </c>
      <c r="C11" s="11">
        <f>NPV!B28</f>
        <v>21.35821045832537</v>
      </c>
    </row>
    <row r="12">
      <c r="B12" s="14" t="inlineStr">
        <is>
          <t>Upside</t>
        </is>
      </c>
      <c r="C12" s="15">
        <f>IFERROR(C11/C3-1,"")</f>
        <v>-0.5672095145222823</v>
      </c>
    </row>
    <row r="13">
      <c r="B13" s="14" t="inlineStr">
        <is>
          <t>Cash / Share</t>
        </is>
      </c>
      <c r="C13" s="11">
        <f>IFERROR((C7-C8)/C4,"")</f>
        <v>-40.785572464456735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2010</v>
      </c>
      <c r="C1" s="16" t="n">
        <v>2011</v>
      </c>
      <c r="D1" s="16" t="n">
        <v>2012</v>
      </c>
      <c r="E1" s="16" t="n">
        <v>2013</v>
      </c>
      <c r="F1" s="16" t="n">
        <v>2014</v>
      </c>
      <c r="G1" s="16" t="n">
        <v>2015</v>
      </c>
      <c r="H1" s="16" t="n">
        <v>2016</v>
      </c>
      <c r="I1" s="16" t="n">
        <v>2017</v>
      </c>
      <c r="J1" s="16" t="n">
        <v>2018</v>
      </c>
      <c r="K1" s="16" t="n">
        <v>2019</v>
      </c>
      <c r="L1" s="16" t="n">
        <v>2020</v>
      </c>
      <c r="M1" s="16" t="n">
        <v>2021</v>
      </c>
      <c r="N1" s="16" t="n">
        <v>2022</v>
      </c>
      <c r="O1" s="16" t="n">
        <v>2023</v>
      </c>
      <c r="P1" s="16" t="n">
        <v>2024</v>
      </c>
      <c r="Q1" s="16" t="n">
        <v>2025</v>
      </c>
      <c r="R1" s="16" t="n">
        <v>2026</v>
      </c>
      <c r="S1" s="16" t="n">
        <v>2027</v>
      </c>
      <c r="T1" s="16" t="n">
        <v>2028</v>
      </c>
      <c r="U1" s="16" t="n">
        <v>2029</v>
      </c>
      <c r="V1" s="16" t="n">
        <v>2030</v>
      </c>
      <c r="W1" s="16" t="n">
        <v>2031</v>
      </c>
      <c r="X1" s="16" t="n">
        <v>2032</v>
      </c>
      <c r="Y1" s="16" t="n">
        <v>2033</v>
      </c>
      <c r="Z1" s="16" t="n">
        <v>2034</v>
      </c>
      <c r="AA1" s="16" t="n">
        <v>2035</v>
      </c>
      <c r="AB1" s="16" t="n">
        <v>2036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292.602</v>
      </c>
      <c r="C2" s="52" t="n">
        <v>336.51</v>
      </c>
      <c r="D2" s="52" t="n">
        <v>441.085</v>
      </c>
      <c r="E2" s="52" t="n">
        <v>620.1180000000001</v>
      </c>
      <c r="F2" s="52" t="n">
        <v>597.381</v>
      </c>
      <c r="G2" s="52" t="n">
        <v>714.623</v>
      </c>
      <c r="H2" s="52" t="n">
        <v>806.247</v>
      </c>
      <c r="I2" s="52" t="n">
        <v>882.0599999999999</v>
      </c>
      <c r="J2" s="52" t="n">
        <v>1041.179</v>
      </c>
      <c r="K2" s="52" t="n">
        <v>975.777</v>
      </c>
      <c r="L2" s="52" t="n">
        <v>963.01</v>
      </c>
      <c r="M2" s="52" t="n">
        <v>943.365</v>
      </c>
      <c r="N2" s="52" t="n">
        <v>1086.812</v>
      </c>
      <c r="O2" s="52" t="n">
        <v>1127.725</v>
      </c>
      <c r="P2" s="52" t="n">
        <v>1125.357</v>
      </c>
      <c r="Q2" s="52" t="n">
        <v>1137.762</v>
      </c>
      <c r="R2" s="52" t="n">
        <v>1088.705</v>
      </c>
      <c r="S2" s="52">
        <f>R2*(1+NPV!C5)</f>
        <v>1100.6807549999999</v>
      </c>
      <c r="T2" s="52">
        <f>S2*(1+NPV!D5)</f>
        <v>1114.5004133683333</v>
      </c>
      <c r="U2" s="52">
        <f>T2*(1+NPV!E5)</f>
        <v>1130.2272525347532</v>
      </c>
      <c r="V2" s="52">
        <f>U2*(1+NPV!F5)</f>
        <v>1147.9341461577978</v>
      </c>
      <c r="W2" s="52">
        <f>V2*(1+NPV!G5)</f>
        <v>1167.7041231194044</v>
      </c>
      <c r="X2" s="52">
        <f>W2*(1+NPV!H5)</f>
        <v>1189.6310116535353</v>
      </c>
      <c r="Y2" s="52">
        <f>X2*(1+NPV!I5)</f>
        <v>1213.8201755571572</v>
      </c>
      <c r="Z2" s="52">
        <f>Y2*(1+NPV!J5)</f>
        <v>1240.3893505110193</v>
      </c>
      <c r="AA2" s="52">
        <f>Z2*(1+NPV!K5)</f>
        <v>1269.4695897285553</v>
      </c>
      <c r="AB2" s="52">
        <f>AA2*(1+NPV!L5)</f>
        <v>1301.206329471769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339.036</v>
      </c>
      <c r="I3" s="52" t="n">
        <v>381.774</v>
      </c>
      <c r="J3" s="52" t="n">
        <v>464.674</v>
      </c>
      <c r="K3" s="52" t="n">
        <v>420.201</v>
      </c>
      <c r="L3" s="52" t="n">
        <v>410.787</v>
      </c>
      <c r="M3" s="52" t="n">
        <v>395.893</v>
      </c>
      <c r="N3" s="52" t="n">
        <v>466.166</v>
      </c>
      <c r="O3" s="52" t="n">
        <v>502.431</v>
      </c>
      <c r="P3" s="52" t="n">
        <v>500.909</v>
      </c>
      <c r="Q3" s="52" t="n">
        <v>503.299</v>
      </c>
      <c r="R3" s="52" t="n">
        <v>493.127</v>
      </c>
      <c r="S3" s="52">
        <f>S2*(1-Assumptions!$B$19)</f>
        <v>498.4983139394999</v>
      </c>
      <c r="T3" s="52">
        <f>T2*(1-Assumptions!$B$19)</f>
        <v>504.7572372145181</v>
      </c>
      <c r="U3" s="52">
        <f>U2*(1-Assumptions!$B$19)</f>
        <v>511.8799226729897</v>
      </c>
      <c r="V3" s="52">
        <f>V2*(1-Assumptions!$B$19)</f>
        <v>519.8993747948666</v>
      </c>
      <c r="W3" s="52">
        <f>W2*(1-Assumptions!$B$19)</f>
        <v>528.8531973607782</v>
      </c>
      <c r="X3" s="52">
        <f>X2*(1-Assumptions!$B$19)</f>
        <v>538.7838851778861</v>
      </c>
      <c r="Y3" s="52">
        <f>Y2*(1-Assumptions!$B$19)</f>
        <v>549.7391575098364</v>
      </c>
      <c r="Z3" s="52">
        <f>Z2*(1-Assumptions!$B$19)</f>
        <v>561.7723368464406</v>
      </c>
      <c r="AA3" s="52">
        <f>AA2*(1-Assumptions!$B$19)</f>
        <v>574.9427771880627</v>
      </c>
      <c r="AB3" s="52">
        <f>AB2*(1-Assumptions!$B$19)</f>
        <v>589.3163466177642</v>
      </c>
    </row>
    <row r="4" customFormat="1" s="1">
      <c r="A4" s="5" t="inlineStr">
        <is>
          <t>Gross Margin</t>
        </is>
      </c>
      <c r="B4" s="52">
        <f>B2-B3</f>
        <v>292.602</v>
      </c>
      <c r="C4" s="52">
        <f>C2-C3</f>
        <v>336.51</v>
      </c>
      <c r="D4" s="52">
        <f>D2-D3</f>
        <v>441.085</v>
      </c>
      <c r="E4" s="52">
        <f>E2-E3</f>
        <v>620.118</v>
      </c>
      <c r="F4" s="52">
        <f>F2-F3</f>
        <v>597.381</v>
      </c>
      <c r="G4" s="52">
        <f>G2-G3</f>
        <v>714.623</v>
      </c>
      <c r="H4" s="52">
        <f>H2-H3</f>
        <v>467.21099999999996</v>
      </c>
      <c r="I4" s="52">
        <f>I2-I3</f>
        <v>500.28599999999994</v>
      </c>
      <c r="J4" s="52">
        <f>J2-J3</f>
        <v>576.5050000000001</v>
      </c>
      <c r="K4" s="52">
        <f>K2-K3</f>
        <v>555.576</v>
      </c>
      <c r="L4" s="52">
        <f>L2-L3</f>
        <v>552.223</v>
      </c>
      <c r="M4" s="52">
        <f>M2-M3</f>
        <v>547.472</v>
      </c>
      <c r="N4" s="52">
        <f>N2-N3</f>
        <v>620.646</v>
      </c>
      <c r="O4" s="52">
        <f>O2-O3</f>
        <v>625.2939999999999</v>
      </c>
      <c r="P4" s="52">
        <f>P2-P3</f>
        <v>624.448</v>
      </c>
      <c r="Q4" s="52">
        <f>Q2-Q3</f>
        <v>634.463</v>
      </c>
      <c r="R4" s="52">
        <f>R2-R3</f>
        <v>595.578</v>
      </c>
      <c r="S4" s="52">
        <f>S2-S3</f>
        <v>602.1824410605</v>
      </c>
      <c r="T4" s="52">
        <f>T2-T3</f>
        <v>609.7431761538152</v>
      </c>
      <c r="U4" s="52">
        <f>U2-U3</f>
        <v>618.3473298617635</v>
      </c>
      <c r="V4" s="52">
        <f>V2-V3</f>
        <v>628.0347713629312</v>
      </c>
      <c r="W4" s="52">
        <f>W2-W3</f>
        <v>638.8509257586262</v>
      </c>
      <c r="X4" s="52">
        <f>X2-X3</f>
        <v>650.8471264756492</v>
      </c>
      <c r="Y4" s="52">
        <f>Y2-Y3</f>
        <v>664.0810180473208</v>
      </c>
      <c r="Z4" s="52">
        <f>Z2-Z3</f>
        <v>678.6170136645787</v>
      </c>
      <c r="AA4" s="52">
        <f>AA2-AA3</f>
        <v>694.5268125404926</v>
      </c>
      <c r="AB4" s="52">
        <f>AB2-AB3</f>
        <v>711.8899828540049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>
        <f>S7*Assumptions!$B$20</f>
        <v>0.0</v>
      </c>
      <c r="T5" s="52">
        <f>T7*Assumptions!$B$20</f>
        <v>0.0</v>
      </c>
      <c r="U5" s="52">
        <f>U7*Assumptions!$B$20</f>
        <v>0.0</v>
      </c>
      <c r="V5" s="52">
        <f>V7*Assumptions!$B$20</f>
        <v>0.0</v>
      </c>
      <c r="W5" s="52">
        <f>W7*Assumptions!$B$20</f>
        <v>0.0</v>
      </c>
      <c r="X5" s="52">
        <f>X7*Assumptions!$B$20</f>
        <v>0.0</v>
      </c>
      <c r="Y5" s="52">
        <f>Y7*Assumptions!$B$20</f>
        <v>0.0</v>
      </c>
      <c r="Z5" s="52">
        <f>Z7*Assumptions!$B$20</f>
        <v>0.0</v>
      </c>
      <c r="AA5" s="52">
        <f>AA7*Assumptions!$B$20</f>
        <v>0.0</v>
      </c>
      <c r="AB5" s="52">
        <f>AB7*Assumptions!$B$20</f>
        <v>0.0</v>
      </c>
    </row>
    <row r="6">
      <c r="A6" s="18" t="inlineStr">
        <is>
          <t>SG&amp;A &amp; Other</t>
        </is>
      </c>
      <c r="B6" s="52" t="n">
        <v>214.277</v>
      </c>
      <c r="C6" s="52" t="n">
        <v>260.365</v>
      </c>
      <c r="D6" s="52" t="n">
        <v>338.262</v>
      </c>
      <c r="E6" s="52" t="n">
        <v>428.234</v>
      </c>
      <c r="F6" s="52" t="n">
        <v>408.765</v>
      </c>
      <c r="G6" s="52" t="n">
        <v>507.064</v>
      </c>
      <c r="H6" s="52" t="n">
        <v>206.896</v>
      </c>
      <c r="I6" s="52" t="n">
        <v>294.643</v>
      </c>
      <c r="J6" s="52" t="n">
        <v>361.031</v>
      </c>
      <c r="K6" s="52" t="n">
        <v>488.073</v>
      </c>
      <c r="L6" s="52" t="n">
        <v>261.068</v>
      </c>
      <c r="M6" s="52" t="n">
        <v>250.07</v>
      </c>
      <c r="N6" s="52" t="n">
        <v>290.727</v>
      </c>
      <c r="O6" s="52" t="n">
        <v>647.7089999999999</v>
      </c>
      <c r="P6" s="52" t="n">
        <v>282.019</v>
      </c>
      <c r="Q6" s="52" t="n">
        <v>297.688</v>
      </c>
      <c r="R6" s="52" t="n">
        <v>286.169</v>
      </c>
      <c r="S6" s="52">
        <f>S7-S5</f>
        <v>310.11680272125005</v>
      </c>
      <c r="T6" s="52">
        <f>T7-T5</f>
        <v>310.945615329765</v>
      </c>
      <c r="U6" s="52">
        <f>U7-U5</f>
        <v>312.2252785127255</v>
      </c>
      <c r="V6" s="52">
        <f>V7-V5</f>
        <v>313.95998897415774</v>
      </c>
      <c r="W6" s="52">
        <f>W7-W5</f>
        <v>316.1558913345788</v>
      </c>
      <c r="X6" s="52">
        <f>X7-X5</f>
        <v>318.82111112314755</v>
      </c>
      <c r="Y6" s="52">
        <f>Y7-Y5</f>
        <v>321.96580156653596</v>
      </c>
      <c r="Z6" s="52">
        <f>Z7-Z5</f>
        <v>325.6022045091426</v>
      </c>
      <c r="AA6" s="52">
        <f>AA7-AA5</f>
        <v>329.74472593199226</v>
      </c>
      <c r="AB6" s="52">
        <f>AB7-AB5</f>
        <v>334.41002667424465</v>
      </c>
    </row>
    <row r="7">
      <c r="A7" s="2" t="inlineStr">
        <is>
          <t>Operating Expense</t>
        </is>
      </c>
      <c r="B7" s="52">
        <f>SUM(B5:B6)</f>
        <v>214.277</v>
      </c>
      <c r="C7" s="52">
        <f>SUM(C5:C6)</f>
        <v>260.365</v>
      </c>
      <c r="D7" s="52">
        <f>SUM(D5:D6)</f>
        <v>338.262</v>
      </c>
      <c r="E7" s="52">
        <f>SUM(E5:E6)</f>
        <v>428.234</v>
      </c>
      <c r="F7" s="52">
        <f>SUM(F5:F6)</f>
        <v>408.765</v>
      </c>
      <c r="G7" s="52">
        <f>SUM(G5:G6)</f>
        <v>507.064</v>
      </c>
      <c r="H7" s="52">
        <f>SUM(H5:H6)</f>
        <v>206.896</v>
      </c>
      <c r="I7" s="52">
        <f>SUM(I5:I6)</f>
        <v>294.643</v>
      </c>
      <c r="J7" s="52">
        <f>SUM(J5:J6)</f>
        <v>361.031</v>
      </c>
      <c r="K7" s="52">
        <f>SUM(K5:K6)</f>
        <v>488.073</v>
      </c>
      <c r="L7" s="52">
        <f>SUM(L5:L6)</f>
        <v>261.068</v>
      </c>
      <c r="M7" s="52">
        <f>SUM(M5:M6)</f>
        <v>250.07</v>
      </c>
      <c r="N7" s="52">
        <f>SUM(N5:N6)</f>
        <v>290.727</v>
      </c>
      <c r="O7" s="52">
        <f>SUM(O5:O6)</f>
        <v>647.709</v>
      </c>
      <c r="P7" s="52">
        <f>SUM(P5:P6)</f>
        <v>282.019</v>
      </c>
      <c r="Q7" s="52">
        <f>SUM(Q5:Q6)</f>
        <v>297.688</v>
      </c>
      <c r="R7" s="52">
        <f>SUM(R5:R6)</f>
        <v>286.169</v>
      </c>
      <c r="S7" s="52">
        <f>S4-S2*NPV!C6</f>
        <v>310.11680272125005</v>
      </c>
      <c r="T7" s="52">
        <f>T4-T2*NPV!D6</f>
        <v>310.945615329765</v>
      </c>
      <c r="U7" s="52">
        <f>U4-U2*NPV!E6</f>
        <v>312.2252785127255</v>
      </c>
      <c r="V7" s="52">
        <f>V4-V2*NPV!F6</f>
        <v>313.95998897415774</v>
      </c>
      <c r="W7" s="52">
        <f>W4-W2*NPV!G6</f>
        <v>316.1558913345788</v>
      </c>
      <c r="X7" s="52">
        <f>X4-X2*NPV!H6</f>
        <v>318.82111112314755</v>
      </c>
      <c r="Y7" s="52">
        <f>Y4-Y2*NPV!I6</f>
        <v>321.96580156653596</v>
      </c>
      <c r="Z7" s="52">
        <f>Z4-Z2*NPV!J6</f>
        <v>325.6022045091426</v>
      </c>
      <c r="AA7" s="52">
        <f>AA4-AA2*NPV!K6</f>
        <v>329.74472593199226</v>
      </c>
      <c r="AB7" s="52">
        <f>AB4-AB2*NPV!L6</f>
        <v>334.41002667424465</v>
      </c>
    </row>
    <row r="8">
      <c r="A8" s="2" t="inlineStr">
        <is>
          <t>Operating Income</t>
        </is>
      </c>
      <c r="B8" s="52">
        <f>B4-B7</f>
        <v>78.32499999999999</v>
      </c>
      <c r="C8" s="52">
        <f>C4-C7</f>
        <v>76.14499999999998</v>
      </c>
      <c r="D8" s="52">
        <f>D4-D7</f>
        <v>102.82299999999998</v>
      </c>
      <c r="E8" s="52">
        <f>E4-E7</f>
        <v>191.88400000000007</v>
      </c>
      <c r="F8" s="52">
        <f>F4-F7</f>
        <v>188.61599999999999</v>
      </c>
      <c r="G8" s="52">
        <f>G4-G7</f>
        <v>207.55900000000003</v>
      </c>
      <c r="H8" s="52">
        <f>H4-H7</f>
        <v>260.31499999999994</v>
      </c>
      <c r="I8" s="52">
        <f>I4-I7</f>
        <v>205.64299999999997</v>
      </c>
      <c r="J8" s="52">
        <f>J4-J7</f>
        <v>215.4740000000001</v>
      </c>
      <c r="K8" s="52">
        <f>K4-K7</f>
        <v>67.50300000000004</v>
      </c>
      <c r="L8" s="52">
        <f>L4-L7</f>
        <v>291.155</v>
      </c>
      <c r="M8" s="52">
        <f>M4-M7</f>
        <v>297.402</v>
      </c>
      <c r="N8" s="52">
        <f>N4-N7</f>
        <v>329.919</v>
      </c>
      <c r="O8" s="52">
        <f>O4-O7</f>
        <v>-22.415000000000077</v>
      </c>
      <c r="P8" s="52">
        <f>P4-P7</f>
        <v>342.429</v>
      </c>
      <c r="Q8" s="52">
        <f>Q4-Q7</f>
        <v>336.775</v>
      </c>
      <c r="R8" s="52">
        <f>R4-R7</f>
        <v>309.409</v>
      </c>
      <c r="S8" s="52">
        <f>S4-S7</f>
        <v>292.0656383392499</v>
      </c>
      <c r="T8" s="52">
        <f>T4-T7</f>
        <v>298.79756082405015</v>
      </c>
      <c r="U8" s="52">
        <f>U4-U7</f>
        <v>306.122051349038</v>
      </c>
      <c r="V8" s="52">
        <f>V4-V7</f>
        <v>314.0747823887735</v>
      </c>
      <c r="W8" s="52">
        <f>W4-W7</f>
        <v>322.6950344240474</v>
      </c>
      <c r="X8" s="52">
        <f>X4-X7</f>
        <v>332.0260153525017</v>
      </c>
      <c r="Y8" s="52">
        <f>Y4-Y7</f>
        <v>342.1152164807848</v>
      </c>
      <c r="Z8" s="52">
        <f>Z4-Z7</f>
        <v>353.0148091554361</v>
      </c>
      <c r="AA8" s="52">
        <f>AA4-AA7</f>
        <v>364.7820866085004</v>
      </c>
      <c r="AB8" s="52">
        <f>AB4-AB7</f>
        <v>377.4799561797602</v>
      </c>
    </row>
    <row r="9">
      <c r="A9" s="18" t="inlineStr">
        <is>
          <t>Interest &amp; Other</t>
        </is>
      </c>
      <c r="B9" s="52" t="n">
        <v>-25.546</v>
      </c>
      <c r="C9" s="52" t="n">
        <v>-27.576</v>
      </c>
      <c r="D9" s="52" t="n">
        <v>-41.666</v>
      </c>
      <c r="E9" s="52" t="n">
        <v>-85.84999999999999</v>
      </c>
      <c r="F9" s="52" t="n">
        <v>-86.86799999999999</v>
      </c>
      <c r="G9" s="52" t="n">
        <v>-80.101</v>
      </c>
      <c r="H9" s="52" t="n">
        <v>-103.13</v>
      </c>
      <c r="I9" s="52" t="n">
        <v>-94.79300000000001</v>
      </c>
      <c r="J9" s="52" t="n">
        <v>-108.388</v>
      </c>
      <c r="K9" s="52" t="n">
        <v>-105.558</v>
      </c>
      <c r="L9" s="52" t="n">
        <v>-100.004</v>
      </c>
      <c r="M9" s="52" t="n">
        <v>-93.289</v>
      </c>
      <c r="N9" s="52" t="n">
        <v>-67.44199999999999</v>
      </c>
      <c r="O9" s="52" t="n">
        <v>-71.494</v>
      </c>
      <c r="P9" s="52" t="n">
        <v>-66.443</v>
      </c>
      <c r="Q9" s="52" t="n">
        <v>-52.591</v>
      </c>
      <c r="R9" s="52" t="n">
        <v>-51.914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52.77899999999999</v>
      </c>
      <c r="C10" s="52">
        <f>C8+C9</f>
        <v>48.56899999999998</v>
      </c>
      <c r="D10" s="52">
        <f>D8+D9</f>
        <v>61.15699999999998</v>
      </c>
      <c r="E10" s="52">
        <f>E8+E9</f>
        <v>106.03400000000008</v>
      </c>
      <c r="F10" s="52">
        <f>F8+F9</f>
        <v>101.74799999999999</v>
      </c>
      <c r="G10" s="52">
        <f>G8+G9</f>
        <v>127.45800000000003</v>
      </c>
      <c r="H10" s="52">
        <f>H8+H9</f>
        <v>157.18499999999995</v>
      </c>
      <c r="I10" s="52">
        <f>I8+I9</f>
        <v>110.84999999999997</v>
      </c>
      <c r="J10" s="52">
        <f>J8+J9</f>
        <v>107.0860000000001</v>
      </c>
      <c r="K10" s="52">
        <f>K8+K9</f>
        <v>-38.054999999999964</v>
      </c>
      <c r="L10" s="52">
        <f>L8+L9</f>
        <v>191.15099999999995</v>
      </c>
      <c r="M10" s="52">
        <f>M8+M9</f>
        <v>204.113</v>
      </c>
      <c r="N10" s="52">
        <f>N8+N9</f>
        <v>262.477</v>
      </c>
      <c r="O10" s="52">
        <f>O8+O9</f>
        <v>-93.90900000000008</v>
      </c>
      <c r="P10" s="52">
        <f>P8+P9</f>
        <v>275.986</v>
      </c>
      <c r="Q10" s="52">
        <f>Q8+Q9</f>
        <v>284.18399999999997</v>
      </c>
      <c r="R10" s="52">
        <f>R8+R9</f>
        <v>257.495</v>
      </c>
      <c r="S10" s="52">
        <f>S8+S9</f>
        <v>292.0656383392499</v>
      </c>
      <c r="T10" s="52">
        <f>T8+T9</f>
        <v>298.79756082405015</v>
      </c>
      <c r="U10" s="52">
        <f>U8+U9</f>
        <v>306.122051349038</v>
      </c>
      <c r="V10" s="52">
        <f>V8+V9</f>
        <v>314.0747823887735</v>
      </c>
      <c r="W10" s="52">
        <f>W8+W9</f>
        <v>322.6950344240474</v>
      </c>
      <c r="X10" s="52">
        <f>X8+X9</f>
        <v>332.0260153525017</v>
      </c>
      <c r="Y10" s="52">
        <f>Y8+Y9</f>
        <v>342.1152164807848</v>
      </c>
      <c r="Z10" s="52">
        <f>Z8+Z9</f>
        <v>353.0148091554361</v>
      </c>
      <c r="AA10" s="52">
        <f>AA8+AA9</f>
        <v>364.7820866085004</v>
      </c>
      <c r="AB10" s="52">
        <f>AB8+AB9</f>
        <v>377.4799561797602</v>
      </c>
    </row>
    <row r="11">
      <c r="A11" s="2" t="inlineStr">
        <is>
          <t>Taxes</t>
        </is>
      </c>
      <c r="B11" s="52" t="n">
        <v>20.664</v>
      </c>
      <c r="C11" s="52" t="n">
        <v>19.349</v>
      </c>
      <c r="D11" s="52" t="n">
        <v>23.945</v>
      </c>
      <c r="E11" s="52" t="n">
        <v>40.529</v>
      </c>
      <c r="F11" s="52" t="n">
        <v>29.133</v>
      </c>
      <c r="G11" s="52" t="n">
        <v>49.198</v>
      </c>
      <c r="H11" s="52" t="n">
        <v>57.278</v>
      </c>
      <c r="I11" s="52" t="n">
        <v>41.455</v>
      </c>
      <c r="J11" s="52" t="n">
        <v>-232.484</v>
      </c>
      <c r="K11" s="52" t="n">
        <v>-2.255</v>
      </c>
      <c r="L11" s="52" t="n">
        <v>48.87</v>
      </c>
      <c r="M11" s="52" t="n">
        <v>39.431</v>
      </c>
      <c r="N11" s="52" t="n">
        <v>57.077</v>
      </c>
      <c r="O11" s="52" t="n">
        <v>-11.609</v>
      </c>
      <c r="P11" s="52" t="n">
        <v>66.68600000000001</v>
      </c>
      <c r="Q11" s="52" t="n">
        <v>69.584</v>
      </c>
      <c r="R11" s="52" t="n">
        <v>67.19499999999999</v>
      </c>
      <c r="S11" s="52">
        <f>MAX(0,S10)*Assumptions!$E$14</f>
        <v>49.65115851767249</v>
      </c>
      <c r="T11" s="52">
        <f>MAX(0,T10)*Assumptions!$E$14</f>
        <v>50.79558534008853</v>
      </c>
      <c r="U11" s="52">
        <f>MAX(0,U10)*Assumptions!$E$14</f>
        <v>52.04074872933646</v>
      </c>
      <c r="V11" s="52">
        <f>MAX(0,V10)*Assumptions!$E$14</f>
        <v>53.3927130060915</v>
      </c>
      <c r="W11" s="52">
        <f>MAX(0,W10)*Assumptions!$E$14</f>
        <v>54.85815585208806</v>
      </c>
      <c r="X11" s="52">
        <f>MAX(0,X10)*Assumptions!$E$14</f>
        <v>56.44442260992529</v>
      </c>
      <c r="Y11" s="52">
        <f>MAX(0,Y10)*Assumptions!$E$14</f>
        <v>58.15958680173342</v>
      </c>
      <c r="Z11" s="52">
        <f>MAX(0,Z10)*Assumptions!$E$14</f>
        <v>60.01251755642414</v>
      </c>
      <c r="AA11" s="52">
        <f>MAX(0,AA10)*Assumptions!$E$14</f>
        <v>62.01295472344507</v>
      </c>
      <c r="AB11" s="52">
        <f>MAX(0,AB10)*Assumptions!$E$14</f>
        <v>64.17159255055924</v>
      </c>
    </row>
    <row r="12">
      <c r="A12" s="2" t="inlineStr">
        <is>
          <t>Net Income</t>
        </is>
      </c>
      <c r="B12" s="52" t="n">
        <v>32.115</v>
      </c>
      <c r="C12" s="52" t="n">
        <v>29.22</v>
      </c>
      <c r="D12" s="52" t="n">
        <v>37.212</v>
      </c>
      <c r="E12" s="52" t="n">
        <v>65.505</v>
      </c>
      <c r="F12" s="52" t="n">
        <v>72.61499999999999</v>
      </c>
      <c r="G12" s="52" t="n">
        <v>78.26000000000001</v>
      </c>
      <c r="H12" s="52" t="n">
        <v>99.907</v>
      </c>
      <c r="I12" s="52" t="n">
        <v>69.395</v>
      </c>
      <c r="J12" s="52" t="n">
        <v>339.57</v>
      </c>
      <c r="K12" s="52" t="n">
        <v>-35.8</v>
      </c>
      <c r="L12" s="52" t="n">
        <v>142.281</v>
      </c>
      <c r="M12" s="52" t="n">
        <v>164.682</v>
      </c>
      <c r="N12" s="52" t="n">
        <v>205.4</v>
      </c>
      <c r="O12" s="52" t="n">
        <v>-82.3</v>
      </c>
      <c r="P12" s="52" t="n">
        <v>209.3</v>
      </c>
      <c r="Q12" s="52" t="n">
        <v>214.6</v>
      </c>
      <c r="R12" s="52" t="n">
        <v>190.3</v>
      </c>
      <c r="S12" s="52">
        <f>S10-S11</f>
        <v>242.41447982157743</v>
      </c>
      <c r="T12" s="52">
        <f>T10-T11</f>
        <v>248.00197548396162</v>
      </c>
      <c r="U12" s="52">
        <f>U10-U11</f>
        <v>254.08130261970152</v>
      </c>
      <c r="V12" s="52">
        <f>V10-V11</f>
        <v>260.682069382682</v>
      </c>
      <c r="W12" s="52">
        <f>W10-W11</f>
        <v>267.83687857195935</v>
      </c>
      <c r="X12" s="52">
        <f>X10-X11</f>
        <v>275.5815927425764</v>
      </c>
      <c r="Y12" s="52">
        <f>Y10-Y11</f>
        <v>283.95562967905136</v>
      </c>
      <c r="Z12" s="52">
        <f>Z10-Z11</f>
        <v>293.002291599012</v>
      </c>
      <c r="AA12" s="52">
        <f>AA10-AA11</f>
        <v>302.7691318850553</v>
      </c>
      <c r="AB12" s="52">
        <f>AB10-AB11</f>
        <v>313.308363629201</v>
      </c>
    </row>
    <row r="13">
      <c r="A13" s="2" t="inlineStr">
        <is>
          <t>Earnings per Share</t>
        </is>
      </c>
      <c r="B13" s="11">
        <f>IFERROR(B12/B14,0)</f>
        <v>0.6412099430967356</v>
      </c>
      <c r="C13" s="11">
        <f>IFERROR(C12/C14,0)</f>
        <v>0.5804759823592515</v>
      </c>
      <c r="D13" s="11">
        <f>IFERROR(D12/D14,0)</f>
        <v>0.7332702766611493</v>
      </c>
      <c r="E13" s="11">
        <f>IFERROR(E12/E14,0)</f>
        <v>1.2734253499222394</v>
      </c>
      <c r="F13" s="11">
        <f>IFERROR(F12/F14,0)</f>
        <v>1.3871325144701905</v>
      </c>
      <c r="G13" s="11">
        <f>IFERROR(G12/G14,0)</f>
        <v>1.485855325612303</v>
      </c>
      <c r="H13" s="11">
        <f>IFERROR(H12/H14,0)</f>
        <v>1.87996537643716</v>
      </c>
      <c r="I13" s="11">
        <f>IFERROR(I12/I14,0)</f>
        <v>1.3004572542258535</v>
      </c>
      <c r="J13" s="11">
        <f>IFERROR(J12/J14,0)</f>
        <v>6.344019728729963</v>
      </c>
      <c r="K13" s="11">
        <f>IFERROR(K12/K14,0)</f>
        <v>-0.6875624183759699</v>
      </c>
      <c r="L13" s="11">
        <f>IFERROR(L12/L14,0)</f>
        <v>2.7821861556511536</v>
      </c>
      <c r="M13" s="11">
        <f>IFERROR(M12/M14,0)</f>
        <v>3.2542634127062544</v>
      </c>
      <c r="N13" s="11">
        <f>IFERROR(N12/N14,0)</f>
        <v>4.039966956453326</v>
      </c>
      <c r="O13" s="11">
        <f>IFERROR(O12/O14,0)</f>
        <v>-1.6496622501954337</v>
      </c>
      <c r="P13" s="11">
        <f>IFERROR(P12/P14,0)</f>
        <v>4.171150703495556</v>
      </c>
      <c r="Q13" s="11">
        <f>IFERROR(Q12/Q14,0)</f>
        <v>4.285143769968051</v>
      </c>
      <c r="R13" s="11">
        <f>IFERROR(R12/R14,0)</f>
        <v>3.905993431855501</v>
      </c>
      <c r="S13" s="11">
        <f>IFERROR(S12/S14,0)</f>
        <v>5.11697996280738</v>
      </c>
      <c r="T13" s="11">
        <f>IFERROR(T12/T14,0)</f>
        <v>5.234923013765957</v>
      </c>
      <c r="U13" s="11">
        <f>IFERROR(U12/U14,0)</f>
        <v>5.363247836457358</v>
      </c>
      <c r="V13" s="11">
        <f>IFERROR(V12/V14,0)</f>
        <v>5.502579411411941</v>
      </c>
      <c r="W13" s="11">
        <f>IFERROR(W12/W14,0)</f>
        <v>5.653605931305425</v>
      </c>
      <c r="X13" s="11">
        <f>IFERROR(X12/X14,0)</f>
        <v>5.817084397022019</v>
      </c>
      <c r="Y13" s="11">
        <f>IFERROR(Y12/Y14,0)</f>
        <v>5.993846854624757</v>
      </c>
      <c r="Z13" s="11">
        <f>IFERROR(Z12/Z14,0)</f>
        <v>6.184807344314988</v>
      </c>
      <c r="AA13" s="11">
        <f>IFERROR(AA12/AA14,0)</f>
        <v>6.390969641552379</v>
      </c>
      <c r="AB13" s="11">
        <f>IFERROR(AB12/AB14,0)</f>
        <v>6.613435880771546</v>
      </c>
    </row>
    <row r="14">
      <c r="A14" s="2" t="inlineStr">
        <is>
          <t>Shares</t>
        </is>
      </c>
      <c r="B14" s="52" t="n">
        <v>50.085</v>
      </c>
      <c r="C14" s="52" t="n">
        <v>50.338</v>
      </c>
      <c r="D14" s="52" t="n">
        <v>50.748</v>
      </c>
      <c r="E14" s="52" t="n">
        <v>51.44</v>
      </c>
      <c r="F14" s="52" t="n">
        <v>52.349</v>
      </c>
      <c r="G14" s="52" t="n">
        <v>52.67</v>
      </c>
      <c r="H14" s="52" t="n">
        <v>53.143</v>
      </c>
      <c r="I14" s="52" t="n">
        <v>53.362</v>
      </c>
      <c r="J14" s="52" t="n">
        <v>53.526</v>
      </c>
      <c r="K14" s="52" t="n">
        <v>52.068</v>
      </c>
      <c r="L14" s="52" t="n">
        <v>51.14</v>
      </c>
      <c r="M14" s="52" t="n">
        <v>50.605</v>
      </c>
      <c r="N14" s="52" t="n">
        <v>50.842</v>
      </c>
      <c r="O14" s="52" t="n">
        <v>49.889</v>
      </c>
      <c r="P14" s="52" t="n">
        <v>50.178</v>
      </c>
      <c r="Q14" s="52" t="n">
        <v>50.08</v>
      </c>
      <c r="R14" s="52" t="n">
        <v>48.72</v>
      </c>
      <c r="S14" s="52">
        <f>Main!$C$4</f>
        <v>47.374522</v>
      </c>
      <c r="T14" s="52">
        <f>Main!$C$4</f>
        <v>47.374522</v>
      </c>
      <c r="U14" s="52">
        <f>Main!$C$4</f>
        <v>47.374522</v>
      </c>
      <c r="V14" s="52">
        <f>Main!$C$4</f>
        <v>47.374522</v>
      </c>
      <c r="W14" s="52">
        <f>Main!$C$4</f>
        <v>47.374522</v>
      </c>
      <c r="X14" s="52">
        <f>Main!$C$4</f>
        <v>47.374522</v>
      </c>
      <c r="Y14" s="52">
        <f>Main!$C$4</f>
        <v>47.374522</v>
      </c>
      <c r="Z14" s="52">
        <f>Main!$C$4</f>
        <v>47.374522</v>
      </c>
      <c r="AA14" s="52">
        <f>Main!$C$4</f>
        <v>47.374522</v>
      </c>
      <c r="AB14" s="52">
        <f>Main!$C$4</f>
        <v>47.374522</v>
      </c>
    </row>
    <row r="15"/>
    <row r="16" customFormat="1" s="4">
      <c r="A16" s="3" t="inlineStr">
        <is>
          <t>Revenue Change</t>
        </is>
      </c>
      <c r="C16" s="15">
        <f>IFERROR(C2/B2-1,"")</f>
        <v>0.15006049172596225</v>
      </c>
      <c r="D16" s="15">
        <f>IFERROR(D2/C2-1,"")</f>
        <v>0.31076342456390593</v>
      </c>
      <c r="E16" s="15">
        <f>IFERROR(E2/D2-1,"")</f>
        <v>0.40589228833444824</v>
      </c>
      <c r="F16" s="15">
        <f>IFERROR(F2/E2-1,"")</f>
        <v>-0.03666560235310068</v>
      </c>
      <c r="G16" s="15">
        <f>IFERROR(G2/F2-1,"")</f>
        <v>0.19626000826942946</v>
      </c>
      <c r="H16" s="15">
        <f>IFERROR(H2/G2-1,"")</f>
        <v>0.1282130577941094</v>
      </c>
      <c r="I16" s="15">
        <f>IFERROR(I2/H2-1,"")</f>
        <v>0.09403197779340577</v>
      </c>
      <c r="J16" s="15">
        <f>IFERROR(J2/I2-1,"")</f>
        <v>0.18039475772623192</v>
      </c>
      <c r="K16" s="15">
        <f>IFERROR(K2/J2-1,"")</f>
        <v>-0.06281532762378039</v>
      </c>
      <c r="L16" s="15">
        <f>IFERROR(L2/K2-1,"")</f>
        <v>-0.01308393208694203</v>
      </c>
      <c r="M16" s="15">
        <f>IFERROR(M2/L2-1,"")</f>
        <v>-0.020399580482030277</v>
      </c>
      <c r="N16" s="15">
        <f>IFERROR(N2/M2-1,"")</f>
        <v>0.15205885314803913</v>
      </c>
      <c r="O16" s="15">
        <f>IFERROR(O2/N2-1,"")</f>
        <v>0.03764496527458294</v>
      </c>
      <c r="P16" s="15">
        <f>IFERROR(P2/O2-1,"")</f>
        <v>-0.0020998027001263297</v>
      </c>
      <c r="Q16" s="15">
        <f>IFERROR(Q2/P2-1,"")</f>
        <v>0.011023168647815718</v>
      </c>
      <c r="R16" s="15">
        <f>IFERROR(R2/Q2-1,"")</f>
        <v>-0.04311710181918538</v>
      </c>
      <c r="S16" s="15">
        <f>IFERROR(S2/R2-1,"")</f>
        <v>0.010999999999999899</v>
      </c>
      <c r="T16" s="15">
        <f>IFERROR(T2/S2-1,"")</f>
        <v>0.012555555555555653</v>
      </c>
      <c r="U16" s="15">
        <f>IFERROR(U2/T2-1,"")</f>
        <v>0.014111111111111185</v>
      </c>
      <c r="V16" s="15">
        <f>IFERROR(V2/U2-1,"")</f>
        <v>0.015666666666666718</v>
      </c>
      <c r="W16" s="15">
        <f>IFERROR(W2/V2-1,"")</f>
        <v>0.01722222222222225</v>
      </c>
      <c r="X16" s="15">
        <f>IFERROR(X2/W2-1,"")</f>
        <v>0.018777777777777782</v>
      </c>
      <c r="Y16" s="15">
        <f>IFERROR(Y2/X2-1,"")</f>
        <v>0.020333333333333314</v>
      </c>
      <c r="Z16" s="15">
        <f>IFERROR(Z2/Y2-1,"")</f>
        <v>0.021888888888888847</v>
      </c>
      <c r="AA16" s="15">
        <f>IFERROR(AA2/Z2-1,"")</f>
        <v>0.02344444444444438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0.5794886678648107</v>
      </c>
      <c r="I17" s="15">
        <f>IFERROR(I4/I2,"")</f>
        <v>0.5671791034623495</v>
      </c>
      <c r="J17" s="15">
        <f>IFERROR(J4/J2,"")</f>
        <v>0.5537040220749747</v>
      </c>
      <c r="K17" s="15">
        <f>IFERROR(K4/K2,"")</f>
        <v>0.5693677961255492</v>
      </c>
      <c r="L17" s="15">
        <f>IFERROR(L4/L2,"")</f>
        <v>0.5734343360920447</v>
      </c>
      <c r="M17" s="15">
        <f>IFERROR(M4/M2,"")</f>
        <v>0.5803395292384178</v>
      </c>
      <c r="N17" s="15">
        <f>IFERROR(N4/N2,"")</f>
        <v>0.5710702495003736</v>
      </c>
      <c r="O17" s="15">
        <f>IFERROR(O4/O2,"")</f>
        <v>0.5544738300560863</v>
      </c>
      <c r="P17" s="15">
        <f>IFERROR(P4/P2,"")</f>
        <v>0.5548888041750307</v>
      </c>
      <c r="Q17" s="15">
        <f>IFERROR(Q4/Q2,"")</f>
        <v>0.5576412290092304</v>
      </c>
      <c r="R17" s="15">
        <f>IFERROR(R4/R2,"")</f>
        <v>0.5470517725187264</v>
      </c>
      <c r="S17" s="15">
        <f>IFERROR(S4/S2,"")</f>
        <v>0.5471</v>
      </c>
      <c r="T17" s="15">
        <f>IFERROR(T4/T2,"")</f>
        <v>0.5471</v>
      </c>
      <c r="U17" s="15">
        <f>IFERROR(U4/U2,"")</f>
        <v>0.5470999999999999</v>
      </c>
      <c r="V17" s="15">
        <f>IFERROR(V4/V2,"")</f>
        <v>0.5471</v>
      </c>
      <c r="W17" s="15">
        <f>IFERROR(W4/W2,"")</f>
        <v>0.5471</v>
      </c>
      <c r="X17" s="15">
        <f>IFERROR(X4/X2,"")</f>
        <v>0.5471</v>
      </c>
      <c r="Y17" s="15">
        <f>IFERROR(Y4/Y2,"")</f>
        <v>0.5471</v>
      </c>
      <c r="Z17" s="15">
        <f>IFERROR(Z4/Z2,"")</f>
        <v>0.5471</v>
      </c>
      <c r="AA17" s="15">
        <f>IFERROR(AA4/AA2,"")</f>
        <v>0.5471</v>
      </c>
      <c r="AB17" s="15">
        <f>IFERROR(AB4/AB2,"")</f>
        <v>0.5471</v>
      </c>
    </row>
    <row r="18">
      <c r="A18" s="14" t="inlineStr">
        <is>
          <t>Operating Margin</t>
        </is>
      </c>
      <c r="B18" s="15">
        <f>IFERROR(B8/B2,"")</f>
        <v>0.26768443141195203</v>
      </c>
      <c r="C18" s="15">
        <f>IFERROR(C8/C2,"")</f>
        <v>0.22627856527294876</v>
      </c>
      <c r="D18" s="15">
        <f>IFERROR(D8/D2,"")</f>
        <v>0.2331137989276443</v>
      </c>
      <c r="E18" s="15">
        <f>IFERROR(E8/E2,"")</f>
        <v>0.30943143079220414</v>
      </c>
      <c r="F18" s="15">
        <f>IFERROR(F8/F2,"")</f>
        <v>0.3157381972309129</v>
      </c>
      <c r="G18" s="15">
        <f>IFERROR(G8/G2,"")</f>
        <v>0.2904454516577272</v>
      </c>
      <c r="H18" s="15">
        <f>IFERROR(H8/H2,"")</f>
        <v>0.3228725192155753</v>
      </c>
      <c r="I18" s="15">
        <f>IFERROR(I8/I2,"")</f>
        <v>0.2331394689703648</v>
      </c>
      <c r="J18" s="15">
        <f>IFERROR(J8/J2,"")</f>
        <v>0.20695192661396367</v>
      </c>
      <c r="K18" s="15">
        <f>IFERROR(K8/K2,"")</f>
        <v>0.06917871603860312</v>
      </c>
      <c r="L18" s="15">
        <f>IFERROR(L8/L2,"")</f>
        <v>0.302338501157828</v>
      </c>
      <c r="M18" s="15">
        <f>IFERROR(M8/M2,"")</f>
        <v>0.3152565549919702</v>
      </c>
      <c r="N18" s="15">
        <f>IFERROR(N8/N2,"")</f>
        <v>0.30356584211436755</v>
      </c>
      <c r="O18" s="15">
        <f>IFERROR(O8/O2,"")</f>
        <v>-0.0198762996297857</v>
      </c>
      <c r="P18" s="15">
        <f>IFERROR(P8/P2,"")</f>
        <v>0.30428477363183415</v>
      </c>
      <c r="Q18" s="15">
        <f>IFERROR(Q8/Q2,"")</f>
        <v>0.2959977570001459</v>
      </c>
      <c r="R18" s="15">
        <f>IFERROR(R8/R2,"")</f>
        <v>0.2841991172999114</v>
      </c>
      <c r="S18" s="15">
        <f>IFERROR(S8/S2,"")</f>
        <v>0.26535</v>
      </c>
      <c r="T18" s="15">
        <f>IFERROR(T8/T2,"")</f>
        <v>0.2681</v>
      </c>
      <c r="U18" s="15">
        <f>IFERROR(U8/U2,"")</f>
        <v>0.27085000000000004</v>
      </c>
      <c r="V18" s="15">
        <f>IFERROR(V8/V2,"")</f>
        <v>0.2736</v>
      </c>
      <c r="W18" s="15">
        <f>IFERROR(W8/W2,"")</f>
        <v>0.27635</v>
      </c>
      <c r="X18" s="15">
        <f>IFERROR(X8/X2,"")</f>
        <v>0.2791</v>
      </c>
      <c r="Y18" s="15">
        <f>IFERROR(Y8/Y2,"")</f>
        <v>0.28185000000000004</v>
      </c>
      <c r="Z18" s="15">
        <f>IFERROR(Z8/Z2,"")</f>
        <v>0.2846</v>
      </c>
      <c r="AA18" s="15">
        <f>IFERROR(AA8/AA2,"")</f>
        <v>0.28735</v>
      </c>
      <c r="AB18" s="15">
        <f>IFERROR(AB8/AB2,"")</f>
        <v>0.2901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Prestige Consumer Healthcare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-0.039</v>
      </c>
      <c r="C12" s="53" t="n">
        <v>0.011</v>
      </c>
      <c r="D12" s="53" t="n">
        <v>0.061</v>
      </c>
      <c r="E12" s="54">
        <f>CHOOSE($B$4,B12,C12,D12)</f>
        <v>0.011</v>
      </c>
    </row>
    <row r="13">
      <c r="A13" s="14" t="inlineStr">
        <is>
          <t>Operating margin, year 10</t>
        </is>
      </c>
      <c r="B13" s="53" t="n">
        <v>0.2401</v>
      </c>
      <c r="C13" s="53" t="n">
        <v>0.2901</v>
      </c>
      <c r="D13" s="53" t="n">
        <v>0.3401</v>
      </c>
      <c r="E13" s="54">
        <f>CHOOSE($B$4,B13,C13,D13)</f>
        <v>0.2901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0.2626</v>
      </c>
    </row>
    <row r="19">
      <c r="A19" s="14" t="inlineStr">
        <is>
          <t>Gross margin (forecast)</t>
        </is>
      </c>
      <c r="B19" s="53" t="n">
        <v>0.5471</v>
      </c>
    </row>
    <row r="20">
      <c r="A20" s="14" t="inlineStr">
        <is>
          <t>R&amp;D share of operating expense (forecast)</t>
        </is>
      </c>
      <c r="B20" s="53" t="n">
        <v>0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0.7507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FY2026</t>
        </is>
      </c>
      <c r="B25" s="55">
        <f>'Yearly Model'!R2</f>
        <v>1088.705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2944.0320112385652</v>
      </c>
      <c r="C29" s="56">
        <f>NPV!B26</f>
        <v>1011.8350112385654</v>
      </c>
      <c r="D29" s="35">
        <f>NPV!B28</f>
        <v>21.35821045832537</v>
      </c>
      <c r="E29" s="57">
        <f>NPV!B30</f>
        <v>-0.5672095145222823</v>
      </c>
    </row>
    <row r="30">
      <c r="A30" s="58" t="n">
        <v>1</v>
      </c>
      <c r="B30" s="59">
        <f t="dataTable" ref="B30:E32" r1="B4"/>
        <v>1882.7103820991524</v>
      </c>
      <c r="C30" s="59">
        <v>-49.48661790084748</v>
      </c>
      <c r="D30" s="39">
        <v>-1.0445829490553484</v>
      </c>
      <c r="E30" s="60">
        <v>-1.0211668277417496</v>
      </c>
    </row>
    <row r="31">
      <c r="A31" s="58" t="n">
        <v>2</v>
      </c>
      <c r="B31" s="59">
        <v>2944.0320112385652</v>
      </c>
      <c r="C31" s="59">
        <v>1011.8350112385654</v>
      </c>
      <c r="D31" s="39">
        <v>21.35821045832537</v>
      </c>
      <c r="E31" s="60">
        <v>-0.5672095145222823</v>
      </c>
    </row>
    <row r="32">
      <c r="A32" s="58" t="n">
        <v>3</v>
      </c>
      <c r="B32" s="59">
        <v>4850.911286093849</v>
      </c>
      <c r="C32" s="59">
        <v>2918.71428609385</v>
      </c>
      <c r="D32" s="39">
        <v>61.6093664458261</v>
      </c>
      <c r="E32" s="60">
        <v>0.24841674662261592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21.35821045832537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31.86500780972672</v>
      </c>
      <c r="C37" s="39">
        <v>35.61233883541378</v>
      </c>
      <c r="D37" s="39">
        <v>39.92903053658018</v>
      </c>
      <c r="E37" s="39">
        <v>44.95735197649841</v>
      </c>
      <c r="F37" s="39">
        <v>50.891305706257704</v>
      </c>
    </row>
    <row r="38">
      <c r="A38" s="62" t="n">
        <v>0.1</v>
      </c>
      <c r="B38" s="39">
        <v>23.464679152760677</v>
      </c>
      <c r="C38" s="39">
        <v>26.247793690877902</v>
      </c>
      <c r="D38" s="39">
        <v>29.396050449417128</v>
      </c>
      <c r="E38" s="39">
        <v>32.98763572554492</v>
      </c>
      <c r="F38" s="39">
        <v>37.124792552089204</v>
      </c>
    </row>
    <row r="39">
      <c r="A39" s="62" t="n">
        <v>0.11</v>
      </c>
      <c r="B39" s="39">
        <v>16.84958710622664</v>
      </c>
      <c r="C39" s="39">
        <v>18.981030230256895</v>
      </c>
      <c r="D39" s="39">
        <v>21.35821045832537</v>
      </c>
      <c r="E39" s="39">
        <v>24.027154476288246</v>
      </c>
      <c r="F39" s="39">
        <v>27.046162262469817</v>
      </c>
    </row>
    <row r="40">
      <c r="A40" s="62" t="n">
        <v>0.12</v>
      </c>
      <c r="B40" s="39">
        <v>11.507414504093651</v>
      </c>
      <c r="C40" s="39">
        <v>13.180369553849234</v>
      </c>
      <c r="D40" s="39">
        <v>15.025122277391228</v>
      </c>
      <c r="E40" s="39">
        <v>17.070263902016656</v>
      </c>
      <c r="F40" s="39">
        <v>19.351112585892288</v>
      </c>
    </row>
    <row r="41">
      <c r="A41" s="62" t="n">
        <v>0.13</v>
      </c>
      <c r="B41" s="39">
        <v>7.10432565602374</v>
      </c>
      <c r="C41" s="39">
        <v>8.444133484554257</v>
      </c>
      <c r="D41" s="39">
        <v>9.907813839055923</v>
      </c>
      <c r="E41" s="39">
        <v>11.51391167888429</v>
      </c>
      <c r="F41" s="39">
        <v>13.284875806850785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Prestige Consumer Healthcare Inc.: free-cash-flow DCF ($mm)</t>
        </is>
      </c>
    </row>
    <row r="3">
      <c r="A3" s="20" t="inlineStr">
        <is>
          <t>Fiscal year</t>
        </is>
      </c>
      <c r="B3" s="43">
        <f>'Yearly Model'!R1</f>
        <v>2026</v>
      </c>
      <c r="C3" s="43">
        <f>'Yearly Model'!S1</f>
        <v>2027</v>
      </c>
      <c r="D3" s="43">
        <f>'Yearly Model'!T1</f>
        <v>2028</v>
      </c>
      <c r="E3" s="43">
        <f>'Yearly Model'!U1</f>
        <v>2029</v>
      </c>
      <c r="F3" s="43">
        <f>'Yearly Model'!V1</f>
        <v>2030</v>
      </c>
      <c r="G3" s="43">
        <f>'Yearly Model'!W1</f>
        <v>2031</v>
      </c>
      <c r="H3" s="43">
        <f>'Yearly Model'!X1</f>
        <v>2032</v>
      </c>
      <c r="I3" s="43">
        <f>'Yearly Model'!Y1</f>
        <v>2033</v>
      </c>
      <c r="J3" s="43">
        <f>'Yearly Model'!Z1</f>
        <v>2034</v>
      </c>
      <c r="K3" s="43">
        <f>'Yearly Model'!AA1</f>
        <v>2035</v>
      </c>
      <c r="L3" s="43">
        <f>'Yearly Model'!AB1</f>
        <v>2036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0.011</v>
      </c>
      <c r="D5" s="63">
        <f>Assumptions!$E$12+(Assumptions!$E$11-Assumptions!$E$12)*(D4-1)/(Assumptions!$B$21-1)</f>
        <v>0.012555555555555556</v>
      </c>
      <c r="E5" s="63">
        <f>Assumptions!$E$12+(Assumptions!$E$11-Assumptions!$E$12)*(E4-1)/(Assumptions!$B$21-1)</f>
        <v>0.01411111111111111</v>
      </c>
      <c r="F5" s="63">
        <f>Assumptions!$E$12+(Assumptions!$E$11-Assumptions!$E$12)*(F4-1)/(Assumptions!$B$21-1)</f>
        <v>0.01566666666666667</v>
      </c>
      <c r="G5" s="63">
        <f>Assumptions!$E$12+(Assumptions!$E$11-Assumptions!$E$12)*(G4-1)/(Assumptions!$B$21-1)</f>
        <v>0.017222222222222222</v>
      </c>
      <c r="H5" s="63">
        <f>Assumptions!$E$12+(Assumptions!$E$11-Assumptions!$E$12)*(H4-1)/(Assumptions!$B$21-1)</f>
        <v>0.01877777777777778</v>
      </c>
      <c r="I5" s="63">
        <f>Assumptions!$E$12+(Assumptions!$E$11-Assumptions!$E$12)*(I4-1)/(Assumptions!$B$21-1)</f>
        <v>0.020333333333333335</v>
      </c>
      <c r="J5" s="63">
        <f>Assumptions!$E$12+(Assumptions!$E$11-Assumptions!$E$12)*(J4-1)/(Assumptions!$B$21-1)</f>
        <v>0.02188888888888889</v>
      </c>
      <c r="K5" s="63">
        <f>Assumptions!$E$12+(Assumptions!$E$11-Assumptions!$E$12)*(K4-1)/(Assumptions!$B$21-1)</f>
        <v>0.023444444444444445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0.2841991172999114</v>
      </c>
      <c r="C6" s="63">
        <f>Assumptions!$B$18+(Assumptions!$E$13-Assumptions!$B$18)*C4/Assumptions!$B$21</f>
        <v>0.26535</v>
      </c>
      <c r="D6" s="63">
        <f>Assumptions!$B$18+(Assumptions!$E$13-Assumptions!$B$18)*D4/Assumptions!$B$21</f>
        <v>0.2681</v>
      </c>
      <c r="E6" s="63">
        <f>Assumptions!$B$18+(Assumptions!$E$13-Assumptions!$B$18)*E4/Assumptions!$B$21</f>
        <v>0.27085000000000004</v>
      </c>
      <c r="F6" s="63">
        <f>Assumptions!$B$18+(Assumptions!$E$13-Assumptions!$B$18)*F4/Assumptions!$B$21</f>
        <v>0.2736</v>
      </c>
      <c r="G6" s="63">
        <f>Assumptions!$B$18+(Assumptions!$E$13-Assumptions!$B$18)*G4/Assumptions!$B$21</f>
        <v>0.27635</v>
      </c>
      <c r="H6" s="63">
        <f>Assumptions!$B$18+(Assumptions!$E$13-Assumptions!$B$18)*H4/Assumptions!$B$21</f>
        <v>0.2791</v>
      </c>
      <c r="I6" s="63">
        <f>Assumptions!$B$18+(Assumptions!$E$13-Assumptions!$B$18)*I4/Assumptions!$B$21</f>
        <v>0.28185000000000004</v>
      </c>
      <c r="J6" s="63">
        <f>Assumptions!$B$18+(Assumptions!$E$13-Assumptions!$B$18)*J4/Assumptions!$B$21</f>
        <v>0.2846</v>
      </c>
      <c r="K6" s="63">
        <f>Assumptions!$B$18+(Assumptions!$E$13-Assumptions!$B$18)*K4/Assumptions!$B$21</f>
        <v>0.28735</v>
      </c>
      <c r="L6" s="63">
        <f>Assumptions!$B$18+(Assumptions!$E$13-Assumptions!$B$18)*L4/Assumptions!$B$21</f>
        <v>0.2901</v>
      </c>
    </row>
    <row r="7">
      <c r="A7" s="14" t="inlineStr">
        <is>
          <t>Revenue</t>
        </is>
      </c>
      <c r="B7" s="55">
        <f>'Yearly Model'!R2</f>
        <v>1088.705</v>
      </c>
      <c r="C7" s="55">
        <f>'Yearly Model'!S2</f>
        <v>1100.6807549999999</v>
      </c>
      <c r="D7" s="55">
        <f>'Yearly Model'!T2</f>
        <v>1114.5004133683333</v>
      </c>
      <c r="E7" s="55">
        <f>'Yearly Model'!U2</f>
        <v>1130.2272525347532</v>
      </c>
      <c r="F7" s="55">
        <f>'Yearly Model'!V2</f>
        <v>1147.9341461577978</v>
      </c>
      <c r="G7" s="55">
        <f>'Yearly Model'!W2</f>
        <v>1167.7041231194044</v>
      </c>
      <c r="H7" s="55">
        <f>'Yearly Model'!X2</f>
        <v>1189.6310116535353</v>
      </c>
      <c r="I7" s="55">
        <f>'Yearly Model'!Y2</f>
        <v>1213.8201755571572</v>
      </c>
      <c r="J7" s="55">
        <f>'Yearly Model'!Z2</f>
        <v>1240.3893505110193</v>
      </c>
      <c r="K7" s="55">
        <f>'Yearly Model'!AA2</f>
        <v>1269.4695897285553</v>
      </c>
      <c r="L7" s="55">
        <f>'Yearly Model'!AB2</f>
        <v>1301.206329471769</v>
      </c>
    </row>
    <row r="8">
      <c r="A8" s="14" t="inlineStr">
        <is>
          <t>Operating income</t>
        </is>
      </c>
      <c r="B8" s="55">
        <f>'Yearly Model'!R8</f>
        <v>309.409</v>
      </c>
      <c r="C8" s="55">
        <f>'Yearly Model'!S8</f>
        <v>292.0656383392499</v>
      </c>
      <c r="D8" s="55">
        <f>'Yearly Model'!T8</f>
        <v>298.79756082405015</v>
      </c>
      <c r="E8" s="55">
        <f>'Yearly Model'!U8</f>
        <v>306.122051349038</v>
      </c>
      <c r="F8" s="55">
        <f>'Yearly Model'!V8</f>
        <v>314.0747823887735</v>
      </c>
      <c r="G8" s="55">
        <f>'Yearly Model'!W8</f>
        <v>322.6950344240474</v>
      </c>
      <c r="H8" s="55">
        <f>'Yearly Model'!X8</f>
        <v>332.0260153525017</v>
      </c>
      <c r="I8" s="55">
        <f>'Yearly Model'!Y8</f>
        <v>342.1152164807848</v>
      </c>
      <c r="J8" s="55">
        <f>'Yearly Model'!Z8</f>
        <v>353.0148091554361</v>
      </c>
      <c r="K8" s="55">
        <f>'Yearly Model'!AA8</f>
        <v>364.7820866085004</v>
      </c>
      <c r="L8" s="55">
        <f>'Yearly Model'!AB8</f>
        <v>377.4799561797602</v>
      </c>
    </row>
    <row r="9">
      <c r="A9" s="14" t="inlineStr">
        <is>
          <t>Tax on operating income</t>
        </is>
      </c>
      <c r="C9" s="52">
        <f>MAX(0,C8)*Assumptions!$E$14</f>
        <v>49.65115851767249</v>
      </c>
      <c r="D9" s="52">
        <f>MAX(0,D8)*Assumptions!$E$14</f>
        <v>50.79558534008853</v>
      </c>
      <c r="E9" s="52">
        <f>MAX(0,E8)*Assumptions!$E$14</f>
        <v>52.04074872933646</v>
      </c>
      <c r="F9" s="52">
        <f>MAX(0,F8)*Assumptions!$E$14</f>
        <v>53.3927130060915</v>
      </c>
      <c r="G9" s="52">
        <f>MAX(0,G8)*Assumptions!$E$14</f>
        <v>54.85815585208806</v>
      </c>
      <c r="H9" s="52">
        <f>MAX(0,H8)*Assumptions!$E$14</f>
        <v>56.44442260992529</v>
      </c>
      <c r="I9" s="52">
        <f>MAX(0,I8)*Assumptions!$E$14</f>
        <v>58.15958680173342</v>
      </c>
      <c r="J9" s="52">
        <f>MAX(0,J8)*Assumptions!$E$14</f>
        <v>60.01251755642414</v>
      </c>
      <c r="K9" s="52">
        <f>MAX(0,K8)*Assumptions!$E$14</f>
        <v>62.01295472344507</v>
      </c>
      <c r="L9" s="52">
        <f>MAX(0,L8)*Assumptions!$E$14</f>
        <v>64.17159255055924</v>
      </c>
    </row>
    <row r="10">
      <c r="A10" s="14" t="inlineStr">
        <is>
          <t>NOPAT</t>
        </is>
      </c>
      <c r="C10" s="52">
        <f>C8-C9</f>
        <v>242.41447982157743</v>
      </c>
      <c r="D10" s="52">
        <f>D8-D9</f>
        <v>248.00197548396162</v>
      </c>
      <c r="E10" s="52">
        <f>E8-E9</f>
        <v>254.08130261970152</v>
      </c>
      <c r="F10" s="52">
        <f>F8-F9</f>
        <v>260.682069382682</v>
      </c>
      <c r="G10" s="52">
        <f>G8-G9</f>
        <v>267.83687857195935</v>
      </c>
      <c r="H10" s="52">
        <f>H8-H9</f>
        <v>275.5815927425764</v>
      </c>
      <c r="I10" s="52">
        <f>I8-I9</f>
        <v>283.95562967905136</v>
      </c>
      <c r="J10" s="52">
        <f>J8-J9</f>
        <v>293.002291599012</v>
      </c>
      <c r="K10" s="52">
        <f>K8-K9</f>
        <v>302.7691318850553</v>
      </c>
      <c r="L10" s="52">
        <f>L8-L9</f>
        <v>313.308363629201</v>
      </c>
    </row>
    <row r="11">
      <c r="A11" s="14" t="inlineStr">
        <is>
          <t>Reinvestment</t>
        </is>
      </c>
      <c r="C11" s="52">
        <f>(C7-B7)*Assumptions!$E$15</f>
        <v>2.993938749999984</v>
      </c>
      <c r="D11" s="52">
        <f>(D7-C7)*Assumptions!$E$15</f>
        <v>3.4549145920833553</v>
      </c>
      <c r="E11" s="52">
        <f>(E7-D7)*Assumptions!$E$15</f>
        <v>3.9317097916049875</v>
      </c>
      <c r="F11" s="52">
        <f>(F7-E7)*Assumptions!$E$15</f>
        <v>4.426723405761152</v>
      </c>
      <c r="G11" s="52">
        <f>(G7-F7)*Assumptions!$E$15</f>
        <v>4.942494240401629</v>
      </c>
      <c r="H11" s="52">
        <f>(H7-G7)*Assumptions!$E$15</f>
        <v>5.481722133532742</v>
      </c>
      <c r="I11" s="52">
        <f>(I7-H7)*Assumptions!$E$15</f>
        <v>6.047290975905469</v>
      </c>
      <c r="J11" s="52">
        <f>(J7-I7)*Assumptions!$E$15</f>
        <v>6.642293738465526</v>
      </c>
      <c r="K11" s="52">
        <f>(K7-J7)*Assumptions!$E$15</f>
        <v>7.270059804384005</v>
      </c>
      <c r="L11" s="52">
        <f>(L7-K7)*Assumptions!$E$15</f>
        <v>7.934184935803444</v>
      </c>
    </row>
    <row r="12">
      <c r="A12" s="20" t="inlineStr">
        <is>
          <t>Free cash flow</t>
        </is>
      </c>
      <c r="C12" s="64">
        <f>C10-C11</f>
        <v>239.42054107157745</v>
      </c>
      <c r="D12" s="64">
        <f>D10-D11</f>
        <v>244.54706089187826</v>
      </c>
      <c r="E12" s="64">
        <f>E10-E11</f>
        <v>250.14959282809653</v>
      </c>
      <c r="F12" s="64">
        <f>F10-F11</f>
        <v>256.25534597692086</v>
      </c>
      <c r="G12" s="64">
        <f>G10-G11</f>
        <v>262.8943843315577</v>
      </c>
      <c r="H12" s="64">
        <f>H10-H11</f>
        <v>270.09987060904365</v>
      </c>
      <c r="I12" s="64">
        <f>I10-I11</f>
        <v>277.9083387031459</v>
      </c>
      <c r="J12" s="64">
        <f>J10-J11</f>
        <v>286.35999786054646</v>
      </c>
      <c r="K12" s="64">
        <f>K10-K11</f>
        <v>295.4990720806713</v>
      </c>
      <c r="L12" s="64">
        <f>L10-L11</f>
        <v>305.37417869339754</v>
      </c>
    </row>
    <row r="13">
      <c r="A13" s="14" t="inlineStr">
        <is>
          <t>Year fraction</t>
        </is>
      </c>
      <c r="C13" s="46">
        <f>Assumptions!$B$22</f>
        <v>0.7507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0.37535</v>
      </c>
      <c r="D14" s="11">
        <f>C14+C13/2+D13/2</f>
        <v>1.2507000000000001</v>
      </c>
      <c r="E14" s="11">
        <f>D14+D13/2+E13/2</f>
        <v>2.2507</v>
      </c>
      <c r="F14" s="11">
        <f>E14+E13/2+F13/2</f>
        <v>3.2507</v>
      </c>
      <c r="G14" s="11">
        <f>F14+F13/2+G13/2</f>
        <v>4.2507</v>
      </c>
      <c r="H14" s="11">
        <f>G14+G13/2+H13/2</f>
        <v>5.2507</v>
      </c>
      <c r="I14" s="11">
        <f>H14+H13/2+I13/2</f>
        <v>6.2507</v>
      </c>
      <c r="J14" s="11">
        <f>I14+I13/2+J13/2</f>
        <v>7.2507</v>
      </c>
      <c r="K14" s="11">
        <f>J14+J13/2+K13/2</f>
        <v>8.2507</v>
      </c>
      <c r="L14" s="11">
        <f>K14+K13/2+L13/2</f>
        <v>9.2507</v>
      </c>
    </row>
    <row r="15">
      <c r="A15" s="14" t="inlineStr">
        <is>
          <t>Discount factor</t>
        </is>
      </c>
      <c r="C15" s="65">
        <f>1/(1+Assumptions!$E$10)^C14</f>
        <v>0.9615857525103382</v>
      </c>
      <c r="D15" s="65">
        <f>1/(1+Assumptions!$E$10)^D14</f>
        <v>0.8776362446236491</v>
      </c>
      <c r="E15" s="65">
        <f>1/(1+Assumptions!$E$10)^E14</f>
        <v>0.7906632834447287</v>
      </c>
      <c r="F15" s="65">
        <f>1/(1+Assumptions!$E$10)^F14</f>
        <v>0.7123092643646205</v>
      </c>
      <c r="G15" s="65">
        <f>1/(1+Assumptions!$E$10)^G14</f>
        <v>0.6417200579861445</v>
      </c>
      <c r="H15" s="65">
        <f>1/(1+Assumptions!$E$10)^H14</f>
        <v>0.5781261783658959</v>
      </c>
      <c r="I15" s="65">
        <f>1/(1+Assumptions!$E$10)^I14</f>
        <v>0.5208343949242304</v>
      </c>
      <c r="J15" s="65">
        <f>1/(1+Assumptions!$E$10)^J14</f>
        <v>0.4692201756074148</v>
      </c>
      <c r="K15" s="65">
        <f>1/(1+Assumptions!$E$10)^K14</f>
        <v>0.4227208789255989</v>
      </c>
      <c r="L15" s="65">
        <f>1/(1+Assumptions!$E$10)^L14</f>
        <v>0.38082962065369264</v>
      </c>
    </row>
    <row r="16">
      <c r="A16" s="20" t="inlineStr">
        <is>
          <t>PV of free cash flow</t>
        </is>
      </c>
      <c r="C16" s="64">
        <f>C12*C13*C15</f>
        <v>172.82869223136578</v>
      </c>
      <c r="D16" s="64">
        <f>D12*D13*D15</f>
        <v>214.62336415489887</v>
      </c>
      <c r="E16" s="64">
        <f>E12*E13*E15</f>
        <v>197.78409841782477</v>
      </c>
      <c r="F16" s="64">
        <f>F12*F13*F15</f>
        <v>182.53305698232182</v>
      </c>
      <c r="G16" s="64">
        <f>G12*G13*G15</f>
        <v>168.70459955747899</v>
      </c>
      <c r="H16" s="64">
        <f>H12*H13*H15</f>
        <v>156.15180597232936</v>
      </c>
      <c r="I16" s="64">
        <f>I12*I13*I15</f>
        <v>144.74422143285108</v>
      </c>
      <c r="J16" s="64">
        <f>J12*J13*J15</f>
        <v>134.36588848306454</v>
      </c>
      <c r="K16" s="64">
        <f>K12*K13*K15</f>
        <v>124.91362747164027</v>
      </c>
      <c r="L16" s="64">
        <f>L12*L13*L15</f>
        <v>116.29553262923953</v>
      </c>
    </row>
    <row r="19">
      <c r="A19" s="14" t="inlineStr">
        <is>
          <t>PV of forecast free cash flow</t>
        </is>
      </c>
      <c r="B19" s="52">
        <f>SUM(C16:L16)</f>
        <v>1612.9448873330148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313.00853316073244</v>
      </c>
    </row>
    <row r="21">
      <c r="A21" s="14" t="inlineStr">
        <is>
          <t>Terminal value</t>
        </is>
      </c>
      <c r="B21" s="52">
        <f>B20/(Assumptions!$E$10-Assumptions!$E$11)</f>
        <v>3682.453331302735</v>
      </c>
    </row>
    <row r="22">
      <c r="A22" s="14" t="inlineStr">
        <is>
          <t>PV of terminal value</t>
        </is>
      </c>
      <c r="B22" s="52">
        <f>B21/(1+Assumptions!$E$10)^(L14+0.5)</f>
        <v>1331.0871239055507</v>
      </c>
    </row>
    <row r="23">
      <c r="A23" s="20" t="inlineStr">
        <is>
          <t>Enterprise value</t>
        </is>
      </c>
      <c r="B23" s="66">
        <f>B19+B22</f>
        <v>2944.0320112385652</v>
      </c>
    </row>
    <row r="24">
      <c r="A24" s="14" t="inlineStr">
        <is>
          <t>Cash &amp; investments</t>
        </is>
      </c>
      <c r="B24" s="55">
        <f>Main!C7</f>
        <v>89.127</v>
      </c>
    </row>
    <row r="25">
      <c r="A25" s="14" t="inlineStr">
        <is>
          <t>Debt</t>
        </is>
      </c>
      <c r="B25" s="55">
        <f>Main!C8</f>
        <v>2021.3239999999998</v>
      </c>
    </row>
    <row r="26">
      <c r="A26" s="20" t="inlineStr">
        <is>
          <t>Equity value</t>
        </is>
      </c>
      <c r="B26" s="66">
        <f>B23+B24-B25</f>
        <v>1011.8350112385654</v>
      </c>
    </row>
    <row r="27">
      <c r="A27" s="14" t="inlineStr">
        <is>
          <t>Shares (mm)</t>
        </is>
      </c>
      <c r="B27" s="55">
        <f>Main!C4</f>
        <v>47.374522</v>
      </c>
    </row>
    <row r="28">
      <c r="A28" s="20" t="inlineStr">
        <is>
          <t>NPV / share</t>
        </is>
      </c>
      <c r="B28" s="49">
        <f>B26/B27</f>
        <v>21.35821045832537</v>
      </c>
    </row>
    <row r="29">
      <c r="A29" s="14" t="inlineStr">
        <is>
          <t>Price</t>
        </is>
      </c>
      <c r="B29" s="50">
        <f>Main!C3</f>
        <v>49.35</v>
      </c>
    </row>
    <row r="30">
      <c r="A30" s="14" t="inlineStr">
        <is>
          <t>Upside</t>
        </is>
      </c>
      <c r="B30" s="63">
        <f>B28/B29-1</f>
        <v>-0.5672095145222823</v>
      </c>
    </row>
    <row r="31">
      <c r="A31" s="14" t="inlineStr">
        <is>
          <t>Terminal value, % of EV</t>
        </is>
      </c>
      <c r="B31" s="63">
        <f>IFERROR(B22/B23,0)</f>
        <v>0.4521306557891527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2026-10-21T01:04:21Z</dcterms:modified>
  <cp:lastModifiedBy>Wang, Eric</cp:lastModifiedBy>
</cp:coreProperties>
</file>