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Viking Therapeutics, Inc.</t>
        </is>
      </c>
      <c r="C2" s="10" t="n"/>
    </row>
    <row r="3">
      <c r="B3" t="inlineStr">
        <is>
          <t>Price</t>
        </is>
      </c>
      <c r="C3" s="11">
        <f>INDEX([1]Pharma!$F$1:$F$1000,MATCH("VKTX",[1]Pharma!$B$1:$B$1000,0))</f>
        <v>26.71</v>
      </c>
      <c r="F3" s="1" t="n"/>
    </row>
    <row r="4">
      <c r="B4" t="inlineStr">
        <is>
          <t>Shares</t>
        </is>
      </c>
      <c r="C4" s="21" t="n">
        <v>116.652937</v>
      </c>
      <c r="F4" s="1" t="n"/>
    </row>
    <row r="5">
      <c r="B5" t="inlineStr">
        <is>
          <t>Market Cap.</t>
        </is>
      </c>
      <c r="C5" s="13">
        <f>C3*C4</f>
        <v>3115.79994727</v>
      </c>
      <c r="F5" s="1" t="n"/>
    </row>
    <row r="6"/>
    <row r="7">
      <c r="B7" t="inlineStr">
        <is>
          <t>Cash</t>
        </is>
      </c>
      <c r="C7" s="21">
        <f>125.75+375.913</f>
        <v>501.663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2614.13694727</v>
      </c>
    </row>
    <row r="10"/>
    <row r="11">
      <c r="B11" s="14" t="inlineStr">
        <is>
          <t>Net Cash / Share</t>
        </is>
      </c>
      <c r="C11" s="11">
        <f>(C7-C8)/C4</f>
        <v>4.300474663574051</v>
      </c>
    </row>
    <row r="12">
      <c r="B12" s="14" t="inlineStr">
        <is>
          <t>Upside</t>
        </is>
      </c>
      <c r="C12" s="15">
        <f>IFERROR(C11/C3-1,"")</f>
        <v>-0.8389938351338806</v>
      </c>
    </row>
    <row r="13">
      <c r="B13" s="14" t="inlineStr">
        <is>
          <t>Cash / Share</t>
        </is>
      </c>
      <c r="C13" s="11">
        <f>IFERROR((C7-C8)/C4,"")</f>
        <v>4.300474663574051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-418.441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1.1988858644348905</v>
      </c>
    </row>
    <row r="19">
      <c r="B19" s="14" t="inlineStr">
        <is>
          <t>Implied Pipeline Value</t>
        </is>
      </c>
      <c r="C19" s="13">
        <f>C9</f>
        <v>2614.13694727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</row>
    <row r="5">
      <c r="A5" s="2" t="inlineStr">
        <is>
          <t>Research &amp; Dev.</t>
        </is>
      </c>
      <c r="B5" s="23" t="n">
        <v>22.223</v>
      </c>
      <c r="C5" s="23" t="n">
        <v>6.967</v>
      </c>
      <c r="D5" s="23" t="n">
        <v>9</v>
      </c>
      <c r="E5" s="23" t="n">
        <v>13.741</v>
      </c>
      <c r="F5" s="23" t="n">
        <v>19.04</v>
      </c>
      <c r="G5" s="23" t="n">
        <v>23.559</v>
      </c>
      <c r="H5" s="23" t="n">
        <v>31.931</v>
      </c>
      <c r="I5" s="23" t="n">
        <v>44.981</v>
      </c>
      <c r="J5" s="23" t="n">
        <v>54.234</v>
      </c>
      <c r="K5" s="23" t="n">
        <v>63.806</v>
      </c>
      <c r="L5" s="23" t="n">
        <v>101.644</v>
      </c>
      <c r="M5" s="23" t="n">
        <v>344.955</v>
      </c>
    </row>
    <row r="6">
      <c r="A6" s="19" t="inlineStr">
        <is>
          <t>SG&amp;A &amp; Other</t>
        </is>
      </c>
      <c r="B6" s="23" t="n">
        <v>1.245</v>
      </c>
      <c r="C6" s="23" t="n">
        <v>5.03</v>
      </c>
      <c r="D6" s="23" t="n">
        <v>4.847</v>
      </c>
      <c r="E6" s="23" t="n">
        <v>5.329</v>
      </c>
      <c r="F6" s="23" t="n">
        <v>7.121</v>
      </c>
      <c r="G6" s="23" t="n">
        <v>9.128</v>
      </c>
      <c r="H6" s="23" t="n">
        <v>10.731</v>
      </c>
      <c r="I6" s="23" t="n">
        <v>10.701</v>
      </c>
      <c r="J6" s="23" t="n">
        <v>16.121</v>
      </c>
      <c r="K6" s="23" t="n">
        <v>37.021</v>
      </c>
      <c r="L6" s="23" t="n">
        <v>49.277</v>
      </c>
      <c r="M6" s="23" t="n">
        <v>48.387</v>
      </c>
    </row>
    <row r="7">
      <c r="A7" s="2" t="inlineStr">
        <is>
          <t>Operating Expense</t>
        </is>
      </c>
      <c r="B7" s="23">
        <f>SUM(B5:B6)</f>
        <v>23.468</v>
      </c>
      <c r="C7" s="23">
        <f>SUM(C5:C6)</f>
        <v>11.997</v>
      </c>
      <c r="D7" s="23">
        <f>SUM(D5:D6)</f>
        <v>13.847000000000001</v>
      </c>
      <c r="E7" s="23">
        <f>SUM(E5:E6)</f>
        <v>19.07</v>
      </c>
      <c r="F7" s="23">
        <f>SUM(F5:F6)</f>
        <v>26.161</v>
      </c>
      <c r="G7" s="23">
        <f>SUM(G5:G6)</f>
        <v>32.687</v>
      </c>
      <c r="H7" s="23">
        <f>SUM(H5:H6)</f>
        <v>42.662</v>
      </c>
      <c r="I7" s="23">
        <f>SUM(I5:I6)</f>
        <v>55.682</v>
      </c>
      <c r="J7" s="23">
        <f>SUM(J5:J6)</f>
        <v>70.355</v>
      </c>
      <c r="K7" s="23">
        <f>SUM(K5:K6)</f>
        <v>100.827</v>
      </c>
      <c r="L7" s="23">
        <f>SUM(L5:L6)</f>
        <v>150.921</v>
      </c>
      <c r="M7" s="23">
        <f>SUM(M5:M6)</f>
        <v>393.342</v>
      </c>
    </row>
    <row r="8">
      <c r="A8" s="2" t="inlineStr">
        <is>
          <t>Operating Income</t>
        </is>
      </c>
      <c r="B8" s="23">
        <f>B4-B7</f>
        <v>-23.468</v>
      </c>
      <c r="C8" s="23">
        <f>C4-C7</f>
        <v>-11.997</v>
      </c>
      <c r="D8" s="23">
        <f>D4-D7</f>
        <v>-13.847000000000001</v>
      </c>
      <c r="E8" s="23">
        <f>E4-E7</f>
        <v>-19.07</v>
      </c>
      <c r="F8" s="23">
        <f>F4-F7</f>
        <v>-26.161</v>
      </c>
      <c r="G8" s="23">
        <f>G4-G7</f>
        <v>-32.687</v>
      </c>
      <c r="H8" s="23">
        <f>H4-H7</f>
        <v>-42.662</v>
      </c>
      <c r="I8" s="23">
        <f>I4-I7</f>
        <v>-55.682</v>
      </c>
      <c r="J8" s="23">
        <f>J4-J7</f>
        <v>-70.355</v>
      </c>
      <c r="K8" s="23">
        <f>K4-K7</f>
        <v>-100.827</v>
      </c>
      <c r="L8" s="23">
        <f>L4-L7</f>
        <v>-150.921</v>
      </c>
      <c r="M8" s="23">
        <f>M4-M7</f>
        <v>-393.342</v>
      </c>
    </row>
    <row r="9">
      <c r="A9" s="19" t="inlineStr">
        <is>
          <t>Interest &amp; Other</t>
        </is>
      </c>
      <c r="B9" s="23" t="n">
        <v>1.584</v>
      </c>
      <c r="C9" s="23" t="n">
        <v>-11.408</v>
      </c>
      <c r="D9" s="23" t="n">
        <v>-0.885</v>
      </c>
      <c r="E9" s="23" t="n">
        <v>-1.508</v>
      </c>
      <c r="F9" s="23" t="n">
        <v>4.098</v>
      </c>
      <c r="G9" s="23" t="n">
        <v>6.908</v>
      </c>
      <c r="H9" s="23" t="n">
        <v>3.167</v>
      </c>
      <c r="I9" s="23" t="n">
        <v>0.694</v>
      </c>
      <c r="J9" s="23" t="n">
        <v>1.489</v>
      </c>
      <c r="K9" s="23" t="n">
        <v>14.933</v>
      </c>
      <c r="L9" s="23" t="n">
        <v>40.959</v>
      </c>
      <c r="M9" s="23" t="n">
        <v>33.704</v>
      </c>
    </row>
    <row r="10">
      <c r="A10" s="2" t="inlineStr">
        <is>
          <t>Pretax</t>
        </is>
      </c>
      <c r="B10" s="23">
        <f>B8+B9</f>
        <v>-21.884</v>
      </c>
      <c r="C10" s="23">
        <f>C8+C9</f>
        <v>-23.405</v>
      </c>
      <c r="D10" s="23">
        <f>D8+D9</f>
        <v>-14.732000000000001</v>
      </c>
      <c r="E10" s="23">
        <f>E8+E9</f>
        <v>-20.578</v>
      </c>
      <c r="F10" s="23">
        <f>F8+F9</f>
        <v>-22.063000000000002</v>
      </c>
      <c r="G10" s="23">
        <f>G8+G9</f>
        <v>-25.778999999999996</v>
      </c>
      <c r="H10" s="23">
        <f>H8+H9</f>
        <v>-39.495</v>
      </c>
      <c r="I10" s="23">
        <f>I8+I9</f>
        <v>-54.988</v>
      </c>
      <c r="J10" s="23">
        <f>J8+J9</f>
        <v>-68.866</v>
      </c>
      <c r="K10" s="23">
        <f>K8+K9</f>
        <v>-85.894</v>
      </c>
      <c r="L10" s="23">
        <f>L8+L9</f>
        <v>-109.96199999999999</v>
      </c>
      <c r="M10" s="23">
        <f>M8+M9</f>
        <v>-359.638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0.002</v>
      </c>
      <c r="J11" s="23" t="n">
        <v>0.001</v>
      </c>
      <c r="K11" s="23" t="n">
        <v>0.001</v>
      </c>
      <c r="L11" s="23" t="n">
        <v>0.001</v>
      </c>
      <c r="M11" s="23" t="n">
        <v>0.001</v>
      </c>
    </row>
    <row r="12">
      <c r="A12" s="2" t="inlineStr">
        <is>
          <t>Net Income</t>
        </is>
      </c>
      <c r="B12" s="23" t="n">
        <v>-21.884</v>
      </c>
      <c r="C12" s="23" t="n">
        <v>-23.404</v>
      </c>
      <c r="D12" s="23" t="n">
        <v>-14.732</v>
      </c>
      <c r="E12" s="23" t="n">
        <v>-20.578</v>
      </c>
      <c r="F12" s="23" t="n">
        <v>-22.063</v>
      </c>
      <c r="G12" s="23" t="n">
        <v>-25.779</v>
      </c>
      <c r="H12" s="23" t="n">
        <v>-39.495</v>
      </c>
      <c r="I12" s="23" t="n">
        <v>-54.99</v>
      </c>
      <c r="J12" s="23" t="n">
        <v>-68.867</v>
      </c>
      <c r="K12" s="23" t="n">
        <v>-85.895</v>
      </c>
      <c r="L12" s="23" t="n">
        <v>-109.963</v>
      </c>
      <c r="M12" s="23" t="n">
        <v>-359.639</v>
      </c>
    </row>
    <row r="13">
      <c r="A13" s="2" t="inlineStr">
        <is>
          <t>Earnings per Share</t>
        </is>
      </c>
      <c r="B13" s="11">
        <f>IFERROR(B12/B14,0)</f>
        <v>-5.226653928827322</v>
      </c>
      <c r="C13" s="11">
        <f>IFERROR(C12/C14,0)</f>
        <v>-3.6821900566393957</v>
      </c>
      <c r="D13" s="11">
        <f>IFERROR(D12/D14,0)</f>
        <v>-0.9050251873694557</v>
      </c>
      <c r="E13" s="11">
        <f>IFERROR(E12/E14,0)</f>
        <v>-0.7921318038340134</v>
      </c>
      <c r="F13" s="11">
        <f>IFERROR(F12/F14,0)</f>
        <v>-0.3831712400138937</v>
      </c>
      <c r="G13" s="11">
        <f>IFERROR(G12/G14,0)</f>
        <v>-0.35824566767186866</v>
      </c>
      <c r="H13" s="11">
        <f>IFERROR(H12/H14,0)</f>
        <v>-0.5440307450721105</v>
      </c>
      <c r="I13" s="11">
        <f>IFERROR(I12/I14,0)</f>
        <v>-0.7123241534754787</v>
      </c>
      <c r="J13" s="11">
        <f>IFERROR(J12/J14,0)</f>
        <v>-0.8963089257360023</v>
      </c>
      <c r="K13" s="11">
        <f>IFERROR(K12/K14,0)</f>
        <v>-0.9104158054840111</v>
      </c>
      <c r="L13" s="11">
        <f>IFERROR(L12/L14,0)</f>
        <v>-1.0084925300586038</v>
      </c>
      <c r="M13" s="11">
        <f>IFERROR(M12/M14,0)</f>
        <v>-3.192052686234656</v>
      </c>
    </row>
    <row r="14">
      <c r="A14" s="2" t="inlineStr">
        <is>
          <t>Shares</t>
        </is>
      </c>
      <c r="B14" s="23" t="n">
        <v>4.187</v>
      </c>
      <c r="C14" s="23" t="n">
        <v>6.356</v>
      </c>
      <c r="D14" s="23" t="n">
        <v>16.278</v>
      </c>
      <c r="E14" s="23" t="n">
        <v>25.978</v>
      </c>
      <c r="F14" s="23" t="n">
        <v>57.58</v>
      </c>
      <c r="G14" s="23" t="n">
        <v>71.959</v>
      </c>
      <c r="H14" s="23" t="n">
        <v>72.59699999999999</v>
      </c>
      <c r="I14" s="23" t="n">
        <v>77.19799999999999</v>
      </c>
      <c r="J14" s="23" t="n">
        <v>76.834</v>
      </c>
      <c r="K14" s="23" t="n">
        <v>94.34699999999999</v>
      </c>
      <c r="L14" s="23" t="n">
        <v>109.037</v>
      </c>
      <c r="M14" s="23" t="n">
        <v>112.667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2026-10-21T01:04:16Z</dcterms:modified>
  <cp:lastModifiedBy>Wang, Eric</cp:lastModifiedBy>
</cp:coreProperties>
</file>