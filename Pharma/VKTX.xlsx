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Viking Therapeutics, Inc.</t>
        </is>
      </c>
      <c r="C2" s="10" t="n"/>
    </row>
    <row r="3">
      <c r="B3" t="inlineStr">
        <is>
          <t>Price</t>
        </is>
      </c>
      <c r="C3" s="11">
        <f>INDEX([1]Pharma!$F$1:$F$1000,MATCH("VKTX",[1]Pharma!$B$1:$B$1000,0))</f>
        <v>26.71</v>
      </c>
      <c r="F3" s="1" t="n"/>
    </row>
    <row r="4">
      <c r="B4" t="inlineStr">
        <is>
          <t>Shares</t>
        </is>
      </c>
      <c r="C4" s="21" t="n">
        <v>116.652937</v>
      </c>
      <c r="F4" s="1" t="n"/>
    </row>
    <row r="5">
      <c r="B5" t="inlineStr">
        <is>
          <t>Market Cap.</t>
        </is>
      </c>
      <c r="C5" s="13">
        <f>C3*C4</f>
        <v>3115.79994727</v>
      </c>
      <c r="F5" s="1" t="n"/>
    </row>
    <row r="6"/>
    <row r="7">
      <c r="B7" t="inlineStr">
        <is>
          <t>Cash</t>
        </is>
      </c>
      <c r="C7" s="21">
        <f>125.75+375.913</f>
        <v>501.663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2614.13694727</v>
      </c>
    </row>
    <row r="10"/>
    <row r="11">
      <c r="B11" s="14" t="inlineStr">
        <is>
          <t>rNPV / Share</t>
        </is>
      </c>
      <c r="C11" s="11">
        <f>NPV!B27</f>
        <v>24.729219088501925</v>
      </c>
    </row>
    <row r="12">
      <c r="B12" s="14" t="inlineStr">
        <is>
          <t>Upside</t>
        </is>
      </c>
      <c r="C12" s="15">
        <f>IFERROR(C11/C3-1,"")</f>
        <v>-0.07415877616990174</v>
      </c>
    </row>
    <row r="13">
      <c r="B13" s="14" t="inlineStr">
        <is>
          <t>Cash / Share</t>
        </is>
      </c>
      <c r="C13" s="11">
        <f>IFERROR((C7-C8)/C4,"")</f>
        <v>4.300474663574051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-418.441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1.1988858644348905</v>
      </c>
    </row>
    <row r="19">
      <c r="B19" s="14" t="inlineStr">
        <is>
          <t>Implied Pipeline Value</t>
        </is>
      </c>
      <c r="C19" s="13">
        <f>C9</f>
        <v>2614.13694727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2014</v>
      </c>
      <c r="C1" s="17" t="n">
        <v>2015</v>
      </c>
      <c r="D1" s="17" t="n">
        <v>2016</v>
      </c>
      <c r="E1" s="17" t="n">
        <v>2017</v>
      </c>
      <c r="F1" s="17" t="n">
        <v>2018</v>
      </c>
      <c r="G1" s="17" t="n">
        <v>2019</v>
      </c>
      <c r="H1" s="17" t="n">
        <v>2020</v>
      </c>
      <c r="I1" s="17" t="n">
        <v>2021</v>
      </c>
      <c r="J1" s="17" t="n">
        <v>2022</v>
      </c>
      <c r="K1" s="17" t="n">
        <v>2023</v>
      </c>
      <c r="L1" s="17" t="n">
        <v>2024</v>
      </c>
      <c r="M1" s="17" t="n">
        <v>2025</v>
      </c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  <c r="M4" s="23">
        <f>M2-M3</f>
        <v>0.0</v>
      </c>
    </row>
    <row r="5">
      <c r="A5" s="2" t="inlineStr">
        <is>
          <t>Research &amp; Dev.</t>
        </is>
      </c>
      <c r="B5" s="23" t="n">
        <v>22.223</v>
      </c>
      <c r="C5" s="23" t="n">
        <v>6.967</v>
      </c>
      <c r="D5" s="23" t="n">
        <v>9</v>
      </c>
      <c r="E5" s="23" t="n">
        <v>13.741</v>
      </c>
      <c r="F5" s="23" t="n">
        <v>19.04</v>
      </c>
      <c r="G5" s="23" t="n">
        <v>23.559</v>
      </c>
      <c r="H5" s="23" t="n">
        <v>31.931</v>
      </c>
      <c r="I5" s="23" t="n">
        <v>44.981</v>
      </c>
      <c r="J5" s="23" t="n">
        <v>54.234</v>
      </c>
      <c r="K5" s="23" t="n">
        <v>63.806</v>
      </c>
      <c r="L5" s="23" t="n">
        <v>101.644</v>
      </c>
      <c r="M5" s="23" t="n">
        <v>344.955</v>
      </c>
    </row>
    <row r="6">
      <c r="A6" s="19" t="inlineStr">
        <is>
          <t>SG&amp;A &amp; Other</t>
        </is>
      </c>
      <c r="B6" s="23" t="n">
        <v>1.245</v>
      </c>
      <c r="C6" s="23" t="n">
        <v>5.03</v>
      </c>
      <c r="D6" s="23" t="n">
        <v>4.847</v>
      </c>
      <c r="E6" s="23" t="n">
        <v>5.329</v>
      </c>
      <c r="F6" s="23" t="n">
        <v>7.121</v>
      </c>
      <c r="G6" s="23" t="n">
        <v>9.128</v>
      </c>
      <c r="H6" s="23" t="n">
        <v>10.731</v>
      </c>
      <c r="I6" s="23" t="n">
        <v>10.701</v>
      </c>
      <c r="J6" s="23" t="n">
        <v>16.121</v>
      </c>
      <c r="K6" s="23" t="n">
        <v>37.021</v>
      </c>
      <c r="L6" s="23" t="n">
        <v>49.277</v>
      </c>
      <c r="M6" s="23" t="n">
        <v>48.387</v>
      </c>
    </row>
    <row r="7">
      <c r="A7" s="2" t="inlineStr">
        <is>
          <t>Operating Expense</t>
        </is>
      </c>
      <c r="B7" s="23">
        <f>SUM(B5:B6)</f>
        <v>23.468</v>
      </c>
      <c r="C7" s="23">
        <f>SUM(C5:C6)</f>
        <v>11.997</v>
      </c>
      <c r="D7" s="23">
        <f>SUM(D5:D6)</f>
        <v>13.847000000000001</v>
      </c>
      <c r="E7" s="23">
        <f>SUM(E5:E6)</f>
        <v>19.07</v>
      </c>
      <c r="F7" s="23">
        <f>SUM(F5:F6)</f>
        <v>26.161</v>
      </c>
      <c r="G7" s="23">
        <f>SUM(G5:G6)</f>
        <v>32.687</v>
      </c>
      <c r="H7" s="23">
        <f>SUM(H5:H6)</f>
        <v>42.662</v>
      </c>
      <c r="I7" s="23">
        <f>SUM(I5:I6)</f>
        <v>55.682</v>
      </c>
      <c r="J7" s="23">
        <f>SUM(J5:J6)</f>
        <v>70.355</v>
      </c>
      <c r="K7" s="23">
        <f>SUM(K5:K6)</f>
        <v>100.827</v>
      </c>
      <c r="L7" s="23">
        <f>SUM(L5:L6)</f>
        <v>150.921</v>
      </c>
      <c r="M7" s="23">
        <f>SUM(M5:M6)</f>
        <v>393.342</v>
      </c>
    </row>
    <row r="8">
      <c r="A8" s="2" t="inlineStr">
        <is>
          <t>Operating Income</t>
        </is>
      </c>
      <c r="B8" s="23">
        <f>B4-B7</f>
        <v>-23.468</v>
      </c>
      <c r="C8" s="23">
        <f>C4-C7</f>
        <v>-11.997</v>
      </c>
      <c r="D8" s="23">
        <f>D4-D7</f>
        <v>-13.847000000000001</v>
      </c>
      <c r="E8" s="23">
        <f>E4-E7</f>
        <v>-19.07</v>
      </c>
      <c r="F8" s="23">
        <f>F4-F7</f>
        <v>-26.161</v>
      </c>
      <c r="G8" s="23">
        <f>G4-G7</f>
        <v>-32.687</v>
      </c>
      <c r="H8" s="23">
        <f>H4-H7</f>
        <v>-42.662</v>
      </c>
      <c r="I8" s="23">
        <f>I4-I7</f>
        <v>-55.682</v>
      </c>
      <c r="J8" s="23">
        <f>J4-J7</f>
        <v>-70.355</v>
      </c>
      <c r="K8" s="23">
        <f>K4-K7</f>
        <v>-100.827</v>
      </c>
      <c r="L8" s="23">
        <f>L4-L7</f>
        <v>-150.921</v>
      </c>
      <c r="M8" s="23">
        <f>M4-M7</f>
        <v>-393.342</v>
      </c>
    </row>
    <row r="9">
      <c r="A9" s="19" t="inlineStr">
        <is>
          <t>Interest &amp; Other</t>
        </is>
      </c>
      <c r="B9" s="23" t="n">
        <v>1.584</v>
      </c>
      <c r="C9" s="23" t="n">
        <v>-11.408</v>
      </c>
      <c r="D9" s="23" t="n">
        <v>-0.885</v>
      </c>
      <c r="E9" s="23" t="n">
        <v>-1.508</v>
      </c>
      <c r="F9" s="23" t="n">
        <v>4.098</v>
      </c>
      <c r="G9" s="23" t="n">
        <v>6.908</v>
      </c>
      <c r="H9" s="23" t="n">
        <v>3.167</v>
      </c>
      <c r="I9" s="23" t="n">
        <v>0.694</v>
      </c>
      <c r="J9" s="23" t="n">
        <v>1.489</v>
      </c>
      <c r="K9" s="23" t="n">
        <v>14.933</v>
      </c>
      <c r="L9" s="23" t="n">
        <v>40.959</v>
      </c>
      <c r="M9" s="23" t="n">
        <v>33.704</v>
      </c>
    </row>
    <row r="10">
      <c r="A10" s="2" t="inlineStr">
        <is>
          <t>Pretax</t>
        </is>
      </c>
      <c r="B10" s="23">
        <f>B8+B9</f>
        <v>-21.884</v>
      </c>
      <c r="C10" s="23">
        <f>C8+C9</f>
        <v>-23.405</v>
      </c>
      <c r="D10" s="23">
        <f>D8+D9</f>
        <v>-14.732000000000001</v>
      </c>
      <c r="E10" s="23">
        <f>E8+E9</f>
        <v>-20.578</v>
      </c>
      <c r="F10" s="23">
        <f>F8+F9</f>
        <v>-22.063000000000002</v>
      </c>
      <c r="G10" s="23">
        <f>G8+G9</f>
        <v>-25.778999999999996</v>
      </c>
      <c r="H10" s="23">
        <f>H8+H9</f>
        <v>-39.495</v>
      </c>
      <c r="I10" s="23">
        <f>I8+I9</f>
        <v>-54.988</v>
      </c>
      <c r="J10" s="23">
        <f>J8+J9</f>
        <v>-68.866</v>
      </c>
      <c r="K10" s="23">
        <f>K8+K9</f>
        <v>-85.894</v>
      </c>
      <c r="L10" s="23">
        <f>L8+L9</f>
        <v>-109.96199999999999</v>
      </c>
      <c r="M10" s="23">
        <f>M8+M9</f>
        <v>-359.638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0.002</v>
      </c>
      <c r="J11" s="23" t="n">
        <v>0.001</v>
      </c>
      <c r="K11" s="23" t="n">
        <v>0.001</v>
      </c>
      <c r="L11" s="23" t="n">
        <v>0.001</v>
      </c>
      <c r="M11" s="23" t="n">
        <v>0.001</v>
      </c>
    </row>
    <row r="12">
      <c r="A12" s="2" t="inlineStr">
        <is>
          <t>Net Income</t>
        </is>
      </c>
      <c r="B12" s="23" t="n">
        <v>-21.884</v>
      </c>
      <c r="C12" s="23" t="n">
        <v>-23.404</v>
      </c>
      <c r="D12" s="23" t="n">
        <v>-14.732</v>
      </c>
      <c r="E12" s="23" t="n">
        <v>-20.578</v>
      </c>
      <c r="F12" s="23" t="n">
        <v>-22.063</v>
      </c>
      <c r="G12" s="23" t="n">
        <v>-25.779</v>
      </c>
      <c r="H12" s="23" t="n">
        <v>-39.495</v>
      </c>
      <c r="I12" s="23" t="n">
        <v>-54.99</v>
      </c>
      <c r="J12" s="23" t="n">
        <v>-68.867</v>
      </c>
      <c r="K12" s="23" t="n">
        <v>-85.895</v>
      </c>
      <c r="L12" s="23" t="n">
        <v>-109.963</v>
      </c>
      <c r="M12" s="23" t="n">
        <v>-359.639</v>
      </c>
    </row>
    <row r="13">
      <c r="A13" s="2" t="inlineStr">
        <is>
          <t>Earnings per Share</t>
        </is>
      </c>
      <c r="B13" s="11">
        <f>IFERROR(B12/B14,0)</f>
        <v>-5.226653928827322</v>
      </c>
      <c r="C13" s="11">
        <f>IFERROR(C12/C14,0)</f>
        <v>-3.6821900566393957</v>
      </c>
      <c r="D13" s="11">
        <f>IFERROR(D12/D14,0)</f>
        <v>-0.9050251873694557</v>
      </c>
      <c r="E13" s="11">
        <f>IFERROR(E12/E14,0)</f>
        <v>-0.7921318038340134</v>
      </c>
      <c r="F13" s="11">
        <f>IFERROR(F12/F14,0)</f>
        <v>-0.3831712400138937</v>
      </c>
      <c r="G13" s="11">
        <f>IFERROR(G12/G14,0)</f>
        <v>-0.35824566767186866</v>
      </c>
      <c r="H13" s="11">
        <f>IFERROR(H12/H14,0)</f>
        <v>-0.5440307450721105</v>
      </c>
      <c r="I13" s="11">
        <f>IFERROR(I12/I14,0)</f>
        <v>-0.7123241534754787</v>
      </c>
      <c r="J13" s="11">
        <f>IFERROR(J12/J14,0)</f>
        <v>-0.8963089257360023</v>
      </c>
      <c r="K13" s="11">
        <f>IFERROR(K12/K14,0)</f>
        <v>-0.9104158054840111</v>
      </c>
      <c r="L13" s="11">
        <f>IFERROR(L12/L14,0)</f>
        <v>-1.0084925300586038</v>
      </c>
      <c r="M13" s="11">
        <f>IFERROR(M12/M14,0)</f>
        <v>-3.192052686234656</v>
      </c>
    </row>
    <row r="14">
      <c r="A14" s="2" t="inlineStr">
        <is>
          <t>Shares</t>
        </is>
      </c>
      <c r="B14" s="23" t="n">
        <v>4.187</v>
      </c>
      <c r="C14" s="23" t="n">
        <v>6.356</v>
      </c>
      <c r="D14" s="23" t="n">
        <v>16.278</v>
      </c>
      <c r="E14" s="23" t="n">
        <v>25.978</v>
      </c>
      <c r="F14" s="23" t="n">
        <v>57.58</v>
      </c>
      <c r="G14" s="23" t="n">
        <v>71.959</v>
      </c>
      <c r="H14" s="23" t="n">
        <v>72.59699999999999</v>
      </c>
      <c r="I14" s="23" t="n">
        <v>77.19799999999999</v>
      </c>
      <c r="J14" s="23" t="n">
        <v>76.834</v>
      </c>
      <c r="K14" s="23" t="n">
        <v>94.34699999999999</v>
      </c>
      <c r="L14" s="23" t="n">
        <v>109.037</v>
      </c>
      <c r="M14" s="23" t="n">
        <v>112.667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Viking Therapeutics,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0.551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560.021</v>
      </c>
    </row>
    <row r="19">
      <c r="A19" s="14" t="inlineStr">
        <is>
          <t>Years of full burn (until the first launch, max 4)</t>
        </is>
      </c>
      <c r="B19" s="39">
        <f>MIN(4,MAX(1,MIN(Pipeline!I4:I4)-2026))</f>
        <v>3.0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847.3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2383.073036390212</v>
      </c>
      <c r="C29" s="42">
        <f>NPV!B25</f>
        <v>2884.736036390212</v>
      </c>
      <c r="D29" s="43">
        <f>NPV!B27</f>
        <v>24.729219088501925</v>
      </c>
      <c r="E29" s="44">
        <f>NPV!B29</f>
        <v>-0.07415877616990174</v>
      </c>
    </row>
    <row r="30">
      <c r="A30" s="45" t="n">
        <v>1</v>
      </c>
      <c r="B30" s="46">
        <f t="dataTable" ref="B30:E32" r1="B4"/>
        <v>242.4745314656709</v>
      </c>
      <c r="C30" s="46">
        <v>744.1375314656709</v>
      </c>
      <c r="D30" s="47">
        <v>6.379072405743809</v>
      </c>
      <c r="E30" s="48">
        <v>-0.7611728788564655</v>
      </c>
    </row>
    <row r="31">
      <c r="A31" s="45" t="n">
        <v>2</v>
      </c>
      <c r="B31" s="46">
        <v>2383.073036390212</v>
      </c>
      <c r="C31" s="46">
        <v>2884.736036390212</v>
      </c>
      <c r="D31" s="47">
        <v>24.729219088501925</v>
      </c>
      <c r="E31" s="48">
        <v>-0.07415877616990174</v>
      </c>
    </row>
    <row r="32">
      <c r="A32" s="45" t="n">
        <v>3</v>
      </c>
      <c r="B32" s="46">
        <v>5677.2119821835395</v>
      </c>
      <c r="C32" s="46">
        <v>6178.874982183539</v>
      </c>
      <c r="D32" s="47">
        <v>52.968018989385065</v>
      </c>
      <c r="E32" s="48">
        <v>0.9830782100106725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24.729219088501925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2.9787651745118082</v>
      </c>
      <c r="C37" s="47">
        <v>8.099319194984115</v>
      </c>
      <c r="D37" s="47">
        <v>13.091577038716524</v>
      </c>
      <c r="E37" s="47">
        <v>22.93939858559608</v>
      </c>
      <c r="F37" s="47">
        <v>32.693443204121095</v>
      </c>
    </row>
    <row r="38">
      <c r="A38" s="50" t="n">
        <v>0.8</v>
      </c>
      <c r="B38" s="47">
        <v>5.640958023487873</v>
      </c>
      <c r="C38" s="47">
        <v>12.33929061727899</v>
      </c>
      <c r="D38" s="47">
        <v>18.922067026018883</v>
      </c>
      <c r="E38" s="47">
        <v>31.961747468757324</v>
      </c>
      <c r="F38" s="47">
        <v>44.93539808038814</v>
      </c>
    </row>
    <row r="39">
      <c r="A39" s="50" t="n">
        <v>1</v>
      </c>
      <c r="B39" s="47">
        <v>8.249976357085108</v>
      </c>
      <c r="C39" s="47">
        <v>16.53961462317784</v>
      </c>
      <c r="D39" s="47">
        <v>24.729219088501925</v>
      </c>
      <c r="E39" s="47">
        <v>40.97819151452704</v>
      </c>
      <c r="F39" s="47">
        <v>57.13354065880186</v>
      </c>
    </row>
    <row r="40">
      <c r="A40" s="50" t="n">
        <v>1.2</v>
      </c>
      <c r="B40" s="47">
        <v>10.831931943565214</v>
      </c>
      <c r="C40" s="47">
        <v>20.712424805151784</v>
      </c>
      <c r="D40" s="47">
        <v>30.49586864906662</v>
      </c>
      <c r="E40" s="47">
        <v>49.94777590607477</v>
      </c>
      <c r="F40" s="47">
        <v>69.33168323721561</v>
      </c>
    </row>
    <row r="41">
      <c r="A41" s="50" t="n">
        <v>1.4</v>
      </c>
      <c r="B41" s="47">
        <v>13.390792061163163</v>
      </c>
      <c r="C41" s="47">
        <v>24.883644940368246</v>
      </c>
      <c r="D41" s="47">
        <v>36.26251820963133</v>
      </c>
      <c r="E41" s="47">
        <v>58.9152672626317</v>
      </c>
      <c r="F41" s="47">
        <v>81.52479227255806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Viking Therapeutics,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Obesity</t>
        </is>
      </c>
      <c r="C4" s="14" t="inlineStr">
        <is>
          <t>VK2735, VK2735 Oral</t>
        </is>
      </c>
      <c r="D4" s="14" t="inlineStr">
        <is>
          <t>Phase 3</t>
        </is>
      </c>
      <c r="E4" s="14" t="inlineStr">
        <is>
          <t>Metabolic / chronic</t>
        </is>
      </c>
      <c r="F4" s="14" t="inlineStr">
        <is>
          <t>Owned</t>
        </is>
      </c>
      <c r="G4" s="40" t="n">
        <v>6000</v>
      </c>
      <c r="H4" s="27" t="n">
        <v>0.551</v>
      </c>
      <c r="I4" s="26" t="n">
        <v>2029</v>
      </c>
      <c r="J4" s="39">
        <f>I4+Assumptions!$B$25</f>
        <v>2041.0</v>
      </c>
      <c r="K4" s="53">
        <f>Assumptions!$E$13</f>
        <v>0.4</v>
      </c>
      <c r="L4" s="23">
        <f>K4*SUMPRODUCT(M4:AF4,NPV!$C$15:$V$15)</f>
        <v>4742.3003031738335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330.6</v>
      </c>
      <c r="Q4" s="23">
        <f>IF(Q$3&lt;$I4,0,$G4*Assumptions!$E$11*INDEX(Assumptions!$B$24:$G$24,MIN(6,Q$3-$I4+1))*IF(Q$3&gt;$J4,(1-Assumptions!$B$26)^(Q$3-$J4),1)*IF($H4&gt;=1,1,MIN(0.97,$H4*Assumptions!$E$12)))</f>
        <v>826.5000000000001</v>
      </c>
      <c r="R4" s="23">
        <f>IF(R$3&lt;$I4,0,$G4*Assumptions!$E$11*INDEX(Assumptions!$B$24:$G$24,MIN(6,R$3-$I4+1))*IF(R$3&gt;$J4,(1-Assumptions!$B$26)^(R$3-$J4),1)*IF($H4&gt;=1,1,MIN(0.97,$H4*Assumptions!$E$12)))</f>
        <v>1487.7</v>
      </c>
      <c r="S4" s="23">
        <f>IF(S$3&lt;$I4,0,$G4*Assumptions!$E$11*INDEX(Assumptions!$B$24:$G$24,MIN(6,S$3-$I4+1))*IF(S$3&gt;$J4,(1-Assumptions!$B$26)^(S$3-$J4),1)*IF($H4&gt;=1,1,MIN(0.97,$H4*Assumptions!$E$12)))</f>
        <v>2148.9</v>
      </c>
      <c r="T4" s="23">
        <f>IF(T$3&lt;$I4,0,$G4*Assumptions!$E$11*INDEX(Assumptions!$B$24:$G$24,MIN(6,T$3-$I4+1))*IF(T$3&gt;$J4,(1-Assumptions!$B$26)^(T$3-$J4),1)*IF($H4&gt;=1,1,MIN(0.97,$H4*Assumptions!$E$12)))</f>
        <v>2810.1000000000004</v>
      </c>
      <c r="U4" s="23">
        <f>IF(U$3&lt;$I4,0,$G4*Assumptions!$E$11*INDEX(Assumptions!$B$24:$G$24,MIN(6,U$3-$I4+1))*IF(U$3&gt;$J4,(1-Assumptions!$B$26)^(U$3-$J4),1)*IF($H4&gt;=1,1,MIN(0.97,$H4*Assumptions!$E$12)))</f>
        <v>3306.0000000000005</v>
      </c>
      <c r="V4" s="23">
        <f>IF(V$3&lt;$I4,0,$G4*Assumptions!$E$11*INDEX(Assumptions!$B$24:$G$24,MIN(6,V$3-$I4+1))*IF(V$3&gt;$J4,(1-Assumptions!$B$26)^(V$3-$J4),1)*IF($H4&gt;=1,1,MIN(0.97,$H4*Assumptions!$E$12)))</f>
        <v>3306.0000000000005</v>
      </c>
      <c r="W4" s="23">
        <f>IF(W$3&lt;$I4,0,$G4*Assumptions!$E$11*INDEX(Assumptions!$B$24:$G$24,MIN(6,W$3-$I4+1))*IF(W$3&gt;$J4,(1-Assumptions!$B$26)^(W$3-$J4),1)*IF($H4&gt;=1,1,MIN(0.97,$H4*Assumptions!$E$12)))</f>
        <v>3306.0000000000005</v>
      </c>
      <c r="X4" s="23">
        <f>IF(X$3&lt;$I4,0,$G4*Assumptions!$E$11*INDEX(Assumptions!$B$24:$G$24,MIN(6,X$3-$I4+1))*IF(X$3&gt;$J4,(1-Assumptions!$B$26)^(X$3-$J4),1)*IF($H4&gt;=1,1,MIN(0.97,$H4*Assumptions!$E$12)))</f>
        <v>3306.0000000000005</v>
      </c>
      <c r="Y4" s="23">
        <f>IF(Y$3&lt;$I4,0,$G4*Assumptions!$E$11*INDEX(Assumptions!$B$24:$G$24,MIN(6,Y$3-$I4+1))*IF(Y$3&gt;$J4,(1-Assumptions!$B$26)^(Y$3-$J4),1)*IF($H4&gt;=1,1,MIN(0.97,$H4*Assumptions!$E$12)))</f>
        <v>3306.0000000000005</v>
      </c>
      <c r="Z4" s="23">
        <f>IF(Z$3&lt;$I4,0,$G4*Assumptions!$E$11*INDEX(Assumptions!$B$24:$G$24,MIN(6,Z$3-$I4+1))*IF(Z$3&gt;$J4,(1-Assumptions!$B$26)^(Z$3-$J4),1)*IF($H4&gt;=1,1,MIN(0.97,$H4*Assumptions!$E$12)))</f>
        <v>3306.0000000000005</v>
      </c>
      <c r="AA4" s="23">
        <f>IF(AA$3&lt;$I4,0,$G4*Assumptions!$E$11*INDEX(Assumptions!$B$24:$G$24,MIN(6,AA$3-$I4+1))*IF(AA$3&gt;$J4,(1-Assumptions!$B$26)^(AA$3-$J4),1)*IF($H4&gt;=1,1,MIN(0.97,$H4*Assumptions!$E$12)))</f>
        <v>3306.0000000000005</v>
      </c>
      <c r="AB4" s="23">
        <f>IF(AB$3&lt;$I4,0,$G4*Assumptions!$E$11*INDEX(Assumptions!$B$24:$G$24,MIN(6,AB$3-$I4+1))*IF(AB$3&gt;$J4,(1-Assumptions!$B$26)^(AB$3-$J4),1)*IF($H4&gt;=1,1,MIN(0.97,$H4*Assumptions!$E$12)))</f>
        <v>3306.0000000000005</v>
      </c>
      <c r="AC4" s="23">
        <f>IF(AC$3&lt;$I4,0,$G4*Assumptions!$E$11*INDEX(Assumptions!$B$24:$G$24,MIN(6,AC$3-$I4+1))*IF(AC$3&gt;$J4,(1-Assumptions!$B$26)^(AC$3-$J4),1)*IF($H4&gt;=1,1,MIN(0.97,$H4*Assumptions!$E$12)))</f>
        <v>1653.0000000000002</v>
      </c>
      <c r="AD4" s="23">
        <f>IF(AD$3&lt;$I4,0,$G4*Assumptions!$E$11*INDEX(Assumptions!$B$24:$G$24,MIN(6,AD$3-$I4+1))*IF(AD$3&gt;$J4,(1-Assumptions!$B$26)^(AD$3-$J4),1)*IF($H4&gt;=1,1,MIN(0.97,$H4*Assumptions!$E$12)))</f>
        <v>826.5000000000001</v>
      </c>
      <c r="AE4" s="23">
        <f>IF(AE$3&lt;$I4,0,$G4*Assumptions!$E$11*INDEX(Assumptions!$B$24:$G$24,MIN(6,AE$3-$I4+1))*IF(AE$3&gt;$J4,(1-Assumptions!$B$26)^(AE$3-$J4),1)*IF($H4&gt;=1,1,MIN(0.97,$H4*Assumptions!$E$12)))</f>
        <v>413.25000000000006</v>
      </c>
      <c r="AF4" s="23">
        <f>IF(AF$3&lt;$I4,0,$G4*Assumptions!$E$11*INDEX(Assumptions!$B$24:$G$24,MIN(6,AF$3-$I4+1))*IF(AF$3&gt;$J4,(1-Assumptions!$B$26)^(AF$3-$J4),1)*IF($H4&gt;=1,1,MIN(0.97,$H4*Assumptions!$E$12)))</f>
        <v>206.62500000000003</v>
      </c>
      <c r="AG4" s="35">
        <f>IF(F4="Owned",1-IF(H4&gt;=1,1,MIN(0.97,H4*Assumptions!$E$12)),1)</f>
        <v>0.44899999999999995</v>
      </c>
    </row>
    <row r="5">
      <c r="B5" s="24" t="inlineStr">
        <is>
          <t>Risked revenue</t>
        </is>
      </c>
      <c r="L5" s="54">
        <f>SUM(L4:L4)</f>
        <v>4742.3003031738335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330.6</v>
      </c>
      <c r="Q5" s="54">
        <f>SUM(Q4:Q4)</f>
        <v>826.5000000000001</v>
      </c>
      <c r="R5" s="54">
        <f>SUM(R4:R4)</f>
        <v>1487.7</v>
      </c>
      <c r="S5" s="54">
        <f>SUM(S4:S4)</f>
        <v>2148.9</v>
      </c>
      <c r="T5" s="54">
        <f>SUM(T4:T4)</f>
        <v>2810.1000000000004</v>
      </c>
      <c r="U5" s="54">
        <f>SUM(U4:U4)</f>
        <v>3306.0000000000005</v>
      </c>
      <c r="V5" s="54">
        <f>SUM(V4:V4)</f>
        <v>3306.0000000000005</v>
      </c>
      <c r="W5" s="54">
        <f>SUM(W4:W4)</f>
        <v>3306.0000000000005</v>
      </c>
      <c r="X5" s="54">
        <f>SUM(X4:X4)</f>
        <v>3306.0000000000005</v>
      </c>
      <c r="Y5" s="54">
        <f>SUM(Y4:Y4)</f>
        <v>3306.0000000000005</v>
      </c>
      <c r="Z5" s="54">
        <f>SUM(Z4:Z4)</f>
        <v>3306.0000000000005</v>
      </c>
      <c r="AA5" s="54">
        <f>SUM(AA4:AA4)</f>
        <v>3306.0000000000005</v>
      </c>
      <c r="AB5" s="54">
        <f>SUM(AB4:AB4)</f>
        <v>3306.0000000000005</v>
      </c>
      <c r="AC5" s="54">
        <f>SUM(AC4:AC4)</f>
        <v>1653.0000000000002</v>
      </c>
      <c r="AD5" s="54">
        <f>SUM(AD4:AD4)</f>
        <v>826.5000000000001</v>
      </c>
      <c r="AE5" s="54">
        <f>SUM(AE4:AE4)</f>
        <v>413.25000000000006</v>
      </c>
      <c r="AF5" s="54">
        <f>SUM(AF4:AF4)</f>
        <v>206.62500000000003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132.24</v>
      </c>
      <c r="Q6" s="55">
        <f>SUMPRODUCT(Q4:Q4,$K$4:$K$4)</f>
        <v>330.6000000000001</v>
      </c>
      <c r="R6" s="55">
        <f>SUMPRODUCT(R4:R4,$K$4:$K$4)</f>
        <v>595.08</v>
      </c>
      <c r="S6" s="55">
        <f>SUMPRODUCT(S4:S4,$K$4:$K$4)</f>
        <v>859.5600000000001</v>
      </c>
      <c r="T6" s="55">
        <f>SUMPRODUCT(T4:T4,$K$4:$K$4)</f>
        <v>1124.0400000000002</v>
      </c>
      <c r="U6" s="55">
        <f>SUMPRODUCT(U4:U4,$K$4:$K$4)</f>
        <v>1322.4000000000003</v>
      </c>
      <c r="V6" s="55">
        <f>SUMPRODUCT(V4:V4,$K$4:$K$4)</f>
        <v>1322.4000000000003</v>
      </c>
      <c r="W6" s="55">
        <f>SUMPRODUCT(W4:W4,$K$4:$K$4)</f>
        <v>1322.4000000000003</v>
      </c>
      <c r="X6" s="55">
        <f>SUMPRODUCT(X4:X4,$K$4:$K$4)</f>
        <v>1322.4000000000003</v>
      </c>
      <c r="Y6" s="55">
        <f>SUMPRODUCT(Y4:Y4,$K$4:$K$4)</f>
        <v>1322.4000000000003</v>
      </c>
      <c r="Z6" s="55">
        <f>SUMPRODUCT(Z4:Z4,$K$4:$K$4)</f>
        <v>1322.4000000000003</v>
      </c>
      <c r="AA6" s="55">
        <f>SUMPRODUCT(AA4:AA4,$K$4:$K$4)</f>
        <v>1322.4000000000003</v>
      </c>
      <c r="AB6" s="55">
        <f>SUMPRODUCT(AB4:AB4,$K$4:$K$4)</f>
        <v>1322.4000000000003</v>
      </c>
      <c r="AC6" s="55">
        <f>SUMPRODUCT(AC4:AC4,$K$4:$K$4)</f>
        <v>661.2000000000002</v>
      </c>
      <c r="AD6" s="55">
        <f>SUMPRODUCT(AD4:AD4,$K$4:$K$4)</f>
        <v>330.6000000000001</v>
      </c>
      <c r="AE6" s="55">
        <f>SUMPRODUCT(AE4:AE4,$K$4:$K$4)</f>
        <v>165.30000000000004</v>
      </c>
      <c r="AF6" s="55">
        <f>SUMPRODUCT(AF4:AF4,$K$4:$K$4)</f>
        <v>82.65000000000002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Viking Therapeutics,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330.6</v>
      </c>
      <c r="G4" s="57">
        <f>Pipeline!Q5</f>
        <v>826.5000000000001</v>
      </c>
      <c r="H4" s="57">
        <f>Pipeline!R5</f>
        <v>1487.7</v>
      </c>
      <c r="I4" s="57">
        <f>Pipeline!S5</f>
        <v>2148.9</v>
      </c>
      <c r="J4" s="57">
        <f>Pipeline!T5</f>
        <v>2810.1000000000004</v>
      </c>
      <c r="K4" s="57">
        <f>Pipeline!U5</f>
        <v>3306.0000000000005</v>
      </c>
      <c r="L4" s="57">
        <f>Pipeline!V5</f>
        <v>3306.0000000000005</v>
      </c>
      <c r="M4" s="57">
        <f>Pipeline!W5</f>
        <v>3306.0000000000005</v>
      </c>
      <c r="N4" s="57">
        <f>Pipeline!X5</f>
        <v>3306.0000000000005</v>
      </c>
      <c r="O4" s="57">
        <f>Pipeline!Y5</f>
        <v>3306.0000000000005</v>
      </c>
      <c r="P4" s="57">
        <f>Pipeline!Z5</f>
        <v>3306.0000000000005</v>
      </c>
      <c r="Q4" s="57">
        <f>Pipeline!AA5</f>
        <v>3306.0000000000005</v>
      </c>
      <c r="R4" s="57">
        <f>Pipeline!AB5</f>
        <v>3306.0000000000005</v>
      </c>
      <c r="S4" s="57">
        <f>Pipeline!AC5</f>
        <v>1653.0000000000002</v>
      </c>
      <c r="T4" s="57">
        <f>Pipeline!AD5</f>
        <v>826.5000000000001</v>
      </c>
      <c r="U4" s="57">
        <f>Pipeline!AE5</f>
        <v>413.25000000000006</v>
      </c>
      <c r="V4" s="57">
        <f>Pipeline!AF5</f>
        <v>206.62500000000003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132.24</v>
      </c>
      <c r="G5" s="57">
        <f>Pipeline!Q6</f>
        <v>330.6000000000001</v>
      </c>
      <c r="H5" s="57">
        <f>Pipeline!R6</f>
        <v>595.08</v>
      </c>
      <c r="I5" s="57">
        <f>Pipeline!S6</f>
        <v>859.5600000000001</v>
      </c>
      <c r="J5" s="57">
        <f>Pipeline!T6</f>
        <v>1124.0400000000002</v>
      </c>
      <c r="K5" s="57">
        <f>Pipeline!U6</f>
        <v>1322.4000000000003</v>
      </c>
      <c r="L5" s="57">
        <f>Pipeline!V6</f>
        <v>1322.4000000000003</v>
      </c>
      <c r="M5" s="57">
        <f>Pipeline!W6</f>
        <v>1322.4000000000003</v>
      </c>
      <c r="N5" s="57">
        <f>Pipeline!X6</f>
        <v>1322.4000000000003</v>
      </c>
      <c r="O5" s="57">
        <f>Pipeline!Y6</f>
        <v>1322.4000000000003</v>
      </c>
      <c r="P5" s="57">
        <f>Pipeline!Z6</f>
        <v>1322.4000000000003</v>
      </c>
      <c r="Q5" s="57">
        <f>Pipeline!AA6</f>
        <v>1322.4000000000003</v>
      </c>
      <c r="R5" s="57">
        <f>Pipeline!AB6</f>
        <v>1322.4000000000003</v>
      </c>
      <c r="S5" s="57">
        <f>Pipeline!AC6</f>
        <v>661.2000000000002</v>
      </c>
      <c r="T5" s="57">
        <f>Pipeline!AD6</f>
        <v>330.6000000000001</v>
      </c>
      <c r="U5" s="57">
        <f>Pipeline!AE6</f>
        <v>165.30000000000004</v>
      </c>
      <c r="V5" s="57">
        <f>Pipeline!AF6</f>
        <v>82.65000000000002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-560.021</v>
      </c>
      <c r="D6" s="23">
        <f>-IF(D3-2026&lt;Assumptions!$B$19,Assumptions!$B$18,Assumptions!$B$18*Assumptions!$B$20*Assumptions!$B$16)</f>
        <v>-560.021</v>
      </c>
      <c r="E6" s="23">
        <f>-IF(E3-2026&lt;Assumptions!$B$19,Assumptions!$B$18,Assumptions!$B$18*Assumptions!$B$20*Assumptions!$B$16)</f>
        <v>-560.021</v>
      </c>
      <c r="F6" s="23">
        <f>-IF(F3-2026&lt;Assumptions!$B$19,Assumptions!$B$18,Assumptions!$B$18*Assumptions!$B$20*Assumptions!$B$16)</f>
        <v>-92.5714713</v>
      </c>
      <c r="G6" s="23">
        <f>-IF(G3-2026&lt;Assumptions!$B$19,Assumptions!$B$18,Assumptions!$B$18*Assumptions!$B$20*Assumptions!$B$16)</f>
        <v>-92.5714713</v>
      </c>
      <c r="H6" s="23">
        <f>-IF(H3-2026&lt;Assumptions!$B$19,Assumptions!$B$18,Assumptions!$B$18*Assumptions!$B$20*Assumptions!$B$16)</f>
        <v>-92.5714713</v>
      </c>
      <c r="I6" s="23">
        <f>-IF(I3-2026&lt;Assumptions!$B$19,Assumptions!$B$18,Assumptions!$B$18*Assumptions!$B$20*Assumptions!$B$16)</f>
        <v>-92.5714713</v>
      </c>
      <c r="J6" s="23">
        <f>-IF(J3-2026&lt;Assumptions!$B$19,Assumptions!$B$18,Assumptions!$B$18*Assumptions!$B$20*Assumptions!$B$16)</f>
        <v>-92.5714713</v>
      </c>
      <c r="K6" s="23">
        <f>-IF(K3-2026&lt;Assumptions!$B$19,Assumptions!$B$18,Assumptions!$B$18*Assumptions!$B$20*Assumptions!$B$16)</f>
        <v>-92.5714713</v>
      </c>
      <c r="L6" s="23">
        <f>-IF(L3-2026&lt;Assumptions!$B$19,Assumptions!$B$18,Assumptions!$B$18*Assumptions!$B$20*Assumptions!$B$16)</f>
        <v>-92.5714713</v>
      </c>
      <c r="M6" s="23">
        <f>-IF(M3-2026&lt;Assumptions!$B$19,Assumptions!$B$18,Assumptions!$B$18*Assumptions!$B$20*Assumptions!$B$16)</f>
        <v>-92.5714713</v>
      </c>
      <c r="N6" s="23">
        <f>-IF(N3-2026&lt;Assumptions!$B$19,Assumptions!$B$18,Assumptions!$B$18*Assumptions!$B$20*Assumptions!$B$16)</f>
        <v>-92.5714713</v>
      </c>
      <c r="O6" s="23">
        <f>-IF(O3-2026&lt;Assumptions!$B$19,Assumptions!$B$18,Assumptions!$B$18*Assumptions!$B$20*Assumptions!$B$16)</f>
        <v>-92.5714713</v>
      </c>
      <c r="P6" s="23">
        <f>-IF(P3-2026&lt;Assumptions!$B$19,Assumptions!$B$18,Assumptions!$B$18*Assumptions!$B$20*Assumptions!$B$16)</f>
        <v>-92.5714713</v>
      </c>
      <c r="Q6" s="23">
        <f>-IF(Q3-2026&lt;Assumptions!$B$19,Assumptions!$B$18,Assumptions!$B$18*Assumptions!$B$20*Assumptions!$B$16)</f>
        <v>-92.5714713</v>
      </c>
      <c r="R6" s="23">
        <f>-IF(R3-2026&lt;Assumptions!$B$19,Assumptions!$B$18,Assumptions!$B$18*Assumptions!$B$20*Assumptions!$B$16)</f>
        <v>-92.5714713</v>
      </c>
      <c r="S6" s="23">
        <f>-IF(S3-2026&lt;Assumptions!$B$19,Assumptions!$B$18,Assumptions!$B$18*Assumptions!$B$20*Assumptions!$B$16)</f>
        <v>-92.5714713</v>
      </c>
      <c r="T6" s="23">
        <f>-IF(T3-2026&lt;Assumptions!$B$19,Assumptions!$B$18,Assumptions!$B$18*Assumptions!$B$20*Assumptions!$B$16)</f>
        <v>-92.5714713</v>
      </c>
      <c r="U6" s="23">
        <f>-IF(U3-2026&lt;Assumptions!$B$19,Assumptions!$B$18,Assumptions!$B$18*Assumptions!$B$20*Assumptions!$B$16)</f>
        <v>-92.5714713</v>
      </c>
      <c r="V6" s="23">
        <f>-IF(V3-2026&lt;Assumptions!$B$19,Assumptions!$B$18,Assumptions!$B$18*Assumptions!$B$20*Assumptions!$B$16)</f>
        <v>-92.5714713</v>
      </c>
    </row>
    <row r="7">
      <c r="A7" s="14" t="inlineStr">
        <is>
          <t>Pre-tax cash flow</t>
        </is>
      </c>
      <c r="C7" s="23">
        <f>C5+C6</f>
        <v>-560.021</v>
      </c>
      <c r="D7" s="23">
        <f>D5+D6</f>
        <v>-560.021</v>
      </c>
      <c r="E7" s="23">
        <f>E5+E6</f>
        <v>-560.021</v>
      </c>
      <c r="F7" s="23">
        <f>F5+F6</f>
        <v>39.66852870000001</v>
      </c>
      <c r="G7" s="23">
        <f>G5+G6</f>
        <v>238.0285287000001</v>
      </c>
      <c r="H7" s="23">
        <f>H5+H6</f>
        <v>502.50852870000006</v>
      </c>
      <c r="I7" s="23">
        <f>I5+I6</f>
        <v>766.9885287000001</v>
      </c>
      <c r="J7" s="23">
        <f>J5+J6</f>
        <v>1031.4685287000002</v>
      </c>
      <c r="K7" s="23">
        <f>K5+K6</f>
        <v>1229.8285287000003</v>
      </c>
      <c r="L7" s="23">
        <f>L5+L6</f>
        <v>1229.8285287000003</v>
      </c>
      <c r="M7" s="23">
        <f>M5+M6</f>
        <v>1229.8285287000003</v>
      </c>
      <c r="N7" s="23">
        <f>N5+N6</f>
        <v>1229.8285287000003</v>
      </c>
      <c r="O7" s="23">
        <f>O5+O6</f>
        <v>1229.8285287000003</v>
      </c>
      <c r="P7" s="23">
        <f>P5+P6</f>
        <v>1229.8285287000003</v>
      </c>
      <c r="Q7" s="23">
        <f>Q5+Q6</f>
        <v>1229.8285287000003</v>
      </c>
      <c r="R7" s="23">
        <f>R5+R6</f>
        <v>1229.8285287000003</v>
      </c>
      <c r="S7" s="23">
        <f>S5+S6</f>
        <v>568.6285287000002</v>
      </c>
      <c r="T7" s="23">
        <f>T5+T6</f>
        <v>238.0285287000001</v>
      </c>
      <c r="U7" s="23">
        <f>U5+U6</f>
        <v>72.72852870000004</v>
      </c>
      <c r="V7" s="23">
        <f>V5+V6</f>
        <v>-9.921471299999979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39.66852870000001</v>
      </c>
      <c r="G8" s="23">
        <f>MIN(F17,MAX(0,G7))</f>
        <v>238.0285287000001</v>
      </c>
      <c r="H8" s="23">
        <f>MIN(G17,MAX(0,H7))</f>
        <v>502.50852870000006</v>
      </c>
      <c r="I8" s="23">
        <f>MIN(H17,MAX(0,I7))</f>
        <v>766.9885287000001</v>
      </c>
      <c r="J8" s="23">
        <f>MIN(I17,MAX(0,J7))</f>
        <v>980.1688851999994</v>
      </c>
      <c r="K8" s="23">
        <f>MIN(J17,MAX(0,K7))</f>
        <v>0.0</v>
      </c>
      <c r="L8" s="23">
        <f>MIN(K17,MAX(0,L7))</f>
        <v>0.0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51.2996435000008</v>
      </c>
      <c r="K9" s="23">
        <f>MAX(0,K7)-K8</f>
        <v>1229.8285287000003</v>
      </c>
      <c r="L9" s="23">
        <f>MAX(0,L7)-L8</f>
        <v>1229.8285287000003</v>
      </c>
      <c r="M9" s="23">
        <f>MAX(0,M7)-M8</f>
        <v>1229.8285287000003</v>
      </c>
      <c r="N9" s="23">
        <f>MAX(0,N7)-N8</f>
        <v>1229.8285287000003</v>
      </c>
      <c r="O9" s="23">
        <f>MAX(0,O7)-O8</f>
        <v>1229.8285287000003</v>
      </c>
      <c r="P9" s="23">
        <f>MAX(0,P7)-P8</f>
        <v>1229.8285287000003</v>
      </c>
      <c r="Q9" s="23">
        <f>MAX(0,Q7)-Q8</f>
        <v>1229.8285287000003</v>
      </c>
      <c r="R9" s="23">
        <f>MAX(0,R7)-R8</f>
        <v>1229.8285287000003</v>
      </c>
      <c r="S9" s="23">
        <f>MAX(0,S7)-S8</f>
        <v>568.6285287000002</v>
      </c>
      <c r="T9" s="23">
        <f>MAX(0,T7)-T8</f>
        <v>238.0285287000001</v>
      </c>
      <c r="U9" s="23">
        <f>MAX(0,U7)-U8</f>
        <v>72.72852870000004</v>
      </c>
      <c r="V9" s="23">
        <f>MAX(0,V7)-V8</f>
        <v>0.0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10.772925135000166</v>
      </c>
      <c r="K10" s="23">
        <f>K9*Assumptions!$E$15</f>
        <v>258.2639910270001</v>
      </c>
      <c r="L10" s="23">
        <f>L9*Assumptions!$E$15</f>
        <v>258.2639910270001</v>
      </c>
      <c r="M10" s="23">
        <f>M9*Assumptions!$E$15</f>
        <v>258.2639910270001</v>
      </c>
      <c r="N10" s="23">
        <f>N9*Assumptions!$E$15</f>
        <v>258.2639910270001</v>
      </c>
      <c r="O10" s="23">
        <f>O9*Assumptions!$E$15</f>
        <v>258.2639910270001</v>
      </c>
      <c r="P10" s="23">
        <f>P9*Assumptions!$E$15</f>
        <v>258.2639910270001</v>
      </c>
      <c r="Q10" s="23">
        <f>Q9*Assumptions!$E$15</f>
        <v>258.2639910270001</v>
      </c>
      <c r="R10" s="23">
        <f>R9*Assumptions!$E$15</f>
        <v>258.2639910270001</v>
      </c>
      <c r="S10" s="23">
        <f>S9*Assumptions!$E$15</f>
        <v>119.41199102700003</v>
      </c>
      <c r="T10" s="23">
        <f>T9*Assumptions!$E$15</f>
        <v>49.98599102700002</v>
      </c>
      <c r="U10" s="23">
        <f>U9*Assumptions!$E$15</f>
        <v>15.272991027000009</v>
      </c>
      <c r="V10" s="23">
        <f>V9*Assumptions!$E$15</f>
        <v>0.0</v>
      </c>
    </row>
    <row r="11">
      <c r="A11" s="24" t="inlineStr">
        <is>
          <t>Free cash flow</t>
        </is>
      </c>
      <c r="C11" s="55">
        <f>C7-C10</f>
        <v>-560.021</v>
      </c>
      <c r="D11" s="55">
        <f>D7-D10</f>
        <v>-560.021</v>
      </c>
      <c r="E11" s="55">
        <f>E7-E10</f>
        <v>-560.021</v>
      </c>
      <c r="F11" s="55">
        <f>F7-F10</f>
        <v>39.66852870000001</v>
      </c>
      <c r="G11" s="55">
        <f>G7-G10</f>
        <v>238.0285287000001</v>
      </c>
      <c r="H11" s="55">
        <f>H7-H10</f>
        <v>502.50852870000006</v>
      </c>
      <c r="I11" s="55">
        <f>I7-I10</f>
        <v>766.9885287000001</v>
      </c>
      <c r="J11" s="55">
        <f>J7-J10</f>
        <v>1020.695603565</v>
      </c>
      <c r="K11" s="55">
        <f>K7-K10</f>
        <v>971.5645376730002</v>
      </c>
      <c r="L11" s="55">
        <f>L7-L10</f>
        <v>971.5645376730002</v>
      </c>
      <c r="M11" s="55">
        <f>M7-M10</f>
        <v>971.5645376730002</v>
      </c>
      <c r="N11" s="55">
        <f>N7-N10</f>
        <v>971.5645376730002</v>
      </c>
      <c r="O11" s="55">
        <f>O7-O10</f>
        <v>971.5645376730002</v>
      </c>
      <c r="P11" s="55">
        <f>P7-P10</f>
        <v>971.5645376730002</v>
      </c>
      <c r="Q11" s="55">
        <f>Q7-Q10</f>
        <v>971.5645376730002</v>
      </c>
      <c r="R11" s="55">
        <f>R7-R10</f>
        <v>971.5645376730002</v>
      </c>
      <c r="S11" s="55">
        <f>S7-S10</f>
        <v>449.2165376730002</v>
      </c>
      <c r="T11" s="55">
        <f>T7-T10</f>
        <v>188.04253767300008</v>
      </c>
      <c r="U11" s="55">
        <f>U7-U10</f>
        <v>57.45553767300003</v>
      </c>
      <c r="V11" s="55">
        <f>V7-V10</f>
        <v>-9.921471299999979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-274.35672343953956</v>
      </c>
      <c r="D16" s="55">
        <f>D11*D15</f>
        <v>-499.78647145099325</v>
      </c>
      <c r="E16" s="55">
        <f>E11*E15</f>
        <v>-446.2379209383867</v>
      </c>
      <c r="F16" s="55">
        <f>F11*F15</f>
        <v>28.22215878284145</v>
      </c>
      <c r="G16" s="55">
        <f>G11*G15</f>
        <v>151.20116158213415</v>
      </c>
      <c r="H16" s="55">
        <f>H11*H15</f>
        <v>285.00437703884074</v>
      </c>
      <c r="I16" s="55">
        <f>I11*I15</f>
        <v>388.3997472774786</v>
      </c>
      <c r="J16" s="55">
        <f>J11*J15</f>
        <v>461.4963723584653</v>
      </c>
      <c r="K16" s="55">
        <f>K11*K15</f>
        <v>392.2163369363865</v>
      </c>
      <c r="L16" s="55">
        <f>L11*L15</f>
        <v>350.1931579789165</v>
      </c>
      <c r="M16" s="55">
        <f>M11*M15</f>
        <v>312.6724624811754</v>
      </c>
      <c r="N16" s="55">
        <f>N11*N15</f>
        <v>279.1718415010494</v>
      </c>
      <c r="O16" s="55">
        <f>O11*O15</f>
        <v>249.26057276879408</v>
      </c>
      <c r="P16" s="55">
        <f>P11*P15</f>
        <v>222.5540828292804</v>
      </c>
      <c r="Q16" s="55">
        <f>Q11*Q15</f>
        <v>198.70900252614322</v>
      </c>
      <c r="R16" s="55">
        <f>R11*R15</f>
        <v>177.418752255485</v>
      </c>
      <c r="S16" s="55">
        <f>S11*S15</f>
        <v>73.24290810271093</v>
      </c>
      <c r="T16" s="55">
        <f>T11*T15</f>
        <v>27.374608964295167</v>
      </c>
      <c r="U16" s="55">
        <f>U11*U15</f>
        <v>7.4680237632815825</v>
      </c>
      <c r="V16" s="55">
        <f>V11*V15</f>
        <v>-1.1514149281461128</v>
      </c>
    </row>
    <row r="17">
      <c r="A17" s="14" t="inlineStr">
        <is>
          <t>Tax-loss carryforward, end of year</t>
        </is>
      </c>
      <c r="C17" s="23">
        <f>Assumptions!$B$21-C8+MAX(0,-C7)</f>
        <v>1407.321</v>
      </c>
      <c r="D17" s="23">
        <f>C17-D8+MAX(0,-D7)</f>
        <v>1967.3419999999999</v>
      </c>
      <c r="E17" s="23">
        <f>D17-E8+MAX(0,-E7)</f>
        <v>2527.363</v>
      </c>
      <c r="F17" s="23">
        <f>E17-F8+MAX(0,-F7)</f>
        <v>2487.6944713</v>
      </c>
      <c r="G17" s="23">
        <f>F17-G8+MAX(0,-G7)</f>
        <v>2249.6659425999997</v>
      </c>
      <c r="H17" s="23">
        <f>G17-H8+MAX(0,-H7)</f>
        <v>1747.1574138999995</v>
      </c>
      <c r="I17" s="23">
        <f>H17-I8+MAX(0,-I7)</f>
        <v>980.1688851999994</v>
      </c>
      <c r="J17" s="23">
        <f>I17-J8+MAX(0,-J7)</f>
        <v>0.0</v>
      </c>
      <c r="K17" s="23">
        <f>J17-K8+MAX(0,-K7)</f>
        <v>0.0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9.921471299999979</v>
      </c>
    </row>
    <row r="19">
      <c r="A19" s="14" t="inlineStr">
        <is>
          <t>PV of risked pipeline contribution</t>
        </is>
      </c>
      <c r="B19" s="23">
        <f>SUMPRODUCT(C5:V5,C15:V15)</f>
        <v>4742.300303173834</v>
      </c>
    </row>
    <row r="20">
      <c r="A20" s="14" t="inlineStr">
        <is>
          <t>PV of corporate burn</t>
        </is>
      </c>
      <c r="B20" s="23">
        <f>SUMPRODUCT(C6:V6,C15:V15)</f>
        <v>-1745.5473334980902</v>
      </c>
    </row>
    <row r="21">
      <c r="A21" s="14" t="inlineStr">
        <is>
          <t>PV of taxes</t>
        </is>
      </c>
      <c r="B21" s="23">
        <f>-SUMPRODUCT(C10:V10,C15:V15)</f>
        <v>-613.6799332855309</v>
      </c>
    </row>
    <row r="22">
      <c r="A22" s="24" t="inlineStr">
        <is>
          <t>Pipeline rNPV (operations)</t>
        </is>
      </c>
      <c r="B22" s="54">
        <f>SUM(C16:V16)</f>
        <v>2383.073036390212</v>
      </c>
    </row>
    <row r="23">
      <c r="A23" s="14" t="inlineStr">
        <is>
          <t>Cash &amp; investments</t>
        </is>
      </c>
      <c r="B23" s="57">
        <f>Main!C7</f>
        <v>501.663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2884.736036390212</v>
      </c>
    </row>
    <row r="26">
      <c r="A26" s="14" t="inlineStr">
        <is>
          <t>Shares (mm)</t>
        </is>
      </c>
      <c r="B26" s="57">
        <f>Main!C4</f>
        <v>116.652937</v>
      </c>
    </row>
    <row r="27">
      <c r="A27" s="24" t="inlineStr">
        <is>
          <t>rNPV / share</t>
        </is>
      </c>
      <c r="B27" s="60">
        <f>B25/B26</f>
        <v>24.729219088501925</v>
      </c>
    </row>
    <row r="28">
      <c r="A28" s="14" t="inlineStr">
        <is>
          <t>Price</t>
        </is>
      </c>
      <c r="B28" s="61">
        <f>Main!C3</f>
        <v>26.71</v>
      </c>
    </row>
    <row r="29">
      <c r="A29" s="14" t="inlineStr">
        <is>
          <t>Upside</t>
        </is>
      </c>
      <c r="B29" s="62">
        <f>B27/B28-1</f>
        <v>-0.07415877616990174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2026-10-21T06:22:10Z</dcterms:modified>
  <cp:lastModifiedBy>Wang, Eric</cp:lastModifiedBy>
</cp:coreProperties>
</file>