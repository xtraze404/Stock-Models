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min="1" max="1"/>
    <col width="12.6640625" customWidth="1" min="2" max="2"/>
    <col width="11" customWidth="1" min="5" max="5"/>
  </cols>
  <sheetData>
    <row r="1"/>
    <row r="2">
      <c r="B2" s="8" t="inlineStr">
        <is>
          <t xml:space="preserve">Merck &amp; Co., Inc. </t>
        </is>
      </c>
      <c r="C2" s="9" t="n"/>
    </row>
    <row r="3">
      <c r="B3" t="inlineStr">
        <is>
          <t>Price</t>
        </is>
      </c>
      <c r="C3" s="10">
        <f>INDEX([1]Pharma!$F$1:$F$1000,MATCH("MRK",[1]Pharma!$B$1:$B$1000,0))</f>
        <v>148.3</v>
      </c>
      <c r="F3" s="1" t="n"/>
    </row>
    <row r="4">
      <c r="B4" t="inlineStr">
        <is>
          <t>Shares</t>
        </is>
      </c>
      <c r="C4" s="50" t="n">
        <v>2467.171638</v>
      </c>
      <c r="F4" s="1" t="n"/>
    </row>
    <row r="5">
      <c r="B5" t="inlineStr">
        <is>
          <t>Market Cap.</t>
        </is>
      </c>
      <c r="C5" s="12">
        <f>C3*C4</f>
        <v>365881.5539154</v>
      </c>
      <c r="F5" s="1" t="n"/>
    </row>
    <row r="6"/>
    <row r="7">
      <c r="B7" t="inlineStr">
        <is>
          <t>Cash</t>
        </is>
      </c>
      <c r="C7" s="50">
        <f>6849+292</f>
        <v>7141.0</v>
      </c>
    </row>
    <row r="8">
      <c r="B8" t="inlineStr">
        <is>
          <t>Debt</t>
        </is>
      </c>
      <c r="C8" s="50">
        <f>2825+51081</f>
        <v>53906.0</v>
      </c>
    </row>
    <row r="9">
      <c r="B9" t="inlineStr">
        <is>
          <t>Enterprise V.</t>
        </is>
      </c>
      <c r="C9" s="12">
        <f>C5-C7+C8</f>
        <v>412646.5539154</v>
      </c>
    </row>
    <row r="10"/>
    <row r="11">
      <c r="B11" s="13" t="inlineStr">
        <is>
          <t>NPV / Share</t>
        </is>
      </c>
      <c r="C11" s="10">
        <f>NPV!B28</f>
        <v>83.652528548422</v>
      </c>
    </row>
    <row r="12">
      <c r="B12" s="13" t="inlineStr">
        <is>
          <t>Upside</t>
        </is>
      </c>
      <c r="C12" s="14">
        <f>IFERROR(C11/C3-1,"")</f>
        <v>-0.43592361059728935</v>
      </c>
    </row>
    <row r="13">
      <c r="B13" s="13" t="inlineStr">
        <is>
          <t>Cash / Share</t>
        </is>
      </c>
      <c r="C13" s="10">
        <f>IFERROR((C7-C8)/C4,"")</f>
        <v>-18.954903371826134</v>
      </c>
    </row>
    <row r="14">
      <c r="B14" s="13" t="inlineStr">
        <is>
          <t>Scenario</t>
        </is>
      </c>
      <c r="C14" s="13" t="str">
        <f>Assumptions!C4</f>
        <v>Base</v>
      </c>
    </row>
    <row r="15">
      <c r="B15" s="13" t="inlineStr">
        <is>
          <t>Model</t>
        </is>
      </c>
      <c r="C15" s="13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44" workbookViewId="0">
      <selection activeCell="H10" sqref="H10"/>
    </sheetView>
  </sheetViews>
  <sheetFormatPr baseColWidth="10" defaultRowHeight="16"/>
  <cols>
    <col width="22" customWidth="1" style="2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 customFormat="1" s="6">
      <c r="A1" s="7" t="n"/>
      <c r="B1" s="15" t="n">
        <v>2007</v>
      </c>
      <c r="C1" s="15" t="n">
        <v>2008</v>
      </c>
      <c r="D1" s="15" t="n">
        <v>2009</v>
      </c>
      <c r="E1" s="15" t="n">
        <v>2010</v>
      </c>
      <c r="F1" s="15" t="n">
        <v>2011</v>
      </c>
      <c r="G1" s="15" t="n">
        <v>2012</v>
      </c>
      <c r="H1" s="15" t="n">
        <v>2013</v>
      </c>
      <c r="I1" s="15" t="n">
        <v>2014</v>
      </c>
      <c r="J1" s="15" t="n">
        <v>2015</v>
      </c>
      <c r="K1" s="15" t="n">
        <v>2016</v>
      </c>
      <c r="L1" s="15" t="n">
        <v>2017</v>
      </c>
      <c r="M1" s="15" t="n">
        <v>2018</v>
      </c>
      <c r="N1" s="15" t="n">
        <v>2019</v>
      </c>
      <c r="O1" s="15" t="n">
        <v>2020</v>
      </c>
      <c r="P1" s="15" t="n">
        <v>2021</v>
      </c>
      <c r="Q1" s="15" t="n">
        <v>2022</v>
      </c>
      <c r="R1" s="15" t="n">
        <v>2023</v>
      </c>
      <c r="S1" s="15" t="n">
        <v>2024</v>
      </c>
      <c r="T1" s="15" t="n">
        <v>2025</v>
      </c>
      <c r="U1" s="15" t="n">
        <v>2026</v>
      </c>
      <c r="V1" s="15" t="n">
        <v>2027</v>
      </c>
      <c r="W1" s="15" t="n">
        <v>2028</v>
      </c>
      <c r="X1" s="15" t="n">
        <v>2029</v>
      </c>
      <c r="Y1" s="15" t="n">
        <v>2030</v>
      </c>
      <c r="Z1" s="15" t="n">
        <v>2031</v>
      </c>
      <c r="AA1" s="15" t="n">
        <v>2032</v>
      </c>
      <c r="AB1" s="15" t="n">
        <v>2033</v>
      </c>
      <c r="AC1" s="15" t="n">
        <v>2034</v>
      </c>
      <c r="AD1" s="15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1" t="n">
        <v>24197.7</v>
      </c>
      <c r="C2" s="51" t="n">
        <v>23850</v>
      </c>
      <c r="D2" s="51" t="n">
        <v>27428</v>
      </c>
      <c r="E2" s="51" t="n">
        <v>45987</v>
      </c>
      <c r="F2" s="51" t="n">
        <v>48047</v>
      </c>
      <c r="G2" s="51" t="n">
        <v>47267</v>
      </c>
      <c r="H2" s="51" t="n">
        <v>44033</v>
      </c>
      <c r="I2" s="51" t="n">
        <v>42237</v>
      </c>
      <c r="J2" s="51" t="n">
        <v>39498</v>
      </c>
      <c r="K2" s="51" t="n">
        <v>39807</v>
      </c>
      <c r="L2" s="51" t="n">
        <v>40122</v>
      </c>
      <c r="M2" s="51" t="n">
        <v>42294</v>
      </c>
      <c r="N2" s="51" t="n">
        <v>39121</v>
      </c>
      <c r="O2" s="51" t="n">
        <v>41518</v>
      </c>
      <c r="P2" s="51" t="n">
        <v>48704</v>
      </c>
      <c r="Q2" s="51" t="n">
        <v>59283</v>
      </c>
      <c r="R2" s="51" t="n">
        <v>60115</v>
      </c>
      <c r="S2" s="51" t="n">
        <v>64168</v>
      </c>
      <c r="T2" s="51" t="n">
        <v>65011</v>
      </c>
      <c r="U2" s="51">
        <f>T2*(1+NPV!C5)</f>
        <v>68242.0467</v>
      </c>
      <c r="V2" s="51">
        <f>U2*(1+NPV!D5)</f>
        <v>71446.38991504668</v>
      </c>
      <c r="W2" s="51">
        <f>V2*(1+NPV!E5)</f>
        <v>74605.11419806858</v>
      </c>
      <c r="X2" s="51">
        <f>W2*(1+NPV!F5)</f>
        <v>77698.7396001485</v>
      </c>
      <c r="Y2" s="51">
        <f>X2*(1+NPV!G5)</f>
        <v>80707.40746133204</v>
      </c>
      <c r="Z2" s="51">
        <f>Y2*(1+NPV!H5)</f>
        <v>83611.0806319964</v>
      </c>
      <c r="AA2" s="51">
        <f>Z2*(1+NPV!I5)</f>
        <v>86389.75554499976</v>
      </c>
      <c r="AB2" s="51">
        <f>AA2*(1+NPV!J5)</f>
        <v>89023.68320294953</v>
      </c>
      <c r="AC2" s="51">
        <f>AB2*(1+NPV!K5)</f>
        <v>91493.59583581357</v>
      </c>
      <c r="AD2" s="51">
        <f>AC2*(1+NPV!L5)</f>
        <v>93780.9357317089</v>
      </c>
    </row>
    <row r="3" customFormat="1" s="1">
      <c r="A3" s="5" t="inlineStr">
        <is>
          <t>Cost of Sales</t>
        </is>
      </c>
      <c r="B3" s="51" t="n">
        <v>6140.7</v>
      </c>
      <c r="C3" s="51" t="n">
        <v>5583</v>
      </c>
      <c r="D3" s="51" t="n">
        <v>9019</v>
      </c>
      <c r="E3" s="51" t="n">
        <v>18396</v>
      </c>
      <c r="F3" s="51" t="n">
        <v>16871</v>
      </c>
      <c r="G3" s="51" t="n">
        <v>16446</v>
      </c>
      <c r="H3" s="51" t="n">
        <v>16954</v>
      </c>
      <c r="I3" s="51" t="n">
        <v>16768</v>
      </c>
      <c r="J3" s="51" t="n">
        <v>14934</v>
      </c>
      <c r="K3" s="51" t="n">
        <v>14030</v>
      </c>
      <c r="L3" s="51" t="n">
        <v>12912</v>
      </c>
      <c r="M3" s="51" t="n">
        <v>13509</v>
      </c>
      <c r="N3" s="51" t="n">
        <v>12016</v>
      </c>
      <c r="O3" s="51" t="n">
        <v>13618</v>
      </c>
      <c r="P3" s="51" t="n">
        <v>13626</v>
      </c>
      <c r="Q3" s="51" t="n">
        <v>17411</v>
      </c>
      <c r="R3" s="51" t="n">
        <v>16126</v>
      </c>
      <c r="S3" s="51" t="n">
        <v>15193</v>
      </c>
      <c r="T3" s="51" t="n">
        <v>16382</v>
      </c>
      <c r="U3" s="51">
        <f>U2*(1-Assumptions!$B$19)</f>
        <v>17196.9957684</v>
      </c>
      <c r="V3" s="51">
        <f>V2*(1-Assumptions!$B$19)</f>
        <v>18004.490258591763</v>
      </c>
      <c r="W3" s="51">
        <f>W2*(1-Assumptions!$B$19)</f>
        <v>18800.48877791328</v>
      </c>
      <c r="X3" s="51">
        <f>X2*(1-Assumptions!$B$19)</f>
        <v>19580.08237923742</v>
      </c>
      <c r="Y3" s="51">
        <f>Y2*(1-Assumptions!$B$19)</f>
        <v>20338.266680255674</v>
      </c>
      <c r="Z3" s="51">
        <f>Z2*(1-Assumptions!$B$19)</f>
        <v>21069.992319263092</v>
      </c>
      <c r="AA3" s="51">
        <f>AA2*(1-Assumptions!$B$19)</f>
        <v>21770.21839733994</v>
      </c>
      <c r="AB3" s="51">
        <f>AB2*(1-Assumptions!$B$19)</f>
        <v>22433.96816714328</v>
      </c>
      <c r="AC3" s="51">
        <f>AC2*(1-Assumptions!$B$19)</f>
        <v>23056.386150625018</v>
      </c>
      <c r="AD3" s="51">
        <f>AD2*(1-Assumptions!$B$19)</f>
        <v>23632.795804390644</v>
      </c>
    </row>
    <row r="4" customFormat="1" s="1">
      <c r="A4" s="5" t="inlineStr">
        <is>
          <t>Gross Margin</t>
        </is>
      </c>
      <c r="B4" s="51">
        <f>B2-B3</f>
        <v>18057.0</v>
      </c>
      <c r="C4" s="51">
        <f>C2-C3</f>
        <v>18267.0</v>
      </c>
      <c r="D4" s="51">
        <f>D2-D3</f>
        <v>18409.0</v>
      </c>
      <c r="E4" s="51">
        <f>E2-E3</f>
        <v>27591.0</v>
      </c>
      <c r="F4" s="51">
        <f>F2-F3</f>
        <v>31176.0</v>
      </c>
      <c r="G4" s="51">
        <f>G2-G3</f>
        <v>30821.0</v>
      </c>
      <c r="H4" s="51">
        <f>H2-H3</f>
        <v>27079.0</v>
      </c>
      <c r="I4" s="51">
        <f>I2-I3</f>
        <v>25469.0</v>
      </c>
      <c r="J4" s="51">
        <f>J2-J3</f>
        <v>24564.0</v>
      </c>
      <c r="K4" s="51">
        <f>K2-K3</f>
        <v>25777.0</v>
      </c>
      <c r="L4" s="51">
        <f>L2-L3</f>
        <v>27210.0</v>
      </c>
      <c r="M4" s="51">
        <f>M2-M3</f>
        <v>28785.0</v>
      </c>
      <c r="N4" s="51">
        <f>N2-N3</f>
        <v>27105.0</v>
      </c>
      <c r="O4" s="51">
        <f>O2-O3</f>
        <v>27900.0</v>
      </c>
      <c r="P4" s="51">
        <f>P2-P3</f>
        <v>35078.0</v>
      </c>
      <c r="Q4" s="51">
        <f>Q2-Q3</f>
        <v>41872.0</v>
      </c>
      <c r="R4" s="51">
        <f>R2-R3</f>
        <v>43989.0</v>
      </c>
      <c r="S4" s="51">
        <f>S2-S3</f>
        <v>48975.0</v>
      </c>
      <c r="T4" s="51">
        <f>T2-T3</f>
        <v>48629.0</v>
      </c>
      <c r="U4" s="51">
        <f>U2-U3</f>
        <v>51045.05093160001</v>
      </c>
      <c r="V4" s="51">
        <f>V2-V3</f>
        <v>53441.899656454916</v>
      </c>
      <c r="W4" s="51">
        <f>W2-W3</f>
        <v>55804.625420155295</v>
      </c>
      <c r="X4" s="51">
        <f>X2-X3</f>
        <v>58118.65722091108</v>
      </c>
      <c r="Y4" s="51">
        <f>Y2-Y3</f>
        <v>60369.14078107636</v>
      </c>
      <c r="Z4" s="51">
        <f>Z2-Z3</f>
        <v>62541.08831273331</v>
      </c>
      <c r="AA4" s="51">
        <f>AA2-AA3</f>
        <v>64619.53714765982</v>
      </c>
      <c r="AB4" s="51">
        <f>AB2-AB3</f>
        <v>66589.71503580625</v>
      </c>
      <c r="AC4" s="51">
        <f>AC2-AC3</f>
        <v>68437.20968518854</v>
      </c>
      <c r="AD4" s="51">
        <f>AD2-AD3</f>
        <v>70148.13992731826</v>
      </c>
    </row>
    <row r="5">
      <c r="A5" s="2" t="inlineStr">
        <is>
          <t>Research &amp; Dev.</t>
        </is>
      </c>
      <c r="B5" s="51" t="n">
        <v>4882.8</v>
      </c>
      <c r="C5" s="51" t="n">
        <v>4805</v>
      </c>
      <c r="D5" s="51" t="n">
        <v>5845</v>
      </c>
      <c r="E5" s="51" t="n">
        <v>11111</v>
      </c>
      <c r="F5" s="51" t="n">
        <v>8467</v>
      </c>
      <c r="G5" s="51" t="n">
        <v>8168</v>
      </c>
      <c r="H5" s="51" t="n">
        <v>7503</v>
      </c>
      <c r="I5" s="51" t="n">
        <v>7180</v>
      </c>
      <c r="J5" s="51" t="n">
        <v>6704</v>
      </c>
      <c r="K5" s="51" t="n">
        <v>10261</v>
      </c>
      <c r="L5" s="51" t="n">
        <v>10339</v>
      </c>
      <c r="M5" s="51" t="n">
        <v>9752</v>
      </c>
      <c r="N5" s="51" t="n">
        <v>9724</v>
      </c>
      <c r="O5" s="51" t="n">
        <v>13397</v>
      </c>
      <c r="P5" s="51" t="n">
        <v>12245</v>
      </c>
      <c r="Q5" s="51" t="n">
        <v>13548</v>
      </c>
      <c r="R5" s="51" t="n">
        <v>30531</v>
      </c>
      <c r="S5" s="51" t="n">
        <v>17938</v>
      </c>
      <c r="T5" s="51" t="n">
        <v>15789</v>
      </c>
      <c r="U5" s="51">
        <f>U7*Assumptions!$B$20</f>
        <v>18013.305288490148</v>
      </c>
      <c r="V5" s="51">
        <f>V7*Assumptions!$B$20</f>
        <v>19306.141743184675</v>
      </c>
      <c r="W5" s="51">
        <f>W7*Assumptions!$B$20</f>
        <v>20626.462302226457</v>
      </c>
      <c r="X5" s="51">
        <f>X7*Assumptions!$B$20</f>
        <v>21967.90310630396</v>
      </c>
      <c r="Y5" s="51">
        <f>Y7*Assumptions!$B$20</f>
        <v>23323.503339787294</v>
      </c>
      <c r="Z5" s="51">
        <f>Z7*Assumptions!$B$20</f>
        <v>24685.752497860813</v>
      </c>
      <c r="AA5" s="51">
        <f>AA7*Assumptions!$B$20</f>
        <v>26046.648742918507</v>
      </c>
      <c r="AB5" s="51">
        <f>AB7*Assumptions!$B$20</f>
        <v>27397.767965767885</v>
      </c>
      <c r="AC5" s="51">
        <f>AC7*Assumptions!$B$20</f>
        <v>28730.342923183045</v>
      </c>
      <c r="AD5" s="51">
        <f>AD7*Assumptions!$B$20</f>
        <v>30035.351580104438</v>
      </c>
    </row>
    <row r="6">
      <c r="A6" s="17" t="inlineStr">
        <is>
          <t>SG&amp;A &amp; Other</t>
        </is>
      </c>
      <c r="B6" s="51" t="n">
        <v>7556.7</v>
      </c>
      <c r="C6" s="51" t="n">
        <v>7377</v>
      </c>
      <c r="D6" s="51" t="n">
        <v>8543</v>
      </c>
      <c r="E6" s="51" t="n">
        <v>13125</v>
      </c>
      <c r="F6" s="51" t="n">
        <v>13733</v>
      </c>
      <c r="G6" s="51" t="n">
        <v>12776</v>
      </c>
      <c r="H6" s="51" t="n">
        <v>11911</v>
      </c>
      <c r="I6" s="51" t="n">
        <v>11606</v>
      </c>
      <c r="J6" s="51" t="n">
        <v>10313</v>
      </c>
      <c r="K6" s="51" t="n">
        <v>10017</v>
      </c>
      <c r="L6" s="51" t="n">
        <v>10074</v>
      </c>
      <c r="M6" s="51" t="n">
        <v>10102</v>
      </c>
      <c r="N6" s="51" t="n">
        <v>9455</v>
      </c>
      <c r="O6" s="51" t="n">
        <v>8955</v>
      </c>
      <c r="P6" s="51" t="n">
        <v>9634</v>
      </c>
      <c r="Q6" s="51" t="n">
        <v>10042</v>
      </c>
      <c r="R6" s="51" t="n">
        <v>10504</v>
      </c>
      <c r="S6" s="51" t="n">
        <v>10816</v>
      </c>
      <c r="T6" s="51" t="n">
        <v>10733</v>
      </c>
      <c r="U6" s="51">
        <f>U7-U5</f>
        <v>12245.900638756862</v>
      </c>
      <c r="V6" s="51">
        <f>V7-V5</f>
        <v>13124.803567053314</v>
      </c>
      <c r="W6" s="51">
        <f>W7-W5</f>
        <v>14022.390884782537</v>
      </c>
      <c r="X6" s="51">
        <f>X7-X5</f>
        <v>14934.336279390576</v>
      </c>
      <c r="Y6" s="51">
        <f>Y7-Y5</f>
        <v>15855.907612316336</v>
      </c>
      <c r="Z6" s="51">
        <f>Z7-Z5</f>
        <v>16781.999052384126</v>
      </c>
      <c r="AA6" s="51">
        <f>AA7-AA5</f>
        <v>17707.170747957527</v>
      </c>
      <c r="AB6" s="51">
        <f>AB7-AB5</f>
        <v>18625.695776492965</v>
      </c>
      <c r="AC6" s="51">
        <f>AC7-AC5</f>
        <v>19531.613944250254</v>
      </c>
      <c r="AD6" s="51">
        <f>AD7-AD5</f>
        <v>20418.791843554955</v>
      </c>
    </row>
    <row r="7">
      <c r="A7" s="2" t="inlineStr">
        <is>
          <t>Operating Expense</t>
        </is>
      </c>
      <c r="B7" s="51">
        <f>SUM(B5:B6)</f>
        <v>12439.5</v>
      </c>
      <c r="C7" s="51">
        <f>SUM(C5:C6)</f>
        <v>12182.0</v>
      </c>
      <c r="D7" s="51">
        <f>SUM(D5:D6)</f>
        <v>14388.0</v>
      </c>
      <c r="E7" s="51">
        <f>SUM(E5:E6)</f>
        <v>24236.0</v>
      </c>
      <c r="F7" s="51">
        <f>SUM(F5:F6)</f>
        <v>22200.0</v>
      </c>
      <c r="G7" s="51">
        <f>SUM(G5:G6)</f>
        <v>20944.0</v>
      </c>
      <c r="H7" s="51">
        <f>SUM(H5:H6)</f>
        <v>19414.0</v>
      </c>
      <c r="I7" s="51">
        <f>SUM(I5:I6)</f>
        <v>18786.0</v>
      </c>
      <c r="J7" s="51">
        <f>SUM(J5:J6)</f>
        <v>17017.0</v>
      </c>
      <c r="K7" s="51">
        <f>SUM(K5:K6)</f>
        <v>20278.0</v>
      </c>
      <c r="L7" s="51">
        <f>SUM(L5:L6)</f>
        <v>20413.0</v>
      </c>
      <c r="M7" s="51">
        <f>SUM(M5:M6)</f>
        <v>19854.0</v>
      </c>
      <c r="N7" s="51">
        <f>SUM(N5:N6)</f>
        <v>19179.0</v>
      </c>
      <c r="O7" s="51">
        <f>SUM(O5:O6)</f>
        <v>22352.0</v>
      </c>
      <c r="P7" s="51">
        <f>SUM(P5:P6)</f>
        <v>21879.0</v>
      </c>
      <c r="Q7" s="51">
        <f>SUM(Q5:Q6)</f>
        <v>23590.0</v>
      </c>
      <c r="R7" s="51">
        <f>SUM(R5:R6)</f>
        <v>41035.0</v>
      </c>
      <c r="S7" s="51">
        <f>SUM(S5:S6)</f>
        <v>28754.0</v>
      </c>
      <c r="T7" s="51">
        <f>SUM(T5:T6)</f>
        <v>26522.0</v>
      </c>
      <c r="U7" s="51">
        <f>U4-U2*NPV!C6</f>
        <v>30259.20592724701</v>
      </c>
      <c r="V7" s="51">
        <f>V4-V2*NPV!D6</f>
        <v>32430.94531023799</v>
      </c>
      <c r="W7" s="51">
        <f>W4-W2*NPV!E6</f>
        <v>34648.853187008994</v>
      </c>
      <c r="X7" s="51">
        <f>X4-X2*NPV!F6</f>
        <v>36902.239385694535</v>
      </c>
      <c r="Y7" s="51">
        <f>Y4-Y2*NPV!G6</f>
        <v>39179.41095210363</v>
      </c>
      <c r="Z7" s="51">
        <f>Z4-Z2*NPV!H6</f>
        <v>41467.75155024494</v>
      </c>
      <c r="AA7" s="51">
        <f>AA4-AA2*NPV!I6</f>
        <v>43753.819490876034</v>
      </c>
      <c r="AB7" s="51">
        <f>AB4-AB2*NPV!J6</f>
        <v>46023.46374226085</v>
      </c>
      <c r="AC7" s="51">
        <f>AC4-AC2*NPV!K6</f>
        <v>48261.9568674333</v>
      </c>
      <c r="AD7" s="51">
        <f>AD4-AD2*NPV!L6</f>
        <v>50454.14342365939</v>
      </c>
    </row>
    <row r="8">
      <c r="A8" s="2" t="inlineStr">
        <is>
          <t>Operating Income</t>
        </is>
      </c>
      <c r="B8" s="51">
        <f>B4-B7</f>
        <v>5617.5</v>
      </c>
      <c r="C8" s="51">
        <f>C4-C7</f>
        <v>6085.0</v>
      </c>
      <c r="D8" s="51">
        <f>D4-D7</f>
        <v>4021.0</v>
      </c>
      <c r="E8" s="51">
        <f>E4-E7</f>
        <v>3355.0</v>
      </c>
      <c r="F8" s="51">
        <f>F4-F7</f>
        <v>8976.0</v>
      </c>
      <c r="G8" s="51">
        <f>G4-G7</f>
        <v>9877.0</v>
      </c>
      <c r="H8" s="51">
        <f>H4-H7</f>
        <v>7665.0</v>
      </c>
      <c r="I8" s="51">
        <f>I4-I7</f>
        <v>6683.0</v>
      </c>
      <c r="J8" s="51">
        <f>J4-J7</f>
        <v>7547.0</v>
      </c>
      <c r="K8" s="51">
        <f>K4-K7</f>
        <v>5499.0</v>
      </c>
      <c r="L8" s="51">
        <f>L4-L7</f>
        <v>6797.0</v>
      </c>
      <c r="M8" s="51">
        <f>M4-M7</f>
        <v>8931.0</v>
      </c>
      <c r="N8" s="51">
        <f>N4-N7</f>
        <v>7926.0</v>
      </c>
      <c r="O8" s="51">
        <f>O4-O7</f>
        <v>5548.0</v>
      </c>
      <c r="P8" s="51">
        <f>P4-P7</f>
        <v>13199.0</v>
      </c>
      <c r="Q8" s="51">
        <f>Q4-Q7</f>
        <v>18282.0</v>
      </c>
      <c r="R8" s="51">
        <f>R4-R7</f>
        <v>2954.0</v>
      </c>
      <c r="S8" s="51">
        <f>S4-S7</f>
        <v>20221.0</v>
      </c>
      <c r="T8" s="51">
        <f>T4-T7</f>
        <v>22107.0</v>
      </c>
      <c r="U8" s="51">
        <f>U4-U7</f>
        <v>20785.845004353</v>
      </c>
      <c r="V8" s="51">
        <f>V4-V7</f>
        <v>21010.954346216928</v>
      </c>
      <c r="W8" s="51">
        <f>W4-W7</f>
        <v>21155.7722331463</v>
      </c>
      <c r="X8" s="51">
        <f>X4-X7</f>
        <v>21216.417835216547</v>
      </c>
      <c r="Y8" s="51">
        <f>Y4-Y7</f>
        <v>21189.729828972733</v>
      </c>
      <c r="Z8" s="51">
        <f>Z4-Z7</f>
        <v>21073.33676248837</v>
      </c>
      <c r="AA8" s="51">
        <f>AA4-AA7</f>
        <v>20865.71765678379</v>
      </c>
      <c r="AB8" s="51">
        <f>AB4-AB7</f>
        <v>20566.2512935454</v>
      </c>
      <c r="AC8" s="51">
        <f>AC4-AC7</f>
        <v>20175.252817755245</v>
      </c>
      <c r="AD8" s="51">
        <f>AD4-AD7</f>
        <v>19693.99650365887</v>
      </c>
    </row>
    <row r="9">
      <c r="A9" s="17" t="inlineStr">
        <is>
          <t>Interest &amp; Other</t>
        </is>
      </c>
      <c r="B9" s="51" t="n">
        <v>-2246.8</v>
      </c>
      <c r="C9" s="51" t="n">
        <v>3722</v>
      </c>
      <c r="D9" s="51" t="n">
        <v>11146</v>
      </c>
      <c r="E9" s="51" t="n">
        <v>-1823</v>
      </c>
      <c r="F9" s="51" t="n">
        <v>-1762</v>
      </c>
      <c r="G9" s="51" t="n">
        <v>-1269</v>
      </c>
      <c r="H9" s="51" t="n">
        <v>-2233</v>
      </c>
      <c r="I9" s="51" t="n">
        <v>10586</v>
      </c>
      <c r="J9" s="51" t="n">
        <v>-2163</v>
      </c>
      <c r="K9" s="51" t="n">
        <v>-861</v>
      </c>
      <c r="L9" s="51" t="n">
        <v>-300</v>
      </c>
      <c r="M9" s="51" t="n">
        <v>-203</v>
      </c>
      <c r="N9" s="51" t="n">
        <v>3482</v>
      </c>
      <c r="O9" s="51" t="n">
        <v>2859</v>
      </c>
      <c r="P9" s="51" t="n">
        <v>667</v>
      </c>
      <c r="Q9" s="51" t="n">
        <v>-1845</v>
      </c>
      <c r="R9" s="51" t="n">
        <v>-1077</v>
      </c>
      <c r="S9" s="51" t="n">
        <v>-301</v>
      </c>
      <c r="T9" s="51" t="n">
        <v>-1049</v>
      </c>
      <c r="U9" s="51" t="n">
        <v>0</v>
      </c>
      <c r="V9" s="51" t="n">
        <v>0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</v>
      </c>
      <c r="AD9" s="51" t="n">
        <v>0</v>
      </c>
    </row>
    <row r="10">
      <c r="A10" s="2" t="inlineStr">
        <is>
          <t>Pretax</t>
        </is>
      </c>
      <c r="B10" s="51">
        <f>B8+B9</f>
        <v>3370.7</v>
      </c>
      <c r="C10" s="51">
        <f>C8+C9</f>
        <v>9807.0</v>
      </c>
      <c r="D10" s="51">
        <f>D8+D9</f>
        <v>15167.0</v>
      </c>
      <c r="E10" s="51">
        <f>E8+E9</f>
        <v>1532.0</v>
      </c>
      <c r="F10" s="51">
        <f>F8+F9</f>
        <v>7214.0</v>
      </c>
      <c r="G10" s="51">
        <f>G8+G9</f>
        <v>8608.0</v>
      </c>
      <c r="H10" s="51">
        <f>H8+H9</f>
        <v>5432.0</v>
      </c>
      <c r="I10" s="51">
        <f>I8+I9</f>
        <v>17269.0</v>
      </c>
      <c r="J10" s="51">
        <f>J8+J9</f>
        <v>5384.0</v>
      </c>
      <c r="K10" s="51">
        <f>K8+K9</f>
        <v>4638.0</v>
      </c>
      <c r="L10" s="51">
        <f>L8+L9</f>
        <v>6497.0</v>
      </c>
      <c r="M10" s="51">
        <f>M8+M9</f>
        <v>8728.0</v>
      </c>
      <c r="N10" s="51">
        <f>N8+N9</f>
        <v>11408.0</v>
      </c>
      <c r="O10" s="51">
        <f>O8+O9</f>
        <v>8407.0</v>
      </c>
      <c r="P10" s="51">
        <f>P8+P9</f>
        <v>13866.0</v>
      </c>
      <c r="Q10" s="51">
        <f>Q8+Q9</f>
        <v>16437.0</v>
      </c>
      <c r="R10" s="51">
        <f>R8+R9</f>
        <v>1877.0</v>
      </c>
      <c r="S10" s="51">
        <f>S8+S9</f>
        <v>19920.0</v>
      </c>
      <c r="T10" s="51">
        <f>T8+T9</f>
        <v>21058.0</v>
      </c>
      <c r="U10" s="51">
        <f>U8+U9</f>
        <v>20785.845004353</v>
      </c>
      <c r="V10" s="51">
        <f>V8+V9</f>
        <v>21010.954346216928</v>
      </c>
      <c r="W10" s="51">
        <f>W8+W9</f>
        <v>21155.7722331463</v>
      </c>
      <c r="X10" s="51">
        <f>X8+X9</f>
        <v>21216.417835216547</v>
      </c>
      <c r="Y10" s="51">
        <f>Y8+Y9</f>
        <v>21189.729828972733</v>
      </c>
      <c r="Z10" s="51">
        <f>Z8+Z9</f>
        <v>21073.33676248837</v>
      </c>
      <c r="AA10" s="51">
        <f>AA8+AA9</f>
        <v>20865.71765678379</v>
      </c>
      <c r="AB10" s="51">
        <f>AB8+AB9</f>
        <v>20566.2512935454</v>
      </c>
      <c r="AC10" s="51">
        <f>AC8+AC9</f>
        <v>20175.252817755245</v>
      </c>
      <c r="AD10" s="51">
        <f>AD8+AD9</f>
        <v>19693.99650365887</v>
      </c>
    </row>
    <row r="11">
      <c r="A11" s="2" t="inlineStr">
        <is>
          <t>Taxes</t>
        </is>
      </c>
      <c r="B11" s="51" t="n">
        <v>95.3</v>
      </c>
      <c r="C11" s="51" t="n">
        <v>1999</v>
      </c>
      <c r="D11" s="51" t="n">
        <v>2268</v>
      </c>
      <c r="E11" s="51" t="n">
        <v>671</v>
      </c>
      <c r="F11" s="51" t="n">
        <v>942</v>
      </c>
      <c r="G11" s="51" t="n">
        <v>2440</v>
      </c>
      <c r="H11" s="51" t="n">
        <v>1028</v>
      </c>
      <c r="I11" s="51" t="n">
        <v>5349</v>
      </c>
      <c r="J11" s="51" t="n">
        <v>942</v>
      </c>
      <c r="K11" s="51" t="n">
        <v>718</v>
      </c>
      <c r="L11" s="51" t="n">
        <v>4103</v>
      </c>
      <c r="M11" s="51" t="n">
        <v>2508</v>
      </c>
      <c r="N11" s="51" t="n">
        <v>1565</v>
      </c>
      <c r="O11" s="51" t="n">
        <v>1340</v>
      </c>
      <c r="P11" s="51" t="n">
        <v>1521</v>
      </c>
      <c r="Q11" s="51" t="n">
        <v>1918</v>
      </c>
      <c r="R11" s="51" t="n">
        <v>1512</v>
      </c>
      <c r="S11" s="51" t="n">
        <v>2803</v>
      </c>
      <c r="T11" s="51" t="n">
        <v>2804</v>
      </c>
      <c r="U11" s="51">
        <f>MAX(0,U10)*Assumptions!$E$14</f>
        <v>3533.59365074001</v>
      </c>
      <c r="V11" s="51">
        <f>MAX(0,V10)*Assumptions!$E$14</f>
        <v>3571.862238856878</v>
      </c>
      <c r="W11" s="51">
        <f>MAX(0,W10)*Assumptions!$E$14</f>
        <v>3596.4812796348715</v>
      </c>
      <c r="X11" s="51">
        <f>MAX(0,X10)*Assumptions!$E$14</f>
        <v>3606.7910319868133</v>
      </c>
      <c r="Y11" s="51">
        <f>MAX(0,Y10)*Assumptions!$E$14</f>
        <v>3602.254070925365</v>
      </c>
      <c r="Z11" s="51">
        <f>MAX(0,Z10)*Assumptions!$E$14</f>
        <v>3582.467249623023</v>
      </c>
      <c r="AA11" s="51">
        <f>MAX(0,AA10)*Assumptions!$E$14</f>
        <v>3547.1720016532445</v>
      </c>
      <c r="AB11" s="51">
        <f>MAX(0,AB10)*Assumptions!$E$14</f>
        <v>3496.2627199027183</v>
      </c>
      <c r="AC11" s="51">
        <f>MAX(0,AC10)*Assumptions!$E$14</f>
        <v>3429.792979018392</v>
      </c>
      <c r="AD11" s="51">
        <f>MAX(0,AD10)*Assumptions!$E$14</f>
        <v>3347.979405622008</v>
      </c>
    </row>
    <row r="12">
      <c r="A12" s="2" t="inlineStr">
        <is>
          <t>Net Income</t>
        </is>
      </c>
      <c r="B12" s="51" t="n">
        <v>3275.4</v>
      </c>
      <c r="C12" s="51" t="n">
        <v>7808</v>
      </c>
      <c r="D12" s="51" t="n">
        <v>12899</v>
      </c>
      <c r="E12" s="51" t="n">
        <v>861</v>
      </c>
      <c r="F12" s="51" t="n">
        <v>6272</v>
      </c>
      <c r="G12" s="51" t="n">
        <v>6168</v>
      </c>
      <c r="H12" s="51" t="n">
        <v>4404</v>
      </c>
      <c r="I12" s="51" t="n">
        <v>11920</v>
      </c>
      <c r="J12" s="51" t="n">
        <v>4442</v>
      </c>
      <c r="K12" s="51" t="n">
        <v>3920</v>
      </c>
      <c r="L12" s="51" t="n">
        <v>2394</v>
      </c>
      <c r="M12" s="51" t="n">
        <v>6220</v>
      </c>
      <c r="N12" s="51" t="n">
        <v>9843</v>
      </c>
      <c r="O12" s="51" t="n">
        <v>7067</v>
      </c>
      <c r="P12" s="51" t="n">
        <v>12345</v>
      </c>
      <c r="Q12" s="51" t="n">
        <v>14519</v>
      </c>
      <c r="R12" s="51" t="n">
        <v>365</v>
      </c>
      <c r="S12" s="51" t="n">
        <v>17117</v>
      </c>
      <c r="T12" s="51" t="n">
        <v>18254</v>
      </c>
      <c r="U12" s="51">
        <f>U10-U11</f>
        <v>17252.251353612988</v>
      </c>
      <c r="V12" s="51">
        <f>V10-V11</f>
        <v>17439.09210736005</v>
      </c>
      <c r="W12" s="51">
        <f>W10-W11</f>
        <v>17559.29095351143</v>
      </c>
      <c r="X12" s="51">
        <f>X10-X11</f>
        <v>17609.626803229734</v>
      </c>
      <c r="Y12" s="51">
        <f>Y10-Y11</f>
        <v>17587.475758047367</v>
      </c>
      <c r="Z12" s="51">
        <f>Z10-Z11</f>
        <v>17490.869512865345</v>
      </c>
      <c r="AA12" s="51">
        <f>AA10-AA11</f>
        <v>17318.545655130543</v>
      </c>
      <c r="AB12" s="51">
        <f>AB10-AB11</f>
        <v>17069.98857364268</v>
      </c>
      <c r="AC12" s="51">
        <f>AC10-AC11</f>
        <v>16745.459838736853</v>
      </c>
      <c r="AD12" s="51">
        <f>AD10-AD11</f>
        <v>16346.01709803686</v>
      </c>
    </row>
    <row r="13">
      <c r="A13" s="2" t="inlineStr">
        <is>
          <t>Earnings per Share</t>
        </is>
      </c>
      <c r="B13" s="10">
        <f>IFERROR(B12/B14,0)</f>
        <v>0</v>
      </c>
      <c r="C13" s="10">
        <f>IFERROR(C12/C14,0)</f>
        <v>2.676682285217501</v>
      </c>
      <c r="D13" s="10">
        <f>IFERROR(D12/D14,0)</f>
        <v>4.169036845507434</v>
      </c>
      <c r="E13" s="10">
        <f>IFERROR(E12/E14,0)</f>
        <v>0.27828045304445603</v>
      </c>
      <c r="F13" s="10">
        <f>IFERROR(F12/F14,0)</f>
        <v>2.0271493212669682</v>
      </c>
      <c r="G13" s="10">
        <f>IFERROR(G12/G14,0)</f>
        <v>2.0052015604681404</v>
      </c>
      <c r="H13" s="10">
        <f>IFERROR(H12/H14,0)</f>
        <v>1.4699599465954607</v>
      </c>
      <c r="I13" s="10">
        <f>IFERROR(I12/I14,0)</f>
        <v>4.0710382513661205</v>
      </c>
      <c r="J13" s="10">
        <f>IFERROR(J12/J14,0)</f>
        <v>1.5635339669130588</v>
      </c>
      <c r="K13" s="10">
        <f>IFERROR(K12/K14,0)</f>
        <v>1.406530319339792</v>
      </c>
      <c r="L13" s="10">
        <f>IFERROR(L12/L14,0)</f>
        <v>0.87117903930131</v>
      </c>
      <c r="M13" s="10">
        <f>IFERROR(M12/M14,0)</f>
        <v>2.3217618514371035</v>
      </c>
      <c r="N13" s="10">
        <f>IFERROR(N12/N14,0)</f>
        <v>3.8151162790697675</v>
      </c>
      <c r="O13" s="10">
        <f>IFERROR(O12/O14,0)</f>
        <v>2.7811885084612356</v>
      </c>
      <c r="P13" s="10">
        <f>IFERROR(P12/P14,0)</f>
        <v>4.864066193853428</v>
      </c>
      <c r="Q13" s="10">
        <f>IFERROR(Q12/Q14,0)</f>
        <v>5.7116443745082615</v>
      </c>
      <c r="R13" s="10">
        <f>IFERROR(R12/R14,0)</f>
        <v>0.14330585001963095</v>
      </c>
      <c r="S13" s="10">
        <f>IFERROR(S12/S14,0)</f>
        <v>6.736324281778828</v>
      </c>
      <c r="T13" s="10">
        <f>IFERROR(T12/T14,0)</f>
        <v>7.281212604706821</v>
      </c>
      <c r="U13" s="10">
        <f>IFERROR(U12/U14,0)</f>
        <v>6.992724416854289</v>
      </c>
      <c r="V13" s="10">
        <f>IFERROR(V12/V14,0)</f>
        <v>7.068455164917899</v>
      </c>
      <c r="W13" s="10">
        <f>IFERROR(W12/W14,0)</f>
        <v>7.117174453150645</v>
      </c>
      <c r="X13" s="10">
        <f>IFERROR(X12/X14,0)</f>
        <v>7.137576702002334</v>
      </c>
      <c r="Y13" s="10">
        <f>IFERROR(Y12/Y14,0)</f>
        <v>7.128598386573771</v>
      </c>
      <c r="Z13" s="10">
        <f>IFERROR(Z12/Z14,0)</f>
        <v>7.089441708662082</v>
      </c>
      <c r="AA13" s="10">
        <f>IFERROR(AA12/AA14,0)</f>
        <v>7.019594984145382</v>
      </c>
      <c r="AB13" s="10">
        <f>IFERROR(AB12/AB14,0)</f>
        <v>6.918849224239778</v>
      </c>
      <c r="AC13" s="10">
        <f>IFERROR(AC12/AC14,0)</f>
        <v>6.787310449268732</v>
      </c>
      <c r="AD13" s="10">
        <f>IFERROR(AD12/AD14,0)</f>
        <v>6.625407347535689</v>
      </c>
    </row>
    <row r="14">
      <c r="A14" s="2" t="inlineStr">
        <is>
          <t>Shares</t>
        </is>
      </c>
      <c r="B14" s="51" t="n"/>
      <c r="C14" s="51" t="n">
        <v>2917.044</v>
      </c>
      <c r="D14" s="51" t="n">
        <v>3094</v>
      </c>
      <c r="E14" s="51" t="n">
        <v>3094.001</v>
      </c>
      <c r="F14" s="51" t="n">
        <v>3094</v>
      </c>
      <c r="G14" s="51" t="n">
        <v>3076</v>
      </c>
      <c r="H14" s="51" t="n">
        <v>2996</v>
      </c>
      <c r="I14" s="51" t="n">
        <v>2928</v>
      </c>
      <c r="J14" s="51" t="n">
        <v>2841</v>
      </c>
      <c r="K14" s="51" t="n">
        <v>2787</v>
      </c>
      <c r="L14" s="51" t="n">
        <v>2748</v>
      </c>
      <c r="M14" s="51" t="n">
        <v>2679</v>
      </c>
      <c r="N14" s="51" t="n">
        <v>2580</v>
      </c>
      <c r="O14" s="51" t="n">
        <v>2541</v>
      </c>
      <c r="P14" s="51" t="n">
        <v>2538</v>
      </c>
      <c r="Q14" s="51" t="n">
        <v>2542</v>
      </c>
      <c r="R14" s="51" t="n">
        <v>2547</v>
      </c>
      <c r="S14" s="51" t="n">
        <v>2541</v>
      </c>
      <c r="T14" s="51" t="n">
        <v>2507</v>
      </c>
      <c r="U14" s="51">
        <f>Main!$C$4</f>
        <v>2467.171638</v>
      </c>
      <c r="V14" s="51">
        <f>Main!$C$4</f>
        <v>2467.171638</v>
      </c>
      <c r="W14" s="51">
        <f>Main!$C$4</f>
        <v>2467.171638</v>
      </c>
      <c r="X14" s="51">
        <f>Main!$C$4</f>
        <v>2467.171638</v>
      </c>
      <c r="Y14" s="51">
        <f>Main!$C$4</f>
        <v>2467.171638</v>
      </c>
      <c r="Z14" s="51">
        <f>Main!$C$4</f>
        <v>2467.171638</v>
      </c>
      <c r="AA14" s="51">
        <f>Main!$C$4</f>
        <v>2467.171638</v>
      </c>
      <c r="AB14" s="51">
        <f>Main!$C$4</f>
        <v>2467.171638</v>
      </c>
      <c r="AC14" s="51">
        <f>Main!$C$4</f>
        <v>2467.171638</v>
      </c>
      <c r="AD14" s="51">
        <f>Main!$C$4</f>
        <v>2467.171638</v>
      </c>
    </row>
    <row r="15"/>
    <row r="16" customFormat="1" s="4">
      <c r="A16" s="3" t="inlineStr">
        <is>
          <t>Revenue Change</t>
        </is>
      </c>
      <c r="C16" s="14">
        <f>IFERROR(C2/B2-1,"")</f>
        <v>-0.014369134256561611</v>
      </c>
      <c r="D16" s="14">
        <f>IFERROR(D2/C2-1,"")</f>
        <v>0.15002096436058698</v>
      </c>
      <c r="E16" s="14">
        <f>IFERROR(E2/D2-1,"")</f>
        <v>0.6766443050896893</v>
      </c>
      <c r="F16" s="14">
        <f>IFERROR(F2/E2-1,"")</f>
        <v>0.044795268227977525</v>
      </c>
      <c r="G16" s="14">
        <f>IFERROR(G2/F2-1,"")</f>
        <v>-0.016234104106395808</v>
      </c>
      <c r="H16" s="14">
        <f>IFERROR(H2/G2-1,"")</f>
        <v>-0.06841982778682798</v>
      </c>
      <c r="I16" s="14">
        <f>IFERROR(I2/H2-1,"")</f>
        <v>-0.04078759112483821</v>
      </c>
      <c r="J16" s="14">
        <f>IFERROR(J2/I2-1,"")</f>
        <v>-0.06484835570708147</v>
      </c>
      <c r="K16" s="14">
        <f>IFERROR(K2/J2-1,"")</f>
        <v>0.007823180920552897</v>
      </c>
      <c r="L16" s="14">
        <f>IFERROR(L2/K2-1,"")</f>
        <v>0.007913181098801791</v>
      </c>
      <c r="M16" s="14">
        <f>IFERROR(M2/L2-1,"")</f>
        <v>0.0541348885898012</v>
      </c>
      <c r="N16" s="14">
        <f>IFERROR(N2/M2-1,"")</f>
        <v>-0.07502246181491468</v>
      </c>
      <c r="O16" s="14">
        <f>IFERROR(O2/N2-1,"")</f>
        <v>0.06127143989161832</v>
      </c>
      <c r="P16" s="14">
        <f>IFERROR(P2/O2-1,"")</f>
        <v>0.17308155498819788</v>
      </c>
      <c r="Q16" s="14">
        <f>IFERROR(Q2/P2-1,"")</f>
        <v>0.21721008541392894</v>
      </c>
      <c r="R16" s="14">
        <f>IFERROR(R2/Q2-1,"")</f>
        <v>0.014034377477523119</v>
      </c>
      <c r="S16" s="14">
        <f>IFERROR(S2/R2-1,"")</f>
        <v>0.06742077684438152</v>
      </c>
      <c r="T16" s="14">
        <f>IFERROR(T2/S2-1,"")</f>
        <v>0.013137389352948503</v>
      </c>
      <c r="U16" s="14">
        <f>IFERROR(U2/T2-1,"")</f>
        <v>0.04970000000000008</v>
      </c>
      <c r="V16" s="14">
        <f>IFERROR(V2/U2-1,"")</f>
        <v>0.04695555555555564</v>
      </c>
      <c r="W16" s="14">
        <f>IFERROR(W2/V2-1,"")</f>
        <v>0.0442111111111112</v>
      </c>
      <c r="X16" s="14">
        <f>IFERROR(X2/W2-1,"")</f>
        <v>0.04146666666666676</v>
      </c>
      <c r="Y16" s="14">
        <f>IFERROR(Y2/X2-1,"")</f>
        <v>0.038722222222222324</v>
      </c>
      <c r="Z16" s="14">
        <f>IFERROR(Z2/Y2-1,"")</f>
        <v>0.035977777777777664</v>
      </c>
      <c r="AA16" s="14">
        <f>IFERROR(AA2/Z2-1,"")</f>
        <v>0.03323333333333345</v>
      </c>
      <c r="AB16" s="14">
        <f>IFERROR(AB2/AA2-1,"")</f>
        <v>0.030488888888888788</v>
      </c>
      <c r="AC16" s="14">
        <f>IFERROR(AC2/AB2-1,"")</f>
        <v>0.02774444444444435</v>
      </c>
      <c r="AD16" s="14">
        <f>IFERROR(AD2/AC2-1,"")</f>
        <v>0.02499999999999991</v>
      </c>
    </row>
    <row r="17" customFormat="1" s="4">
      <c r="A17" s="3" t="inlineStr">
        <is>
          <t>Gross Margin</t>
        </is>
      </c>
      <c r="B17" s="14">
        <f>IFERROR(B4/B2,"")</f>
        <v>0.746227947284246</v>
      </c>
      <c r="C17" s="14">
        <f>IFERROR(C4/C2,"")</f>
        <v>0.7659119496855346</v>
      </c>
      <c r="D17" s="14">
        <f>IFERROR(D4/D2,"")</f>
        <v>0.671175441155024</v>
      </c>
      <c r="E17" s="14">
        <f>IFERROR(E4/E2,"")</f>
        <v>0.5999739056689934</v>
      </c>
      <c r="F17" s="14">
        <f>IFERROR(F4/F2,"")</f>
        <v>0.6488646533602515</v>
      </c>
      <c r="G17" s="14">
        <f>IFERROR(G4/G2,"")</f>
        <v>0.6520616920896185</v>
      </c>
      <c r="H17" s="14">
        <f>IFERROR(H4/H2,"")</f>
        <v>0.6149705902391388</v>
      </c>
      <c r="I17" s="14">
        <f>IFERROR(I4/I2,"")</f>
        <v>0.6030021071572318</v>
      </c>
      <c r="J17" s="14">
        <f>IFERROR(J4/J2,"")</f>
        <v>0.6219049065775483</v>
      </c>
      <c r="K17" s="14">
        <f>IFERROR(K4/K2,"")</f>
        <v>0.6475494259803553</v>
      </c>
      <c r="L17" s="14">
        <f>IFERROR(L4/L2,"")</f>
        <v>0.6781815462838343</v>
      </c>
      <c r="M17" s="14">
        <f>IFERROR(M4/M2,"")</f>
        <v>0.6805929919137467</v>
      </c>
      <c r="N17" s="14">
        <f>IFERROR(N4/N2,"")</f>
        <v>0.6928503872600393</v>
      </c>
      <c r="O17" s="14">
        <f>IFERROR(O4/O2,"")</f>
        <v>0.6719976877498917</v>
      </c>
      <c r="P17" s="14">
        <f>IFERROR(P4/P2,"")</f>
        <v>0.7202283180026281</v>
      </c>
      <c r="Q17" s="14">
        <f>IFERROR(Q4/Q2,"")</f>
        <v>0.7063070357438052</v>
      </c>
      <c r="R17" s="14">
        <f>IFERROR(R4/R2,"")</f>
        <v>0.731747483989021</v>
      </c>
      <c r="S17" s="14">
        <f>IFERROR(S4/S2,"")</f>
        <v>0.7632308939035033</v>
      </c>
      <c r="T17" s="14">
        <f>IFERROR(T4/T2,"")</f>
        <v>0.7480118749134762</v>
      </c>
      <c r="U17" s="14">
        <f>IFERROR(U4/U2,"")</f>
        <v>0.7480000000000001</v>
      </c>
      <c r="V17" s="14">
        <f>IFERROR(V4/V2,"")</f>
        <v>0.748</v>
      </c>
      <c r="W17" s="14">
        <f>IFERROR(W4/W2,"")</f>
        <v>0.748</v>
      </c>
      <c r="X17" s="14">
        <f>IFERROR(X4/X2,"")</f>
        <v>0.748</v>
      </c>
      <c r="Y17" s="14">
        <f>IFERROR(Y4/Y2,"")</f>
        <v>0.748</v>
      </c>
      <c r="Z17" s="14">
        <f>IFERROR(Z4/Z2,"")</f>
        <v>0.748</v>
      </c>
      <c r="AA17" s="14">
        <f>IFERROR(AA4/AA2,"")</f>
        <v>0.748</v>
      </c>
      <c r="AB17" s="14">
        <f>IFERROR(AB4/AB2,"")</f>
        <v>0.748</v>
      </c>
      <c r="AC17" s="14">
        <f>IFERROR(AC4/AC2,"")</f>
        <v>0.7479999999999999</v>
      </c>
      <c r="AD17" s="14">
        <f>IFERROR(AD4/AD2,"")</f>
        <v>0.748</v>
      </c>
    </row>
    <row r="18">
      <c r="A18" s="13" t="inlineStr">
        <is>
          <t>Operating Margin</t>
        </is>
      </c>
      <c r="B18" s="14">
        <f>IFERROR(B8/B2,"")</f>
        <v>0.2321501630320237</v>
      </c>
      <c r="C18" s="14">
        <f>IFERROR(C8/C2,"")</f>
        <v>0.25513626834381553</v>
      </c>
      <c r="D18" s="14">
        <f>IFERROR(D8/D2,"")</f>
        <v>0.14660201254192795</v>
      </c>
      <c r="E18" s="14">
        <f>IFERROR(E8/E2,"")</f>
        <v>0.07295540043925457</v>
      </c>
      <c r="F18" s="14">
        <f>IFERROR(F8/F2,"")</f>
        <v>0.1868170749474473</v>
      </c>
      <c r="G18" s="14">
        <f>IFERROR(G8/G2,"")</f>
        <v>0.20896185499397044</v>
      </c>
      <c r="H18" s="14">
        <f>IFERROR(H8/H2,"")</f>
        <v>0.1740739899620739</v>
      </c>
      <c r="I18" s="14">
        <f>IFERROR(I8/I2,"")</f>
        <v>0.1582261997774463</v>
      </c>
      <c r="J18" s="14">
        <f>IFERROR(J8/J2,"")</f>
        <v>0.19107296571978327</v>
      </c>
      <c r="K18" s="14">
        <f>IFERROR(K8/K2,"")</f>
        <v>0.13814153289622427</v>
      </c>
      <c r="L18" s="14">
        <f>IFERROR(L8/L2,"")</f>
        <v>0.1694083046707542</v>
      </c>
      <c r="M18" s="14">
        <f>IFERROR(M8/M2,"")</f>
        <v>0.21116470421336359</v>
      </c>
      <c r="N18" s="14">
        <f>IFERROR(N8/N2,"")</f>
        <v>0.20260218297078295</v>
      </c>
      <c r="O18" s="14">
        <f>IFERROR(O8/O2,"")</f>
        <v>0.1336287875138494</v>
      </c>
      <c r="P18" s="14">
        <f>IFERROR(P8/P2,"")</f>
        <v>0.2710044349540079</v>
      </c>
      <c r="Q18" s="14">
        <f>IFERROR(Q8/Q2,"")</f>
        <v>0.3083852031779768</v>
      </c>
      <c r="R18" s="14">
        <f>IFERROR(R8/R2,"")</f>
        <v>0.04913914996257174</v>
      </c>
      <c r="S18" s="14">
        <f>IFERROR(S8/S2,"")</f>
        <v>0.3151259194614138</v>
      </c>
      <c r="T18" s="14">
        <f>IFERROR(T8/T2,"")</f>
        <v>0.340050145360016</v>
      </c>
      <c r="U18" s="14">
        <f>IFERROR(U8/U2,"")</f>
        <v>0.30458999999999997</v>
      </c>
      <c r="V18" s="14">
        <f>IFERROR(V8/V2,"")</f>
        <v>0.29408</v>
      </c>
      <c r="W18" s="14">
        <f>IFERROR(W8/W2,"")</f>
        <v>0.28356999999999993</v>
      </c>
      <c r="X18" s="14">
        <f>IFERROR(X8/X2,"")</f>
        <v>0.27305999999999997</v>
      </c>
      <c r="Y18" s="14">
        <f>IFERROR(Y8/Y2,"")</f>
        <v>0.26255000000000006</v>
      </c>
      <c r="Z18" s="14">
        <f>IFERROR(Z8/Z2,"")</f>
        <v>0.25203999999999993</v>
      </c>
      <c r="AA18" s="14">
        <f>IFERROR(AA8/AA2,"")</f>
        <v>0.24152999999999997</v>
      </c>
      <c r="AB18" s="14">
        <f>IFERROR(AB8/AB2,"")</f>
        <v>0.23102</v>
      </c>
      <c r="AC18" s="14">
        <f>IFERROR(AC8/AC2,"")</f>
        <v>0.22050999999999996</v>
      </c>
      <c r="AD18" s="14">
        <f>IFERROR(AD8/AD2,"")</f>
        <v>0.21</v>
      </c>
    </row>
    <row r="19">
      <c r="A19" s="13" t="inlineStr">
        <is>
          <t>Actual / Estimate</t>
        </is>
      </c>
      <c r="B19" s="18" t="inlineStr">
        <is>
          <t>A</t>
        </is>
      </c>
      <c r="C19" s="18" t="inlineStr">
        <is>
          <t>A</t>
        </is>
      </c>
      <c r="D19" s="18" t="inlineStr">
        <is>
          <t>A</t>
        </is>
      </c>
      <c r="E19" s="18" t="inlineStr">
        <is>
          <t>A</t>
        </is>
      </c>
      <c r="F19" s="18" t="inlineStr">
        <is>
          <t>A</t>
        </is>
      </c>
      <c r="G19" s="18" t="inlineStr">
        <is>
          <t>A</t>
        </is>
      </c>
      <c r="H19" s="18" t="inlineStr">
        <is>
          <t>A</t>
        </is>
      </c>
      <c r="I19" s="18" t="inlineStr">
        <is>
          <t>A</t>
        </is>
      </c>
      <c r="J19" s="18" t="inlineStr">
        <is>
          <t>A</t>
        </is>
      </c>
      <c r="K19" s="18" t="inlineStr">
        <is>
          <t>A</t>
        </is>
      </c>
      <c r="L19" s="18" t="inlineStr">
        <is>
          <t>A</t>
        </is>
      </c>
      <c r="M19" s="18" t="inlineStr">
        <is>
          <t>A</t>
        </is>
      </c>
      <c r="N19" s="18" t="inlineStr">
        <is>
          <t>A</t>
        </is>
      </c>
      <c r="O19" s="18" t="inlineStr">
        <is>
          <t>A</t>
        </is>
      </c>
      <c r="P19" s="18" t="inlineStr">
        <is>
          <t>A</t>
        </is>
      </c>
      <c r="Q19" s="18" t="inlineStr">
        <is>
          <t>A</t>
        </is>
      </c>
      <c r="R19" s="18" t="inlineStr">
        <is>
          <t>A</t>
        </is>
      </c>
      <c r="S19" s="18" t="inlineStr">
        <is>
          <t>A</t>
        </is>
      </c>
      <c r="T19" s="18" t="inlineStr">
        <is>
          <t>A</t>
        </is>
      </c>
      <c r="U19" s="18" t="inlineStr">
        <is>
          <t>E</t>
        </is>
      </c>
      <c r="V19" s="18" t="inlineStr">
        <is>
          <t>E</t>
        </is>
      </c>
      <c r="W19" s="18" t="inlineStr">
        <is>
          <t>E</t>
        </is>
      </c>
      <c r="X19" s="18" t="inlineStr">
        <is>
          <t>E</t>
        </is>
      </c>
      <c r="Y19" s="18" t="inlineStr">
        <is>
          <t>E</t>
        </is>
      </c>
      <c r="Z19" s="18" t="inlineStr">
        <is>
          <t>E</t>
        </is>
      </c>
      <c r="AA19" s="18" t="inlineStr">
        <is>
          <t>E</t>
        </is>
      </c>
      <c r="AB19" s="18" t="inlineStr">
        <is>
          <t>E</t>
        </is>
      </c>
      <c r="AC19" s="18" t="inlineStr">
        <is>
          <t>E</t>
        </is>
      </c>
      <c r="AD19" s="18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9" t="inlineStr">
        <is>
          <t>Merck &amp; Co Inc: basic DCF assumptions</t>
        </is>
      </c>
    </row>
    <row r="2">
      <c r="A2" s="20" t="inlineStr">
        <is>
          <t>Blue = input, black = formula, green = link. $mm unless noted.</t>
        </is>
      </c>
    </row>
    <row r="4">
      <c r="A4" s="19" t="inlineStr">
        <is>
          <t>Scenario (1 Bear, 2 Base, 3 Bull)</t>
        </is>
      </c>
      <c r="B4" s="21" t="n">
        <v>2</v>
      </c>
      <c r="C4" s="19" t="str">
        <f>CHOOSE($B$4,"Bear","Base","Bull")</f>
        <v>Base</v>
      </c>
    </row>
    <row r="6">
      <c r="A6" s="13" t="inlineStr">
        <is>
          <t>Discount rate override (blank = scenario)</t>
        </is>
      </c>
      <c r="B6" s="52" t="n"/>
    </row>
    <row r="7">
      <c r="A7" s="13" t="inlineStr">
        <is>
          <t>Terminal growth override (blank = scenario)</t>
        </is>
      </c>
      <c r="B7" s="52" t="n"/>
    </row>
    <row r="9">
      <c r="A9" s="23" t="inlineStr">
        <is>
          <t>Parameter</t>
        </is>
      </c>
      <c r="B9" s="24" t="inlineStr">
        <is>
          <t>Bear</t>
        </is>
      </c>
      <c r="C9" s="24" t="inlineStr">
        <is>
          <t>Base</t>
        </is>
      </c>
      <c r="D9" s="24" t="inlineStr">
        <is>
          <t>Bull</t>
        </is>
      </c>
      <c r="E9" s="24" t="inlineStr">
        <is>
          <t>Live</t>
        </is>
      </c>
    </row>
    <row r="10">
      <c r="A10" s="13" t="inlineStr">
        <is>
          <t>Discount rate</t>
        </is>
      </c>
      <c r="B10" s="52" t="n">
        <v>0.09</v>
      </c>
      <c r="C10" s="52" t="n">
        <v>0.08</v>
      </c>
      <c r="D10" s="52" t="n">
        <v>0.07000000000000001</v>
      </c>
      <c r="E10" s="53">
        <f>IF(ISNUMBER($B$6),$B$6,CHOOSE($B$4,B10,C10,D10))</f>
        <v>0.08</v>
      </c>
    </row>
    <row r="11">
      <c r="A11" s="13" t="inlineStr">
        <is>
          <t>Terminal growth</t>
        </is>
      </c>
      <c r="B11" s="52" t="n">
        <v>0.02</v>
      </c>
      <c r="C11" s="52" t="n">
        <v>0.025</v>
      </c>
      <c r="D11" s="52" t="n">
        <v>0.03</v>
      </c>
      <c r="E11" s="53">
        <f>IF(ISNUMBER($B$7),$B$7,CHOOSE($B$4,B11,C11,D11))</f>
        <v>0.025</v>
      </c>
    </row>
    <row r="12">
      <c r="A12" s="13" t="inlineStr">
        <is>
          <t>Revenue growth, first forecast year</t>
        </is>
      </c>
      <c r="B12" s="52" t="n">
        <v>-0.0003</v>
      </c>
      <c r="C12" s="52" t="n">
        <v>0.0497</v>
      </c>
      <c r="D12" s="52" t="n">
        <v>0.0997</v>
      </c>
      <c r="E12" s="53">
        <f>CHOOSE($B$4,B12,C12,D12)</f>
        <v>0.0497</v>
      </c>
    </row>
    <row r="13">
      <c r="A13" s="13" t="inlineStr">
        <is>
          <t>Operating margin, year 10</t>
        </is>
      </c>
      <c r="B13" s="52" t="n">
        <v>0.16</v>
      </c>
      <c r="C13" s="52" t="n">
        <v>0.21</v>
      </c>
      <c r="D13" s="52" t="n">
        <v>0.26</v>
      </c>
      <c r="E13" s="53">
        <f>CHOOSE($B$4,B13,C13,D13)</f>
        <v>0.21</v>
      </c>
    </row>
    <row r="14">
      <c r="A14" s="13" t="inlineStr">
        <is>
          <t>Tax rate on operating income</t>
        </is>
      </c>
      <c r="B14" s="52" t="n">
        <v>0.17</v>
      </c>
      <c r="C14" s="52" t="n">
        <v>0.17</v>
      </c>
      <c r="D14" s="52" t="n">
        <v>0.17</v>
      </c>
      <c r="E14" s="53">
        <f>CHOOSE($B$4,B14,C14,D14)</f>
        <v>0.17</v>
      </c>
    </row>
    <row r="15">
      <c r="A15" s="13" t="inlineStr">
        <is>
          <t>Reinvestment, % of revenue increase</t>
        </is>
      </c>
      <c r="B15" s="52" t="n">
        <v>0.25</v>
      </c>
      <c r="C15" s="52" t="n">
        <v>0.25</v>
      </c>
      <c r="D15" s="52" t="n">
        <v>0.25</v>
      </c>
      <c r="E15" s="53">
        <f>CHOOSE($B$4,B15,C15,D15)</f>
        <v>0.25</v>
      </c>
    </row>
    <row r="17">
      <c r="A17" s="26" t="inlineStr">
        <is>
          <t>Single inputs</t>
        </is>
      </c>
      <c r="B17" s="27" t="n"/>
      <c r="C17" s="27" t="n"/>
      <c r="D17" s="27" t="n"/>
      <c r="E17" s="27" t="n"/>
    </row>
    <row r="18">
      <c r="A18" s="13" t="inlineStr">
        <is>
          <t>Starting operating margin (TTM)</t>
        </is>
      </c>
      <c r="B18" s="52" t="n">
        <v>0.3151</v>
      </c>
    </row>
    <row r="19">
      <c r="A19" s="13" t="inlineStr">
        <is>
          <t>Gross margin (forecast)</t>
        </is>
      </c>
      <c r="B19" s="52" t="n">
        <v>0.748</v>
      </c>
    </row>
    <row r="20">
      <c r="A20" s="13" t="inlineStr">
        <is>
          <t>R&amp;D share of operating expense (forecast)</t>
        </is>
      </c>
      <c r="B20" s="52" t="n">
        <v>0.5953000000000001</v>
      </c>
    </row>
    <row r="21">
      <c r="A21" s="13" t="inlineStr">
        <is>
          <t>Forecast years</t>
        </is>
      </c>
      <c r="B21" s="28" t="n">
        <v>10</v>
      </c>
    </row>
    <row r="22">
      <c r="A22" s="13" t="inlineStr">
        <is>
          <t>First forecast year, fraction after balance sheet date</t>
        </is>
      </c>
      <c r="B22" s="29" t="n">
        <v>0.5041</v>
      </c>
    </row>
    <row r="23">
      <c r="A23" s="13" t="inlineStr">
        <is>
          <t>Balance sheet date</t>
        </is>
      </c>
      <c r="B23" s="30" t="n">
        <v>46203</v>
      </c>
    </row>
    <row r="24">
      <c r="A24" s="13" t="inlineStr">
        <is>
          <t>Reporting currency per USD (USD)</t>
        </is>
      </c>
      <c r="B24" s="31" t="n">
        <v>1</v>
      </c>
    </row>
    <row r="25">
      <c r="A25" s="13" t="inlineStr">
        <is>
          <t>Base revenue, FY2025</t>
        </is>
      </c>
      <c r="B25" s="54">
        <f>'Yearly Model'!T2</f>
        <v>65011</v>
      </c>
    </row>
    <row r="27">
      <c r="A27" s="26" t="inlineStr">
        <is>
          <t>Scenario summary</t>
        </is>
      </c>
      <c r="B27" s="27" t="n"/>
      <c r="C27" s="27" t="n"/>
      <c r="D27" s="27" t="n"/>
      <c r="E27" s="27" t="n"/>
    </row>
    <row r="28">
      <c r="A28" s="23" t="inlineStr">
        <is>
          <t>Scenario</t>
        </is>
      </c>
      <c r="B28" s="24" t="inlineStr">
        <is>
          <t>Enterprise value</t>
        </is>
      </c>
      <c r="C28" s="24" t="inlineStr">
        <is>
          <t>Equity value</t>
        </is>
      </c>
      <c r="D28" s="24" t="inlineStr">
        <is>
          <t>NPV / share</t>
        </is>
      </c>
      <c r="E28" s="24" t="inlineStr">
        <is>
          <t>Upside</t>
        </is>
      </c>
    </row>
    <row r="29">
      <c r="A29" s="20" t="inlineStr">
        <is>
          <t>Live</t>
        </is>
      </c>
      <c r="B29" s="55">
        <f>NPV!B23</f>
        <v>253150.14588165205</v>
      </c>
      <c r="C29" s="55">
        <f>NPV!B26</f>
        <v>206385.14588165205</v>
      </c>
      <c r="D29" s="34">
        <f>NPV!B28</f>
        <v>83.652528548422</v>
      </c>
      <c r="E29" s="56">
        <f>NPV!B30</f>
        <v>-0.43592361059728935</v>
      </c>
    </row>
    <row r="30">
      <c r="A30" s="57" t="n">
        <v>1</v>
      </c>
      <c r="B30" s="58">
        <f t="dataTable" ref="B30:E32" r1="B4"/>
        <v>142673.45536019985</v>
      </c>
      <c r="C30" s="58">
        <v>95908.45536019985</v>
      </c>
      <c r="D30" s="38">
        <v>38.87384804648109</v>
      </c>
      <c r="E30" s="59">
        <v>-0.7378702087223123</v>
      </c>
    </row>
    <row r="31">
      <c r="A31" s="57" t="n">
        <v>2</v>
      </c>
      <c r="B31" s="58">
        <v>253150.14588165205</v>
      </c>
      <c r="C31" s="58">
        <v>206385.14588165205</v>
      </c>
      <c r="D31" s="38">
        <v>83.652528548422</v>
      </c>
      <c r="E31" s="59">
        <v>-0.43592361059728935</v>
      </c>
    </row>
    <row r="32">
      <c r="A32" s="57" t="n">
        <v>3</v>
      </c>
      <c r="B32" s="58">
        <v>493939.5920031262</v>
      </c>
      <c r="C32" s="58">
        <v>447174.5920031262</v>
      </c>
      <c r="D32" s="38">
        <v>181.24989162311627</v>
      </c>
      <c r="E32" s="59">
        <v>0.2221840298254636</v>
      </c>
    </row>
    <row r="35">
      <c r="A35" s="26" t="inlineStr">
        <is>
          <t>NPV / share: discount rate (rows) x terminal growth (columns)</t>
        </is>
      </c>
      <c r="B35" s="27" t="n"/>
      <c r="C35" s="27" t="n"/>
      <c r="D35" s="27" t="n"/>
      <c r="E35" s="27" t="n"/>
      <c r="F35" s="27" t="n"/>
    </row>
    <row r="36">
      <c r="A36" s="34">
        <f>NPV!B28</f>
        <v>83.652528548422</v>
      </c>
      <c r="B36" s="60" t="n">
        <v>0.015</v>
      </c>
      <c r="C36" s="60" t="n">
        <v>0.02</v>
      </c>
      <c r="D36" s="60" t="n">
        <v>0.025</v>
      </c>
      <c r="E36" s="60" t="n">
        <v>0.03</v>
      </c>
      <c r="F36" s="60" t="n">
        <v>0.035</v>
      </c>
    </row>
    <row r="37">
      <c r="A37" s="61" t="n">
        <v>0.06</v>
      </c>
      <c r="B37" s="38">
        <f t="dataTable" ref="B37:F41" dt2D="1" r1="B7" r2="B6"/>
        <v>109.61870297435063</v>
      </c>
      <c r="C37" s="38">
        <v>121.89339209895762</v>
      </c>
      <c r="D37" s="38">
        <v>137.64904500995158</v>
      </c>
      <c r="E37" s="38">
        <v>158.62584411738158</v>
      </c>
      <c r="F37" s="38">
        <v>187.95611435011853</v>
      </c>
    </row>
    <row r="38">
      <c r="A38" s="61" t="n">
        <v>0.07000000000000001</v>
      </c>
      <c r="B38" s="38">
        <v>87.57806604864659</v>
      </c>
      <c r="C38" s="38">
        <v>95.27800181962475</v>
      </c>
      <c r="D38" s="38">
        <v>104.6697268182963</v>
      </c>
      <c r="E38" s="38">
        <v>116.38744965752102</v>
      </c>
      <c r="F38" s="38">
        <v>131.42778158084033</v>
      </c>
    </row>
    <row r="39">
      <c r="A39" s="61" t="n">
        <v>0.08</v>
      </c>
      <c r="B39" s="38">
        <v>72.29924030302553</v>
      </c>
      <c r="C39" s="38">
        <v>77.50972148012465</v>
      </c>
      <c r="D39" s="38">
        <v>83.652528548422</v>
      </c>
      <c r="E39" s="38">
        <v>91.00719865209672</v>
      </c>
      <c r="F39" s="38">
        <v>99.97750598936463</v>
      </c>
    </row>
    <row r="40">
      <c r="A40" s="61" t="n">
        <v>0.09</v>
      </c>
      <c r="B40" s="38">
        <v>61.0765448999053</v>
      </c>
      <c r="C40" s="38">
        <v>64.79603148159114</v>
      </c>
      <c r="D40" s="38">
        <v>69.07563636668718</v>
      </c>
      <c r="E40" s="38">
        <v>74.0552625507429</v>
      </c>
      <c r="F40" s="38">
        <v>79.92568555465976</v>
      </c>
    </row>
    <row r="41">
      <c r="A41" s="61" t="n">
        <v>0.1</v>
      </c>
      <c r="B41" s="38">
        <v>52.477845216480105</v>
      </c>
      <c r="C41" s="38">
        <v>55.24097131446508</v>
      </c>
      <c r="D41" s="38">
        <v>58.362519663183</v>
      </c>
      <c r="E41" s="38">
        <v>61.91919240967909</v>
      </c>
      <c r="F41" s="38">
        <v>66.01129133302976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9" t="inlineStr">
        <is>
          <t>Merck &amp; Co Inc: free-cash-flow DCF ($mm)</t>
        </is>
      </c>
    </row>
    <row r="3">
      <c r="A3" s="19" t="inlineStr">
        <is>
          <t>Fiscal year</t>
        </is>
      </c>
      <c r="B3" s="42">
        <f>'Yearly Model'!T1</f>
        <v>2025</v>
      </c>
      <c r="C3" s="42">
        <f>'Yearly Model'!U1</f>
        <v>2026</v>
      </c>
      <c r="D3" s="42">
        <f>'Yearly Model'!V1</f>
        <v>2027</v>
      </c>
      <c r="E3" s="42">
        <f>'Yearly Model'!W1</f>
        <v>2028</v>
      </c>
      <c r="F3" s="42">
        <f>'Yearly Model'!X1</f>
        <v>2029</v>
      </c>
      <c r="G3" s="42">
        <f>'Yearly Model'!Y1</f>
        <v>2030</v>
      </c>
      <c r="H3" s="42">
        <f>'Yearly Model'!Z1</f>
        <v>2031</v>
      </c>
      <c r="I3" s="42">
        <f>'Yearly Model'!AA1</f>
        <v>2032</v>
      </c>
      <c r="J3" s="42">
        <f>'Yearly Model'!AB1</f>
        <v>2033</v>
      </c>
      <c r="K3" s="42">
        <f>'Yearly Model'!AC1</f>
        <v>2034</v>
      </c>
      <c r="L3" s="42">
        <f>'Yearly Model'!AD1</f>
        <v>2035</v>
      </c>
    </row>
    <row r="4">
      <c r="A4" s="13" t="inlineStr">
        <is>
          <t>Period</t>
        </is>
      </c>
      <c r="B4" s="18" t="inlineStr">
        <is>
          <t>Actual</t>
        </is>
      </c>
      <c r="C4" s="28" t="n">
        <v>1</v>
      </c>
      <c r="D4" s="28" t="n">
        <v>2</v>
      </c>
      <c r="E4" s="28" t="n">
        <v>3</v>
      </c>
      <c r="F4" s="28" t="n">
        <v>4</v>
      </c>
      <c r="G4" s="28" t="n">
        <v>5</v>
      </c>
      <c r="H4" s="28" t="n">
        <v>6</v>
      </c>
      <c r="I4" s="28" t="n">
        <v>7</v>
      </c>
      <c r="J4" s="28" t="n">
        <v>8</v>
      </c>
      <c r="K4" s="28" t="n">
        <v>9</v>
      </c>
      <c r="L4" s="28" t="n">
        <v>10</v>
      </c>
    </row>
    <row r="5">
      <c r="A5" s="13" t="inlineStr">
        <is>
          <t>Revenue growth</t>
        </is>
      </c>
      <c r="C5" s="62">
        <f>Assumptions!$E$12+(Assumptions!$E$11-Assumptions!$E$12)*(C4-1)/(Assumptions!$B$21-1)</f>
        <v>0.0497</v>
      </c>
      <c r="D5" s="62">
        <f>Assumptions!$E$12+(Assumptions!$E$11-Assumptions!$E$12)*(D4-1)/(Assumptions!$B$21-1)</f>
        <v>0.046955555555555556</v>
      </c>
      <c r="E5" s="62">
        <f>Assumptions!$E$12+(Assumptions!$E$11-Assumptions!$E$12)*(E4-1)/(Assumptions!$B$21-1)</f>
        <v>0.04421111111111111</v>
      </c>
      <c r="F5" s="62">
        <f>Assumptions!$E$12+(Assumptions!$E$11-Assumptions!$E$12)*(F4-1)/(Assumptions!$B$21-1)</f>
        <v>0.041466666666666666</v>
      </c>
      <c r="G5" s="62">
        <f>Assumptions!$E$12+(Assumptions!$E$11-Assumptions!$E$12)*(G4-1)/(Assumptions!$B$21-1)</f>
        <v>0.03872222222222223</v>
      </c>
      <c r="H5" s="62">
        <f>Assumptions!$E$12+(Assumptions!$E$11-Assumptions!$E$12)*(H4-1)/(Assumptions!$B$21-1)</f>
        <v>0.035977777777777775</v>
      </c>
      <c r="I5" s="62">
        <f>Assumptions!$E$12+(Assumptions!$E$11-Assumptions!$E$12)*(I4-1)/(Assumptions!$B$21-1)</f>
        <v>0.03323333333333334</v>
      </c>
      <c r="J5" s="62">
        <f>Assumptions!$E$12+(Assumptions!$E$11-Assumptions!$E$12)*(J4-1)/(Assumptions!$B$21-1)</f>
        <v>0.030488888888888892</v>
      </c>
      <c r="K5" s="62">
        <f>Assumptions!$E$12+(Assumptions!$E$11-Assumptions!$E$12)*(K4-1)/(Assumptions!$B$21-1)</f>
        <v>0.027744444444444447</v>
      </c>
      <c r="L5" s="62">
        <f>Assumptions!$E$12+(Assumptions!$E$11-Assumptions!$E$12)*(L4-1)/(Assumptions!$B$21-1)</f>
        <v>0.025</v>
      </c>
    </row>
    <row r="6">
      <c r="A6" s="13" t="inlineStr">
        <is>
          <t>Operating margin</t>
        </is>
      </c>
      <c r="B6" s="62">
        <f>IFERROR(B8/B7,0)</f>
        <v>0.340050145360016</v>
      </c>
      <c r="C6" s="62">
        <f>Assumptions!$B$18+(Assumptions!$E$13-Assumptions!$B$18)*C4/Assumptions!$B$21</f>
        <v>0.30458999999999997</v>
      </c>
      <c r="D6" s="62">
        <f>Assumptions!$B$18+(Assumptions!$E$13-Assumptions!$B$18)*D4/Assumptions!$B$21</f>
        <v>0.29408</v>
      </c>
      <c r="E6" s="62">
        <f>Assumptions!$B$18+(Assumptions!$E$13-Assumptions!$B$18)*E4/Assumptions!$B$21</f>
        <v>0.28357</v>
      </c>
      <c r="F6" s="62">
        <f>Assumptions!$B$18+(Assumptions!$E$13-Assumptions!$B$18)*F4/Assumptions!$B$21</f>
        <v>0.27305999999999997</v>
      </c>
      <c r="G6" s="62">
        <f>Assumptions!$B$18+(Assumptions!$E$13-Assumptions!$B$18)*G4/Assumptions!$B$21</f>
        <v>0.26255</v>
      </c>
      <c r="H6" s="62">
        <f>Assumptions!$B$18+(Assumptions!$E$13-Assumptions!$B$18)*H4/Assumptions!$B$21</f>
        <v>0.25204</v>
      </c>
      <c r="I6" s="62">
        <f>Assumptions!$B$18+(Assumptions!$E$13-Assumptions!$B$18)*I4/Assumptions!$B$21</f>
        <v>0.24153</v>
      </c>
      <c r="J6" s="62">
        <f>Assumptions!$B$18+(Assumptions!$E$13-Assumptions!$B$18)*J4/Assumptions!$B$21</f>
        <v>0.23102</v>
      </c>
      <c r="K6" s="62">
        <f>Assumptions!$B$18+(Assumptions!$E$13-Assumptions!$B$18)*K4/Assumptions!$B$21</f>
        <v>0.22050999999999998</v>
      </c>
      <c r="L6" s="62">
        <f>Assumptions!$B$18+(Assumptions!$E$13-Assumptions!$B$18)*L4/Assumptions!$B$21</f>
        <v>0.21</v>
      </c>
    </row>
    <row r="7">
      <c r="A7" s="13" t="inlineStr">
        <is>
          <t>Revenue</t>
        </is>
      </c>
      <c r="B7" s="54">
        <f>'Yearly Model'!T2</f>
        <v>65011</v>
      </c>
      <c r="C7" s="54">
        <f>'Yearly Model'!U2</f>
        <v>68242.0467</v>
      </c>
      <c r="D7" s="54">
        <f>'Yearly Model'!V2</f>
        <v>71446.38991504668</v>
      </c>
      <c r="E7" s="54">
        <f>'Yearly Model'!W2</f>
        <v>74605.11419806858</v>
      </c>
      <c r="F7" s="54">
        <f>'Yearly Model'!X2</f>
        <v>77698.7396001485</v>
      </c>
      <c r="G7" s="54">
        <f>'Yearly Model'!Y2</f>
        <v>80707.40746133204</v>
      </c>
      <c r="H7" s="54">
        <f>'Yearly Model'!Z2</f>
        <v>83611.0806319964</v>
      </c>
      <c r="I7" s="54">
        <f>'Yearly Model'!AA2</f>
        <v>86389.75554499976</v>
      </c>
      <c r="J7" s="54">
        <f>'Yearly Model'!AB2</f>
        <v>89023.68320294953</v>
      </c>
      <c r="K7" s="54">
        <f>'Yearly Model'!AC2</f>
        <v>91493.59583581357</v>
      </c>
      <c r="L7" s="54">
        <f>'Yearly Model'!AD2</f>
        <v>93780.9357317089</v>
      </c>
    </row>
    <row r="8">
      <c r="A8" s="13" t="inlineStr">
        <is>
          <t>Operating income</t>
        </is>
      </c>
      <c r="B8" s="54">
        <f>'Yearly Model'!T8</f>
        <v>22107.0</v>
      </c>
      <c r="C8" s="54">
        <f>'Yearly Model'!U8</f>
        <v>20785.845004353</v>
      </c>
      <c r="D8" s="54">
        <f>'Yearly Model'!V8</f>
        <v>21010.954346216928</v>
      </c>
      <c r="E8" s="54">
        <f>'Yearly Model'!W8</f>
        <v>21155.7722331463</v>
      </c>
      <c r="F8" s="54">
        <f>'Yearly Model'!X8</f>
        <v>21216.417835216547</v>
      </c>
      <c r="G8" s="54">
        <f>'Yearly Model'!Y8</f>
        <v>21189.729828972733</v>
      </c>
      <c r="H8" s="54">
        <f>'Yearly Model'!Z8</f>
        <v>21073.33676248837</v>
      </c>
      <c r="I8" s="54">
        <f>'Yearly Model'!AA8</f>
        <v>20865.71765678379</v>
      </c>
      <c r="J8" s="54">
        <f>'Yearly Model'!AB8</f>
        <v>20566.2512935454</v>
      </c>
      <c r="K8" s="54">
        <f>'Yearly Model'!AC8</f>
        <v>20175.252817755245</v>
      </c>
      <c r="L8" s="54">
        <f>'Yearly Model'!AD8</f>
        <v>19693.99650365887</v>
      </c>
    </row>
    <row r="9">
      <c r="A9" s="13" t="inlineStr">
        <is>
          <t>Tax on operating income</t>
        </is>
      </c>
      <c r="C9" s="51">
        <f>MAX(0,C8)*Assumptions!$E$14</f>
        <v>3533.59365074001</v>
      </c>
      <c r="D9" s="51">
        <f>MAX(0,D8)*Assumptions!$E$14</f>
        <v>3571.862238856878</v>
      </c>
      <c r="E9" s="51">
        <f>MAX(0,E8)*Assumptions!$E$14</f>
        <v>3596.4812796348715</v>
      </c>
      <c r="F9" s="51">
        <f>MAX(0,F8)*Assumptions!$E$14</f>
        <v>3606.7910319868133</v>
      </c>
      <c r="G9" s="51">
        <f>MAX(0,G8)*Assumptions!$E$14</f>
        <v>3602.254070925365</v>
      </c>
      <c r="H9" s="51">
        <f>MAX(0,H8)*Assumptions!$E$14</f>
        <v>3582.467249623023</v>
      </c>
      <c r="I9" s="51">
        <f>MAX(0,I8)*Assumptions!$E$14</f>
        <v>3547.1720016532445</v>
      </c>
      <c r="J9" s="51">
        <f>MAX(0,J8)*Assumptions!$E$14</f>
        <v>3496.2627199027183</v>
      </c>
      <c r="K9" s="51">
        <f>MAX(0,K8)*Assumptions!$E$14</f>
        <v>3429.792979018392</v>
      </c>
      <c r="L9" s="51">
        <f>MAX(0,L8)*Assumptions!$E$14</f>
        <v>3347.979405622008</v>
      </c>
    </row>
    <row r="10">
      <c r="A10" s="13" t="inlineStr">
        <is>
          <t>NOPAT</t>
        </is>
      </c>
      <c r="C10" s="51">
        <f>C8-C9</f>
        <v>17252.251353612988</v>
      </c>
      <c r="D10" s="51">
        <f>D8-D9</f>
        <v>17439.09210736005</v>
      </c>
      <c r="E10" s="51">
        <f>E8-E9</f>
        <v>17559.29095351143</v>
      </c>
      <c r="F10" s="51">
        <f>F8-F9</f>
        <v>17609.626803229734</v>
      </c>
      <c r="G10" s="51">
        <f>G8-G9</f>
        <v>17587.475758047367</v>
      </c>
      <c r="H10" s="51">
        <f>H8-H9</f>
        <v>17490.869512865345</v>
      </c>
      <c r="I10" s="51">
        <f>I8-I9</f>
        <v>17318.545655130543</v>
      </c>
      <c r="J10" s="51">
        <f>J8-J9</f>
        <v>17069.98857364268</v>
      </c>
      <c r="K10" s="51">
        <f>K8-K9</f>
        <v>16745.459838736853</v>
      </c>
      <c r="L10" s="51">
        <f>L8-L9</f>
        <v>16346.01709803686</v>
      </c>
    </row>
    <row r="11">
      <c r="A11" s="13" t="inlineStr">
        <is>
          <t>Reinvestment</t>
        </is>
      </c>
      <c r="C11" s="51">
        <f>(C7-B7)*Assumptions!$E$15</f>
        <v>807.7616750000016</v>
      </c>
      <c r="D11" s="51">
        <f>(D7-C7)*Assumptions!$E$15</f>
        <v>801.0858037616672</v>
      </c>
      <c r="E11" s="51">
        <f>(E7-D7)*Assumptions!$E$15</f>
        <v>789.681070755476</v>
      </c>
      <c r="F11" s="51">
        <f>(F7-E7)*Assumptions!$E$15</f>
        <v>773.4063505199811</v>
      </c>
      <c r="G11" s="51">
        <f>(G7-F7)*Assumptions!$E$15</f>
        <v>752.1669652958844</v>
      </c>
      <c r="H11" s="51">
        <f>(H7-G7)*Assumptions!$E$15</f>
        <v>725.9182926660906</v>
      </c>
      <c r="I11" s="51">
        <f>(I7-H7)*Assumptions!$E$15</f>
        <v>694.6687282508392</v>
      </c>
      <c r="J11" s="51">
        <f>(J7-I7)*Assumptions!$E$15</f>
        <v>658.4819144874418</v>
      </c>
      <c r="K11" s="51">
        <f>(K7-J7)*Assumptions!$E$15</f>
        <v>617.4781582160103</v>
      </c>
      <c r="L11" s="51">
        <f>(L7-K7)*Assumptions!$E$15</f>
        <v>571.8349739738333</v>
      </c>
    </row>
    <row r="12">
      <c r="A12" s="19" t="inlineStr">
        <is>
          <t>Free cash flow</t>
        </is>
      </c>
      <c r="C12" s="63">
        <f>C10-C11</f>
        <v>16444.489678612987</v>
      </c>
      <c r="D12" s="63">
        <f>D10-D11</f>
        <v>16638.006303598384</v>
      </c>
      <c r="E12" s="63">
        <f>E10-E11</f>
        <v>16769.609882755954</v>
      </c>
      <c r="F12" s="63">
        <f>F10-F11</f>
        <v>16836.220452709753</v>
      </c>
      <c r="G12" s="63">
        <f>G10-G11</f>
        <v>16835.308792751483</v>
      </c>
      <c r="H12" s="63">
        <f>H10-H11</f>
        <v>16764.951220199255</v>
      </c>
      <c r="I12" s="63">
        <f>I10-I11</f>
        <v>16623.876926879704</v>
      </c>
      <c r="J12" s="63">
        <f>J10-J11</f>
        <v>16411.50665915524</v>
      </c>
      <c r="K12" s="63">
        <f>K10-K11</f>
        <v>16127.981680520843</v>
      </c>
      <c r="L12" s="63">
        <f>L10-L11</f>
        <v>15774.182124063027</v>
      </c>
    </row>
    <row r="13">
      <c r="A13" s="13" t="inlineStr">
        <is>
          <t>Year fraction</t>
        </is>
      </c>
      <c r="C13" s="45">
        <f>Assumptions!$B$22</f>
        <v>0.5041</v>
      </c>
      <c r="D13" s="10" t="n">
        <v>1</v>
      </c>
      <c r="E13" s="10" t="n">
        <v>1</v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  <c r="K13" s="10" t="n">
        <v>1</v>
      </c>
      <c r="L13" s="10" t="n">
        <v>1</v>
      </c>
    </row>
    <row r="14">
      <c r="A14" s="13" t="inlineStr">
        <is>
          <t>Discount time (mid-period)</t>
        </is>
      </c>
      <c r="C14" s="10">
        <f>C13/2</f>
        <v>0.25205</v>
      </c>
      <c r="D14" s="10">
        <f>C14+C13/2+D13/2</f>
        <v>1.0041</v>
      </c>
      <c r="E14" s="10">
        <f>D14+D13/2+E13/2</f>
        <v>2.0041</v>
      </c>
      <c r="F14" s="10">
        <f>E14+E13/2+F13/2</f>
        <v>3.0041</v>
      </c>
      <c r="G14" s="10">
        <f>F14+F13/2+G13/2</f>
        <v>4.0041</v>
      </c>
      <c r="H14" s="10">
        <f>G14+G13/2+H13/2</f>
        <v>5.0041</v>
      </c>
      <c r="I14" s="10">
        <f>H14+H13/2+I13/2</f>
        <v>6.0041</v>
      </c>
      <c r="J14" s="10">
        <f>I14+I13/2+J13/2</f>
        <v>7.0041</v>
      </c>
      <c r="K14" s="10">
        <f>J14+J13/2+K13/2</f>
        <v>8.004100000000001</v>
      </c>
      <c r="L14" s="10">
        <f>K14+K13/2+L13/2</f>
        <v>9.004100000000001</v>
      </c>
    </row>
    <row r="15">
      <c r="A15" s="13" t="inlineStr">
        <is>
          <t>Discount factor</t>
        </is>
      </c>
      <c r="C15" s="64">
        <f>1/(1+Assumptions!$E$10)^C14</f>
        <v>0.9807889007237011</v>
      </c>
      <c r="D15" s="64">
        <f>1/(1+Assumptions!$E$10)^D14</f>
        <v>0.9256338051008673</v>
      </c>
      <c r="E15" s="64">
        <f>1/(1+Assumptions!$E$10)^E14</f>
        <v>0.8570683380563585</v>
      </c>
      <c r="F15" s="64">
        <f>1/(1+Assumptions!$E$10)^F14</f>
        <v>0.7935817944966281</v>
      </c>
      <c r="G15" s="64">
        <f>1/(1+Assumptions!$E$10)^G14</f>
        <v>0.7347979578672482</v>
      </c>
      <c r="H15" s="64">
        <f>1/(1+Assumptions!$E$10)^H14</f>
        <v>0.6803684795067113</v>
      </c>
      <c r="I15" s="64">
        <f>1/(1+Assumptions!$E$10)^I14</f>
        <v>0.629970814358066</v>
      </c>
      <c r="J15" s="64">
        <f>1/(1+Assumptions!$E$10)^J14</f>
        <v>0.5833063095908019</v>
      </c>
      <c r="K15" s="64">
        <f>1/(1+Assumptions!$E$10)^K14</f>
        <v>0.5400984348062979</v>
      </c>
      <c r="L15" s="64">
        <f>1/(1+Assumptions!$E$10)^L14</f>
        <v>0.5000911433391647</v>
      </c>
    </row>
    <row r="16">
      <c r="A16" s="19" t="inlineStr">
        <is>
          <t>PV of free cash flow</t>
        </is>
      </c>
      <c r="C16" s="63">
        <f>C12*C13*C15</f>
        <v>8130.413626539422</v>
      </c>
      <c r="D16" s="63">
        <f>D12*D13*D15</f>
        <v>15400.701084091988</v>
      </c>
      <c r="E16" s="63">
        <f>E12*E13*E15</f>
        <v>14372.70167206713</v>
      </c>
      <c r="F16" s="63">
        <f>F12*F13*F15</f>
        <v>13360.918039402239</v>
      </c>
      <c r="G16" s="63">
        <f>G12*G13*G15</f>
        <v>12370.550520978317</v>
      </c>
      <c r="H16" s="63">
        <f>H12*H13*H15</f>
        <v>11406.344370691151</v>
      </c>
      <c r="I16" s="63">
        <f>I12*I13*I15</f>
        <v>10472.55728541467</v>
      </c>
      <c r="J16" s="63">
        <f>J12*J13*J15</f>
        <v>9572.935384176712</v>
      </c>
      <c r="K16" s="63">
        <f>K12*K13*K15</f>
        <v>8710.697662233953</v>
      </c>
      <c r="L16" s="63">
        <f>L12*L13*L15</f>
        <v>7888.5287736628925</v>
      </c>
    </row>
    <row r="19">
      <c r="A19" s="13" t="inlineStr">
        <is>
          <t>PV of forecast free cash flow</t>
        </is>
      </c>
      <c r="B19" s="51">
        <f>SUM(C16:L16)</f>
        <v>111686.34841925849</v>
      </c>
    </row>
    <row r="20">
      <c r="A20" s="13" t="inlineStr">
        <is>
          <t>Terminal free cash flow (year 11)</t>
        </is>
      </c>
      <c r="B20" s="51">
        <f>L10*(1+Assumptions!$E$11)-L7*Assumptions!$E$11*Assumptions!$E$15</f>
        <v>16168.5366771646</v>
      </c>
    </row>
    <row r="21">
      <c r="A21" s="13" t="inlineStr">
        <is>
          <t>Terminal value</t>
        </is>
      </c>
      <c r="B21" s="51">
        <f>B20/(Assumptions!$E$10-Assumptions!$E$11)</f>
        <v>293973.39413026546</v>
      </c>
    </row>
    <row r="22">
      <c r="A22" s="13" t="inlineStr">
        <is>
          <t>PV of terminal value</t>
        </is>
      </c>
      <c r="B22" s="51">
        <f>B21/(1+Assumptions!$E$10)^(L14+0.5)</f>
        <v>141463.79746239356</v>
      </c>
    </row>
    <row r="23">
      <c r="A23" s="19" t="inlineStr">
        <is>
          <t>Enterprise value</t>
        </is>
      </c>
      <c r="B23" s="65">
        <f>B19+B22</f>
        <v>253150.14588165205</v>
      </c>
    </row>
    <row r="24">
      <c r="A24" s="13" t="inlineStr">
        <is>
          <t>Cash &amp; investments</t>
        </is>
      </c>
      <c r="B24" s="54">
        <f>Main!C7</f>
        <v>7141.0</v>
      </c>
    </row>
    <row r="25">
      <c r="A25" s="13" t="inlineStr">
        <is>
          <t>Debt</t>
        </is>
      </c>
      <c r="B25" s="54">
        <f>Main!C8</f>
        <v>53906.0</v>
      </c>
    </row>
    <row r="26">
      <c r="A26" s="19" t="inlineStr">
        <is>
          <t>Equity value</t>
        </is>
      </c>
      <c r="B26" s="65">
        <f>B23+B24-B25</f>
        <v>206385.14588165205</v>
      </c>
    </row>
    <row r="27">
      <c r="A27" s="13" t="inlineStr">
        <is>
          <t>Shares (mm)</t>
        </is>
      </c>
      <c r="B27" s="54">
        <f>Main!C4</f>
        <v>2467.171638</v>
      </c>
    </row>
    <row r="28">
      <c r="A28" s="19" t="inlineStr">
        <is>
          <t>NPV / share</t>
        </is>
      </c>
      <c r="B28" s="48">
        <f>B26/B27</f>
        <v>83.652528548422</v>
      </c>
    </row>
    <row r="29">
      <c r="A29" s="13" t="inlineStr">
        <is>
          <t>Price</t>
        </is>
      </c>
      <c r="B29" s="49">
        <f>Main!C3</f>
        <v>148.3</v>
      </c>
    </row>
    <row r="30">
      <c r="A30" s="13" t="inlineStr">
        <is>
          <t>Upside</t>
        </is>
      </c>
      <c r="B30" s="62">
        <f>B28/B29-1</f>
        <v>-0.43592361059728935</v>
      </c>
    </row>
    <row r="31">
      <c r="A31" s="13" t="inlineStr">
        <is>
          <t>Terminal value, % of EV</t>
        </is>
      </c>
      <c r="B31" s="62">
        <f>IFERROR(B22/B23,0)</f>
        <v>0.558813809763823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2026-10-21T01:03:31Z</dcterms:modified>
  <cp:lastModifiedBy>Wang, Eric</cp:lastModifiedBy>
</cp:coreProperties>
</file>