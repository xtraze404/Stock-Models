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Shuttle Pharmaceuticals Holdings Inc</t>
        </is>
      </c>
      <c r="C2" s="10" t="n"/>
    </row>
    <row r="3">
      <c r="B3" t="inlineStr">
        <is>
          <t>Price</t>
        </is>
      </c>
      <c r="C3" s="11">
        <f>INDEX([1]Pharma!$F$1:$F$1000,MATCH("SHPH",[1]Pharma!$B$1:$B$1000,0))</f>
        <v>4.91</v>
      </c>
      <c r="F3" s="1" t="n"/>
    </row>
    <row r="4">
      <c r="B4" t="inlineStr">
        <is>
          <t>Shares</t>
        </is>
      </c>
      <c r="C4" s="21" t="n">
        <v>4.764696</v>
      </c>
      <c r="F4" s="1" t="n"/>
    </row>
    <row r="5">
      <c r="B5" t="inlineStr">
        <is>
          <t>Market Cap.</t>
        </is>
      </c>
      <c r="C5" s="13">
        <f>C3*C4</f>
        <v>23.39465736</v>
      </c>
      <c r="F5" s="1" t="n"/>
    </row>
    <row r="6"/>
    <row r="7">
      <c r="B7" t="inlineStr">
        <is>
          <t>Cash</t>
        </is>
      </c>
      <c r="C7" s="21" t="n">
        <v>0.090238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23.30441936</v>
      </c>
    </row>
    <row r="10"/>
    <row r="11">
      <c r="B11" s="14" t="inlineStr">
        <is>
          <t>Net Cash / Share</t>
        </is>
      </c>
      <c r="C11" s="11">
        <f>(C7-C8)/C4</f>
        <v>0.018938878786810324</v>
      </c>
    </row>
    <row r="12">
      <c r="B12" s="14" t="inlineStr">
        <is>
          <t>Upside</t>
        </is>
      </c>
      <c r="C12" s="15">
        <f>IFERROR(C11/C3-1,"")</f>
        <v>-0.9961427945444378</v>
      </c>
    </row>
    <row r="13">
      <c r="B13" s="14" t="inlineStr">
        <is>
          <t>Cash / Share</t>
        </is>
      </c>
      <c r="C13" s="11">
        <f>IFERROR((C7-C8)/C4,"")</f>
        <v>0.018938878786810324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-6.585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0.013703568716780561</v>
      </c>
    </row>
    <row r="19">
      <c r="B19" s="14" t="inlineStr">
        <is>
          <t>Implied Pipeline Value</t>
        </is>
      </c>
      <c r="C19" s="13">
        <f>C9</f>
        <v>23.30441936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1.022</v>
      </c>
      <c r="C5" s="23" t="n">
        <v>1.047</v>
      </c>
      <c r="D5" s="23" t="n">
        <v>3.517</v>
      </c>
      <c r="E5" s="23" t="n">
        <v>3.619</v>
      </c>
      <c r="F5" s="23" t="n">
        <v>4.055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0.721</v>
      </c>
      <c r="C6" s="23" t="n">
        <v>1.296</v>
      </c>
      <c r="D6" s="23" t="n">
        <v>2.375</v>
      </c>
      <c r="E6" s="23" t="n">
        <v>4.077</v>
      </c>
      <c r="F6" s="23" t="n">
        <v>7.862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1.7429999999999999</v>
      </c>
      <c r="C7" s="23">
        <f>SUM(C5:C6)</f>
        <v>2.343</v>
      </c>
      <c r="D7" s="23">
        <f>SUM(D5:D6)</f>
        <v>5.8919999999999995</v>
      </c>
      <c r="E7" s="23">
        <f>SUM(E5:E6)</f>
        <v>7.696</v>
      </c>
      <c r="F7" s="23">
        <f>SUM(F5:F6)</f>
        <v>11.917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-1.7429999999999999</v>
      </c>
      <c r="C8" s="23">
        <f>C4-C7</f>
        <v>-2.343</v>
      </c>
      <c r="D8" s="23">
        <f>D4-D7</f>
        <v>-5.8919999999999995</v>
      </c>
      <c r="E8" s="23">
        <f>E4-E7</f>
        <v>-7.696</v>
      </c>
      <c r="F8" s="23">
        <f>F4-F7</f>
        <v>-11.917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0.591</v>
      </c>
      <c r="C9" s="23" t="n">
        <v>-2.652</v>
      </c>
      <c r="D9" s="23" t="n">
        <v>-0.7</v>
      </c>
      <c r="E9" s="23" t="n">
        <v>-1.449</v>
      </c>
      <c r="F9" s="23" t="n">
        <v>0.195</v>
      </c>
    </row>
    <row r="10">
      <c r="A10" s="2" t="inlineStr">
        <is>
          <t>Pretax</t>
        </is>
      </c>
      <c r="B10" s="23">
        <f>B8+B9</f>
        <v>-1.152</v>
      </c>
      <c r="C10" s="23">
        <f>C8+C9</f>
        <v>-4.995</v>
      </c>
      <c r="D10" s="23">
        <f>D8+D9</f>
        <v>-6.592</v>
      </c>
      <c r="E10" s="23">
        <f>E8+E9</f>
        <v>-9.145</v>
      </c>
      <c r="F10" s="23">
        <f>F8+F9</f>
        <v>-11.722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-1.152</v>
      </c>
      <c r="C12" s="23" t="n">
        <v>-4.996</v>
      </c>
      <c r="D12" s="23" t="n">
        <v>-6.593</v>
      </c>
      <c r="E12" s="23" t="n">
        <v>-9.145</v>
      </c>
      <c r="F12" s="23" t="n">
        <v>-11.722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-0.990541702493551</v>
      </c>
      <c r="C13" s="11">
        <f>IFERROR(C12/C14,0)</f>
        <v>-4.266438941076004</v>
      </c>
      <c r="D13" s="11">
        <f>IFERROR(D12/D14,0)</f>
        <v>-4.037354562155542</v>
      </c>
      <c r="E13" s="11">
        <f>IFERROR(E12/E14,0)</f>
        <v>-5.655534941249226</v>
      </c>
      <c r="F13" s="11">
        <f>IFERROR(F12/F14,0)</f>
        <v>-7.156288156288157</v>
      </c>
    </row>
    <row r="14">
      <c r="A14" s="2" t="inlineStr">
        <is>
          <t>Shares</t>
        </is>
      </c>
      <c r="B14" s="23" t="n">
        <v>1.163</v>
      </c>
      <c r="C14" s="23" t="n">
        <v>1.171</v>
      </c>
      <c r="D14" s="23" t="n">
        <v>1.633</v>
      </c>
      <c r="E14" s="23" t="n">
        <v>1.617</v>
      </c>
      <c r="F14" s="23" t="n">
        <v>1.638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2026-10-21T01:06:24Z</dcterms:modified>
  <cp:lastModifiedBy>Wang, Eric</cp:lastModifiedBy>
</cp:coreProperties>
</file>