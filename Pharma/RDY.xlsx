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  <sheet name="Options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2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$#,##0;($#,##0);&quot;-&quot;"/>
    <numFmt numFmtId="175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00FF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7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72" fontId="2" fillId="0" borderId="0" pivotButton="0" quotePrefix="0" xfId="0"/>
    <xf numFmtId="170" fontId="10" fillId="0" borderId="0" pivotButton="0" quotePrefix="0" xfId="0"/>
    <xf numFmtId="171" fontId="10" fillId="0" borderId="0" pivotButton="0" quotePrefix="0" xfId="0"/>
    <xf numFmtId="167" fontId="10" fillId="0" borderId="0" pivotButton="0" quotePrefix="0" xfId="0"/>
    <xf numFmtId="167" fontId="7" fillId="2" borderId="0" pivotButton="0" quotePrefix="0" xfId="0"/>
    <xf numFmtId="167" fontId="7" fillId="2" borderId="0" applyAlignment="1" pivotButton="0" quotePrefix="0" xfId="0">
      <alignment horizontal="right"/>
    </xf>
    <xf numFmtId="1" fontId="7" fillId="2" borderId="0" applyAlignment="1" pivotButton="0" quotePrefix="0" xfId="0">
      <alignment horizontal="right"/>
    </xf>
    <xf numFmtId="1" fontId="8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71" fontId="5" fillId="0" borderId="0" pivotButton="0" quotePrefix="0" xfId="0"/>
    <xf numFmtId="171" fontId="2" fillId="0" borderId="0" pivotButton="0" quotePrefix="0" xfId="0"/>
    <xf numFmtId="0" fontId="3" fillId="2" borderId="0" applyAlignment="1" pivotButton="0" quotePrefix="0" xfId="0">
      <alignment horizontal="center"/>
    </xf>
    <xf numFmtId="3" fontId="5" fillId="0" borderId="0" pivotButton="0" quotePrefix="0" xfId="0"/>
    <xf numFmtId="174" fontId="2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72" fontId="2" fillId="0" borderId="0" pivotButton="0" quotePrefix="0" xfId="0"/>
    <xf numFmtId="170" fontId="10" fillId="0" borderId="0" pivotButton="0" quotePrefix="0" xfId="0"/>
    <xf numFmtId="167" fontId="10" fillId="0" borderId="0" pivotButton="0" quotePrefix="0" xfId="0"/>
    <xf numFmtId="167" fontId="7" fillId="2" borderId="0" pivotButton="0" quotePrefix="0" xfId="0"/>
    <xf numFmtId="167" fontId="7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4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Dr. Reddy's Laboratories Limited</t>
        </is>
      </c>
      <c r="C2" s="10" t="n"/>
    </row>
    <row r="3">
      <c r="B3" t="inlineStr">
        <is>
          <t>Price</t>
        </is>
      </c>
      <c r="C3" s="11">
        <f>INDEX([1]Pharma!$F$1:$F$1000,MATCH("RDY",[1]Pharma!$B$1:$B$1000,0))</f>
        <v>13.26</v>
      </c>
      <c r="F3" s="1" t="n"/>
    </row>
    <row r="4">
      <c r="B4" t="inlineStr">
        <is>
          <t>Shares</t>
        </is>
      </c>
      <c r="C4" s="57" t="n">
        <v>834.65697</v>
      </c>
      <c r="F4" s="1" t="n"/>
    </row>
    <row r="5">
      <c r="B5" t="inlineStr">
        <is>
          <t>Market Cap.</t>
        </is>
      </c>
      <c r="C5" s="13">
        <f>C3*C4</f>
        <v>11067.5514222</v>
      </c>
      <c r="F5" s="1" t="n"/>
    </row>
    <row r="6"/>
    <row r="7">
      <c r="B7" t="inlineStr">
        <is>
          <t>Cash</t>
        </is>
      </c>
      <c r="C7" s="57">
        <f>(14654+43254)/94.96</f>
        <v>609.8146588037068</v>
      </c>
    </row>
    <row r="8">
      <c r="B8" t="inlineStr">
        <is>
          <t>Debt</t>
        </is>
      </c>
      <c r="C8" s="57">
        <f>(38045+857+7864)/94.96</f>
        <v>492.48104465037915</v>
      </c>
    </row>
    <row r="9">
      <c r="B9" t="inlineStr">
        <is>
          <t>Enterprise V.</t>
        </is>
      </c>
      <c r="C9" s="13">
        <f>C5-C7+C8</f>
        <v>10950.217808046673</v>
      </c>
    </row>
    <row r="10"/>
    <row r="11">
      <c r="B11" s="14" t="inlineStr">
        <is>
          <t>NPV / Share</t>
        </is>
      </c>
      <c r="C11" s="11">
        <f>NPV!B28</f>
        <v>9.862006649741975</v>
      </c>
    </row>
    <row r="12">
      <c r="B12" s="14" t="inlineStr">
        <is>
          <t>Upside</t>
        </is>
      </c>
      <c r="C12" s="15">
        <f>IFERROR(C11/C3-1,"")</f>
        <v>-0.25625892535882544</v>
      </c>
    </row>
    <row r="13">
      <c r="B13" s="14" t="inlineStr">
        <is>
          <t>Cash / Share</t>
        </is>
      </c>
      <c r="C13" s="11">
        <f>IFERROR((C7-C8)/C4,"")</f>
        <v>0.1405770494594057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Reviewed 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2016</v>
      </c>
      <c r="C1" s="16" t="n">
        <v>2017</v>
      </c>
      <c r="D1" s="16" t="n">
        <v>2018</v>
      </c>
      <c r="E1" s="16" t="n">
        <v>2019</v>
      </c>
      <c r="F1" s="16" t="n">
        <v>2020</v>
      </c>
      <c r="G1" s="16" t="n">
        <v>2021</v>
      </c>
      <c r="H1" s="16" t="n">
        <v>2022</v>
      </c>
      <c r="I1" s="16" t="n">
        <v>2023</v>
      </c>
      <c r="J1" s="16" t="n">
        <v>2024</v>
      </c>
      <c r="K1" s="16" t="n">
        <v>2025</v>
      </c>
      <c r="L1" s="16" t="n">
        <v>2026</v>
      </c>
      <c r="M1" s="16" t="n">
        <v>2027</v>
      </c>
      <c r="N1" s="16" t="n">
        <v>2028</v>
      </c>
      <c r="O1" s="16" t="n">
        <v>2029</v>
      </c>
      <c r="P1" s="16" t="n">
        <v>2030</v>
      </c>
      <c r="Q1" s="16" t="n">
        <v>2031</v>
      </c>
      <c r="R1" s="16" t="n">
        <v>2032</v>
      </c>
      <c r="S1" s="16" t="n">
        <v>2033</v>
      </c>
      <c r="T1" s="16" t="n">
        <v>2034</v>
      </c>
      <c r="U1" s="16" t="n">
        <v>2035</v>
      </c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8" t="n">
        <v>1629.191</v>
      </c>
      <c r="C2" s="58" t="n">
        <v>1482.824</v>
      </c>
      <c r="D2" s="58" t="n">
        <v>1495.661</v>
      </c>
      <c r="E2" s="58" t="n">
        <v>1620.166</v>
      </c>
      <c r="F2" s="58" t="n">
        <v>1838.669</v>
      </c>
      <c r="G2" s="58" t="n">
        <v>1997.915</v>
      </c>
      <c r="H2" s="58" t="n">
        <v>2257.698</v>
      </c>
      <c r="I2" s="58" t="n">
        <v>2589.29</v>
      </c>
      <c r="J2" s="58" t="n">
        <v>2939.806</v>
      </c>
      <c r="K2" s="58" t="n">
        <v>3428.128</v>
      </c>
      <c r="L2" s="58">
        <f>K2*(1+NPV!C5)</f>
        <v>3537.828096</v>
      </c>
      <c r="M2" s="58">
        <f>L2*(1+NPV!D5)</f>
        <v>3431.69325312</v>
      </c>
      <c r="N2" s="58">
        <f>M2*(1+NPV!E5)</f>
        <v>3671.9117808384003</v>
      </c>
      <c r="O2" s="58">
        <f>N2*(1+NPV!F5)</f>
        <v>3928.9456054970888</v>
      </c>
      <c r="P2" s="58">
        <f>O2*(1+NPV!G5)</f>
        <v>4164.682341826914</v>
      </c>
      <c r="Q2" s="58">
        <f>P2*(1+NPV!H5)</f>
        <v>4372.91645891826</v>
      </c>
      <c r="R2" s="58">
        <f>Q2*(1+NPV!I5)</f>
        <v>4547.83311727499</v>
      </c>
      <c r="S2" s="58">
        <f>R2*(1+NPV!J5)</f>
        <v>4707.007276379614</v>
      </c>
      <c r="T2" s="58">
        <f>S2*(1+NPV!K5)</f>
        <v>4848.217494671003</v>
      </c>
      <c r="U2" s="58">
        <f>T2*(1+NPV!L5)</f>
        <v>4969.422932037777</v>
      </c>
    </row>
    <row r="3" customFormat="1" s="1">
      <c r="A3" s="5" t="inlineStr">
        <is>
          <t>Cost of Sales</t>
        </is>
      </c>
      <c r="B3" s="58" t="n">
        <v>657.403</v>
      </c>
      <c r="C3" s="58" t="n">
        <v>657.677</v>
      </c>
      <c r="D3" s="58" t="n">
        <v>692.123</v>
      </c>
      <c r="E3" s="58" t="n">
        <v>741.586</v>
      </c>
      <c r="F3" s="58" t="n">
        <v>848.684</v>
      </c>
      <c r="G3" s="58" t="n">
        <v>912.437</v>
      </c>
      <c r="H3" s="58" t="n">
        <v>1058.877</v>
      </c>
      <c r="I3" s="58" t="n">
        <v>1121.904</v>
      </c>
      <c r="J3" s="58" t="n">
        <v>1216.902</v>
      </c>
      <c r="K3" s="58" t="n">
        <v>1422.778</v>
      </c>
      <c r="L3" s="58">
        <f>L2*(1-Assumptions!$B$19)</f>
        <v>1468.1986598400001</v>
      </c>
      <c r="M3" s="58">
        <f>M2*(1-Assumptions!$B$19)</f>
        <v>1424.1527000448002</v>
      </c>
      <c r="N3" s="58">
        <f>N2*(1-Assumptions!$B$19)</f>
        <v>1523.8433890479362</v>
      </c>
      <c r="O3" s="58">
        <f>O2*(1-Assumptions!$B$19)</f>
        <v>1630.512426281292</v>
      </c>
      <c r="P3" s="58">
        <f>P2*(1-Assumptions!$B$19)</f>
        <v>1728.3431718581694</v>
      </c>
      <c r="Q3" s="58">
        <f>Q2*(1-Assumptions!$B$19)</f>
        <v>1814.760330451078</v>
      </c>
      <c r="R3" s="58">
        <f>R2*(1-Assumptions!$B$19)</f>
        <v>1887.3507436691211</v>
      </c>
      <c r="S3" s="58">
        <f>S2*(1-Assumptions!$B$19)</f>
        <v>1953.40801969754</v>
      </c>
      <c r="T3" s="58">
        <f>T2*(1-Assumptions!$B$19)</f>
        <v>2012.0102602884663</v>
      </c>
      <c r="U3" s="58">
        <f>U2*(1-Assumptions!$B$19)</f>
        <v>2062.310516795678</v>
      </c>
    </row>
    <row r="4" customFormat="1" s="1">
      <c r="A4" s="5" t="inlineStr">
        <is>
          <t>Gross Margin</t>
        </is>
      </c>
      <c r="B4" s="58">
        <f>B2-B3</f>
        <v>971.788</v>
      </c>
      <c r="C4" s="58">
        <f>C2-C3</f>
        <v>825.147</v>
      </c>
      <c r="D4" s="58">
        <f>D2-D3</f>
        <v>803.538</v>
      </c>
      <c r="E4" s="58">
        <f>E2-E3</f>
        <v>878.5799999999999</v>
      </c>
      <c r="F4" s="58">
        <f>F2-F3</f>
        <v>989.9850000000001</v>
      </c>
      <c r="G4" s="58">
        <f>G2-G3</f>
        <v>1085.478</v>
      </c>
      <c r="H4" s="58">
        <f>H2-H3</f>
        <v>1198.821</v>
      </c>
      <c r="I4" s="58">
        <f>I2-I3</f>
        <v>1467.386</v>
      </c>
      <c r="J4" s="58">
        <f>J2-J3</f>
        <v>1722.904</v>
      </c>
      <c r="K4" s="58">
        <f>K2-K3</f>
        <v>2005.3500000000001</v>
      </c>
      <c r="L4" s="58">
        <f>L2-L3</f>
        <v>2069.6294361600003</v>
      </c>
      <c r="M4" s="58">
        <f>M2-M3</f>
        <v>2007.5405530751998</v>
      </c>
      <c r="N4" s="58">
        <f>N2-N3</f>
        <v>2148.0683917904644</v>
      </c>
      <c r="O4" s="58">
        <f>O2-O3</f>
        <v>2298.433179215797</v>
      </c>
      <c r="P4" s="58">
        <f>P2-P3</f>
        <v>2436.3391699687445</v>
      </c>
      <c r="Q4" s="58">
        <f>Q2-Q3</f>
        <v>2558.156128467182</v>
      </c>
      <c r="R4" s="58">
        <f>R2-R3</f>
        <v>2660.4823736058693</v>
      </c>
      <c r="S4" s="58">
        <f>S2-S3</f>
        <v>2753.599256682074</v>
      </c>
      <c r="T4" s="58">
        <f>T2-T3</f>
        <v>2836.2072343825366</v>
      </c>
      <c r="U4" s="58">
        <f>U2-U3</f>
        <v>2907.1124152420994</v>
      </c>
    </row>
    <row r="5">
      <c r="A5" s="2" t="inlineStr">
        <is>
          <t>Research &amp; Dev.</t>
        </is>
      </c>
      <c r="B5" s="58" t="n">
        <v>187.805</v>
      </c>
      <c r="C5" s="58" t="n">
        <v>205.887</v>
      </c>
      <c r="D5" s="58" t="n">
        <v>192.344</v>
      </c>
      <c r="E5" s="58" t="n">
        <v>164.353</v>
      </c>
      <c r="F5" s="58" t="n">
        <v>162.279</v>
      </c>
      <c r="G5" s="58" t="n">
        <v>174.189</v>
      </c>
      <c r="H5" s="58" t="n">
        <v>184.099</v>
      </c>
      <c r="I5" s="58" t="n">
        <v>204.096</v>
      </c>
      <c r="J5" s="58" t="n">
        <v>240.87</v>
      </c>
      <c r="K5" s="58" t="n">
        <v>288.332</v>
      </c>
      <c r="L5" s="58">
        <f>L7*Assumptions!$B$20</f>
        <v>344.7252621086208</v>
      </c>
      <c r="M5" s="58">
        <f>M7*Assumptions!$B$20</f>
        <v>332.00637032892587</v>
      </c>
      <c r="N5" s="58">
        <f>N7*Assumptions!$B$20</f>
        <v>352.7032829613641</v>
      </c>
      <c r="O5" s="58">
        <f>O7*Assumptions!$B$20</f>
        <v>374.67093214773166</v>
      </c>
      <c r="P5" s="58">
        <f>P7*Assumptions!$B$20</f>
        <v>394.26631261841203</v>
      </c>
      <c r="Q5" s="58">
        <f>Q7*Assumptions!$B$20</f>
        <v>410.9505090182401</v>
      </c>
      <c r="R5" s="58">
        <f>R7*Assumptions!$B$20</f>
        <v>424.2382453786333</v>
      </c>
      <c r="S5" s="58">
        <f>S7*Assumptions!$B$20</f>
        <v>435.8260400265372</v>
      </c>
      <c r="T5" s="58">
        <f>T7*Assumptions!$B$20</f>
        <v>445.5424609687748</v>
      </c>
      <c r="U5" s="58">
        <f>U7*Assumptions!$B$20</f>
        <v>453.23870322797137</v>
      </c>
    </row>
    <row r="6">
      <c r="A6" s="18" t="inlineStr">
        <is>
          <t>SG&amp;A &amp; Other</t>
        </is>
      </c>
      <c r="B6" s="58" t="n">
        <v>472.072</v>
      </c>
      <c r="C6" s="58" t="n">
        <v>477.117</v>
      </c>
      <c r="D6" s="58" t="n">
        <v>485.699</v>
      </c>
      <c r="E6" s="58" t="n">
        <v>494.261</v>
      </c>
      <c r="F6" s="58" t="n">
        <v>659.288</v>
      </c>
      <c r="G6" s="58" t="n">
        <v>655.602</v>
      </c>
      <c r="H6" s="58" t="n">
        <v>704.318</v>
      </c>
      <c r="I6" s="58" t="n">
        <v>661.521</v>
      </c>
      <c r="J6" s="58" t="n">
        <v>768.797</v>
      </c>
      <c r="K6" s="58" t="n">
        <v>960.457</v>
      </c>
      <c r="L6" s="58">
        <f>L7-L5</f>
        <v>1148.2381944033793</v>
      </c>
      <c r="M6" s="58">
        <f>M7-M5</f>
        <v>1105.8731027283538</v>
      </c>
      <c r="N6" s="58">
        <f>N7-N5</f>
        <v>1174.8120178674108</v>
      </c>
      <c r="O6" s="58">
        <f>O7-O5</f>
        <v>1247.9836029225658</v>
      </c>
      <c r="P6" s="58">
        <f>P7-P5</f>
        <v>1313.2534475306225</v>
      </c>
      <c r="Q6" s="58">
        <f>Q7-Q5</f>
        <v>1368.8264897614918</v>
      </c>
      <c r="R6" s="58">
        <f>R7-R5</f>
        <v>1413.0863340004628</v>
      </c>
      <c r="S6" s="58">
        <f>S7-S5</f>
        <v>1451.6838778016881</v>
      </c>
      <c r="T6" s="58">
        <f>T7-T5</f>
        <v>1484.0481019102845</v>
      </c>
      <c r="U6" s="58">
        <f>U7-U5</f>
        <v>1509.6833549269502</v>
      </c>
    </row>
    <row r="7">
      <c r="A7" s="2" t="inlineStr">
        <is>
          <t>Operating Expense</t>
        </is>
      </c>
      <c r="B7" s="58">
        <f>SUM(B5:B6)</f>
        <v>659.877</v>
      </c>
      <c r="C7" s="58">
        <f>SUM(C5:C6)</f>
        <v>683.004</v>
      </c>
      <c r="D7" s="58">
        <f>SUM(D5:D6)</f>
        <v>678.043</v>
      </c>
      <c r="E7" s="58">
        <f>SUM(E5:E6)</f>
        <v>658.614</v>
      </c>
      <c r="F7" s="58">
        <f>SUM(F5:F6)</f>
        <v>821.567</v>
      </c>
      <c r="G7" s="58">
        <f>SUM(G5:G6)</f>
        <v>829.7909999999999</v>
      </c>
      <c r="H7" s="58">
        <f>SUM(H5:H6)</f>
        <v>888.4169999999999</v>
      </c>
      <c r="I7" s="58">
        <f>SUM(I5:I6)</f>
        <v>865.617</v>
      </c>
      <c r="J7" s="58">
        <f>SUM(J5:J6)</f>
        <v>1009.667</v>
      </c>
      <c r="K7" s="58">
        <f>SUM(K5:K6)</f>
        <v>1248.789</v>
      </c>
      <c r="L7" s="58">
        <f>L4-L2*NPV!C6</f>
        <v>1492.9634565120002</v>
      </c>
      <c r="M7" s="58">
        <f>M4-M2*NPV!D6</f>
        <v>1437.8794730572797</v>
      </c>
      <c r="N7" s="58">
        <f>N4-N2*NPV!E6</f>
        <v>1527.5153008287748</v>
      </c>
      <c r="O7" s="58">
        <f>O4-O2*NPV!F6</f>
        <v>1622.6545350702975</v>
      </c>
      <c r="P7" s="58">
        <f>P4-P2*NPV!G6</f>
        <v>1707.5197601490345</v>
      </c>
      <c r="Q7" s="58">
        <f>Q4-Q2*NPV!H6</f>
        <v>1779.776998779732</v>
      </c>
      <c r="R7" s="58">
        <f>R4-R2*NPV!I6</f>
        <v>1837.3245793790961</v>
      </c>
      <c r="S7" s="58">
        <f>S4-S2*NPV!J6</f>
        <v>1887.5099178282253</v>
      </c>
      <c r="T7" s="58">
        <f>T4-T2*NPV!K6</f>
        <v>1929.5905628790592</v>
      </c>
      <c r="U7" s="58">
        <f>U4-U2*NPV!L6</f>
        <v>1962.9220581549216</v>
      </c>
    </row>
    <row r="8">
      <c r="A8" s="2" t="inlineStr">
        <is>
          <t>Operating Income</t>
        </is>
      </c>
      <c r="B8" s="58">
        <f>B4-B7</f>
        <v>311.91100000000006</v>
      </c>
      <c r="C8" s="58">
        <f>C4-C7</f>
        <v>142.14300000000003</v>
      </c>
      <c r="D8" s="58">
        <f>D4-D7</f>
        <v>125.495</v>
      </c>
      <c r="E8" s="58">
        <f>E4-E7</f>
        <v>219.9659999999999</v>
      </c>
      <c r="F8" s="58">
        <f>F4-F7</f>
        <v>168.41800000000012</v>
      </c>
      <c r="G8" s="58">
        <f>G4-G7</f>
        <v>255.68700000000013</v>
      </c>
      <c r="H8" s="58">
        <f>H4-H7</f>
        <v>310.404</v>
      </c>
      <c r="I8" s="58">
        <f>I4-I7</f>
        <v>601.769</v>
      </c>
      <c r="J8" s="58">
        <f>J4-J7</f>
        <v>713.237</v>
      </c>
      <c r="K8" s="58">
        <f>K4-K7</f>
        <v>756.5610000000001</v>
      </c>
      <c r="L8" s="58">
        <f>L4-L7</f>
        <v>576.6659796480001</v>
      </c>
      <c r="M8" s="58">
        <f>M4-M7</f>
        <v>569.6610800179201</v>
      </c>
      <c r="N8" s="58">
        <f>N4-N7</f>
        <v>620.5530909616896</v>
      </c>
      <c r="O8" s="58">
        <f>O4-O7</f>
        <v>675.7786441454994</v>
      </c>
      <c r="P8" s="58">
        <f>P4-P7</f>
        <v>728.81940981971</v>
      </c>
      <c r="Q8" s="58">
        <f>Q4-Q7</f>
        <v>778.3791296874501</v>
      </c>
      <c r="R8" s="58">
        <f>R4-R7</f>
        <v>823.1577942267731</v>
      </c>
      <c r="S8" s="58">
        <f>S4-S7</f>
        <v>866.0893388538489</v>
      </c>
      <c r="T8" s="58">
        <f>T4-T7</f>
        <v>906.6166715034774</v>
      </c>
      <c r="U8" s="58">
        <f>U4-U7</f>
        <v>944.1903570871777</v>
      </c>
    </row>
    <row r="9">
      <c r="A9" s="18" t="inlineStr">
        <is>
          <t>Interest &amp; Other</t>
        </is>
      </c>
      <c r="B9" s="58" t="n">
        <v>-26.106</v>
      </c>
      <c r="C9" s="58" t="n">
        <v>12.163</v>
      </c>
      <c r="D9" s="58" t="n">
        <v>25.527</v>
      </c>
      <c r="E9" s="58" t="n">
        <v>16.375</v>
      </c>
      <c r="F9" s="58" t="n">
        <v>21.472</v>
      </c>
      <c r="G9" s="58" t="n">
        <v>22.462</v>
      </c>
      <c r="H9" s="58" t="n">
        <v>29.718</v>
      </c>
      <c r="I9" s="58" t="n">
        <v>33.941</v>
      </c>
      <c r="J9" s="58" t="n">
        <v>43.608</v>
      </c>
      <c r="K9" s="58" t="n">
        <v>44.65</v>
      </c>
      <c r="L9" s="58" t="n">
        <v>0</v>
      </c>
      <c r="M9" s="58" t="n">
        <v>0</v>
      </c>
      <c r="N9" s="58" t="n">
        <v>0</v>
      </c>
      <c r="O9" s="58" t="n">
        <v>0</v>
      </c>
      <c r="P9" s="58" t="n">
        <v>0</v>
      </c>
      <c r="Q9" s="58" t="n">
        <v>0</v>
      </c>
      <c r="R9" s="58" t="n">
        <v>0</v>
      </c>
      <c r="S9" s="58" t="n">
        <v>0</v>
      </c>
      <c r="T9" s="58" t="n">
        <v>0</v>
      </c>
      <c r="U9" s="58" t="n">
        <v>0</v>
      </c>
    </row>
    <row r="10">
      <c r="A10" s="2" t="inlineStr">
        <is>
          <t>Pretax</t>
        </is>
      </c>
      <c r="B10" s="58">
        <f>B8+B9</f>
        <v>285.80500000000006</v>
      </c>
      <c r="C10" s="58">
        <f>C8+C9</f>
        <v>154.30600000000004</v>
      </c>
      <c r="D10" s="58">
        <f>D8+D9</f>
        <v>151.022</v>
      </c>
      <c r="E10" s="58">
        <f>E8+E9</f>
        <v>236.3409999999999</v>
      </c>
      <c r="F10" s="58">
        <f>F8+F9</f>
        <v>189.89000000000013</v>
      </c>
      <c r="G10" s="58">
        <f>G8+G9</f>
        <v>278.1490000000001</v>
      </c>
      <c r="H10" s="58">
        <f>H8+H9</f>
        <v>340.122</v>
      </c>
      <c r="I10" s="58">
        <f>I8+I9</f>
        <v>635.71</v>
      </c>
      <c r="J10" s="58">
        <f>J8+J9</f>
        <v>756.8449999999999</v>
      </c>
      <c r="K10" s="58">
        <f>K8+K9</f>
        <v>801.2110000000001</v>
      </c>
      <c r="L10" s="58">
        <f>L8+L9</f>
        <v>576.6659796480001</v>
      </c>
      <c r="M10" s="58">
        <f>M8+M9</f>
        <v>569.6610800179201</v>
      </c>
      <c r="N10" s="58">
        <f>N8+N9</f>
        <v>620.5530909616896</v>
      </c>
      <c r="O10" s="58">
        <f>O8+O9</f>
        <v>675.7786441454994</v>
      </c>
      <c r="P10" s="58">
        <f>P8+P9</f>
        <v>728.81940981971</v>
      </c>
      <c r="Q10" s="58">
        <f>Q8+Q9</f>
        <v>778.3791296874501</v>
      </c>
      <c r="R10" s="58">
        <f>R8+R9</f>
        <v>823.1577942267731</v>
      </c>
      <c r="S10" s="58">
        <f>S8+S9</f>
        <v>866.0893388538489</v>
      </c>
      <c r="T10" s="58">
        <f>T8+T9</f>
        <v>906.6166715034774</v>
      </c>
      <c r="U10" s="58">
        <f>U8+U9</f>
        <v>944.1903570871777</v>
      </c>
    </row>
    <row r="11">
      <c r="A11" s="2" t="inlineStr">
        <is>
          <t>Taxes</t>
        </is>
      </c>
      <c r="B11" s="58" t="n">
        <v>75.053</v>
      </c>
      <c r="C11" s="58" t="n">
        <v>27.527</v>
      </c>
      <c r="D11" s="58" t="n">
        <v>47.757</v>
      </c>
      <c r="E11" s="58" t="n">
        <v>38.416</v>
      </c>
      <c r="F11" s="58" t="n">
        <v>-15.438</v>
      </c>
      <c r="G11" s="58" t="n">
        <v>96.62</v>
      </c>
      <c r="H11" s="58" t="n">
        <v>91.93300000000001</v>
      </c>
      <c r="I11" s="58" t="n">
        <v>161.12</v>
      </c>
      <c r="J11" s="58" t="n">
        <v>170.451</v>
      </c>
      <c r="K11" s="58" t="n">
        <v>205.76</v>
      </c>
      <c r="L11" s="58">
        <f>MAX(0,L10)*Assumptions!$E$14</f>
        <v>98.03321654016003</v>
      </c>
      <c r="M11" s="58">
        <f>MAX(0,M10)*Assumptions!$E$14</f>
        <v>96.84238360304641</v>
      </c>
      <c r="N11" s="58">
        <f>MAX(0,N10)*Assumptions!$E$14</f>
        <v>105.49402546348723</v>
      </c>
      <c r="O11" s="58">
        <f>MAX(0,O10)*Assumptions!$E$14</f>
        <v>114.8823695047349</v>
      </c>
      <c r="P11" s="58">
        <f>MAX(0,P10)*Assumptions!$E$14</f>
        <v>123.89929966935071</v>
      </c>
      <c r="Q11" s="58">
        <f>MAX(0,Q10)*Assumptions!$E$14</f>
        <v>132.32445204686653</v>
      </c>
      <c r="R11" s="58">
        <f>MAX(0,R10)*Assumptions!$E$14</f>
        <v>139.93682501855145</v>
      </c>
      <c r="S11" s="58">
        <f>MAX(0,S10)*Assumptions!$E$14</f>
        <v>147.23518760515432</v>
      </c>
      <c r="T11" s="58">
        <f>MAX(0,T10)*Assumptions!$E$14</f>
        <v>154.12483415559117</v>
      </c>
      <c r="U11" s="58">
        <f>MAX(0,U10)*Assumptions!$E$14</f>
        <v>160.51236070482022</v>
      </c>
    </row>
    <row r="12">
      <c r="A12" s="2" t="inlineStr">
        <is>
          <t>Net Income</t>
        </is>
      </c>
      <c r="B12" s="58" t="n">
        <v>210.752</v>
      </c>
      <c r="C12" s="58" t="n">
        <v>126.78</v>
      </c>
      <c r="D12" s="58" t="n">
        <v>103.265</v>
      </c>
      <c r="E12" s="58" t="n">
        <v>197.925</v>
      </c>
      <c r="F12" s="58" t="n">
        <v>205.329</v>
      </c>
      <c r="G12" s="58" t="n">
        <v>181.529</v>
      </c>
      <c r="H12" s="58" t="n">
        <v>248.189</v>
      </c>
      <c r="I12" s="58" t="n">
        <v>474.589</v>
      </c>
      <c r="J12" s="58" t="n">
        <v>586.394</v>
      </c>
      <c r="K12" s="58" t="n">
        <v>595.451</v>
      </c>
      <c r="L12" s="58">
        <f>L10-L11</f>
        <v>478.63276310784005</v>
      </c>
      <c r="M12" s="58">
        <f>M10-M11</f>
        <v>472.81869641487367</v>
      </c>
      <c r="N12" s="58">
        <f>N10-N11</f>
        <v>515.0590654982024</v>
      </c>
      <c r="O12" s="58">
        <f>O10-O11</f>
        <v>560.8962746407644</v>
      </c>
      <c r="P12" s="58">
        <f>P10-P11</f>
        <v>604.9201101503593</v>
      </c>
      <c r="Q12" s="58">
        <f>Q10-Q11</f>
        <v>646.0546776405836</v>
      </c>
      <c r="R12" s="58">
        <f>R10-R11</f>
        <v>683.2209692082217</v>
      </c>
      <c r="S12" s="58">
        <f>S10-S11</f>
        <v>718.8541512486945</v>
      </c>
      <c r="T12" s="58">
        <f>T10-T11</f>
        <v>752.4918373478862</v>
      </c>
      <c r="U12" s="58">
        <f>U10-U11</f>
        <v>783.6779963823575</v>
      </c>
    </row>
    <row r="13">
      <c r="A13" s="2" t="inlineStr">
        <is>
          <t>Earnings per Share</t>
        </is>
      </c>
      <c r="B13" s="11">
        <f>IFERROR(B12/B14,0)</f>
        <v>0.24638867195720185</v>
      </c>
      <c r="C13" s="11">
        <f>IFERROR(C12/C14,0)</f>
        <v>0.15183451738228573</v>
      </c>
      <c r="D13" s="11">
        <f>IFERROR(D12/D14,0)</f>
        <v>0.12427671230238962</v>
      </c>
      <c r="E13" s="11">
        <f>IFERROR(E12/E14,0)</f>
        <v>0.23818721388652217</v>
      </c>
      <c r="F13" s="11">
        <f>IFERROR(F12/F14,0)</f>
        <v>0.24726219578280612</v>
      </c>
      <c r="G13" s="11">
        <f>IFERROR(G12/G14,0)</f>
        <v>0.2182940907669737</v>
      </c>
      <c r="H13" s="11">
        <f>IFERROR(H12/H14,0)</f>
        <v>0.29841419850834383</v>
      </c>
      <c r="I13" s="11">
        <f>IFERROR(I12/I14,0)</f>
        <v>0.5704599244417573</v>
      </c>
      <c r="J13" s="11">
        <f>IFERROR(J12/J14,0)</f>
        <v>0.7035000203949909</v>
      </c>
      <c r="K13" s="11">
        <f>IFERROR(K12/K14,0)</f>
        <v>0.713816818692391</v>
      </c>
      <c r="L13" s="11">
        <f>IFERROR(L12/L14,0)</f>
        <v>0.5734484708224985</v>
      </c>
      <c r="M13" s="11">
        <f>IFERROR(M12/M14,0)</f>
        <v>0.5664826550419554</v>
      </c>
      <c r="N13" s="11">
        <f>IFERROR(N12/N14,0)</f>
        <v>0.6170907139231131</v>
      </c>
      <c r="O13" s="11">
        <f>IFERROR(O12/O14,0)</f>
        <v>0.6720081360379275</v>
      </c>
      <c r="P13" s="11">
        <f>IFERROR(P12/P14,0)</f>
        <v>0.7247529606688113</v>
      </c>
      <c r="Q13" s="11">
        <f>IFERROR(Q12/Q14,0)</f>
        <v>0.7740361619942904</v>
      </c>
      <c r="R13" s="11">
        <f>IFERROR(R12/R14,0)</f>
        <v>0.8185649838977822</v>
      </c>
      <c r="S13" s="11">
        <f>IFERROR(S12/S14,0)</f>
        <v>0.8612569918977547</v>
      </c>
      <c r="T13" s="11">
        <f>IFERROR(T12/T14,0)</f>
        <v>0.9015582022251443</v>
      </c>
      <c r="U13" s="11">
        <f>IFERROR(U12/U14,0)</f>
        <v>0.9389222453654913</v>
      </c>
    </row>
    <row r="14">
      <c r="A14" s="2" t="inlineStr">
        <is>
          <t>Shares</t>
        </is>
      </c>
      <c r="B14" s="58" t="n">
        <v>855.364</v>
      </c>
      <c r="C14" s="58" t="n">
        <v>834.9880000000001</v>
      </c>
      <c r="D14" s="58" t="n">
        <v>830.928</v>
      </c>
      <c r="E14" s="58" t="n">
        <v>830.9640000000001</v>
      </c>
      <c r="F14" s="58" t="n">
        <v>830.41</v>
      </c>
      <c r="G14" s="58" t="n">
        <v>831.58</v>
      </c>
      <c r="H14" s="58" t="n">
        <v>831.693</v>
      </c>
      <c r="I14" s="58" t="n">
        <v>831.941</v>
      </c>
      <c r="J14" s="58" t="n">
        <v>833.538</v>
      </c>
      <c r="K14" s="58" t="n">
        <v>834.179</v>
      </c>
      <c r="L14" s="58">
        <f>Main!$C$4</f>
        <v>834.65697</v>
      </c>
      <c r="M14" s="58">
        <f>Main!$C$4</f>
        <v>834.65697</v>
      </c>
      <c r="N14" s="58">
        <f>Main!$C$4</f>
        <v>834.65697</v>
      </c>
      <c r="O14" s="58">
        <f>Main!$C$4</f>
        <v>834.65697</v>
      </c>
      <c r="P14" s="58">
        <f>Main!$C$4</f>
        <v>834.65697</v>
      </c>
      <c r="Q14" s="58">
        <f>Main!$C$4</f>
        <v>834.65697</v>
      </c>
      <c r="R14" s="58">
        <f>Main!$C$4</f>
        <v>834.65697</v>
      </c>
      <c r="S14" s="58">
        <f>Main!$C$4</f>
        <v>834.65697</v>
      </c>
      <c r="T14" s="58">
        <f>Main!$C$4</f>
        <v>834.65697</v>
      </c>
      <c r="U14" s="58">
        <f>Main!$C$4</f>
        <v>834.65697</v>
      </c>
    </row>
    <row r="15"/>
    <row r="16" customFormat="1" s="4">
      <c r="A16" s="3" t="inlineStr">
        <is>
          <t>Revenue Change</t>
        </is>
      </c>
      <c r="C16" s="15">
        <f>IFERROR(C2/B2-1,"")</f>
        <v>-0.08984029496848434</v>
      </c>
      <c r="D16" s="15">
        <f>IFERROR(D2/C2-1,"")</f>
        <v>0.00865712990887646</v>
      </c>
      <c r="E16" s="15">
        <f>IFERROR(E2/D2-1,"")</f>
        <v>0.08324413085585558</v>
      </c>
      <c r="F16" s="15">
        <f>IFERROR(F2/E2-1,"")</f>
        <v>0.1348645756052158</v>
      </c>
      <c r="G16" s="15">
        <f>IFERROR(G2/F2-1,"")</f>
        <v>0.08660938972702525</v>
      </c>
      <c r="H16" s="15">
        <f>IFERROR(H2/G2-1,"")</f>
        <v>0.13002705320296415</v>
      </c>
      <c r="I16" s="15">
        <f>IFERROR(I2/H2-1,"")</f>
        <v>0.14687172509343593</v>
      </c>
      <c r="J16" s="15">
        <f>IFERROR(J2/I2-1,"")</f>
        <v>0.13537147248859727</v>
      </c>
      <c r="K16" s="15">
        <f>IFERROR(K2/J2-1,"")</f>
        <v>0.1661068791614142</v>
      </c>
      <c r="L16" s="15">
        <f>IFERROR(L2/K2-1,"")</f>
        <v>0.03200000000000003</v>
      </c>
      <c r="M16" s="15">
        <f>IFERROR(M2/L2-1,"")</f>
        <v>-0.030000000000000027</v>
      </c>
      <c r="N16" s="15">
        <f>IFERROR(N2/M2-1,"")</f>
        <v>0.07000000000000006</v>
      </c>
      <c r="O16" s="15">
        <f>IFERROR(O2/N2-1,"")</f>
        <v>0.07000000000000006</v>
      </c>
      <c r="P16" s="15">
        <f>IFERROR(P2/O2-1,"")</f>
        <v>0.06000000000000005</v>
      </c>
      <c r="Q16" s="15">
        <f>IFERROR(Q2/P2-1,"")</f>
        <v>0.050000000000000044</v>
      </c>
      <c r="R16" s="15">
        <f>IFERROR(R2/Q2-1,"")</f>
        <v>0.040000000000000036</v>
      </c>
      <c r="S16" s="15">
        <f>IFERROR(S2/R2-1,"")</f>
        <v>0.03499999999999992</v>
      </c>
      <c r="T16" s="15">
        <f>IFERROR(T2/S2-1,"")</f>
        <v>0.030000000000000027</v>
      </c>
      <c r="U16" s="15">
        <f>IFERROR(U2/T2-1,"")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0.596485003906847</v>
      </c>
      <c r="C17" s="15">
        <f>IFERROR(C4/C2,"")</f>
        <v>0.5564699519295614</v>
      </c>
      <c r="D17" s="15">
        <f>IFERROR(D4/D2,"")</f>
        <v>0.5372460738095063</v>
      </c>
      <c r="E17" s="15">
        <f>IFERROR(E4/E2,"")</f>
        <v>0.542277766599225</v>
      </c>
      <c r="F17" s="15">
        <f>IFERROR(F4/F2,"")</f>
        <v>0.5384248062049233</v>
      </c>
      <c r="G17" s="15">
        <f>IFERROR(G4/G2,"")</f>
        <v>0.5433053958752</v>
      </c>
      <c r="H17" s="15">
        <f>IFERROR(H4/H2,"")</f>
        <v>0.5309926305466895</v>
      </c>
      <c r="I17" s="15">
        <f>IFERROR(I4/I2,"")</f>
        <v>0.5667136550946399</v>
      </c>
      <c r="J17" s="15">
        <f>IFERROR(J4/J2,"")</f>
        <v>0.5860604407229593</v>
      </c>
      <c r="K17" s="15">
        <f>IFERROR(K4/K2,"")</f>
        <v>0.5849694060431816</v>
      </c>
      <c r="L17" s="15">
        <f>IFERROR(L4/L2,"")</f>
        <v>0.5850000000000001</v>
      </c>
      <c r="M17" s="15">
        <f>IFERROR(M4/M2,"")</f>
        <v>0.585</v>
      </c>
      <c r="N17" s="15">
        <f>IFERROR(N4/N2,"")</f>
        <v>0.5850000000000001</v>
      </c>
      <c r="O17" s="15">
        <f>IFERROR(O4/O2,"")</f>
        <v>0.585</v>
      </c>
      <c r="P17" s="15">
        <f>IFERROR(P4/P2,"")</f>
        <v>0.585</v>
      </c>
      <c r="Q17" s="15">
        <f>IFERROR(Q4/Q2,"")</f>
        <v>0.585</v>
      </c>
      <c r="R17" s="15">
        <f>IFERROR(R4/R2,"")</f>
        <v>0.585</v>
      </c>
      <c r="S17" s="15">
        <f>IFERROR(S4/S2,"")</f>
        <v>0.585</v>
      </c>
      <c r="T17" s="15">
        <f>IFERROR(T4/T2,"")</f>
        <v>0.585</v>
      </c>
      <c r="U17" s="15">
        <f>IFERROR(U4/U2,"")</f>
        <v>0.585</v>
      </c>
    </row>
    <row r="18">
      <c r="A18" s="14" t="inlineStr">
        <is>
          <t>Operating Margin</t>
        </is>
      </c>
      <c r="B18" s="15">
        <f>IFERROR(B8/B2,"")</f>
        <v>0.19145146271984073</v>
      </c>
      <c r="C18" s="15">
        <f>IFERROR(C8/C2,"")</f>
        <v>0.09585965697884578</v>
      </c>
      <c r="D18" s="15">
        <f>IFERROR(D8/D2,"")</f>
        <v>0.08390604555444048</v>
      </c>
      <c r="E18" s="15">
        <f>IFERROR(E8/E2,"")</f>
        <v>0.13576756949596516</v>
      </c>
      <c r="F18" s="15">
        <f>IFERROR(F8/F2,"")</f>
        <v>0.09159778078599254</v>
      </c>
      <c r="G18" s="15">
        <f>IFERROR(G8/G2,"")</f>
        <v>0.12797691593486216</v>
      </c>
      <c r="H18" s="15">
        <f>IFERROR(H8/H2,"")</f>
        <v>0.13748694466664718</v>
      </c>
      <c r="I18" s="15">
        <f>IFERROR(I8/I2,"")</f>
        <v>0.2324069532574567</v>
      </c>
      <c r="J18" s="15">
        <f>IFERROR(J8/J2,"")</f>
        <v>0.2426136282462176</v>
      </c>
      <c r="K18" s="15">
        <f>IFERROR(K8/K2,"")</f>
        <v>0.22069216785370913</v>
      </c>
      <c r="L18" s="15">
        <f>IFERROR(L8/L2,"")</f>
        <v>0.163</v>
      </c>
      <c r="M18" s="15">
        <f>IFERROR(M8/M2,"")</f>
        <v>0.16600000000000004</v>
      </c>
      <c r="N18" s="15">
        <f>IFERROR(N8/N2,"")</f>
        <v>0.16899999999999998</v>
      </c>
      <c r="O18" s="15">
        <f>IFERROR(O8/O2,"")</f>
        <v>0.17200000000000001</v>
      </c>
      <c r="P18" s="15">
        <f>IFERROR(P8/P2,"")</f>
        <v>0.17500000000000002</v>
      </c>
      <c r="Q18" s="15">
        <f>IFERROR(Q8/Q2,"")</f>
        <v>0.17799999999999996</v>
      </c>
      <c r="R18" s="15">
        <f>IFERROR(R8/R2,"")</f>
        <v>0.18099999999999997</v>
      </c>
      <c r="S18" s="15">
        <f>IFERROR(S8/S2,"")</f>
        <v>0.18399999999999997</v>
      </c>
      <c r="T18" s="15">
        <f>IFERROR(T8/T2,"")</f>
        <v>0.18699999999999997</v>
      </c>
      <c r="U18" s="15">
        <f>IFERROR(U8/U2,"")</f>
        <v>0.19000000000000003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Dr. Reddy's Laboratories Limited: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9" t="n"/>
    </row>
    <row r="7">
      <c r="A7" s="14" t="inlineStr">
        <is>
          <t>Terminal growth override (blank = scenario)</t>
        </is>
      </c>
      <c r="B7" s="59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9" t="n">
        <v>0.105</v>
      </c>
      <c r="C10" s="59" t="n">
        <v>0.095</v>
      </c>
      <c r="D10" s="59" t="n">
        <v>0.08500000000000001</v>
      </c>
      <c r="E10" s="60">
        <f>IF(ISNUMBER($B$6),$B$6,CHOOSE($B$4,B10,C10,D10))</f>
        <v>0.095</v>
      </c>
    </row>
    <row r="11">
      <c r="A11" s="14" t="inlineStr">
        <is>
          <t>Terminal growth</t>
        </is>
      </c>
      <c r="B11" s="59" t="n">
        <v>0.02</v>
      </c>
      <c r="C11" s="59" t="n">
        <v>0.025</v>
      </c>
      <c r="D11" s="59" t="n">
        <v>0.03</v>
      </c>
      <c r="E11" s="60">
        <f>IF(ISNUMBER($B$7),$B$7,CHOOSE($B$4,B11,C11,D11))</f>
        <v>0.025</v>
      </c>
    </row>
    <row r="12">
      <c r="A12" s="14" t="inlineStr">
        <is>
          <t>Revenue growth, first forecast year</t>
        </is>
      </c>
      <c r="B12" s="59" t="n">
        <v>-0.018</v>
      </c>
      <c r="C12" s="59" t="n">
        <v>0.032</v>
      </c>
      <c r="D12" s="59" t="n">
        <v>0.082</v>
      </c>
      <c r="E12" s="60">
        <f>CHOOSE($B$4,B12,C12,D12)</f>
        <v>0.032</v>
      </c>
    </row>
    <row r="13">
      <c r="A13" s="14" t="inlineStr">
        <is>
          <t>Operating margin, year 10</t>
        </is>
      </c>
      <c r="B13" s="59" t="n">
        <v>0.15</v>
      </c>
      <c r="C13" s="59" t="n">
        <v>0.19</v>
      </c>
      <c r="D13" s="59" t="n">
        <v>0.22</v>
      </c>
      <c r="E13" s="60">
        <f>CHOOSE($B$4,B13,C13,D13)</f>
        <v>0.19</v>
      </c>
    </row>
    <row r="14">
      <c r="A14" s="14" t="inlineStr">
        <is>
          <t>Tax rate on operating income</t>
        </is>
      </c>
      <c r="B14" s="59" t="n">
        <v>0.17</v>
      </c>
      <c r="C14" s="59" t="n">
        <v>0.17</v>
      </c>
      <c r="D14" s="59" t="n">
        <v>0.17</v>
      </c>
      <c r="E14" s="60">
        <f>CHOOSE($B$4,B14,C14,D14)</f>
        <v>0.17</v>
      </c>
    </row>
    <row r="15">
      <c r="A15" s="14" t="inlineStr">
        <is>
          <t>Reinvestment, % of revenue increase</t>
        </is>
      </c>
      <c r="B15" s="59" t="n">
        <v>0.25</v>
      </c>
      <c r="C15" s="59" t="n">
        <v>0.25</v>
      </c>
      <c r="D15" s="59" t="n">
        <v>0.25</v>
      </c>
      <c r="E15" s="60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9" t="n">
        <v>0.16</v>
      </c>
    </row>
    <row r="19">
      <c r="A19" s="14" t="inlineStr">
        <is>
          <t>Gross margin (forecast)</t>
        </is>
      </c>
      <c r="B19" s="59" t="n">
        <v>0.585</v>
      </c>
    </row>
    <row r="20">
      <c r="A20" s="14" t="inlineStr">
        <is>
          <t>R&amp;D share of operating expense (forecast)</t>
        </is>
      </c>
      <c r="B20" s="59" t="n">
        <v>0.2309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1</v>
      </c>
    </row>
    <row r="23">
      <c r="A23" s="14" t="inlineStr">
        <is>
          <t>Balance sheet date</t>
        </is>
      </c>
      <c r="B23" s="31" t="n">
        <v>45747</v>
      </c>
    </row>
    <row r="24">
      <c r="A24" s="14" t="inlineStr">
        <is>
          <t>Reporting currency per USD (INR)</t>
        </is>
      </c>
      <c r="B24" s="32" t="n">
        <v>94.95999999999999</v>
      </c>
    </row>
    <row r="25">
      <c r="A25" s="14" t="inlineStr">
        <is>
          <t>Base revenue, FY2025</t>
        </is>
      </c>
      <c r="B25" s="61">
        <f>'Yearly Model'!K2</f>
        <v>3428.128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62">
        <f>NPV!B23</f>
        <v>8114.058974240162</v>
      </c>
      <c r="C29" s="62">
        <f>NPV!B26</f>
        <v>8231.392588393488</v>
      </c>
      <c r="D29" s="35">
        <f>NPV!B28</f>
        <v>9.862006649741975</v>
      </c>
      <c r="E29" s="63">
        <f>NPV!B30</f>
        <v>-0.25625892535882544</v>
      </c>
    </row>
    <row r="30">
      <c r="A30" s="64" t="n">
        <v>1</v>
      </c>
      <c r="B30" s="65">
        <f t="dataTable" ref="B30:E32" r1="B4"/>
        <v>4813.237125382486</v>
      </c>
      <c r="C30" s="65">
        <v>4930.570739535814</v>
      </c>
      <c r="D30" s="39">
        <v>5.907301941701648</v>
      </c>
      <c r="E30" s="66">
        <v>-0.5545021160104338</v>
      </c>
    </row>
    <row r="31">
      <c r="A31" s="64" t="n">
        <v>2</v>
      </c>
      <c r="B31" s="65">
        <v>8114.058974240162</v>
      </c>
      <c r="C31" s="65">
        <v>8231.392588393488</v>
      </c>
      <c r="D31" s="39">
        <v>9.862006649741975</v>
      </c>
      <c r="E31" s="66">
        <v>-0.25625892535882544</v>
      </c>
    </row>
    <row r="32">
      <c r="A32" s="64" t="n">
        <v>3</v>
      </c>
      <c r="B32" s="65">
        <v>13945.688638217896</v>
      </c>
      <c r="C32" s="65">
        <v>14063.022252371224</v>
      </c>
      <c r="D32" s="39">
        <v>16.848864572916973</v>
      </c>
      <c r="E32" s="66">
        <v>0.27065343687156673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9.862006649741975</v>
      </c>
      <c r="B36" s="67" t="n">
        <v>0.015</v>
      </c>
      <c r="C36" s="67" t="n">
        <v>0.02</v>
      </c>
      <c r="D36" s="67" t="n">
        <v>0.025</v>
      </c>
      <c r="E36" s="67" t="n">
        <v>0.03</v>
      </c>
      <c r="F36" s="67" t="n">
        <v>0.035</v>
      </c>
    </row>
    <row r="37">
      <c r="A37" s="68" t="n">
        <v>0.075</v>
      </c>
      <c r="B37" s="39">
        <f t="dataTable" ref="B37:F41" dt2D="1" r1="B7" r2="B6"/>
        <v>12.462749161081677</v>
      </c>
      <c r="C37" s="39">
        <v>13.122691353794849</v>
      </c>
      <c r="D37" s="39">
        <v>13.914621985050655</v>
      </c>
      <c r="E37" s="39">
        <v>14.882537201029978</v>
      </c>
      <c r="F37" s="39">
        <v>16.092431221004126</v>
      </c>
    </row>
    <row r="38">
      <c r="A38" s="68" t="n">
        <v>0.08500000000000001</v>
      </c>
      <c r="B38" s="39">
        <v>10.606042678032786</v>
      </c>
      <c r="C38" s="39">
        <v>11.039682293012184</v>
      </c>
      <c r="D38" s="39">
        <v>11.54559517715481</v>
      </c>
      <c r="E38" s="39">
        <v>12.143492222050645</v>
      </c>
      <c r="F38" s="39">
        <v>12.86096867592564</v>
      </c>
    </row>
    <row r="39">
      <c r="A39" s="68" t="n">
        <v>0.095</v>
      </c>
      <c r="B39" s="39">
        <v>9.223073707415725</v>
      </c>
      <c r="C39" s="39">
        <v>9.521242413834644</v>
      </c>
      <c r="D39" s="39">
        <v>9.862006649741975</v>
      </c>
      <c r="E39" s="39">
        <v>10.255196152711978</v>
      </c>
      <c r="F39" s="39">
        <v>10.713917239510314</v>
      </c>
    </row>
    <row r="40">
      <c r="A40" s="68" t="n">
        <v>0.105</v>
      </c>
      <c r="B40" s="39">
        <v>8.155042231795777</v>
      </c>
      <c r="C40" s="39">
        <v>8.367254448350572</v>
      </c>
      <c r="D40" s="39">
        <v>8.605993191974719</v>
      </c>
      <c r="E40" s="39">
        <v>8.876563768082082</v>
      </c>
      <c r="F40" s="39">
        <v>9.185787283633355</v>
      </c>
    </row>
    <row r="41">
      <c r="A41" s="68" t="n">
        <v>0.115</v>
      </c>
      <c r="B41" s="39">
        <v>7.306762048543193</v>
      </c>
      <c r="C41" s="39">
        <v>7.461952687678302</v>
      </c>
      <c r="D41" s="39">
        <v>7.634386731161756</v>
      </c>
      <c r="E41" s="39">
        <v>7.827107132702089</v>
      </c>
      <c r="F41" s="39">
        <v>8.04391758443496</v>
      </c>
    </row>
    <row r="44">
      <c r="A44" s="27" t="inlineStr">
        <is>
          <t>Reviewed revenue growth by year (base case; blank = fade formula)</t>
        </is>
      </c>
    </row>
    <row r="45">
      <c r="A45" s="14" t="inlineStr">
        <is>
          <t>Fiscal year</t>
        </is>
      </c>
      <c r="B45" s="43" t="n">
        <v>2026</v>
      </c>
      <c r="C45" s="43" t="n">
        <v>2027</v>
      </c>
      <c r="D45" s="43" t="n">
        <v>2028</v>
      </c>
      <c r="E45" s="43" t="n">
        <v>2029</v>
      </c>
      <c r="F45" s="43" t="n">
        <v>2030</v>
      </c>
      <c r="G45" s="43" t="n">
        <v>2031</v>
      </c>
      <c r="H45" s="43" t="n">
        <v>2032</v>
      </c>
      <c r="I45" s="43" t="n">
        <v>2033</v>
      </c>
      <c r="J45" s="43" t="n">
        <v>2034</v>
      </c>
      <c r="K45" s="43" t="n">
        <v>2035</v>
      </c>
    </row>
    <row r="46">
      <c r="A46" s="14" t="inlineStr">
        <is>
          <t>Growth (bear/bull shift by the row-12 gap, fading to 0 by year 10)</t>
        </is>
      </c>
      <c r="B46" s="59" t="n">
        <v>0.032</v>
      </c>
      <c r="C46" s="59" t="n">
        <v>-0.03</v>
      </c>
      <c r="D46" s="59" t="n">
        <v>0.07000000000000001</v>
      </c>
      <c r="E46" s="59" t="n">
        <v>0.07000000000000001</v>
      </c>
      <c r="F46" s="59" t="n">
        <v>0.06</v>
      </c>
      <c r="G46" s="59" t="n">
        <v>0.05</v>
      </c>
      <c r="H46" s="59" t="n">
        <v>0.04</v>
      </c>
      <c r="I46" s="59" t="n">
        <v>0.035</v>
      </c>
      <c r="J46" s="59" t="n">
        <v>0.03</v>
      </c>
      <c r="K46" s="59" t="n">
        <v>0.025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Dr. Reddy's Laboratories Limited: free-cash-flow DCF ($mm)</t>
        </is>
      </c>
    </row>
    <row r="3">
      <c r="A3" s="20" t="inlineStr">
        <is>
          <t>Fiscal year</t>
        </is>
      </c>
      <c r="B3" s="44">
        <f>'Yearly Model'!K1</f>
        <v>2025</v>
      </c>
      <c r="C3" s="44">
        <f>'Yearly Model'!L1</f>
        <v>2026</v>
      </c>
      <c r="D3" s="44">
        <f>'Yearly Model'!M1</f>
        <v>2027</v>
      </c>
      <c r="E3" s="44">
        <f>'Yearly Model'!N1</f>
        <v>2028</v>
      </c>
      <c r="F3" s="44">
        <f>'Yearly Model'!O1</f>
        <v>2029</v>
      </c>
      <c r="G3" s="44">
        <f>'Yearly Model'!P1</f>
        <v>2030</v>
      </c>
      <c r="H3" s="44">
        <f>'Yearly Model'!Q1</f>
        <v>2031</v>
      </c>
      <c r="I3" s="44">
        <f>'Yearly Model'!R1</f>
        <v>2032</v>
      </c>
      <c r="J3" s="44">
        <f>'Yearly Model'!S1</f>
        <v>2033</v>
      </c>
      <c r="K3" s="44">
        <f>'Yearly Model'!T1</f>
        <v>2034</v>
      </c>
      <c r="L3" s="44">
        <f>'Yearly Model'!U1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9">
        <f>IF(ISNUMBER(Assumptions!B$46),Assumptions!B$46+(Assumptions!$E$12-Assumptions!$C$12)*(Assumptions!$B$21-C4)/(Assumptions!$B$21-1),Assumptions!$E$12+(Assumptions!$E$11-Assumptions!$E$12)*(C4-1)/(Assumptions!$B$21-1))</f>
        <v>0.032</v>
      </c>
      <c r="D5" s="69">
        <f>IF(ISNUMBER(Assumptions!C$46),Assumptions!C$46+(Assumptions!$E$12-Assumptions!$C$12)*(Assumptions!$B$21-D4)/(Assumptions!$B$21-1),Assumptions!$E$12+(Assumptions!$E$11-Assumptions!$E$12)*(D4-1)/(Assumptions!$B$21-1))</f>
        <v>-0.03</v>
      </c>
      <c r="E5" s="69">
        <f>IF(ISNUMBER(Assumptions!D$46),Assumptions!D$46+(Assumptions!$E$12-Assumptions!$C$12)*(Assumptions!$B$21-E4)/(Assumptions!$B$21-1),Assumptions!$E$12+(Assumptions!$E$11-Assumptions!$E$12)*(E4-1)/(Assumptions!$B$21-1))</f>
        <v>0.07</v>
      </c>
      <c r="F5" s="69">
        <f>IF(ISNUMBER(Assumptions!E$46),Assumptions!E$46+(Assumptions!$E$12-Assumptions!$C$12)*(Assumptions!$B$21-F4)/(Assumptions!$B$21-1),Assumptions!$E$12+(Assumptions!$E$11-Assumptions!$E$12)*(F4-1)/(Assumptions!$B$21-1))</f>
        <v>0.07</v>
      </c>
      <c r="G5" s="69">
        <f>IF(ISNUMBER(Assumptions!F$46),Assumptions!F$46+(Assumptions!$E$12-Assumptions!$C$12)*(Assumptions!$B$21-G4)/(Assumptions!$B$21-1),Assumptions!$E$12+(Assumptions!$E$11-Assumptions!$E$12)*(G4-1)/(Assumptions!$B$21-1))</f>
        <v>0.06</v>
      </c>
      <c r="H5" s="69">
        <f>IF(ISNUMBER(Assumptions!G$46),Assumptions!G$46+(Assumptions!$E$12-Assumptions!$C$12)*(Assumptions!$B$21-H4)/(Assumptions!$B$21-1),Assumptions!$E$12+(Assumptions!$E$11-Assumptions!$E$12)*(H4-1)/(Assumptions!$B$21-1))</f>
        <v>0.05</v>
      </c>
      <c r="I5" s="69">
        <f>IF(ISNUMBER(Assumptions!H$46),Assumptions!H$46+(Assumptions!$E$12-Assumptions!$C$12)*(Assumptions!$B$21-I4)/(Assumptions!$B$21-1),Assumptions!$E$12+(Assumptions!$E$11-Assumptions!$E$12)*(I4-1)/(Assumptions!$B$21-1))</f>
        <v>0.04</v>
      </c>
      <c r="J5" s="69">
        <f>IF(ISNUMBER(Assumptions!I$46),Assumptions!I$46+(Assumptions!$E$12-Assumptions!$C$12)*(Assumptions!$B$21-J4)/(Assumptions!$B$21-1),Assumptions!$E$12+(Assumptions!$E$11-Assumptions!$E$12)*(J4-1)/(Assumptions!$B$21-1))</f>
        <v>0.035</v>
      </c>
      <c r="K5" s="69">
        <f>IF(ISNUMBER(Assumptions!J$46),Assumptions!J$46+(Assumptions!$E$12-Assumptions!$C$12)*(Assumptions!$B$21-K4)/(Assumptions!$B$21-1),Assumptions!$E$12+(Assumptions!$E$11-Assumptions!$E$12)*(K4-1)/(Assumptions!$B$21-1))</f>
        <v>0.03</v>
      </c>
      <c r="L5" s="69">
        <f>IF(ISNUMBER(Assumptions!K$46),Assumptions!K$46+(Assumptions!$E$12-Assumptions!$C$12)*(Assumptions!$B$21-L4)/(Assumptions!$B$21-1),Assumptions!$E$12+(Assumptions!$E$11-Assumptions!$E$12)*(L4-1)/(Assumptions!$B$21-1))</f>
        <v>0.025</v>
      </c>
    </row>
    <row r="6">
      <c r="A6" s="14" t="inlineStr">
        <is>
          <t>Operating margin</t>
        </is>
      </c>
      <c r="B6" s="69">
        <f>IFERROR(B8/B7,0)</f>
        <v>0.22069216785370913</v>
      </c>
      <c r="C6" s="69">
        <f>Assumptions!$B$18+(Assumptions!$E$13-Assumptions!$B$18)*C4/Assumptions!$B$21</f>
        <v>0.163</v>
      </c>
      <c r="D6" s="69">
        <f>Assumptions!$B$18+(Assumptions!$E$13-Assumptions!$B$18)*D4/Assumptions!$B$21</f>
        <v>0.166</v>
      </c>
      <c r="E6" s="69">
        <f>Assumptions!$B$18+(Assumptions!$E$13-Assumptions!$B$18)*E4/Assumptions!$B$21</f>
        <v>0.169</v>
      </c>
      <c r="F6" s="69">
        <f>Assumptions!$B$18+(Assumptions!$E$13-Assumptions!$B$18)*F4/Assumptions!$B$21</f>
        <v>0.17200000000000001</v>
      </c>
      <c r="G6" s="69">
        <f>Assumptions!$B$18+(Assumptions!$E$13-Assumptions!$B$18)*G4/Assumptions!$B$21</f>
        <v>0.175</v>
      </c>
      <c r="H6" s="69">
        <f>Assumptions!$B$18+(Assumptions!$E$13-Assumptions!$B$18)*H4/Assumptions!$B$21</f>
        <v>0.178</v>
      </c>
      <c r="I6" s="69">
        <f>Assumptions!$B$18+(Assumptions!$E$13-Assumptions!$B$18)*I4/Assumptions!$B$21</f>
        <v>0.181</v>
      </c>
      <c r="J6" s="69">
        <f>Assumptions!$B$18+(Assumptions!$E$13-Assumptions!$B$18)*J4/Assumptions!$B$21</f>
        <v>0.184</v>
      </c>
      <c r="K6" s="69">
        <f>Assumptions!$B$18+(Assumptions!$E$13-Assumptions!$B$18)*K4/Assumptions!$B$21</f>
        <v>0.187</v>
      </c>
      <c r="L6" s="69">
        <f>Assumptions!$B$18+(Assumptions!$E$13-Assumptions!$B$18)*L4/Assumptions!$B$21</f>
        <v>0.19</v>
      </c>
    </row>
    <row r="7">
      <c r="A7" s="14" t="inlineStr">
        <is>
          <t>Revenue</t>
        </is>
      </c>
      <c r="B7" s="61">
        <f>'Yearly Model'!K2</f>
        <v>3428.128</v>
      </c>
      <c r="C7" s="61">
        <f>'Yearly Model'!L2</f>
        <v>3537.828096</v>
      </c>
      <c r="D7" s="61">
        <f>'Yearly Model'!M2</f>
        <v>3431.69325312</v>
      </c>
      <c r="E7" s="61">
        <f>'Yearly Model'!N2</f>
        <v>3671.9117808384003</v>
      </c>
      <c r="F7" s="61">
        <f>'Yearly Model'!O2</f>
        <v>3928.9456054970888</v>
      </c>
      <c r="G7" s="61">
        <f>'Yearly Model'!P2</f>
        <v>4164.682341826914</v>
      </c>
      <c r="H7" s="61">
        <f>'Yearly Model'!Q2</f>
        <v>4372.91645891826</v>
      </c>
      <c r="I7" s="61">
        <f>'Yearly Model'!R2</f>
        <v>4547.83311727499</v>
      </c>
      <c r="J7" s="61">
        <f>'Yearly Model'!S2</f>
        <v>4707.007276379614</v>
      </c>
      <c r="K7" s="61">
        <f>'Yearly Model'!T2</f>
        <v>4848.217494671003</v>
      </c>
      <c r="L7" s="61">
        <f>'Yearly Model'!U2</f>
        <v>4969.422932037777</v>
      </c>
    </row>
    <row r="8">
      <c r="A8" s="14" t="inlineStr">
        <is>
          <t>Operating income</t>
        </is>
      </c>
      <c r="B8" s="61">
        <f>'Yearly Model'!K8</f>
        <v>756.5610000000001</v>
      </c>
      <c r="C8" s="61">
        <f>'Yearly Model'!L8</f>
        <v>576.6659796480001</v>
      </c>
      <c r="D8" s="61">
        <f>'Yearly Model'!M8</f>
        <v>569.6610800179201</v>
      </c>
      <c r="E8" s="61">
        <f>'Yearly Model'!N8</f>
        <v>620.5530909616896</v>
      </c>
      <c r="F8" s="61">
        <f>'Yearly Model'!O8</f>
        <v>675.7786441454994</v>
      </c>
      <c r="G8" s="61">
        <f>'Yearly Model'!P8</f>
        <v>728.81940981971</v>
      </c>
      <c r="H8" s="61">
        <f>'Yearly Model'!Q8</f>
        <v>778.3791296874501</v>
      </c>
      <c r="I8" s="61">
        <f>'Yearly Model'!R8</f>
        <v>823.1577942267731</v>
      </c>
      <c r="J8" s="61">
        <f>'Yearly Model'!S8</f>
        <v>866.0893388538489</v>
      </c>
      <c r="K8" s="61">
        <f>'Yearly Model'!T8</f>
        <v>906.6166715034774</v>
      </c>
      <c r="L8" s="61">
        <f>'Yearly Model'!U8</f>
        <v>944.1903570871777</v>
      </c>
    </row>
    <row r="9">
      <c r="A9" s="14" t="inlineStr">
        <is>
          <t>Tax on operating income</t>
        </is>
      </c>
      <c r="C9" s="58">
        <f>MAX(0,C8)*Assumptions!$E$14</f>
        <v>98.03321654016003</v>
      </c>
      <c r="D9" s="58">
        <f>MAX(0,D8)*Assumptions!$E$14</f>
        <v>96.84238360304641</v>
      </c>
      <c r="E9" s="58">
        <f>MAX(0,E8)*Assumptions!$E$14</f>
        <v>105.49402546348723</v>
      </c>
      <c r="F9" s="58">
        <f>MAX(0,F8)*Assumptions!$E$14</f>
        <v>114.8823695047349</v>
      </c>
      <c r="G9" s="58">
        <f>MAX(0,G8)*Assumptions!$E$14</f>
        <v>123.89929966935071</v>
      </c>
      <c r="H9" s="58">
        <f>MAX(0,H8)*Assumptions!$E$14</f>
        <v>132.32445204686653</v>
      </c>
      <c r="I9" s="58">
        <f>MAX(0,I8)*Assumptions!$E$14</f>
        <v>139.93682501855145</v>
      </c>
      <c r="J9" s="58">
        <f>MAX(0,J8)*Assumptions!$E$14</f>
        <v>147.23518760515432</v>
      </c>
      <c r="K9" s="58">
        <f>MAX(0,K8)*Assumptions!$E$14</f>
        <v>154.12483415559117</v>
      </c>
      <c r="L9" s="58">
        <f>MAX(0,L8)*Assumptions!$E$14</f>
        <v>160.51236070482022</v>
      </c>
    </row>
    <row r="10">
      <c r="A10" s="14" t="inlineStr">
        <is>
          <t>NOPAT</t>
        </is>
      </c>
      <c r="C10" s="58">
        <f>C8-C9</f>
        <v>478.63276310784005</v>
      </c>
      <c r="D10" s="58">
        <f>D8-D9</f>
        <v>472.81869641487367</v>
      </c>
      <c r="E10" s="58">
        <f>E8-E9</f>
        <v>515.0590654982024</v>
      </c>
      <c r="F10" s="58">
        <f>F8-F9</f>
        <v>560.8962746407644</v>
      </c>
      <c r="G10" s="58">
        <f>G8-G9</f>
        <v>604.9201101503593</v>
      </c>
      <c r="H10" s="58">
        <f>H8-H9</f>
        <v>646.0546776405836</v>
      </c>
      <c r="I10" s="58">
        <f>I8-I9</f>
        <v>683.2209692082217</v>
      </c>
      <c r="J10" s="58">
        <f>J8-J9</f>
        <v>718.8541512486945</v>
      </c>
      <c r="K10" s="58">
        <f>K8-K9</f>
        <v>752.4918373478862</v>
      </c>
      <c r="L10" s="58">
        <f>L8-L9</f>
        <v>783.6779963823575</v>
      </c>
    </row>
    <row r="11">
      <c r="A11" s="14" t="inlineStr">
        <is>
          <t>Reinvestment</t>
        </is>
      </c>
      <c r="C11" s="58">
        <f>(C7-B7)*Assumptions!$E$15</f>
        <v>27.425024000000008</v>
      </c>
      <c r="D11" s="58">
        <f>(D7-C7)*Assumptions!$E$15</f>
        <v>-26.533710720000045</v>
      </c>
      <c r="E11" s="58">
        <f>(E7-D7)*Assumptions!$E$15</f>
        <v>60.05463192960008</v>
      </c>
      <c r="F11" s="58">
        <f>(F7-E7)*Assumptions!$E$15</f>
        <v>64.25845616467211</v>
      </c>
      <c r="G11" s="58">
        <f>(G7-F7)*Assumptions!$E$15</f>
        <v>58.93418408245634</v>
      </c>
      <c r="H11" s="58">
        <f>(H7-G7)*Assumptions!$E$15</f>
        <v>52.058529272836495</v>
      </c>
      <c r="I11" s="58">
        <f>(I7-H7)*Assumptions!$E$15</f>
        <v>43.729164589182574</v>
      </c>
      <c r="J11" s="58">
        <f>(J7-I7)*Assumptions!$E$15</f>
        <v>39.79353977615597</v>
      </c>
      <c r="K11" s="58">
        <f>(K7-J7)*Assumptions!$E$15</f>
        <v>35.30255457284716</v>
      </c>
      <c r="L11" s="58">
        <f>(L7-K7)*Assumptions!$E$15</f>
        <v>30.30135934169357</v>
      </c>
    </row>
    <row r="12">
      <c r="A12" s="20" t="inlineStr">
        <is>
          <t>Free cash flow</t>
        </is>
      </c>
      <c r="C12" s="70">
        <f>C10-C11</f>
        <v>451.20773910784004</v>
      </c>
      <c r="D12" s="70">
        <f>D10-D11</f>
        <v>499.3524071348737</v>
      </c>
      <c r="E12" s="70">
        <f>E10-E11</f>
        <v>455.0044335686023</v>
      </c>
      <c r="F12" s="70">
        <f>F10-F11</f>
        <v>496.6378184760923</v>
      </c>
      <c r="G12" s="70">
        <f>G10-G11</f>
        <v>545.9859260679029</v>
      </c>
      <c r="H12" s="70">
        <f>H10-H11</f>
        <v>593.9961483677471</v>
      </c>
      <c r="I12" s="70">
        <f>I10-I11</f>
        <v>639.4918046190392</v>
      </c>
      <c r="J12" s="70">
        <f>J10-J11</f>
        <v>679.0606114725385</v>
      </c>
      <c r="K12" s="70">
        <f>K10-K11</f>
        <v>717.189282775039</v>
      </c>
      <c r="L12" s="70">
        <f>L10-L11</f>
        <v>753.3766370406639</v>
      </c>
    </row>
    <row r="13">
      <c r="A13" s="14" t="inlineStr">
        <is>
          <t>Year fraction</t>
        </is>
      </c>
      <c r="C13" s="47">
        <f>Assumptions!$B$22</f>
        <v>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0.5</v>
      </c>
      <c r="D14" s="11">
        <f>C14+C13/2+D13/2</f>
        <v>1.5</v>
      </c>
      <c r="E14" s="11">
        <f>D14+D13/2+E13/2</f>
        <v>2.5</v>
      </c>
      <c r="F14" s="11">
        <f>E14+E13/2+F13/2</f>
        <v>3.5</v>
      </c>
      <c r="G14" s="11">
        <f>F14+F13/2+G13/2</f>
        <v>4.5</v>
      </c>
      <c r="H14" s="11">
        <f>G14+G13/2+H13/2</f>
        <v>5.5</v>
      </c>
      <c r="I14" s="11">
        <f>H14+H13/2+I13/2</f>
        <v>6.5</v>
      </c>
      <c r="J14" s="11">
        <f>I14+I13/2+J13/2</f>
        <v>7.5</v>
      </c>
      <c r="K14" s="11">
        <f>J14+J13/2+K13/2</f>
        <v>8.5</v>
      </c>
      <c r="L14" s="11">
        <f>K14+K13/2+L13/2</f>
        <v>9.5</v>
      </c>
    </row>
    <row r="15">
      <c r="A15" s="14" t="inlineStr">
        <is>
          <t>Discount factor</t>
        </is>
      </c>
      <c r="C15" s="71">
        <f>1/(1+Assumptions!$E$10)^C14</f>
        <v>0.9556369651349932</v>
      </c>
      <c r="D15" s="71">
        <f>1/(1+Assumptions!$E$10)^D14</f>
        <v>0.8727278220410896</v>
      </c>
      <c r="E15" s="71">
        <f>1/(1+Assumptions!$E$10)^E14</f>
        <v>0.797011709626566</v>
      </c>
      <c r="F15" s="71">
        <f>1/(1+Assumptions!$E$10)^F14</f>
        <v>0.7278645750014301</v>
      </c>
      <c r="G15" s="71">
        <f>1/(1+Assumptions!$E$10)^G14</f>
        <v>0.6647165068506211</v>
      </c>
      <c r="H15" s="71">
        <f>1/(1+Assumptions!$E$10)^H14</f>
        <v>0.6070470382197453</v>
      </c>
      <c r="I15" s="71">
        <f>1/(1+Assumptions!$E$10)^I14</f>
        <v>0.5543808568216853</v>
      </c>
      <c r="J15" s="71">
        <f>1/(1+Assumptions!$E$10)^J14</f>
        <v>0.5062838875083884</v>
      </c>
      <c r="K15" s="71">
        <f>1/(1+Assumptions!$E$10)^K14</f>
        <v>0.4623597146195327</v>
      </c>
      <c r="L15" s="71">
        <f>1/(1+Assumptions!$E$10)^L14</f>
        <v>0.42224631472103447</v>
      </c>
    </row>
    <row r="16">
      <c r="A16" s="20" t="inlineStr">
        <is>
          <t>PV of free cash flow</t>
        </is>
      </c>
      <c r="C16" s="70">
        <f>C12*C13*C15</f>
        <v>431.190794446438</v>
      </c>
      <c r="D16" s="70">
        <f>D12*D13*D15</f>
        <v>435.7987387097938</v>
      </c>
      <c r="E16" s="70">
        <f>E12*E13*E15</f>
        <v>362.643861486179</v>
      </c>
      <c r="F16" s="70">
        <f>F12*F13*F15</f>
        <v>361.4850746747383</v>
      </c>
      <c r="G16" s="70">
        <f>G12*G13*G15</f>
        <v>362.92585756545793</v>
      </c>
      <c r="H16" s="70">
        <f>H12*H13*H15</f>
        <v>360.58360258057724</v>
      </c>
      <c r="I16" s="70">
        <f>I12*I13*I15</f>
        <v>354.52201457514866</v>
      </c>
      <c r="J16" s="70">
        <f>J12*J13*J15</f>
        <v>343.7974462301401</v>
      </c>
      <c r="K16" s="70">
        <f>K12*K13*K15</f>
        <v>331.5994321120544</v>
      </c>
      <c r="L16" s="70">
        <f>L12*L13*L15</f>
        <v>318.1105085873467</v>
      </c>
    </row>
    <row r="19">
      <c r="A19" s="14" t="inlineStr">
        <is>
          <t>PV of forecast free cash flow</t>
        </is>
      </c>
      <c r="B19" s="58">
        <f>SUM(C16:L16)</f>
        <v>3662.6573309678743</v>
      </c>
    </row>
    <row r="20">
      <c r="A20" s="14" t="inlineStr">
        <is>
          <t>Terminal free cash flow (year 11)</t>
        </is>
      </c>
      <c r="B20" s="58">
        <f>L10*(1+Assumptions!$E$11)-L7*Assumptions!$E$11*Assumptions!$E$15</f>
        <v>772.2110529666802</v>
      </c>
    </row>
    <row r="21">
      <c r="A21" s="14" t="inlineStr">
        <is>
          <t>Terminal value</t>
        </is>
      </c>
      <c r="B21" s="58">
        <f>B20/(Assumptions!$E$10-Assumptions!$E$11)</f>
        <v>11031.586470952574</v>
      </c>
    </row>
    <row r="22">
      <c r="A22" s="14" t="inlineStr">
        <is>
          <t>PV of terminal value</t>
        </is>
      </c>
      <c r="B22" s="58">
        <f>B21/(1+Assumptions!$E$10)^(L14+0.5)</f>
        <v>4451.401643272287</v>
      </c>
    </row>
    <row r="23">
      <c r="A23" s="20" t="inlineStr">
        <is>
          <t>Enterprise value</t>
        </is>
      </c>
      <c r="B23" s="72">
        <f>B19+B22</f>
        <v>8114.058974240162</v>
      </c>
    </row>
    <row r="24">
      <c r="A24" s="14" t="inlineStr">
        <is>
          <t>Cash &amp; investments</t>
        </is>
      </c>
      <c r="B24" s="61">
        <f>Main!C7</f>
        <v>609.8146588037068</v>
      </c>
    </row>
    <row r="25">
      <c r="A25" s="14" t="inlineStr">
        <is>
          <t>Debt</t>
        </is>
      </c>
      <c r="B25" s="61">
        <f>Main!C8</f>
        <v>492.48104465037915</v>
      </c>
    </row>
    <row r="26">
      <c r="A26" s="20" t="inlineStr">
        <is>
          <t>Equity value</t>
        </is>
      </c>
      <c r="B26" s="72">
        <f>B23+B24-B25</f>
        <v>8231.392588393488</v>
      </c>
    </row>
    <row r="27">
      <c r="A27" s="14" t="inlineStr">
        <is>
          <t>Shares (mm)</t>
        </is>
      </c>
      <c r="B27" s="61">
        <f>Main!C4</f>
        <v>834.65697</v>
      </c>
    </row>
    <row r="28">
      <c r="A28" s="20" t="inlineStr">
        <is>
          <t>NPV / share</t>
        </is>
      </c>
      <c r="B28" s="50">
        <f>B26/B27</f>
        <v>9.862006649741975</v>
      </c>
    </row>
    <row r="29">
      <c r="A29" s="14" t="inlineStr">
        <is>
          <t>Price</t>
        </is>
      </c>
      <c r="B29" s="51">
        <f>Main!C3</f>
        <v>13.26</v>
      </c>
    </row>
    <row r="30">
      <c r="A30" s="14" t="inlineStr">
        <is>
          <t>Upside</t>
        </is>
      </c>
      <c r="B30" s="69">
        <f>B28/B29-1</f>
        <v>-0.25625892535882544</v>
      </c>
    </row>
    <row r="31">
      <c r="A31" s="14" t="inlineStr">
        <is>
          <t>Terminal value, % of EV</t>
        </is>
      </c>
      <c r="B31" s="69">
        <f>IFERROR(B22/B23,0)</f>
        <v>0.5486035604873253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2" customWidth="1" style="9" min="2" max="2"/>
    <col width="12" customWidth="1" style="9" min="3" max="3"/>
    <col width="12" customWidth="1" style="9" min="4" max="4"/>
    <col width="12" customWidth="1" style="9" min="5" max="5"/>
    <col width="12" customWidth="1" style="9" min="6" max="6"/>
    <col width="12" customWidth="1" style="9" min="7" max="7"/>
    <col width="12" customWidth="1" style="9" min="8" max="8"/>
    <col width="12" customWidth="1" style="9" min="9" max="9"/>
    <col width="12" customWidth="1" style="9" min="10" max="10"/>
    <col width="12" customWidth="1" style="9" min="11" max="11"/>
    <col width="12" customWidth="1" style="9" min="12" max="12"/>
  </cols>
  <sheetData>
    <row r="1">
      <c r="A1" s="20" t="inlineStr">
        <is>
          <t>RDY: options vs. the reviewed DCF (per contract = 100 shares)</t>
        </is>
      </c>
    </row>
    <row r="2">
      <c r="A2" s="21" t="inlineStr">
        <is>
          <t>Market prices are Cboe delayed quotes; blue = input. Probabilities are risk-neutral (lognormal at ATM IV).</t>
        </is>
      </c>
    </row>
    <row r="3">
      <c r="A3" s="27" t="inlineStr">
        <is>
          <t>Inputs</t>
        </is>
      </c>
    </row>
    <row r="4">
      <c r="A4" s="14" t="inlineStr">
        <is>
          <t>Spot (close 2026-10-20)</t>
        </is>
      </c>
      <c r="B4" s="52" t="n">
        <v>13.26</v>
      </c>
    </row>
    <row r="5">
      <c r="A5" s="14" t="inlineStr">
        <is>
          <t>Pricing date</t>
        </is>
      </c>
      <c r="B5" s="31" t="n">
        <v>46315</v>
      </c>
    </row>
    <row r="6">
      <c r="A6" s="14" t="inlineStr">
        <is>
          <t>Near expiry</t>
        </is>
      </c>
      <c r="B6" s="31" t="n">
        <v>46374</v>
      </c>
    </row>
    <row r="7">
      <c r="A7" s="14" t="inlineStr">
        <is>
          <t>Long expiry</t>
        </is>
      </c>
      <c r="B7" s="31" t="n">
        <v>46465</v>
      </c>
    </row>
    <row r="8">
      <c r="A8" s="14" t="inlineStr">
        <is>
          <t>Years to near expiry</t>
        </is>
      </c>
      <c r="B8" s="71">
        <f>(B6-B5)/365</f>
        <v>0.16164383561643836</v>
      </c>
    </row>
    <row r="9">
      <c r="A9" s="14" t="inlineStr">
        <is>
          <t>Years to long expiry</t>
        </is>
      </c>
      <c r="B9" s="71">
        <f>(B7-B5)/365</f>
        <v>0.410958904109589</v>
      </c>
    </row>
    <row r="10">
      <c r="A10" s="14" t="inlineStr">
        <is>
          <t>Risk-free rate</t>
        </is>
      </c>
      <c r="B10" s="59" t="n">
        <v>0.04</v>
      </c>
    </row>
    <row r="11">
      <c r="A11" s="14" t="inlineStr">
        <is>
          <t>Dividend yield</t>
        </is>
      </c>
      <c r="B11" s="59" t="n">
        <v>0.0065</v>
      </c>
    </row>
    <row r="12">
      <c r="A12" s="14" t="inlineStr">
        <is>
          <t>ATM implied volatility, near</t>
        </is>
      </c>
      <c r="B12" s="59" t="n">
        <v>0.442</v>
      </c>
    </row>
    <row r="13">
      <c r="A13" s="14" t="inlineStr">
        <is>
          <t>ATM implied volatility, long</t>
        </is>
      </c>
      <c r="B13" s="59" t="n">
        <v>0.3177</v>
      </c>
    </row>
    <row r="14">
      <c r="A14" s="14" t="inlineStr">
        <is>
          <t>Contract multiplier</t>
        </is>
      </c>
      <c r="B14" s="22" t="n">
        <v>100</v>
      </c>
    </row>
    <row r="16">
      <c r="A16" s="27" t="inlineStr">
        <is>
          <t>Market expectations, near expiry</t>
        </is>
      </c>
    </row>
    <row r="17">
      <c r="A17" s="14" t="inlineStr">
        <is>
          <t>ATM strike</t>
        </is>
      </c>
      <c r="B17" s="30" t="n">
        <v>12.5</v>
      </c>
    </row>
    <row r="18">
      <c r="A18" s="14" t="inlineStr">
        <is>
          <t>ATM call (theo)</t>
        </is>
      </c>
      <c r="B18" s="52" t="n">
        <v>1.3808</v>
      </c>
    </row>
    <row r="19">
      <c r="A19" s="14" t="inlineStr">
        <is>
          <t>ATM put (theo)</t>
        </is>
      </c>
      <c r="B19" s="52" t="n">
        <v>0.5542</v>
      </c>
    </row>
    <row r="20">
      <c r="A20" s="14" t="inlineStr">
        <is>
          <t>Straddle, % of spot (expected move)</t>
        </is>
      </c>
      <c r="B20" s="69">
        <f>(B18+B19)/B4</f>
        <v>0.14592760180995476</v>
      </c>
    </row>
    <row r="21">
      <c r="A21" s="14" t="inlineStr">
        <is>
          <t>Expected range, low</t>
        </is>
      </c>
      <c r="B21" s="53">
        <f>B4*(1-B20)</f>
        <v>11.325</v>
      </c>
    </row>
    <row r="22">
      <c r="A22" s="14" t="inlineStr">
        <is>
          <t>Expected range, high</t>
        </is>
      </c>
      <c r="B22" s="53">
        <f>B4*(1+B20)</f>
        <v>15.194999999999999</v>
      </c>
    </row>
    <row r="23">
      <c r="A23" s="14" t="inlineStr">
        <is>
          <t>1-SD move by long expiry (ATM IV)</t>
        </is>
      </c>
      <c r="B23" s="69">
        <f>B13*SQRT(B9)</f>
        <v>0.20366500496299147</v>
      </c>
    </row>
    <row r="25">
      <c r="A25" s="27" t="inlineStr">
        <is>
          <t>Model vs. market at the long expiry</t>
        </is>
      </c>
    </row>
    <row r="26">
      <c r="A26" s="24" t="inlineStr">
        <is>
          <t>Case</t>
        </is>
      </c>
      <c r="B26" s="25" t="inlineStr">
        <is>
          <t>Value / share</t>
        </is>
      </c>
      <c r="C26" s="25" t="inlineStr">
        <is>
          <t>vs. spot</t>
        </is>
      </c>
      <c r="D26" s="25" t="inlineStr">
        <is>
          <t>Annual return needed</t>
        </is>
      </c>
      <c r="E26" s="25" t="inlineStr">
        <is>
          <t>Market P(above)</t>
        </is>
      </c>
    </row>
    <row r="27">
      <c r="A27" s="14" t="inlineStr">
        <is>
          <t>Forward price at long expiry</t>
        </is>
      </c>
      <c r="B27" s="53">
        <f>B4*EXP((B10-B11)*B9)</f>
        <v>13.44381444964638</v>
      </c>
    </row>
    <row r="28">
      <c r="A28" s="14" t="inlineStr">
        <is>
          <t>Bear</t>
        </is>
      </c>
      <c r="B28" s="51">
        <f>Assumptions!D30</f>
        <v>5.907301941701648</v>
      </c>
      <c r="C28" s="69">
        <f>B28/$B$4-1</f>
        <v>-0.5545021160104338</v>
      </c>
      <c r="D28" s="69">
        <f>IF(B28&gt;0,(B28/$B$4)^(1/$B$9)-1,"")</f>
        <v>-0.8601944526155982</v>
      </c>
      <c r="E28" s="69">
        <f>IF(B28&gt;0,NORMSDIST((LN($B$27/B28)-$B$13^2*$B$9/2)/($B$13*SQRT($B$9))),1)</f>
        <v>0.9999585446255082</v>
      </c>
    </row>
    <row r="29">
      <c r="A29" s="14" t="inlineStr">
        <is>
          <t>Base (reviewed)</t>
        </is>
      </c>
      <c r="B29" s="51">
        <f>Assumptions!D31</f>
        <v>9.862006649741975</v>
      </c>
      <c r="C29" s="69">
        <f>B29/$B$4-1</f>
        <v>-0.25625892535882544</v>
      </c>
      <c r="D29" s="69">
        <f>IF(B29&gt;0,(B29/$B$4)^(1/$B$9)-1,"")</f>
        <v>-0.5134513189376146</v>
      </c>
      <c r="E29" s="69">
        <f>IF(B29&gt;0,NORMSDIST((LN($B$27/B29)-$B$13^2*$B$9/2)/($B$13*SQRT($B$9))),1)</f>
        <v>0.9221142350419415</v>
      </c>
    </row>
    <row r="30">
      <c r="A30" s="14" t="inlineStr">
        <is>
          <t>Bull</t>
        </is>
      </c>
      <c r="B30" s="51">
        <f>Assumptions!D32</f>
        <v>16.848864572916973</v>
      </c>
      <c r="C30" s="69">
        <f>B30/$B$4-1</f>
        <v>0.27065343687156673</v>
      </c>
      <c r="D30" s="69">
        <f>IF(B30&gt;0,(B30/$B$4)^(1/$B$9)-1,"")</f>
        <v>0.7911528468747115</v>
      </c>
      <c r="E30" s="69">
        <f>IF(B30&gt;0,NORMSDIST((LN($B$27/B30)-$B$13^2*$B$9/2)/($B$13*SQRT($B$9))),1)</f>
        <v>0.11307424897072241</v>
      </c>
    </row>
    <row r="32">
      <c r="A32" s="27" t="inlineStr">
        <is>
          <t>Chain, 2027-03-19 expiry</t>
        </is>
      </c>
    </row>
    <row r="33">
      <c r="A33" s="54" t="inlineStr">
        <is>
          <t>Strike</t>
        </is>
      </c>
      <c r="B33" s="54" t="inlineStr">
        <is>
          <t>Call bid</t>
        </is>
      </c>
      <c r="C33" s="54" t="inlineStr">
        <is>
          <t>Call ask</t>
        </is>
      </c>
      <c r="D33" s="54" t="inlineStr">
        <is>
          <t>Call IV</t>
        </is>
      </c>
      <c r="E33" s="54" t="inlineStr">
        <is>
          <t>Put bid</t>
        </is>
      </c>
      <c r="F33" s="54" t="inlineStr">
        <is>
          <t>Put ask</t>
        </is>
      </c>
      <c r="G33" s="54" t="inlineStr">
        <is>
          <t>Put IV</t>
        </is>
      </c>
      <c r="H33" s="54" t="inlineStr">
        <is>
          <t>Call OI</t>
        </is>
      </c>
      <c r="I33" s="54" t="inlineStr">
        <is>
          <t>Put OI</t>
        </is>
      </c>
    </row>
    <row r="34">
      <c r="A34" s="11" t="n">
        <v>5</v>
      </c>
      <c r="B34" s="52" t="n">
        <v>6.6</v>
      </c>
      <c r="C34" s="52" t="n">
        <v>10.1</v>
      </c>
      <c r="D34" s="59" t="n">
        <v>0.9905</v>
      </c>
      <c r="E34" s="52" t="n">
        <v>0</v>
      </c>
      <c r="F34" s="52" t="n">
        <v>1</v>
      </c>
      <c r="G34" s="59" t="n">
        <v>1.4293</v>
      </c>
      <c r="H34" s="55" t="n">
        <v>0</v>
      </c>
      <c r="I34" s="55" t="n">
        <v>0</v>
      </c>
    </row>
    <row r="35">
      <c r="A35" s="11" t="n">
        <v>7.5</v>
      </c>
      <c r="B35" s="52" t="n">
        <v>4.2</v>
      </c>
      <c r="C35" s="52" t="n">
        <v>7.5</v>
      </c>
      <c r="D35" s="59" t="n">
        <v>0.5992</v>
      </c>
      <c r="E35" s="52" t="n">
        <v>0</v>
      </c>
      <c r="F35" s="52" t="n">
        <v>1.7</v>
      </c>
      <c r="G35" s="59" t="n">
        <v>1.1391</v>
      </c>
      <c r="H35" s="55" t="n">
        <v>2</v>
      </c>
      <c r="I35" s="55" t="n">
        <v>350</v>
      </c>
    </row>
    <row r="36">
      <c r="A36" s="11" t="n">
        <v>10</v>
      </c>
      <c r="B36" s="52" t="n">
        <v>1.95</v>
      </c>
      <c r="C36" s="52" t="n">
        <v>4.9</v>
      </c>
      <c r="D36" s="59" t="n">
        <v>0.3799</v>
      </c>
      <c r="E36" s="52" t="n">
        <v>0</v>
      </c>
      <c r="F36" s="52" t="n">
        <v>0.75</v>
      </c>
      <c r="G36" s="59" t="n">
        <v>0.5042</v>
      </c>
      <c r="H36" s="55" t="n">
        <v>3</v>
      </c>
      <c r="I36" s="55" t="n">
        <v>154</v>
      </c>
    </row>
    <row r="37">
      <c r="A37" s="11" t="n">
        <v>12.5</v>
      </c>
      <c r="B37" s="52" t="n">
        <v>0.15</v>
      </c>
      <c r="C37" s="52" t="n">
        <v>1.95</v>
      </c>
      <c r="D37" s="59" t="n">
        <v>0.1551</v>
      </c>
      <c r="E37" s="52" t="n">
        <v>0.2</v>
      </c>
      <c r="F37" s="52" t="n">
        <v>2.3</v>
      </c>
      <c r="G37" s="59" t="n">
        <v>0.5081</v>
      </c>
      <c r="H37" s="55" t="n">
        <v>166</v>
      </c>
      <c r="I37" s="55" t="n">
        <v>2</v>
      </c>
    </row>
    <row r="38">
      <c r="A38" s="11" t="n">
        <v>15</v>
      </c>
      <c r="B38" s="52" t="n">
        <v>0.15</v>
      </c>
      <c r="C38" s="52" t="n">
        <v>1.2</v>
      </c>
      <c r="D38" s="59" t="n">
        <v>0.3792</v>
      </c>
      <c r="E38" s="52" t="n">
        <v>0.8</v>
      </c>
      <c r="F38" s="52" t="n">
        <v>4.2</v>
      </c>
      <c r="G38" s="59" t="n">
        <v>0.428</v>
      </c>
      <c r="H38" s="55" t="n">
        <v>13</v>
      </c>
      <c r="I38" s="55" t="n">
        <v>11</v>
      </c>
    </row>
    <row r="39">
      <c r="A39" s="11" t="n">
        <v>17.5</v>
      </c>
      <c r="B39" s="52" t="n">
        <v>0</v>
      </c>
      <c r="C39" s="52" t="n">
        <v>0.75</v>
      </c>
      <c r="D39" s="59" t="n">
        <v>0.4418</v>
      </c>
      <c r="E39" s="52" t="n">
        <v>2.15</v>
      </c>
      <c r="F39" s="52" t="n">
        <v>6.4</v>
      </c>
      <c r="G39" s="59" t="n">
        <v>0.3005</v>
      </c>
      <c r="H39" s="55" t="n">
        <v>4</v>
      </c>
      <c r="I39" s="55" t="n">
        <v>0</v>
      </c>
    </row>
    <row r="40">
      <c r="A40" s="11" t="n">
        <v>20</v>
      </c>
      <c r="B40" s="52" t="n">
        <v>0</v>
      </c>
      <c r="C40" s="52" t="n">
        <v>2.2</v>
      </c>
      <c r="D40" s="59" t="n">
        <v>0.8407</v>
      </c>
      <c r="E40" s="52" t="n">
        <v>5.1</v>
      </c>
      <c r="F40" s="52" t="n">
        <v>8.4</v>
      </c>
      <c r="G40" s="59" t="n">
        <v>0.3825</v>
      </c>
      <c r="H40" s="55" t="n">
        <v>0</v>
      </c>
      <c r="I40" s="55" t="n">
        <v>0</v>
      </c>
    </row>
    <row r="41">
      <c r="A41" s="11" t="n">
        <v>22.5</v>
      </c>
      <c r="B41" s="52" t="n">
        <v>0</v>
      </c>
      <c r="C41" s="52" t="n">
        <v>2.2</v>
      </c>
      <c r="D41" s="59" t="n">
        <v>0.9556</v>
      </c>
      <c r="E41" s="52" t="n">
        <v>7.5</v>
      </c>
      <c r="F41" s="52" t="n">
        <v>10.9</v>
      </c>
      <c r="G41" s="59" t="n">
        <v>0</v>
      </c>
      <c r="H41" s="55" t="n">
        <v>0</v>
      </c>
      <c r="I41" s="55" t="n">
        <v>0</v>
      </c>
    </row>
    <row r="43">
      <c r="A43" s="27" t="inlineStr">
        <is>
          <t>Strategies, 2027-03-19 expiry (premium: + = credit; P/L at expiry per contract)</t>
        </is>
      </c>
    </row>
    <row r="44">
      <c r="A44" s="20" t="inlineStr">
        <is>
          <t>Leg prices</t>
        </is>
      </c>
    </row>
    <row r="45">
      <c r="A45" s="14" t="inlineStr">
        <is>
          <t>ATM call (theo)</t>
        </is>
      </c>
      <c r="B45" s="30" t="n">
        <v>12.5</v>
      </c>
      <c r="C45" s="52" t="n">
        <v>1.5643</v>
      </c>
    </row>
    <row r="46">
      <c r="A46" s="14" t="inlineStr">
        <is>
          <t>Upper call (theo)</t>
        </is>
      </c>
      <c r="B46" s="30" t="n">
        <v>17.5</v>
      </c>
      <c r="C46" s="52" t="n">
        <v>0.1409</v>
      </c>
    </row>
    <row r="47">
      <c r="A47" s="14" t="inlineStr">
        <is>
          <t>ATM put (theo)</t>
        </is>
      </c>
      <c r="B47" s="30" t="n">
        <v>12.5</v>
      </c>
      <c r="C47" s="52" t="n">
        <v>0.6359</v>
      </c>
    </row>
    <row r="48">
      <c r="A48" s="14" t="inlineStr">
        <is>
          <t>Lower put (theo)</t>
        </is>
      </c>
      <c r="B48" s="30" t="n">
        <v>5</v>
      </c>
      <c r="C48" s="52" t="n">
        <v>0</v>
      </c>
    </row>
    <row r="49">
      <c r="A49" s="14" t="inlineStr">
        <is>
          <t>Short-put strike (theo)</t>
        </is>
      </c>
      <c r="B49" s="30" t="n">
        <v>10</v>
      </c>
      <c r="C49" s="52" t="n">
        <v>0.07539999999999999</v>
      </c>
    </row>
    <row r="51">
      <c r="A51" s="24" t="inlineStr">
        <is>
          <t>Strategy</t>
        </is>
      </c>
      <c r="B51" s="25" t="inlineStr">
        <is>
          <t>Premium</t>
        </is>
      </c>
      <c r="C51" s="25" t="inlineStr">
        <is>
          <t>Max profit</t>
        </is>
      </c>
      <c r="D51" s="25" t="inlineStr">
        <is>
          <t>Max loss</t>
        </is>
      </c>
      <c r="E51" s="25" t="inlineStr">
        <is>
          <t>Breakeven</t>
        </is>
      </c>
      <c r="F51" s="25" t="inlineStr">
        <is>
          <t>P/L at bear</t>
        </is>
      </c>
      <c r="G51" s="25" t="inlineStr">
        <is>
          <t>P/L at spot</t>
        </is>
      </c>
      <c r="H51" s="25" t="inlineStr">
        <is>
          <t>P/L at base</t>
        </is>
      </c>
      <c r="I51" s="25" t="inlineStr">
        <is>
          <t>P/L at bull</t>
        </is>
      </c>
      <c r="J51" s="25" t="inlineStr">
        <is>
          <t>Market P(profit)</t>
        </is>
      </c>
    </row>
    <row r="52">
      <c r="A52" s="14" t="inlineStr">
        <is>
          <t>Long ATM call</t>
        </is>
      </c>
      <c r="B52" s="73">
        <f>-$C$45*$B$14</f>
        <v>-156.43</v>
      </c>
      <c r="C52" s="73" t="str">
        <f>"Unlimited"</f>
        <v>Unlimited</v>
      </c>
      <c r="D52" s="73">
        <f>B52</f>
        <v>-156.43</v>
      </c>
      <c r="E52" s="53">
        <f>$B$45+$C$45</f>
        <v>14.0643</v>
      </c>
      <c r="F52" s="73">
        <f>(MAX($B$28-$B$45,0)-$C$45)*$B$14</f>
        <v>-156.43</v>
      </c>
      <c r="G52" s="73">
        <f>(MAX($B$4-$B$45,0)-$C$45)*$B$14</f>
        <v>-80.43000000000002</v>
      </c>
      <c r="H52" s="73">
        <f>(MAX($B$29-$B$45,0)-$C$45)*$B$14</f>
        <v>-156.43</v>
      </c>
      <c r="I52" s="73">
        <f>(MAX($B$30-$B$45,0)-$C$45)*$B$14</f>
        <v>278.4564572916973</v>
      </c>
      <c r="J52" s="69">
        <f>NORMSDIST((LN($B$27/(E52))-$B$13^2*$B$9/2)/($B$13*SQRT($B$9)))</f>
        <v>0.3732054259579788</v>
      </c>
    </row>
    <row r="53">
      <c r="A53" s="14" t="inlineStr">
        <is>
          <t>Bull call spread (ATM / upper)</t>
        </is>
      </c>
      <c r="B53" s="73">
        <f>-($C$45-$C$46)*$B$14</f>
        <v>-142.34</v>
      </c>
      <c r="C53" s="73">
        <f>($B$46-$B$45)*$B$14+B53</f>
        <v>357.65999999999997</v>
      </c>
      <c r="D53" s="73">
        <f>B53</f>
        <v>-142.34</v>
      </c>
      <c r="E53" s="53">
        <f>$B$45+$C$45-$C$46</f>
        <v>13.923399999999999</v>
      </c>
      <c r="F53" s="73">
        <f>(MAX($B$28-$B$45,0)-MAX($B$28-$B$46,0)-$C$45+$C$46)*$B$14</f>
        <v>-142.34</v>
      </c>
      <c r="G53" s="73">
        <f>(MAX($B$4-$B$45,0)-MAX($B$4-$B$46,0)-$C$45+$C$46)*$B$14</f>
        <v>-66.34000000000002</v>
      </c>
      <c r="H53" s="73">
        <f>(MAX($B$29-$B$45,0)-MAX($B$29-$B$46,0)-$C$45+$C$46)*$B$14</f>
        <v>-142.34</v>
      </c>
      <c r="I53" s="73">
        <f>(MAX($B$30-$B$45,0)-MAX($B$30-$B$46,0)-$C$45+$C$46)*$B$14</f>
        <v>292.54645729169727</v>
      </c>
      <c r="J53" s="69">
        <f>NORMSDIST((LN($B$27/(E53))-$B$13^2*$B$9/2)/($B$13*SQRT($B$9)))</f>
        <v>0.39206631737296294</v>
      </c>
    </row>
    <row r="54">
      <c r="A54" s="14" t="inlineStr">
        <is>
          <t>Cash-secured put (~10% below spot)</t>
        </is>
      </c>
      <c r="B54" s="73">
        <f>$C$49*$B$14</f>
        <v>7.539999999999999</v>
      </c>
      <c r="C54" s="73">
        <f>B54</f>
        <v>7.539999999999999</v>
      </c>
      <c r="D54" s="73">
        <f>-($B$49*$B$14-B54)</f>
        <v>-992.46</v>
      </c>
      <c r="E54" s="53">
        <f>$B$49-$C$49</f>
        <v>9.9246</v>
      </c>
      <c r="F54" s="73">
        <f>($C$49-MAX($B$49-$B$28,0))*$B$14</f>
        <v>-401.72980582983524</v>
      </c>
      <c r="G54" s="73">
        <f>($C$49-MAX($B$49-$B$4,0))*$B$14</f>
        <v>7.539999999999999</v>
      </c>
      <c r="H54" s="73">
        <f>($C$49-MAX($B$49-$B$29,0))*$B$14</f>
        <v>-6.259335025802507</v>
      </c>
      <c r="I54" s="73">
        <f>($C$49-MAX($B$49-$B$30,0))*$B$14</f>
        <v>7.539999999999999</v>
      </c>
      <c r="J54" s="69">
        <f>NORMSDIST((LN($B$27/(E54))-$B$13^2*$B$9/2)/($B$13*SQRT($B$9)))</f>
        <v>0.9174881586532265</v>
      </c>
    </row>
    <row r="55">
      <c r="A55" s="14" t="inlineStr">
        <is>
          <t>Covered call (100 shares + upper call, incl. dividends)</t>
        </is>
      </c>
      <c r="B55" s="73">
        <f>$C$46*$B$14</f>
        <v>14.09</v>
      </c>
      <c r="C55" s="73">
        <f>($B$46-$B$4)*$B$14+B55+$B$4*$B$11*$B$9*$B$14</f>
        <v>441.6320547945205</v>
      </c>
      <c r="D55" s="73">
        <f>-($B$4*$B$14-B55-$B$4*$B$11*$B$9*$B$14)</f>
        <v>-1308.3679452054796</v>
      </c>
      <c r="E55" s="53">
        <f>$B$4-$C$46-$B$4*$B$11*$B$9</f>
        <v>13.083679452054794</v>
      </c>
      <c r="F55" s="73">
        <f>($B$28-$B$4+$C$46-MAX($B$28-$B$46,0)+$B$4*$B$11*$B$9)*$B$14</f>
        <v>-717.6377510353146</v>
      </c>
      <c r="G55" s="73">
        <f>($B$4-$B$4+$C$46-MAX($B$4-$B$46,0)+$B$4*$B$11*$B$9)*$B$14</f>
        <v>17.632054794520545</v>
      </c>
      <c r="H55" s="73">
        <f>($B$29-$B$4+$C$46-MAX($B$29-$B$46,0)+$B$4*$B$11*$B$9)*$B$14</f>
        <v>-322.16728023128195</v>
      </c>
      <c r="I55" s="73">
        <f>($B$30-$B$4+$C$46-MAX($B$30-$B$46,0)+$B$4*$B$11*$B$9)*$B$14</f>
        <v>376.51851208621787</v>
      </c>
      <c r="J55" s="69">
        <f>NORMSDIST((LN($B$27/(E55))-$B$13^2*$B$9/2)/($B$13*SQRT($B$9)))</f>
        <v>0.5125613404371667</v>
      </c>
    </row>
    <row r="56">
      <c r="A56" s="14" t="inlineStr">
        <is>
          <t>Bear put spread (ATM / lower)</t>
        </is>
      </c>
      <c r="B56" s="73">
        <f>-($C$47-$C$48)*$B$14</f>
        <v>-63.59</v>
      </c>
      <c r="C56" s="73">
        <f>($B$47-$B$48)*$B$14+B56</f>
        <v>686.41</v>
      </c>
      <c r="D56" s="73">
        <f>B56</f>
        <v>-63.59</v>
      </c>
      <c r="E56" s="53">
        <f>$B$47-$C$47+$C$48</f>
        <v>11.8641</v>
      </c>
      <c r="F56" s="73">
        <f>(MAX($B$47-$B$28,0)-MAX($B$48-$B$28,0)-$C$47+$C$48)*$B$14</f>
        <v>595.6798058298352</v>
      </c>
      <c r="G56" s="73">
        <f>(MAX($B$47-$B$4,0)-MAX($B$48-$B$4,0)-$C$47+$C$48)*$B$14</f>
        <v>-63.59</v>
      </c>
      <c r="H56" s="73">
        <f>(MAX($B$47-$B$29,0)-MAX($B$48-$B$29,0)-$C$47+$C$48)*$B$14</f>
        <v>200.20933502580252</v>
      </c>
      <c r="I56" s="73">
        <f>(MAX($B$47-$B$30,0)-MAX($B$48-$B$30,0)-$C$47+$C$48)*$B$14</f>
        <v>-63.59</v>
      </c>
      <c r="J56" s="69">
        <f>1-NORMSDIST((LN($B$27/(E56))-$B$13^2*$B$9/2)/($B$13*SQRT($B$9)))</f>
        <v>0.304349775051044</v>
      </c>
    </row>
    <row r="58">
      <c r="A58" s="21" t="inlineStr">
        <is>
          <t>Model output, not a recommendation. Not a licensed advisor.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2026-10-21T01:03:53Z</dcterms:modified>
  <cp:lastModifiedBy>Wang, Eric</cp:lastModifiedBy>
</cp:coreProperties>
</file>