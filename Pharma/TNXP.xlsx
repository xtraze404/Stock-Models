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Tonix Pharmaceuticals Holding Corp.</t>
        </is>
      </c>
      <c r="C2" s="10" t="n"/>
    </row>
    <row r="3">
      <c r="B3" t="inlineStr">
        <is>
          <t>Price</t>
        </is>
      </c>
      <c r="C3" s="11">
        <f>INDEX([1]Pharma!$F$1:$F$1000,MATCH("TNXP",[1]Pharma!$B$1:$B$1000,0))</f>
        <v>5.78</v>
      </c>
      <c r="F3" s="1" t="n"/>
    </row>
    <row r="4">
      <c r="B4" t="inlineStr">
        <is>
          <t>Shares</t>
        </is>
      </c>
      <c r="C4" s="21" t="n">
        <v>17.151024</v>
      </c>
      <c r="F4" s="1" t="n"/>
    </row>
    <row r="5">
      <c r="B5" t="inlineStr">
        <is>
          <t>Market Cap.</t>
        </is>
      </c>
      <c r="C5" s="13">
        <f>C3*C4</f>
        <v>99.13291872</v>
      </c>
      <c r="F5" s="1" t="n"/>
    </row>
    <row r="6"/>
    <row r="7">
      <c r="B7" t="inlineStr">
        <is>
          <t>Cash</t>
        </is>
      </c>
      <c r="C7" s="21" t="n">
        <v>176.232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-77.09908128</v>
      </c>
    </row>
    <row r="10"/>
    <row r="11">
      <c r="B11" s="14" t="inlineStr">
        <is>
          <t>Net Cash / Share</t>
        </is>
      </c>
      <c r="C11" s="11">
        <f>(C7-C8)/C4</f>
        <v>10.27530484477195</v>
      </c>
    </row>
    <row r="12">
      <c r="B12" s="14" t="inlineStr">
        <is>
          <t>Upside</t>
        </is>
      </c>
      <c r="C12" s="15">
        <f>IFERROR(C11/C3-1,"")</f>
        <v>0.7777344022096799</v>
      </c>
    </row>
    <row r="13">
      <c r="B13" s="14" t="inlineStr">
        <is>
          <t>Cash / Share</t>
        </is>
      </c>
      <c r="C13" s="11">
        <f>IFERROR((C7-C8)/C4,"")</f>
        <v>10.27530484477195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-152.993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1.1518958383716902</v>
      </c>
    </row>
    <row r="19">
      <c r="B19" s="14" t="inlineStr">
        <is>
          <t>Implied Pipeline Value</t>
        </is>
      </c>
      <c r="C19" s="13">
        <f>C9</f>
        <v>-77.09908128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2008</v>
      </c>
      <c r="C1" s="17" t="n">
        <v>2009</v>
      </c>
      <c r="D1" s="17" t="n">
        <v>2010</v>
      </c>
      <c r="E1" s="17" t="n">
        <v>2011</v>
      </c>
      <c r="F1" s="17" t="n">
        <v>2012</v>
      </c>
      <c r="G1" s="17" t="n">
        <v>2013</v>
      </c>
      <c r="H1" s="17" t="n">
        <v>2014</v>
      </c>
      <c r="I1" s="17" t="n">
        <v>2015</v>
      </c>
      <c r="J1" s="17" t="n">
        <v>2016</v>
      </c>
      <c r="K1" s="17" t="n">
        <v>2017</v>
      </c>
      <c r="L1" s="17" t="n">
        <v>2018</v>
      </c>
      <c r="M1" s="17" t="n">
        <v>2019</v>
      </c>
      <c r="N1" s="17" t="n">
        <v>2020</v>
      </c>
      <c r="O1" s="17" t="n">
        <v>2021</v>
      </c>
      <c r="P1" s="17" t="n">
        <v>2022</v>
      </c>
      <c r="Q1" s="17" t="n">
        <v>2023</v>
      </c>
      <c r="R1" s="17" t="n">
        <v>2024</v>
      </c>
      <c r="S1" s="17" t="n">
        <v>2025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7.768</v>
      </c>
      <c r="R2" s="23" t="n">
        <v>10.094</v>
      </c>
      <c r="S2" s="23" t="n">
        <v>13.107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4.741</v>
      </c>
      <c r="R3" s="23" t="n">
        <v>7.765</v>
      </c>
      <c r="S3" s="23" t="n">
        <v>6.64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3.027</v>
      </c>
      <c r="R4" s="23">
        <f>R2-R3</f>
        <v>2.3289999999999997</v>
      </c>
      <c r="S4" s="23">
        <f>S2-S3</f>
        <v>6.467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0.584</v>
      </c>
      <c r="E5" s="23" t="n">
        <v>1.158</v>
      </c>
      <c r="F5" s="23" t="n">
        <v>2.584</v>
      </c>
      <c r="G5" s="23" t="n">
        <v>4.65</v>
      </c>
      <c r="H5" s="23" t="n">
        <v>18.617</v>
      </c>
      <c r="I5" s="23" t="n">
        <v>35.504</v>
      </c>
      <c r="J5" s="23" t="n">
        <v>28.533</v>
      </c>
      <c r="K5" s="23" t="n">
        <v>13.342</v>
      </c>
      <c r="L5" s="23" t="n">
        <v>17.558</v>
      </c>
      <c r="M5" s="23" t="n">
        <v>18.192</v>
      </c>
      <c r="N5" s="23" t="n">
        <v>36.157</v>
      </c>
      <c r="O5" s="23" t="n">
        <v>68.83799999999999</v>
      </c>
      <c r="P5" s="23" t="n">
        <v>81.876</v>
      </c>
      <c r="Q5" s="23" t="n">
        <v>86.655</v>
      </c>
      <c r="R5" s="23" t="n">
        <v>39.972</v>
      </c>
      <c r="S5" s="23" t="n">
        <v>44.486</v>
      </c>
    </row>
    <row r="6">
      <c r="A6" s="19" t="inlineStr">
        <is>
          <t>SG&amp;A &amp; Other</t>
        </is>
      </c>
      <c r="B6" s="23" t="n">
        <v>0.202</v>
      </c>
      <c r="C6" s="23" t="n">
        <v>0.221</v>
      </c>
      <c r="D6" s="23" t="n">
        <v>1.344</v>
      </c>
      <c r="E6" s="23" t="n">
        <v>2.22</v>
      </c>
      <c r="F6" s="23" t="n">
        <v>4.078</v>
      </c>
      <c r="G6" s="23" t="n">
        <v>6.238</v>
      </c>
      <c r="H6" s="23" t="n">
        <v>9.039</v>
      </c>
      <c r="I6" s="23" t="n">
        <v>12.658</v>
      </c>
      <c r="J6" s="23" t="n">
        <v>10.436</v>
      </c>
      <c r="K6" s="23" t="n">
        <v>7.949</v>
      </c>
      <c r="L6" s="23" t="n">
        <v>8.763999999999999</v>
      </c>
      <c r="M6" s="23" t="n">
        <v>10.636</v>
      </c>
      <c r="N6" s="23" t="n">
        <v>14.354</v>
      </c>
      <c r="O6" s="23" t="n">
        <v>23.474</v>
      </c>
      <c r="P6" s="23" t="n">
        <v>30.215</v>
      </c>
      <c r="Q6" s="23" t="n">
        <v>34.752</v>
      </c>
      <c r="R6" s="23" t="n">
        <v>99.05800000000001</v>
      </c>
      <c r="S6" s="23" t="n">
        <v>87.684</v>
      </c>
    </row>
    <row r="7">
      <c r="A7" s="2" t="inlineStr">
        <is>
          <t>Operating Expense</t>
        </is>
      </c>
      <c r="B7" s="23">
        <f>SUM(B5:B6)</f>
        <v>0.202</v>
      </c>
      <c r="C7" s="23">
        <f>SUM(C5:C6)</f>
        <v>0.221</v>
      </c>
      <c r="D7" s="23">
        <f>SUM(D5:D6)</f>
        <v>1.928</v>
      </c>
      <c r="E7" s="23">
        <f>SUM(E5:E6)</f>
        <v>3.378</v>
      </c>
      <c r="F7" s="23">
        <f>SUM(F5:F6)</f>
        <v>6.662000000000001</v>
      </c>
      <c r="G7" s="23">
        <f>SUM(G5:G6)</f>
        <v>10.888000000000002</v>
      </c>
      <c r="H7" s="23">
        <f>SUM(H5:H6)</f>
        <v>27.656</v>
      </c>
      <c r="I7" s="23">
        <f>SUM(I5:I6)</f>
        <v>48.162</v>
      </c>
      <c r="J7" s="23">
        <f>SUM(J5:J6)</f>
        <v>38.969</v>
      </c>
      <c r="K7" s="23">
        <f>SUM(K5:K6)</f>
        <v>21.291</v>
      </c>
      <c r="L7" s="23">
        <f>SUM(L5:L6)</f>
        <v>26.322</v>
      </c>
      <c r="M7" s="23">
        <f>SUM(M5:M6)</f>
        <v>28.828</v>
      </c>
      <c r="N7" s="23">
        <f>SUM(N5:N6)</f>
        <v>50.510999999999996</v>
      </c>
      <c r="O7" s="23">
        <f>SUM(O5:O6)</f>
        <v>92.312</v>
      </c>
      <c r="P7" s="23">
        <f>SUM(P5:P6)</f>
        <v>112.09100000000001</v>
      </c>
      <c r="Q7" s="23">
        <f>SUM(Q5:Q6)</f>
        <v>121.40700000000001</v>
      </c>
      <c r="R7" s="23">
        <f>SUM(R5:R6)</f>
        <v>139.03</v>
      </c>
      <c r="S7" s="23">
        <f>SUM(S5:S6)</f>
        <v>132.17</v>
      </c>
    </row>
    <row r="8">
      <c r="A8" s="2" t="inlineStr">
        <is>
          <t>Operating Income</t>
        </is>
      </c>
      <c r="B8" s="23">
        <f>B4-B7</f>
        <v>-0.202</v>
      </c>
      <c r="C8" s="23">
        <f>C4-C7</f>
        <v>-0.221</v>
      </c>
      <c r="D8" s="23">
        <f>D4-D7</f>
        <v>-1.928</v>
      </c>
      <c r="E8" s="23">
        <f>E4-E7</f>
        <v>-3.378</v>
      </c>
      <c r="F8" s="23">
        <f>F4-F7</f>
        <v>-6.662000000000001</v>
      </c>
      <c r="G8" s="23">
        <f>G4-G7</f>
        <v>-10.888000000000002</v>
      </c>
      <c r="H8" s="23">
        <f>H4-H7</f>
        <v>-27.656</v>
      </c>
      <c r="I8" s="23">
        <f>I4-I7</f>
        <v>-48.162</v>
      </c>
      <c r="J8" s="23">
        <f>J4-J7</f>
        <v>-38.969</v>
      </c>
      <c r="K8" s="23">
        <f>K4-K7</f>
        <v>-21.291</v>
      </c>
      <c r="L8" s="23">
        <f>L4-L7</f>
        <v>-26.322</v>
      </c>
      <c r="M8" s="23">
        <f>M4-M7</f>
        <v>-28.828</v>
      </c>
      <c r="N8" s="23">
        <f>N4-N7</f>
        <v>-50.510999999999996</v>
      </c>
      <c r="O8" s="23">
        <f>O4-O7</f>
        <v>-92.312</v>
      </c>
      <c r="P8" s="23">
        <f>P4-P7</f>
        <v>-112.09100000000001</v>
      </c>
      <c r="Q8" s="23">
        <f>Q4-Q7</f>
        <v>-118.38000000000001</v>
      </c>
      <c r="R8" s="23">
        <f>R4-R7</f>
        <v>-136.701</v>
      </c>
      <c r="S8" s="23">
        <f>S4-S7</f>
        <v>-125.70299999999999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-0.035</v>
      </c>
      <c r="E9" s="23" t="n">
        <v>-0.091</v>
      </c>
      <c r="F9" s="23" t="n">
        <v>-2.788</v>
      </c>
      <c r="G9" s="23" t="n">
        <v>0.004</v>
      </c>
      <c r="H9" s="23" t="n">
        <v>0.04</v>
      </c>
      <c r="I9" s="23" t="n">
        <v>0.108</v>
      </c>
      <c r="J9" s="23" t="n">
        <v>0.127</v>
      </c>
      <c r="K9" s="23" t="n">
        <v>0.168</v>
      </c>
      <c r="L9" s="23" t="n">
        <v>0.233</v>
      </c>
      <c r="M9" s="23" t="n">
        <v>0.21</v>
      </c>
      <c r="N9" s="23" t="n">
        <v>0.048</v>
      </c>
      <c r="O9" s="23" t="n">
        <v>0.025</v>
      </c>
      <c r="P9" s="23" t="n">
        <v>1.873</v>
      </c>
      <c r="Q9" s="23" t="n">
        <v>1.722</v>
      </c>
      <c r="R9" s="23" t="n">
        <v>6.665</v>
      </c>
      <c r="S9" s="23" t="n">
        <v>1.682</v>
      </c>
    </row>
    <row r="10">
      <c r="A10" s="2" t="inlineStr">
        <is>
          <t>Pretax</t>
        </is>
      </c>
      <c r="B10" s="23">
        <f>B8+B9</f>
        <v>-0.202</v>
      </c>
      <c r="C10" s="23">
        <f>C8+C9</f>
        <v>-0.221</v>
      </c>
      <c r="D10" s="23">
        <f>D8+D9</f>
        <v>-1.9629999999999999</v>
      </c>
      <c r="E10" s="23">
        <f>E8+E9</f>
        <v>-3.4690000000000003</v>
      </c>
      <c r="F10" s="23">
        <f>F8+F9</f>
        <v>-9.450000000000001</v>
      </c>
      <c r="G10" s="23">
        <f>G8+G9</f>
        <v>-10.884000000000002</v>
      </c>
      <c r="H10" s="23">
        <f>H8+H9</f>
        <v>-27.616</v>
      </c>
      <c r="I10" s="23">
        <f>I8+I9</f>
        <v>-48.054</v>
      </c>
      <c r="J10" s="23">
        <f>J8+J9</f>
        <v>-38.842</v>
      </c>
      <c r="K10" s="23">
        <f>K8+K9</f>
        <v>-21.123</v>
      </c>
      <c r="L10" s="23">
        <f>L8+L9</f>
        <v>-26.089</v>
      </c>
      <c r="M10" s="23">
        <f>M8+M9</f>
        <v>-28.618</v>
      </c>
      <c r="N10" s="23">
        <f>N8+N9</f>
        <v>-50.462999999999994</v>
      </c>
      <c r="O10" s="23">
        <f>O8+O9</f>
        <v>-92.28699999999999</v>
      </c>
      <c r="P10" s="23">
        <f>P8+P9</f>
        <v>-110.218</v>
      </c>
      <c r="Q10" s="23">
        <f>Q8+Q9</f>
        <v>-116.65800000000002</v>
      </c>
      <c r="R10" s="23">
        <f>R8+R9</f>
        <v>-130.036</v>
      </c>
      <c r="S10" s="23">
        <f>S8+S9</f>
        <v>-124.02099999999999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</row>
    <row r="12">
      <c r="A12" s="2" t="inlineStr">
        <is>
          <t>Net Income</t>
        </is>
      </c>
      <c r="B12" s="23" t="n">
        <v>-0.202</v>
      </c>
      <c r="C12" s="23" t="n">
        <v>-0.221</v>
      </c>
      <c r="D12" s="23" t="n">
        <v>-1.964</v>
      </c>
      <c r="E12" s="23" t="n">
        <v>-3.47</v>
      </c>
      <c r="F12" s="23" t="n">
        <v>-9.449999999999999</v>
      </c>
      <c r="G12" s="23" t="n">
        <v>-10.884</v>
      </c>
      <c r="H12" s="23" t="n">
        <v>-27.616</v>
      </c>
      <c r="I12" s="23" t="n">
        <v>-48.054</v>
      </c>
      <c r="J12" s="23" t="n">
        <v>-38.842</v>
      </c>
      <c r="K12" s="23" t="n">
        <v>-21.123</v>
      </c>
      <c r="L12" s="23" t="n">
        <v>-26.089</v>
      </c>
      <c r="M12" s="23" t="n">
        <v>-28.618</v>
      </c>
      <c r="N12" s="23" t="n">
        <v>-50.463</v>
      </c>
      <c r="O12" s="23" t="n">
        <v>-92.28700000000001</v>
      </c>
      <c r="P12" s="23" t="n">
        <v>-110.218</v>
      </c>
      <c r="Q12" s="23" t="n">
        <v>-116.658</v>
      </c>
      <c r="R12" s="23" t="n">
        <v>-130.036</v>
      </c>
      <c r="S12" s="23" t="n">
        <v>-124.021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-0.14117168429617577</v>
      </c>
      <c r="F13" s="11">
        <f>IFERROR(F12/F14,0)</f>
        <v>-0.24321820147217788</v>
      </c>
      <c r="G13" s="11">
        <f>IFERROR(G12/G14,0)</f>
        <v>-0.14680136496675253</v>
      </c>
      <c r="H13" s="11">
        <f>IFERROR(H12/H14,0)</f>
        <v>-0.12053493487901114</v>
      </c>
      <c r="I13" s="11">
        <f>IFERROR(I12/I14,0)</f>
        <v>-0.20788468443525396</v>
      </c>
      <c r="J13" s="11">
        <f>IFERROR(J12/J14,0)</f>
        <v>-0.11191724773814325</v>
      </c>
      <c r="K13" s="11">
        <f>IFERROR(K12/K14,0)</f>
        <v>-0.2302083787436244</v>
      </c>
      <c r="L13" s="11">
        <f>IFERROR(L12/L14,0)</f>
        <v>-0.2795889060356653</v>
      </c>
      <c r="M13" s="11">
        <f>IFERROR(M12/M14,0)</f>
        <v>-0.3015404716245548</v>
      </c>
      <c r="N13" s="11">
        <f>IFERROR(N12/N14,0)</f>
        <v>-0.5334806326116374</v>
      </c>
      <c r="O13" s="11">
        <f>IFERROR(O12/O14,0)</f>
        <v>-8.104592956880653</v>
      </c>
      <c r="P13" s="11">
        <f>IFERROR(P12/P14,0)</f>
        <v>-18.869714090053073</v>
      </c>
      <c r="Q13" s="11">
        <f>IFERROR(Q12/Q14,0)</f>
        <v>-14.7202523659306</v>
      </c>
      <c r="R13" s="11">
        <f>IFERROR(R12/R14,0)</f>
        <v>-176.67934782608697</v>
      </c>
      <c r="S13" s="11">
        <f>IFERROR(S12/S14,0)</f>
        <v>-14.571848196451652</v>
      </c>
    </row>
    <row r="14">
      <c r="A14" s="2" t="inlineStr">
        <is>
          <t>Shares</t>
        </is>
      </c>
      <c r="B14" s="23" t="n"/>
      <c r="C14" s="23" t="n"/>
      <c r="D14" s="23" t="n"/>
      <c r="E14" s="23" t="n">
        <v>24.58</v>
      </c>
      <c r="F14" s="23" t="n">
        <v>38.854</v>
      </c>
      <c r="G14" s="23" t="n">
        <v>74.14100000000001</v>
      </c>
      <c r="H14" s="23" t="n">
        <v>229.112</v>
      </c>
      <c r="I14" s="23" t="n">
        <v>231.157</v>
      </c>
      <c r="J14" s="23" t="n">
        <v>347.06</v>
      </c>
      <c r="K14" s="23" t="n">
        <v>91.756</v>
      </c>
      <c r="L14" s="23" t="n">
        <v>93.312</v>
      </c>
      <c r="M14" s="23" t="n">
        <v>94.90600000000001</v>
      </c>
      <c r="N14" s="23" t="n">
        <v>94.592</v>
      </c>
      <c r="O14" s="23" t="n">
        <v>11.387</v>
      </c>
      <c r="P14" s="23" t="n">
        <v>5.841</v>
      </c>
      <c r="Q14" s="23" t="n">
        <v>7.925</v>
      </c>
      <c r="R14" s="23" t="n">
        <v>0.736</v>
      </c>
      <c r="S14" s="23" t="n">
        <v>8.510999999999999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>0.29943357363542744</v>
      </c>
      <c r="S16" s="15">
        <f>IFERROR(S2/R2-1,"")</f>
        <v>0.2984941549435307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>0.38967559217301756</v>
      </c>
      <c r="R17" s="15">
        <f>IFERROR(R4/R2,"")</f>
        <v>0.23073112740241727</v>
      </c>
      <c r="S17" s="15">
        <f>IFERROR(S4/S2,"")</f>
        <v>0.4934004730296788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>-15.239443872296603</v>
      </c>
      <c r="R18" s="15">
        <f>IFERROR(R8/R2,"")</f>
        <v>-13.542797701604915</v>
      </c>
      <c r="S18" s="15">
        <f>IFERROR(S8/S2,"")</f>
        <v>-9.590524147402151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2026-10-21T01:05:55Z</dcterms:modified>
  <cp:lastModifiedBy>Wang, Eric</cp:lastModifiedBy>
</cp:coreProperties>
</file>