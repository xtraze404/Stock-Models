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Tonix Pharmaceuticals Holding Corp.</t>
        </is>
      </c>
      <c r="C2" s="10" t="n"/>
    </row>
    <row r="3">
      <c r="B3" t="inlineStr">
        <is>
          <t>Price</t>
        </is>
      </c>
      <c r="C3" s="11">
        <f>INDEX([1]Pharma!$F$1:$F$1000,MATCH("TNXP",[1]Pharma!$B$1:$B$1000,0))</f>
        <v>5.78</v>
      </c>
      <c r="F3" s="1" t="n"/>
    </row>
    <row r="4">
      <c r="B4" t="inlineStr">
        <is>
          <t>Shares</t>
        </is>
      </c>
      <c r="C4" s="21" t="n">
        <v>17.151024</v>
      </c>
      <c r="F4" s="1" t="n"/>
    </row>
    <row r="5">
      <c r="B5" t="inlineStr">
        <is>
          <t>Market Cap.</t>
        </is>
      </c>
      <c r="C5" s="13">
        <f>C3*C4</f>
        <v>99.13291872</v>
      </c>
      <c r="F5" s="1" t="n"/>
    </row>
    <row r="6"/>
    <row r="7">
      <c r="B7" t="inlineStr">
        <is>
          <t>Cash</t>
        </is>
      </c>
      <c r="C7" s="21" t="n">
        <v>176.232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-77.09908128</v>
      </c>
    </row>
    <row r="10"/>
    <row r="11">
      <c r="B11" s="14" t="inlineStr">
        <is>
          <t>rNPV / Share</t>
        </is>
      </c>
      <c r="C11" s="11">
        <f>NPV!B27</f>
        <v>15.803658800461456</v>
      </c>
    </row>
    <row r="12">
      <c r="B12" s="14" t="inlineStr">
        <is>
          <t>Upside</t>
        </is>
      </c>
      <c r="C12" s="15">
        <f>IFERROR(C11/C3-1,"")</f>
        <v>1.7341970243012899</v>
      </c>
    </row>
    <row r="13">
      <c r="B13" s="14" t="inlineStr">
        <is>
          <t>Cash / Share</t>
        </is>
      </c>
      <c r="C13" s="11">
        <f>IFERROR((C7-C8)/C4,"")</f>
        <v>10.27530484477195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-152.993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1.1518958383716902</v>
      </c>
    </row>
    <row r="19">
      <c r="B19" s="14" t="inlineStr">
        <is>
          <t>Implied Pipeline Value</t>
        </is>
      </c>
      <c r="C19" s="13">
        <f>C9</f>
        <v>-77.09908128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2008</v>
      </c>
      <c r="C1" s="17" t="n">
        <v>2009</v>
      </c>
      <c r="D1" s="17" t="n">
        <v>2010</v>
      </c>
      <c r="E1" s="17" t="n">
        <v>2011</v>
      </c>
      <c r="F1" s="17" t="n">
        <v>2012</v>
      </c>
      <c r="G1" s="17" t="n">
        <v>2013</v>
      </c>
      <c r="H1" s="17" t="n">
        <v>2014</v>
      </c>
      <c r="I1" s="17" t="n">
        <v>2015</v>
      </c>
      <c r="J1" s="17" t="n">
        <v>2016</v>
      </c>
      <c r="K1" s="17" t="n">
        <v>2017</v>
      </c>
      <c r="L1" s="17" t="n">
        <v>2018</v>
      </c>
      <c r="M1" s="17" t="n">
        <v>2019</v>
      </c>
      <c r="N1" s="17" t="n">
        <v>2020</v>
      </c>
      <c r="O1" s="17" t="n">
        <v>2021</v>
      </c>
      <c r="P1" s="17" t="n">
        <v>2022</v>
      </c>
      <c r="Q1" s="17" t="n">
        <v>2023</v>
      </c>
      <c r="R1" s="17" t="n">
        <v>2024</v>
      </c>
      <c r="S1" s="17" t="n">
        <v>2025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7.768</v>
      </c>
      <c r="R2" s="23" t="n">
        <v>10.094</v>
      </c>
      <c r="S2" s="23" t="n">
        <v>13.107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4.741</v>
      </c>
      <c r="R3" s="23" t="n">
        <v>7.765</v>
      </c>
      <c r="S3" s="23" t="n">
        <v>6.64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3.027</v>
      </c>
      <c r="R4" s="23">
        <f>R2-R3</f>
        <v>2.3289999999999997</v>
      </c>
      <c r="S4" s="23">
        <f>S2-S3</f>
        <v>6.467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0.584</v>
      </c>
      <c r="E5" s="23" t="n">
        <v>1.158</v>
      </c>
      <c r="F5" s="23" t="n">
        <v>2.584</v>
      </c>
      <c r="G5" s="23" t="n">
        <v>4.65</v>
      </c>
      <c r="H5" s="23" t="n">
        <v>18.617</v>
      </c>
      <c r="I5" s="23" t="n">
        <v>35.504</v>
      </c>
      <c r="J5" s="23" t="n">
        <v>28.533</v>
      </c>
      <c r="K5" s="23" t="n">
        <v>13.342</v>
      </c>
      <c r="L5" s="23" t="n">
        <v>17.558</v>
      </c>
      <c r="M5" s="23" t="n">
        <v>18.192</v>
      </c>
      <c r="N5" s="23" t="n">
        <v>36.157</v>
      </c>
      <c r="O5" s="23" t="n">
        <v>68.83799999999999</v>
      </c>
      <c r="P5" s="23" t="n">
        <v>81.876</v>
      </c>
      <c r="Q5" s="23" t="n">
        <v>86.655</v>
      </c>
      <c r="R5" s="23" t="n">
        <v>39.972</v>
      </c>
      <c r="S5" s="23" t="n">
        <v>44.486</v>
      </c>
    </row>
    <row r="6">
      <c r="A6" s="19" t="inlineStr">
        <is>
          <t>SG&amp;A &amp; Other</t>
        </is>
      </c>
      <c r="B6" s="23" t="n">
        <v>0.202</v>
      </c>
      <c r="C6" s="23" t="n">
        <v>0.221</v>
      </c>
      <c r="D6" s="23" t="n">
        <v>1.344</v>
      </c>
      <c r="E6" s="23" t="n">
        <v>2.22</v>
      </c>
      <c r="F6" s="23" t="n">
        <v>4.078</v>
      </c>
      <c r="G6" s="23" t="n">
        <v>6.238</v>
      </c>
      <c r="H6" s="23" t="n">
        <v>9.039</v>
      </c>
      <c r="I6" s="23" t="n">
        <v>12.658</v>
      </c>
      <c r="J6" s="23" t="n">
        <v>10.436</v>
      </c>
      <c r="K6" s="23" t="n">
        <v>7.949</v>
      </c>
      <c r="L6" s="23" t="n">
        <v>8.763999999999999</v>
      </c>
      <c r="M6" s="23" t="n">
        <v>10.636</v>
      </c>
      <c r="N6" s="23" t="n">
        <v>14.354</v>
      </c>
      <c r="O6" s="23" t="n">
        <v>23.474</v>
      </c>
      <c r="P6" s="23" t="n">
        <v>30.215</v>
      </c>
      <c r="Q6" s="23" t="n">
        <v>34.752</v>
      </c>
      <c r="R6" s="23" t="n">
        <v>99.05800000000001</v>
      </c>
      <c r="S6" s="23" t="n">
        <v>87.684</v>
      </c>
    </row>
    <row r="7">
      <c r="A7" s="2" t="inlineStr">
        <is>
          <t>Operating Expense</t>
        </is>
      </c>
      <c r="B7" s="23">
        <f>SUM(B5:B6)</f>
        <v>0.202</v>
      </c>
      <c r="C7" s="23">
        <f>SUM(C5:C6)</f>
        <v>0.221</v>
      </c>
      <c r="D7" s="23">
        <f>SUM(D5:D6)</f>
        <v>1.928</v>
      </c>
      <c r="E7" s="23">
        <f>SUM(E5:E6)</f>
        <v>3.378</v>
      </c>
      <c r="F7" s="23">
        <f>SUM(F5:F6)</f>
        <v>6.662000000000001</v>
      </c>
      <c r="G7" s="23">
        <f>SUM(G5:G6)</f>
        <v>10.888000000000002</v>
      </c>
      <c r="H7" s="23">
        <f>SUM(H5:H6)</f>
        <v>27.656</v>
      </c>
      <c r="I7" s="23">
        <f>SUM(I5:I6)</f>
        <v>48.162</v>
      </c>
      <c r="J7" s="23">
        <f>SUM(J5:J6)</f>
        <v>38.969</v>
      </c>
      <c r="K7" s="23">
        <f>SUM(K5:K6)</f>
        <v>21.291</v>
      </c>
      <c r="L7" s="23">
        <f>SUM(L5:L6)</f>
        <v>26.322</v>
      </c>
      <c r="M7" s="23">
        <f>SUM(M5:M6)</f>
        <v>28.828</v>
      </c>
      <c r="N7" s="23">
        <f>SUM(N5:N6)</f>
        <v>50.510999999999996</v>
      </c>
      <c r="O7" s="23">
        <f>SUM(O5:O6)</f>
        <v>92.312</v>
      </c>
      <c r="P7" s="23">
        <f>SUM(P5:P6)</f>
        <v>112.09100000000001</v>
      </c>
      <c r="Q7" s="23">
        <f>SUM(Q5:Q6)</f>
        <v>121.40700000000001</v>
      </c>
      <c r="R7" s="23">
        <f>SUM(R5:R6)</f>
        <v>139.03</v>
      </c>
      <c r="S7" s="23">
        <f>SUM(S5:S6)</f>
        <v>132.17</v>
      </c>
    </row>
    <row r="8">
      <c r="A8" s="2" t="inlineStr">
        <is>
          <t>Operating Income</t>
        </is>
      </c>
      <c r="B8" s="23">
        <f>B4-B7</f>
        <v>-0.202</v>
      </c>
      <c r="C8" s="23">
        <f>C4-C7</f>
        <v>-0.221</v>
      </c>
      <c r="D8" s="23">
        <f>D4-D7</f>
        <v>-1.928</v>
      </c>
      <c r="E8" s="23">
        <f>E4-E7</f>
        <v>-3.378</v>
      </c>
      <c r="F8" s="23">
        <f>F4-F7</f>
        <v>-6.662000000000001</v>
      </c>
      <c r="G8" s="23">
        <f>G4-G7</f>
        <v>-10.888000000000002</v>
      </c>
      <c r="H8" s="23">
        <f>H4-H7</f>
        <v>-27.656</v>
      </c>
      <c r="I8" s="23">
        <f>I4-I7</f>
        <v>-48.162</v>
      </c>
      <c r="J8" s="23">
        <f>J4-J7</f>
        <v>-38.969</v>
      </c>
      <c r="K8" s="23">
        <f>K4-K7</f>
        <v>-21.291</v>
      </c>
      <c r="L8" s="23">
        <f>L4-L7</f>
        <v>-26.322</v>
      </c>
      <c r="M8" s="23">
        <f>M4-M7</f>
        <v>-28.828</v>
      </c>
      <c r="N8" s="23">
        <f>N4-N7</f>
        <v>-50.510999999999996</v>
      </c>
      <c r="O8" s="23">
        <f>O4-O7</f>
        <v>-92.312</v>
      </c>
      <c r="P8" s="23">
        <f>P4-P7</f>
        <v>-112.09100000000001</v>
      </c>
      <c r="Q8" s="23">
        <f>Q4-Q7</f>
        <v>-118.38000000000001</v>
      </c>
      <c r="R8" s="23">
        <f>R4-R7</f>
        <v>-136.701</v>
      </c>
      <c r="S8" s="23">
        <f>S4-S7</f>
        <v>-125.70299999999999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-0.035</v>
      </c>
      <c r="E9" s="23" t="n">
        <v>-0.091</v>
      </c>
      <c r="F9" s="23" t="n">
        <v>-2.788</v>
      </c>
      <c r="G9" s="23" t="n">
        <v>0.004</v>
      </c>
      <c r="H9" s="23" t="n">
        <v>0.04</v>
      </c>
      <c r="I9" s="23" t="n">
        <v>0.108</v>
      </c>
      <c r="J9" s="23" t="n">
        <v>0.127</v>
      </c>
      <c r="K9" s="23" t="n">
        <v>0.168</v>
      </c>
      <c r="L9" s="23" t="n">
        <v>0.233</v>
      </c>
      <c r="M9" s="23" t="n">
        <v>0.21</v>
      </c>
      <c r="N9" s="23" t="n">
        <v>0.048</v>
      </c>
      <c r="O9" s="23" t="n">
        <v>0.025</v>
      </c>
      <c r="P9" s="23" t="n">
        <v>1.873</v>
      </c>
      <c r="Q9" s="23" t="n">
        <v>1.722</v>
      </c>
      <c r="R9" s="23" t="n">
        <v>6.665</v>
      </c>
      <c r="S9" s="23" t="n">
        <v>1.682</v>
      </c>
    </row>
    <row r="10">
      <c r="A10" s="2" t="inlineStr">
        <is>
          <t>Pretax</t>
        </is>
      </c>
      <c r="B10" s="23">
        <f>B8+B9</f>
        <v>-0.202</v>
      </c>
      <c r="C10" s="23">
        <f>C8+C9</f>
        <v>-0.221</v>
      </c>
      <c r="D10" s="23">
        <f>D8+D9</f>
        <v>-1.9629999999999999</v>
      </c>
      <c r="E10" s="23">
        <f>E8+E9</f>
        <v>-3.4690000000000003</v>
      </c>
      <c r="F10" s="23">
        <f>F8+F9</f>
        <v>-9.450000000000001</v>
      </c>
      <c r="G10" s="23">
        <f>G8+G9</f>
        <v>-10.884000000000002</v>
      </c>
      <c r="H10" s="23">
        <f>H8+H9</f>
        <v>-27.616</v>
      </c>
      <c r="I10" s="23">
        <f>I8+I9</f>
        <v>-48.054</v>
      </c>
      <c r="J10" s="23">
        <f>J8+J9</f>
        <v>-38.842</v>
      </c>
      <c r="K10" s="23">
        <f>K8+K9</f>
        <v>-21.123</v>
      </c>
      <c r="L10" s="23">
        <f>L8+L9</f>
        <v>-26.089</v>
      </c>
      <c r="M10" s="23">
        <f>M8+M9</f>
        <v>-28.618</v>
      </c>
      <c r="N10" s="23">
        <f>N8+N9</f>
        <v>-50.462999999999994</v>
      </c>
      <c r="O10" s="23">
        <f>O8+O9</f>
        <v>-92.28699999999999</v>
      </c>
      <c r="P10" s="23">
        <f>P8+P9</f>
        <v>-110.218</v>
      </c>
      <c r="Q10" s="23">
        <f>Q8+Q9</f>
        <v>-116.65800000000002</v>
      </c>
      <c r="R10" s="23">
        <f>R8+R9</f>
        <v>-130.036</v>
      </c>
      <c r="S10" s="23">
        <f>S8+S9</f>
        <v>-124.02099999999999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</row>
    <row r="12">
      <c r="A12" s="2" t="inlineStr">
        <is>
          <t>Net Income</t>
        </is>
      </c>
      <c r="B12" s="23" t="n">
        <v>-0.202</v>
      </c>
      <c r="C12" s="23" t="n">
        <v>-0.221</v>
      </c>
      <c r="D12" s="23" t="n">
        <v>-1.964</v>
      </c>
      <c r="E12" s="23" t="n">
        <v>-3.47</v>
      </c>
      <c r="F12" s="23" t="n">
        <v>-9.449999999999999</v>
      </c>
      <c r="G12" s="23" t="n">
        <v>-10.884</v>
      </c>
      <c r="H12" s="23" t="n">
        <v>-27.616</v>
      </c>
      <c r="I12" s="23" t="n">
        <v>-48.054</v>
      </c>
      <c r="J12" s="23" t="n">
        <v>-38.842</v>
      </c>
      <c r="K12" s="23" t="n">
        <v>-21.123</v>
      </c>
      <c r="L12" s="23" t="n">
        <v>-26.089</v>
      </c>
      <c r="M12" s="23" t="n">
        <v>-28.618</v>
      </c>
      <c r="N12" s="23" t="n">
        <v>-50.463</v>
      </c>
      <c r="O12" s="23" t="n">
        <v>-92.28700000000001</v>
      </c>
      <c r="P12" s="23" t="n">
        <v>-110.218</v>
      </c>
      <c r="Q12" s="23" t="n">
        <v>-116.658</v>
      </c>
      <c r="R12" s="23" t="n">
        <v>-130.036</v>
      </c>
      <c r="S12" s="23" t="n">
        <v>-124.021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-0.14117168429617577</v>
      </c>
      <c r="F13" s="11">
        <f>IFERROR(F12/F14,0)</f>
        <v>-0.24321820147217788</v>
      </c>
      <c r="G13" s="11">
        <f>IFERROR(G12/G14,0)</f>
        <v>-0.14680136496675253</v>
      </c>
      <c r="H13" s="11">
        <f>IFERROR(H12/H14,0)</f>
        <v>-0.12053493487901114</v>
      </c>
      <c r="I13" s="11">
        <f>IFERROR(I12/I14,0)</f>
        <v>-0.20788468443525396</v>
      </c>
      <c r="J13" s="11">
        <f>IFERROR(J12/J14,0)</f>
        <v>-0.11191724773814325</v>
      </c>
      <c r="K13" s="11">
        <f>IFERROR(K12/K14,0)</f>
        <v>-0.2302083787436244</v>
      </c>
      <c r="L13" s="11">
        <f>IFERROR(L12/L14,0)</f>
        <v>-0.2795889060356653</v>
      </c>
      <c r="M13" s="11">
        <f>IFERROR(M12/M14,0)</f>
        <v>-0.3015404716245548</v>
      </c>
      <c r="N13" s="11">
        <f>IFERROR(N12/N14,0)</f>
        <v>-0.5334806326116374</v>
      </c>
      <c r="O13" s="11">
        <f>IFERROR(O12/O14,0)</f>
        <v>-8.104592956880653</v>
      </c>
      <c r="P13" s="11">
        <f>IFERROR(P12/P14,0)</f>
        <v>-18.869714090053073</v>
      </c>
      <c r="Q13" s="11">
        <f>IFERROR(Q12/Q14,0)</f>
        <v>-14.7202523659306</v>
      </c>
      <c r="R13" s="11">
        <f>IFERROR(R12/R14,0)</f>
        <v>-176.67934782608697</v>
      </c>
      <c r="S13" s="11">
        <f>IFERROR(S12/S14,0)</f>
        <v>-14.571848196451652</v>
      </c>
    </row>
    <row r="14">
      <c r="A14" s="2" t="inlineStr">
        <is>
          <t>Shares</t>
        </is>
      </c>
      <c r="B14" s="23" t="n"/>
      <c r="C14" s="23" t="n"/>
      <c r="D14" s="23" t="n"/>
      <c r="E14" s="23" t="n">
        <v>24.58</v>
      </c>
      <c r="F14" s="23" t="n">
        <v>38.854</v>
      </c>
      <c r="G14" s="23" t="n">
        <v>74.14100000000001</v>
      </c>
      <c r="H14" s="23" t="n">
        <v>229.112</v>
      </c>
      <c r="I14" s="23" t="n">
        <v>231.157</v>
      </c>
      <c r="J14" s="23" t="n">
        <v>347.06</v>
      </c>
      <c r="K14" s="23" t="n">
        <v>91.756</v>
      </c>
      <c r="L14" s="23" t="n">
        <v>93.312</v>
      </c>
      <c r="M14" s="23" t="n">
        <v>94.90600000000001</v>
      </c>
      <c r="N14" s="23" t="n">
        <v>94.592</v>
      </c>
      <c r="O14" s="23" t="n">
        <v>11.387</v>
      </c>
      <c r="P14" s="23" t="n">
        <v>5.841</v>
      </c>
      <c r="Q14" s="23" t="n">
        <v>7.925</v>
      </c>
      <c r="R14" s="23" t="n">
        <v>0.736</v>
      </c>
      <c r="S14" s="23" t="n">
        <v>8.510999999999999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>0.29943357363542744</v>
      </c>
      <c r="S16" s="15">
        <f>IFERROR(S2/R2-1,"")</f>
        <v>0.2984941549435307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>0.38967559217301756</v>
      </c>
      <c r="R17" s="15">
        <f>IFERROR(R4/R2,"")</f>
        <v>0.23073112740241727</v>
      </c>
      <c r="S17" s="15">
        <f>IFERROR(S4/S2,"")</f>
        <v>0.4934004730296788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>-15.239443872296603</v>
      </c>
      <c r="R18" s="15">
        <f>IFERROR(R8/R2,"")</f>
        <v>-13.542797701604915</v>
      </c>
      <c r="S18" s="15">
        <f>IFERROR(S8/S2,"")</f>
        <v>-9.590524147402151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Tonix Pharmaceuticals Holding Corp.: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1.0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165.425</v>
      </c>
    </row>
    <row r="19">
      <c r="A19" s="14" t="inlineStr">
        <is>
          <t>Years of full burn (until the first launch, max 4)</t>
        </is>
      </c>
      <c r="B19" s="39">
        <f>MIN(4,MAX(1,MIN(Pipeline!I4:I5)-2026))</f>
        <v>1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840.2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94.81693137452565</v>
      </c>
      <c r="C29" s="42">
        <f>NPV!B25</f>
        <v>271.04893137452564</v>
      </c>
      <c r="D29" s="43">
        <f>NPV!B27</f>
        <v>15.803658800461456</v>
      </c>
      <c r="E29" s="44">
        <f>NPV!B29</f>
        <v>1.7341970243012899</v>
      </c>
    </row>
    <row r="30">
      <c r="A30" s="45" t="n">
        <v>1</v>
      </c>
      <c r="B30" s="46">
        <f t="dataTable" ref="B30:E32" r1="B4"/>
        <v>-154.7878586703848</v>
      </c>
      <c r="C30" s="46">
        <v>21.444141329615206</v>
      </c>
      <c r="D30" s="47">
        <v>1.2503125953071494</v>
      </c>
      <c r="E30" s="48">
        <v>-0.7836829419883824</v>
      </c>
    </row>
    <row r="31">
      <c r="A31" s="45" t="n">
        <v>2</v>
      </c>
      <c r="B31" s="46">
        <v>94.81693137452565</v>
      </c>
      <c r="C31" s="46">
        <v>271.04893137452564</v>
      </c>
      <c r="D31" s="47">
        <v>15.803658800461456</v>
      </c>
      <c r="E31" s="48">
        <v>1.7341970243012899</v>
      </c>
    </row>
    <row r="32">
      <c r="A32" s="45" t="n">
        <v>3</v>
      </c>
      <c r="B32" s="46">
        <v>437.3718011532269</v>
      </c>
      <c r="C32" s="46">
        <v>613.6038011532269</v>
      </c>
      <c r="D32" s="47">
        <v>35.77651113736573</v>
      </c>
      <c r="E32" s="48">
        <v>5.189707809232825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15.803658800461456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-3.3476541745885626</v>
      </c>
      <c r="C37" s="47">
        <v>2.855182773430803</v>
      </c>
      <c r="D37" s="47">
        <v>9.058019721450163</v>
      </c>
      <c r="E37" s="47">
        <v>21.46369361748889</v>
      </c>
      <c r="F37" s="47">
        <v>32.7773424112431</v>
      </c>
    </row>
    <row r="38">
      <c r="A38" s="50" t="n">
        <v>0.8</v>
      </c>
      <c r="B38" s="47">
        <v>-1.6612444048357395</v>
      </c>
      <c r="C38" s="47">
        <v>5.384797428060037</v>
      </c>
      <c r="D38" s="47">
        <v>12.43083926095581</v>
      </c>
      <c r="E38" s="47">
        <v>26.129014861811836</v>
      </c>
      <c r="F38" s="47">
        <v>38.31376862044495</v>
      </c>
    </row>
    <row r="39">
      <c r="A39" s="50" t="n">
        <v>1</v>
      </c>
      <c r="B39" s="47">
        <v>0.025165364917083547</v>
      </c>
      <c r="C39" s="47">
        <v>7.914412082689272</v>
      </c>
      <c r="D39" s="47">
        <v>15.803658800461456</v>
      </c>
      <c r="E39" s="47">
        <v>30.408047380989608</v>
      </c>
      <c r="F39" s="47">
        <v>43.80773651197467</v>
      </c>
    </row>
    <row r="40">
      <c r="A40" s="50" t="n">
        <v>1.2</v>
      </c>
      <c r="B40" s="47">
        <v>1.7115751346699066</v>
      </c>
      <c r="C40" s="47">
        <v>10.444026737318504</v>
      </c>
      <c r="D40" s="47">
        <v>19.176478339967097</v>
      </c>
      <c r="E40" s="47">
        <v>34.6032330956598</v>
      </c>
      <c r="F40" s="47">
        <v>49.24420914340314</v>
      </c>
    </row>
    <row r="41">
      <c r="A41" s="50" t="n">
        <v>1.4</v>
      </c>
      <c r="B41" s="47">
        <v>3.3979849044227297</v>
      </c>
      <c r="C41" s="47">
        <v>12.973641391947739</v>
      </c>
      <c r="D41" s="47">
        <v>22.25482328239451</v>
      </c>
      <c r="E41" s="47">
        <v>38.74735888966463</v>
      </c>
      <c r="F41" s="47">
        <v>54.68068177483162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Tonix Pharmaceuticals Holding Corp.: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Migraine / pain</t>
        </is>
      </c>
      <c r="C4" s="14" t="inlineStr">
        <is>
          <t>Tonmya (TNX-102 SL)</t>
        </is>
      </c>
      <c r="D4" s="14" t="inlineStr">
        <is>
          <t>Approved</t>
        </is>
      </c>
      <c r="E4" s="14" t="inlineStr">
        <is>
          <t>Neurology / area</t>
        </is>
      </c>
      <c r="F4" s="14" t="inlineStr">
        <is>
          <t>Owned</t>
        </is>
      </c>
      <c r="G4" s="40" t="n">
        <v>116.4</v>
      </c>
      <c r="H4" s="27" t="n">
        <v>1</v>
      </c>
      <c r="I4" s="26" t="n">
        <v>2025</v>
      </c>
      <c r="J4" s="39">
        <f>I4+Assumptions!$B$25</f>
        <v>2037.0</v>
      </c>
      <c r="K4" s="53">
        <f>Assumptions!$E$13</f>
        <v>0.4</v>
      </c>
      <c r="L4" s="23">
        <f>K4*SUMPRODUCT(M4:AF4,NPV!$C$15:$V$15)</f>
        <v>251.99809484507648</v>
      </c>
      <c r="M4" s="23">
        <f>IF(M$3&lt;$I4,0,$G4*Assumptions!$E$11*INDEX(Assumptions!$B$24:$G$24,MIN(6,M$3-$I4+1))*IF(M$3&gt;$J4,(1-Assumptions!$B$26)^(M$3-$J4),1)*IF($H4&gt;=1,1,MIN(0.97,$H4*Assumptions!$E$12)))</f>
        <v>29.1</v>
      </c>
      <c r="N4" s="23">
        <f>IF(N$3&lt;$I4,0,$G4*Assumptions!$E$11*INDEX(Assumptions!$B$24:$G$24,MIN(6,N$3-$I4+1))*IF(N$3&gt;$J4,(1-Assumptions!$B$26)^(N$3-$J4),1)*IF($H4&gt;=1,1,MIN(0.97,$H4*Assumptions!$E$12)))</f>
        <v>52.38</v>
      </c>
      <c r="O4" s="23">
        <f>IF(O$3&lt;$I4,0,$G4*Assumptions!$E$11*INDEX(Assumptions!$B$24:$G$24,MIN(6,O$3-$I4+1))*IF(O$3&gt;$J4,(1-Assumptions!$B$26)^(O$3-$J4),1)*IF($H4&gt;=1,1,MIN(0.97,$H4*Assumptions!$E$12)))</f>
        <v>75.66000000000001</v>
      </c>
      <c r="P4" s="23">
        <f>IF(P$3&lt;$I4,0,$G4*Assumptions!$E$11*INDEX(Assumptions!$B$24:$G$24,MIN(6,P$3-$I4+1))*IF(P$3&gt;$J4,(1-Assumptions!$B$26)^(P$3-$J4),1)*IF($H4&gt;=1,1,MIN(0.97,$H4*Assumptions!$E$12)))</f>
        <v>98.94</v>
      </c>
      <c r="Q4" s="23">
        <f>IF(Q$3&lt;$I4,0,$G4*Assumptions!$E$11*INDEX(Assumptions!$B$24:$G$24,MIN(6,Q$3-$I4+1))*IF(Q$3&gt;$J4,(1-Assumptions!$B$26)^(Q$3-$J4),1)*IF($H4&gt;=1,1,MIN(0.97,$H4*Assumptions!$E$12)))</f>
        <v>116.4</v>
      </c>
      <c r="R4" s="23">
        <f>IF(R$3&lt;$I4,0,$G4*Assumptions!$E$11*INDEX(Assumptions!$B$24:$G$24,MIN(6,R$3-$I4+1))*IF(R$3&gt;$J4,(1-Assumptions!$B$26)^(R$3-$J4),1)*IF($H4&gt;=1,1,MIN(0.97,$H4*Assumptions!$E$12)))</f>
        <v>116.4</v>
      </c>
      <c r="S4" s="23">
        <f>IF(S$3&lt;$I4,0,$G4*Assumptions!$E$11*INDEX(Assumptions!$B$24:$G$24,MIN(6,S$3-$I4+1))*IF(S$3&gt;$J4,(1-Assumptions!$B$26)^(S$3-$J4),1)*IF($H4&gt;=1,1,MIN(0.97,$H4*Assumptions!$E$12)))</f>
        <v>116.4</v>
      </c>
      <c r="T4" s="23">
        <f>IF(T$3&lt;$I4,0,$G4*Assumptions!$E$11*INDEX(Assumptions!$B$24:$G$24,MIN(6,T$3-$I4+1))*IF(T$3&gt;$J4,(1-Assumptions!$B$26)^(T$3-$J4),1)*IF($H4&gt;=1,1,MIN(0.97,$H4*Assumptions!$E$12)))</f>
        <v>116.4</v>
      </c>
      <c r="U4" s="23">
        <f>IF(U$3&lt;$I4,0,$G4*Assumptions!$E$11*INDEX(Assumptions!$B$24:$G$24,MIN(6,U$3-$I4+1))*IF(U$3&gt;$J4,(1-Assumptions!$B$26)^(U$3-$J4),1)*IF($H4&gt;=1,1,MIN(0.97,$H4*Assumptions!$E$12)))</f>
        <v>116.4</v>
      </c>
      <c r="V4" s="23">
        <f>IF(V$3&lt;$I4,0,$G4*Assumptions!$E$11*INDEX(Assumptions!$B$24:$G$24,MIN(6,V$3-$I4+1))*IF(V$3&gt;$J4,(1-Assumptions!$B$26)^(V$3-$J4),1)*IF($H4&gt;=1,1,MIN(0.97,$H4*Assumptions!$E$12)))</f>
        <v>116.4</v>
      </c>
      <c r="W4" s="23">
        <f>IF(W$3&lt;$I4,0,$G4*Assumptions!$E$11*INDEX(Assumptions!$B$24:$G$24,MIN(6,W$3-$I4+1))*IF(W$3&gt;$J4,(1-Assumptions!$B$26)^(W$3-$J4),1)*IF($H4&gt;=1,1,MIN(0.97,$H4*Assumptions!$E$12)))</f>
        <v>116.4</v>
      </c>
      <c r="X4" s="23">
        <f>IF(X$3&lt;$I4,0,$G4*Assumptions!$E$11*INDEX(Assumptions!$B$24:$G$24,MIN(6,X$3-$I4+1))*IF(X$3&gt;$J4,(1-Assumptions!$B$26)^(X$3-$J4),1)*IF($H4&gt;=1,1,MIN(0.97,$H4*Assumptions!$E$12)))</f>
        <v>116.4</v>
      </c>
      <c r="Y4" s="23">
        <f>IF(Y$3&lt;$I4,0,$G4*Assumptions!$E$11*INDEX(Assumptions!$B$24:$G$24,MIN(6,Y$3-$I4+1))*IF(Y$3&gt;$J4,(1-Assumptions!$B$26)^(Y$3-$J4),1)*IF($H4&gt;=1,1,MIN(0.97,$H4*Assumptions!$E$12)))</f>
        <v>58.2</v>
      </c>
      <c r="Z4" s="23">
        <f>IF(Z$3&lt;$I4,0,$G4*Assumptions!$E$11*INDEX(Assumptions!$B$24:$G$24,MIN(6,Z$3-$I4+1))*IF(Z$3&gt;$J4,(1-Assumptions!$B$26)^(Z$3-$J4),1)*IF($H4&gt;=1,1,MIN(0.97,$H4*Assumptions!$E$12)))</f>
        <v>29.1</v>
      </c>
      <c r="AA4" s="23">
        <f>IF(AA$3&lt;$I4,0,$G4*Assumptions!$E$11*INDEX(Assumptions!$B$24:$G$24,MIN(6,AA$3-$I4+1))*IF(AA$3&gt;$J4,(1-Assumptions!$B$26)^(AA$3-$J4),1)*IF($H4&gt;=1,1,MIN(0.97,$H4*Assumptions!$E$12)))</f>
        <v>14.55</v>
      </c>
      <c r="AB4" s="23">
        <f>IF(AB$3&lt;$I4,0,$G4*Assumptions!$E$11*INDEX(Assumptions!$B$24:$G$24,MIN(6,AB$3-$I4+1))*IF(AB$3&gt;$J4,(1-Assumptions!$B$26)^(AB$3-$J4),1)*IF($H4&gt;=1,1,MIN(0.97,$H4*Assumptions!$E$12)))</f>
        <v>7.275</v>
      </c>
      <c r="AC4" s="23">
        <f>IF(AC$3&lt;$I4,0,$G4*Assumptions!$E$11*INDEX(Assumptions!$B$24:$G$24,MIN(6,AC$3-$I4+1))*IF(AC$3&gt;$J4,(1-Assumptions!$B$26)^(AC$3-$J4),1)*IF($H4&gt;=1,1,MIN(0.97,$H4*Assumptions!$E$12)))</f>
        <v>3.6375</v>
      </c>
      <c r="AD4" s="23">
        <f>IF(AD$3&lt;$I4,0,$G4*Assumptions!$E$11*INDEX(Assumptions!$B$24:$G$24,MIN(6,AD$3-$I4+1))*IF(AD$3&gt;$J4,(1-Assumptions!$B$26)^(AD$3-$J4),1)*IF($H4&gt;=1,1,MIN(0.97,$H4*Assumptions!$E$12)))</f>
        <v>1.81875</v>
      </c>
      <c r="AE4" s="23">
        <f>IF(AE$3&lt;$I4,0,$G4*Assumptions!$E$11*INDEX(Assumptions!$B$24:$G$24,MIN(6,AE$3-$I4+1))*IF(AE$3&gt;$J4,(1-Assumptions!$B$26)^(AE$3-$J4),1)*IF($H4&gt;=1,1,MIN(0.97,$H4*Assumptions!$E$12)))</f>
        <v>0.909375</v>
      </c>
      <c r="AF4" s="23">
        <f>IF(AF$3&lt;$I4,0,$G4*Assumptions!$E$11*INDEX(Assumptions!$B$24:$G$24,MIN(6,AF$3-$I4+1))*IF(AF$3&gt;$J4,(1-Assumptions!$B$26)^(AF$3-$J4),1)*IF($H4&gt;=1,1,MIN(0.97,$H4*Assumptions!$E$12)))</f>
        <v>0.4546875</v>
      </c>
      <c r="AG4" s="35">
        <f>IF(F4="Owned",1-IF(H4&gt;=1,1,MIN(0.97,H4*Assumptions!$E$12)),1)</f>
        <v>0.0</v>
      </c>
    </row>
    <row r="5">
      <c r="A5" s="39" t="n">
        <v>2</v>
      </c>
      <c r="B5" s="14" t="inlineStr">
        <is>
          <t>Depression / mood</t>
        </is>
      </c>
      <c r="C5" s="14" t="inlineStr">
        <is>
          <t>TNX-601 ER, TNX-102 SL</t>
        </is>
      </c>
      <c r="D5" s="14" t="inlineStr">
        <is>
          <t>Phase 2</t>
        </is>
      </c>
      <c r="E5" s="14" t="inlineStr">
        <is>
          <t>Psychiatry / chronic</t>
        </is>
      </c>
      <c r="F5" s="14" t="inlineStr">
        <is>
          <t>Owned</t>
        </is>
      </c>
      <c r="G5" s="40" t="n">
        <v>2000</v>
      </c>
      <c r="H5" s="27" t="n">
        <v>0.1273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289.2365443486514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25.46</v>
      </c>
      <c r="S5" s="23">
        <f>IF(S$3&lt;$I5,0,$G5*Assumptions!$E$11*INDEX(Assumptions!$B$24:$G$24,MIN(6,S$3-$I5+1))*IF(S$3&gt;$J5,(1-Assumptions!$B$26)^(S$3-$J5),1)*IF($H5&gt;=1,1,MIN(0.97,$H5*Assumptions!$E$12)))</f>
        <v>63.65</v>
      </c>
      <c r="T5" s="23">
        <f>IF(T$3&lt;$I5,0,$G5*Assumptions!$E$11*INDEX(Assumptions!$B$24:$G$24,MIN(6,T$3-$I5+1))*IF(T$3&gt;$J5,(1-Assumptions!$B$26)^(T$3-$J5),1)*IF($H5&gt;=1,1,MIN(0.97,$H5*Assumptions!$E$12)))</f>
        <v>114.57</v>
      </c>
      <c r="U5" s="23">
        <f>IF(U$3&lt;$I5,0,$G5*Assumptions!$E$11*INDEX(Assumptions!$B$24:$G$24,MIN(6,U$3-$I5+1))*IF(U$3&gt;$J5,(1-Assumptions!$B$26)^(U$3-$J5),1)*IF($H5&gt;=1,1,MIN(0.97,$H5*Assumptions!$E$12)))</f>
        <v>165.49</v>
      </c>
      <c r="V5" s="23">
        <f>IF(V$3&lt;$I5,0,$G5*Assumptions!$E$11*INDEX(Assumptions!$B$24:$G$24,MIN(6,V$3-$I5+1))*IF(V$3&gt;$J5,(1-Assumptions!$B$26)^(V$3-$J5),1)*IF($H5&gt;=1,1,MIN(0.97,$H5*Assumptions!$E$12)))</f>
        <v>216.41</v>
      </c>
      <c r="W5" s="23">
        <f>IF(W$3&lt;$I5,0,$G5*Assumptions!$E$11*INDEX(Assumptions!$B$24:$G$24,MIN(6,W$3-$I5+1))*IF(W$3&gt;$J5,(1-Assumptions!$B$26)^(W$3-$J5),1)*IF($H5&gt;=1,1,MIN(0.97,$H5*Assumptions!$E$12)))</f>
        <v>254.6</v>
      </c>
      <c r="X5" s="23">
        <f>IF(X$3&lt;$I5,0,$G5*Assumptions!$E$11*INDEX(Assumptions!$B$24:$G$24,MIN(6,X$3-$I5+1))*IF(X$3&gt;$J5,(1-Assumptions!$B$26)^(X$3-$J5),1)*IF($H5&gt;=1,1,MIN(0.97,$H5*Assumptions!$E$12)))</f>
        <v>254.6</v>
      </c>
      <c r="Y5" s="23">
        <f>IF(Y$3&lt;$I5,0,$G5*Assumptions!$E$11*INDEX(Assumptions!$B$24:$G$24,MIN(6,Y$3-$I5+1))*IF(Y$3&gt;$J5,(1-Assumptions!$B$26)^(Y$3-$J5),1)*IF($H5&gt;=1,1,MIN(0.97,$H5*Assumptions!$E$12)))</f>
        <v>254.6</v>
      </c>
      <c r="Z5" s="23">
        <f>IF(Z$3&lt;$I5,0,$G5*Assumptions!$E$11*INDEX(Assumptions!$B$24:$G$24,MIN(6,Z$3-$I5+1))*IF(Z$3&gt;$J5,(1-Assumptions!$B$26)^(Z$3-$J5),1)*IF($H5&gt;=1,1,MIN(0.97,$H5*Assumptions!$E$12)))</f>
        <v>254.6</v>
      </c>
      <c r="AA5" s="23">
        <f>IF(AA$3&lt;$I5,0,$G5*Assumptions!$E$11*INDEX(Assumptions!$B$24:$G$24,MIN(6,AA$3-$I5+1))*IF(AA$3&gt;$J5,(1-Assumptions!$B$26)^(AA$3-$J5),1)*IF($H5&gt;=1,1,MIN(0.97,$H5*Assumptions!$E$12)))</f>
        <v>254.6</v>
      </c>
      <c r="AB5" s="23">
        <f>IF(AB$3&lt;$I5,0,$G5*Assumptions!$E$11*INDEX(Assumptions!$B$24:$G$24,MIN(6,AB$3-$I5+1))*IF(AB$3&gt;$J5,(1-Assumptions!$B$26)^(AB$3-$J5),1)*IF($H5&gt;=1,1,MIN(0.97,$H5*Assumptions!$E$12)))</f>
        <v>254.6</v>
      </c>
      <c r="AC5" s="23">
        <f>IF(AC$3&lt;$I5,0,$G5*Assumptions!$E$11*INDEX(Assumptions!$B$24:$G$24,MIN(6,AC$3-$I5+1))*IF(AC$3&gt;$J5,(1-Assumptions!$B$26)^(AC$3-$J5),1)*IF($H5&gt;=1,1,MIN(0.97,$H5*Assumptions!$E$12)))</f>
        <v>254.6</v>
      </c>
      <c r="AD5" s="23">
        <f>IF(AD$3&lt;$I5,0,$G5*Assumptions!$E$11*INDEX(Assumptions!$B$24:$G$24,MIN(6,AD$3-$I5+1))*IF(AD$3&gt;$J5,(1-Assumptions!$B$26)^(AD$3-$J5),1)*IF($H5&gt;=1,1,MIN(0.97,$H5*Assumptions!$E$12)))</f>
        <v>254.6</v>
      </c>
      <c r="AE5" s="23">
        <f>IF(AE$3&lt;$I5,0,$G5*Assumptions!$E$11*INDEX(Assumptions!$B$24:$G$24,MIN(6,AE$3-$I5+1))*IF(AE$3&gt;$J5,(1-Assumptions!$B$26)^(AE$3-$J5),1)*IF($H5&gt;=1,1,MIN(0.97,$H5*Assumptions!$E$12)))</f>
        <v>127.3</v>
      </c>
      <c r="AF5" s="23">
        <f>IF(AF$3&lt;$I5,0,$G5*Assumptions!$E$11*INDEX(Assumptions!$B$24:$G$24,MIN(6,AF$3-$I5+1))*IF(AF$3&gt;$J5,(1-Assumptions!$B$26)^(AF$3-$J5),1)*IF($H5&gt;=1,1,MIN(0.97,$H5*Assumptions!$E$12)))</f>
        <v>63.65</v>
      </c>
      <c r="AG5" s="35">
        <f>IF(F5="Owned",1-IF(H5&gt;=1,1,MIN(0.97,H5*Assumptions!$E$12)),1)</f>
        <v>0.8727</v>
      </c>
    </row>
    <row r="6">
      <c r="B6" s="24" t="inlineStr">
        <is>
          <t>Risked revenue</t>
        </is>
      </c>
      <c r="L6" s="54">
        <f>SUM(L4:L5)</f>
        <v>541.2346391937278</v>
      </c>
      <c r="M6" s="54">
        <f>SUM(M4:M5)</f>
        <v>29.1</v>
      </c>
      <c r="N6" s="54">
        <f>SUM(N4:N5)</f>
        <v>52.38</v>
      </c>
      <c r="O6" s="54">
        <f>SUM(O4:O5)</f>
        <v>75.66000000000001</v>
      </c>
      <c r="P6" s="54">
        <f>SUM(P4:P5)</f>
        <v>98.94</v>
      </c>
      <c r="Q6" s="54">
        <f>SUM(Q4:Q5)</f>
        <v>116.4</v>
      </c>
      <c r="R6" s="54">
        <f>SUM(R4:R5)</f>
        <v>141.86</v>
      </c>
      <c r="S6" s="54">
        <f>SUM(S4:S5)</f>
        <v>180.05</v>
      </c>
      <c r="T6" s="54">
        <f>SUM(T4:T5)</f>
        <v>230.97</v>
      </c>
      <c r="U6" s="54">
        <f>SUM(U4:U5)</f>
        <v>281.89</v>
      </c>
      <c r="V6" s="54">
        <f>SUM(V4:V5)</f>
        <v>332.81</v>
      </c>
      <c r="W6" s="54">
        <f>SUM(W4:W5)</f>
        <v>371.0</v>
      </c>
      <c r="X6" s="54">
        <f>SUM(X4:X5)</f>
        <v>371.0</v>
      </c>
      <c r="Y6" s="54">
        <f>SUM(Y4:Y5)</f>
        <v>312.8</v>
      </c>
      <c r="Z6" s="54">
        <f>SUM(Z4:Z5)</f>
        <v>283.7</v>
      </c>
      <c r="AA6" s="54">
        <f>SUM(AA4:AA5)</f>
        <v>269.15</v>
      </c>
      <c r="AB6" s="54">
        <f>SUM(AB4:AB5)</f>
        <v>261.875</v>
      </c>
      <c r="AC6" s="54">
        <f>SUM(AC4:AC5)</f>
        <v>258.2375</v>
      </c>
      <c r="AD6" s="54">
        <f>SUM(AD4:AD5)</f>
        <v>256.41875</v>
      </c>
      <c r="AE6" s="54">
        <f>SUM(AE4:AE5)</f>
        <v>128.209375</v>
      </c>
      <c r="AF6" s="54">
        <f>SUM(AF4:AF5)</f>
        <v>64.1046875</v>
      </c>
    </row>
    <row r="7">
      <c r="B7" s="24" t="inlineStr">
        <is>
          <t>Risked contribution (revenue x share)</t>
        </is>
      </c>
      <c r="M7" s="55">
        <f>SUMPRODUCT(M4:M5,$K$4:$K$5)</f>
        <v>11.64</v>
      </c>
      <c r="N7" s="55">
        <f>SUMPRODUCT(N4:N5,$K$4:$K$5)</f>
        <v>20.952</v>
      </c>
      <c r="O7" s="55">
        <f>SUMPRODUCT(O4:O5,$K$4:$K$5)</f>
        <v>30.264000000000006</v>
      </c>
      <c r="P7" s="55">
        <f>SUMPRODUCT(P4:P5,$K$4:$K$5)</f>
        <v>39.576</v>
      </c>
      <c r="Q7" s="55">
        <f>SUMPRODUCT(Q4:Q5,$K$4:$K$5)</f>
        <v>46.56</v>
      </c>
      <c r="R7" s="55">
        <f>SUMPRODUCT(R4:R5,$K$4:$K$5)</f>
        <v>56.744</v>
      </c>
      <c r="S7" s="55">
        <f>SUMPRODUCT(S4:S5,$K$4:$K$5)</f>
        <v>72.02000000000001</v>
      </c>
      <c r="T7" s="55">
        <f>SUMPRODUCT(T4:T5,$K$4:$K$5)</f>
        <v>92.388</v>
      </c>
      <c r="U7" s="55">
        <f>SUMPRODUCT(U4:U5,$K$4:$K$5)</f>
        <v>112.75600000000001</v>
      </c>
      <c r="V7" s="55">
        <f>SUMPRODUCT(V4:V5,$K$4:$K$5)</f>
        <v>133.12400000000002</v>
      </c>
      <c r="W7" s="55">
        <f>SUMPRODUCT(W4:W5,$K$4:$K$5)</f>
        <v>148.4</v>
      </c>
      <c r="X7" s="55">
        <f>SUMPRODUCT(X4:X5,$K$4:$K$5)</f>
        <v>148.4</v>
      </c>
      <c r="Y7" s="55">
        <f>SUMPRODUCT(Y4:Y5,$K$4:$K$5)</f>
        <v>125.12</v>
      </c>
      <c r="Z7" s="55">
        <f>SUMPRODUCT(Z4:Z5,$K$4:$K$5)</f>
        <v>113.48</v>
      </c>
      <c r="AA7" s="55">
        <f>SUMPRODUCT(AA4:AA5,$K$4:$K$5)</f>
        <v>107.66</v>
      </c>
      <c r="AB7" s="55">
        <f>SUMPRODUCT(AB4:AB5,$K$4:$K$5)</f>
        <v>104.75</v>
      </c>
      <c r="AC7" s="55">
        <f>SUMPRODUCT(AC4:AC5,$K$4:$K$5)</f>
        <v>103.295</v>
      </c>
      <c r="AD7" s="55">
        <f>SUMPRODUCT(AD4:AD5,$K$4:$K$5)</f>
        <v>102.56750000000001</v>
      </c>
      <c r="AE7" s="55">
        <f>SUMPRODUCT(AE4:AE5,$K$4:$K$5)</f>
        <v>51.283750000000005</v>
      </c>
      <c r="AF7" s="55">
        <f>SUMPRODUCT(AF4:AF5,$K$4:$K$5)</f>
        <v>25.641875000000002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Tonix Pharmaceuticals Holding Corp.: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29.1</v>
      </c>
      <c r="D4" s="57">
        <f>Pipeline!N6</f>
        <v>52.38</v>
      </c>
      <c r="E4" s="57">
        <f>Pipeline!O6</f>
        <v>75.66000000000001</v>
      </c>
      <c r="F4" s="57">
        <f>Pipeline!P6</f>
        <v>98.94</v>
      </c>
      <c r="G4" s="57">
        <f>Pipeline!Q6</f>
        <v>116.4</v>
      </c>
      <c r="H4" s="57">
        <f>Pipeline!R6</f>
        <v>141.86</v>
      </c>
      <c r="I4" s="57">
        <f>Pipeline!S6</f>
        <v>180.05</v>
      </c>
      <c r="J4" s="57">
        <f>Pipeline!T6</f>
        <v>230.97</v>
      </c>
      <c r="K4" s="57">
        <f>Pipeline!U6</f>
        <v>281.89</v>
      </c>
      <c r="L4" s="57">
        <f>Pipeline!V6</f>
        <v>332.81</v>
      </c>
      <c r="M4" s="57">
        <f>Pipeline!W6</f>
        <v>371.0</v>
      </c>
      <c r="N4" s="57">
        <f>Pipeline!X6</f>
        <v>371.0</v>
      </c>
      <c r="O4" s="57">
        <f>Pipeline!Y6</f>
        <v>312.8</v>
      </c>
      <c r="P4" s="57">
        <f>Pipeline!Z6</f>
        <v>283.7</v>
      </c>
      <c r="Q4" s="57">
        <f>Pipeline!AA6</f>
        <v>269.15</v>
      </c>
      <c r="R4" s="57">
        <f>Pipeline!AB6</f>
        <v>261.875</v>
      </c>
      <c r="S4" s="57">
        <f>Pipeline!AC6</f>
        <v>258.2375</v>
      </c>
      <c r="T4" s="57">
        <f>Pipeline!AD6</f>
        <v>256.41875</v>
      </c>
      <c r="U4" s="57">
        <f>Pipeline!AE6</f>
        <v>128.209375</v>
      </c>
      <c r="V4" s="57">
        <f>Pipeline!AF6</f>
        <v>64.1046875</v>
      </c>
    </row>
    <row r="5">
      <c r="A5" s="14" t="inlineStr">
        <is>
          <t>Risked contribution</t>
        </is>
      </c>
      <c r="C5" s="57">
        <f>Pipeline!M7</f>
        <v>11.64</v>
      </c>
      <c r="D5" s="57">
        <f>Pipeline!N7</f>
        <v>20.952</v>
      </c>
      <c r="E5" s="57">
        <f>Pipeline!O7</f>
        <v>30.264000000000006</v>
      </c>
      <c r="F5" s="57">
        <f>Pipeline!P7</f>
        <v>39.576</v>
      </c>
      <c r="G5" s="57">
        <f>Pipeline!Q7</f>
        <v>46.56</v>
      </c>
      <c r="H5" s="57">
        <f>Pipeline!R7</f>
        <v>56.744</v>
      </c>
      <c r="I5" s="57">
        <f>Pipeline!S7</f>
        <v>72.02000000000001</v>
      </c>
      <c r="J5" s="57">
        <f>Pipeline!T7</f>
        <v>92.388</v>
      </c>
      <c r="K5" s="57">
        <f>Pipeline!U7</f>
        <v>112.75600000000001</v>
      </c>
      <c r="L5" s="57">
        <f>Pipeline!V7</f>
        <v>133.12400000000002</v>
      </c>
      <c r="M5" s="57">
        <f>Pipeline!W7</f>
        <v>148.4</v>
      </c>
      <c r="N5" s="57">
        <f>Pipeline!X7</f>
        <v>148.4</v>
      </c>
      <c r="O5" s="57">
        <f>Pipeline!Y7</f>
        <v>125.12</v>
      </c>
      <c r="P5" s="57">
        <f>Pipeline!Z7</f>
        <v>113.48</v>
      </c>
      <c r="Q5" s="57">
        <f>Pipeline!AA7</f>
        <v>107.66</v>
      </c>
      <c r="R5" s="57">
        <f>Pipeline!AB7</f>
        <v>104.75</v>
      </c>
      <c r="S5" s="57">
        <f>Pipeline!AC7</f>
        <v>103.295</v>
      </c>
      <c r="T5" s="57">
        <f>Pipeline!AD7</f>
        <v>102.56750000000001</v>
      </c>
      <c r="U5" s="57">
        <f>Pipeline!AE7</f>
        <v>51.283750000000005</v>
      </c>
      <c r="V5" s="57">
        <f>Pipeline!AF7</f>
        <v>25.641875000000002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-165.425</v>
      </c>
      <c r="D6" s="23">
        <f>-IF(D3-2026&lt;Assumptions!$B$19,Assumptions!$B$18,Assumptions!$B$18*Assumptions!$B$20*Assumptions!$B$16)</f>
        <v>-49.627500000000005</v>
      </c>
      <c r="E6" s="23">
        <f>-IF(E3-2026&lt;Assumptions!$B$19,Assumptions!$B$18,Assumptions!$B$18*Assumptions!$B$20*Assumptions!$B$16)</f>
        <v>-49.627500000000005</v>
      </c>
      <c r="F6" s="23">
        <f>-IF(F3-2026&lt;Assumptions!$B$19,Assumptions!$B$18,Assumptions!$B$18*Assumptions!$B$20*Assumptions!$B$16)</f>
        <v>-49.627500000000005</v>
      </c>
      <c r="G6" s="23">
        <f>-IF(G3-2026&lt;Assumptions!$B$19,Assumptions!$B$18,Assumptions!$B$18*Assumptions!$B$20*Assumptions!$B$16)</f>
        <v>-49.627500000000005</v>
      </c>
      <c r="H6" s="23">
        <f>-IF(H3-2026&lt;Assumptions!$B$19,Assumptions!$B$18,Assumptions!$B$18*Assumptions!$B$20*Assumptions!$B$16)</f>
        <v>-49.627500000000005</v>
      </c>
      <c r="I6" s="23">
        <f>-IF(I3-2026&lt;Assumptions!$B$19,Assumptions!$B$18,Assumptions!$B$18*Assumptions!$B$20*Assumptions!$B$16)</f>
        <v>-49.627500000000005</v>
      </c>
      <c r="J6" s="23">
        <f>-IF(J3-2026&lt;Assumptions!$B$19,Assumptions!$B$18,Assumptions!$B$18*Assumptions!$B$20*Assumptions!$B$16)</f>
        <v>-49.627500000000005</v>
      </c>
      <c r="K6" s="23">
        <f>-IF(K3-2026&lt;Assumptions!$B$19,Assumptions!$B$18,Assumptions!$B$18*Assumptions!$B$20*Assumptions!$B$16)</f>
        <v>-49.627500000000005</v>
      </c>
      <c r="L6" s="23">
        <f>-IF(L3-2026&lt;Assumptions!$B$19,Assumptions!$B$18,Assumptions!$B$18*Assumptions!$B$20*Assumptions!$B$16)</f>
        <v>-49.627500000000005</v>
      </c>
      <c r="M6" s="23">
        <f>-IF(M3-2026&lt;Assumptions!$B$19,Assumptions!$B$18,Assumptions!$B$18*Assumptions!$B$20*Assumptions!$B$16)</f>
        <v>-49.627500000000005</v>
      </c>
      <c r="N6" s="23">
        <f>-IF(N3-2026&lt;Assumptions!$B$19,Assumptions!$B$18,Assumptions!$B$18*Assumptions!$B$20*Assumptions!$B$16)</f>
        <v>-49.627500000000005</v>
      </c>
      <c r="O6" s="23">
        <f>-IF(O3-2026&lt;Assumptions!$B$19,Assumptions!$B$18,Assumptions!$B$18*Assumptions!$B$20*Assumptions!$B$16)</f>
        <v>-49.627500000000005</v>
      </c>
      <c r="P6" s="23">
        <f>-IF(P3-2026&lt;Assumptions!$B$19,Assumptions!$B$18,Assumptions!$B$18*Assumptions!$B$20*Assumptions!$B$16)</f>
        <v>-49.627500000000005</v>
      </c>
      <c r="Q6" s="23">
        <f>-IF(Q3-2026&lt;Assumptions!$B$19,Assumptions!$B$18,Assumptions!$B$18*Assumptions!$B$20*Assumptions!$B$16)</f>
        <v>-49.627500000000005</v>
      </c>
      <c r="R6" s="23">
        <f>-IF(R3-2026&lt;Assumptions!$B$19,Assumptions!$B$18,Assumptions!$B$18*Assumptions!$B$20*Assumptions!$B$16)</f>
        <v>-49.627500000000005</v>
      </c>
      <c r="S6" s="23">
        <f>-IF(S3-2026&lt;Assumptions!$B$19,Assumptions!$B$18,Assumptions!$B$18*Assumptions!$B$20*Assumptions!$B$16)</f>
        <v>-49.627500000000005</v>
      </c>
      <c r="T6" s="23">
        <f>-IF(T3-2026&lt;Assumptions!$B$19,Assumptions!$B$18,Assumptions!$B$18*Assumptions!$B$20*Assumptions!$B$16)</f>
        <v>-49.627500000000005</v>
      </c>
      <c r="U6" s="23">
        <f>-IF(U3-2026&lt;Assumptions!$B$19,Assumptions!$B$18,Assumptions!$B$18*Assumptions!$B$20*Assumptions!$B$16)</f>
        <v>-49.627500000000005</v>
      </c>
      <c r="V6" s="23">
        <f>-IF(V3-2026&lt;Assumptions!$B$19,Assumptions!$B$18,Assumptions!$B$18*Assumptions!$B$20*Assumptions!$B$16)</f>
        <v>-49.627500000000005</v>
      </c>
    </row>
    <row r="7">
      <c r="A7" s="14" t="inlineStr">
        <is>
          <t>Pre-tax cash flow</t>
        </is>
      </c>
      <c r="C7" s="23">
        <f>C5+C6</f>
        <v>-153.78500000000003</v>
      </c>
      <c r="D7" s="23">
        <f>D5+D6</f>
        <v>-28.675500000000003</v>
      </c>
      <c r="E7" s="23">
        <f>E5+E6</f>
        <v>-19.3635</v>
      </c>
      <c r="F7" s="23">
        <f>F5+F6</f>
        <v>-10.051500000000004</v>
      </c>
      <c r="G7" s="23">
        <f>G5+G6</f>
        <v>-3.0675000000000026</v>
      </c>
      <c r="H7" s="23">
        <f>H5+H6</f>
        <v>7.116499999999995</v>
      </c>
      <c r="I7" s="23">
        <f>I5+I6</f>
        <v>22.392500000000005</v>
      </c>
      <c r="J7" s="23">
        <f>J5+J6</f>
        <v>42.7605</v>
      </c>
      <c r="K7" s="23">
        <f>K5+K6</f>
        <v>63.12850000000001</v>
      </c>
      <c r="L7" s="23">
        <f>L5+L6</f>
        <v>83.49650000000003</v>
      </c>
      <c r="M7" s="23">
        <f>M5+M6</f>
        <v>98.77250000000001</v>
      </c>
      <c r="N7" s="23">
        <f>N5+N6</f>
        <v>98.77250000000001</v>
      </c>
      <c r="O7" s="23">
        <f>O5+O6</f>
        <v>75.4925</v>
      </c>
      <c r="P7" s="23">
        <f>P5+P6</f>
        <v>63.8525</v>
      </c>
      <c r="Q7" s="23">
        <f>Q5+Q6</f>
        <v>58.03249999999999</v>
      </c>
      <c r="R7" s="23">
        <f>R5+R6</f>
        <v>55.122499999999995</v>
      </c>
      <c r="S7" s="23">
        <f>S5+S6</f>
        <v>53.6675</v>
      </c>
      <c r="T7" s="23">
        <f>T5+T6</f>
        <v>52.940000000000005</v>
      </c>
      <c r="U7" s="23">
        <f>U5+U6</f>
        <v>1.65625</v>
      </c>
      <c r="V7" s="23">
        <f>V5+V6</f>
        <v>-23.985625000000002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7.116499999999995</v>
      </c>
      <c r="I8" s="23">
        <f>MIN(H17,MAX(0,I7))</f>
        <v>22.392500000000005</v>
      </c>
      <c r="J8" s="23">
        <f>MIN(I17,MAX(0,J7))</f>
        <v>42.7605</v>
      </c>
      <c r="K8" s="23">
        <f>MIN(J17,MAX(0,K7))</f>
        <v>63.12850000000001</v>
      </c>
      <c r="L8" s="23">
        <f>MIN(K17,MAX(0,L7))</f>
        <v>83.49650000000003</v>
      </c>
      <c r="M8" s="23">
        <f>MIN(L17,MAX(0,M7))</f>
        <v>98.77250000000001</v>
      </c>
      <c r="N8" s="23">
        <f>MIN(M17,MAX(0,N7))</f>
        <v>98.77250000000001</v>
      </c>
      <c r="O8" s="23">
        <f>MIN(N17,MAX(0,O7))</f>
        <v>75.4925</v>
      </c>
      <c r="P8" s="23">
        <f>MIN(O17,MAX(0,P7))</f>
        <v>63.8525</v>
      </c>
      <c r="Q8" s="23">
        <f>MIN(P17,MAX(0,Q7))</f>
        <v>58.03249999999999</v>
      </c>
      <c r="R8" s="23">
        <f>MIN(Q17,MAX(0,R7))</f>
        <v>55.122499999999995</v>
      </c>
      <c r="S8" s="23">
        <f>MIN(R17,MAX(0,S7))</f>
        <v>53.6675</v>
      </c>
      <c r="T8" s="23">
        <f>MIN(S17,MAX(0,T7))</f>
        <v>52.940000000000005</v>
      </c>
      <c r="U8" s="23">
        <f>MIN(T17,MAX(0,U7))</f>
        <v>1.65625</v>
      </c>
      <c r="V8" s="23">
        <f>MIN(U17,MAX(0,V7))</f>
        <v>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-153.78500000000003</v>
      </c>
      <c r="D11" s="55">
        <f>D7-D10</f>
        <v>-28.675500000000003</v>
      </c>
      <c r="E11" s="55">
        <f>E7-E10</f>
        <v>-19.3635</v>
      </c>
      <c r="F11" s="55">
        <f>F7-F10</f>
        <v>-10.051500000000004</v>
      </c>
      <c r="G11" s="55">
        <f>G7-G10</f>
        <v>-3.0675000000000026</v>
      </c>
      <c r="H11" s="55">
        <f>H7-H10</f>
        <v>7.116499999999995</v>
      </c>
      <c r="I11" s="55">
        <f>I7-I10</f>
        <v>22.392500000000005</v>
      </c>
      <c r="J11" s="55">
        <f>J7-J10</f>
        <v>42.7605</v>
      </c>
      <c r="K11" s="55">
        <f>K7-K10</f>
        <v>63.12850000000001</v>
      </c>
      <c r="L11" s="55">
        <f>L7-L10</f>
        <v>83.49650000000003</v>
      </c>
      <c r="M11" s="55">
        <f>M7-M10</f>
        <v>98.77250000000001</v>
      </c>
      <c r="N11" s="55">
        <f>N7-N10</f>
        <v>98.77250000000001</v>
      </c>
      <c r="O11" s="55">
        <f>O7-O10</f>
        <v>75.4925</v>
      </c>
      <c r="P11" s="55">
        <f>P7-P10</f>
        <v>63.8525</v>
      </c>
      <c r="Q11" s="55">
        <f>Q7-Q10</f>
        <v>58.03249999999999</v>
      </c>
      <c r="R11" s="55">
        <f>R7-R10</f>
        <v>55.122499999999995</v>
      </c>
      <c r="S11" s="55">
        <f>S7-S10</f>
        <v>53.6675</v>
      </c>
      <c r="T11" s="55">
        <f>T7-T10</f>
        <v>52.940000000000005</v>
      </c>
      <c r="U11" s="55">
        <f>U7-U10</f>
        <v>1.65625</v>
      </c>
      <c r="V11" s="55">
        <f>V7-V10</f>
        <v>-23.985625000000002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-75.33994031321969</v>
      </c>
      <c r="D16" s="55">
        <f>D11*D15</f>
        <v>-25.591231332562458</v>
      </c>
      <c r="E16" s="55">
        <f>E11*E15</f>
        <v>-15.429292798110161</v>
      </c>
      <c r="F16" s="55">
        <f>F11*F15</f>
        <v>-7.151135630743242</v>
      </c>
      <c r="G16" s="55">
        <f>G11*G15</f>
        <v>-1.9485461078397057</v>
      </c>
      <c r="H16" s="55">
        <f>H11*H15</f>
        <v>4.036217364198755</v>
      </c>
      <c r="I16" s="55">
        <f>I11*I15</f>
        <v>11.339467300315754</v>
      </c>
      <c r="J16" s="55">
        <f>J11*J15</f>
        <v>19.333693180718658</v>
      </c>
      <c r="K16" s="55">
        <f>K11*K15</f>
        <v>25.48469820192446</v>
      </c>
      <c r="L16" s="55">
        <f>L11*L15</f>
        <v>30.09568781217485</v>
      </c>
      <c r="M16" s="55">
        <f>M11*M15</f>
        <v>31.787328173165935</v>
      </c>
      <c r="N16" s="55">
        <f>N11*N15</f>
        <v>28.381543011755294</v>
      </c>
      <c r="O16" s="55">
        <f>O11*O15</f>
        <v>19.368043048192785</v>
      </c>
      <c r="P16" s="55">
        <f>P11*P15</f>
        <v>14.626547205904199</v>
      </c>
      <c r="Q16" s="55">
        <f>Q11*Q15</f>
        <v>11.869083053111178</v>
      </c>
      <c r="R16" s="55">
        <f>R11*R15</f>
        <v>10.065996433573567</v>
      </c>
      <c r="S16" s="55">
        <f>S11*S15</f>
        <v>8.750265052493623</v>
      </c>
      <c r="T16" s="55">
        <f>T11*T15</f>
        <v>7.706829616870619</v>
      </c>
      <c r="U16" s="55">
        <f>U11*U15</f>
        <v>0.21527801947187453</v>
      </c>
      <c r="V16" s="55">
        <f>V11*V15</f>
        <v>-2.7835999168706627</v>
      </c>
    </row>
    <row r="17">
      <c r="A17" s="14" t="inlineStr">
        <is>
          <t>Tax-loss carryforward, end of year</t>
        </is>
      </c>
      <c r="C17" s="23">
        <f>Assumptions!$B$21-C8+MAX(0,-C7)</f>
        <v>993.9850000000001</v>
      </c>
      <c r="D17" s="23">
        <f>C17-D8+MAX(0,-D7)</f>
        <v>1022.6605000000002</v>
      </c>
      <c r="E17" s="23">
        <f>D17-E8+MAX(0,-E7)</f>
        <v>1042.0240000000001</v>
      </c>
      <c r="F17" s="23">
        <f>E17-F8+MAX(0,-F7)</f>
        <v>1052.0755000000001</v>
      </c>
      <c r="G17" s="23">
        <f>F17-G8+MAX(0,-G7)</f>
        <v>1055.1430000000003</v>
      </c>
      <c r="H17" s="23">
        <f>G17-H8+MAX(0,-H7)</f>
        <v>1048.0265000000002</v>
      </c>
      <c r="I17" s="23">
        <f>H17-I8+MAX(0,-I7)</f>
        <v>1025.6340000000002</v>
      </c>
      <c r="J17" s="23">
        <f>I17-J8+MAX(0,-J7)</f>
        <v>982.8735000000003</v>
      </c>
      <c r="K17" s="23">
        <f>J17-K8+MAX(0,-K7)</f>
        <v>919.7450000000002</v>
      </c>
      <c r="L17" s="23">
        <f>K17-L8+MAX(0,-L7)</f>
        <v>836.2485000000001</v>
      </c>
      <c r="M17" s="23">
        <f>L17-M8+MAX(0,-M7)</f>
        <v>737.4760000000001</v>
      </c>
      <c r="N17" s="23">
        <f>M17-N8+MAX(0,-N7)</f>
        <v>638.7035000000001</v>
      </c>
      <c r="O17" s="23">
        <f>N17-O8+MAX(0,-O7)</f>
        <v>563.211</v>
      </c>
      <c r="P17" s="23">
        <f>O17-P8+MAX(0,-P7)</f>
        <v>499.3585</v>
      </c>
      <c r="Q17" s="23">
        <f>P17-Q8+MAX(0,-Q7)</f>
        <v>441.326</v>
      </c>
      <c r="R17" s="23">
        <f>Q17-R8+MAX(0,-R7)</f>
        <v>386.2035</v>
      </c>
      <c r="S17" s="23">
        <f>R17-S8+MAX(0,-S7)</f>
        <v>332.536</v>
      </c>
      <c r="T17" s="23">
        <f>S17-T8+MAX(0,-T7)</f>
        <v>279.596</v>
      </c>
      <c r="U17" s="23">
        <f>T17-U8+MAX(0,-U7)</f>
        <v>277.93975</v>
      </c>
      <c r="V17" s="23">
        <f>U17-V8+MAX(0,-V7)</f>
        <v>301.92537500000003</v>
      </c>
    </row>
    <row r="19">
      <c r="A19" s="14" t="inlineStr">
        <is>
          <t>PV of risked pipeline contribution</t>
        </is>
      </c>
      <c r="B19" s="23">
        <f>SUMPRODUCT(C5:V5,C15:V15)</f>
        <v>541.2346391937277</v>
      </c>
    </row>
    <row r="20">
      <c r="A20" s="14" t="inlineStr">
        <is>
          <t>PV of corporate burn</t>
        </is>
      </c>
      <c r="B20" s="23">
        <f>SUMPRODUCT(C6:V6,C15:V15)</f>
        <v>-446.4177078192023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94.81693137452565</v>
      </c>
    </row>
    <row r="23">
      <c r="A23" s="14" t="inlineStr">
        <is>
          <t>Cash &amp; investments</t>
        </is>
      </c>
      <c r="B23" s="57">
        <f>Main!C7</f>
        <v>176.232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271.04893137452564</v>
      </c>
    </row>
    <row r="26">
      <c r="A26" s="14" t="inlineStr">
        <is>
          <t>Shares (mm)</t>
        </is>
      </c>
      <c r="B26" s="57">
        <f>Main!C4</f>
        <v>17.151024</v>
      </c>
    </row>
    <row r="27">
      <c r="A27" s="24" t="inlineStr">
        <is>
          <t>rNPV / share</t>
        </is>
      </c>
      <c r="B27" s="60">
        <f>B25/B26</f>
        <v>15.803658800461456</v>
      </c>
    </row>
    <row r="28">
      <c r="A28" s="14" t="inlineStr">
        <is>
          <t>Price</t>
        </is>
      </c>
      <c r="B28" s="61">
        <f>Main!C3</f>
        <v>5.78</v>
      </c>
    </row>
    <row r="29">
      <c r="A29" s="14" t="inlineStr">
        <is>
          <t>Upside</t>
        </is>
      </c>
      <c r="B29" s="62">
        <f>B27/B28-1</f>
        <v>1.7341970243012899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2026-10-21T06:28:09Z</dcterms:modified>
  <cp:lastModifiedBy>Wang, Eric</cp:lastModifiedBy>
</cp:coreProperties>
</file>