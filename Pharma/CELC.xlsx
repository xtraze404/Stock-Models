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Celcuity Inc.</t>
        </is>
      </c>
      <c r="C2" s="10" t="n"/>
    </row>
    <row r="3">
      <c r="B3" t="inlineStr">
        <is>
          <t>Price</t>
        </is>
      </c>
      <c r="C3" s="11">
        <f>INDEX([1]Pharma!$F$1:$F$1000,MATCH("CELC",[1]Pharma!$B$1:$B$1000,0))</f>
        <v>60</v>
      </c>
      <c r="F3" s="1" t="n"/>
    </row>
    <row r="4">
      <c r="B4" t="inlineStr">
        <is>
          <t>Shares</t>
        </is>
      </c>
      <c r="C4" s="21" t="n">
        <v>48.931908</v>
      </c>
      <c r="F4" s="1" t="n"/>
    </row>
    <row r="5">
      <c r="B5" t="inlineStr">
        <is>
          <t>Market Cap.</t>
        </is>
      </c>
      <c r="C5" s="13">
        <f>C3*C4</f>
        <v>2935.91448</v>
      </c>
      <c r="F5" s="1" t="n"/>
    </row>
    <row r="6"/>
    <row r="7">
      <c r="B7" t="inlineStr">
        <is>
          <t>Cash</t>
        </is>
      </c>
      <c r="C7" s="21">
        <f>182.049+571.995</f>
        <v>754.044</v>
      </c>
    </row>
    <row r="8">
      <c r="B8" t="inlineStr">
        <is>
          <t>Debt</t>
        </is>
      </c>
      <c r="C8" s="21" t="n">
        <v>753.235</v>
      </c>
    </row>
    <row r="9">
      <c r="B9" t="inlineStr">
        <is>
          <t>Enterprise V.</t>
        </is>
      </c>
      <c r="C9" s="13">
        <f>C5-C7+C8</f>
        <v>2935.10548</v>
      </c>
    </row>
    <row r="10"/>
    <row r="11">
      <c r="B11" s="14" t="inlineStr">
        <is>
          <t>Net Cash / Share</t>
        </is>
      </c>
      <c r="C11" s="11">
        <f>(C7-C8)/C4</f>
        <v>0.0165331791272061</v>
      </c>
    </row>
    <row r="12">
      <c r="B12" s="14" t="inlineStr">
        <is>
          <t>Upside</t>
        </is>
      </c>
      <c r="C12" s="15">
        <f>IFERROR(C11/C3-1,"")</f>
        <v>-0.9997244470145465</v>
      </c>
    </row>
    <row r="13">
      <c r="B13" s="14" t="inlineStr">
        <is>
          <t>Cash / Share</t>
        </is>
      </c>
      <c r="C13" s="11">
        <f>IFERROR((C7-C8)/C4,"")</f>
        <v>0.0165331791272061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-191.706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0.004220003547098</v>
      </c>
    </row>
    <row r="19">
      <c r="B19" s="14" t="inlineStr">
        <is>
          <t>Implied Pipeline Value</t>
        </is>
      </c>
      <c r="C19" s="13">
        <f>C9</f>
        <v>2935.10548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3.065</v>
      </c>
      <c r="C5" s="23" t="n">
        <v>4.98</v>
      </c>
      <c r="D5" s="23" t="n">
        <v>6.326</v>
      </c>
      <c r="E5" s="23" t="n">
        <v>6.269</v>
      </c>
      <c r="F5" s="23" t="n">
        <v>7.684</v>
      </c>
      <c r="G5" s="23" t="n">
        <v>25.758</v>
      </c>
      <c r="H5" s="23" t="n">
        <v>35.29</v>
      </c>
      <c r="I5" s="23" t="n">
        <v>60.594</v>
      </c>
      <c r="J5" s="23" t="n">
        <v>104.203</v>
      </c>
      <c r="K5" s="23" t="n">
        <v>144.995</v>
      </c>
    </row>
    <row r="6">
      <c r="A6" s="19" t="inlineStr">
        <is>
          <t>SG&amp;A &amp; Other</t>
        </is>
      </c>
      <c r="B6" s="23" t="n">
        <v>0.264</v>
      </c>
      <c r="C6" s="23" t="n">
        <v>0.973</v>
      </c>
      <c r="D6" s="23" t="n">
        <v>1.607</v>
      </c>
      <c r="E6" s="23" t="n">
        <v>1.536</v>
      </c>
      <c r="F6" s="23" t="n">
        <v>1.873</v>
      </c>
      <c r="G6" s="23" t="n">
        <v>2.598</v>
      </c>
      <c r="H6" s="23" t="n">
        <v>4.102</v>
      </c>
      <c r="I6" s="23" t="n">
        <v>5.636</v>
      </c>
      <c r="J6" s="23" t="n">
        <v>9.064</v>
      </c>
      <c r="K6" s="23" t="n">
        <v>27.197</v>
      </c>
    </row>
    <row r="7">
      <c r="A7" s="2" t="inlineStr">
        <is>
          <t>Operating Expense</t>
        </is>
      </c>
      <c r="B7" s="23">
        <f>SUM(B5:B6)</f>
        <v>3.3289999999999997</v>
      </c>
      <c r="C7" s="23">
        <f>SUM(C5:C6)</f>
        <v>5.953</v>
      </c>
      <c r="D7" s="23">
        <f>SUM(D5:D6)</f>
        <v>7.933</v>
      </c>
      <c r="E7" s="23">
        <f>SUM(E5:E6)</f>
        <v>7.805</v>
      </c>
      <c r="F7" s="23">
        <f>SUM(F5:F6)</f>
        <v>9.557</v>
      </c>
      <c r="G7" s="23">
        <f>SUM(G5:G6)</f>
        <v>28.355999999999998</v>
      </c>
      <c r="H7" s="23">
        <f>SUM(H5:H6)</f>
        <v>39.391999999999996</v>
      </c>
      <c r="I7" s="23">
        <f>SUM(I5:I6)</f>
        <v>66.23</v>
      </c>
      <c r="J7" s="23">
        <f>SUM(J5:J6)</f>
        <v>113.267</v>
      </c>
      <c r="K7" s="23">
        <f>SUM(K5:K6)</f>
        <v>172.192</v>
      </c>
    </row>
    <row r="8">
      <c r="A8" s="2" t="inlineStr">
        <is>
          <t>Operating Income</t>
        </is>
      </c>
      <c r="B8" s="23">
        <f>B4-B7</f>
        <v>-3.3289999999999997</v>
      </c>
      <c r="C8" s="23">
        <f>C4-C7</f>
        <v>-5.953</v>
      </c>
      <c r="D8" s="23">
        <f>D4-D7</f>
        <v>-7.933</v>
      </c>
      <c r="E8" s="23">
        <f>E4-E7</f>
        <v>-7.805</v>
      </c>
      <c r="F8" s="23">
        <f>F4-F7</f>
        <v>-9.557</v>
      </c>
      <c r="G8" s="23">
        <f>G4-G7</f>
        <v>-28.355999999999998</v>
      </c>
      <c r="H8" s="23">
        <f>H4-H7</f>
        <v>-39.391999999999996</v>
      </c>
      <c r="I8" s="23">
        <f>I4-I7</f>
        <v>-66.23</v>
      </c>
      <c r="J8" s="23">
        <f>J4-J7</f>
        <v>-113.267</v>
      </c>
      <c r="K8" s="23">
        <f>K4-K7</f>
        <v>-172.192</v>
      </c>
    </row>
    <row r="9">
      <c r="A9" s="19" t="inlineStr">
        <is>
          <t>Interest &amp; Other</t>
        </is>
      </c>
      <c r="B9" s="23" t="n">
        <v>0.018</v>
      </c>
      <c r="C9" s="23" t="n">
        <v>-0.299</v>
      </c>
      <c r="D9" s="23" t="n">
        <v>0.452</v>
      </c>
      <c r="E9" s="23" t="n">
        <v>0.446</v>
      </c>
      <c r="F9" s="23" t="n">
        <v>0.082</v>
      </c>
      <c r="G9" s="23" t="n">
        <v>-1.249</v>
      </c>
      <c r="H9" s="23" t="n">
        <v>-0.979</v>
      </c>
      <c r="I9" s="23" t="n">
        <v>2.451</v>
      </c>
      <c r="J9" s="23" t="n">
        <v>1.488</v>
      </c>
      <c r="K9" s="23" t="n">
        <v>-4.85</v>
      </c>
    </row>
    <row r="10">
      <c r="A10" s="2" t="inlineStr">
        <is>
          <t>Pretax</t>
        </is>
      </c>
      <c r="B10" s="23">
        <f>B8+B9</f>
        <v>-3.311</v>
      </c>
      <c r="C10" s="23">
        <f>C8+C9</f>
        <v>-6.252000000000001</v>
      </c>
      <c r="D10" s="23">
        <f>D8+D9</f>
        <v>-7.481</v>
      </c>
      <c r="E10" s="23">
        <f>E8+E9</f>
        <v>-7.359</v>
      </c>
      <c r="F10" s="23">
        <f>F8+F9</f>
        <v>-9.475</v>
      </c>
      <c r="G10" s="23">
        <f>G8+G9</f>
        <v>-29.604999999999997</v>
      </c>
      <c r="H10" s="23">
        <f>H8+H9</f>
        <v>-40.370999999999995</v>
      </c>
      <c r="I10" s="23">
        <f>I8+I9</f>
        <v>-63.779</v>
      </c>
      <c r="J10" s="23">
        <f>J8+J9</f>
        <v>-111.779</v>
      </c>
      <c r="K10" s="23">
        <f>K8+K9</f>
        <v>-177.042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-3.31</v>
      </c>
      <c r="C12" s="23" t="n">
        <v>-6.252</v>
      </c>
      <c r="D12" s="23" t="n">
        <v>-7.481</v>
      </c>
      <c r="E12" s="23" t="n">
        <v>-7.359</v>
      </c>
      <c r="F12" s="23" t="n">
        <v>-9.474</v>
      </c>
      <c r="G12" s="23" t="n">
        <v>-29.605</v>
      </c>
      <c r="H12" s="23" t="n">
        <v>-40.37</v>
      </c>
      <c r="I12" s="23" t="n">
        <v>-63.779</v>
      </c>
      <c r="J12" s="23" t="n">
        <v>-111.779</v>
      </c>
      <c r="K12" s="23" t="n">
        <v>-177.042</v>
      </c>
    </row>
    <row r="13">
      <c r="A13" s="2" t="inlineStr">
        <is>
          <t>Earnings per Share</t>
        </is>
      </c>
      <c r="B13" s="11">
        <f>IFERROR(B12/B14,0)</f>
        <v>-0.5243149057500396</v>
      </c>
      <c r="C13" s="11">
        <f>IFERROR(C12/C14,0)</f>
        <v>-0.8379573783675109</v>
      </c>
      <c r="D13" s="11">
        <f>IFERROR(D12/D14,0)</f>
        <v>-0.7388641975308642</v>
      </c>
      <c r="E13" s="11">
        <f>IFERROR(E12/E14,0)</f>
        <v>-0.7196362213964403</v>
      </c>
      <c r="F13" s="11">
        <f>IFERROR(F12/F14,0)</f>
        <v>-0.9227622479789618</v>
      </c>
      <c r="G13" s="11">
        <f>IFERROR(G12/G14,0)</f>
        <v>-2.212134797877905</v>
      </c>
      <c r="H13" s="11">
        <f>IFERROR(H12/H14,0)</f>
        <v>-2.6181983267397366</v>
      </c>
      <c r="I13" s="11">
        <f>IFERROR(I12/I14,0)</f>
        <v>-2.693483677520166</v>
      </c>
      <c r="J13" s="11">
        <f>IFERROR(J12/J14,0)</f>
        <v>-2.833506552764329</v>
      </c>
      <c r="K13" s="11">
        <f>IFERROR(K12/K14,0)</f>
        <v>-3.7863467214166557</v>
      </c>
    </row>
    <row r="14">
      <c r="A14" s="2" t="inlineStr">
        <is>
          <t>Shares</t>
        </is>
      </c>
      <c r="B14" s="23" t="n">
        <v>6.313</v>
      </c>
      <c r="C14" s="23" t="n">
        <v>7.461</v>
      </c>
      <c r="D14" s="23" t="n">
        <v>10.125</v>
      </c>
      <c r="E14" s="23" t="n">
        <v>10.226</v>
      </c>
      <c r="F14" s="23" t="n">
        <v>10.267</v>
      </c>
      <c r="G14" s="23" t="n">
        <v>13.383</v>
      </c>
      <c r="H14" s="23" t="n">
        <v>15.419</v>
      </c>
      <c r="I14" s="23" t="n">
        <v>23.679</v>
      </c>
      <c r="J14" s="23" t="n">
        <v>39.449</v>
      </c>
      <c r="K14" s="23" t="n">
        <v>46.758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2026-10-21T01:04:18Z</dcterms:modified>
  <cp:lastModifiedBy>Wang, Eric</cp:lastModifiedBy>
</cp:coreProperties>
</file>