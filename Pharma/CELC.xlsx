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Celcuity Inc.</t>
        </is>
      </c>
      <c r="C2" s="10" t="n"/>
    </row>
    <row r="3">
      <c r="B3" t="inlineStr">
        <is>
          <t>Price</t>
        </is>
      </c>
      <c r="C3" s="11">
        <f>INDEX([1]Pharma!$F$1:$F$1000,MATCH("CELC",[1]Pharma!$B$1:$B$1000,0))</f>
        <v>60</v>
      </c>
      <c r="F3" s="1" t="n"/>
    </row>
    <row r="4">
      <c r="B4" t="inlineStr">
        <is>
          <t>Shares</t>
        </is>
      </c>
      <c r="C4" s="21" t="n">
        <v>48.931908</v>
      </c>
      <c r="F4" s="1" t="n"/>
    </row>
    <row r="5">
      <c r="B5" t="inlineStr">
        <is>
          <t>Market Cap.</t>
        </is>
      </c>
      <c r="C5" s="13">
        <f>C3*C4</f>
        <v>2935.91448</v>
      </c>
      <c r="F5" s="1" t="n"/>
    </row>
    <row r="6"/>
    <row r="7">
      <c r="B7" t="inlineStr">
        <is>
          <t>Cash</t>
        </is>
      </c>
      <c r="C7" s="21">
        <f>182.049+571.995</f>
        <v>754.044</v>
      </c>
    </row>
    <row r="8">
      <c r="B8" t="inlineStr">
        <is>
          <t>Debt</t>
        </is>
      </c>
      <c r="C8" s="21" t="n">
        <v>753.235</v>
      </c>
    </row>
    <row r="9">
      <c r="B9" t="inlineStr">
        <is>
          <t>Enterprise V.</t>
        </is>
      </c>
      <c r="C9" s="13">
        <f>C5-C7+C8</f>
        <v>2935.10548</v>
      </c>
    </row>
    <row r="10"/>
    <row r="11">
      <c r="B11" s="14" t="inlineStr">
        <is>
          <t>rNPV / Share</t>
        </is>
      </c>
      <c r="C11" s="11">
        <f>NPV!B27</f>
        <v>92.51595840937553</v>
      </c>
    </row>
    <row r="12">
      <c r="B12" s="14" t="inlineStr">
        <is>
          <t>Upside</t>
        </is>
      </c>
      <c r="C12" s="15">
        <f>IFERROR(C11/C3-1,"")</f>
        <v>0.5419326401562587</v>
      </c>
    </row>
    <row r="13">
      <c r="B13" s="14" t="inlineStr">
        <is>
          <t>Cash / Share</t>
        </is>
      </c>
      <c r="C13" s="11">
        <f>IFERROR((C7-C8)/C4,"")</f>
        <v>0.0165331791272061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-191.706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0.004220003547098</v>
      </c>
    </row>
    <row r="19">
      <c r="B19" s="14" t="inlineStr">
        <is>
          <t>Implied Pipeline Value</t>
        </is>
      </c>
      <c r="C19" s="13">
        <f>C9</f>
        <v>2935.10548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3.065</v>
      </c>
      <c r="C5" s="23" t="n">
        <v>4.98</v>
      </c>
      <c r="D5" s="23" t="n">
        <v>6.326</v>
      </c>
      <c r="E5" s="23" t="n">
        <v>6.269</v>
      </c>
      <c r="F5" s="23" t="n">
        <v>7.684</v>
      </c>
      <c r="G5" s="23" t="n">
        <v>25.758</v>
      </c>
      <c r="H5" s="23" t="n">
        <v>35.29</v>
      </c>
      <c r="I5" s="23" t="n">
        <v>60.594</v>
      </c>
      <c r="J5" s="23" t="n">
        <v>104.203</v>
      </c>
      <c r="K5" s="23" t="n">
        <v>144.995</v>
      </c>
    </row>
    <row r="6">
      <c r="A6" s="19" t="inlineStr">
        <is>
          <t>SG&amp;A &amp; Other</t>
        </is>
      </c>
      <c r="B6" s="23" t="n">
        <v>0.264</v>
      </c>
      <c r="C6" s="23" t="n">
        <v>0.973</v>
      </c>
      <c r="D6" s="23" t="n">
        <v>1.607</v>
      </c>
      <c r="E6" s="23" t="n">
        <v>1.536</v>
      </c>
      <c r="F6" s="23" t="n">
        <v>1.873</v>
      </c>
      <c r="G6" s="23" t="n">
        <v>2.598</v>
      </c>
      <c r="H6" s="23" t="n">
        <v>4.102</v>
      </c>
      <c r="I6" s="23" t="n">
        <v>5.636</v>
      </c>
      <c r="J6" s="23" t="n">
        <v>9.064</v>
      </c>
      <c r="K6" s="23" t="n">
        <v>27.197</v>
      </c>
    </row>
    <row r="7">
      <c r="A7" s="2" t="inlineStr">
        <is>
          <t>Operating Expense</t>
        </is>
      </c>
      <c r="B7" s="23">
        <f>SUM(B5:B6)</f>
        <v>3.3289999999999997</v>
      </c>
      <c r="C7" s="23">
        <f>SUM(C5:C6)</f>
        <v>5.953</v>
      </c>
      <c r="D7" s="23">
        <f>SUM(D5:D6)</f>
        <v>7.933</v>
      </c>
      <c r="E7" s="23">
        <f>SUM(E5:E6)</f>
        <v>7.805</v>
      </c>
      <c r="F7" s="23">
        <f>SUM(F5:F6)</f>
        <v>9.557</v>
      </c>
      <c r="G7" s="23">
        <f>SUM(G5:G6)</f>
        <v>28.355999999999998</v>
      </c>
      <c r="H7" s="23">
        <f>SUM(H5:H6)</f>
        <v>39.391999999999996</v>
      </c>
      <c r="I7" s="23">
        <f>SUM(I5:I6)</f>
        <v>66.23</v>
      </c>
      <c r="J7" s="23">
        <f>SUM(J5:J6)</f>
        <v>113.267</v>
      </c>
      <c r="K7" s="23">
        <f>SUM(K5:K6)</f>
        <v>172.192</v>
      </c>
    </row>
    <row r="8">
      <c r="A8" s="2" t="inlineStr">
        <is>
          <t>Operating Income</t>
        </is>
      </c>
      <c r="B8" s="23">
        <f>B4-B7</f>
        <v>-3.3289999999999997</v>
      </c>
      <c r="C8" s="23">
        <f>C4-C7</f>
        <v>-5.953</v>
      </c>
      <c r="D8" s="23">
        <f>D4-D7</f>
        <v>-7.933</v>
      </c>
      <c r="E8" s="23">
        <f>E4-E7</f>
        <v>-7.805</v>
      </c>
      <c r="F8" s="23">
        <f>F4-F7</f>
        <v>-9.557</v>
      </c>
      <c r="G8" s="23">
        <f>G4-G7</f>
        <v>-28.355999999999998</v>
      </c>
      <c r="H8" s="23">
        <f>H4-H7</f>
        <v>-39.391999999999996</v>
      </c>
      <c r="I8" s="23">
        <f>I4-I7</f>
        <v>-66.23</v>
      </c>
      <c r="J8" s="23">
        <f>J4-J7</f>
        <v>-113.267</v>
      </c>
      <c r="K8" s="23">
        <f>K4-K7</f>
        <v>-172.192</v>
      </c>
    </row>
    <row r="9">
      <c r="A9" s="19" t="inlineStr">
        <is>
          <t>Interest &amp; Other</t>
        </is>
      </c>
      <c r="B9" s="23" t="n">
        <v>0.018</v>
      </c>
      <c r="C9" s="23" t="n">
        <v>-0.299</v>
      </c>
      <c r="D9" s="23" t="n">
        <v>0.452</v>
      </c>
      <c r="E9" s="23" t="n">
        <v>0.446</v>
      </c>
      <c r="F9" s="23" t="n">
        <v>0.082</v>
      </c>
      <c r="G9" s="23" t="n">
        <v>-1.249</v>
      </c>
      <c r="H9" s="23" t="n">
        <v>-0.979</v>
      </c>
      <c r="I9" s="23" t="n">
        <v>2.451</v>
      </c>
      <c r="J9" s="23" t="n">
        <v>1.488</v>
      </c>
      <c r="K9" s="23" t="n">
        <v>-4.85</v>
      </c>
    </row>
    <row r="10">
      <c r="A10" s="2" t="inlineStr">
        <is>
          <t>Pretax</t>
        </is>
      </c>
      <c r="B10" s="23">
        <f>B8+B9</f>
        <v>-3.311</v>
      </c>
      <c r="C10" s="23">
        <f>C8+C9</f>
        <v>-6.252000000000001</v>
      </c>
      <c r="D10" s="23">
        <f>D8+D9</f>
        <v>-7.481</v>
      </c>
      <c r="E10" s="23">
        <f>E8+E9</f>
        <v>-7.359</v>
      </c>
      <c r="F10" s="23">
        <f>F8+F9</f>
        <v>-9.475</v>
      </c>
      <c r="G10" s="23">
        <f>G8+G9</f>
        <v>-29.604999999999997</v>
      </c>
      <c r="H10" s="23">
        <f>H8+H9</f>
        <v>-40.370999999999995</v>
      </c>
      <c r="I10" s="23">
        <f>I8+I9</f>
        <v>-63.779</v>
      </c>
      <c r="J10" s="23">
        <f>J8+J9</f>
        <v>-111.779</v>
      </c>
      <c r="K10" s="23">
        <f>K8+K9</f>
        <v>-177.042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-3.31</v>
      </c>
      <c r="C12" s="23" t="n">
        <v>-6.252</v>
      </c>
      <c r="D12" s="23" t="n">
        <v>-7.481</v>
      </c>
      <c r="E12" s="23" t="n">
        <v>-7.359</v>
      </c>
      <c r="F12" s="23" t="n">
        <v>-9.474</v>
      </c>
      <c r="G12" s="23" t="n">
        <v>-29.605</v>
      </c>
      <c r="H12" s="23" t="n">
        <v>-40.37</v>
      </c>
      <c r="I12" s="23" t="n">
        <v>-63.779</v>
      </c>
      <c r="J12" s="23" t="n">
        <v>-111.779</v>
      </c>
      <c r="K12" s="23" t="n">
        <v>-177.042</v>
      </c>
    </row>
    <row r="13">
      <c r="A13" s="2" t="inlineStr">
        <is>
          <t>Earnings per Share</t>
        </is>
      </c>
      <c r="B13" s="11">
        <f>IFERROR(B12/B14,0)</f>
        <v>-0.5243149057500396</v>
      </c>
      <c r="C13" s="11">
        <f>IFERROR(C12/C14,0)</f>
        <v>-0.8379573783675109</v>
      </c>
      <c r="D13" s="11">
        <f>IFERROR(D12/D14,0)</f>
        <v>-0.7388641975308642</v>
      </c>
      <c r="E13" s="11">
        <f>IFERROR(E12/E14,0)</f>
        <v>-0.7196362213964403</v>
      </c>
      <c r="F13" s="11">
        <f>IFERROR(F12/F14,0)</f>
        <v>-0.9227622479789618</v>
      </c>
      <c r="G13" s="11">
        <f>IFERROR(G12/G14,0)</f>
        <v>-2.212134797877905</v>
      </c>
      <c r="H13" s="11">
        <f>IFERROR(H12/H14,0)</f>
        <v>-2.6181983267397366</v>
      </c>
      <c r="I13" s="11">
        <f>IFERROR(I12/I14,0)</f>
        <v>-2.693483677520166</v>
      </c>
      <c r="J13" s="11">
        <f>IFERROR(J12/J14,0)</f>
        <v>-2.833506552764329</v>
      </c>
      <c r="K13" s="11">
        <f>IFERROR(K12/K14,0)</f>
        <v>-3.7863467214166557</v>
      </c>
    </row>
    <row r="14">
      <c r="A14" s="2" t="inlineStr">
        <is>
          <t>Shares</t>
        </is>
      </c>
      <c r="B14" s="23" t="n">
        <v>6.313</v>
      </c>
      <c r="C14" s="23" t="n">
        <v>7.461</v>
      </c>
      <c r="D14" s="23" t="n">
        <v>10.125</v>
      </c>
      <c r="E14" s="23" t="n">
        <v>10.226</v>
      </c>
      <c r="F14" s="23" t="n">
        <v>10.267</v>
      </c>
      <c r="G14" s="23" t="n">
        <v>13.383</v>
      </c>
      <c r="H14" s="23" t="n">
        <v>15.419</v>
      </c>
      <c r="I14" s="23" t="n">
        <v>23.679</v>
      </c>
      <c r="J14" s="23" t="n">
        <v>39.449</v>
      </c>
      <c r="K14" s="23" t="n">
        <v>46.758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Celcuity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1.0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208.675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456.5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4526.1733654193895</v>
      </c>
      <c r="C29" s="42">
        <f>NPV!B25</f>
        <v>4526.98236541939</v>
      </c>
      <c r="D29" s="43">
        <f>NPV!B27</f>
        <v>92.51595840937553</v>
      </c>
      <c r="E29" s="44">
        <f>NPV!B29</f>
        <v>0.5419326401562587</v>
      </c>
    </row>
    <row r="30">
      <c r="A30" s="45" t="n">
        <v>1</v>
      </c>
      <c r="B30" s="46">
        <f t="dataTable" ref="B30:E32" r1="B4"/>
        <v>2270.9168459547413</v>
      </c>
      <c r="C30" s="46">
        <v>2271.725845954741</v>
      </c>
      <c r="D30" s="47">
        <v>46.42626741542024</v>
      </c>
      <c r="E30" s="48">
        <v>-0.2262288764096626</v>
      </c>
    </row>
    <row r="31">
      <c r="A31" s="45" t="n">
        <v>2</v>
      </c>
      <c r="B31" s="46">
        <v>4526.1733654193895</v>
      </c>
      <c r="C31" s="46">
        <v>4526.98236541939</v>
      </c>
      <c r="D31" s="47">
        <v>92.51595840937553</v>
      </c>
      <c r="E31" s="48">
        <v>0.5419326401562587</v>
      </c>
    </row>
    <row r="32">
      <c r="A32" s="45" t="n">
        <v>3</v>
      </c>
      <c r="B32" s="46">
        <v>7357.668389815823</v>
      </c>
      <c r="C32" s="46">
        <v>7358.477389815823</v>
      </c>
      <c r="D32" s="47">
        <v>150.3819836703654</v>
      </c>
      <c r="E32" s="48">
        <v>1.50636639450609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92.51595840937553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41.84930944441204</v>
      </c>
      <c r="C37" s="47">
        <v>66.60642509430515</v>
      </c>
      <c r="D37" s="47">
        <v>91.2863000322274</v>
      </c>
      <c r="E37" s="47">
        <v>140.57749191365514</v>
      </c>
      <c r="F37" s="47">
        <v>189.82194052335473</v>
      </c>
    </row>
    <row r="38">
      <c r="A38" s="50" t="n">
        <v>0.8</v>
      </c>
      <c r="B38" s="47">
        <v>42.16737792639757</v>
      </c>
      <c r="C38" s="47">
        <v>67.07419809023197</v>
      </c>
      <c r="D38" s="47">
        <v>91.90112922080147</v>
      </c>
      <c r="E38" s="47">
        <v>141.49973569651624</v>
      </c>
      <c r="F38" s="47">
        <v>191.04408813399274</v>
      </c>
    </row>
    <row r="39">
      <c r="A39" s="50" t="n">
        <v>1</v>
      </c>
      <c r="B39" s="47">
        <v>42.48370930268543</v>
      </c>
      <c r="C39" s="47">
        <v>67.53716081674352</v>
      </c>
      <c r="D39" s="47">
        <v>92.51595840937553</v>
      </c>
      <c r="E39" s="47">
        <v>142.41799000724563</v>
      </c>
      <c r="F39" s="47">
        <v>192.26623574463076</v>
      </c>
    </row>
    <row r="40">
      <c r="A40" s="50" t="n">
        <v>1.2</v>
      </c>
      <c r="B40" s="47">
        <v>42.799173812998795</v>
      </c>
      <c r="C40" s="47">
        <v>67.99828270817409</v>
      </c>
      <c r="D40" s="47">
        <v>93.13078759794959</v>
      </c>
      <c r="E40" s="47">
        <v>143.33460071522413</v>
      </c>
      <c r="F40" s="47">
        <v>193.4883833552687</v>
      </c>
    </row>
    <row r="41">
      <c r="A41" s="50" t="n">
        <v>1.4</v>
      </c>
      <c r="B41" s="47">
        <v>43.110794436531506</v>
      </c>
      <c r="C41" s="47">
        <v>68.45940459960464</v>
      </c>
      <c r="D41" s="47">
        <v>93.74561678652367</v>
      </c>
      <c r="E41" s="47">
        <v>144.2512114232026</v>
      </c>
      <c r="F41" s="47">
        <v>194.71053096590674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Celcuity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Breast cancer</t>
        </is>
      </c>
      <c r="C4" s="14" t="inlineStr">
        <is>
          <t>Gedatolisib, Palbociclib</t>
        </is>
      </c>
      <c r="D4" s="14" t="inlineStr">
        <is>
          <t>Approved</t>
        </is>
      </c>
      <c r="E4" s="14" t="inlineStr">
        <is>
          <t>Oncology / area</t>
        </is>
      </c>
      <c r="F4" s="14" t="inlineStr">
        <is>
          <t>Owned</t>
        </is>
      </c>
      <c r="G4" s="40" t="n">
        <v>3000</v>
      </c>
      <c r="H4" s="27" t="n">
        <v>1</v>
      </c>
      <c r="I4" s="26" t="n">
        <v>2026</v>
      </c>
      <c r="J4" s="39">
        <f>I4+Assumptions!$B$25</f>
        <v>2038.0</v>
      </c>
      <c r="K4" s="53">
        <f>Assumptions!$E$13</f>
        <v>0.4</v>
      </c>
      <c r="L4" s="23">
        <f>K4*SUMPRODUCT(M4:AF4,NPV!$C$15:$V$15)</f>
        <v>5993.736374198971</v>
      </c>
      <c r="M4" s="23">
        <f>IF(M$3&lt;$I4,0,$G4*Assumptions!$E$11*INDEX(Assumptions!$B$24:$G$24,MIN(6,M$3-$I4+1))*IF(M$3&gt;$J4,(1-Assumptions!$B$26)^(M$3-$J4),1)*IF($H4&gt;=1,1,MIN(0.97,$H4*Assumptions!$E$12)))</f>
        <v>300.0</v>
      </c>
      <c r="N4" s="23">
        <f>IF(N$3&lt;$I4,0,$G4*Assumptions!$E$11*INDEX(Assumptions!$B$24:$G$24,MIN(6,N$3-$I4+1))*IF(N$3&gt;$J4,(1-Assumptions!$B$26)^(N$3-$J4),1)*IF($H4&gt;=1,1,MIN(0.97,$H4*Assumptions!$E$12)))</f>
        <v>750.0</v>
      </c>
      <c r="O4" s="23">
        <f>IF(O$3&lt;$I4,0,$G4*Assumptions!$E$11*INDEX(Assumptions!$B$24:$G$24,MIN(6,O$3-$I4+1))*IF(O$3&gt;$J4,(1-Assumptions!$B$26)^(O$3-$J4),1)*IF($H4&gt;=1,1,MIN(0.97,$H4*Assumptions!$E$12)))</f>
        <v>1350.0</v>
      </c>
      <c r="P4" s="23">
        <f>IF(P$3&lt;$I4,0,$G4*Assumptions!$E$11*INDEX(Assumptions!$B$24:$G$24,MIN(6,P$3-$I4+1))*IF(P$3&gt;$J4,(1-Assumptions!$B$26)^(P$3-$J4),1)*IF($H4&gt;=1,1,MIN(0.97,$H4*Assumptions!$E$12)))</f>
        <v>1950.0</v>
      </c>
      <c r="Q4" s="23">
        <f>IF(Q$3&lt;$I4,0,$G4*Assumptions!$E$11*INDEX(Assumptions!$B$24:$G$24,MIN(6,Q$3-$I4+1))*IF(Q$3&gt;$J4,(1-Assumptions!$B$26)^(Q$3-$J4),1)*IF($H4&gt;=1,1,MIN(0.97,$H4*Assumptions!$E$12)))</f>
        <v>2550.0</v>
      </c>
      <c r="R4" s="23">
        <f>IF(R$3&lt;$I4,0,$G4*Assumptions!$E$11*INDEX(Assumptions!$B$24:$G$24,MIN(6,R$3-$I4+1))*IF(R$3&gt;$J4,(1-Assumptions!$B$26)^(R$3-$J4),1)*IF($H4&gt;=1,1,MIN(0.97,$H4*Assumptions!$E$12)))</f>
        <v>3000.0</v>
      </c>
      <c r="S4" s="23">
        <f>IF(S$3&lt;$I4,0,$G4*Assumptions!$E$11*INDEX(Assumptions!$B$24:$G$24,MIN(6,S$3-$I4+1))*IF(S$3&gt;$J4,(1-Assumptions!$B$26)^(S$3-$J4),1)*IF($H4&gt;=1,1,MIN(0.97,$H4*Assumptions!$E$12)))</f>
        <v>3000.0</v>
      </c>
      <c r="T4" s="23">
        <f>IF(T$3&lt;$I4,0,$G4*Assumptions!$E$11*INDEX(Assumptions!$B$24:$G$24,MIN(6,T$3-$I4+1))*IF(T$3&gt;$J4,(1-Assumptions!$B$26)^(T$3-$J4),1)*IF($H4&gt;=1,1,MIN(0.97,$H4*Assumptions!$E$12)))</f>
        <v>3000.0</v>
      </c>
      <c r="U4" s="23">
        <f>IF(U$3&lt;$I4,0,$G4*Assumptions!$E$11*INDEX(Assumptions!$B$24:$G$24,MIN(6,U$3-$I4+1))*IF(U$3&gt;$J4,(1-Assumptions!$B$26)^(U$3-$J4),1)*IF($H4&gt;=1,1,MIN(0.97,$H4*Assumptions!$E$12)))</f>
        <v>3000.0</v>
      </c>
      <c r="V4" s="23">
        <f>IF(V$3&lt;$I4,0,$G4*Assumptions!$E$11*INDEX(Assumptions!$B$24:$G$24,MIN(6,V$3-$I4+1))*IF(V$3&gt;$J4,(1-Assumptions!$B$26)^(V$3-$J4),1)*IF($H4&gt;=1,1,MIN(0.97,$H4*Assumptions!$E$12)))</f>
        <v>3000.0</v>
      </c>
      <c r="W4" s="23">
        <f>IF(W$3&lt;$I4,0,$G4*Assumptions!$E$11*INDEX(Assumptions!$B$24:$G$24,MIN(6,W$3-$I4+1))*IF(W$3&gt;$J4,(1-Assumptions!$B$26)^(W$3-$J4),1)*IF($H4&gt;=1,1,MIN(0.97,$H4*Assumptions!$E$12)))</f>
        <v>3000.0</v>
      </c>
      <c r="X4" s="23">
        <f>IF(X$3&lt;$I4,0,$G4*Assumptions!$E$11*INDEX(Assumptions!$B$24:$G$24,MIN(6,X$3-$I4+1))*IF(X$3&gt;$J4,(1-Assumptions!$B$26)^(X$3-$J4),1)*IF($H4&gt;=1,1,MIN(0.97,$H4*Assumptions!$E$12)))</f>
        <v>3000.0</v>
      </c>
      <c r="Y4" s="23">
        <f>IF(Y$3&lt;$I4,0,$G4*Assumptions!$E$11*INDEX(Assumptions!$B$24:$G$24,MIN(6,Y$3-$I4+1))*IF(Y$3&gt;$J4,(1-Assumptions!$B$26)^(Y$3-$J4),1)*IF($H4&gt;=1,1,MIN(0.97,$H4*Assumptions!$E$12)))</f>
        <v>3000.0</v>
      </c>
      <c r="Z4" s="23">
        <f>IF(Z$3&lt;$I4,0,$G4*Assumptions!$E$11*INDEX(Assumptions!$B$24:$G$24,MIN(6,Z$3-$I4+1))*IF(Z$3&gt;$J4,(1-Assumptions!$B$26)^(Z$3-$J4),1)*IF($H4&gt;=1,1,MIN(0.97,$H4*Assumptions!$E$12)))</f>
        <v>1500.0</v>
      </c>
      <c r="AA4" s="23">
        <f>IF(AA$3&lt;$I4,0,$G4*Assumptions!$E$11*INDEX(Assumptions!$B$24:$G$24,MIN(6,AA$3-$I4+1))*IF(AA$3&gt;$J4,(1-Assumptions!$B$26)^(AA$3-$J4),1)*IF($H4&gt;=1,1,MIN(0.97,$H4*Assumptions!$E$12)))</f>
        <v>750.0</v>
      </c>
      <c r="AB4" s="23">
        <f>IF(AB$3&lt;$I4,0,$G4*Assumptions!$E$11*INDEX(Assumptions!$B$24:$G$24,MIN(6,AB$3-$I4+1))*IF(AB$3&gt;$J4,(1-Assumptions!$B$26)^(AB$3-$J4),1)*IF($H4&gt;=1,1,MIN(0.97,$H4*Assumptions!$E$12)))</f>
        <v>375.0</v>
      </c>
      <c r="AC4" s="23">
        <f>IF(AC$3&lt;$I4,0,$G4*Assumptions!$E$11*INDEX(Assumptions!$B$24:$G$24,MIN(6,AC$3-$I4+1))*IF(AC$3&gt;$J4,(1-Assumptions!$B$26)^(AC$3-$J4),1)*IF($H4&gt;=1,1,MIN(0.97,$H4*Assumptions!$E$12)))</f>
        <v>187.5</v>
      </c>
      <c r="AD4" s="23">
        <f>IF(AD$3&lt;$I4,0,$G4*Assumptions!$E$11*INDEX(Assumptions!$B$24:$G$24,MIN(6,AD$3-$I4+1))*IF(AD$3&gt;$J4,(1-Assumptions!$B$26)^(AD$3-$J4),1)*IF($H4&gt;=1,1,MIN(0.97,$H4*Assumptions!$E$12)))</f>
        <v>93.75</v>
      </c>
      <c r="AE4" s="23">
        <f>IF(AE$3&lt;$I4,0,$G4*Assumptions!$E$11*INDEX(Assumptions!$B$24:$G$24,MIN(6,AE$3-$I4+1))*IF(AE$3&gt;$J4,(1-Assumptions!$B$26)^(AE$3-$J4),1)*IF($H4&gt;=1,1,MIN(0.97,$H4*Assumptions!$E$12)))</f>
        <v>46.875</v>
      </c>
      <c r="AF4" s="23">
        <f>IF(AF$3&lt;$I4,0,$G4*Assumptions!$E$11*INDEX(Assumptions!$B$24:$G$24,MIN(6,AF$3-$I4+1))*IF(AF$3&gt;$J4,(1-Assumptions!$B$26)^(AF$3-$J4),1)*IF($H4&gt;=1,1,MIN(0.97,$H4*Assumptions!$E$12)))</f>
        <v>23.4375</v>
      </c>
      <c r="AG4" s="35">
        <f>IF(F4="Owned",1-IF(H4&gt;=1,1,MIN(0.97,H4*Assumptions!$E$12)),1)</f>
        <v>0.0</v>
      </c>
    </row>
    <row r="5">
      <c r="A5" s="39" t="n">
        <v>2</v>
      </c>
      <c r="B5" s="14" t="inlineStr">
        <is>
          <t>Prostate cancer</t>
        </is>
      </c>
      <c r="C5" s="14" t="inlineStr">
        <is>
          <t>Gedatolisib, Darolutamide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2500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189.24688115872877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18.849999999999998</v>
      </c>
      <c r="T5" s="23">
        <f>IF(T$3&lt;$I5,0,$G5*Assumptions!$E$11*INDEX(Assumptions!$B$24:$G$24,MIN(6,T$3-$I5+1))*IF(T$3&gt;$J5,(1-Assumptions!$B$26)^(T$3-$J5),1)*IF($H5&gt;=1,1,MIN(0.97,$H5*Assumptions!$E$12)))</f>
        <v>47.125</v>
      </c>
      <c r="U5" s="23">
        <f>IF(U$3&lt;$I5,0,$G5*Assumptions!$E$11*INDEX(Assumptions!$B$24:$G$24,MIN(6,U$3-$I5+1))*IF(U$3&gt;$J5,(1-Assumptions!$B$26)^(U$3-$J5),1)*IF($H5&gt;=1,1,MIN(0.97,$H5*Assumptions!$E$12)))</f>
        <v>84.82499999999999</v>
      </c>
      <c r="V5" s="23">
        <f>IF(V$3&lt;$I5,0,$G5*Assumptions!$E$11*INDEX(Assumptions!$B$24:$G$24,MIN(6,V$3-$I5+1))*IF(V$3&gt;$J5,(1-Assumptions!$B$26)^(V$3-$J5),1)*IF($H5&gt;=1,1,MIN(0.97,$H5*Assumptions!$E$12)))</f>
        <v>122.52499999999999</v>
      </c>
      <c r="W5" s="23">
        <f>IF(W$3&lt;$I5,0,$G5*Assumptions!$E$11*INDEX(Assumptions!$B$24:$G$24,MIN(6,W$3-$I5+1))*IF(W$3&gt;$J5,(1-Assumptions!$B$26)^(W$3-$J5),1)*IF($H5&gt;=1,1,MIN(0.97,$H5*Assumptions!$E$12)))</f>
        <v>160.225</v>
      </c>
      <c r="X5" s="23">
        <f>IF(X$3&lt;$I5,0,$G5*Assumptions!$E$11*INDEX(Assumptions!$B$24:$G$24,MIN(6,X$3-$I5+1))*IF(X$3&gt;$J5,(1-Assumptions!$B$26)^(X$3-$J5),1)*IF($H5&gt;=1,1,MIN(0.97,$H5*Assumptions!$E$12)))</f>
        <v>188.5</v>
      </c>
      <c r="Y5" s="23">
        <f>IF(Y$3&lt;$I5,0,$G5*Assumptions!$E$11*INDEX(Assumptions!$B$24:$G$24,MIN(6,Y$3-$I5+1))*IF(Y$3&gt;$J5,(1-Assumptions!$B$26)^(Y$3-$J5),1)*IF($H5&gt;=1,1,MIN(0.97,$H5*Assumptions!$E$12)))</f>
        <v>188.5</v>
      </c>
      <c r="Z5" s="23">
        <f>IF(Z$3&lt;$I5,0,$G5*Assumptions!$E$11*INDEX(Assumptions!$B$24:$G$24,MIN(6,Z$3-$I5+1))*IF(Z$3&gt;$J5,(1-Assumptions!$B$26)^(Z$3-$J5),1)*IF($H5&gt;=1,1,MIN(0.97,$H5*Assumptions!$E$12)))</f>
        <v>188.5</v>
      </c>
      <c r="AA5" s="23">
        <f>IF(AA$3&lt;$I5,0,$G5*Assumptions!$E$11*INDEX(Assumptions!$B$24:$G$24,MIN(6,AA$3-$I5+1))*IF(AA$3&gt;$J5,(1-Assumptions!$B$26)^(AA$3-$J5),1)*IF($H5&gt;=1,1,MIN(0.97,$H5*Assumptions!$E$12)))</f>
        <v>188.5</v>
      </c>
      <c r="AB5" s="23">
        <f>IF(AB$3&lt;$I5,0,$G5*Assumptions!$E$11*INDEX(Assumptions!$B$24:$G$24,MIN(6,AB$3-$I5+1))*IF(AB$3&gt;$J5,(1-Assumptions!$B$26)^(AB$3-$J5),1)*IF($H5&gt;=1,1,MIN(0.97,$H5*Assumptions!$E$12)))</f>
        <v>188.5</v>
      </c>
      <c r="AC5" s="23">
        <f>IF(AC$3&lt;$I5,0,$G5*Assumptions!$E$11*INDEX(Assumptions!$B$24:$G$24,MIN(6,AC$3-$I5+1))*IF(AC$3&gt;$J5,(1-Assumptions!$B$26)^(AC$3-$J5),1)*IF($H5&gt;=1,1,MIN(0.97,$H5*Assumptions!$E$12)))</f>
        <v>188.5</v>
      </c>
      <c r="AD5" s="23">
        <f>IF(AD$3&lt;$I5,0,$G5*Assumptions!$E$11*INDEX(Assumptions!$B$24:$G$24,MIN(6,AD$3-$I5+1))*IF(AD$3&gt;$J5,(1-Assumptions!$B$26)^(AD$3-$J5),1)*IF($H5&gt;=1,1,MIN(0.97,$H5*Assumptions!$E$12)))</f>
        <v>188.5</v>
      </c>
      <c r="AE5" s="23">
        <f>IF(AE$3&lt;$I5,0,$G5*Assumptions!$E$11*INDEX(Assumptions!$B$24:$G$24,MIN(6,AE$3-$I5+1))*IF(AE$3&gt;$J5,(1-Assumptions!$B$26)^(AE$3-$J5),1)*IF($H5&gt;=1,1,MIN(0.97,$H5*Assumptions!$E$12)))</f>
        <v>188.5</v>
      </c>
      <c r="AF5" s="23">
        <f>IF(AF$3&lt;$I5,0,$G5*Assumptions!$E$11*INDEX(Assumptions!$B$24:$G$24,MIN(6,AF$3-$I5+1))*IF(AF$3&gt;$J5,(1-Assumptions!$B$26)^(AF$3-$J5),1)*IF($H5&gt;=1,1,MIN(0.97,$H5*Assumptions!$E$12)))</f>
        <v>94.25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6182.9832553577</v>
      </c>
      <c r="M6" s="54">
        <f>SUM(M4:M5)</f>
        <v>300.0</v>
      </c>
      <c r="N6" s="54">
        <f>SUM(N4:N5)</f>
        <v>750.0</v>
      </c>
      <c r="O6" s="54">
        <f>SUM(O4:O5)</f>
        <v>1350.0</v>
      </c>
      <c r="P6" s="54">
        <f>SUM(P4:P5)</f>
        <v>1950.0</v>
      </c>
      <c r="Q6" s="54">
        <f>SUM(Q4:Q5)</f>
        <v>2550.0</v>
      </c>
      <c r="R6" s="54">
        <f>SUM(R4:R5)</f>
        <v>3000.0</v>
      </c>
      <c r="S6" s="54">
        <f>SUM(S4:S5)</f>
        <v>3018.85</v>
      </c>
      <c r="T6" s="54">
        <f>SUM(T4:T5)</f>
        <v>3047.125</v>
      </c>
      <c r="U6" s="54">
        <f>SUM(U4:U5)</f>
        <v>3084.825</v>
      </c>
      <c r="V6" s="54">
        <f>SUM(V4:V5)</f>
        <v>3122.525</v>
      </c>
      <c r="W6" s="54">
        <f>SUM(W4:W5)</f>
        <v>3160.225</v>
      </c>
      <c r="X6" s="54">
        <f>SUM(X4:X5)</f>
        <v>3188.5</v>
      </c>
      <c r="Y6" s="54">
        <f>SUM(Y4:Y5)</f>
        <v>3188.5</v>
      </c>
      <c r="Z6" s="54">
        <f>SUM(Z4:Z5)</f>
        <v>1688.5</v>
      </c>
      <c r="AA6" s="54">
        <f>SUM(AA4:AA5)</f>
        <v>938.5</v>
      </c>
      <c r="AB6" s="54">
        <f>SUM(AB4:AB5)</f>
        <v>563.5</v>
      </c>
      <c r="AC6" s="54">
        <f>SUM(AC4:AC5)</f>
        <v>376.0</v>
      </c>
      <c r="AD6" s="54">
        <f>SUM(AD4:AD5)</f>
        <v>282.25</v>
      </c>
      <c r="AE6" s="54">
        <f>SUM(AE4:AE5)</f>
        <v>235.375</v>
      </c>
      <c r="AF6" s="54">
        <f>SUM(AF4:AF5)</f>
        <v>117.6875</v>
      </c>
    </row>
    <row r="7">
      <c r="B7" s="24" t="inlineStr">
        <is>
          <t>Risked contribution (revenue x share)</t>
        </is>
      </c>
      <c r="M7" s="55">
        <f>SUMPRODUCT(M4:M5,$K$4:$K$5)</f>
        <v>120.0</v>
      </c>
      <c r="N7" s="55">
        <f>SUMPRODUCT(N4:N5,$K$4:$K$5)</f>
        <v>300.0</v>
      </c>
      <c r="O7" s="55">
        <f>SUMPRODUCT(O4:O5,$K$4:$K$5)</f>
        <v>540.0</v>
      </c>
      <c r="P7" s="55">
        <f>SUMPRODUCT(P4:P5,$K$4:$K$5)</f>
        <v>780.0</v>
      </c>
      <c r="Q7" s="55">
        <f>SUMPRODUCT(Q4:Q5,$K$4:$K$5)</f>
        <v>1020.0</v>
      </c>
      <c r="R7" s="55">
        <f>SUMPRODUCT(R4:R5,$K$4:$K$5)</f>
        <v>1200.0</v>
      </c>
      <c r="S7" s="55">
        <f>SUMPRODUCT(S4:S5,$K$4:$K$5)</f>
        <v>1207.54</v>
      </c>
      <c r="T7" s="55">
        <f>SUMPRODUCT(T4:T5,$K$4:$K$5)</f>
        <v>1218.85</v>
      </c>
      <c r="U7" s="55">
        <f>SUMPRODUCT(U4:U5,$K$4:$K$5)</f>
        <v>1233.93</v>
      </c>
      <c r="V7" s="55">
        <f>SUMPRODUCT(V4:V5,$K$4:$K$5)</f>
        <v>1249.01</v>
      </c>
      <c r="W7" s="55">
        <f>SUMPRODUCT(W4:W5,$K$4:$K$5)</f>
        <v>1264.09</v>
      </c>
      <c r="X7" s="55">
        <f>SUMPRODUCT(X4:X5,$K$4:$K$5)</f>
        <v>1275.4</v>
      </c>
      <c r="Y7" s="55">
        <f>SUMPRODUCT(Y4:Y5,$K$4:$K$5)</f>
        <v>1275.4</v>
      </c>
      <c r="Z7" s="55">
        <f>SUMPRODUCT(Z4:Z5,$K$4:$K$5)</f>
        <v>675.4</v>
      </c>
      <c r="AA7" s="55">
        <f>SUMPRODUCT(AA4:AA5,$K$4:$K$5)</f>
        <v>375.4</v>
      </c>
      <c r="AB7" s="55">
        <f>SUMPRODUCT(AB4:AB5,$K$4:$K$5)</f>
        <v>225.4</v>
      </c>
      <c r="AC7" s="55">
        <f>SUMPRODUCT(AC4:AC5,$K$4:$K$5)</f>
        <v>150.4</v>
      </c>
      <c r="AD7" s="55">
        <f>SUMPRODUCT(AD4:AD5,$K$4:$K$5)</f>
        <v>112.9</v>
      </c>
      <c r="AE7" s="55">
        <f>SUMPRODUCT(AE4:AE5,$K$4:$K$5)</f>
        <v>94.15</v>
      </c>
      <c r="AF7" s="55">
        <f>SUMPRODUCT(AF4:AF5,$K$4:$K$5)</f>
        <v>47.075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Celcuity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300.0</v>
      </c>
      <c r="D4" s="57">
        <f>Pipeline!N6</f>
        <v>750.0</v>
      </c>
      <c r="E4" s="57">
        <f>Pipeline!O6</f>
        <v>1350.0</v>
      </c>
      <c r="F4" s="57">
        <f>Pipeline!P6</f>
        <v>1950.0</v>
      </c>
      <c r="G4" s="57">
        <f>Pipeline!Q6</f>
        <v>2550.0</v>
      </c>
      <c r="H4" s="57">
        <f>Pipeline!R6</f>
        <v>3000.0</v>
      </c>
      <c r="I4" s="57">
        <f>Pipeline!S6</f>
        <v>3018.85</v>
      </c>
      <c r="J4" s="57">
        <f>Pipeline!T6</f>
        <v>3047.125</v>
      </c>
      <c r="K4" s="57">
        <f>Pipeline!U6</f>
        <v>3084.825</v>
      </c>
      <c r="L4" s="57">
        <f>Pipeline!V6</f>
        <v>3122.525</v>
      </c>
      <c r="M4" s="57">
        <f>Pipeline!W6</f>
        <v>3160.225</v>
      </c>
      <c r="N4" s="57">
        <f>Pipeline!X6</f>
        <v>3188.5</v>
      </c>
      <c r="O4" s="57">
        <f>Pipeline!Y6</f>
        <v>3188.5</v>
      </c>
      <c r="P4" s="57">
        <f>Pipeline!Z6</f>
        <v>1688.5</v>
      </c>
      <c r="Q4" s="57">
        <f>Pipeline!AA6</f>
        <v>938.5</v>
      </c>
      <c r="R4" s="57">
        <f>Pipeline!AB6</f>
        <v>563.5</v>
      </c>
      <c r="S4" s="57">
        <f>Pipeline!AC6</f>
        <v>376.0</v>
      </c>
      <c r="T4" s="57">
        <f>Pipeline!AD6</f>
        <v>282.25</v>
      </c>
      <c r="U4" s="57">
        <f>Pipeline!AE6</f>
        <v>235.375</v>
      </c>
      <c r="V4" s="57">
        <f>Pipeline!AF6</f>
        <v>117.6875</v>
      </c>
    </row>
    <row r="5">
      <c r="A5" s="14" t="inlineStr">
        <is>
          <t>Risked contribution</t>
        </is>
      </c>
      <c r="C5" s="57">
        <f>Pipeline!M7</f>
        <v>120.0</v>
      </c>
      <c r="D5" s="57">
        <f>Pipeline!N7</f>
        <v>300.0</v>
      </c>
      <c r="E5" s="57">
        <f>Pipeline!O7</f>
        <v>540.0</v>
      </c>
      <c r="F5" s="57">
        <f>Pipeline!P7</f>
        <v>780.0</v>
      </c>
      <c r="G5" s="57">
        <f>Pipeline!Q7</f>
        <v>1020.0</v>
      </c>
      <c r="H5" s="57">
        <f>Pipeline!R7</f>
        <v>1200.0</v>
      </c>
      <c r="I5" s="57">
        <f>Pipeline!S7</f>
        <v>1207.54</v>
      </c>
      <c r="J5" s="57">
        <f>Pipeline!T7</f>
        <v>1218.85</v>
      </c>
      <c r="K5" s="57">
        <f>Pipeline!U7</f>
        <v>1233.93</v>
      </c>
      <c r="L5" s="57">
        <f>Pipeline!V7</f>
        <v>1249.01</v>
      </c>
      <c r="M5" s="57">
        <f>Pipeline!W7</f>
        <v>1264.09</v>
      </c>
      <c r="N5" s="57">
        <f>Pipeline!X7</f>
        <v>1275.4</v>
      </c>
      <c r="O5" s="57">
        <f>Pipeline!Y7</f>
        <v>1275.4</v>
      </c>
      <c r="P5" s="57">
        <f>Pipeline!Z7</f>
        <v>675.4</v>
      </c>
      <c r="Q5" s="57">
        <f>Pipeline!AA7</f>
        <v>375.4</v>
      </c>
      <c r="R5" s="57">
        <f>Pipeline!AB7</f>
        <v>225.4</v>
      </c>
      <c r="S5" s="57">
        <f>Pipeline!AC7</f>
        <v>150.4</v>
      </c>
      <c r="T5" s="57">
        <f>Pipeline!AD7</f>
        <v>112.9</v>
      </c>
      <c r="U5" s="57">
        <f>Pipeline!AE7</f>
        <v>94.15</v>
      </c>
      <c r="V5" s="57">
        <f>Pipeline!AF7</f>
        <v>47.075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-208.675</v>
      </c>
      <c r="D6" s="23">
        <f>-IF(D3-2026&lt;Assumptions!$B$19,Assumptions!$B$18,Assumptions!$B$18*Assumptions!$B$20*Assumptions!$B$16)</f>
        <v>-62.6025</v>
      </c>
      <c r="E6" s="23">
        <f>-IF(E3-2026&lt;Assumptions!$B$19,Assumptions!$B$18,Assumptions!$B$18*Assumptions!$B$20*Assumptions!$B$16)</f>
        <v>-62.6025</v>
      </c>
      <c r="F6" s="23">
        <f>-IF(F3-2026&lt;Assumptions!$B$19,Assumptions!$B$18,Assumptions!$B$18*Assumptions!$B$20*Assumptions!$B$16)</f>
        <v>-62.6025</v>
      </c>
      <c r="G6" s="23">
        <f>-IF(G3-2026&lt;Assumptions!$B$19,Assumptions!$B$18,Assumptions!$B$18*Assumptions!$B$20*Assumptions!$B$16)</f>
        <v>-62.6025</v>
      </c>
      <c r="H6" s="23">
        <f>-IF(H3-2026&lt;Assumptions!$B$19,Assumptions!$B$18,Assumptions!$B$18*Assumptions!$B$20*Assumptions!$B$16)</f>
        <v>-62.6025</v>
      </c>
      <c r="I6" s="23">
        <f>-IF(I3-2026&lt;Assumptions!$B$19,Assumptions!$B$18,Assumptions!$B$18*Assumptions!$B$20*Assumptions!$B$16)</f>
        <v>-62.6025</v>
      </c>
      <c r="J6" s="23">
        <f>-IF(J3-2026&lt;Assumptions!$B$19,Assumptions!$B$18,Assumptions!$B$18*Assumptions!$B$20*Assumptions!$B$16)</f>
        <v>-62.6025</v>
      </c>
      <c r="K6" s="23">
        <f>-IF(K3-2026&lt;Assumptions!$B$19,Assumptions!$B$18,Assumptions!$B$18*Assumptions!$B$20*Assumptions!$B$16)</f>
        <v>-62.6025</v>
      </c>
      <c r="L6" s="23">
        <f>-IF(L3-2026&lt;Assumptions!$B$19,Assumptions!$B$18,Assumptions!$B$18*Assumptions!$B$20*Assumptions!$B$16)</f>
        <v>-62.6025</v>
      </c>
      <c r="M6" s="23">
        <f>-IF(M3-2026&lt;Assumptions!$B$19,Assumptions!$B$18,Assumptions!$B$18*Assumptions!$B$20*Assumptions!$B$16)</f>
        <v>-62.6025</v>
      </c>
      <c r="N6" s="23">
        <f>-IF(N3-2026&lt;Assumptions!$B$19,Assumptions!$B$18,Assumptions!$B$18*Assumptions!$B$20*Assumptions!$B$16)</f>
        <v>-62.6025</v>
      </c>
      <c r="O6" s="23">
        <f>-IF(O3-2026&lt;Assumptions!$B$19,Assumptions!$B$18,Assumptions!$B$18*Assumptions!$B$20*Assumptions!$B$16)</f>
        <v>-62.6025</v>
      </c>
      <c r="P6" s="23">
        <f>-IF(P3-2026&lt;Assumptions!$B$19,Assumptions!$B$18,Assumptions!$B$18*Assumptions!$B$20*Assumptions!$B$16)</f>
        <v>-62.6025</v>
      </c>
      <c r="Q6" s="23">
        <f>-IF(Q3-2026&lt;Assumptions!$B$19,Assumptions!$B$18,Assumptions!$B$18*Assumptions!$B$20*Assumptions!$B$16)</f>
        <v>-62.6025</v>
      </c>
      <c r="R6" s="23">
        <f>-IF(R3-2026&lt;Assumptions!$B$19,Assumptions!$B$18,Assumptions!$B$18*Assumptions!$B$20*Assumptions!$B$16)</f>
        <v>-62.6025</v>
      </c>
      <c r="S6" s="23">
        <f>-IF(S3-2026&lt;Assumptions!$B$19,Assumptions!$B$18,Assumptions!$B$18*Assumptions!$B$20*Assumptions!$B$16)</f>
        <v>-62.6025</v>
      </c>
      <c r="T6" s="23">
        <f>-IF(T3-2026&lt;Assumptions!$B$19,Assumptions!$B$18,Assumptions!$B$18*Assumptions!$B$20*Assumptions!$B$16)</f>
        <v>-62.6025</v>
      </c>
      <c r="U6" s="23">
        <f>-IF(U3-2026&lt;Assumptions!$B$19,Assumptions!$B$18,Assumptions!$B$18*Assumptions!$B$20*Assumptions!$B$16)</f>
        <v>-62.6025</v>
      </c>
      <c r="V6" s="23">
        <f>-IF(V3-2026&lt;Assumptions!$B$19,Assumptions!$B$18,Assumptions!$B$18*Assumptions!$B$20*Assumptions!$B$16)</f>
        <v>-62.6025</v>
      </c>
    </row>
    <row r="7">
      <c r="A7" s="14" t="inlineStr">
        <is>
          <t>Pre-tax cash flow</t>
        </is>
      </c>
      <c r="C7" s="23">
        <f>C5+C6</f>
        <v>-88.67500000000001</v>
      </c>
      <c r="D7" s="23">
        <f>D5+D6</f>
        <v>237.3975</v>
      </c>
      <c r="E7" s="23">
        <f>E5+E6</f>
        <v>477.3975</v>
      </c>
      <c r="F7" s="23">
        <f>F5+F6</f>
        <v>717.3975</v>
      </c>
      <c r="G7" s="23">
        <f>G5+G6</f>
        <v>957.3975</v>
      </c>
      <c r="H7" s="23">
        <f>H5+H6</f>
        <v>1137.3975</v>
      </c>
      <c r="I7" s="23">
        <f>I5+I6</f>
        <v>1144.9375</v>
      </c>
      <c r="J7" s="23">
        <f>J5+J6</f>
        <v>1156.2475</v>
      </c>
      <c r="K7" s="23">
        <f>K5+K6</f>
        <v>1171.3275</v>
      </c>
      <c r="L7" s="23">
        <f>L5+L6</f>
        <v>1186.4075</v>
      </c>
      <c r="M7" s="23">
        <f>M5+M6</f>
        <v>1201.4875</v>
      </c>
      <c r="N7" s="23">
        <f>N5+N6</f>
        <v>1212.7975000000001</v>
      </c>
      <c r="O7" s="23">
        <f>O5+O6</f>
        <v>1212.7975000000001</v>
      </c>
      <c r="P7" s="23">
        <f>P5+P6</f>
        <v>612.7975</v>
      </c>
      <c r="Q7" s="23">
        <f>Q5+Q6</f>
        <v>312.79749999999996</v>
      </c>
      <c r="R7" s="23">
        <f>R5+R6</f>
        <v>162.7975</v>
      </c>
      <c r="S7" s="23">
        <f>S5+S6</f>
        <v>87.79750000000001</v>
      </c>
      <c r="T7" s="23">
        <f>T5+T6</f>
        <v>50.29750000000001</v>
      </c>
      <c r="U7" s="23">
        <f>U5+U6</f>
        <v>31.547500000000007</v>
      </c>
      <c r="V7" s="23">
        <f>V5+V6</f>
        <v>-15.527499999999996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237.3975</v>
      </c>
      <c r="E8" s="23">
        <f>MIN(D17,MAX(0,E7))</f>
        <v>307.7774999999999</v>
      </c>
      <c r="F8" s="23">
        <f>MIN(E17,MAX(0,F7))</f>
        <v>0.0</v>
      </c>
      <c r="G8" s="23">
        <f>MIN(F17,MAX(0,G7))</f>
        <v>0.0</v>
      </c>
      <c r="H8" s="23">
        <f>MIN(G17,MAX(0,H7))</f>
        <v>0.0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169.62000000000006</v>
      </c>
      <c r="F9" s="23">
        <f>MAX(0,F7)-F8</f>
        <v>717.3975</v>
      </c>
      <c r="G9" s="23">
        <f>MAX(0,G7)-G8</f>
        <v>957.3975</v>
      </c>
      <c r="H9" s="23">
        <f>MAX(0,H7)-H8</f>
        <v>1137.3975</v>
      </c>
      <c r="I9" s="23">
        <f>MAX(0,I7)-I8</f>
        <v>1144.9375</v>
      </c>
      <c r="J9" s="23">
        <f>MAX(0,J7)-J8</f>
        <v>1156.2475</v>
      </c>
      <c r="K9" s="23">
        <f>MAX(0,K7)-K8</f>
        <v>1171.3275</v>
      </c>
      <c r="L9" s="23">
        <f>MAX(0,L7)-L8</f>
        <v>1186.4075</v>
      </c>
      <c r="M9" s="23">
        <f>MAX(0,M7)-M8</f>
        <v>1201.4875</v>
      </c>
      <c r="N9" s="23">
        <f>MAX(0,N7)-N8</f>
        <v>1212.7975000000001</v>
      </c>
      <c r="O9" s="23">
        <f>MAX(0,O7)-O8</f>
        <v>1212.7975000000001</v>
      </c>
      <c r="P9" s="23">
        <f>MAX(0,P7)-P8</f>
        <v>612.7975</v>
      </c>
      <c r="Q9" s="23">
        <f>MAX(0,Q7)-Q8</f>
        <v>312.79749999999996</v>
      </c>
      <c r="R9" s="23">
        <f>MAX(0,R7)-R8</f>
        <v>162.7975</v>
      </c>
      <c r="S9" s="23">
        <f>MAX(0,S7)-S8</f>
        <v>87.79750000000001</v>
      </c>
      <c r="T9" s="23">
        <f>MAX(0,T7)-T8</f>
        <v>50.29750000000001</v>
      </c>
      <c r="U9" s="23">
        <f>MAX(0,U7)-U8</f>
        <v>31.547500000000007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35.62020000000001</v>
      </c>
      <c r="F10" s="23">
        <f>F9*Assumptions!$E$15</f>
        <v>150.65347500000001</v>
      </c>
      <c r="G10" s="23">
        <f>G9*Assumptions!$E$15</f>
        <v>201.053475</v>
      </c>
      <c r="H10" s="23">
        <f>H9*Assumptions!$E$15</f>
        <v>238.853475</v>
      </c>
      <c r="I10" s="23">
        <f>I9*Assumptions!$E$15</f>
        <v>240.436875</v>
      </c>
      <c r="J10" s="23">
        <f>J9*Assumptions!$E$15</f>
        <v>242.811975</v>
      </c>
      <c r="K10" s="23">
        <f>K9*Assumptions!$E$15</f>
        <v>245.978775</v>
      </c>
      <c r="L10" s="23">
        <f>L9*Assumptions!$E$15</f>
        <v>249.145575</v>
      </c>
      <c r="M10" s="23">
        <f>M9*Assumptions!$E$15</f>
        <v>252.31237499999997</v>
      </c>
      <c r="N10" s="23">
        <f>N9*Assumptions!$E$15</f>
        <v>254.687475</v>
      </c>
      <c r="O10" s="23">
        <f>O9*Assumptions!$E$15</f>
        <v>254.687475</v>
      </c>
      <c r="P10" s="23">
        <f>P9*Assumptions!$E$15</f>
        <v>128.687475</v>
      </c>
      <c r="Q10" s="23">
        <f>Q9*Assumptions!$E$15</f>
        <v>65.68747499999999</v>
      </c>
      <c r="R10" s="23">
        <f>R9*Assumptions!$E$15</f>
        <v>34.187475</v>
      </c>
      <c r="S10" s="23">
        <f>S9*Assumptions!$E$15</f>
        <v>18.437475000000003</v>
      </c>
      <c r="T10" s="23">
        <f>T9*Assumptions!$E$15</f>
        <v>10.562475000000001</v>
      </c>
      <c r="U10" s="23">
        <f>U9*Assumptions!$E$15</f>
        <v>6.624975000000001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-88.67500000000001</v>
      </c>
      <c r="D11" s="55">
        <f>D7-D10</f>
        <v>237.3975</v>
      </c>
      <c r="E11" s="55">
        <f>E7-E10</f>
        <v>441.77729999999997</v>
      </c>
      <c r="F11" s="55">
        <f>F7-F10</f>
        <v>566.744025</v>
      </c>
      <c r="G11" s="55">
        <f>G7-G10</f>
        <v>756.3440250000001</v>
      </c>
      <c r="H11" s="55">
        <f>H7-H10</f>
        <v>898.544025</v>
      </c>
      <c r="I11" s="55">
        <f>I7-I10</f>
        <v>904.500625</v>
      </c>
      <c r="J11" s="55">
        <f>J7-J10</f>
        <v>913.435525</v>
      </c>
      <c r="K11" s="55">
        <f>K7-K10</f>
        <v>925.3487250000001</v>
      </c>
      <c r="L11" s="55">
        <f>L7-L10</f>
        <v>937.261925</v>
      </c>
      <c r="M11" s="55">
        <f>M7-M10</f>
        <v>949.175125</v>
      </c>
      <c r="N11" s="55">
        <f>N7-N10</f>
        <v>958.1100250000002</v>
      </c>
      <c r="O11" s="55">
        <f>O7-O10</f>
        <v>958.1100250000002</v>
      </c>
      <c r="P11" s="55">
        <f>P7-P10</f>
        <v>484.110025</v>
      </c>
      <c r="Q11" s="55">
        <f>Q7-Q10</f>
        <v>247.11002499999995</v>
      </c>
      <c r="R11" s="55">
        <f>R7-R10</f>
        <v>128.610025</v>
      </c>
      <c r="S11" s="55">
        <f>S7-S10</f>
        <v>69.36002500000001</v>
      </c>
      <c r="T11" s="55">
        <f>T7-T10</f>
        <v>39.73502500000001</v>
      </c>
      <c r="U11" s="55">
        <f>U7-U10</f>
        <v>24.922525000000007</v>
      </c>
      <c r="V11" s="55">
        <f>V7-V10</f>
        <v>-15.527499999999996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-43.442268148875094</v>
      </c>
      <c r="D16" s="55">
        <f>D11*D15</f>
        <v>211.86358878736186</v>
      </c>
      <c r="E16" s="55">
        <f>E11*E15</f>
        <v>352.0185562144526</v>
      </c>
      <c r="F16" s="55">
        <f>F11*F15</f>
        <v>403.20980855477654</v>
      </c>
      <c r="G16" s="55">
        <f>G11*G15</f>
        <v>480.44701095405577</v>
      </c>
      <c r="H16" s="55">
        <f>H11*H15</f>
        <v>509.62116155442186</v>
      </c>
      <c r="I16" s="55">
        <f>I11*I15</f>
        <v>458.0352912940788</v>
      </c>
      <c r="J16" s="55">
        <f>J11*J15</f>
        <v>412.99989898898906</v>
      </c>
      <c r="K16" s="55">
        <f>K11*K15</f>
        <v>373.55921633114343</v>
      </c>
      <c r="L16" s="55">
        <f>L11*L15</f>
        <v>337.8290382595442</v>
      </c>
      <c r="M16" s="55">
        <f>M11*M15</f>
        <v>305.46701958724134</v>
      </c>
      <c r="N16" s="55">
        <f>N11*N15</f>
        <v>275.3057873854711</v>
      </c>
      <c r="O16" s="55">
        <f>O11*O15</f>
        <v>245.80873873702774</v>
      </c>
      <c r="P16" s="55">
        <f>P11*P15</f>
        <v>110.89398431563309</v>
      </c>
      <c r="Q16" s="55">
        <f>Q11*Q15</f>
        <v>50.54011820930305</v>
      </c>
      <c r="R16" s="55">
        <f>R11*R15</f>
        <v>23.485655639200097</v>
      </c>
      <c r="S16" s="55">
        <f>S11*S15</f>
        <v>11.308866684633793</v>
      </c>
      <c r="T16" s="55">
        <f>T11*T15</f>
        <v>5.7844931525707315</v>
      </c>
      <c r="U16" s="55">
        <f>U11*U15</f>
        <v>3.2394094021061317</v>
      </c>
      <c r="V16" s="55">
        <f>V11*V15</f>
        <v>-1.8020104837463773</v>
      </c>
    </row>
    <row r="17">
      <c r="A17" s="14" t="inlineStr">
        <is>
          <t>Tax-loss carryforward, end of year</t>
        </is>
      </c>
      <c r="C17" s="23">
        <f>Assumptions!$B$21-C8+MAX(0,-C7)</f>
        <v>545.175</v>
      </c>
      <c r="D17" s="23">
        <f>C17-D8+MAX(0,-D7)</f>
        <v>307.7774999999999</v>
      </c>
      <c r="E17" s="23">
        <f>D17-E8+MAX(0,-E7)</f>
        <v>0.0</v>
      </c>
      <c r="F17" s="23">
        <f>E17-F8+MAX(0,-F7)</f>
        <v>0.0</v>
      </c>
      <c r="G17" s="23">
        <f>F17-G8+MAX(0,-G7)</f>
        <v>0.0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15.527499999999996</v>
      </c>
    </row>
    <row r="19">
      <c r="A19" s="14" t="inlineStr">
        <is>
          <t>PV of risked pipeline contribution</t>
        </is>
      </c>
      <c r="B19" s="23">
        <f>SUMPRODUCT(C5:V5,C15:V15)</f>
        <v>6182.983255357702</v>
      </c>
    </row>
    <row r="20">
      <c r="A20" s="14" t="inlineStr">
        <is>
          <t>PV of corporate burn</t>
        </is>
      </c>
      <c r="B20" s="23">
        <f>SUMPRODUCT(C6:V6,C15:V15)</f>
        <v>-563.1326291622913</v>
      </c>
    </row>
    <row r="21">
      <c r="A21" s="14" t="inlineStr">
        <is>
          <t>PV of taxes</t>
        </is>
      </c>
      <c r="B21" s="23">
        <f>-SUMPRODUCT(C10:V10,C15:V15)</f>
        <v>-1093.6772607760197</v>
      </c>
    </row>
    <row r="22">
      <c r="A22" s="24" t="inlineStr">
        <is>
          <t>Pipeline rNPV (operations)</t>
        </is>
      </c>
      <c r="B22" s="54">
        <f>SUM(C16:V16)</f>
        <v>4526.1733654193895</v>
      </c>
    </row>
    <row r="23">
      <c r="A23" s="14" t="inlineStr">
        <is>
          <t>Cash &amp; investments</t>
        </is>
      </c>
      <c r="B23" s="57">
        <f>Main!C7</f>
        <v>754.044</v>
      </c>
    </row>
    <row r="24">
      <c r="A24" s="14" t="inlineStr">
        <is>
          <t>Debt</t>
        </is>
      </c>
      <c r="B24" s="57">
        <f>Main!C8</f>
        <v>753.235</v>
      </c>
    </row>
    <row r="25">
      <c r="A25" s="24" t="inlineStr">
        <is>
          <t>Equity value</t>
        </is>
      </c>
      <c r="B25" s="54">
        <f>B22+B23-B24</f>
        <v>4526.98236541939</v>
      </c>
    </row>
    <row r="26">
      <c r="A26" s="14" t="inlineStr">
        <is>
          <t>Shares (mm)</t>
        </is>
      </c>
      <c r="B26" s="57">
        <f>Main!C4</f>
        <v>48.931908</v>
      </c>
    </row>
    <row r="27">
      <c r="A27" s="24" t="inlineStr">
        <is>
          <t>rNPV / share</t>
        </is>
      </c>
      <c r="B27" s="60">
        <f>B25/B26</f>
        <v>92.51595840937553</v>
      </c>
    </row>
    <row r="28">
      <c r="A28" s="14" t="inlineStr">
        <is>
          <t>Price</t>
        </is>
      </c>
      <c r="B28" s="61">
        <f>Main!C3</f>
        <v>60</v>
      </c>
    </row>
    <row r="29">
      <c r="A29" s="14" t="inlineStr">
        <is>
          <t>Upside</t>
        </is>
      </c>
      <c r="B29" s="62">
        <f>B27/B28-1</f>
        <v>0.5419326401562587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2026-10-21T06:22:14Z</dcterms:modified>
  <cp:lastModifiedBy>Wang, Eric</cp:lastModifiedBy>
</cp:coreProperties>
</file>