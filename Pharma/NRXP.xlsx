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NRX Pharmaceuticals Inc</t>
        </is>
      </c>
      <c r="C2" s="10" t="n"/>
    </row>
    <row r="3">
      <c r="B3" t="inlineStr">
        <is>
          <t>Price</t>
        </is>
      </c>
      <c r="C3" s="11">
        <f>INDEX([1]Pharma!$F$1:$F$1000,MATCH("NRXP",[1]Pharma!$B$1:$B$1000,0))</f>
        <v>2.62</v>
      </c>
      <c r="F3" s="1" t="n"/>
    </row>
    <row r="4">
      <c r="B4" t="inlineStr">
        <is>
          <t>Shares</t>
        </is>
      </c>
      <c r="C4" s="21" t="n">
        <v>43.295767</v>
      </c>
      <c r="F4" s="1" t="n"/>
    </row>
    <row r="5">
      <c r="B5" t="inlineStr">
        <is>
          <t>Market Cap.</t>
        </is>
      </c>
      <c r="C5" s="13">
        <f>C3*C4</f>
        <v>113.43490953999999</v>
      </c>
      <c r="F5" s="1" t="n"/>
    </row>
    <row r="6"/>
    <row r="7">
      <c r="B7" t="inlineStr">
        <is>
          <t>Cash</t>
        </is>
      </c>
      <c r="C7" s="21" t="n">
        <v>26.686</v>
      </c>
    </row>
    <row r="8">
      <c r="B8" t="inlineStr">
        <is>
          <t>Debt</t>
        </is>
      </c>
      <c r="C8" s="21" t="n">
        <v>0.412</v>
      </c>
    </row>
    <row r="9">
      <c r="B9" t="inlineStr">
        <is>
          <t>Enterprise V.</t>
        </is>
      </c>
      <c r="C9" s="13">
        <f>C5-C7+C8</f>
        <v>87.16090954</v>
      </c>
    </row>
    <row r="10"/>
    <row r="11">
      <c r="B11" s="14" t="inlineStr">
        <is>
          <t>Net Cash / Share</t>
        </is>
      </c>
      <c r="C11" s="11">
        <f>(C7-C8)/C4</f>
        <v>0.6068491637993155</v>
      </c>
    </row>
    <row r="12">
      <c r="B12" s="14" t="inlineStr">
        <is>
          <t>Upside</t>
        </is>
      </c>
      <c r="C12" s="15">
        <f>IFERROR(C11/C3-1,"")</f>
        <v>-0.7683781817559865</v>
      </c>
    </row>
    <row r="13">
      <c r="B13" s="14" t="inlineStr">
        <is>
          <t>Cash / Share</t>
        </is>
      </c>
      <c r="C13" s="11">
        <f>IFERROR((C7-C8)/C4,"")</f>
        <v>0.6068491637993155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-19.774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1.3287144735511278</v>
      </c>
    </row>
    <row r="19">
      <c r="B19" s="14" t="inlineStr">
        <is>
          <t>Implied Pipeline Value</t>
        </is>
      </c>
      <c r="C19" s="13">
        <f>C9</f>
        <v>87.16090954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1.445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0.505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0.9400000000000001</v>
      </c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10.625</v>
      </c>
      <c r="E5" s="23" t="n">
        <v>20.257</v>
      </c>
      <c r="F5" s="23" t="n">
        <v>17.027</v>
      </c>
      <c r="G5" s="23" t="n">
        <v>13.371</v>
      </c>
      <c r="H5" s="23" t="n">
        <v>6.199</v>
      </c>
      <c r="I5" s="23" t="n">
        <v>3.777</v>
      </c>
      <c r="J5" s="1" t="n"/>
      <c r="K5" s="1" t="n"/>
    </row>
    <row r="6">
      <c r="A6" s="19" t="inlineStr">
        <is>
          <t>SG&amp;A &amp; Other</t>
        </is>
      </c>
      <c r="B6" s="23" t="n">
        <v>1.007</v>
      </c>
      <c r="C6" s="23" t="n">
        <v>0.713</v>
      </c>
      <c r="D6" s="23" t="n">
        <v>40.762</v>
      </c>
      <c r="E6" s="23" t="n">
        <v>95.539</v>
      </c>
      <c r="F6" s="23" t="n">
        <v>27.308</v>
      </c>
      <c r="G6" s="23" t="n">
        <v>14.466</v>
      </c>
      <c r="H6" s="23" t="n">
        <v>12.303</v>
      </c>
      <c r="I6" s="23" t="n">
        <v>13.387</v>
      </c>
      <c r="J6" s="1" t="n"/>
      <c r="K6" s="1" t="n"/>
    </row>
    <row r="7">
      <c r="A7" s="2" t="inlineStr">
        <is>
          <t>Operating Expense</t>
        </is>
      </c>
      <c r="B7" s="23">
        <f>SUM(B5:B6)</f>
        <v>1.007</v>
      </c>
      <c r="C7" s="23">
        <f>SUM(C5:C6)</f>
        <v>0.713</v>
      </c>
      <c r="D7" s="23">
        <f>SUM(D5:D6)</f>
        <v>51.387</v>
      </c>
      <c r="E7" s="23">
        <f>SUM(E5:E6)</f>
        <v>115.796</v>
      </c>
      <c r="F7" s="23">
        <f>SUM(F5:F6)</f>
        <v>44.335</v>
      </c>
      <c r="G7" s="23">
        <f>SUM(G5:G6)</f>
        <v>27.837</v>
      </c>
      <c r="H7" s="23">
        <f>SUM(H5:H6)</f>
        <v>18.502000000000002</v>
      </c>
      <c r="I7" s="23">
        <f>SUM(I5:I6)</f>
        <v>17.164</v>
      </c>
      <c r="J7" s="1" t="n"/>
      <c r="K7" s="1" t="n"/>
    </row>
    <row r="8">
      <c r="A8" s="2" t="inlineStr">
        <is>
          <t>Operating Income</t>
        </is>
      </c>
      <c r="B8" s="23">
        <f>B4-B7</f>
        <v>-1.007</v>
      </c>
      <c r="C8" s="23">
        <f>C4-C7</f>
        <v>-0.713</v>
      </c>
      <c r="D8" s="23">
        <f>D4-D7</f>
        <v>-51.387</v>
      </c>
      <c r="E8" s="23">
        <f>E4-E7</f>
        <v>-115.796</v>
      </c>
      <c r="F8" s="23">
        <f>F4-F7</f>
        <v>-44.335</v>
      </c>
      <c r="G8" s="23">
        <f>G4-G7</f>
        <v>-27.837</v>
      </c>
      <c r="H8" s="23">
        <f>H4-H7</f>
        <v>-18.502000000000002</v>
      </c>
      <c r="I8" s="23">
        <f>I4-I7</f>
        <v>-16.224</v>
      </c>
      <c r="J8" s="1" t="n"/>
      <c r="K8" s="1" t="n"/>
    </row>
    <row r="9">
      <c r="A9" s="19" t="inlineStr">
        <is>
          <t>Interest &amp; Other</t>
        </is>
      </c>
      <c r="B9" s="23" t="n">
        <v>1.089</v>
      </c>
      <c r="C9" s="23" t="n">
        <v>1.206</v>
      </c>
      <c r="D9" s="23" t="n">
        <v>-0.372</v>
      </c>
      <c r="E9" s="23" t="n">
        <v>22.733</v>
      </c>
      <c r="F9" s="23" t="n">
        <v>4.581</v>
      </c>
      <c r="G9" s="23" t="n">
        <v>-2.313</v>
      </c>
      <c r="H9" s="23" t="n">
        <v>-6.624</v>
      </c>
      <c r="I9" s="23" t="n">
        <v>-12.398</v>
      </c>
    </row>
    <row r="10">
      <c r="A10" s="2" t="inlineStr">
        <is>
          <t>Pretax</t>
        </is>
      </c>
      <c r="B10" s="23">
        <f>B8+B9</f>
        <v>0.08200000000000007</v>
      </c>
      <c r="C10" s="23">
        <f>C8+C9</f>
        <v>0.493</v>
      </c>
      <c r="D10" s="23">
        <f>D8+D9</f>
        <v>-51.759</v>
      </c>
      <c r="E10" s="23">
        <f>E8+E9</f>
        <v>-93.063</v>
      </c>
      <c r="F10" s="23">
        <f>F8+F9</f>
        <v>-39.754</v>
      </c>
      <c r="G10" s="23">
        <f>G8+G9</f>
        <v>-30.15</v>
      </c>
      <c r="H10" s="23">
        <f>H8+H9</f>
        <v>-25.126</v>
      </c>
      <c r="I10" s="23">
        <f>I8+I9</f>
        <v>-28.622</v>
      </c>
      <c r="J10" s="1" t="n"/>
      <c r="K10" s="1" t="n"/>
    </row>
    <row r="11">
      <c r="A11" s="2" t="inlineStr">
        <is>
          <t>Taxes</t>
        </is>
      </c>
      <c r="B11" s="23" t="n">
        <v>0.016</v>
      </c>
      <c r="C11" s="23" t="n">
        <v>0.08400000000000001</v>
      </c>
      <c r="D11" s="23" t="n">
        <v>0.018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</row>
    <row r="12">
      <c r="A12" s="2" t="inlineStr">
        <is>
          <t>Net Income</t>
        </is>
      </c>
      <c r="B12" s="23" t="n">
        <v>0.066</v>
      </c>
      <c r="C12" s="23" t="n">
        <v>0.408</v>
      </c>
      <c r="D12" s="23" t="n">
        <v>-51.777</v>
      </c>
      <c r="E12" s="23" t="n">
        <v>-93.063</v>
      </c>
      <c r="F12" s="23" t="n">
        <v>-39.754</v>
      </c>
      <c r="G12" s="23" t="n">
        <v>-30.15</v>
      </c>
      <c r="H12" s="23" t="n">
        <v>-25.126</v>
      </c>
      <c r="I12" s="23" t="n">
        <v>-28.622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0.012621916236374068</v>
      </c>
      <c r="C13" s="11">
        <f>IFERROR(C12/C14,0)</f>
        <v>0.07330219187926698</v>
      </c>
      <c r="D13" s="11">
        <f>IFERROR(D12/D14,0)</f>
        <v>-0.7554054448367424</v>
      </c>
      <c r="E13" s="11">
        <f>IFERROR(E12/E14,0)</f>
        <v>-0.9917727926679811</v>
      </c>
      <c r="F13" s="11">
        <f>IFERROR(F12/F14,0)</f>
        <v>-0.30223364301245303</v>
      </c>
      <c r="G13" s="11">
        <f>IFERROR(G12/G14,0)</f>
        <v>-1.9898363252375924</v>
      </c>
      <c r="H13" s="11">
        <f>IFERROR(H12/H14,0)</f>
        <v>-1.180233923622528</v>
      </c>
      <c r="I13" s="11">
        <f>IFERROR(I12/I14,0)</f>
        <v>-1.3373516493785627</v>
      </c>
    </row>
    <row r="14">
      <c r="A14" s="2" t="inlineStr">
        <is>
          <t>Shares</t>
        </is>
      </c>
      <c r="B14" s="23" t="n">
        <v>5.229</v>
      </c>
      <c r="C14" s="23" t="n">
        <v>5.566</v>
      </c>
      <c r="D14" s="23" t="n">
        <v>68.542</v>
      </c>
      <c r="E14" s="23" t="n">
        <v>93.83499999999999</v>
      </c>
      <c r="F14" s="23" t="n">
        <v>131.534</v>
      </c>
      <c r="G14" s="23" t="n">
        <v>15.152</v>
      </c>
      <c r="H14" s="23" t="n">
        <v>21.289</v>
      </c>
      <c r="I14" s="23" t="n">
        <v>21.402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>0.6505190311418685</v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>-11.227681660899654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2026-10-21T06:27:54Z</dcterms:modified>
  <cp:lastModifiedBy>Wang, Eric</cp:lastModifiedBy>
</cp:coreProperties>
</file>