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Foghorn Therapeutics Inc.</t>
        </is>
      </c>
      <c r="C2" s="10" t="n"/>
    </row>
    <row r="3">
      <c r="B3" t="inlineStr">
        <is>
          <t>Price</t>
        </is>
      </c>
      <c r="C3" s="11">
        <f>INDEX([1]Pharma!$F$1:$F$1000,MATCH("FHTX",[1]Pharma!$B$1:$B$1000,0))</f>
        <v>2.01</v>
      </c>
      <c r="F3" s="1" t="n"/>
    </row>
    <row r="4">
      <c r="B4" t="inlineStr">
        <is>
          <t>Shares</t>
        </is>
      </c>
      <c r="C4" s="21" t="n">
        <v>59.385315</v>
      </c>
      <c r="F4" s="1" t="n"/>
    </row>
    <row r="5">
      <c r="B5" t="inlineStr">
        <is>
          <t>Market Cap.</t>
        </is>
      </c>
      <c r="C5" s="13">
        <f>C3*C4</f>
        <v>119.36448314999998</v>
      </c>
      <c r="F5" s="1" t="n"/>
    </row>
    <row r="6"/>
    <row r="7">
      <c r="B7" t="inlineStr">
        <is>
          <t>Cash</t>
        </is>
      </c>
      <c r="C7" s="21" t="n">
        <v>68.08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51.284483149999986</v>
      </c>
    </row>
    <row r="10"/>
    <row r="11">
      <c r="B11" s="14" t="inlineStr">
        <is>
          <t>rNPV / Share</t>
        </is>
      </c>
      <c r="C11" s="11">
        <f>NPV!B27</f>
        <v>-1.3255523271480514</v>
      </c>
    </row>
    <row r="12">
      <c r="B12" s="14" t="inlineStr">
        <is>
          <t>Upside</t>
        </is>
      </c>
      <c r="C12" s="15">
        <f>IFERROR(C11/C3-1,"")</f>
        <v>-1.6594787697253988</v>
      </c>
    </row>
    <row r="13">
      <c r="B13" s="14" t="inlineStr">
        <is>
          <t>Cash / Share</t>
        </is>
      </c>
      <c r="C13" s="11">
        <f>IFERROR((C7-C8)/C4,"")</f>
        <v>1.146411364493057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-84.241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0.8081575479873221</v>
      </c>
    </row>
    <row r="19">
      <c r="B19" s="14" t="inlineStr">
        <is>
          <t>Implied Pipeline Value</t>
        </is>
      </c>
      <c r="C19" s="13">
        <f>C9</f>
        <v>51.284483149999986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0.43</v>
      </c>
      <c r="D2" s="23" t="n">
        <v>1.319</v>
      </c>
      <c r="E2" s="23" t="n">
        <v>19.228</v>
      </c>
      <c r="F2" s="23" t="n">
        <v>34.155</v>
      </c>
      <c r="G2" s="23" t="n">
        <v>22.602</v>
      </c>
      <c r="H2" s="23" t="n">
        <v>30.909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0.43</v>
      </c>
      <c r="D4" s="23">
        <f>D2-D3</f>
        <v>1.319</v>
      </c>
      <c r="E4" s="23">
        <f>E2-E3</f>
        <v>19.228</v>
      </c>
      <c r="F4" s="23">
        <f>F2-F3</f>
        <v>34.155</v>
      </c>
      <c r="G4" s="23">
        <f>G2-G3</f>
        <v>22.602</v>
      </c>
      <c r="H4" s="23">
        <f>H2-H3</f>
        <v>30.909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44.362</v>
      </c>
      <c r="C5" s="23" t="n">
        <v>57.715</v>
      </c>
      <c r="D5" s="23" t="n">
        <v>80.325</v>
      </c>
      <c r="E5" s="23" t="n">
        <v>105.618</v>
      </c>
      <c r="F5" s="23" t="n">
        <v>109.689</v>
      </c>
      <c r="G5" s="23" t="n">
        <v>94.52800000000001</v>
      </c>
      <c r="H5" s="23" t="n">
        <v>85.46599999999999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6.722</v>
      </c>
      <c r="C6" s="23" t="n">
        <v>11.246</v>
      </c>
      <c r="D6" s="23" t="n">
        <v>21.728</v>
      </c>
      <c r="E6" s="23" t="n">
        <v>30.747</v>
      </c>
      <c r="F6" s="23" t="n">
        <v>32.372</v>
      </c>
      <c r="G6" s="23" t="n">
        <v>30.757</v>
      </c>
      <c r="H6" s="23" t="n">
        <v>31.832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51.084</v>
      </c>
      <c r="C7" s="23">
        <f>SUM(C5:C6)</f>
        <v>68.961</v>
      </c>
      <c r="D7" s="23">
        <f>SUM(D5:D6)</f>
        <v>102.053</v>
      </c>
      <c r="E7" s="23">
        <f>SUM(E5:E6)</f>
        <v>136.365</v>
      </c>
      <c r="F7" s="23">
        <f>SUM(F5:F6)</f>
        <v>142.06099999999998</v>
      </c>
      <c r="G7" s="23">
        <f>SUM(G5:G6)</f>
        <v>125.28500000000001</v>
      </c>
      <c r="H7" s="23">
        <f>SUM(H5:H6)</f>
        <v>117.298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-51.084</v>
      </c>
      <c r="C8" s="23">
        <f>C4-C7</f>
        <v>-68.53099999999999</v>
      </c>
      <c r="D8" s="23">
        <f>D4-D7</f>
        <v>-100.734</v>
      </c>
      <c r="E8" s="23">
        <f>E4-E7</f>
        <v>-117.137</v>
      </c>
      <c r="F8" s="23">
        <f>F4-F7</f>
        <v>-107.90599999999998</v>
      </c>
      <c r="G8" s="23">
        <f>G4-G7</f>
        <v>-102.683</v>
      </c>
      <c r="H8" s="23">
        <f>H4-H7</f>
        <v>-86.38900000000001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-0.044</v>
      </c>
      <c r="C9" s="23" t="n">
        <v>-0.269</v>
      </c>
      <c r="D9" s="23" t="n">
        <v>-0.586</v>
      </c>
      <c r="E9" s="23" t="n">
        <v>8.255000000000001</v>
      </c>
      <c r="F9" s="23" t="n">
        <v>13.706</v>
      </c>
      <c r="G9" s="23" t="n">
        <v>16.063</v>
      </c>
      <c r="H9" s="23" t="n">
        <v>12.106</v>
      </c>
    </row>
    <row r="10">
      <c r="A10" s="2" t="inlineStr">
        <is>
          <t>Pretax</t>
        </is>
      </c>
      <c r="B10" s="23">
        <f>B8+B9</f>
        <v>-51.128</v>
      </c>
      <c r="C10" s="23">
        <f>C8+C9</f>
        <v>-68.8</v>
      </c>
      <c r="D10" s="23">
        <f>D8+D9</f>
        <v>-101.32</v>
      </c>
      <c r="E10" s="23">
        <f>E8+E9</f>
        <v>-108.882</v>
      </c>
      <c r="F10" s="23">
        <f>F8+F9</f>
        <v>-94.19999999999997</v>
      </c>
      <c r="G10" s="23">
        <f>G8+G9</f>
        <v>-86.62</v>
      </c>
      <c r="H10" s="23">
        <f>H8+H9</f>
        <v>-74.28300000000002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4.226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-51.128</v>
      </c>
      <c r="C12" s="23" t="n">
        <v>-68.8</v>
      </c>
      <c r="D12" s="23" t="n">
        <v>-101.32</v>
      </c>
      <c r="E12" s="23" t="n">
        <v>-108.882</v>
      </c>
      <c r="F12" s="23" t="n">
        <v>-98.426</v>
      </c>
      <c r="G12" s="23" t="n">
        <v>-86.62</v>
      </c>
      <c r="H12" s="23" t="n">
        <v>-74.283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-12.196564885496183</v>
      </c>
      <c r="C13" s="11">
        <f>IFERROR(C12/C14,0)</f>
        <v>-6.2279351860233545</v>
      </c>
      <c r="D13" s="11">
        <f>IFERROR(D12/D14,0)</f>
        <v>-2.7257808506631513</v>
      </c>
      <c r="E13" s="11">
        <f>IFERROR(E12/E14,0)</f>
        <v>-2.617922146618259</v>
      </c>
      <c r="F13" s="11">
        <f>IFERROR(F12/F14,0)</f>
        <v>-2.34492781245533</v>
      </c>
      <c r="G13" s="11">
        <f>IFERROR(G12/G14,0)</f>
        <v>-1.577806517422904</v>
      </c>
      <c r="H13" s="11">
        <f>IFERROR(H12/H14,0)</f>
        <v>-1.1794509455232531</v>
      </c>
    </row>
    <row r="14">
      <c r="A14" s="2" t="inlineStr">
        <is>
          <t>Shares</t>
        </is>
      </c>
      <c r="B14" s="23" t="n">
        <v>4.192</v>
      </c>
      <c r="C14" s="23" t="n">
        <v>11.047</v>
      </c>
      <c r="D14" s="23" t="n">
        <v>37.171</v>
      </c>
      <c r="E14" s="23" t="n">
        <v>41.591</v>
      </c>
      <c r="F14" s="23" t="n">
        <v>41.974</v>
      </c>
      <c r="G14" s="23" t="n">
        <v>54.899</v>
      </c>
      <c r="H14" s="23" t="n">
        <v>62.981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2.067441860465116</v>
      </c>
      <c r="E16" s="15">
        <f>IFERROR(E2/D2-1,"")</f>
        <v>13.577710386656559</v>
      </c>
      <c r="F16" s="15">
        <f>IFERROR(F2/E2-1,"")</f>
        <v>0.7763157894736841</v>
      </c>
      <c r="G16" s="15">
        <f>IFERROR(G2/F2-1,"")</f>
        <v>-0.33825208607817303</v>
      </c>
      <c r="H16" s="15">
        <f>IFERROR(H2/G2-1,"")</f>
        <v>0.3675338465622511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-159.37441860465114</v>
      </c>
      <c r="D18" s="15">
        <f>IFERROR(D8/D2,"")</f>
        <v>-76.37149355572403</v>
      </c>
      <c r="E18" s="15">
        <f>IFERROR(E8/E2,"")</f>
        <v>-6.092001248179737</v>
      </c>
      <c r="F18" s="15">
        <f>IFERROR(F8/F2,"")</f>
        <v>-3.1593031766944804</v>
      </c>
      <c r="G18" s="15">
        <f>IFERROR(G8/G2,"")</f>
        <v>-4.543093531545881</v>
      </c>
      <c r="H18" s="15">
        <f>IFERROR(H8/H2,"")</f>
        <v>-2.79494645572487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Foghorn Therapeutics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0.05269999999999997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72.75700000000001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589.5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-146.79834249667007</v>
      </c>
      <c r="C29" s="42">
        <f>NPV!B25</f>
        <v>-78.71834249667008</v>
      </c>
      <c r="D29" s="43">
        <f>NPV!B27</f>
        <v>-1.3255523271480514</v>
      </c>
      <c r="E29" s="44">
        <f>NPV!B29</f>
        <v>-1.6594787697253988</v>
      </c>
    </row>
    <row r="30">
      <c r="A30" s="45" t="n">
        <v>1</v>
      </c>
      <c r="B30" s="46">
        <f t="dataTable" ref="B30:E32" r1="B4"/>
        <v>-181.80290030255878</v>
      </c>
      <c r="C30" s="46">
        <v>-113.72290030255878</v>
      </c>
      <c r="D30" s="47">
        <v>-1.915000371767983</v>
      </c>
      <c r="E30" s="48">
        <v>-1.9527365033671558</v>
      </c>
    </row>
    <row r="31">
      <c r="A31" s="45" t="n">
        <v>2</v>
      </c>
      <c r="B31" s="46">
        <v>-146.79834249667007</v>
      </c>
      <c r="C31" s="46">
        <v>-78.71834249667008</v>
      </c>
      <c r="D31" s="47">
        <v>-1.3255523271480514</v>
      </c>
      <c r="E31" s="48">
        <v>-1.6594787697253988</v>
      </c>
    </row>
    <row r="32">
      <c r="A32" s="45" t="n">
        <v>3</v>
      </c>
      <c r="B32" s="46">
        <v>-83.11865385401755</v>
      </c>
      <c r="C32" s="46">
        <v>-15.038653854017554</v>
      </c>
      <c r="D32" s="47">
        <v>-0.25323859701708334</v>
      </c>
      <c r="E32" s="48">
        <v>-1.1259893517497928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-1.3255523271480514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-2.1030565948491975</v>
      </c>
      <c r="C37" s="47">
        <v>-1.9282108366082755</v>
      </c>
      <c r="D37" s="47">
        <v>-1.753365078367353</v>
      </c>
      <c r="E37" s="47">
        <v>-1.4036735618855083</v>
      </c>
      <c r="F37" s="47">
        <v>-1.053982045403663</v>
      </c>
    </row>
    <row r="38">
      <c r="A38" s="50" t="n">
        <v>0.8</v>
      </c>
      <c r="B38" s="47">
        <v>-2.0057140580668285</v>
      </c>
      <c r="C38" s="47">
        <v>-1.7725863804122646</v>
      </c>
      <c r="D38" s="47">
        <v>-1.5394587027577018</v>
      </c>
      <c r="E38" s="47">
        <v>-1.0732033474485754</v>
      </c>
      <c r="F38" s="47">
        <v>-0.6069479921394493</v>
      </c>
    </row>
    <row r="39">
      <c r="A39" s="50" t="n">
        <v>1</v>
      </c>
      <c r="B39" s="47">
        <v>-1.9083715212844592</v>
      </c>
      <c r="C39" s="47">
        <v>-1.6169619242162552</v>
      </c>
      <c r="D39" s="47">
        <v>-1.3255523271480514</v>
      </c>
      <c r="E39" s="47">
        <v>-0.7427331330116431</v>
      </c>
      <c r="F39" s="47">
        <v>-0.15991393887523495</v>
      </c>
    </row>
    <row r="40">
      <c r="A40" s="50" t="n">
        <v>1.2</v>
      </c>
      <c r="B40" s="47">
        <v>-1.8110289845020906</v>
      </c>
      <c r="C40" s="47">
        <v>-1.4613374680202458</v>
      </c>
      <c r="D40" s="47">
        <v>-1.1116459515384012</v>
      </c>
      <c r="E40" s="47">
        <v>-0.41226291857471115</v>
      </c>
      <c r="F40" s="47">
        <v>0.28712011438897816</v>
      </c>
    </row>
    <row r="41">
      <c r="A41" s="50" t="n">
        <v>1.4</v>
      </c>
      <c r="B41" s="47">
        <v>-1.7136864477197218</v>
      </c>
      <c r="C41" s="47">
        <v>-1.3057130118242364</v>
      </c>
      <c r="D41" s="47">
        <v>-0.8977395759287506</v>
      </c>
      <c r="E41" s="47">
        <v>-0.0817927041377794</v>
      </c>
      <c r="F41" s="47">
        <v>0.7318451759943995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Foghorn Therapeutics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Leukemia</t>
        </is>
      </c>
      <c r="C4" s="14" t="inlineStr">
        <is>
          <t>FHD-286, Low Dose Cytarabine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69.22180286367352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7.904999999999999</v>
      </c>
      <c r="U4" s="23">
        <f>IF(U$3&lt;$I4,0,$G4*Assumptions!$E$11*INDEX(Assumptions!$B$24:$G$24,MIN(6,U$3-$I4+1))*IF(U$3&gt;$J4,(1-Assumptions!$B$26)^(U$3-$J4),1)*IF($H4&gt;=1,1,MIN(0.97,$H4*Assumptions!$E$12)))</f>
        <v>19.7625</v>
      </c>
      <c r="V4" s="23">
        <f>IF(V$3&lt;$I4,0,$G4*Assumptions!$E$11*INDEX(Assumptions!$B$24:$G$24,MIN(6,V$3-$I4+1))*IF(V$3&gt;$J4,(1-Assumptions!$B$26)^(V$3-$J4),1)*IF($H4&gt;=1,1,MIN(0.97,$H4*Assumptions!$E$12)))</f>
        <v>35.5725</v>
      </c>
      <c r="W4" s="23">
        <f>IF(W$3&lt;$I4,0,$G4*Assumptions!$E$11*INDEX(Assumptions!$B$24:$G$24,MIN(6,W$3-$I4+1))*IF(W$3&gt;$J4,(1-Assumptions!$B$26)^(W$3-$J4),1)*IF($H4&gt;=1,1,MIN(0.97,$H4*Assumptions!$E$12)))</f>
        <v>51.3825</v>
      </c>
      <c r="X4" s="23">
        <f>IF(X$3&lt;$I4,0,$G4*Assumptions!$E$11*INDEX(Assumptions!$B$24:$G$24,MIN(6,X$3-$I4+1))*IF(X$3&gt;$J4,(1-Assumptions!$B$26)^(X$3-$J4),1)*IF($H4&gt;=1,1,MIN(0.97,$H4*Assumptions!$E$12)))</f>
        <v>67.1925</v>
      </c>
      <c r="Y4" s="23">
        <f>IF(Y$3&lt;$I4,0,$G4*Assumptions!$E$11*INDEX(Assumptions!$B$24:$G$24,MIN(6,Y$3-$I4+1))*IF(Y$3&gt;$J4,(1-Assumptions!$B$26)^(Y$3-$J4),1)*IF($H4&gt;=1,1,MIN(0.97,$H4*Assumptions!$E$12)))</f>
        <v>79.05</v>
      </c>
      <c r="Z4" s="23">
        <f>IF(Z$3&lt;$I4,0,$G4*Assumptions!$E$11*INDEX(Assumptions!$B$24:$G$24,MIN(6,Z$3-$I4+1))*IF(Z$3&gt;$J4,(1-Assumptions!$B$26)^(Z$3-$J4),1)*IF($H4&gt;=1,1,MIN(0.97,$H4*Assumptions!$E$12)))</f>
        <v>79.05</v>
      </c>
      <c r="AA4" s="23">
        <f>IF(AA$3&lt;$I4,0,$G4*Assumptions!$E$11*INDEX(Assumptions!$B$24:$G$24,MIN(6,AA$3-$I4+1))*IF(AA$3&gt;$J4,(1-Assumptions!$B$26)^(AA$3-$J4),1)*IF($H4&gt;=1,1,MIN(0.97,$H4*Assumptions!$E$12)))</f>
        <v>79.05</v>
      </c>
      <c r="AB4" s="23">
        <f>IF(AB$3&lt;$I4,0,$G4*Assumptions!$E$11*INDEX(Assumptions!$B$24:$G$24,MIN(6,AB$3-$I4+1))*IF(AB$3&gt;$J4,(1-Assumptions!$B$26)^(AB$3-$J4),1)*IF($H4&gt;=1,1,MIN(0.97,$H4*Assumptions!$E$12)))</f>
        <v>79.05</v>
      </c>
      <c r="AC4" s="23">
        <f>IF(AC$3&lt;$I4,0,$G4*Assumptions!$E$11*INDEX(Assumptions!$B$24:$G$24,MIN(6,AC$3-$I4+1))*IF(AC$3&gt;$J4,(1-Assumptions!$B$26)^(AC$3-$J4),1)*IF($H4&gt;=1,1,MIN(0.97,$H4*Assumptions!$E$12)))</f>
        <v>79.05</v>
      </c>
      <c r="AD4" s="23">
        <f>IF(AD$3&lt;$I4,0,$G4*Assumptions!$E$11*INDEX(Assumptions!$B$24:$G$24,MIN(6,AD$3-$I4+1))*IF(AD$3&gt;$J4,(1-Assumptions!$B$26)^(AD$3-$J4),1)*IF($H4&gt;=1,1,MIN(0.97,$H4*Assumptions!$E$12)))</f>
        <v>79.05</v>
      </c>
      <c r="AE4" s="23">
        <f>IF(AE$3&lt;$I4,0,$G4*Assumptions!$E$11*INDEX(Assumptions!$B$24:$G$24,MIN(6,AE$3-$I4+1))*IF(AE$3&gt;$J4,(1-Assumptions!$B$26)^(AE$3-$J4),1)*IF($H4&gt;=1,1,MIN(0.97,$H4*Assumptions!$E$12)))</f>
        <v>79.05</v>
      </c>
      <c r="AF4" s="23">
        <f>IF(AF$3&lt;$I4,0,$G4*Assumptions!$E$11*INDEX(Assumptions!$B$24:$G$24,MIN(6,AF$3-$I4+1))*IF(AF$3&gt;$J4,(1-Assumptions!$B$26)^(AF$3-$J4),1)*IF($H4&gt;=1,1,MIN(0.97,$H4*Assumptions!$E$12)))</f>
        <v>79.05</v>
      </c>
      <c r="AG4" s="35">
        <f>IF(F4="Owned",1-IF(H4&gt;=1,1,MIN(0.97,H4*Assumptions!$E$12)),1)</f>
        <v>0.9473</v>
      </c>
    </row>
    <row r="5">
      <c r="B5" s="24" t="inlineStr">
        <is>
          <t>Risked revenue</t>
        </is>
      </c>
      <c r="L5" s="54">
        <f>SUM(L4:L4)</f>
        <v>69.22180286367352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0.0</v>
      </c>
      <c r="T5" s="54">
        <f>SUM(T4:T4)</f>
        <v>7.904999999999999</v>
      </c>
      <c r="U5" s="54">
        <f>SUM(U4:U4)</f>
        <v>19.7625</v>
      </c>
      <c r="V5" s="54">
        <f>SUM(V4:V4)</f>
        <v>35.5725</v>
      </c>
      <c r="W5" s="54">
        <f>SUM(W4:W4)</f>
        <v>51.3825</v>
      </c>
      <c r="X5" s="54">
        <f>SUM(X4:X4)</f>
        <v>67.1925</v>
      </c>
      <c r="Y5" s="54">
        <f>SUM(Y4:Y4)</f>
        <v>79.05</v>
      </c>
      <c r="Z5" s="54">
        <f>SUM(Z4:Z4)</f>
        <v>79.05</v>
      </c>
      <c r="AA5" s="54">
        <f>SUM(AA4:AA4)</f>
        <v>79.05</v>
      </c>
      <c r="AB5" s="54">
        <f>SUM(AB4:AB4)</f>
        <v>79.05</v>
      </c>
      <c r="AC5" s="54">
        <f>SUM(AC4:AC4)</f>
        <v>79.05</v>
      </c>
      <c r="AD5" s="54">
        <f>SUM(AD4:AD4)</f>
        <v>79.05</v>
      </c>
      <c r="AE5" s="54">
        <f>SUM(AE4:AE4)</f>
        <v>79.05</v>
      </c>
      <c r="AF5" s="54">
        <f>SUM(AF4:AF4)</f>
        <v>79.05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0.0</v>
      </c>
      <c r="T6" s="55">
        <f>SUMPRODUCT(T4:T4,$K$4:$K$4)</f>
        <v>3.162</v>
      </c>
      <c r="U6" s="55">
        <f>SUMPRODUCT(U4:U4,$K$4:$K$4)</f>
        <v>7.905</v>
      </c>
      <c r="V6" s="55">
        <f>SUMPRODUCT(V4:V4,$K$4:$K$4)</f>
        <v>14.229</v>
      </c>
      <c r="W6" s="55">
        <f>SUMPRODUCT(W4:W4,$K$4:$K$4)</f>
        <v>20.553</v>
      </c>
      <c r="X6" s="55">
        <f>SUMPRODUCT(X4:X4,$K$4:$K$4)</f>
        <v>26.877</v>
      </c>
      <c r="Y6" s="55">
        <f>SUMPRODUCT(Y4:Y4,$K$4:$K$4)</f>
        <v>31.62</v>
      </c>
      <c r="Z6" s="55">
        <f>SUMPRODUCT(Z4:Z4,$K$4:$K$4)</f>
        <v>31.62</v>
      </c>
      <c r="AA6" s="55">
        <f>SUMPRODUCT(AA4:AA4,$K$4:$K$4)</f>
        <v>31.62</v>
      </c>
      <c r="AB6" s="55">
        <f>SUMPRODUCT(AB4:AB4,$K$4:$K$4)</f>
        <v>31.62</v>
      </c>
      <c r="AC6" s="55">
        <f>SUMPRODUCT(AC4:AC4,$K$4:$K$4)</f>
        <v>31.62</v>
      </c>
      <c r="AD6" s="55">
        <f>SUMPRODUCT(AD4:AD4,$K$4:$K$4)</f>
        <v>31.62</v>
      </c>
      <c r="AE6" s="55">
        <f>SUMPRODUCT(AE4:AE4,$K$4:$K$4)</f>
        <v>31.62</v>
      </c>
      <c r="AF6" s="55">
        <f>SUMPRODUCT(AF4:AF4,$K$4:$K$4)</f>
        <v>31.62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Foghorn Therapeutics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0.0</v>
      </c>
      <c r="J4" s="57">
        <f>Pipeline!T5</f>
        <v>7.904999999999999</v>
      </c>
      <c r="K4" s="57">
        <f>Pipeline!U5</f>
        <v>19.7625</v>
      </c>
      <c r="L4" s="57">
        <f>Pipeline!V5</f>
        <v>35.5725</v>
      </c>
      <c r="M4" s="57">
        <f>Pipeline!W5</f>
        <v>51.3825</v>
      </c>
      <c r="N4" s="57">
        <f>Pipeline!X5</f>
        <v>67.1925</v>
      </c>
      <c r="O4" s="57">
        <f>Pipeline!Y5</f>
        <v>79.05</v>
      </c>
      <c r="P4" s="57">
        <f>Pipeline!Z5</f>
        <v>79.05</v>
      </c>
      <c r="Q4" s="57">
        <f>Pipeline!AA5</f>
        <v>79.05</v>
      </c>
      <c r="R4" s="57">
        <f>Pipeline!AB5</f>
        <v>79.05</v>
      </c>
      <c r="S4" s="57">
        <f>Pipeline!AC5</f>
        <v>79.05</v>
      </c>
      <c r="T4" s="57">
        <f>Pipeline!AD5</f>
        <v>79.05</v>
      </c>
      <c r="U4" s="57">
        <f>Pipeline!AE5</f>
        <v>79.05</v>
      </c>
      <c r="V4" s="57">
        <f>Pipeline!AF5</f>
        <v>79.05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0.0</v>
      </c>
      <c r="J5" s="57">
        <f>Pipeline!T6</f>
        <v>3.162</v>
      </c>
      <c r="K5" s="57">
        <f>Pipeline!U6</f>
        <v>7.905</v>
      </c>
      <c r="L5" s="57">
        <f>Pipeline!V6</f>
        <v>14.229</v>
      </c>
      <c r="M5" s="57">
        <f>Pipeline!W6</f>
        <v>20.553</v>
      </c>
      <c r="N5" s="57">
        <f>Pipeline!X6</f>
        <v>26.877</v>
      </c>
      <c r="O5" s="57">
        <f>Pipeline!Y6</f>
        <v>31.62</v>
      </c>
      <c r="P5" s="57">
        <f>Pipeline!Z6</f>
        <v>31.62</v>
      </c>
      <c r="Q5" s="57">
        <f>Pipeline!AA6</f>
        <v>31.62</v>
      </c>
      <c r="R5" s="57">
        <f>Pipeline!AB6</f>
        <v>31.62</v>
      </c>
      <c r="S5" s="57">
        <f>Pipeline!AC6</f>
        <v>31.62</v>
      </c>
      <c r="T5" s="57">
        <f>Pipeline!AD6</f>
        <v>31.62</v>
      </c>
      <c r="U5" s="57">
        <f>Pipeline!AE6</f>
        <v>31.62</v>
      </c>
      <c r="V5" s="57">
        <f>Pipeline!AF6</f>
        <v>31.62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-72.757</v>
      </c>
      <c r="D6" s="23">
        <f>-IF(D3-2026&lt;Assumptions!$B$19,Assumptions!$B$18,Assumptions!$B$18*Assumptions!$B$20*Assumptions!$B$16)</f>
        <v>-72.757</v>
      </c>
      <c r="E6" s="23">
        <f>-IF(E3-2026&lt;Assumptions!$B$19,Assumptions!$B$18,Assumptions!$B$18*Assumptions!$B$20*Assumptions!$B$16)</f>
        <v>-72.757</v>
      </c>
      <c r="F6" s="23">
        <f>-IF(F3-2026&lt;Assumptions!$B$19,Assumptions!$B$18,Assumptions!$B$18*Assumptions!$B$20*Assumptions!$B$16)</f>
        <v>-72.757</v>
      </c>
      <c r="G6" s="23">
        <f>-IF(G3-2026&lt;Assumptions!$B$19,Assumptions!$B$18,Assumptions!$B$18*Assumptions!$B$20*Assumptions!$B$16)</f>
        <v>-1.1502881699999994</v>
      </c>
      <c r="H6" s="23">
        <f>-IF(H3-2026&lt;Assumptions!$B$19,Assumptions!$B$18,Assumptions!$B$18*Assumptions!$B$20*Assumptions!$B$16)</f>
        <v>-1.1502881699999994</v>
      </c>
      <c r="I6" s="23">
        <f>-IF(I3-2026&lt;Assumptions!$B$19,Assumptions!$B$18,Assumptions!$B$18*Assumptions!$B$20*Assumptions!$B$16)</f>
        <v>-1.1502881699999994</v>
      </c>
      <c r="J6" s="23">
        <f>-IF(J3-2026&lt;Assumptions!$B$19,Assumptions!$B$18,Assumptions!$B$18*Assumptions!$B$20*Assumptions!$B$16)</f>
        <v>-1.1502881699999994</v>
      </c>
      <c r="K6" s="23">
        <f>-IF(K3-2026&lt;Assumptions!$B$19,Assumptions!$B$18,Assumptions!$B$18*Assumptions!$B$20*Assumptions!$B$16)</f>
        <v>-1.1502881699999994</v>
      </c>
      <c r="L6" s="23">
        <f>-IF(L3-2026&lt;Assumptions!$B$19,Assumptions!$B$18,Assumptions!$B$18*Assumptions!$B$20*Assumptions!$B$16)</f>
        <v>-1.1502881699999994</v>
      </c>
      <c r="M6" s="23">
        <f>-IF(M3-2026&lt;Assumptions!$B$19,Assumptions!$B$18,Assumptions!$B$18*Assumptions!$B$20*Assumptions!$B$16)</f>
        <v>-1.1502881699999994</v>
      </c>
      <c r="N6" s="23">
        <f>-IF(N3-2026&lt;Assumptions!$B$19,Assumptions!$B$18,Assumptions!$B$18*Assumptions!$B$20*Assumptions!$B$16)</f>
        <v>-1.1502881699999994</v>
      </c>
      <c r="O6" s="23">
        <f>-IF(O3-2026&lt;Assumptions!$B$19,Assumptions!$B$18,Assumptions!$B$18*Assumptions!$B$20*Assumptions!$B$16)</f>
        <v>-1.1502881699999994</v>
      </c>
      <c r="P6" s="23">
        <f>-IF(P3-2026&lt;Assumptions!$B$19,Assumptions!$B$18,Assumptions!$B$18*Assumptions!$B$20*Assumptions!$B$16)</f>
        <v>-1.1502881699999994</v>
      </c>
      <c r="Q6" s="23">
        <f>-IF(Q3-2026&lt;Assumptions!$B$19,Assumptions!$B$18,Assumptions!$B$18*Assumptions!$B$20*Assumptions!$B$16)</f>
        <v>-1.1502881699999994</v>
      </c>
      <c r="R6" s="23">
        <f>-IF(R3-2026&lt;Assumptions!$B$19,Assumptions!$B$18,Assumptions!$B$18*Assumptions!$B$20*Assumptions!$B$16)</f>
        <v>-1.1502881699999994</v>
      </c>
      <c r="S6" s="23">
        <f>-IF(S3-2026&lt;Assumptions!$B$19,Assumptions!$B$18,Assumptions!$B$18*Assumptions!$B$20*Assumptions!$B$16)</f>
        <v>-1.1502881699999994</v>
      </c>
      <c r="T6" s="23">
        <f>-IF(T3-2026&lt;Assumptions!$B$19,Assumptions!$B$18,Assumptions!$B$18*Assumptions!$B$20*Assumptions!$B$16)</f>
        <v>-1.1502881699999994</v>
      </c>
      <c r="U6" s="23">
        <f>-IF(U3-2026&lt;Assumptions!$B$19,Assumptions!$B$18,Assumptions!$B$18*Assumptions!$B$20*Assumptions!$B$16)</f>
        <v>-1.1502881699999994</v>
      </c>
      <c r="V6" s="23">
        <f>-IF(V3-2026&lt;Assumptions!$B$19,Assumptions!$B$18,Assumptions!$B$18*Assumptions!$B$20*Assumptions!$B$16)</f>
        <v>-1.1502881699999994</v>
      </c>
    </row>
    <row r="7">
      <c r="A7" s="14" t="inlineStr">
        <is>
          <t>Pre-tax cash flow</t>
        </is>
      </c>
      <c r="C7" s="23">
        <f>C5+C6</f>
        <v>-72.757</v>
      </c>
      <c r="D7" s="23">
        <f>D5+D6</f>
        <v>-72.757</v>
      </c>
      <c r="E7" s="23">
        <f>E5+E6</f>
        <v>-72.757</v>
      </c>
      <c r="F7" s="23">
        <f>F5+F6</f>
        <v>-72.757</v>
      </c>
      <c r="G7" s="23">
        <f>G5+G6</f>
        <v>-1.1502881699999994</v>
      </c>
      <c r="H7" s="23">
        <f>H5+H6</f>
        <v>-1.1502881699999994</v>
      </c>
      <c r="I7" s="23">
        <f>I5+I6</f>
        <v>-1.1502881699999994</v>
      </c>
      <c r="J7" s="23">
        <f>J5+J6</f>
        <v>2.0117118300000003</v>
      </c>
      <c r="K7" s="23">
        <f>K5+K6</f>
        <v>6.754711830000001</v>
      </c>
      <c r="L7" s="23">
        <f>L5+L6</f>
        <v>13.07871183</v>
      </c>
      <c r="M7" s="23">
        <f>M5+M6</f>
        <v>19.40271183</v>
      </c>
      <c r="N7" s="23">
        <f>N5+N6</f>
        <v>25.72671183</v>
      </c>
      <c r="O7" s="23">
        <f>O5+O6</f>
        <v>30.46971183</v>
      </c>
      <c r="P7" s="23">
        <f>P5+P6</f>
        <v>30.46971183</v>
      </c>
      <c r="Q7" s="23">
        <f>Q5+Q6</f>
        <v>30.46971183</v>
      </c>
      <c r="R7" s="23">
        <f>R5+R6</f>
        <v>30.46971183</v>
      </c>
      <c r="S7" s="23">
        <f>S5+S6</f>
        <v>30.46971183</v>
      </c>
      <c r="T7" s="23">
        <f>T5+T6</f>
        <v>30.46971183</v>
      </c>
      <c r="U7" s="23">
        <f>U5+U6</f>
        <v>30.46971183</v>
      </c>
      <c r="V7" s="23">
        <f>V5+V6</f>
        <v>30.46971183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2.0117118300000003</v>
      </c>
      <c r="K8" s="23">
        <f>MIN(J17,MAX(0,K7))</f>
        <v>6.754711830000001</v>
      </c>
      <c r="L8" s="23">
        <f>MIN(K17,MAX(0,L7))</f>
        <v>13.07871183</v>
      </c>
      <c r="M8" s="23">
        <f>MIN(L17,MAX(0,M7))</f>
        <v>19.40271183</v>
      </c>
      <c r="N8" s="23">
        <f>MIN(M17,MAX(0,N7))</f>
        <v>25.72671183</v>
      </c>
      <c r="O8" s="23">
        <f>MIN(N17,MAX(0,O7))</f>
        <v>30.46971183</v>
      </c>
      <c r="P8" s="23">
        <f>MIN(O17,MAX(0,P7))</f>
        <v>30.46971183</v>
      </c>
      <c r="Q8" s="23">
        <f>MIN(P17,MAX(0,Q7))</f>
        <v>30.46971183</v>
      </c>
      <c r="R8" s="23">
        <f>MIN(Q17,MAX(0,R7))</f>
        <v>30.46971183</v>
      </c>
      <c r="S8" s="23">
        <f>MIN(R17,MAX(0,S7))</f>
        <v>30.46971183</v>
      </c>
      <c r="T8" s="23">
        <f>MIN(S17,MAX(0,T7))</f>
        <v>30.46971183</v>
      </c>
      <c r="U8" s="23">
        <f>MIN(T17,MAX(0,U7))</f>
        <v>30.46971183</v>
      </c>
      <c r="V8" s="23">
        <f>MIN(U17,MAX(0,V7))</f>
        <v>30.46971183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-72.757</v>
      </c>
      <c r="D11" s="55">
        <f>D7-D10</f>
        <v>-72.757</v>
      </c>
      <c r="E11" s="55">
        <f>E7-E10</f>
        <v>-72.757</v>
      </c>
      <c r="F11" s="55">
        <f>F7-F10</f>
        <v>-72.757</v>
      </c>
      <c r="G11" s="55">
        <f>G7-G10</f>
        <v>-1.1502881699999994</v>
      </c>
      <c r="H11" s="55">
        <f>H7-H10</f>
        <v>-1.1502881699999994</v>
      </c>
      <c r="I11" s="55">
        <f>I7-I10</f>
        <v>-1.1502881699999994</v>
      </c>
      <c r="J11" s="55">
        <f>J7-J10</f>
        <v>2.0117118300000003</v>
      </c>
      <c r="K11" s="55">
        <f>K7-K10</f>
        <v>6.754711830000001</v>
      </c>
      <c r="L11" s="55">
        <f>L7-L10</f>
        <v>13.07871183</v>
      </c>
      <c r="M11" s="55">
        <f>M7-M10</f>
        <v>19.40271183</v>
      </c>
      <c r="N11" s="55">
        <f>N7-N10</f>
        <v>25.72671183</v>
      </c>
      <c r="O11" s="55">
        <f>O7-O10</f>
        <v>30.46971183</v>
      </c>
      <c r="P11" s="55">
        <f>P7-P10</f>
        <v>30.46971183</v>
      </c>
      <c r="Q11" s="55">
        <f>Q7-Q10</f>
        <v>30.46971183</v>
      </c>
      <c r="R11" s="55">
        <f>R7-R10</f>
        <v>30.46971183</v>
      </c>
      <c r="S11" s="55">
        <f>S7-S10</f>
        <v>30.46971183</v>
      </c>
      <c r="T11" s="55">
        <f>T7-T10</f>
        <v>30.46971183</v>
      </c>
      <c r="U11" s="55">
        <f>U7-U10</f>
        <v>30.46971183</v>
      </c>
      <c r="V11" s="55">
        <f>V7-V10</f>
        <v>30.46971183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-35.64397072125971</v>
      </c>
      <c r="D16" s="55">
        <f>D11*D15</f>
        <v>-64.93142989880722</v>
      </c>
      <c r="E16" s="55">
        <f>E11*E15</f>
        <v>-57.974490981077864</v>
      </c>
      <c r="F16" s="55">
        <f>F11*F15</f>
        <v>-51.76293837596238</v>
      </c>
      <c r="G16" s="55">
        <f>G11*G15</f>
        <v>-0.7306893354678256</v>
      </c>
      <c r="H16" s="55">
        <f>H11*H15</f>
        <v>-0.652401192381987</v>
      </c>
      <c r="I16" s="55">
        <f>I11*I15</f>
        <v>-0.5825010646267741</v>
      </c>
      <c r="J16" s="55">
        <f>J11*J15</f>
        <v>0.9095735384114325</v>
      </c>
      <c r="K16" s="55">
        <f>K11*K15</f>
        <v>2.7268475003923562</v>
      </c>
      <c r="L16" s="55">
        <f>L11*L15</f>
        <v>4.714123684478725</v>
      </c>
      <c r="M16" s="55">
        <f>M11*M15</f>
        <v>6.244251875669635</v>
      </c>
      <c r="N16" s="55">
        <f>N11*N15</f>
        <v>7.3923792386967895</v>
      </c>
      <c r="O16" s="55">
        <f>O11*O15</f>
        <v>7.8171830365860036</v>
      </c>
      <c r="P16" s="55">
        <f>P11*P15</f>
        <v>6.9796277112375025</v>
      </c>
      <c r="Q16" s="55">
        <f>Q11*Q15</f>
        <v>6.231810456462056</v>
      </c>
      <c r="R16" s="55">
        <f>R11*R15</f>
        <v>5.564116478983978</v>
      </c>
      <c r="S16" s="55">
        <f>S11*S15</f>
        <v>4.96796114194998</v>
      </c>
      <c r="T16" s="55">
        <f>T11*T15</f>
        <v>4.4356795910267675</v>
      </c>
      <c r="U16" s="55">
        <f>U11*U15</f>
        <v>3.960428206273899</v>
      </c>
      <c r="V16" s="55">
        <f>V11*V15</f>
        <v>3.536096612744552</v>
      </c>
    </row>
    <row r="17">
      <c r="A17" s="14" t="inlineStr">
        <is>
          <t>Tax-loss carryforward, end of year</t>
        </is>
      </c>
      <c r="C17" s="23">
        <f>Assumptions!$B$21-C8+MAX(0,-C7)</f>
        <v>662.2570000000001</v>
      </c>
      <c r="D17" s="23">
        <f>C17-D8+MAX(0,-D7)</f>
        <v>735.0140000000001</v>
      </c>
      <c r="E17" s="23">
        <f>D17-E8+MAX(0,-E7)</f>
        <v>807.7710000000002</v>
      </c>
      <c r="F17" s="23">
        <f>E17-F8+MAX(0,-F7)</f>
        <v>880.5280000000002</v>
      </c>
      <c r="G17" s="23">
        <f>F17-G8+MAX(0,-G7)</f>
        <v>881.6782881700002</v>
      </c>
      <c r="H17" s="23">
        <f>G17-H8+MAX(0,-H7)</f>
        <v>882.8285763400002</v>
      </c>
      <c r="I17" s="23">
        <f>H17-I8+MAX(0,-I7)</f>
        <v>883.9788645100001</v>
      </c>
      <c r="J17" s="23">
        <f>I17-J8+MAX(0,-J7)</f>
        <v>881.9671526800001</v>
      </c>
      <c r="K17" s="23">
        <f>J17-K8+MAX(0,-K7)</f>
        <v>875.2124408500001</v>
      </c>
      <c r="L17" s="23">
        <f>K17-L8+MAX(0,-L7)</f>
        <v>862.1337290200001</v>
      </c>
      <c r="M17" s="23">
        <f>L17-M8+MAX(0,-M7)</f>
        <v>842.7310171900001</v>
      </c>
      <c r="N17" s="23">
        <f>M17-N8+MAX(0,-N7)</f>
        <v>817.0043053600001</v>
      </c>
      <c r="O17" s="23">
        <f>N17-O8+MAX(0,-O7)</f>
        <v>786.53459353</v>
      </c>
      <c r="P17" s="23">
        <f>O17-P8+MAX(0,-P7)</f>
        <v>756.0648817</v>
      </c>
      <c r="Q17" s="23">
        <f>P17-Q8+MAX(0,-Q7)</f>
        <v>725.59516987</v>
      </c>
      <c r="R17" s="23">
        <f>Q17-R8+MAX(0,-R7)</f>
        <v>695.1254580399999</v>
      </c>
      <c r="S17" s="23">
        <f>R17-S8+MAX(0,-S7)</f>
        <v>664.6557462099998</v>
      </c>
      <c r="T17" s="23">
        <f>S17-T8+MAX(0,-T7)</f>
        <v>634.1860343799998</v>
      </c>
      <c r="U17" s="23">
        <f>T17-U8+MAX(0,-U7)</f>
        <v>603.7163225499997</v>
      </c>
      <c r="V17" s="23">
        <f>U17-V8+MAX(0,-V7)</f>
        <v>573.2466107199997</v>
      </c>
    </row>
    <row r="19">
      <c r="A19" s="14" t="inlineStr">
        <is>
          <t>PV of risked pipeline contribution</t>
        </is>
      </c>
      <c r="B19" s="23">
        <f>SUMPRODUCT(C5:V5,C15:V15)</f>
        <v>69.2218028636735</v>
      </c>
    </row>
    <row r="20">
      <c r="A20" s="14" t="inlineStr">
        <is>
          <t>PV of corporate burn</t>
        </is>
      </c>
      <c r="B20" s="23">
        <f>SUMPRODUCT(C6:V6,C15:V15)</f>
        <v>-216.0201453603436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-146.79834249667007</v>
      </c>
    </row>
    <row r="23">
      <c r="A23" s="14" t="inlineStr">
        <is>
          <t>Cash &amp; investments</t>
        </is>
      </c>
      <c r="B23" s="57">
        <f>Main!C7</f>
        <v>68.08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-78.71834249667008</v>
      </c>
    </row>
    <row r="26">
      <c r="A26" s="14" t="inlineStr">
        <is>
          <t>Shares (mm)</t>
        </is>
      </c>
      <c r="B26" s="57">
        <f>Main!C4</f>
        <v>59.385315</v>
      </c>
    </row>
    <row r="27">
      <c r="A27" s="24" t="inlineStr">
        <is>
          <t>rNPV / share</t>
        </is>
      </c>
      <c r="B27" s="60">
        <f>B25/B26</f>
        <v>-1.3255523271480514</v>
      </c>
    </row>
    <row r="28">
      <c r="A28" s="14" t="inlineStr">
        <is>
          <t>Price</t>
        </is>
      </c>
      <c r="B28" s="61">
        <f>Main!C3</f>
        <v>2.01</v>
      </c>
    </row>
    <row r="29">
      <c r="A29" s="14" t="inlineStr">
        <is>
          <t>Upside</t>
        </is>
      </c>
      <c r="B29" s="62">
        <f>B27/B28-1</f>
        <v>-1.6594787697253988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2026-10-21T06:27:59Z</dcterms:modified>
  <cp:lastModifiedBy>Wang, Eric</cp:lastModifiedBy>
</cp:coreProperties>
</file>