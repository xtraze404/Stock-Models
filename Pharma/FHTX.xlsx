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Foghorn Therapeutics Inc.</t>
        </is>
      </c>
      <c r="C2" s="10" t="n"/>
    </row>
    <row r="3">
      <c r="B3" t="inlineStr">
        <is>
          <t>Price</t>
        </is>
      </c>
      <c r="C3" s="11">
        <f>INDEX([1]Pharma!$F$1:$F$1000,MATCH("FHTX",[1]Pharma!$B$1:$B$1000,0))</f>
        <v>2.01</v>
      </c>
      <c r="F3" s="1" t="n"/>
    </row>
    <row r="4">
      <c r="B4" t="inlineStr">
        <is>
          <t>Shares</t>
        </is>
      </c>
      <c r="C4" s="21" t="n">
        <v>59.385315</v>
      </c>
      <c r="F4" s="1" t="n"/>
    </row>
    <row r="5">
      <c r="B5" t="inlineStr">
        <is>
          <t>Market Cap.</t>
        </is>
      </c>
      <c r="C5" s="13">
        <f>C3*C4</f>
        <v>119.36448314999998</v>
      </c>
      <c r="F5" s="1" t="n"/>
    </row>
    <row r="6"/>
    <row r="7">
      <c r="B7" t="inlineStr">
        <is>
          <t>Cash</t>
        </is>
      </c>
      <c r="C7" s="21" t="n">
        <v>68.08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51.284483149999986</v>
      </c>
    </row>
    <row r="10"/>
    <row r="11">
      <c r="B11" s="14" t="inlineStr">
        <is>
          <t>Net Cash / Share</t>
        </is>
      </c>
      <c r="C11" s="11">
        <f>(C7-C8)/C4</f>
        <v>1.146411364493057</v>
      </c>
    </row>
    <row r="12">
      <c r="B12" s="14" t="inlineStr">
        <is>
          <t>Upside</t>
        </is>
      </c>
      <c r="C12" s="15">
        <f>IFERROR(C11/C3-1,"")</f>
        <v>-0.429646087316887</v>
      </c>
    </row>
    <row r="13">
      <c r="B13" s="14" t="inlineStr">
        <is>
          <t>Cash / Share</t>
        </is>
      </c>
      <c r="C13" s="11">
        <f>IFERROR((C7-C8)/C4,"")</f>
        <v>1.146411364493057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-84.241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0.8081575479873221</v>
      </c>
    </row>
    <row r="19">
      <c r="B19" s="14" t="inlineStr">
        <is>
          <t>Implied Pipeline Value</t>
        </is>
      </c>
      <c r="C19" s="13">
        <f>C9</f>
        <v>51.284483149999986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0.43</v>
      </c>
      <c r="D2" s="23" t="n">
        <v>1.319</v>
      </c>
      <c r="E2" s="23" t="n">
        <v>19.228</v>
      </c>
      <c r="F2" s="23" t="n">
        <v>34.155</v>
      </c>
      <c r="G2" s="23" t="n">
        <v>22.602</v>
      </c>
      <c r="H2" s="23" t="n">
        <v>30.909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0.43</v>
      </c>
      <c r="D4" s="23">
        <f>D2-D3</f>
        <v>1.319</v>
      </c>
      <c r="E4" s="23">
        <f>E2-E3</f>
        <v>19.228</v>
      </c>
      <c r="F4" s="23">
        <f>F2-F3</f>
        <v>34.155</v>
      </c>
      <c r="G4" s="23">
        <f>G2-G3</f>
        <v>22.602</v>
      </c>
      <c r="H4" s="23">
        <f>H2-H3</f>
        <v>30.909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44.362</v>
      </c>
      <c r="C5" s="23" t="n">
        <v>57.715</v>
      </c>
      <c r="D5" s="23" t="n">
        <v>80.325</v>
      </c>
      <c r="E5" s="23" t="n">
        <v>105.618</v>
      </c>
      <c r="F5" s="23" t="n">
        <v>109.689</v>
      </c>
      <c r="G5" s="23" t="n">
        <v>94.52800000000001</v>
      </c>
      <c r="H5" s="23" t="n">
        <v>85.46599999999999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6.722</v>
      </c>
      <c r="C6" s="23" t="n">
        <v>11.246</v>
      </c>
      <c r="D6" s="23" t="n">
        <v>21.728</v>
      </c>
      <c r="E6" s="23" t="n">
        <v>30.747</v>
      </c>
      <c r="F6" s="23" t="n">
        <v>32.372</v>
      </c>
      <c r="G6" s="23" t="n">
        <v>30.757</v>
      </c>
      <c r="H6" s="23" t="n">
        <v>31.832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51.084</v>
      </c>
      <c r="C7" s="23">
        <f>SUM(C5:C6)</f>
        <v>68.961</v>
      </c>
      <c r="D7" s="23">
        <f>SUM(D5:D6)</f>
        <v>102.053</v>
      </c>
      <c r="E7" s="23">
        <f>SUM(E5:E6)</f>
        <v>136.365</v>
      </c>
      <c r="F7" s="23">
        <f>SUM(F5:F6)</f>
        <v>142.06099999999998</v>
      </c>
      <c r="G7" s="23">
        <f>SUM(G5:G6)</f>
        <v>125.28500000000001</v>
      </c>
      <c r="H7" s="23">
        <f>SUM(H5:H6)</f>
        <v>117.298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-51.084</v>
      </c>
      <c r="C8" s="23">
        <f>C4-C7</f>
        <v>-68.53099999999999</v>
      </c>
      <c r="D8" s="23">
        <f>D4-D7</f>
        <v>-100.734</v>
      </c>
      <c r="E8" s="23">
        <f>E4-E7</f>
        <v>-117.137</v>
      </c>
      <c r="F8" s="23">
        <f>F4-F7</f>
        <v>-107.90599999999998</v>
      </c>
      <c r="G8" s="23">
        <f>G4-G7</f>
        <v>-102.683</v>
      </c>
      <c r="H8" s="23">
        <f>H4-H7</f>
        <v>-86.38900000000001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-0.044</v>
      </c>
      <c r="C9" s="23" t="n">
        <v>-0.269</v>
      </c>
      <c r="D9" s="23" t="n">
        <v>-0.586</v>
      </c>
      <c r="E9" s="23" t="n">
        <v>8.255000000000001</v>
      </c>
      <c r="F9" s="23" t="n">
        <v>13.706</v>
      </c>
      <c r="G9" s="23" t="n">
        <v>16.063</v>
      </c>
      <c r="H9" s="23" t="n">
        <v>12.106</v>
      </c>
    </row>
    <row r="10">
      <c r="A10" s="2" t="inlineStr">
        <is>
          <t>Pretax</t>
        </is>
      </c>
      <c r="B10" s="23">
        <f>B8+B9</f>
        <v>-51.128</v>
      </c>
      <c r="C10" s="23">
        <f>C8+C9</f>
        <v>-68.8</v>
      </c>
      <c r="D10" s="23">
        <f>D8+D9</f>
        <v>-101.32</v>
      </c>
      <c r="E10" s="23">
        <f>E8+E9</f>
        <v>-108.882</v>
      </c>
      <c r="F10" s="23">
        <f>F8+F9</f>
        <v>-94.19999999999997</v>
      </c>
      <c r="G10" s="23">
        <f>G8+G9</f>
        <v>-86.62</v>
      </c>
      <c r="H10" s="23">
        <f>H8+H9</f>
        <v>-74.28300000000002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4.226</v>
      </c>
      <c r="G11" s="23" t="n">
        <v>0</v>
      </c>
      <c r="H11" s="23" t="n">
        <v>0</v>
      </c>
    </row>
    <row r="12">
      <c r="A12" s="2" t="inlineStr">
        <is>
          <t>Net Income</t>
        </is>
      </c>
      <c r="B12" s="23" t="n">
        <v>-51.128</v>
      </c>
      <c r="C12" s="23" t="n">
        <v>-68.8</v>
      </c>
      <c r="D12" s="23" t="n">
        <v>-101.32</v>
      </c>
      <c r="E12" s="23" t="n">
        <v>-108.882</v>
      </c>
      <c r="F12" s="23" t="n">
        <v>-98.426</v>
      </c>
      <c r="G12" s="23" t="n">
        <v>-86.62</v>
      </c>
      <c r="H12" s="23" t="n">
        <v>-74.283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-12.196564885496183</v>
      </c>
      <c r="C13" s="11">
        <f>IFERROR(C12/C14,0)</f>
        <v>-6.2279351860233545</v>
      </c>
      <c r="D13" s="11">
        <f>IFERROR(D12/D14,0)</f>
        <v>-2.7257808506631513</v>
      </c>
      <c r="E13" s="11">
        <f>IFERROR(E12/E14,0)</f>
        <v>-2.617922146618259</v>
      </c>
      <c r="F13" s="11">
        <f>IFERROR(F12/F14,0)</f>
        <v>-2.34492781245533</v>
      </c>
      <c r="G13" s="11">
        <f>IFERROR(G12/G14,0)</f>
        <v>-1.577806517422904</v>
      </c>
      <c r="H13" s="11">
        <f>IFERROR(H12/H14,0)</f>
        <v>-1.1794509455232531</v>
      </c>
    </row>
    <row r="14">
      <c r="A14" s="2" t="inlineStr">
        <is>
          <t>Shares</t>
        </is>
      </c>
      <c r="B14" s="23" t="n">
        <v>4.192</v>
      </c>
      <c r="C14" s="23" t="n">
        <v>11.047</v>
      </c>
      <c r="D14" s="23" t="n">
        <v>37.171</v>
      </c>
      <c r="E14" s="23" t="n">
        <v>41.591</v>
      </c>
      <c r="F14" s="23" t="n">
        <v>41.974</v>
      </c>
      <c r="G14" s="23" t="n">
        <v>54.899</v>
      </c>
      <c r="H14" s="23" t="n">
        <v>62.981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2.067441860465116</v>
      </c>
      <c r="E16" s="15">
        <f>IFERROR(E2/D2-1,"")</f>
        <v>13.577710386656559</v>
      </c>
      <c r="F16" s="15">
        <f>IFERROR(F2/E2-1,"")</f>
        <v>0.7763157894736841</v>
      </c>
      <c r="G16" s="15">
        <f>IFERROR(G2/F2-1,"")</f>
        <v>-0.33825208607817303</v>
      </c>
      <c r="H16" s="15">
        <f>IFERROR(H2/G2-1,"")</f>
        <v>0.3675338465622511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-159.37441860465114</v>
      </c>
      <c r="D18" s="15">
        <f>IFERROR(D8/D2,"")</f>
        <v>-76.37149355572403</v>
      </c>
      <c r="E18" s="15">
        <f>IFERROR(E8/E2,"")</f>
        <v>-6.092001248179737</v>
      </c>
      <c r="F18" s="15">
        <f>IFERROR(F8/F2,"")</f>
        <v>-3.1593031766944804</v>
      </c>
      <c r="G18" s="15">
        <f>IFERROR(G8/G2,"")</f>
        <v>-4.543093531545881</v>
      </c>
      <c r="H18" s="15">
        <f>IFERROR(H8/H2,"")</f>
        <v>-2.79494645572487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2026-10-21T01:05:53Z</dcterms:modified>
  <cp:lastModifiedBy>Wang, Eric</cp:lastModifiedBy>
</cp:coreProperties>
</file>