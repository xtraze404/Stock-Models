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Nutriband Inc</t>
        </is>
      </c>
      <c r="C2" s="10" t="n"/>
    </row>
    <row r="3">
      <c r="B3" t="inlineStr">
        <is>
          <t>Price</t>
        </is>
      </c>
      <c r="C3" s="11">
        <f>INDEX([1]Pharma!$F$1:$F$1000,MATCH("NTRB",[1]Pharma!$B$1:$B$1000,0))</f>
        <v>5.85</v>
      </c>
      <c r="F3" s="1" t="n"/>
    </row>
    <row r="4">
      <c r="B4" t="inlineStr">
        <is>
          <t>Shares</t>
        </is>
      </c>
      <c r="C4" s="21" t="n">
        <v>12.155683</v>
      </c>
      <c r="F4" s="1" t="n"/>
    </row>
    <row r="5">
      <c r="B5" t="inlineStr">
        <is>
          <t>Market Cap.</t>
        </is>
      </c>
      <c r="C5" s="13">
        <f>C3*C4</f>
        <v>71.11074554999999</v>
      </c>
      <c r="F5" s="1" t="n"/>
    </row>
    <row r="6"/>
    <row r="7">
      <c r="B7" t="inlineStr">
        <is>
          <t>Cash</t>
        </is>
      </c>
      <c r="C7" s="21" t="n">
        <v>3.421615</v>
      </c>
    </row>
    <row r="8">
      <c r="B8" t="inlineStr">
        <is>
          <t>Debt</t>
        </is>
      </c>
      <c r="C8" s="21">
        <f>0.128442+0.025099</f>
        <v>0.153541</v>
      </c>
    </row>
    <row r="9">
      <c r="B9" t="inlineStr">
        <is>
          <t>Enterprise V.</t>
        </is>
      </c>
      <c r="C9" s="13">
        <f>C5-C7+C8</f>
        <v>67.84267154999999</v>
      </c>
    </row>
    <row r="10"/>
    <row r="11">
      <c r="B11" s="14" t="inlineStr">
        <is>
          <t>Net Cash / Share</t>
        </is>
      </c>
      <c r="C11" s="11">
        <f>(C7-C8)/C4</f>
        <v>0.26885153224216196</v>
      </c>
    </row>
    <row r="12">
      <c r="B12" s="14" t="inlineStr">
        <is>
          <t>Upside</t>
        </is>
      </c>
      <c r="C12" s="15">
        <f>IFERROR(C11/C3-1,"")</f>
        <v>-0.954042473120998</v>
      </c>
    </row>
    <row r="13">
      <c r="B13" s="14" t="inlineStr">
        <is>
          <t>Cash / Share</t>
        </is>
      </c>
      <c r="C13" s="11">
        <f>IFERROR((C7-C8)/C4,"")</f>
        <v>0.26885153224216196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-3.632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0.8998001101321585</v>
      </c>
    </row>
    <row r="19">
      <c r="B19" s="14" t="inlineStr">
        <is>
          <t>Implied Pipeline Value</t>
        </is>
      </c>
      <c r="C19" s="13">
        <f>C9</f>
        <v>67.84267154999999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2017</v>
      </c>
      <c r="C1" s="17" t="n">
        <v>2018</v>
      </c>
      <c r="D1" s="17" t="n">
        <v>2019</v>
      </c>
      <c r="E1" s="17" t="n">
        <v>2020</v>
      </c>
      <c r="F1" s="17" t="n">
        <v>2021</v>
      </c>
      <c r="G1" s="17" t="n">
        <v>2022</v>
      </c>
      <c r="H1" s="17" t="n">
        <v>2023</v>
      </c>
      <c r="I1" s="17" t="n">
        <v>2024</v>
      </c>
      <c r="J1" s="17" t="n">
        <v>2025</v>
      </c>
      <c r="K1" s="17" t="n">
        <v>2026</v>
      </c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0.245</v>
      </c>
      <c r="E2" s="23" t="n">
        <v>0.119</v>
      </c>
      <c r="F2" s="23" t="n">
        <v>0.944</v>
      </c>
      <c r="G2" s="23" t="n">
        <v>1.422</v>
      </c>
      <c r="H2" s="23" t="n">
        <v>2.08</v>
      </c>
      <c r="I2" s="23" t="n">
        <v>2.085</v>
      </c>
      <c r="J2" s="23" t="n">
        <v>2.14</v>
      </c>
      <c r="K2" s="23" t="n">
        <v>2.037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0.288</v>
      </c>
      <c r="E3" s="23" t="n">
        <v>0.549</v>
      </c>
      <c r="F3" s="23" t="n">
        <v>0.627</v>
      </c>
      <c r="G3" s="23" t="n">
        <v>1.18</v>
      </c>
      <c r="H3" s="23" t="n">
        <v>1.786</v>
      </c>
      <c r="I3" s="23" t="n">
        <v>1.92</v>
      </c>
      <c r="J3" s="23" t="n">
        <v>1.396</v>
      </c>
      <c r="K3" s="23" t="n">
        <v>1.47</v>
      </c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-0.04299999999999998</v>
      </c>
      <c r="E4" s="23">
        <f>E2-E3</f>
        <v>-0.43000000000000005</v>
      </c>
      <c r="F4" s="23">
        <f>F2-F3</f>
        <v>0.31699999999999995</v>
      </c>
      <c r="G4" s="23">
        <f>G2-G3</f>
        <v>0.242</v>
      </c>
      <c r="H4" s="23">
        <f>H2-H3</f>
        <v>0.29400000000000004</v>
      </c>
      <c r="I4" s="23">
        <f>I2-I3</f>
        <v>0.16500000000000004</v>
      </c>
      <c r="J4" s="23">
        <f>J2-J3</f>
        <v>0.7440000000000002</v>
      </c>
      <c r="K4" s="23">
        <f>K2-K3</f>
        <v>0.567</v>
      </c>
    </row>
    <row r="5">
      <c r="A5" s="2" t="inlineStr">
        <is>
          <t>Research &amp; Dev.</t>
        </is>
      </c>
      <c r="B5" s="23" t="n">
        <v>0</v>
      </c>
      <c r="C5" s="23" t="n">
        <v>0</v>
      </c>
      <c r="D5" s="23" t="n">
        <v>0</v>
      </c>
      <c r="E5" s="23" t="n">
        <v>0</v>
      </c>
      <c r="F5" s="23" t="n">
        <v>0</v>
      </c>
      <c r="G5" s="23" t="n">
        <v>0.411</v>
      </c>
      <c r="H5" s="23" t="n">
        <v>0.982</v>
      </c>
      <c r="I5" s="23" t="n">
        <v>1.96</v>
      </c>
      <c r="J5" s="23" t="n">
        <v>3.119</v>
      </c>
      <c r="K5" s="23" t="n">
        <v>1.891</v>
      </c>
    </row>
    <row r="6">
      <c r="A6" s="19" t="inlineStr">
        <is>
          <t>SG&amp;A &amp; Other</t>
        </is>
      </c>
      <c r="B6" s="23" t="n">
        <v>0.151</v>
      </c>
      <c r="C6" s="23" t="n">
        <v>2.672</v>
      </c>
      <c r="D6" s="23" t="n">
        <v>3.288</v>
      </c>
      <c r="E6" s="23" t="n">
        <v>1.54</v>
      </c>
      <c r="F6" s="23" t="n">
        <v>2.912</v>
      </c>
      <c r="G6" s="23" t="n">
        <v>5.942</v>
      </c>
      <c r="H6" s="23" t="n">
        <v>3.787</v>
      </c>
      <c r="I6" s="23" t="n">
        <v>3.077</v>
      </c>
      <c r="J6" s="23" t="n">
        <v>7.909</v>
      </c>
      <c r="K6" s="23" t="n">
        <v>6.993</v>
      </c>
    </row>
    <row r="7">
      <c r="A7" s="2" t="inlineStr">
        <is>
          <t>Operating Expense</t>
        </is>
      </c>
      <c r="B7" s="23">
        <f>SUM(B5:B6)</f>
        <v>0.151</v>
      </c>
      <c r="C7" s="23">
        <f>SUM(C5:C6)</f>
        <v>2.672</v>
      </c>
      <c r="D7" s="23">
        <f>SUM(D5:D6)</f>
        <v>3.288</v>
      </c>
      <c r="E7" s="23">
        <f>SUM(E5:E6)</f>
        <v>1.54</v>
      </c>
      <c r="F7" s="23">
        <f>SUM(F5:F6)</f>
        <v>2.912</v>
      </c>
      <c r="G7" s="23">
        <f>SUM(G5:G6)</f>
        <v>6.353</v>
      </c>
      <c r="H7" s="23">
        <f>SUM(H5:H6)</f>
        <v>4.769</v>
      </c>
      <c r="I7" s="23">
        <f>SUM(I5:I6)</f>
        <v>5.037</v>
      </c>
      <c r="J7" s="23">
        <f>SUM(J5:J6)</f>
        <v>11.028</v>
      </c>
      <c r="K7" s="23">
        <f>SUM(K5:K6)</f>
        <v>8.884</v>
      </c>
    </row>
    <row r="8">
      <c r="A8" s="2" t="inlineStr">
        <is>
          <t>Operating Income</t>
        </is>
      </c>
      <c r="B8" s="23">
        <f>B4-B7</f>
        <v>-0.151</v>
      </c>
      <c r="C8" s="23">
        <f>C4-C7</f>
        <v>-2.672</v>
      </c>
      <c r="D8" s="23">
        <f>D4-D7</f>
        <v>-3.331</v>
      </c>
      <c r="E8" s="23">
        <f>E4-E7</f>
        <v>-1.9700000000000002</v>
      </c>
      <c r="F8" s="23">
        <f>F4-F7</f>
        <v>-2.5949999999999998</v>
      </c>
      <c r="G8" s="23">
        <f>G4-G7</f>
        <v>-6.111</v>
      </c>
      <c r="H8" s="23">
        <f>H4-H7</f>
        <v>-4.475</v>
      </c>
      <c r="I8" s="23">
        <f>I4-I7</f>
        <v>-4.872</v>
      </c>
      <c r="J8" s="23">
        <f>J4-J7</f>
        <v>-10.284</v>
      </c>
      <c r="K8" s="23">
        <f>K4-K7</f>
        <v>-8.317</v>
      </c>
    </row>
    <row r="9">
      <c r="A9" s="19" t="inlineStr">
        <is>
          <t>Interest &amp; Other</t>
        </is>
      </c>
      <c r="B9" s="23" t="n">
        <v>0</v>
      </c>
      <c r="C9" s="23" t="n">
        <v>0</v>
      </c>
      <c r="D9" s="23" t="n">
        <v>0</v>
      </c>
      <c r="E9" s="23" t="n">
        <v>-0.752</v>
      </c>
      <c r="F9" s="23" t="n">
        <v>-0.337</v>
      </c>
      <c r="G9" s="23" t="n">
        <v>-0.065</v>
      </c>
      <c r="H9" s="23" t="n">
        <v>-0.008</v>
      </c>
      <c r="I9" s="23" t="n">
        <v>-0.613</v>
      </c>
      <c r="J9" s="23" t="n">
        <v>-0.198</v>
      </c>
      <c r="K9" s="23" t="n">
        <v>0.08799999999999999</v>
      </c>
    </row>
    <row r="10">
      <c r="A10" s="2" t="inlineStr">
        <is>
          <t>Pretax</t>
        </is>
      </c>
      <c r="B10" s="23">
        <f>B8+B9</f>
        <v>-0.151</v>
      </c>
      <c r="C10" s="23">
        <f>C8+C9</f>
        <v>-2.672</v>
      </c>
      <c r="D10" s="23">
        <f>D8+D9</f>
        <v>-3.331</v>
      </c>
      <c r="E10" s="23">
        <f>E8+E9</f>
        <v>-2.7220000000000004</v>
      </c>
      <c r="F10" s="23">
        <f>F8+F9</f>
        <v>-2.932</v>
      </c>
      <c r="G10" s="23">
        <f>G8+G9</f>
        <v>-6.176</v>
      </c>
      <c r="H10" s="23">
        <f>H8+H9</f>
        <v>-4.483</v>
      </c>
      <c r="I10" s="23">
        <f>I8+I9</f>
        <v>-5.484999999999999</v>
      </c>
      <c r="J10" s="23">
        <f>J8+J9</f>
        <v>-10.482000000000001</v>
      </c>
      <c r="K10" s="23">
        <f>K8+K9</f>
        <v>-8.229000000000001</v>
      </c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</v>
      </c>
      <c r="I11" s="23" t="n">
        <v>0</v>
      </c>
      <c r="J11" s="23" t="n">
        <v>0</v>
      </c>
      <c r="K11" s="23" t="n">
        <v>0</v>
      </c>
    </row>
    <row r="12">
      <c r="A12" s="2" t="inlineStr">
        <is>
          <t>Net Income</t>
        </is>
      </c>
      <c r="B12" s="23" t="n">
        <v>-0.151</v>
      </c>
      <c r="C12" s="23" t="n">
        <v>-2.672</v>
      </c>
      <c r="D12" s="23" t="n">
        <v>-3.331</v>
      </c>
      <c r="E12" s="23" t="n">
        <v>-2.722</v>
      </c>
      <c r="F12" s="23" t="n">
        <v>-2.933</v>
      </c>
      <c r="G12" s="23" t="n">
        <v>-6.176</v>
      </c>
      <c r="H12" s="23" t="n">
        <v>-4.483</v>
      </c>
      <c r="I12" s="23" t="n">
        <v>-5.485</v>
      </c>
      <c r="J12" s="23" t="n">
        <v>-10.483</v>
      </c>
      <c r="K12" s="23" t="n">
        <v>-8.23</v>
      </c>
    </row>
    <row r="13">
      <c r="A13" s="2" t="inlineStr">
        <is>
          <t>Earnings per Share</t>
        </is>
      </c>
      <c r="B13" s="11">
        <f>IFERROR(B12/B14,0)</f>
        <v>-0.007118947715807836</v>
      </c>
      <c r="C13" s="11">
        <f>IFERROR(C12/C14,0)</f>
        <v>-0.13907974182802416</v>
      </c>
      <c r="D13" s="11">
        <f>IFERROR(D12/D14,0)</f>
        <v>-0.6223841554559043</v>
      </c>
      <c r="E13" s="11">
        <f>IFERROR(E12/E14,0)</f>
        <v>-0.5018436578171092</v>
      </c>
      <c r="F13" s="11">
        <f>IFERROR(F12/F14,0)</f>
        <v>-0.5082308092185063</v>
      </c>
      <c r="G13" s="11">
        <f>IFERROR(G12/G14,0)</f>
        <v>-0.778520105886802</v>
      </c>
      <c r="H13" s="11">
        <f>IFERROR(H12/H14,0)</f>
        <v>-0.5299054373522458</v>
      </c>
      <c r="I13" s="11">
        <f>IFERROR(I12/I14,0)</f>
        <v>-0.6895901433241137</v>
      </c>
      <c r="J13" s="11">
        <f>IFERROR(J12/J14,0)</f>
        <v>-0.9883096068633922</v>
      </c>
      <c r="K13" s="11">
        <f>IFERROR(K12/K14,0)</f>
        <v>-0.706983936087965</v>
      </c>
    </row>
    <row r="14">
      <c r="A14" s="2" t="inlineStr">
        <is>
          <t>Shares</t>
        </is>
      </c>
      <c r="B14" s="23" t="n">
        <v>21.211</v>
      </c>
      <c r="C14" s="23" t="n">
        <v>19.212</v>
      </c>
      <c r="D14" s="23" t="n">
        <v>5.352</v>
      </c>
      <c r="E14" s="23" t="n">
        <v>5.424</v>
      </c>
      <c r="F14" s="23" t="n">
        <v>5.771</v>
      </c>
      <c r="G14" s="23" t="n">
        <v>7.933</v>
      </c>
      <c r="H14" s="23" t="n">
        <v>8.460000000000001</v>
      </c>
      <c r="I14" s="23" t="n">
        <v>7.954</v>
      </c>
      <c r="J14" s="23" t="n">
        <v>10.607</v>
      </c>
      <c r="K14" s="23" t="n">
        <v>11.641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>-0.5142857142857142</v>
      </c>
      <c r="F16" s="15">
        <f>IFERROR(F2/E2-1,"")</f>
        <v>6.932773109243698</v>
      </c>
      <c r="G16" s="15">
        <f>IFERROR(G2/F2-1,"")</f>
        <v>0.5063559322033899</v>
      </c>
      <c r="H16" s="15">
        <f>IFERROR(H2/G2-1,"")</f>
        <v>0.4627285513361463</v>
      </c>
      <c r="I16" s="15">
        <f>IFERROR(I2/H2-1,"")</f>
        <v>0.0024038461538460343</v>
      </c>
      <c r="J16" s="15">
        <f>IFERROR(J2/I2-1,"")</f>
        <v>0.026378896882494063</v>
      </c>
      <c r="K16" s="15">
        <f>IFERROR(K2/J2-1,"")</f>
        <v>-0.04813084112149546</v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>-0.1755102040816326</v>
      </c>
      <c r="E17" s="15">
        <f>IFERROR(E4/E2,"")</f>
        <v>-3.613445378151261</v>
      </c>
      <c r="F17" s="15">
        <f>IFERROR(F4/F2,"")</f>
        <v>0.33580508474576265</v>
      </c>
      <c r="G17" s="15">
        <f>IFERROR(G4/G2,"")</f>
        <v>0.170182841068917</v>
      </c>
      <c r="H17" s="15">
        <f>IFERROR(H4/H2,"")</f>
        <v>0.14134615384615387</v>
      </c>
      <c r="I17" s="15">
        <f>IFERROR(I4/I2,"")</f>
        <v>0.07913669064748204</v>
      </c>
      <c r="J17" s="15">
        <f>IFERROR(J4/J2,"")</f>
        <v>0.3476635514018692</v>
      </c>
      <c r="K17" s="15">
        <f>IFERROR(K4/K2,"")</f>
        <v>0.27835051546391754</v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>-13.59591836734694</v>
      </c>
      <c r="E18" s="15">
        <f>IFERROR(E8/E2,"")</f>
        <v>-16.554621848739497</v>
      </c>
      <c r="F18" s="15">
        <f>IFERROR(F8/F2,"")</f>
        <v>-2.7489406779661016</v>
      </c>
      <c r="G18" s="15">
        <f>IFERROR(G8/G2,"")</f>
        <v>-4.2974683544303796</v>
      </c>
      <c r="H18" s="15">
        <f>IFERROR(H8/H2,"")</f>
        <v>-2.1514423076923075</v>
      </c>
      <c r="I18" s="15">
        <f>IFERROR(I8/I2,"")</f>
        <v>-2.336690647482014</v>
      </c>
      <c r="J18" s="15">
        <f>IFERROR(J8/J2,"")</f>
        <v>-4.805607476635514</v>
      </c>
      <c r="K18" s="15">
        <f>IFERROR(K8/K2,"")</f>
        <v>-4.0829651448208155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2026-10-21T06:28:32Z</dcterms:modified>
  <cp:lastModifiedBy>Wang, Eric</cp:lastModifiedBy>
</cp:coreProperties>
</file>