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Palisade Bio Inc</t>
        </is>
      </c>
      <c r="C2" s="10" t="n"/>
    </row>
    <row r="3">
      <c r="B3" t="inlineStr">
        <is>
          <t>Price</t>
        </is>
      </c>
      <c r="C3" s="11">
        <f>INDEX([1]Pharma!$F$1:$F$1000,MATCH("PALI",[1]Pharma!$B$1:$B$1000,0))</f>
        <v>1.43</v>
      </c>
      <c r="F3" s="1" t="n"/>
    </row>
    <row r="4">
      <c r="B4" t="inlineStr">
        <is>
          <t>Shares</t>
        </is>
      </c>
      <c r="C4" s="21" t="n">
        <v>174.270558</v>
      </c>
      <c r="F4" s="1" t="n"/>
    </row>
    <row r="5">
      <c r="B5" t="inlineStr">
        <is>
          <t>Market Cap.</t>
        </is>
      </c>
      <c r="C5" s="13">
        <f>C3*C4</f>
        <v>249.20689793999998</v>
      </c>
      <c r="F5" s="1" t="n"/>
    </row>
    <row r="6"/>
    <row r="7">
      <c r="B7" t="inlineStr">
        <is>
          <t>Cash</t>
        </is>
      </c>
      <c r="C7" s="21" t="n">
        <v>125.172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124.03489793999998</v>
      </c>
    </row>
    <row r="10"/>
    <row r="11">
      <c r="B11" s="14" t="inlineStr">
        <is>
          <t>rNPV / Share</t>
        </is>
      </c>
      <c r="C11" s="11">
        <f>NPV!B27</f>
        <v>3.273702443740263</v>
      </c>
    </row>
    <row r="12">
      <c r="B12" s="14" t="inlineStr">
        <is>
          <t>Upside</t>
        </is>
      </c>
      <c r="C12" s="15">
        <f>IFERROR(C11/C3-1,"")</f>
        <v>1.289302408209974</v>
      </c>
    </row>
    <row r="13">
      <c r="B13" s="14" t="inlineStr">
        <is>
          <t>Cash / Share</t>
        </is>
      </c>
      <c r="C13" s="11">
        <f>IFERROR((C7-C8)/C4,"")</f>
        <v>0.7182624617521451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-18.19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6.881363386476085</v>
      </c>
    </row>
    <row r="19">
      <c r="B19" s="14" t="inlineStr">
        <is>
          <t>Implied Pipeline Value</t>
        </is>
      </c>
      <c r="C19" s="13">
        <f>C9</f>
        <v>124.03489793999998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0.733</v>
      </c>
      <c r="D2" s="23" t="n">
        <v>0.391</v>
      </c>
      <c r="E2" s="23" t="n">
        <v>0.408</v>
      </c>
      <c r="F2" s="23" t="n">
        <v>0.11</v>
      </c>
      <c r="G2" s="23" t="n">
        <v>0.019</v>
      </c>
      <c r="H2" s="23" t="n">
        <v>0.01</v>
      </c>
      <c r="I2" s="23" t="n">
        <v>0.016</v>
      </c>
      <c r="J2" s="23" t="n">
        <v>0.26</v>
      </c>
      <c r="K2" s="23" t="n">
        <v>0.26</v>
      </c>
      <c r="L2" s="23" t="n">
        <v>0.015</v>
      </c>
      <c r="M2" s="23" t="n">
        <v>0.014</v>
      </c>
      <c r="N2" s="23" t="n">
        <v>0</v>
      </c>
      <c r="O2" s="23" t="n">
        <v>0</v>
      </c>
      <c r="P2" s="23" t="n">
        <v>0.3</v>
      </c>
      <c r="Q2" s="23" t="n">
        <v>0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0.733</v>
      </c>
      <c r="D4" s="23">
        <f>D2-D3</f>
        <v>0.391</v>
      </c>
      <c r="E4" s="23">
        <f>E2-E3</f>
        <v>0.408</v>
      </c>
      <c r="F4" s="23">
        <f>F2-F3</f>
        <v>0.11</v>
      </c>
      <c r="G4" s="23">
        <f>G2-G3</f>
        <v>0.019</v>
      </c>
      <c r="H4" s="23">
        <f>H2-H3</f>
        <v>0.01</v>
      </c>
      <c r="I4" s="23">
        <f>I2-I3</f>
        <v>0.016</v>
      </c>
      <c r="J4" s="23">
        <f>J2-J3</f>
        <v>0.26</v>
      </c>
      <c r="K4" s="23">
        <f>K2-K3</f>
        <v>0.26</v>
      </c>
      <c r="L4" s="23">
        <f>L2-L3</f>
        <v>0.015</v>
      </c>
      <c r="M4" s="23">
        <f>M2-M3</f>
        <v>0.014</v>
      </c>
      <c r="N4" s="23">
        <f>N2-N3</f>
        <v>0.0</v>
      </c>
      <c r="O4" s="23">
        <f>O2-O3</f>
        <v>0.0</v>
      </c>
      <c r="P4" s="23">
        <f>P2-P3</f>
        <v>0.3</v>
      </c>
      <c r="Q4" s="23">
        <f>Q2-Q3</f>
        <v>0.0</v>
      </c>
      <c r="R4" s="23">
        <f>R2-R3</f>
        <v>0.0</v>
      </c>
    </row>
    <row r="5">
      <c r="A5" s="2" t="inlineStr">
        <is>
          <t>Research &amp; Dev.</t>
        </is>
      </c>
      <c r="B5" s="23" t="n">
        <v>5.347</v>
      </c>
      <c r="C5" s="23" t="n">
        <v>9.164</v>
      </c>
      <c r="D5" s="23" t="n">
        <v>7.355</v>
      </c>
      <c r="E5" s="23" t="n">
        <v>6.106</v>
      </c>
      <c r="F5" s="23" t="n">
        <v>7.286</v>
      </c>
      <c r="G5" s="23" t="n">
        <v>8.362</v>
      </c>
      <c r="H5" s="23" t="n">
        <v>12.637</v>
      </c>
      <c r="I5" s="23" t="n">
        <v>13.156</v>
      </c>
      <c r="J5" s="23" t="n">
        <v>8.096</v>
      </c>
      <c r="K5" s="23" t="n">
        <v>3.96</v>
      </c>
      <c r="L5" s="23" t="n">
        <v>4.061</v>
      </c>
      <c r="M5" s="23" t="n">
        <v>3.099</v>
      </c>
      <c r="N5" s="23" t="n">
        <v>2.43</v>
      </c>
      <c r="O5" s="23" t="n">
        <v>6.547</v>
      </c>
      <c r="P5" s="23" t="n">
        <v>6.893</v>
      </c>
      <c r="Q5" s="23" t="n">
        <v>16</v>
      </c>
      <c r="R5" s="23" t="n">
        <v>10.192</v>
      </c>
    </row>
    <row r="6">
      <c r="A6" s="19" t="inlineStr">
        <is>
          <t>SG&amp;A &amp; Other</t>
        </is>
      </c>
      <c r="B6" s="23" t="n">
        <v>5.12</v>
      </c>
      <c r="C6" s="23" t="n">
        <v>6.755</v>
      </c>
      <c r="D6" s="23" t="n">
        <v>6.026</v>
      </c>
      <c r="E6" s="23" t="n">
        <v>4.458</v>
      </c>
      <c r="F6" s="23" t="n">
        <v>5.348</v>
      </c>
      <c r="G6" s="23" t="n">
        <v>9.093</v>
      </c>
      <c r="H6" s="23" t="n">
        <v>6.53</v>
      </c>
      <c r="I6" s="23" t="n">
        <v>7.497</v>
      </c>
      <c r="J6" s="23" t="n">
        <v>5.471</v>
      </c>
      <c r="K6" s="23" t="n">
        <v>4.559</v>
      </c>
      <c r="L6" s="23" t="n">
        <v>4.586</v>
      </c>
      <c r="M6" s="23" t="n">
        <v>6.212</v>
      </c>
      <c r="N6" s="23" t="n">
        <v>39.424</v>
      </c>
      <c r="O6" s="23" t="n">
        <v>9.173999999999999</v>
      </c>
      <c r="P6" s="23" t="n">
        <v>6.477</v>
      </c>
      <c r="Q6" s="23" t="n">
        <v>-1.141</v>
      </c>
      <c r="R6" s="23" t="n">
        <v>7.864</v>
      </c>
    </row>
    <row r="7">
      <c r="A7" s="2" t="inlineStr">
        <is>
          <t>Operating Expense</t>
        </is>
      </c>
      <c r="B7" s="23">
        <f>SUM(B5:B6)</f>
        <v>10.467</v>
      </c>
      <c r="C7" s="23">
        <f>SUM(C5:C6)</f>
        <v>15.919</v>
      </c>
      <c r="D7" s="23">
        <f>SUM(D5:D6)</f>
        <v>13.381</v>
      </c>
      <c r="E7" s="23">
        <f>SUM(E5:E6)</f>
        <v>10.564</v>
      </c>
      <c r="F7" s="23">
        <f>SUM(F5:F6)</f>
        <v>12.634</v>
      </c>
      <c r="G7" s="23">
        <f>SUM(G5:G6)</f>
        <v>17.455</v>
      </c>
      <c r="H7" s="23">
        <f>SUM(H5:H6)</f>
        <v>19.167</v>
      </c>
      <c r="I7" s="23">
        <f>SUM(I5:I6)</f>
        <v>20.653</v>
      </c>
      <c r="J7" s="23">
        <f>SUM(J5:J6)</f>
        <v>13.567</v>
      </c>
      <c r="K7" s="23">
        <f>SUM(K5:K6)</f>
        <v>8.519</v>
      </c>
      <c r="L7" s="23">
        <f>SUM(L5:L6)</f>
        <v>8.647</v>
      </c>
      <c r="M7" s="23">
        <f>SUM(M5:M6)</f>
        <v>9.311</v>
      </c>
      <c r="N7" s="23">
        <f>SUM(N5:N6)</f>
        <v>41.854</v>
      </c>
      <c r="O7" s="23">
        <f>SUM(O5:O6)</f>
        <v>15.721</v>
      </c>
      <c r="P7" s="23">
        <f>SUM(P5:P6)</f>
        <v>13.370000000000001</v>
      </c>
      <c r="Q7" s="23">
        <f>SUM(Q5:Q6)</f>
        <v>14.859</v>
      </c>
      <c r="R7" s="23">
        <f>SUM(R5:R6)</f>
        <v>18.056</v>
      </c>
    </row>
    <row r="8">
      <c r="A8" s="2" t="inlineStr">
        <is>
          <t>Operating Income</t>
        </is>
      </c>
      <c r="B8" s="23">
        <f>B4-B7</f>
        <v>-10.467</v>
      </c>
      <c r="C8" s="23">
        <f>C4-C7</f>
        <v>-15.186</v>
      </c>
      <c r="D8" s="23">
        <f>D4-D7</f>
        <v>-12.99</v>
      </c>
      <c r="E8" s="23">
        <f>E4-E7</f>
        <v>-10.156</v>
      </c>
      <c r="F8" s="23">
        <f>F4-F7</f>
        <v>-12.524000000000001</v>
      </c>
      <c r="G8" s="23">
        <f>G4-G7</f>
        <v>-17.436</v>
      </c>
      <c r="H8" s="23">
        <f>H4-H7</f>
        <v>-19.157</v>
      </c>
      <c r="I8" s="23">
        <f>I4-I7</f>
        <v>-20.637</v>
      </c>
      <c r="J8" s="23">
        <f>J4-J7</f>
        <v>-13.307</v>
      </c>
      <c r="K8" s="23">
        <f>K4-K7</f>
        <v>-8.259</v>
      </c>
      <c r="L8" s="23">
        <f>L4-L7</f>
        <v>-8.632</v>
      </c>
      <c r="M8" s="23">
        <f>M4-M7</f>
        <v>-9.297</v>
      </c>
      <c r="N8" s="23">
        <f>N4-N7</f>
        <v>-41.854</v>
      </c>
      <c r="O8" s="23">
        <f>O4-O7</f>
        <v>-15.721</v>
      </c>
      <c r="P8" s="23">
        <f>P4-P7</f>
        <v>-13.07</v>
      </c>
      <c r="Q8" s="23">
        <f>Q4-Q7</f>
        <v>-14.859</v>
      </c>
      <c r="R8" s="23">
        <f>R4-R7</f>
        <v>-18.056</v>
      </c>
    </row>
    <row r="9">
      <c r="A9" s="19" t="inlineStr">
        <is>
          <t>Interest &amp; Other</t>
        </is>
      </c>
      <c r="B9" s="23" t="n">
        <v>0.102</v>
      </c>
      <c r="C9" s="23" t="n">
        <v>-3.202</v>
      </c>
      <c r="D9" s="23" t="n">
        <v>0.472</v>
      </c>
      <c r="E9" s="23" t="n">
        <v>0.035</v>
      </c>
      <c r="F9" s="23" t="n">
        <v>-7.308</v>
      </c>
      <c r="G9" s="23" t="n">
        <v>-5.193</v>
      </c>
      <c r="H9" s="23" t="n">
        <v>-1.747</v>
      </c>
      <c r="I9" s="23" t="n">
        <v>-0.438</v>
      </c>
      <c r="J9" s="23" t="n">
        <v>-2.359</v>
      </c>
      <c r="K9" s="23" t="n">
        <v>3.335</v>
      </c>
      <c r="L9" s="23" t="n">
        <v>0.28</v>
      </c>
      <c r="M9" s="23" t="n">
        <v>-1.024</v>
      </c>
      <c r="N9" s="23" t="n">
        <v>15.238</v>
      </c>
      <c r="O9" s="23" t="n">
        <v>1.461</v>
      </c>
      <c r="P9" s="23" t="n">
        <v>0.77</v>
      </c>
      <c r="Q9" s="23" t="n">
        <v>0.421</v>
      </c>
      <c r="R9" s="23" t="n">
        <v>1.275</v>
      </c>
    </row>
    <row r="10">
      <c r="A10" s="2" t="inlineStr">
        <is>
          <t>Pretax</t>
        </is>
      </c>
      <c r="B10" s="23">
        <f>B8+B9</f>
        <v>-10.365</v>
      </c>
      <c r="C10" s="23">
        <f>C8+C9</f>
        <v>-18.387999999999998</v>
      </c>
      <c r="D10" s="23">
        <f>D8+D9</f>
        <v>-12.518</v>
      </c>
      <c r="E10" s="23">
        <f>E8+E9</f>
        <v>-10.121</v>
      </c>
      <c r="F10" s="23">
        <f>F8+F9</f>
        <v>-19.832</v>
      </c>
      <c r="G10" s="23">
        <f>G8+G9</f>
        <v>-22.628999999999998</v>
      </c>
      <c r="H10" s="23">
        <f>H8+H9</f>
        <v>-20.904</v>
      </c>
      <c r="I10" s="23">
        <f>I8+I9</f>
        <v>-21.075</v>
      </c>
      <c r="J10" s="23">
        <f>J8+J9</f>
        <v>-15.666</v>
      </c>
      <c r="K10" s="23">
        <f>K8+K9</f>
        <v>-4.924</v>
      </c>
      <c r="L10" s="23">
        <f>L8+L9</f>
        <v>-8.352</v>
      </c>
      <c r="M10" s="23">
        <f>M8+M9</f>
        <v>-10.321000000000002</v>
      </c>
      <c r="N10" s="23">
        <f>N8+N9</f>
        <v>-26.616</v>
      </c>
      <c r="O10" s="23">
        <f>O8+O9</f>
        <v>-14.26</v>
      </c>
      <c r="P10" s="23">
        <f>P8+P9</f>
        <v>-12.3</v>
      </c>
      <c r="Q10" s="23">
        <f>Q8+Q9</f>
        <v>-14.438</v>
      </c>
      <c r="R10" s="23">
        <f>R8+R9</f>
        <v>-16.781000000000002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0.001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-10.364</v>
      </c>
      <c r="C12" s="23" t="n">
        <v>-18.387</v>
      </c>
      <c r="D12" s="23" t="n">
        <v>-12.519</v>
      </c>
      <c r="E12" s="23" t="n">
        <v>-10.122</v>
      </c>
      <c r="F12" s="23" t="n">
        <v>-19.832</v>
      </c>
      <c r="G12" s="23" t="n">
        <v>-22.629</v>
      </c>
      <c r="H12" s="23" t="n">
        <v>-20.904</v>
      </c>
      <c r="I12" s="23" t="n">
        <v>-21.075</v>
      </c>
      <c r="J12" s="23" t="n">
        <v>-15.666</v>
      </c>
      <c r="K12" s="23" t="n">
        <v>-4.925</v>
      </c>
      <c r="L12" s="23" t="n">
        <v>-8.352</v>
      </c>
      <c r="M12" s="23" t="n">
        <v>-10.322</v>
      </c>
      <c r="N12" s="23" t="n">
        <v>-26.616</v>
      </c>
      <c r="O12" s="23" t="n">
        <v>-14.26</v>
      </c>
      <c r="P12" s="23" t="n">
        <v>-12.3</v>
      </c>
      <c r="Q12" s="23" t="n">
        <v>-14.438</v>
      </c>
      <c r="R12" s="23" t="n">
        <v>-16.781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-0.4202275855124031</v>
      </c>
      <c r="E13" s="11">
        <f>IFERROR(E12/E14,0)</f>
        <v>-0.2824297552945116</v>
      </c>
      <c r="F13" s="11">
        <f>IFERROR(F12/F14,0)</f>
        <v>-0.44522270114942536</v>
      </c>
      <c r="G13" s="11">
        <f>IFERROR(G12/G14,0)</f>
        <v>-0.42164005291695394</v>
      </c>
      <c r="H13" s="11">
        <f>IFERROR(H12/H14,0)</f>
        <v>-4.852367688022285</v>
      </c>
      <c r="I13" s="11">
        <f>IFERROR(I12/I14,0)</f>
        <v>-4.097802838810033</v>
      </c>
      <c r="J13" s="11">
        <f>IFERROR(J12/J14,0)</f>
        <v>-1.9458452366165693</v>
      </c>
      <c r="K13" s="11">
        <f>IFERROR(K12/K14,0)</f>
        <v>-0.6117252515215501</v>
      </c>
      <c r="L13" s="11">
        <f>IFERROR(L12/L14,0)</f>
        <v>-0.30837394771821003</v>
      </c>
      <c r="M13" s="11">
        <f>IFERROR(M12/M14,0)</f>
        <v>-0.3018569966369352</v>
      </c>
      <c r="N13" s="11">
        <f>IFERROR(N12/N14,0)</f>
        <v>-0.7738784054894892</v>
      </c>
      <c r="O13" s="11">
        <f>IFERROR(O12/O14,0)</f>
        <v>-0.4153559361528603</v>
      </c>
      <c r="P13" s="11">
        <f>IFERROR(P12/P14,0)</f>
        <v>-0.691594039921282</v>
      </c>
      <c r="Q13" s="11">
        <f>IFERROR(Q12/Q14,0)</f>
        <v>-0.26135911082147645</v>
      </c>
      <c r="R13" s="11">
        <f>IFERROR(R12/R14,0)</f>
        <v>-0.3014370396982216</v>
      </c>
    </row>
    <row r="14">
      <c r="A14" s="2" t="inlineStr">
        <is>
          <t>Shares</t>
        </is>
      </c>
      <c r="B14" s="23" t="n"/>
      <c r="C14" s="23" t="n"/>
      <c r="D14" s="23" t="n">
        <v>29.791</v>
      </c>
      <c r="E14" s="23" t="n">
        <v>35.839</v>
      </c>
      <c r="F14" s="23" t="n">
        <v>44.544</v>
      </c>
      <c r="G14" s="23" t="n">
        <v>53.669</v>
      </c>
      <c r="H14" s="23" t="n">
        <v>4.308</v>
      </c>
      <c r="I14" s="23" t="n">
        <v>5.143</v>
      </c>
      <c r="J14" s="23" t="n">
        <v>8.051</v>
      </c>
      <c r="K14" s="23" t="n">
        <v>8.051</v>
      </c>
      <c r="L14" s="23" t="n">
        <v>27.084</v>
      </c>
      <c r="M14" s="23" t="n">
        <v>34.195</v>
      </c>
      <c r="N14" s="23" t="n">
        <v>34.393</v>
      </c>
      <c r="O14" s="23" t="n">
        <v>34.332</v>
      </c>
      <c r="P14" s="23" t="n">
        <v>17.785</v>
      </c>
      <c r="Q14" s="23" t="n">
        <v>55.242</v>
      </c>
      <c r="R14" s="23" t="n">
        <v>55.67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-0.4665757162346521</v>
      </c>
      <c r="E16" s="15">
        <f>IFERROR(E2/D2-1,"")</f>
        <v>0.04347826086956519</v>
      </c>
      <c r="F16" s="15">
        <f>IFERROR(F2/E2-1,"")</f>
        <v>-0.7303921568627451</v>
      </c>
      <c r="G16" s="15">
        <f>IFERROR(G2/F2-1,"")</f>
        <v>-0.8272727272727273</v>
      </c>
      <c r="H16" s="15">
        <f>IFERROR(H2/G2-1,"")</f>
        <v>-0.4736842105263158</v>
      </c>
      <c r="I16" s="15">
        <f>IFERROR(I2/H2-1,"")</f>
        <v>0.6000000000000001</v>
      </c>
      <c r="J16" s="15">
        <f>IFERROR(J2/I2-1,"")</f>
        <v>15.25</v>
      </c>
      <c r="K16" s="15">
        <f>IFERROR(K2/J2-1,"")</f>
        <v>0.0</v>
      </c>
      <c r="L16" s="15">
        <f>IFERROR(L2/K2-1,"")</f>
        <v>-0.9423076923076923</v>
      </c>
      <c r="M16" s="15">
        <f>IFERROR(M2/L2-1,"")</f>
        <v>-0.06666666666666665</v>
      </c>
      <c r="N16" s="15">
        <f>IFERROR(N2/M2-1,"")</f>
        <v>-1.0</v>
      </c>
      <c r="O16" s="15">
        <f>IFERROR(O2/N2-1,"")</f>
        <v/>
      </c>
      <c r="P16" s="15">
        <f>IFERROR(P2/O2-1,"")</f>
        <v/>
      </c>
      <c r="Q16" s="15">
        <f>IFERROR(Q2/P2-1,"")</f>
        <v>-1.0</v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/>
      </c>
      <c r="O17" s="15">
        <f>IFERROR(O4/O2,"")</f>
        <v/>
      </c>
      <c r="P17" s="15">
        <f>IFERROR(P4/P2,"")</f>
        <v>1.0</v>
      </c>
      <c r="Q17" s="15">
        <f>IFERROR(Q4/Q2,"")</f>
        <v/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-20.717598908594816</v>
      </c>
      <c r="D18" s="15">
        <f>IFERROR(D8/D2,"")</f>
        <v>-33.22250639386189</v>
      </c>
      <c r="E18" s="15">
        <f>IFERROR(E8/E2,"")</f>
        <v>-24.8921568627451</v>
      </c>
      <c r="F18" s="15">
        <f>IFERROR(F8/F2,"")</f>
        <v>-113.85454545454546</v>
      </c>
      <c r="G18" s="15">
        <f>IFERROR(G8/G2,"")</f>
        <v>-917.6842105263158</v>
      </c>
      <c r="H18" s="15">
        <f>IFERROR(H8/H2,"")</f>
        <v>-1915.7</v>
      </c>
      <c r="I18" s="15">
        <f>IFERROR(I8/I2,"")</f>
        <v>-1289.8125</v>
      </c>
      <c r="J18" s="15">
        <f>IFERROR(J8/J2,"")</f>
        <v>-51.18076923076923</v>
      </c>
      <c r="K18" s="15">
        <f>IFERROR(K8/K2,"")</f>
        <v>-31.765384615384615</v>
      </c>
      <c r="L18" s="15">
        <f>IFERROR(L8/L2,"")</f>
        <v>-575.4666666666667</v>
      </c>
      <c r="M18" s="15">
        <f>IFERROR(M8/M2,"")</f>
        <v>-664.0714285714286</v>
      </c>
      <c r="N18" s="15">
        <f>IFERROR(N8/N2,"")</f>
        <v/>
      </c>
      <c r="O18" s="15">
        <f>IFERROR(O8/O2,"")</f>
        <v/>
      </c>
      <c r="P18" s="15">
        <f>IFERROR(P8/P2,"")</f>
        <v>-43.56666666666667</v>
      </c>
      <c r="Q18" s="15">
        <f>IFERROR(Q8/Q2,"")</f>
        <v/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Palisade Bio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0.19289999999999996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35.349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259.5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445.33795159657916</v>
      </c>
      <c r="C29" s="42">
        <f>NPV!B25</f>
        <v>570.5099515965792</v>
      </c>
      <c r="D29" s="43">
        <f>NPV!B27</f>
        <v>3.273702443740263</v>
      </c>
      <c r="E29" s="44">
        <f>NPV!B29</f>
        <v>1.289302408209974</v>
      </c>
    </row>
    <row r="30">
      <c r="A30" s="45" t="n">
        <v>1</v>
      </c>
      <c r="B30" s="46">
        <f t="dataTable" ref="B30:E32" r1="B4"/>
        <v>126.66835212749795</v>
      </c>
      <c r="C30" s="46">
        <v>251.84035212749797</v>
      </c>
      <c r="D30" s="47">
        <v>1.4451112971561035</v>
      </c>
      <c r="E30" s="48">
        <v>0.010567340668603986</v>
      </c>
    </row>
    <row r="31">
      <c r="A31" s="45" t="n">
        <v>2</v>
      </c>
      <c r="B31" s="46">
        <v>445.33795159657916</v>
      </c>
      <c r="C31" s="46">
        <v>570.5099515965792</v>
      </c>
      <c r="D31" s="47">
        <v>3.273702443740263</v>
      </c>
      <c r="E31" s="48">
        <v>1.289302408209974</v>
      </c>
    </row>
    <row r="32">
      <c r="A32" s="45" t="n">
        <v>3</v>
      </c>
      <c r="B32" s="46">
        <v>955.0507836901833</v>
      </c>
      <c r="C32" s="46">
        <v>1080.2227836901832</v>
      </c>
      <c r="D32" s="47">
        <v>6.198538617694581</v>
      </c>
      <c r="E32" s="48">
        <v>3.334642389996211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3.273702443740263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1.157311170842663</v>
      </c>
      <c r="C37" s="47">
        <v>1.6237318854945841</v>
      </c>
      <c r="D37" s="47">
        <v>2.082510399102526</v>
      </c>
      <c r="E37" s="47">
        <v>2.991304774725027</v>
      </c>
      <c r="F37" s="47">
        <v>3.895965867410275</v>
      </c>
    </row>
    <row r="38">
      <c r="A38" s="50" t="n">
        <v>0.8</v>
      </c>
      <c r="B38" s="47">
        <v>1.4597302494558855</v>
      </c>
      <c r="C38" s="47">
        <v>2.072818147942447</v>
      </c>
      <c r="D38" s="47">
        <v>2.680173062890021</v>
      </c>
      <c r="E38" s="47">
        <v>3.886387853137018</v>
      </c>
      <c r="F38" s="47">
        <v>5.08593350348123</v>
      </c>
    </row>
    <row r="39">
      <c r="A39" s="50" t="n">
        <v>1</v>
      </c>
      <c r="B39" s="47">
        <v>1.757712040523838</v>
      </c>
      <c r="C39" s="47">
        <v>2.5191728826238875</v>
      </c>
      <c r="D39" s="47">
        <v>3.273702443740263</v>
      </c>
      <c r="E39" s="47">
        <v>4.776657832377173</v>
      </c>
      <c r="F39" s="47">
        <v>6.275679222003007</v>
      </c>
    </row>
    <row r="40">
      <c r="A40" s="50" t="n">
        <v>1.2</v>
      </c>
      <c r="B40" s="47">
        <v>2.0534336456222873</v>
      </c>
      <c r="C40" s="47">
        <v>2.9625707319052568</v>
      </c>
      <c r="D40" s="47">
        <v>3.867231824590504</v>
      </c>
      <c r="E40" s="47">
        <v>5.666599272973785</v>
      </c>
      <c r="F40" s="47">
        <v>7.46345613976311</v>
      </c>
    </row>
    <row r="41">
      <c r="A41" s="50" t="n">
        <v>1.4</v>
      </c>
      <c r="B41" s="47">
        <v>2.3477727183565538</v>
      </c>
      <c r="C41" s="47">
        <v>3.4053232639746236</v>
      </c>
      <c r="D41" s="47">
        <v>4.457910768094228</v>
      </c>
      <c r="E41" s="47">
        <v>6.556540713570397</v>
      </c>
      <c r="F41" s="47">
        <v>8.64897330804233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Palisade Bio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IBD (UC / Crohn's)</t>
        </is>
      </c>
      <c r="C4" s="14" t="inlineStr">
        <is>
          <t>PALI-2108</t>
        </is>
      </c>
      <c r="D4" s="14" t="inlineStr">
        <is>
          <t>Phase 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3000</v>
      </c>
      <c r="H4" s="27" t="n">
        <v>0.1929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657.4280762551631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57.87</v>
      </c>
      <c r="S4" s="23">
        <f>IF(S$3&lt;$I4,0,$G4*Assumptions!$E$11*INDEX(Assumptions!$B$24:$G$24,MIN(6,S$3-$I4+1))*IF(S$3&gt;$J4,(1-Assumptions!$B$26)^(S$3-$J4),1)*IF($H4&gt;=1,1,MIN(0.97,$H4*Assumptions!$E$12)))</f>
        <v>144.67499999999998</v>
      </c>
      <c r="T4" s="23">
        <f>IF(T$3&lt;$I4,0,$G4*Assumptions!$E$11*INDEX(Assumptions!$B$24:$G$24,MIN(6,T$3-$I4+1))*IF(T$3&gt;$J4,(1-Assumptions!$B$26)^(T$3-$J4),1)*IF($H4&gt;=1,1,MIN(0.97,$H4*Assumptions!$E$12)))</f>
        <v>260.41499999999996</v>
      </c>
      <c r="U4" s="23">
        <f>IF(U$3&lt;$I4,0,$G4*Assumptions!$E$11*INDEX(Assumptions!$B$24:$G$24,MIN(6,U$3-$I4+1))*IF(U$3&gt;$J4,(1-Assumptions!$B$26)^(U$3-$J4),1)*IF($H4&gt;=1,1,MIN(0.97,$H4*Assumptions!$E$12)))</f>
        <v>376.155</v>
      </c>
      <c r="V4" s="23">
        <f>IF(V$3&lt;$I4,0,$G4*Assumptions!$E$11*INDEX(Assumptions!$B$24:$G$24,MIN(6,V$3-$I4+1))*IF(V$3&gt;$J4,(1-Assumptions!$B$26)^(V$3-$J4),1)*IF($H4&gt;=1,1,MIN(0.97,$H4*Assumptions!$E$12)))</f>
        <v>491.895</v>
      </c>
      <c r="W4" s="23">
        <f>IF(W$3&lt;$I4,0,$G4*Assumptions!$E$11*INDEX(Assumptions!$B$24:$G$24,MIN(6,W$3-$I4+1))*IF(W$3&gt;$J4,(1-Assumptions!$B$26)^(W$3-$J4),1)*IF($H4&gt;=1,1,MIN(0.97,$H4*Assumptions!$E$12)))</f>
        <v>578.6999999999999</v>
      </c>
      <c r="X4" s="23">
        <f>IF(X$3&lt;$I4,0,$G4*Assumptions!$E$11*INDEX(Assumptions!$B$24:$G$24,MIN(6,X$3-$I4+1))*IF(X$3&gt;$J4,(1-Assumptions!$B$26)^(X$3-$J4),1)*IF($H4&gt;=1,1,MIN(0.97,$H4*Assumptions!$E$12)))</f>
        <v>578.6999999999999</v>
      </c>
      <c r="Y4" s="23">
        <f>IF(Y$3&lt;$I4,0,$G4*Assumptions!$E$11*INDEX(Assumptions!$B$24:$G$24,MIN(6,Y$3-$I4+1))*IF(Y$3&gt;$J4,(1-Assumptions!$B$26)^(Y$3-$J4),1)*IF($H4&gt;=1,1,MIN(0.97,$H4*Assumptions!$E$12)))</f>
        <v>578.6999999999999</v>
      </c>
      <c r="Z4" s="23">
        <f>IF(Z$3&lt;$I4,0,$G4*Assumptions!$E$11*INDEX(Assumptions!$B$24:$G$24,MIN(6,Z$3-$I4+1))*IF(Z$3&gt;$J4,(1-Assumptions!$B$26)^(Z$3-$J4),1)*IF($H4&gt;=1,1,MIN(0.97,$H4*Assumptions!$E$12)))</f>
        <v>578.6999999999999</v>
      </c>
      <c r="AA4" s="23">
        <f>IF(AA$3&lt;$I4,0,$G4*Assumptions!$E$11*INDEX(Assumptions!$B$24:$G$24,MIN(6,AA$3-$I4+1))*IF(AA$3&gt;$J4,(1-Assumptions!$B$26)^(AA$3-$J4),1)*IF($H4&gt;=1,1,MIN(0.97,$H4*Assumptions!$E$12)))</f>
        <v>578.6999999999999</v>
      </c>
      <c r="AB4" s="23">
        <f>IF(AB$3&lt;$I4,0,$G4*Assumptions!$E$11*INDEX(Assumptions!$B$24:$G$24,MIN(6,AB$3-$I4+1))*IF(AB$3&gt;$J4,(1-Assumptions!$B$26)^(AB$3-$J4),1)*IF($H4&gt;=1,1,MIN(0.97,$H4*Assumptions!$E$12)))</f>
        <v>578.6999999999999</v>
      </c>
      <c r="AC4" s="23">
        <f>IF(AC$3&lt;$I4,0,$G4*Assumptions!$E$11*INDEX(Assumptions!$B$24:$G$24,MIN(6,AC$3-$I4+1))*IF(AC$3&gt;$J4,(1-Assumptions!$B$26)^(AC$3-$J4),1)*IF($H4&gt;=1,1,MIN(0.97,$H4*Assumptions!$E$12)))</f>
        <v>578.6999999999999</v>
      </c>
      <c r="AD4" s="23">
        <f>IF(AD$3&lt;$I4,0,$G4*Assumptions!$E$11*INDEX(Assumptions!$B$24:$G$24,MIN(6,AD$3-$I4+1))*IF(AD$3&gt;$J4,(1-Assumptions!$B$26)^(AD$3-$J4),1)*IF($H4&gt;=1,1,MIN(0.97,$H4*Assumptions!$E$12)))</f>
        <v>578.6999999999999</v>
      </c>
      <c r="AE4" s="23">
        <f>IF(AE$3&lt;$I4,0,$G4*Assumptions!$E$11*INDEX(Assumptions!$B$24:$G$24,MIN(6,AE$3-$I4+1))*IF(AE$3&gt;$J4,(1-Assumptions!$B$26)^(AE$3-$J4),1)*IF($H4&gt;=1,1,MIN(0.97,$H4*Assumptions!$E$12)))</f>
        <v>289.34999999999997</v>
      </c>
      <c r="AF4" s="23">
        <f>IF(AF$3&lt;$I4,0,$G4*Assumptions!$E$11*INDEX(Assumptions!$B$24:$G$24,MIN(6,AF$3-$I4+1))*IF(AF$3&gt;$J4,(1-Assumptions!$B$26)^(AF$3-$J4),1)*IF($H4&gt;=1,1,MIN(0.97,$H4*Assumptions!$E$12)))</f>
        <v>144.67499999999998</v>
      </c>
      <c r="AG4" s="35">
        <f>IF(F4="Owned",1-IF(H4&gt;=1,1,MIN(0.97,H4*Assumptions!$E$12)),1)</f>
        <v>0.8071</v>
      </c>
    </row>
    <row r="5">
      <c r="B5" s="24" t="inlineStr">
        <is>
          <t>Risked revenue</t>
        </is>
      </c>
      <c r="L5" s="54">
        <f>SUM(L4:L4)</f>
        <v>657.4280762551631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57.87</v>
      </c>
      <c r="S5" s="54">
        <f>SUM(S4:S4)</f>
        <v>144.67499999999998</v>
      </c>
      <c r="T5" s="54">
        <f>SUM(T4:T4)</f>
        <v>260.41499999999996</v>
      </c>
      <c r="U5" s="54">
        <f>SUM(U4:U4)</f>
        <v>376.155</v>
      </c>
      <c r="V5" s="54">
        <f>SUM(V4:V4)</f>
        <v>491.895</v>
      </c>
      <c r="W5" s="54">
        <f>SUM(W4:W4)</f>
        <v>578.6999999999999</v>
      </c>
      <c r="X5" s="54">
        <f>SUM(X4:X4)</f>
        <v>578.6999999999999</v>
      </c>
      <c r="Y5" s="54">
        <f>SUM(Y4:Y4)</f>
        <v>578.6999999999999</v>
      </c>
      <c r="Z5" s="54">
        <f>SUM(Z4:Z4)</f>
        <v>578.6999999999999</v>
      </c>
      <c r="AA5" s="54">
        <f>SUM(AA4:AA4)</f>
        <v>578.6999999999999</v>
      </c>
      <c r="AB5" s="54">
        <f>SUM(AB4:AB4)</f>
        <v>578.6999999999999</v>
      </c>
      <c r="AC5" s="54">
        <f>SUM(AC4:AC4)</f>
        <v>578.6999999999999</v>
      </c>
      <c r="AD5" s="54">
        <f>SUM(AD4:AD4)</f>
        <v>578.6999999999999</v>
      </c>
      <c r="AE5" s="54">
        <f>SUM(AE4:AE4)</f>
        <v>289.34999999999997</v>
      </c>
      <c r="AF5" s="54">
        <f>SUM(AF4:AF4)</f>
        <v>144.67499999999998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23.148</v>
      </c>
      <c r="S6" s="55">
        <f>SUMPRODUCT(S4:S4,$K$4:$K$4)</f>
        <v>57.87</v>
      </c>
      <c r="T6" s="55">
        <f>SUMPRODUCT(T4:T4,$K$4:$K$4)</f>
        <v>104.166</v>
      </c>
      <c r="U6" s="55">
        <f>SUMPRODUCT(U4:U4,$K$4:$K$4)</f>
        <v>150.462</v>
      </c>
      <c r="V6" s="55">
        <f>SUMPRODUCT(V4:V4,$K$4:$K$4)</f>
        <v>196.758</v>
      </c>
      <c r="W6" s="55">
        <f>SUMPRODUCT(W4:W4,$K$4:$K$4)</f>
        <v>231.48</v>
      </c>
      <c r="X6" s="55">
        <f>SUMPRODUCT(X4:X4,$K$4:$K$4)</f>
        <v>231.48</v>
      </c>
      <c r="Y6" s="55">
        <f>SUMPRODUCT(Y4:Y4,$K$4:$K$4)</f>
        <v>231.48</v>
      </c>
      <c r="Z6" s="55">
        <f>SUMPRODUCT(Z4:Z4,$K$4:$K$4)</f>
        <v>231.48</v>
      </c>
      <c r="AA6" s="55">
        <f>SUMPRODUCT(AA4:AA4,$K$4:$K$4)</f>
        <v>231.48</v>
      </c>
      <c r="AB6" s="55">
        <f>SUMPRODUCT(AB4:AB4,$K$4:$K$4)</f>
        <v>231.48</v>
      </c>
      <c r="AC6" s="55">
        <f>SUMPRODUCT(AC4:AC4,$K$4:$K$4)</f>
        <v>231.48</v>
      </c>
      <c r="AD6" s="55">
        <f>SUMPRODUCT(AD4:AD4,$K$4:$K$4)</f>
        <v>231.48</v>
      </c>
      <c r="AE6" s="55">
        <f>SUMPRODUCT(AE4:AE4,$K$4:$K$4)</f>
        <v>115.74</v>
      </c>
      <c r="AF6" s="55">
        <f>SUMPRODUCT(AF4:AF4,$K$4:$K$4)</f>
        <v>57.87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Palisade Bio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57.87</v>
      </c>
      <c r="I4" s="57">
        <f>Pipeline!S5</f>
        <v>144.67499999999998</v>
      </c>
      <c r="J4" s="57">
        <f>Pipeline!T5</f>
        <v>260.41499999999996</v>
      </c>
      <c r="K4" s="57">
        <f>Pipeline!U5</f>
        <v>376.155</v>
      </c>
      <c r="L4" s="57">
        <f>Pipeline!V5</f>
        <v>491.895</v>
      </c>
      <c r="M4" s="57">
        <f>Pipeline!W5</f>
        <v>578.6999999999999</v>
      </c>
      <c r="N4" s="57">
        <f>Pipeline!X5</f>
        <v>578.6999999999999</v>
      </c>
      <c r="O4" s="57">
        <f>Pipeline!Y5</f>
        <v>578.6999999999999</v>
      </c>
      <c r="P4" s="57">
        <f>Pipeline!Z5</f>
        <v>578.6999999999999</v>
      </c>
      <c r="Q4" s="57">
        <f>Pipeline!AA5</f>
        <v>578.6999999999999</v>
      </c>
      <c r="R4" s="57">
        <f>Pipeline!AB5</f>
        <v>578.6999999999999</v>
      </c>
      <c r="S4" s="57">
        <f>Pipeline!AC5</f>
        <v>578.6999999999999</v>
      </c>
      <c r="T4" s="57">
        <f>Pipeline!AD5</f>
        <v>578.6999999999999</v>
      </c>
      <c r="U4" s="57">
        <f>Pipeline!AE5</f>
        <v>289.34999999999997</v>
      </c>
      <c r="V4" s="57">
        <f>Pipeline!AF5</f>
        <v>144.67499999999998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23.148</v>
      </c>
      <c r="I5" s="57">
        <f>Pipeline!S6</f>
        <v>57.87</v>
      </c>
      <c r="J5" s="57">
        <f>Pipeline!T6</f>
        <v>104.166</v>
      </c>
      <c r="K5" s="57">
        <f>Pipeline!U6</f>
        <v>150.462</v>
      </c>
      <c r="L5" s="57">
        <f>Pipeline!V6</f>
        <v>196.758</v>
      </c>
      <c r="M5" s="57">
        <f>Pipeline!W6</f>
        <v>231.48</v>
      </c>
      <c r="N5" s="57">
        <f>Pipeline!X6</f>
        <v>231.48</v>
      </c>
      <c r="O5" s="57">
        <f>Pipeline!Y6</f>
        <v>231.48</v>
      </c>
      <c r="P5" s="57">
        <f>Pipeline!Z6</f>
        <v>231.48</v>
      </c>
      <c r="Q5" s="57">
        <f>Pipeline!AA6</f>
        <v>231.48</v>
      </c>
      <c r="R5" s="57">
        <f>Pipeline!AB6</f>
        <v>231.48</v>
      </c>
      <c r="S5" s="57">
        <f>Pipeline!AC6</f>
        <v>231.48</v>
      </c>
      <c r="T5" s="57">
        <f>Pipeline!AD6</f>
        <v>231.48</v>
      </c>
      <c r="U5" s="57">
        <f>Pipeline!AE6</f>
        <v>115.74</v>
      </c>
      <c r="V5" s="57">
        <f>Pipeline!AF6</f>
        <v>57.87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-35.349</v>
      </c>
      <c r="D6" s="23">
        <f>-IF(D3-2026&lt;Assumptions!$B$19,Assumptions!$B$18,Assumptions!$B$18*Assumptions!$B$20*Assumptions!$B$16)</f>
        <v>-35.349</v>
      </c>
      <c r="E6" s="23">
        <f>-IF(E3-2026&lt;Assumptions!$B$19,Assumptions!$B$18,Assumptions!$B$18*Assumptions!$B$20*Assumptions!$B$16)</f>
        <v>-35.349</v>
      </c>
      <c r="F6" s="23">
        <f>-IF(F3-2026&lt;Assumptions!$B$19,Assumptions!$B$18,Assumptions!$B$18*Assumptions!$B$20*Assumptions!$B$16)</f>
        <v>-35.349</v>
      </c>
      <c r="G6" s="23">
        <f>-IF(G3-2026&lt;Assumptions!$B$19,Assumptions!$B$18,Assumptions!$B$18*Assumptions!$B$20*Assumptions!$B$16)</f>
        <v>-2.0456466299999994</v>
      </c>
      <c r="H6" s="23">
        <f>-IF(H3-2026&lt;Assumptions!$B$19,Assumptions!$B$18,Assumptions!$B$18*Assumptions!$B$20*Assumptions!$B$16)</f>
        <v>-2.0456466299999994</v>
      </c>
      <c r="I6" s="23">
        <f>-IF(I3-2026&lt;Assumptions!$B$19,Assumptions!$B$18,Assumptions!$B$18*Assumptions!$B$20*Assumptions!$B$16)</f>
        <v>-2.0456466299999994</v>
      </c>
      <c r="J6" s="23">
        <f>-IF(J3-2026&lt;Assumptions!$B$19,Assumptions!$B$18,Assumptions!$B$18*Assumptions!$B$20*Assumptions!$B$16)</f>
        <v>-2.0456466299999994</v>
      </c>
      <c r="K6" s="23">
        <f>-IF(K3-2026&lt;Assumptions!$B$19,Assumptions!$B$18,Assumptions!$B$18*Assumptions!$B$20*Assumptions!$B$16)</f>
        <v>-2.0456466299999994</v>
      </c>
      <c r="L6" s="23">
        <f>-IF(L3-2026&lt;Assumptions!$B$19,Assumptions!$B$18,Assumptions!$B$18*Assumptions!$B$20*Assumptions!$B$16)</f>
        <v>-2.0456466299999994</v>
      </c>
      <c r="M6" s="23">
        <f>-IF(M3-2026&lt;Assumptions!$B$19,Assumptions!$B$18,Assumptions!$B$18*Assumptions!$B$20*Assumptions!$B$16)</f>
        <v>-2.0456466299999994</v>
      </c>
      <c r="N6" s="23">
        <f>-IF(N3-2026&lt;Assumptions!$B$19,Assumptions!$B$18,Assumptions!$B$18*Assumptions!$B$20*Assumptions!$B$16)</f>
        <v>-2.0456466299999994</v>
      </c>
      <c r="O6" s="23">
        <f>-IF(O3-2026&lt;Assumptions!$B$19,Assumptions!$B$18,Assumptions!$B$18*Assumptions!$B$20*Assumptions!$B$16)</f>
        <v>-2.0456466299999994</v>
      </c>
      <c r="P6" s="23">
        <f>-IF(P3-2026&lt;Assumptions!$B$19,Assumptions!$B$18,Assumptions!$B$18*Assumptions!$B$20*Assumptions!$B$16)</f>
        <v>-2.0456466299999994</v>
      </c>
      <c r="Q6" s="23">
        <f>-IF(Q3-2026&lt;Assumptions!$B$19,Assumptions!$B$18,Assumptions!$B$18*Assumptions!$B$20*Assumptions!$B$16)</f>
        <v>-2.0456466299999994</v>
      </c>
      <c r="R6" s="23">
        <f>-IF(R3-2026&lt;Assumptions!$B$19,Assumptions!$B$18,Assumptions!$B$18*Assumptions!$B$20*Assumptions!$B$16)</f>
        <v>-2.0456466299999994</v>
      </c>
      <c r="S6" s="23">
        <f>-IF(S3-2026&lt;Assumptions!$B$19,Assumptions!$B$18,Assumptions!$B$18*Assumptions!$B$20*Assumptions!$B$16)</f>
        <v>-2.0456466299999994</v>
      </c>
      <c r="T6" s="23">
        <f>-IF(T3-2026&lt;Assumptions!$B$19,Assumptions!$B$18,Assumptions!$B$18*Assumptions!$B$20*Assumptions!$B$16)</f>
        <v>-2.0456466299999994</v>
      </c>
      <c r="U6" s="23">
        <f>-IF(U3-2026&lt;Assumptions!$B$19,Assumptions!$B$18,Assumptions!$B$18*Assumptions!$B$20*Assumptions!$B$16)</f>
        <v>-2.0456466299999994</v>
      </c>
      <c r="V6" s="23">
        <f>-IF(V3-2026&lt;Assumptions!$B$19,Assumptions!$B$18,Assumptions!$B$18*Assumptions!$B$20*Assumptions!$B$16)</f>
        <v>-2.0456466299999994</v>
      </c>
    </row>
    <row r="7">
      <c r="A7" s="14" t="inlineStr">
        <is>
          <t>Pre-tax cash flow</t>
        </is>
      </c>
      <c r="C7" s="23">
        <f>C5+C6</f>
        <v>-35.349</v>
      </c>
      <c r="D7" s="23">
        <f>D5+D6</f>
        <v>-35.349</v>
      </c>
      <c r="E7" s="23">
        <f>E5+E6</f>
        <v>-35.349</v>
      </c>
      <c r="F7" s="23">
        <f>F5+F6</f>
        <v>-35.349</v>
      </c>
      <c r="G7" s="23">
        <f>G5+G6</f>
        <v>-2.0456466299999994</v>
      </c>
      <c r="H7" s="23">
        <f>H5+H6</f>
        <v>21.10235337</v>
      </c>
      <c r="I7" s="23">
        <f>I5+I6</f>
        <v>55.82435337</v>
      </c>
      <c r="J7" s="23">
        <f>J5+J6</f>
        <v>102.12035337</v>
      </c>
      <c r="K7" s="23">
        <f>K5+K6</f>
        <v>148.41635337</v>
      </c>
      <c r="L7" s="23">
        <f>L5+L6</f>
        <v>194.71235337000002</v>
      </c>
      <c r="M7" s="23">
        <f>M5+M6</f>
        <v>229.43435337</v>
      </c>
      <c r="N7" s="23">
        <f>N5+N6</f>
        <v>229.43435337</v>
      </c>
      <c r="O7" s="23">
        <f>O5+O6</f>
        <v>229.43435337</v>
      </c>
      <c r="P7" s="23">
        <f>P5+P6</f>
        <v>229.43435337</v>
      </c>
      <c r="Q7" s="23">
        <f>Q5+Q6</f>
        <v>229.43435337</v>
      </c>
      <c r="R7" s="23">
        <f>R5+R6</f>
        <v>229.43435337</v>
      </c>
      <c r="S7" s="23">
        <f>S5+S6</f>
        <v>229.43435337</v>
      </c>
      <c r="T7" s="23">
        <f>T5+T6</f>
        <v>229.43435337</v>
      </c>
      <c r="U7" s="23">
        <f>U5+U6</f>
        <v>113.69435337</v>
      </c>
      <c r="V7" s="23">
        <f>V5+V6</f>
        <v>55.82435337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21.10235337</v>
      </c>
      <c r="I8" s="23">
        <f>MIN(H17,MAX(0,I7))</f>
        <v>55.82435337</v>
      </c>
      <c r="J8" s="23">
        <f>MIN(I17,MAX(0,J7))</f>
        <v>102.12035337</v>
      </c>
      <c r="K8" s="23">
        <f>MIN(J17,MAX(0,K7))</f>
        <v>148.41635337</v>
      </c>
      <c r="L8" s="23">
        <f>MIN(K17,MAX(0,L7))</f>
        <v>75.47823315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119.23412022000002</v>
      </c>
      <c r="M9" s="23">
        <f>MAX(0,M7)-M8</f>
        <v>229.43435337</v>
      </c>
      <c r="N9" s="23">
        <f>MAX(0,N7)-N8</f>
        <v>229.43435337</v>
      </c>
      <c r="O9" s="23">
        <f>MAX(0,O7)-O8</f>
        <v>229.43435337</v>
      </c>
      <c r="P9" s="23">
        <f>MAX(0,P7)-P8</f>
        <v>229.43435337</v>
      </c>
      <c r="Q9" s="23">
        <f>MAX(0,Q7)-Q8</f>
        <v>229.43435337</v>
      </c>
      <c r="R9" s="23">
        <f>MAX(0,R7)-R8</f>
        <v>229.43435337</v>
      </c>
      <c r="S9" s="23">
        <f>MAX(0,S7)-S8</f>
        <v>229.43435337</v>
      </c>
      <c r="T9" s="23">
        <f>MAX(0,T7)-T8</f>
        <v>229.43435337</v>
      </c>
      <c r="U9" s="23">
        <f>MAX(0,U7)-U8</f>
        <v>113.69435337</v>
      </c>
      <c r="V9" s="23">
        <f>MAX(0,V7)-V8</f>
        <v>55.82435337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25.039165246200003</v>
      </c>
      <c r="M10" s="23">
        <f>M9*Assumptions!$E$15</f>
        <v>48.181214207699995</v>
      </c>
      <c r="N10" s="23">
        <f>N9*Assumptions!$E$15</f>
        <v>48.181214207699995</v>
      </c>
      <c r="O10" s="23">
        <f>O9*Assumptions!$E$15</f>
        <v>48.181214207699995</v>
      </c>
      <c r="P10" s="23">
        <f>P9*Assumptions!$E$15</f>
        <v>48.181214207699995</v>
      </c>
      <c r="Q10" s="23">
        <f>Q9*Assumptions!$E$15</f>
        <v>48.181214207699995</v>
      </c>
      <c r="R10" s="23">
        <f>R9*Assumptions!$E$15</f>
        <v>48.181214207699995</v>
      </c>
      <c r="S10" s="23">
        <f>S9*Assumptions!$E$15</f>
        <v>48.181214207699995</v>
      </c>
      <c r="T10" s="23">
        <f>T9*Assumptions!$E$15</f>
        <v>48.181214207699995</v>
      </c>
      <c r="U10" s="23">
        <f>U9*Assumptions!$E$15</f>
        <v>23.8758142077</v>
      </c>
      <c r="V10" s="23">
        <f>V9*Assumptions!$E$15</f>
        <v>11.723114207699998</v>
      </c>
    </row>
    <row r="11">
      <c r="A11" s="24" t="inlineStr">
        <is>
          <t>Free cash flow</t>
        </is>
      </c>
      <c r="C11" s="55">
        <f>C7-C10</f>
        <v>-35.349</v>
      </c>
      <c r="D11" s="55">
        <f>D7-D10</f>
        <v>-35.349</v>
      </c>
      <c r="E11" s="55">
        <f>E7-E10</f>
        <v>-35.349</v>
      </c>
      <c r="F11" s="55">
        <f>F7-F10</f>
        <v>-35.349</v>
      </c>
      <c r="G11" s="55">
        <f>G7-G10</f>
        <v>-2.0456466299999994</v>
      </c>
      <c r="H11" s="55">
        <f>H7-H10</f>
        <v>21.10235337</v>
      </c>
      <c r="I11" s="55">
        <f>I7-I10</f>
        <v>55.82435337</v>
      </c>
      <c r="J11" s="55">
        <f>J7-J10</f>
        <v>102.12035337</v>
      </c>
      <c r="K11" s="55">
        <f>K7-K10</f>
        <v>148.41635337</v>
      </c>
      <c r="L11" s="55">
        <f>L7-L10</f>
        <v>169.6731881238</v>
      </c>
      <c r="M11" s="55">
        <f>M7-M10</f>
        <v>181.2531391623</v>
      </c>
      <c r="N11" s="55">
        <f>N7-N10</f>
        <v>181.2531391623</v>
      </c>
      <c r="O11" s="55">
        <f>O7-O10</f>
        <v>181.2531391623</v>
      </c>
      <c r="P11" s="55">
        <f>P7-P10</f>
        <v>181.2531391623</v>
      </c>
      <c r="Q11" s="55">
        <f>Q7-Q10</f>
        <v>181.2531391623</v>
      </c>
      <c r="R11" s="55">
        <f>R7-R10</f>
        <v>181.2531391623</v>
      </c>
      <c r="S11" s="55">
        <f>S7-S10</f>
        <v>181.2531391623</v>
      </c>
      <c r="T11" s="55">
        <f>T7-T10</f>
        <v>181.2531391623</v>
      </c>
      <c r="U11" s="55">
        <f>U7-U10</f>
        <v>89.8185391623</v>
      </c>
      <c r="V11" s="55">
        <f>V7-V10</f>
        <v>44.1012391623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-17.317628833319258</v>
      </c>
      <c r="D16" s="55">
        <f>D11*D15</f>
        <v>-31.54694552404492</v>
      </c>
      <c r="E16" s="55">
        <f>E11*E15</f>
        <v>-28.16691564646867</v>
      </c>
      <c r="F16" s="55">
        <f>F11*F15</f>
        <v>-25.14903182720417</v>
      </c>
      <c r="G16" s="55">
        <f>G11*G15</f>
        <v>-1.2994414927145579</v>
      </c>
      <c r="H16" s="55">
        <f>H11*H15</f>
        <v>11.968479603379777</v>
      </c>
      <c r="I16" s="55">
        <f>I11*I15</f>
        <v>28.269216460885847</v>
      </c>
      <c r="J16" s="55">
        <f>J11*J15</f>
        <v>46.17260274230069</v>
      </c>
      <c r="K16" s="55">
        <f>K11*K15</f>
        <v>59.91503003975421</v>
      </c>
      <c r="L16" s="55">
        <f>L11*L15</f>
        <v>61.15742935177279</v>
      </c>
      <c r="M16" s="55">
        <f>M11*M15</f>
        <v>58.331549945263546</v>
      </c>
      <c r="N16" s="55">
        <f>N11*N15</f>
        <v>52.08174102255673</v>
      </c>
      <c r="O16" s="55">
        <f>O11*O15</f>
        <v>46.50155448442565</v>
      </c>
      <c r="P16" s="55">
        <f>P11*P15</f>
        <v>41.519245075380034</v>
      </c>
      <c r="Q16" s="55">
        <f>Q11*Q15</f>
        <v>37.070754531589316</v>
      </c>
      <c r="R16" s="55">
        <f>R11*R15</f>
        <v>33.09888797463332</v>
      </c>
      <c r="S16" s="55">
        <f>S11*S15</f>
        <v>29.552578548779746</v>
      </c>
      <c r="T16" s="55">
        <f>T11*T15</f>
        <v>26.38623084712477</v>
      </c>
      <c r="U16" s="55">
        <f>U11*U15</f>
        <v>11.674540209942306</v>
      </c>
      <c r="V16" s="55">
        <f>V11*V15</f>
        <v>5.118074082542001</v>
      </c>
    </row>
    <row r="17">
      <c r="A17" s="14" t="inlineStr">
        <is>
          <t>Tax-loss carryforward, end of year</t>
        </is>
      </c>
      <c r="C17" s="23">
        <f>Assumptions!$B$21-C8+MAX(0,-C7)</f>
        <v>294.849</v>
      </c>
      <c r="D17" s="23">
        <f>C17-D8+MAX(0,-D7)</f>
        <v>330.198</v>
      </c>
      <c r="E17" s="23">
        <f>D17-E8+MAX(0,-E7)</f>
        <v>365.54699999999997</v>
      </c>
      <c r="F17" s="23">
        <f>E17-F8+MAX(0,-F7)</f>
        <v>400.89599999999996</v>
      </c>
      <c r="G17" s="23">
        <f>F17-G8+MAX(0,-G7)</f>
        <v>402.94164663</v>
      </c>
      <c r="H17" s="23">
        <f>G17-H8+MAX(0,-H7)</f>
        <v>381.83929326</v>
      </c>
      <c r="I17" s="23">
        <f>H17-I8+MAX(0,-I7)</f>
        <v>326.01493989</v>
      </c>
      <c r="J17" s="23">
        <f>I17-J8+MAX(0,-J7)</f>
        <v>223.89458652</v>
      </c>
      <c r="K17" s="23">
        <f>J17-K8+MAX(0,-K7)</f>
        <v>75.47823315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657.4280762551631</v>
      </c>
    </row>
    <row r="20">
      <c r="A20" s="14" t="inlineStr">
        <is>
          <t>PV of corporate burn</t>
        </is>
      </c>
      <c r="B20" s="23">
        <f>SUMPRODUCT(C6:V6,C15:V15)</f>
        <v>-112.33028324261855</v>
      </c>
    </row>
    <row r="21">
      <c r="A21" s="14" t="inlineStr">
        <is>
          <t>PV of taxes</t>
        </is>
      </c>
      <c r="B21" s="23">
        <f>-SUMPRODUCT(C10:V10,C15:V15)</f>
        <v>-99.75984141596545</v>
      </c>
    </row>
    <row r="22">
      <c r="A22" s="24" t="inlineStr">
        <is>
          <t>Pipeline rNPV (operations)</t>
        </is>
      </c>
      <c r="B22" s="54">
        <f>SUM(C16:V16)</f>
        <v>445.33795159657916</v>
      </c>
    </row>
    <row r="23">
      <c r="A23" s="14" t="inlineStr">
        <is>
          <t>Cash &amp; investments</t>
        </is>
      </c>
      <c r="B23" s="57">
        <f>Main!C7</f>
        <v>125.172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570.5099515965792</v>
      </c>
    </row>
    <row r="26">
      <c r="A26" s="14" t="inlineStr">
        <is>
          <t>Shares (mm)</t>
        </is>
      </c>
      <c r="B26" s="57">
        <f>Main!C4</f>
        <v>174.270558</v>
      </c>
    </row>
    <row r="27">
      <c r="A27" s="24" t="inlineStr">
        <is>
          <t>rNPV / share</t>
        </is>
      </c>
      <c r="B27" s="60">
        <f>B25/B26</f>
        <v>3.273702443740263</v>
      </c>
    </row>
    <row r="28">
      <c r="A28" s="14" t="inlineStr">
        <is>
          <t>Price</t>
        </is>
      </c>
      <c r="B28" s="61">
        <f>Main!C3</f>
        <v>1.43</v>
      </c>
    </row>
    <row r="29">
      <c r="A29" s="14" t="inlineStr">
        <is>
          <t>Upside</t>
        </is>
      </c>
      <c r="B29" s="62">
        <f>B27/B28-1</f>
        <v>1.289302408209974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2026-10-21T06:26:11Z</dcterms:modified>
  <cp:lastModifiedBy>Wang, Eric</cp:lastModifiedBy>
</cp:coreProperties>
</file>