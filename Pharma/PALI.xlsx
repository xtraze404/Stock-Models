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Palisade Bio Inc</t>
        </is>
      </c>
      <c r="C2" s="10" t="n"/>
    </row>
    <row r="3">
      <c r="B3" t="inlineStr">
        <is>
          <t>Price</t>
        </is>
      </c>
      <c r="C3" s="11">
        <f>INDEX([1]Pharma!$F$1:$F$1000,MATCH("PALI",[1]Pharma!$B$1:$B$1000,0))</f>
        <v>1.43</v>
      </c>
      <c r="F3" s="1" t="n"/>
    </row>
    <row r="4">
      <c r="B4" t="inlineStr">
        <is>
          <t>Shares</t>
        </is>
      </c>
      <c r="C4" s="21" t="n">
        <v>174.270558</v>
      </c>
      <c r="F4" s="1" t="n"/>
    </row>
    <row r="5">
      <c r="B5" t="inlineStr">
        <is>
          <t>Market Cap.</t>
        </is>
      </c>
      <c r="C5" s="13">
        <f>C3*C4</f>
        <v>249.20689793999998</v>
      </c>
      <c r="F5" s="1" t="n"/>
    </row>
    <row r="6"/>
    <row r="7">
      <c r="B7" t="inlineStr">
        <is>
          <t>Cash</t>
        </is>
      </c>
      <c r="C7" s="21" t="n">
        <v>125.172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124.03489793999998</v>
      </c>
    </row>
    <row r="10"/>
    <row r="11">
      <c r="B11" s="14" t="inlineStr">
        <is>
          <t>Net Cash / Share</t>
        </is>
      </c>
      <c r="C11" s="11">
        <f>(C7-C8)/C4</f>
        <v>0.7182624617521451</v>
      </c>
    </row>
    <row r="12">
      <c r="B12" s="14" t="inlineStr">
        <is>
          <t>Upside</t>
        </is>
      </c>
      <c r="C12" s="15">
        <f>IFERROR(C11/C3-1,"")</f>
        <v>-0.4977185582152831</v>
      </c>
    </row>
    <row r="13">
      <c r="B13" s="14" t="inlineStr">
        <is>
          <t>Cash / Share</t>
        </is>
      </c>
      <c r="C13" s="11">
        <f>IFERROR((C7-C8)/C4,"")</f>
        <v>0.7182624617521451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-18.19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6.881363386476085</v>
      </c>
    </row>
    <row r="19">
      <c r="B19" s="14" t="inlineStr">
        <is>
          <t>Implied Pipeline Value</t>
        </is>
      </c>
      <c r="C19" s="13">
        <f>C9</f>
        <v>124.03489793999998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0.733</v>
      </c>
      <c r="D2" s="23" t="n">
        <v>0.391</v>
      </c>
      <c r="E2" s="23" t="n">
        <v>0.408</v>
      </c>
      <c r="F2" s="23" t="n">
        <v>0.11</v>
      </c>
      <c r="G2" s="23" t="n">
        <v>0.019</v>
      </c>
      <c r="H2" s="23" t="n">
        <v>0.01</v>
      </c>
      <c r="I2" s="23" t="n">
        <v>0.016</v>
      </c>
      <c r="J2" s="23" t="n">
        <v>0.26</v>
      </c>
      <c r="K2" s="23" t="n">
        <v>0.26</v>
      </c>
      <c r="L2" s="23" t="n">
        <v>0.015</v>
      </c>
      <c r="M2" s="23" t="n">
        <v>0.014</v>
      </c>
      <c r="N2" s="23" t="n">
        <v>0</v>
      </c>
      <c r="O2" s="23" t="n">
        <v>0</v>
      </c>
      <c r="P2" s="23" t="n">
        <v>0.3</v>
      </c>
      <c r="Q2" s="23" t="n">
        <v>0</v>
      </c>
      <c r="R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0.733</v>
      </c>
      <c r="D4" s="23">
        <f>D2-D3</f>
        <v>0.391</v>
      </c>
      <c r="E4" s="23">
        <f>E2-E3</f>
        <v>0.408</v>
      </c>
      <c r="F4" s="23">
        <f>F2-F3</f>
        <v>0.11</v>
      </c>
      <c r="G4" s="23">
        <f>G2-G3</f>
        <v>0.019</v>
      </c>
      <c r="H4" s="23">
        <f>H2-H3</f>
        <v>0.01</v>
      </c>
      <c r="I4" s="23">
        <f>I2-I3</f>
        <v>0.016</v>
      </c>
      <c r="J4" s="23">
        <f>J2-J3</f>
        <v>0.26</v>
      </c>
      <c r="K4" s="23">
        <f>K2-K3</f>
        <v>0.26</v>
      </c>
      <c r="L4" s="23">
        <f>L2-L3</f>
        <v>0.015</v>
      </c>
      <c r="M4" s="23">
        <f>M2-M3</f>
        <v>0.014</v>
      </c>
      <c r="N4" s="23">
        <f>N2-N3</f>
        <v>0.0</v>
      </c>
      <c r="O4" s="23">
        <f>O2-O3</f>
        <v>0.0</v>
      </c>
      <c r="P4" s="23">
        <f>P2-P3</f>
        <v>0.3</v>
      </c>
      <c r="Q4" s="23">
        <f>Q2-Q3</f>
        <v>0.0</v>
      </c>
      <c r="R4" s="23">
        <f>R2-R3</f>
        <v>0.0</v>
      </c>
    </row>
    <row r="5">
      <c r="A5" s="2" t="inlineStr">
        <is>
          <t>Research &amp; Dev.</t>
        </is>
      </c>
      <c r="B5" s="23" t="n">
        <v>5.347</v>
      </c>
      <c r="C5" s="23" t="n">
        <v>9.164</v>
      </c>
      <c r="D5" s="23" t="n">
        <v>7.355</v>
      </c>
      <c r="E5" s="23" t="n">
        <v>6.106</v>
      </c>
      <c r="F5" s="23" t="n">
        <v>7.286</v>
      </c>
      <c r="G5" s="23" t="n">
        <v>8.362</v>
      </c>
      <c r="H5" s="23" t="n">
        <v>12.637</v>
      </c>
      <c r="I5" s="23" t="n">
        <v>13.156</v>
      </c>
      <c r="J5" s="23" t="n">
        <v>8.096</v>
      </c>
      <c r="K5" s="23" t="n">
        <v>3.96</v>
      </c>
      <c r="L5" s="23" t="n">
        <v>4.061</v>
      </c>
      <c r="M5" s="23" t="n">
        <v>3.099</v>
      </c>
      <c r="N5" s="23" t="n">
        <v>2.43</v>
      </c>
      <c r="O5" s="23" t="n">
        <v>6.547</v>
      </c>
      <c r="P5" s="23" t="n">
        <v>6.893</v>
      </c>
      <c r="Q5" s="23" t="n">
        <v>16</v>
      </c>
      <c r="R5" s="23" t="n">
        <v>10.192</v>
      </c>
    </row>
    <row r="6">
      <c r="A6" s="19" t="inlineStr">
        <is>
          <t>SG&amp;A &amp; Other</t>
        </is>
      </c>
      <c r="B6" s="23" t="n">
        <v>5.12</v>
      </c>
      <c r="C6" s="23" t="n">
        <v>6.755</v>
      </c>
      <c r="D6" s="23" t="n">
        <v>6.026</v>
      </c>
      <c r="E6" s="23" t="n">
        <v>4.458</v>
      </c>
      <c r="F6" s="23" t="n">
        <v>5.348</v>
      </c>
      <c r="G6" s="23" t="n">
        <v>9.093</v>
      </c>
      <c r="H6" s="23" t="n">
        <v>6.53</v>
      </c>
      <c r="I6" s="23" t="n">
        <v>7.497</v>
      </c>
      <c r="J6" s="23" t="n">
        <v>5.471</v>
      </c>
      <c r="K6" s="23" t="n">
        <v>4.559</v>
      </c>
      <c r="L6" s="23" t="n">
        <v>4.586</v>
      </c>
      <c r="M6" s="23" t="n">
        <v>6.212</v>
      </c>
      <c r="N6" s="23" t="n">
        <v>39.424</v>
      </c>
      <c r="O6" s="23" t="n">
        <v>9.173999999999999</v>
      </c>
      <c r="P6" s="23" t="n">
        <v>6.477</v>
      </c>
      <c r="Q6" s="23" t="n">
        <v>-1.141</v>
      </c>
      <c r="R6" s="23" t="n">
        <v>7.864</v>
      </c>
    </row>
    <row r="7">
      <c r="A7" s="2" t="inlineStr">
        <is>
          <t>Operating Expense</t>
        </is>
      </c>
      <c r="B7" s="23">
        <f>SUM(B5:B6)</f>
        <v>10.467</v>
      </c>
      <c r="C7" s="23">
        <f>SUM(C5:C6)</f>
        <v>15.919</v>
      </c>
      <c r="D7" s="23">
        <f>SUM(D5:D6)</f>
        <v>13.381</v>
      </c>
      <c r="E7" s="23">
        <f>SUM(E5:E6)</f>
        <v>10.564</v>
      </c>
      <c r="F7" s="23">
        <f>SUM(F5:F6)</f>
        <v>12.634</v>
      </c>
      <c r="G7" s="23">
        <f>SUM(G5:G6)</f>
        <v>17.455</v>
      </c>
      <c r="H7" s="23">
        <f>SUM(H5:H6)</f>
        <v>19.167</v>
      </c>
      <c r="I7" s="23">
        <f>SUM(I5:I6)</f>
        <v>20.653</v>
      </c>
      <c r="J7" s="23">
        <f>SUM(J5:J6)</f>
        <v>13.567</v>
      </c>
      <c r="K7" s="23">
        <f>SUM(K5:K6)</f>
        <v>8.519</v>
      </c>
      <c r="L7" s="23">
        <f>SUM(L5:L6)</f>
        <v>8.647</v>
      </c>
      <c r="M7" s="23">
        <f>SUM(M5:M6)</f>
        <v>9.311</v>
      </c>
      <c r="N7" s="23">
        <f>SUM(N5:N6)</f>
        <v>41.854</v>
      </c>
      <c r="O7" s="23">
        <f>SUM(O5:O6)</f>
        <v>15.721</v>
      </c>
      <c r="P7" s="23">
        <f>SUM(P5:P6)</f>
        <v>13.370000000000001</v>
      </c>
      <c r="Q7" s="23">
        <f>SUM(Q5:Q6)</f>
        <v>14.859</v>
      </c>
      <c r="R7" s="23">
        <f>SUM(R5:R6)</f>
        <v>18.056</v>
      </c>
    </row>
    <row r="8">
      <c r="A8" s="2" t="inlineStr">
        <is>
          <t>Operating Income</t>
        </is>
      </c>
      <c r="B8" s="23">
        <f>B4-B7</f>
        <v>-10.467</v>
      </c>
      <c r="C8" s="23">
        <f>C4-C7</f>
        <v>-15.186</v>
      </c>
      <c r="D8" s="23">
        <f>D4-D7</f>
        <v>-12.99</v>
      </c>
      <c r="E8" s="23">
        <f>E4-E7</f>
        <v>-10.156</v>
      </c>
      <c r="F8" s="23">
        <f>F4-F7</f>
        <v>-12.524000000000001</v>
      </c>
      <c r="G8" s="23">
        <f>G4-G7</f>
        <v>-17.436</v>
      </c>
      <c r="H8" s="23">
        <f>H4-H7</f>
        <v>-19.157</v>
      </c>
      <c r="I8" s="23">
        <f>I4-I7</f>
        <v>-20.637</v>
      </c>
      <c r="J8" s="23">
        <f>J4-J7</f>
        <v>-13.307</v>
      </c>
      <c r="K8" s="23">
        <f>K4-K7</f>
        <v>-8.259</v>
      </c>
      <c r="L8" s="23">
        <f>L4-L7</f>
        <v>-8.632</v>
      </c>
      <c r="M8" s="23">
        <f>M4-M7</f>
        <v>-9.297</v>
      </c>
      <c r="N8" s="23">
        <f>N4-N7</f>
        <v>-41.854</v>
      </c>
      <c r="O8" s="23">
        <f>O4-O7</f>
        <v>-15.721</v>
      </c>
      <c r="P8" s="23">
        <f>P4-P7</f>
        <v>-13.07</v>
      </c>
      <c r="Q8" s="23">
        <f>Q4-Q7</f>
        <v>-14.859</v>
      </c>
      <c r="R8" s="23">
        <f>R4-R7</f>
        <v>-18.056</v>
      </c>
    </row>
    <row r="9">
      <c r="A9" s="19" t="inlineStr">
        <is>
          <t>Interest &amp; Other</t>
        </is>
      </c>
      <c r="B9" s="23" t="n">
        <v>0.102</v>
      </c>
      <c r="C9" s="23" t="n">
        <v>-3.202</v>
      </c>
      <c r="D9" s="23" t="n">
        <v>0.472</v>
      </c>
      <c r="E9" s="23" t="n">
        <v>0.035</v>
      </c>
      <c r="F9" s="23" t="n">
        <v>-7.308</v>
      </c>
      <c r="G9" s="23" t="n">
        <v>-5.193</v>
      </c>
      <c r="H9" s="23" t="n">
        <v>-1.747</v>
      </c>
      <c r="I9" s="23" t="n">
        <v>-0.438</v>
      </c>
      <c r="J9" s="23" t="n">
        <v>-2.359</v>
      </c>
      <c r="K9" s="23" t="n">
        <v>3.335</v>
      </c>
      <c r="L9" s="23" t="n">
        <v>0.28</v>
      </c>
      <c r="M9" s="23" t="n">
        <v>-1.024</v>
      </c>
      <c r="N9" s="23" t="n">
        <v>15.238</v>
      </c>
      <c r="O9" s="23" t="n">
        <v>1.461</v>
      </c>
      <c r="P9" s="23" t="n">
        <v>0.77</v>
      </c>
      <c r="Q9" s="23" t="n">
        <v>0.421</v>
      </c>
      <c r="R9" s="23" t="n">
        <v>1.275</v>
      </c>
    </row>
    <row r="10">
      <c r="A10" s="2" t="inlineStr">
        <is>
          <t>Pretax</t>
        </is>
      </c>
      <c r="B10" s="23">
        <f>B8+B9</f>
        <v>-10.365</v>
      </c>
      <c r="C10" s="23">
        <f>C8+C9</f>
        <v>-18.387999999999998</v>
      </c>
      <c r="D10" s="23">
        <f>D8+D9</f>
        <v>-12.518</v>
      </c>
      <c r="E10" s="23">
        <f>E8+E9</f>
        <v>-10.121</v>
      </c>
      <c r="F10" s="23">
        <f>F8+F9</f>
        <v>-19.832</v>
      </c>
      <c r="G10" s="23">
        <f>G8+G9</f>
        <v>-22.628999999999998</v>
      </c>
      <c r="H10" s="23">
        <f>H8+H9</f>
        <v>-20.904</v>
      </c>
      <c r="I10" s="23">
        <f>I8+I9</f>
        <v>-21.075</v>
      </c>
      <c r="J10" s="23">
        <f>J8+J9</f>
        <v>-15.666</v>
      </c>
      <c r="K10" s="23">
        <f>K8+K9</f>
        <v>-4.924</v>
      </c>
      <c r="L10" s="23">
        <f>L8+L9</f>
        <v>-8.352</v>
      </c>
      <c r="M10" s="23">
        <f>M8+M9</f>
        <v>-10.321000000000002</v>
      </c>
      <c r="N10" s="23">
        <f>N8+N9</f>
        <v>-26.616</v>
      </c>
      <c r="O10" s="23">
        <f>O8+O9</f>
        <v>-14.26</v>
      </c>
      <c r="P10" s="23">
        <f>P8+P9</f>
        <v>-12.3</v>
      </c>
      <c r="Q10" s="23">
        <f>Q8+Q9</f>
        <v>-14.438</v>
      </c>
      <c r="R10" s="23">
        <f>R8+R9</f>
        <v>-16.781000000000002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0.001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-10.364</v>
      </c>
      <c r="C12" s="23" t="n">
        <v>-18.387</v>
      </c>
      <c r="D12" s="23" t="n">
        <v>-12.519</v>
      </c>
      <c r="E12" s="23" t="n">
        <v>-10.122</v>
      </c>
      <c r="F12" s="23" t="n">
        <v>-19.832</v>
      </c>
      <c r="G12" s="23" t="n">
        <v>-22.629</v>
      </c>
      <c r="H12" s="23" t="n">
        <v>-20.904</v>
      </c>
      <c r="I12" s="23" t="n">
        <v>-21.075</v>
      </c>
      <c r="J12" s="23" t="n">
        <v>-15.666</v>
      </c>
      <c r="K12" s="23" t="n">
        <v>-4.925</v>
      </c>
      <c r="L12" s="23" t="n">
        <v>-8.352</v>
      </c>
      <c r="M12" s="23" t="n">
        <v>-10.322</v>
      </c>
      <c r="N12" s="23" t="n">
        <v>-26.616</v>
      </c>
      <c r="O12" s="23" t="n">
        <v>-14.26</v>
      </c>
      <c r="P12" s="23" t="n">
        <v>-12.3</v>
      </c>
      <c r="Q12" s="23" t="n">
        <v>-14.438</v>
      </c>
      <c r="R12" s="23" t="n">
        <v>-16.781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-0.4202275855124031</v>
      </c>
      <c r="E13" s="11">
        <f>IFERROR(E12/E14,0)</f>
        <v>-0.2824297552945116</v>
      </c>
      <c r="F13" s="11">
        <f>IFERROR(F12/F14,0)</f>
        <v>-0.44522270114942536</v>
      </c>
      <c r="G13" s="11">
        <f>IFERROR(G12/G14,0)</f>
        <v>-0.42164005291695394</v>
      </c>
      <c r="H13" s="11">
        <f>IFERROR(H12/H14,0)</f>
        <v>-4.852367688022285</v>
      </c>
      <c r="I13" s="11">
        <f>IFERROR(I12/I14,0)</f>
        <v>-4.097802838810033</v>
      </c>
      <c r="J13" s="11">
        <f>IFERROR(J12/J14,0)</f>
        <v>-1.9458452366165693</v>
      </c>
      <c r="K13" s="11">
        <f>IFERROR(K12/K14,0)</f>
        <v>-0.6117252515215501</v>
      </c>
      <c r="L13" s="11">
        <f>IFERROR(L12/L14,0)</f>
        <v>-0.30837394771821003</v>
      </c>
      <c r="M13" s="11">
        <f>IFERROR(M12/M14,0)</f>
        <v>-0.3018569966369352</v>
      </c>
      <c r="N13" s="11">
        <f>IFERROR(N12/N14,0)</f>
        <v>-0.7738784054894892</v>
      </c>
      <c r="O13" s="11">
        <f>IFERROR(O12/O14,0)</f>
        <v>-0.4153559361528603</v>
      </c>
      <c r="P13" s="11">
        <f>IFERROR(P12/P14,0)</f>
        <v>-0.691594039921282</v>
      </c>
      <c r="Q13" s="11">
        <f>IFERROR(Q12/Q14,0)</f>
        <v>-0.26135911082147645</v>
      </c>
      <c r="R13" s="11">
        <f>IFERROR(R12/R14,0)</f>
        <v>-0.3014370396982216</v>
      </c>
    </row>
    <row r="14">
      <c r="A14" s="2" t="inlineStr">
        <is>
          <t>Shares</t>
        </is>
      </c>
      <c r="B14" s="23" t="n"/>
      <c r="C14" s="23" t="n"/>
      <c r="D14" s="23" t="n">
        <v>29.791</v>
      </c>
      <c r="E14" s="23" t="n">
        <v>35.839</v>
      </c>
      <c r="F14" s="23" t="n">
        <v>44.544</v>
      </c>
      <c r="G14" s="23" t="n">
        <v>53.669</v>
      </c>
      <c r="H14" s="23" t="n">
        <v>4.308</v>
      </c>
      <c r="I14" s="23" t="n">
        <v>5.143</v>
      </c>
      <c r="J14" s="23" t="n">
        <v>8.051</v>
      </c>
      <c r="K14" s="23" t="n">
        <v>8.051</v>
      </c>
      <c r="L14" s="23" t="n">
        <v>27.084</v>
      </c>
      <c r="M14" s="23" t="n">
        <v>34.195</v>
      </c>
      <c r="N14" s="23" t="n">
        <v>34.393</v>
      </c>
      <c r="O14" s="23" t="n">
        <v>34.332</v>
      </c>
      <c r="P14" s="23" t="n">
        <v>17.785</v>
      </c>
      <c r="Q14" s="23" t="n">
        <v>55.242</v>
      </c>
      <c r="R14" s="23" t="n">
        <v>55.67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-0.4665757162346521</v>
      </c>
      <c r="E16" s="15">
        <f>IFERROR(E2/D2-1,"")</f>
        <v>0.04347826086956519</v>
      </c>
      <c r="F16" s="15">
        <f>IFERROR(F2/E2-1,"")</f>
        <v>-0.7303921568627451</v>
      </c>
      <c r="G16" s="15">
        <f>IFERROR(G2/F2-1,"")</f>
        <v>-0.8272727272727273</v>
      </c>
      <c r="H16" s="15">
        <f>IFERROR(H2/G2-1,"")</f>
        <v>-0.4736842105263158</v>
      </c>
      <c r="I16" s="15">
        <f>IFERROR(I2/H2-1,"")</f>
        <v>0.6000000000000001</v>
      </c>
      <c r="J16" s="15">
        <f>IFERROR(J2/I2-1,"")</f>
        <v>15.25</v>
      </c>
      <c r="K16" s="15">
        <f>IFERROR(K2/J2-1,"")</f>
        <v>0.0</v>
      </c>
      <c r="L16" s="15">
        <f>IFERROR(L2/K2-1,"")</f>
        <v>-0.9423076923076923</v>
      </c>
      <c r="M16" s="15">
        <f>IFERROR(M2/L2-1,"")</f>
        <v>-0.06666666666666665</v>
      </c>
      <c r="N16" s="15">
        <f>IFERROR(N2/M2-1,"")</f>
        <v>-1.0</v>
      </c>
      <c r="O16" s="15">
        <f>IFERROR(O2/N2-1,"")</f>
        <v/>
      </c>
      <c r="P16" s="15">
        <f>IFERROR(P2/O2-1,"")</f>
        <v/>
      </c>
      <c r="Q16" s="15">
        <f>IFERROR(Q2/P2-1,"")</f>
        <v>-1.0</v>
      </c>
      <c r="R16" s="15">
        <f>IFERROR(R2/Q2-1,"")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/>
      </c>
      <c r="O17" s="15">
        <f>IFERROR(O4/O2,"")</f>
        <v/>
      </c>
      <c r="P17" s="15">
        <f>IFERROR(P4/P2,"")</f>
        <v>1.0</v>
      </c>
      <c r="Q17" s="15">
        <f>IFERROR(Q4/Q2,"")</f>
        <v/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-20.717598908594816</v>
      </c>
      <c r="D18" s="15">
        <f>IFERROR(D8/D2,"")</f>
        <v>-33.22250639386189</v>
      </c>
      <c r="E18" s="15">
        <f>IFERROR(E8/E2,"")</f>
        <v>-24.8921568627451</v>
      </c>
      <c r="F18" s="15">
        <f>IFERROR(F8/F2,"")</f>
        <v>-113.85454545454546</v>
      </c>
      <c r="G18" s="15">
        <f>IFERROR(G8/G2,"")</f>
        <v>-917.6842105263158</v>
      </c>
      <c r="H18" s="15">
        <f>IFERROR(H8/H2,"")</f>
        <v>-1915.7</v>
      </c>
      <c r="I18" s="15">
        <f>IFERROR(I8/I2,"")</f>
        <v>-1289.8125</v>
      </c>
      <c r="J18" s="15">
        <f>IFERROR(J8/J2,"")</f>
        <v>-51.18076923076923</v>
      </c>
      <c r="K18" s="15">
        <f>IFERROR(K8/K2,"")</f>
        <v>-31.765384615384615</v>
      </c>
      <c r="L18" s="15">
        <f>IFERROR(L8/L2,"")</f>
        <v>-575.4666666666667</v>
      </c>
      <c r="M18" s="15">
        <f>IFERROR(M8/M2,"")</f>
        <v>-664.0714285714286</v>
      </c>
      <c r="N18" s="15">
        <f>IFERROR(N8/N2,"")</f>
        <v/>
      </c>
      <c r="O18" s="15">
        <f>IFERROR(O8/O2,"")</f>
        <v/>
      </c>
      <c r="P18" s="15">
        <f>IFERROR(P8/P2,"")</f>
        <v>-43.56666666666667</v>
      </c>
      <c r="Q18" s="15">
        <f>IFERROR(Q8/Q2,"")</f>
        <v/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2026-10-21T01:05:26Z</dcterms:modified>
  <cp:lastModifiedBy>Wang, Eric</cp:lastModifiedBy>
</cp:coreProperties>
</file>