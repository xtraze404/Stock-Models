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NewAmsterdam Pharma Company N.V.</t>
        </is>
      </c>
      <c r="C2" s="10" t="n"/>
    </row>
    <row r="3">
      <c r="B3" t="inlineStr">
        <is>
          <t>Price</t>
        </is>
      </c>
      <c r="C3" s="11">
        <f>INDEX([1]Pharma!$F$1:$F$1000,MATCH("NAMS",[1]Pharma!$B$1:$B$1000,0))</f>
        <v>21.5</v>
      </c>
      <c r="F3" s="1" t="n"/>
    </row>
    <row r="4">
      <c r="B4" t="inlineStr">
        <is>
          <t>Shares</t>
        </is>
      </c>
      <c r="C4" s="21" t="n">
        <v>119.537169</v>
      </c>
      <c r="F4" s="1" t="n"/>
    </row>
    <row r="5">
      <c r="B5" t="inlineStr">
        <is>
          <t>Market Cap.</t>
        </is>
      </c>
      <c r="C5" s="13">
        <f>C3*C4</f>
        <v>2570.0491335</v>
      </c>
      <c r="F5" s="1" t="n"/>
    </row>
    <row r="6"/>
    <row r="7">
      <c r="B7" t="inlineStr">
        <is>
          <t>Cash</t>
        </is>
      </c>
      <c r="C7" s="21">
        <f>424.151+209.703</f>
        <v>633.854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1936.1951335</v>
      </c>
    </row>
    <row r="10"/>
    <row r="11">
      <c r="B11" s="14" t="inlineStr">
        <is>
          <t>Net Cash / Share</t>
        </is>
      </c>
      <c r="C11" s="11">
        <f>(C7-C8)/C4</f>
        <v>5.302568274809988</v>
      </c>
    </row>
    <row r="12">
      <c r="B12" s="14" t="inlineStr">
        <is>
          <t>Upside</t>
        </is>
      </c>
      <c r="C12" s="15">
        <f>IFERROR(C11/C3-1,"")</f>
        <v>-0.7533689174506982</v>
      </c>
    </row>
    <row r="13">
      <c r="B13" s="14" t="inlineStr">
        <is>
          <t>Cash / Share</t>
        </is>
      </c>
      <c r="C13" s="11">
        <f>IFERROR((C7-C8)/C4,"")</f>
        <v>5.302568274809988</v>
      </c>
    </row>
    <row r="14">
      <c r="B14" s="14" t="inlineStr">
        <is>
          <t>Scenario</t>
        </is>
      </c>
      <c r="C14" s="14" t="inlineStr">
        <is>
          <t>small 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-143.462</v>
      </c>
    </row>
    <row r="18">
      <c r="B18" s="14" t="inlineStr">
        <is>
          <t>Runway (years)</t>
        </is>
      </c>
      <c r="C18" s="22">
        <f>IF(AND(ISNUMBER(C17),C17&lt;0),IF(C7&gt;C8,(C7-C8)/-C17,"net debt"),"n/a")</f>
        <v>4.418271040414884</v>
      </c>
    </row>
    <row r="19">
      <c r="B19" s="14" t="inlineStr">
        <is>
          <t>Implied Pipeline Value</t>
        </is>
      </c>
      <c r="C19" s="13">
        <f>C9</f>
        <v>1936.1951335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2020</v>
      </c>
      <c r="C1" s="17" t="n">
        <v>2021</v>
      </c>
      <c r="D1" s="17" t="n">
        <v>2022</v>
      </c>
      <c r="E1" s="17" t="n">
        <v>2023</v>
      </c>
      <c r="F1" s="17" t="n">
        <v>2024</v>
      </c>
      <c r="G1" s="17" t="n">
        <v>2025</v>
      </c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109.717</v>
      </c>
      <c r="E2" s="23" t="n">
        <v>14.09</v>
      </c>
      <c r="F2" s="23" t="n">
        <v>45.563</v>
      </c>
      <c r="G2" s="23" t="n">
        <v>22.503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109.717</v>
      </c>
      <c r="E4" s="23">
        <f>E2-E3</f>
        <v>14.09</v>
      </c>
      <c r="F4" s="23">
        <f>F2-F3</f>
        <v>45.563</v>
      </c>
      <c r="G4" s="23">
        <f>G2-G3</f>
        <v>22.503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4.552</v>
      </c>
      <c r="C5" s="23" t="n">
        <v>28.974</v>
      </c>
      <c r="D5" s="23" t="n">
        <v>92.53400000000001</v>
      </c>
      <c r="E5" s="23" t="n">
        <v>159.424</v>
      </c>
      <c r="F5" s="23" t="n">
        <v>151.406</v>
      </c>
      <c r="G5" s="23" t="n">
        <v>141.832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1.557</v>
      </c>
      <c r="C6" s="23" t="n">
        <v>6.003</v>
      </c>
      <c r="D6" s="23" t="n">
        <v>20.74</v>
      </c>
      <c r="E6" s="23" t="n">
        <v>37.633</v>
      </c>
      <c r="F6" s="23" t="n">
        <v>70.446</v>
      </c>
      <c r="G6" s="23" t="n">
        <v>106.354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6.109</v>
      </c>
      <c r="C7" s="23">
        <f>SUM(C5:C6)</f>
        <v>34.977000000000004</v>
      </c>
      <c r="D7" s="23">
        <f>SUM(D5:D6)</f>
        <v>113.274</v>
      </c>
      <c r="E7" s="23">
        <f>SUM(E5:E6)</f>
        <v>197.05700000000002</v>
      </c>
      <c r="F7" s="23">
        <f>SUM(F5:F6)</f>
        <v>221.852</v>
      </c>
      <c r="G7" s="23">
        <f>SUM(G5:G6)</f>
        <v>248.18599999999998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-6.109</v>
      </c>
      <c r="C8" s="23">
        <f>C4-C7</f>
        <v>-34.977000000000004</v>
      </c>
      <c r="D8" s="23">
        <f>D4-D7</f>
        <v>-3.557000000000002</v>
      </c>
      <c r="E8" s="23">
        <f>E4-E7</f>
        <v>-182.967</v>
      </c>
      <c r="F8" s="23">
        <f>F4-F7</f>
        <v>-176.289</v>
      </c>
      <c r="G8" s="23">
        <f>G4-G7</f>
        <v>-225.683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-0.36</v>
      </c>
      <c r="C9" s="23" t="n">
        <v>-6.808</v>
      </c>
      <c r="D9" s="23" t="n">
        <v>-19.077</v>
      </c>
      <c r="E9" s="23" t="n">
        <v>5.994</v>
      </c>
      <c r="F9" s="23" t="n">
        <v>-65.712</v>
      </c>
      <c r="G9" s="23" t="n">
        <v>22.683</v>
      </c>
    </row>
    <row r="10">
      <c r="A10" s="2" t="inlineStr">
        <is>
          <t>Pretax</t>
        </is>
      </c>
      <c r="B10" s="23">
        <f>B8+B9</f>
        <v>-6.469</v>
      </c>
      <c r="C10" s="23">
        <f>C8+C9</f>
        <v>-41.785000000000004</v>
      </c>
      <c r="D10" s="23">
        <f>D8+D9</f>
        <v>-22.634000000000004</v>
      </c>
      <c r="E10" s="23">
        <f>E8+E9</f>
        <v>-176.973</v>
      </c>
      <c r="F10" s="23">
        <f>F8+F9</f>
        <v>-242.00099999999998</v>
      </c>
      <c r="G10" s="23">
        <f>G8+G9</f>
        <v>-203.0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0.027</v>
      </c>
      <c r="F11" s="23" t="n">
        <v>-0.001</v>
      </c>
      <c r="G11" s="23" t="n">
        <v>0</v>
      </c>
    </row>
    <row r="12">
      <c r="A12" s="2" t="inlineStr">
        <is>
          <t>Net Income</t>
        </is>
      </c>
      <c r="B12" s="23" t="n">
        <v>-6.469</v>
      </c>
      <c r="C12" s="23" t="n">
        <v>-41.785</v>
      </c>
      <c r="D12" s="23" t="n">
        <v>-22.634</v>
      </c>
      <c r="E12" s="23" t="n">
        <v>-177</v>
      </c>
      <c r="F12" s="23" t="n">
        <v>-242</v>
      </c>
      <c r="G12" s="23" t="n">
        <v>-203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-1.4960684551341352</v>
      </c>
      <c r="C13" s="11">
        <f>IFERROR(C12/C14,0)</f>
        <v>-3.8059021768831407</v>
      </c>
      <c r="D13" s="11">
        <f>IFERROR(D12/D14,0)</f>
        <v>-1.193398713487293</v>
      </c>
      <c r="E13" s="11">
        <f>IFERROR(E12/E14,0)</f>
        <v>-2.154280567659015</v>
      </c>
      <c r="F13" s="11">
        <f>IFERROR(F12/F14,0)</f>
        <v>-2.5647003963627886</v>
      </c>
      <c r="G13" s="11">
        <f>IFERROR(G12/G14,0)</f>
        <v>-1.7141795581976624</v>
      </c>
    </row>
    <row r="14">
      <c r="A14" s="2" t="inlineStr">
        <is>
          <t>Shares</t>
        </is>
      </c>
      <c r="B14" s="23" t="n">
        <v>4.324</v>
      </c>
      <c r="C14" s="23" t="n">
        <v>10.979</v>
      </c>
      <c r="D14" s="23" t="n">
        <v>18.966</v>
      </c>
      <c r="E14" s="23" t="n">
        <v>82.16200000000001</v>
      </c>
      <c r="F14" s="23" t="n">
        <v>94.358</v>
      </c>
      <c r="G14" s="23" t="n">
        <v>118.424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>-0.8715786979228378</v>
      </c>
      <c r="F16" s="15">
        <f>IFERROR(F2/E2-1,"")</f>
        <v>2.233711852377573</v>
      </c>
      <c r="G16" s="15">
        <f>IFERROR(G2/F2-1,"")</f>
        <v>-0.5061124157759587</v>
      </c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>-0.032419770865043725</v>
      </c>
      <c r="E18" s="15">
        <f>IFERROR(E8/E2,"")</f>
        <v>-12.985592618878638</v>
      </c>
      <c r="F18" s="15">
        <f>IFERROR(F8/F2,"")</f>
        <v>-3.869126264732348</v>
      </c>
      <c r="G18" s="15">
        <f>IFERROR(G8/G2,"")</f>
        <v>-10.029018353108475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2026-10-21T01:04:20Z</dcterms:modified>
  <cp:lastModifiedBy>Wang, Eric</cp:lastModifiedBy>
</cp:coreProperties>
</file>