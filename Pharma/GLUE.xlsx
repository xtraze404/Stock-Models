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Monte Rosa Therapeutics, Inc.</t>
        </is>
      </c>
      <c r="C2" s="10" t="n"/>
    </row>
    <row r="3">
      <c r="B3" t="inlineStr">
        <is>
          <t>Price</t>
        </is>
      </c>
      <c r="C3" s="11">
        <f>INDEX([1]Pharma!$F$1:$F$1000,MATCH("GLUE",[1]Pharma!$B$1:$B$1000,0))</f>
        <v>11.36</v>
      </c>
      <c r="F3" s="1" t="n"/>
    </row>
    <row r="4">
      <c r="B4" t="inlineStr">
        <is>
          <t>Shares</t>
        </is>
      </c>
      <c r="C4" s="21" t="n">
        <v>85.313401</v>
      </c>
      <c r="F4" s="1" t="n"/>
    </row>
    <row r="5">
      <c r="B5" t="inlineStr">
        <is>
          <t>Market Cap.</t>
        </is>
      </c>
      <c r="C5" s="13">
        <f>C3*C4</f>
        <v>969.1602353599999</v>
      </c>
      <c r="F5" s="1" t="n"/>
    </row>
    <row r="6"/>
    <row r="7">
      <c r="B7" t="inlineStr">
        <is>
          <t>Cash</t>
        </is>
      </c>
      <c r="C7" s="21" t="n">
        <v>621.1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348.06023535999987</v>
      </c>
    </row>
    <row r="10"/>
    <row r="11">
      <c r="B11" s="14" t="inlineStr">
        <is>
          <t>rNPV / Share</t>
        </is>
      </c>
      <c r="C11" s="11">
        <f>NPV!B27</f>
        <v>6.499628463591376</v>
      </c>
    </row>
    <row r="12">
      <c r="B12" s="14" t="inlineStr">
        <is>
          <t>Upside</t>
        </is>
      </c>
      <c r="C12" s="15">
        <f>IFERROR(C11/C3-1,"")</f>
        <v>-0.42784960707822384</v>
      </c>
    </row>
    <row r="13">
      <c r="B13" s="14" t="inlineStr">
        <is>
          <t>Cash / Share</t>
        </is>
      </c>
      <c r="C13" s="11">
        <f>IFERROR((C7-C8)/C4,"")</f>
        <v>7.280216152676882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-24.069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25.804977356765967</v>
      </c>
    </row>
    <row r="19">
      <c r="B19" s="14" t="inlineStr">
        <is>
          <t>Implied Pipeline Value</t>
        </is>
      </c>
      <c r="C19" s="13">
        <f>C9</f>
        <v>348.06023535999987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75.622</v>
      </c>
      <c r="G2" s="23" t="n">
        <v>123.672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75.622</v>
      </c>
      <c r="G4" s="23">
        <f>G2-G3</f>
        <v>123.672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24.005</v>
      </c>
      <c r="C5" s="23" t="n">
        <v>57.155</v>
      </c>
      <c r="D5" s="23" t="n">
        <v>85.06100000000001</v>
      </c>
      <c r="E5" s="23" t="n">
        <v>111.272</v>
      </c>
      <c r="F5" s="23" t="n">
        <v>121.563</v>
      </c>
      <c r="G5" s="23" t="n">
        <v>141.5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4.005</v>
      </c>
      <c r="C6" s="23" t="n">
        <v>15.727</v>
      </c>
      <c r="D6" s="23" t="n">
        <v>27.323</v>
      </c>
      <c r="E6" s="23" t="n">
        <v>32.039</v>
      </c>
      <c r="F6" s="23" t="n">
        <v>35.171</v>
      </c>
      <c r="G6" s="23" t="n">
        <v>36.38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28.009999999999998</v>
      </c>
      <c r="C7" s="23">
        <f>SUM(C5:C6)</f>
        <v>72.882</v>
      </c>
      <c r="D7" s="23">
        <f>SUM(D5:D6)</f>
        <v>112.38400000000001</v>
      </c>
      <c r="E7" s="23">
        <f>SUM(E5:E6)</f>
        <v>143.311</v>
      </c>
      <c r="F7" s="23">
        <f>SUM(F5:F6)</f>
        <v>156.734</v>
      </c>
      <c r="G7" s="23">
        <f>SUM(G5:G6)</f>
        <v>177.88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-28.009999999999998</v>
      </c>
      <c r="C8" s="23">
        <f>C4-C7</f>
        <v>-72.882</v>
      </c>
      <c r="D8" s="23">
        <f>D4-D7</f>
        <v>-112.38400000000001</v>
      </c>
      <c r="E8" s="23">
        <f>E4-E7</f>
        <v>-143.311</v>
      </c>
      <c r="F8" s="23">
        <f>F4-F7</f>
        <v>-81.11200000000001</v>
      </c>
      <c r="G8" s="23">
        <f>G4-G7</f>
        <v>-54.208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-7.869</v>
      </c>
      <c r="C9" s="23" t="n">
        <v>-1.076</v>
      </c>
      <c r="D9" s="23" t="n">
        <v>3.883</v>
      </c>
      <c r="E9" s="23" t="n">
        <v>8.297000000000001</v>
      </c>
      <c r="F9" s="23" t="n">
        <v>10.982</v>
      </c>
      <c r="G9" s="23" t="n">
        <v>14.511</v>
      </c>
    </row>
    <row r="10">
      <c r="A10" s="2" t="inlineStr">
        <is>
          <t>Pretax</t>
        </is>
      </c>
      <c r="B10" s="23">
        <f>B8+B9</f>
        <v>-35.879</v>
      </c>
      <c r="C10" s="23">
        <f>C8+C9</f>
        <v>-73.958</v>
      </c>
      <c r="D10" s="23">
        <f>D8+D9</f>
        <v>-108.50100000000002</v>
      </c>
      <c r="E10" s="23">
        <f>E8+E9</f>
        <v>-135.014</v>
      </c>
      <c r="F10" s="23">
        <f>F8+F9</f>
        <v>-70.13000000000001</v>
      </c>
      <c r="G10" s="23">
        <f>G8+G9</f>
        <v>-39.697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0.338</v>
      </c>
      <c r="F11" s="23" t="n">
        <v>2.57</v>
      </c>
      <c r="G11" s="23" t="n">
        <v>-1.097</v>
      </c>
    </row>
    <row r="12">
      <c r="A12" s="2" t="inlineStr">
        <is>
          <t>Net Income</t>
        </is>
      </c>
      <c r="B12" s="23" t="n">
        <v>-35.879</v>
      </c>
      <c r="C12" s="23" t="n">
        <v>-73.958</v>
      </c>
      <c r="D12" s="23" t="n">
        <v>-108.501</v>
      </c>
      <c r="E12" s="23" t="n">
        <v>-135.352</v>
      </c>
      <c r="F12" s="23" t="n">
        <v>-72.7</v>
      </c>
      <c r="G12" s="23" t="n">
        <v>-38.6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-23.651285431773236</v>
      </c>
      <c r="C13" s="11">
        <f>IFERROR(C12/C14,0)</f>
        <v>-2.95832</v>
      </c>
      <c r="D13" s="11">
        <f>IFERROR(D12/D14,0)</f>
        <v>-2.297435788849599</v>
      </c>
      <c r="E13" s="11">
        <f>IFERROR(E12/E14,0)</f>
        <v>-2.633461096951184</v>
      </c>
      <c r="F13" s="11">
        <f>IFERROR(F12/F14,0)</f>
        <v>-0.9836287376539035</v>
      </c>
      <c r="G13" s="11">
        <f>IFERROR(G12/G14,0)</f>
        <v>-0.46466275836332777</v>
      </c>
    </row>
    <row r="14">
      <c r="A14" s="2" t="inlineStr">
        <is>
          <t>Shares</t>
        </is>
      </c>
      <c r="B14" s="23" t="n">
        <v>1.517</v>
      </c>
      <c r="C14" s="23" t="n">
        <v>25</v>
      </c>
      <c r="D14" s="23" t="n">
        <v>47.227</v>
      </c>
      <c r="E14" s="23" t="n">
        <v>51.397</v>
      </c>
      <c r="F14" s="23" t="n">
        <v>73.91</v>
      </c>
      <c r="G14" s="23" t="n">
        <v>83.071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0.6353971066620825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-1.0725979212398509</v>
      </c>
      <c r="G18" s="15">
        <f>IFERROR(G8/G2,"")</f>
        <v>-0.4383207193220778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Monte Rosa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0.1752568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181.854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465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-66.59459053461502</v>
      </c>
      <c r="C29" s="42">
        <f>NPV!B25</f>
        <v>554.505409465385</v>
      </c>
      <c r="D29" s="43">
        <f>NPV!B27</f>
        <v>6.499628463591376</v>
      </c>
      <c r="E29" s="44">
        <f>NPV!B29</f>
        <v>-0.42784960707822384</v>
      </c>
    </row>
    <row r="30">
      <c r="A30" s="45" t="n">
        <v>1</v>
      </c>
      <c r="B30" s="46">
        <f t="dataTable" ref="B30:E32" r1="B4"/>
        <v>-334.69618091463394</v>
      </c>
      <c r="C30" s="46">
        <v>286.4038190853661</v>
      </c>
      <c r="D30" s="47">
        <v>3.3570789082170815</v>
      </c>
      <c r="E30" s="48">
        <v>-0.7044824904738485</v>
      </c>
    </row>
    <row r="31">
      <c r="A31" s="45" t="n">
        <v>2</v>
      </c>
      <c r="B31" s="46">
        <v>-66.59459053461502</v>
      </c>
      <c r="C31" s="46">
        <v>554.505409465385</v>
      </c>
      <c r="D31" s="47">
        <v>6.499628463591376</v>
      </c>
      <c r="E31" s="48">
        <v>-0.42784960707822384</v>
      </c>
    </row>
    <row r="32">
      <c r="A32" s="45" t="n">
        <v>3</v>
      </c>
      <c r="B32" s="46">
        <v>350.38289038644496</v>
      </c>
      <c r="C32" s="46">
        <v>971.482890386445</v>
      </c>
      <c r="D32" s="47">
        <v>11.387224972855613</v>
      </c>
      <c r="E32" s="48">
        <v>0.0023965645119377044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6.499628463591376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2.655908414138606</v>
      </c>
      <c r="C37" s="47">
        <v>3.5944969432672784</v>
      </c>
      <c r="D37" s="47">
        <v>4.528389268058159</v>
      </c>
      <c r="E37" s="47">
        <v>6.160026591821811</v>
      </c>
      <c r="F37" s="47">
        <v>7.733296892741345</v>
      </c>
    </row>
    <row r="38">
      <c r="A38" s="50" t="n">
        <v>0.8</v>
      </c>
      <c r="B38" s="47">
        <v>3.172487727637478</v>
      </c>
      <c r="C38" s="47">
        <v>4.423939099809041</v>
      </c>
      <c r="D38" s="47">
        <v>5.527683047403275</v>
      </c>
      <c r="E38" s="47">
        <v>7.639083195463625</v>
      </c>
      <c r="F38" s="47">
        <v>9.698952720381046</v>
      </c>
    </row>
    <row r="39">
      <c r="A39" s="50" t="n">
        <v>1</v>
      </c>
      <c r="B39" s="47">
        <v>3.691134025372702</v>
      </c>
      <c r="C39" s="47">
        <v>5.161238824298901</v>
      </c>
      <c r="D39" s="47">
        <v>6.499628463591376</v>
      </c>
      <c r="E39" s="47">
        <v>9.094506309537316</v>
      </c>
      <c r="F39" s="47">
        <v>11.64071632538976</v>
      </c>
    </row>
    <row r="40">
      <c r="A40" s="50" t="n">
        <v>1.2</v>
      </c>
      <c r="B40" s="47">
        <v>4.211847307344276</v>
      </c>
      <c r="C40" s="47">
        <v>5.876123788885393</v>
      </c>
      <c r="D40" s="47">
        <v>7.4560083808200766</v>
      </c>
      <c r="E40" s="47">
        <v>10.537553096107372</v>
      </c>
      <c r="F40" s="47">
        <v>13.57465980374578</v>
      </c>
    </row>
    <row r="41">
      <c r="A41" s="50" t="n">
        <v>1.4</v>
      </c>
      <c r="B41" s="47">
        <v>4.698541316886302</v>
      </c>
      <c r="C41" s="47">
        <v>6.581287403855488</v>
      </c>
      <c r="D41" s="47">
        <v>8.404039257124616</v>
      </c>
      <c r="E41" s="47">
        <v>11.972911292464339</v>
      </c>
      <c r="F41" s="47">
        <v>15.499260693389356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Monte Rosa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Prostate cancer</t>
        </is>
      </c>
      <c r="C4" s="14" t="inlineStr">
        <is>
          <t>Oral MRT-2359, Apalutamide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2500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306.73160633988954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27.0</v>
      </c>
      <c r="S4" s="23">
        <f>IF(S$3&lt;$I4,0,$G4*Assumptions!$E$11*INDEX(Assumptions!$B$24:$G$24,MIN(6,S$3-$I4+1))*IF(S$3&gt;$J4,(1-Assumptions!$B$26)^(S$3-$J4),1)*IF($H4&gt;=1,1,MIN(0.97,$H4*Assumptions!$E$12)))</f>
        <v>67.5</v>
      </c>
      <c r="T4" s="23">
        <f>IF(T$3&lt;$I4,0,$G4*Assumptions!$E$11*INDEX(Assumptions!$B$24:$G$24,MIN(6,T$3-$I4+1))*IF(T$3&gt;$J4,(1-Assumptions!$B$26)^(T$3-$J4),1)*IF($H4&gt;=1,1,MIN(0.97,$H4*Assumptions!$E$12)))</f>
        <v>121.5</v>
      </c>
      <c r="U4" s="23">
        <f>IF(U$3&lt;$I4,0,$G4*Assumptions!$E$11*INDEX(Assumptions!$B$24:$G$24,MIN(6,U$3-$I4+1))*IF(U$3&gt;$J4,(1-Assumptions!$B$26)^(U$3-$J4),1)*IF($H4&gt;=1,1,MIN(0.97,$H4*Assumptions!$E$12)))</f>
        <v>175.5</v>
      </c>
      <c r="V4" s="23">
        <f>IF(V$3&lt;$I4,0,$G4*Assumptions!$E$11*INDEX(Assumptions!$B$24:$G$24,MIN(6,V$3-$I4+1))*IF(V$3&gt;$J4,(1-Assumptions!$B$26)^(V$3-$J4),1)*IF($H4&gt;=1,1,MIN(0.97,$H4*Assumptions!$E$12)))</f>
        <v>229.5</v>
      </c>
      <c r="W4" s="23">
        <f>IF(W$3&lt;$I4,0,$G4*Assumptions!$E$11*INDEX(Assumptions!$B$24:$G$24,MIN(6,W$3-$I4+1))*IF(W$3&gt;$J4,(1-Assumptions!$B$26)^(W$3-$J4),1)*IF($H4&gt;=1,1,MIN(0.97,$H4*Assumptions!$E$12)))</f>
        <v>270.0</v>
      </c>
      <c r="X4" s="23">
        <f>IF(X$3&lt;$I4,0,$G4*Assumptions!$E$11*INDEX(Assumptions!$B$24:$G$24,MIN(6,X$3-$I4+1))*IF(X$3&gt;$J4,(1-Assumptions!$B$26)^(X$3-$J4),1)*IF($H4&gt;=1,1,MIN(0.97,$H4*Assumptions!$E$12)))</f>
        <v>270.0</v>
      </c>
      <c r="Y4" s="23">
        <f>IF(Y$3&lt;$I4,0,$G4*Assumptions!$E$11*INDEX(Assumptions!$B$24:$G$24,MIN(6,Y$3-$I4+1))*IF(Y$3&gt;$J4,(1-Assumptions!$B$26)^(Y$3-$J4),1)*IF($H4&gt;=1,1,MIN(0.97,$H4*Assumptions!$E$12)))</f>
        <v>270.0</v>
      </c>
      <c r="Z4" s="23">
        <f>IF(Z$3&lt;$I4,0,$G4*Assumptions!$E$11*INDEX(Assumptions!$B$24:$G$24,MIN(6,Z$3-$I4+1))*IF(Z$3&gt;$J4,(1-Assumptions!$B$26)^(Z$3-$J4),1)*IF($H4&gt;=1,1,MIN(0.97,$H4*Assumptions!$E$12)))</f>
        <v>270.0</v>
      </c>
      <c r="AA4" s="23">
        <f>IF(AA$3&lt;$I4,0,$G4*Assumptions!$E$11*INDEX(Assumptions!$B$24:$G$24,MIN(6,AA$3-$I4+1))*IF(AA$3&gt;$J4,(1-Assumptions!$B$26)^(AA$3-$J4),1)*IF($H4&gt;=1,1,MIN(0.97,$H4*Assumptions!$E$12)))</f>
        <v>270.0</v>
      </c>
      <c r="AB4" s="23">
        <f>IF(AB$3&lt;$I4,0,$G4*Assumptions!$E$11*INDEX(Assumptions!$B$24:$G$24,MIN(6,AB$3-$I4+1))*IF(AB$3&gt;$J4,(1-Assumptions!$B$26)^(AB$3-$J4),1)*IF($H4&gt;=1,1,MIN(0.97,$H4*Assumptions!$E$12)))</f>
        <v>270.0</v>
      </c>
      <c r="AC4" s="23">
        <f>IF(AC$3&lt;$I4,0,$G4*Assumptions!$E$11*INDEX(Assumptions!$B$24:$G$24,MIN(6,AC$3-$I4+1))*IF(AC$3&gt;$J4,(1-Assumptions!$B$26)^(AC$3-$J4),1)*IF($H4&gt;=1,1,MIN(0.97,$H4*Assumptions!$E$12)))</f>
        <v>270.0</v>
      </c>
      <c r="AD4" s="23">
        <f>IF(AD$3&lt;$I4,0,$G4*Assumptions!$E$11*INDEX(Assumptions!$B$24:$G$24,MIN(6,AD$3-$I4+1))*IF(AD$3&gt;$J4,(1-Assumptions!$B$26)^(AD$3-$J4),1)*IF($H4&gt;=1,1,MIN(0.97,$H4*Assumptions!$E$12)))</f>
        <v>270.0</v>
      </c>
      <c r="AE4" s="23">
        <f>IF(AE$3&lt;$I4,0,$G4*Assumptions!$E$11*INDEX(Assumptions!$B$24:$G$24,MIN(6,AE$3-$I4+1))*IF(AE$3&gt;$J4,(1-Assumptions!$B$26)^(AE$3-$J4),1)*IF($H4&gt;=1,1,MIN(0.97,$H4*Assumptions!$E$12)))</f>
        <v>135.0</v>
      </c>
      <c r="AF4" s="23">
        <f>IF(AF$3&lt;$I4,0,$G4*Assumptions!$E$11*INDEX(Assumptions!$B$24:$G$24,MIN(6,AF$3-$I4+1))*IF(AF$3&gt;$J4,(1-Assumptions!$B$26)^(AF$3-$J4),1)*IF($H4&gt;=1,1,MIN(0.97,$H4*Assumptions!$E$12)))</f>
        <v>67.5</v>
      </c>
      <c r="AG4" s="35">
        <f>IF(F4="Owned",1-IF(H4&gt;=1,1,MIN(0.97,H4*Assumptions!$E$12)),1)</f>
        <v>0.892</v>
      </c>
    </row>
    <row r="5">
      <c r="A5" s="39" t="n">
        <v>2</v>
      </c>
      <c r="B5" s="14" t="inlineStr">
        <is>
          <t>Lung cancer</t>
        </is>
      </c>
      <c r="C5" s="14" t="inlineStr">
        <is>
          <t>Oral MRT-2359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3000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227.09625739047448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22.619999999999997</v>
      </c>
      <c r="T5" s="23">
        <f>IF(T$3&lt;$I5,0,$G5*Assumptions!$E$11*INDEX(Assumptions!$B$24:$G$24,MIN(6,T$3-$I5+1))*IF(T$3&gt;$J5,(1-Assumptions!$B$26)^(T$3-$J5),1)*IF($H5&gt;=1,1,MIN(0.97,$H5*Assumptions!$E$12)))</f>
        <v>56.55</v>
      </c>
      <c r="U5" s="23">
        <f>IF(U$3&lt;$I5,0,$G5*Assumptions!$E$11*INDEX(Assumptions!$B$24:$G$24,MIN(6,U$3-$I5+1))*IF(U$3&gt;$J5,(1-Assumptions!$B$26)^(U$3-$J5),1)*IF($H5&gt;=1,1,MIN(0.97,$H5*Assumptions!$E$12)))</f>
        <v>101.78999999999999</v>
      </c>
      <c r="V5" s="23">
        <f>IF(V$3&lt;$I5,0,$G5*Assumptions!$E$11*INDEX(Assumptions!$B$24:$G$24,MIN(6,V$3-$I5+1))*IF(V$3&gt;$J5,(1-Assumptions!$B$26)^(V$3-$J5),1)*IF($H5&gt;=1,1,MIN(0.97,$H5*Assumptions!$E$12)))</f>
        <v>147.03</v>
      </c>
      <c r="W5" s="23">
        <f>IF(W$3&lt;$I5,0,$G5*Assumptions!$E$11*INDEX(Assumptions!$B$24:$G$24,MIN(6,W$3-$I5+1))*IF(W$3&gt;$J5,(1-Assumptions!$B$26)^(W$3-$J5),1)*IF($H5&gt;=1,1,MIN(0.97,$H5*Assumptions!$E$12)))</f>
        <v>192.26999999999998</v>
      </c>
      <c r="X5" s="23">
        <f>IF(X$3&lt;$I5,0,$G5*Assumptions!$E$11*INDEX(Assumptions!$B$24:$G$24,MIN(6,X$3-$I5+1))*IF(X$3&gt;$J5,(1-Assumptions!$B$26)^(X$3-$J5),1)*IF($H5&gt;=1,1,MIN(0.97,$H5*Assumptions!$E$12)))</f>
        <v>226.2</v>
      </c>
      <c r="Y5" s="23">
        <f>IF(Y$3&lt;$I5,0,$G5*Assumptions!$E$11*INDEX(Assumptions!$B$24:$G$24,MIN(6,Y$3-$I5+1))*IF(Y$3&gt;$J5,(1-Assumptions!$B$26)^(Y$3-$J5),1)*IF($H5&gt;=1,1,MIN(0.97,$H5*Assumptions!$E$12)))</f>
        <v>226.2</v>
      </c>
      <c r="Z5" s="23">
        <f>IF(Z$3&lt;$I5,0,$G5*Assumptions!$E$11*INDEX(Assumptions!$B$24:$G$24,MIN(6,Z$3-$I5+1))*IF(Z$3&gt;$J5,(1-Assumptions!$B$26)^(Z$3-$J5),1)*IF($H5&gt;=1,1,MIN(0.97,$H5*Assumptions!$E$12)))</f>
        <v>226.2</v>
      </c>
      <c r="AA5" s="23">
        <f>IF(AA$3&lt;$I5,0,$G5*Assumptions!$E$11*INDEX(Assumptions!$B$24:$G$24,MIN(6,AA$3-$I5+1))*IF(AA$3&gt;$J5,(1-Assumptions!$B$26)^(AA$3-$J5),1)*IF($H5&gt;=1,1,MIN(0.97,$H5*Assumptions!$E$12)))</f>
        <v>226.2</v>
      </c>
      <c r="AB5" s="23">
        <f>IF(AB$3&lt;$I5,0,$G5*Assumptions!$E$11*INDEX(Assumptions!$B$24:$G$24,MIN(6,AB$3-$I5+1))*IF(AB$3&gt;$J5,(1-Assumptions!$B$26)^(AB$3-$J5),1)*IF($H5&gt;=1,1,MIN(0.97,$H5*Assumptions!$E$12)))</f>
        <v>226.2</v>
      </c>
      <c r="AC5" s="23">
        <f>IF(AC$3&lt;$I5,0,$G5*Assumptions!$E$11*INDEX(Assumptions!$B$24:$G$24,MIN(6,AC$3-$I5+1))*IF(AC$3&gt;$J5,(1-Assumptions!$B$26)^(AC$3-$J5),1)*IF($H5&gt;=1,1,MIN(0.97,$H5*Assumptions!$E$12)))</f>
        <v>226.2</v>
      </c>
      <c r="AD5" s="23">
        <f>IF(AD$3&lt;$I5,0,$G5*Assumptions!$E$11*INDEX(Assumptions!$B$24:$G$24,MIN(6,AD$3-$I5+1))*IF(AD$3&gt;$J5,(1-Assumptions!$B$26)^(AD$3-$J5),1)*IF($H5&gt;=1,1,MIN(0.97,$H5*Assumptions!$E$12)))</f>
        <v>226.2</v>
      </c>
      <c r="AE5" s="23">
        <f>IF(AE$3&lt;$I5,0,$G5*Assumptions!$E$11*INDEX(Assumptions!$B$24:$G$24,MIN(6,AE$3-$I5+1))*IF(AE$3&gt;$J5,(1-Assumptions!$B$26)^(AE$3-$J5),1)*IF($H5&gt;=1,1,MIN(0.97,$H5*Assumptions!$E$12)))</f>
        <v>226.2</v>
      </c>
      <c r="AF5" s="23">
        <f>IF(AF$3&lt;$I5,0,$G5*Assumptions!$E$11*INDEX(Assumptions!$B$24:$G$24,MIN(6,AF$3-$I5+1))*IF(AF$3&gt;$J5,(1-Assumptions!$B$26)^(AF$3-$J5),1)*IF($H5&gt;=1,1,MIN(0.97,$H5*Assumptions!$E$12)))</f>
        <v>113.1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533.827863730364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27.0</v>
      </c>
      <c r="S6" s="54">
        <f>SUM(S4:S5)</f>
        <v>90.12</v>
      </c>
      <c r="T6" s="54">
        <f>SUM(T4:T5)</f>
        <v>178.05</v>
      </c>
      <c r="U6" s="54">
        <f>SUM(U4:U5)</f>
        <v>277.28999999999996</v>
      </c>
      <c r="V6" s="54">
        <f>SUM(V4:V5)</f>
        <v>376.53</v>
      </c>
      <c r="W6" s="54">
        <f>SUM(W4:W5)</f>
        <v>462.27</v>
      </c>
      <c r="X6" s="54">
        <f>SUM(X4:X5)</f>
        <v>496.2</v>
      </c>
      <c r="Y6" s="54">
        <f>SUM(Y4:Y5)</f>
        <v>496.2</v>
      </c>
      <c r="Z6" s="54">
        <f>SUM(Z4:Z5)</f>
        <v>496.2</v>
      </c>
      <c r="AA6" s="54">
        <f>SUM(AA4:AA5)</f>
        <v>496.2</v>
      </c>
      <c r="AB6" s="54">
        <f>SUM(AB4:AB5)</f>
        <v>496.2</v>
      </c>
      <c r="AC6" s="54">
        <f>SUM(AC4:AC5)</f>
        <v>496.2</v>
      </c>
      <c r="AD6" s="54">
        <f>SUM(AD4:AD5)</f>
        <v>496.2</v>
      </c>
      <c r="AE6" s="54">
        <f>SUM(AE4:AE5)</f>
        <v>361.2</v>
      </c>
      <c r="AF6" s="54">
        <f>SUM(AF4:AF5)</f>
        <v>180.6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10.8</v>
      </c>
      <c r="S7" s="55">
        <f>SUMPRODUCT(S4:S5,$K$4:$K$5)</f>
        <v>36.048</v>
      </c>
      <c r="T7" s="55">
        <f>SUMPRODUCT(T4:T5,$K$4:$K$5)</f>
        <v>71.22</v>
      </c>
      <c r="U7" s="55">
        <f>SUMPRODUCT(U4:U5,$K$4:$K$5)</f>
        <v>110.916</v>
      </c>
      <c r="V7" s="55">
        <f>SUMPRODUCT(V4:V5,$K$4:$K$5)</f>
        <v>150.61200000000002</v>
      </c>
      <c r="W7" s="55">
        <f>SUMPRODUCT(W4:W5,$K$4:$K$5)</f>
        <v>184.90800000000002</v>
      </c>
      <c r="X7" s="55">
        <f>SUMPRODUCT(X4:X5,$K$4:$K$5)</f>
        <v>198.48000000000002</v>
      </c>
      <c r="Y7" s="55">
        <f>SUMPRODUCT(Y4:Y5,$K$4:$K$5)</f>
        <v>198.48000000000002</v>
      </c>
      <c r="Z7" s="55">
        <f>SUMPRODUCT(Z4:Z5,$K$4:$K$5)</f>
        <v>198.48000000000002</v>
      </c>
      <c r="AA7" s="55">
        <f>SUMPRODUCT(AA4:AA5,$K$4:$K$5)</f>
        <v>198.48000000000002</v>
      </c>
      <c r="AB7" s="55">
        <f>SUMPRODUCT(AB4:AB5,$K$4:$K$5)</f>
        <v>198.48000000000002</v>
      </c>
      <c r="AC7" s="55">
        <f>SUMPRODUCT(AC4:AC5,$K$4:$K$5)</f>
        <v>198.48000000000002</v>
      </c>
      <c r="AD7" s="55">
        <f>SUMPRODUCT(AD4:AD5,$K$4:$K$5)</f>
        <v>198.48000000000002</v>
      </c>
      <c r="AE7" s="55">
        <f>SUMPRODUCT(AE4:AE5,$K$4:$K$5)</f>
        <v>144.48000000000002</v>
      </c>
      <c r="AF7" s="55">
        <f>SUMPRODUCT(AF4:AF5,$K$4:$K$5)</f>
        <v>72.24000000000001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Monte Rosa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27.0</v>
      </c>
      <c r="I4" s="57">
        <f>Pipeline!S6</f>
        <v>90.12</v>
      </c>
      <c r="J4" s="57">
        <f>Pipeline!T6</f>
        <v>178.05</v>
      </c>
      <c r="K4" s="57">
        <f>Pipeline!U6</f>
        <v>277.28999999999996</v>
      </c>
      <c r="L4" s="57">
        <f>Pipeline!V6</f>
        <v>376.53</v>
      </c>
      <c r="M4" s="57">
        <f>Pipeline!W6</f>
        <v>462.27</v>
      </c>
      <c r="N4" s="57">
        <f>Pipeline!X6</f>
        <v>496.2</v>
      </c>
      <c r="O4" s="57">
        <f>Pipeline!Y6</f>
        <v>496.2</v>
      </c>
      <c r="P4" s="57">
        <f>Pipeline!Z6</f>
        <v>496.2</v>
      </c>
      <c r="Q4" s="57">
        <f>Pipeline!AA6</f>
        <v>496.2</v>
      </c>
      <c r="R4" s="57">
        <f>Pipeline!AB6</f>
        <v>496.2</v>
      </c>
      <c r="S4" s="57">
        <f>Pipeline!AC6</f>
        <v>496.2</v>
      </c>
      <c r="T4" s="57">
        <f>Pipeline!AD6</f>
        <v>496.2</v>
      </c>
      <c r="U4" s="57">
        <f>Pipeline!AE6</f>
        <v>361.2</v>
      </c>
      <c r="V4" s="57">
        <f>Pipeline!AF6</f>
        <v>180.6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10.8</v>
      </c>
      <c r="I5" s="57">
        <f>Pipeline!S7</f>
        <v>36.048</v>
      </c>
      <c r="J5" s="57">
        <f>Pipeline!T7</f>
        <v>71.22</v>
      </c>
      <c r="K5" s="57">
        <f>Pipeline!U7</f>
        <v>110.916</v>
      </c>
      <c r="L5" s="57">
        <f>Pipeline!V7</f>
        <v>150.61200000000002</v>
      </c>
      <c r="M5" s="57">
        <f>Pipeline!W7</f>
        <v>184.90800000000002</v>
      </c>
      <c r="N5" s="57">
        <f>Pipeline!X7</f>
        <v>198.48000000000002</v>
      </c>
      <c r="O5" s="57">
        <f>Pipeline!Y7</f>
        <v>198.48000000000002</v>
      </c>
      <c r="P5" s="57">
        <f>Pipeline!Z7</f>
        <v>198.48000000000002</v>
      </c>
      <c r="Q5" s="57">
        <f>Pipeline!AA7</f>
        <v>198.48000000000002</v>
      </c>
      <c r="R5" s="57">
        <f>Pipeline!AB7</f>
        <v>198.48000000000002</v>
      </c>
      <c r="S5" s="57">
        <f>Pipeline!AC7</f>
        <v>198.48000000000002</v>
      </c>
      <c r="T5" s="57">
        <f>Pipeline!AD7</f>
        <v>198.48000000000002</v>
      </c>
      <c r="U5" s="57">
        <f>Pipeline!AE7</f>
        <v>144.48000000000002</v>
      </c>
      <c r="V5" s="57">
        <f>Pipeline!AF7</f>
        <v>72.24000000000001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-181.854</v>
      </c>
      <c r="D6" s="23">
        <f>-IF(D3-2026&lt;Assumptions!$B$19,Assumptions!$B$18,Assumptions!$B$18*Assumptions!$B$20*Assumptions!$B$16)</f>
        <v>-181.854</v>
      </c>
      <c r="E6" s="23">
        <f>-IF(E3-2026&lt;Assumptions!$B$19,Assumptions!$B$18,Assumptions!$B$18*Assumptions!$B$20*Assumptions!$B$16)</f>
        <v>-181.854</v>
      </c>
      <c r="F6" s="23">
        <f>-IF(F3-2026&lt;Assumptions!$B$19,Assumptions!$B$18,Assumptions!$B$18*Assumptions!$B$20*Assumptions!$B$16)</f>
        <v>-181.854</v>
      </c>
      <c r="G6" s="23">
        <f>-IF(G3-2026&lt;Assumptions!$B$19,Assumptions!$B$18,Assumptions!$B$18*Assumptions!$B$20*Assumptions!$B$16)</f>
        <v>-9.56134503216</v>
      </c>
      <c r="H6" s="23">
        <f>-IF(H3-2026&lt;Assumptions!$B$19,Assumptions!$B$18,Assumptions!$B$18*Assumptions!$B$20*Assumptions!$B$16)</f>
        <v>-9.56134503216</v>
      </c>
      <c r="I6" s="23">
        <f>-IF(I3-2026&lt;Assumptions!$B$19,Assumptions!$B$18,Assumptions!$B$18*Assumptions!$B$20*Assumptions!$B$16)</f>
        <v>-9.56134503216</v>
      </c>
      <c r="J6" s="23">
        <f>-IF(J3-2026&lt;Assumptions!$B$19,Assumptions!$B$18,Assumptions!$B$18*Assumptions!$B$20*Assumptions!$B$16)</f>
        <v>-9.56134503216</v>
      </c>
      <c r="K6" s="23">
        <f>-IF(K3-2026&lt;Assumptions!$B$19,Assumptions!$B$18,Assumptions!$B$18*Assumptions!$B$20*Assumptions!$B$16)</f>
        <v>-9.56134503216</v>
      </c>
      <c r="L6" s="23">
        <f>-IF(L3-2026&lt;Assumptions!$B$19,Assumptions!$B$18,Assumptions!$B$18*Assumptions!$B$20*Assumptions!$B$16)</f>
        <v>-9.56134503216</v>
      </c>
      <c r="M6" s="23">
        <f>-IF(M3-2026&lt;Assumptions!$B$19,Assumptions!$B$18,Assumptions!$B$18*Assumptions!$B$20*Assumptions!$B$16)</f>
        <v>-9.56134503216</v>
      </c>
      <c r="N6" s="23">
        <f>-IF(N3-2026&lt;Assumptions!$B$19,Assumptions!$B$18,Assumptions!$B$18*Assumptions!$B$20*Assumptions!$B$16)</f>
        <v>-9.56134503216</v>
      </c>
      <c r="O6" s="23">
        <f>-IF(O3-2026&lt;Assumptions!$B$19,Assumptions!$B$18,Assumptions!$B$18*Assumptions!$B$20*Assumptions!$B$16)</f>
        <v>-9.56134503216</v>
      </c>
      <c r="P6" s="23">
        <f>-IF(P3-2026&lt;Assumptions!$B$19,Assumptions!$B$18,Assumptions!$B$18*Assumptions!$B$20*Assumptions!$B$16)</f>
        <v>-9.56134503216</v>
      </c>
      <c r="Q6" s="23">
        <f>-IF(Q3-2026&lt;Assumptions!$B$19,Assumptions!$B$18,Assumptions!$B$18*Assumptions!$B$20*Assumptions!$B$16)</f>
        <v>-9.56134503216</v>
      </c>
      <c r="R6" s="23">
        <f>-IF(R3-2026&lt;Assumptions!$B$19,Assumptions!$B$18,Assumptions!$B$18*Assumptions!$B$20*Assumptions!$B$16)</f>
        <v>-9.56134503216</v>
      </c>
      <c r="S6" s="23">
        <f>-IF(S3-2026&lt;Assumptions!$B$19,Assumptions!$B$18,Assumptions!$B$18*Assumptions!$B$20*Assumptions!$B$16)</f>
        <v>-9.56134503216</v>
      </c>
      <c r="T6" s="23">
        <f>-IF(T3-2026&lt;Assumptions!$B$19,Assumptions!$B$18,Assumptions!$B$18*Assumptions!$B$20*Assumptions!$B$16)</f>
        <v>-9.56134503216</v>
      </c>
      <c r="U6" s="23">
        <f>-IF(U3-2026&lt;Assumptions!$B$19,Assumptions!$B$18,Assumptions!$B$18*Assumptions!$B$20*Assumptions!$B$16)</f>
        <v>-9.56134503216</v>
      </c>
      <c r="V6" s="23">
        <f>-IF(V3-2026&lt;Assumptions!$B$19,Assumptions!$B$18,Assumptions!$B$18*Assumptions!$B$20*Assumptions!$B$16)</f>
        <v>-9.56134503216</v>
      </c>
    </row>
    <row r="7">
      <c r="A7" s="14" t="inlineStr">
        <is>
          <t>Pre-tax cash flow</t>
        </is>
      </c>
      <c r="C7" s="23">
        <f>C5+C6</f>
        <v>-181.854</v>
      </c>
      <c r="D7" s="23">
        <f>D5+D6</f>
        <v>-181.854</v>
      </c>
      <c r="E7" s="23">
        <f>E5+E6</f>
        <v>-181.854</v>
      </c>
      <c r="F7" s="23">
        <f>F5+F6</f>
        <v>-181.854</v>
      </c>
      <c r="G7" s="23">
        <f>G5+G6</f>
        <v>-9.56134503216</v>
      </c>
      <c r="H7" s="23">
        <f>H5+H6</f>
        <v>1.2386549678400005</v>
      </c>
      <c r="I7" s="23">
        <f>I5+I6</f>
        <v>26.486654967840003</v>
      </c>
      <c r="J7" s="23">
        <f>J5+J6</f>
        <v>61.65865496784</v>
      </c>
      <c r="K7" s="23">
        <f>K5+K6</f>
        <v>101.35465496783999</v>
      </c>
      <c r="L7" s="23">
        <f>L5+L6</f>
        <v>141.05065496784002</v>
      </c>
      <c r="M7" s="23">
        <f>M5+M6</f>
        <v>175.34665496784</v>
      </c>
      <c r="N7" s="23">
        <f>N5+N6</f>
        <v>188.91865496784</v>
      </c>
      <c r="O7" s="23">
        <f>O5+O6</f>
        <v>188.91865496784</v>
      </c>
      <c r="P7" s="23">
        <f>P5+P6</f>
        <v>188.91865496784</v>
      </c>
      <c r="Q7" s="23">
        <f>Q5+Q6</f>
        <v>188.91865496784</v>
      </c>
      <c r="R7" s="23">
        <f>R5+R6</f>
        <v>188.91865496784</v>
      </c>
      <c r="S7" s="23">
        <f>S5+S6</f>
        <v>188.91865496784</v>
      </c>
      <c r="T7" s="23">
        <f>T5+T6</f>
        <v>188.91865496784</v>
      </c>
      <c r="U7" s="23">
        <f>U5+U6</f>
        <v>134.91865496784</v>
      </c>
      <c r="V7" s="23">
        <f>V5+V6</f>
        <v>62.67865496784001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1.2386549678400005</v>
      </c>
      <c r="I8" s="23">
        <f>MIN(H17,MAX(0,I7))</f>
        <v>26.486654967840003</v>
      </c>
      <c r="J8" s="23">
        <f>MIN(I17,MAX(0,J7))</f>
        <v>61.65865496784</v>
      </c>
      <c r="K8" s="23">
        <f>MIN(J17,MAX(0,K7))</f>
        <v>101.35465496783999</v>
      </c>
      <c r="L8" s="23">
        <f>MIN(K17,MAX(0,L7))</f>
        <v>141.05065496784002</v>
      </c>
      <c r="M8" s="23">
        <f>MIN(L17,MAX(0,M7))</f>
        <v>175.34665496784</v>
      </c>
      <c r="N8" s="23">
        <f>MIN(M17,MAX(0,N7))</f>
        <v>188.91865496784</v>
      </c>
      <c r="O8" s="23">
        <f>MIN(N17,MAX(0,O7))</f>
        <v>188.91865496784</v>
      </c>
      <c r="P8" s="23">
        <f>MIN(O17,MAX(0,P7))</f>
        <v>188.91865496784</v>
      </c>
      <c r="Q8" s="23">
        <f>MIN(P17,MAX(0,Q7))</f>
        <v>128.0854503216003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60.83320464623972</v>
      </c>
      <c r="R9" s="23">
        <f>MAX(0,R7)-R8</f>
        <v>188.91865496784</v>
      </c>
      <c r="S9" s="23">
        <f>MAX(0,S7)-S8</f>
        <v>188.91865496784</v>
      </c>
      <c r="T9" s="23">
        <f>MAX(0,T7)-T8</f>
        <v>188.91865496784</v>
      </c>
      <c r="U9" s="23">
        <f>MAX(0,U7)-U8</f>
        <v>134.91865496784</v>
      </c>
      <c r="V9" s="23">
        <f>MAX(0,V7)-V8</f>
        <v>62.67865496784001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12.774972975710341</v>
      </c>
      <c r="R10" s="23">
        <f>R9*Assumptions!$E$15</f>
        <v>39.6729175432464</v>
      </c>
      <c r="S10" s="23">
        <f>S9*Assumptions!$E$15</f>
        <v>39.6729175432464</v>
      </c>
      <c r="T10" s="23">
        <f>T9*Assumptions!$E$15</f>
        <v>39.6729175432464</v>
      </c>
      <c r="U10" s="23">
        <f>U9*Assumptions!$E$15</f>
        <v>28.332917543246403</v>
      </c>
      <c r="V10" s="23">
        <f>V9*Assumptions!$E$15</f>
        <v>13.162517543246402</v>
      </c>
    </row>
    <row r="11">
      <c r="A11" s="24" t="inlineStr">
        <is>
          <t>Free cash flow</t>
        </is>
      </c>
      <c r="C11" s="55">
        <f>C7-C10</f>
        <v>-181.854</v>
      </c>
      <c r="D11" s="55">
        <f>D7-D10</f>
        <v>-181.854</v>
      </c>
      <c r="E11" s="55">
        <f>E7-E10</f>
        <v>-181.854</v>
      </c>
      <c r="F11" s="55">
        <f>F7-F10</f>
        <v>-181.854</v>
      </c>
      <c r="G11" s="55">
        <f>G7-G10</f>
        <v>-9.56134503216</v>
      </c>
      <c r="H11" s="55">
        <f>H7-H10</f>
        <v>1.2386549678400005</v>
      </c>
      <c r="I11" s="55">
        <f>I7-I10</f>
        <v>26.486654967840003</v>
      </c>
      <c r="J11" s="55">
        <f>J7-J10</f>
        <v>61.65865496784</v>
      </c>
      <c r="K11" s="55">
        <f>K7-K10</f>
        <v>101.35465496783999</v>
      </c>
      <c r="L11" s="55">
        <f>L7-L10</f>
        <v>141.05065496784002</v>
      </c>
      <c r="M11" s="55">
        <f>M7-M10</f>
        <v>175.34665496784</v>
      </c>
      <c r="N11" s="55">
        <f>N7-N10</f>
        <v>188.91865496784</v>
      </c>
      <c r="O11" s="55">
        <f>O7-O10</f>
        <v>188.91865496784</v>
      </c>
      <c r="P11" s="55">
        <f>P7-P10</f>
        <v>188.91865496784</v>
      </c>
      <c r="Q11" s="55">
        <f>Q7-Q10</f>
        <v>176.14368199212967</v>
      </c>
      <c r="R11" s="55">
        <f>R7-R10</f>
        <v>149.2457374245936</v>
      </c>
      <c r="S11" s="55">
        <f>S7-S10</f>
        <v>149.2457374245936</v>
      </c>
      <c r="T11" s="55">
        <f>T7-T10</f>
        <v>149.2457374245936</v>
      </c>
      <c r="U11" s="55">
        <f>U7-U10</f>
        <v>106.58573742459362</v>
      </c>
      <c r="V11" s="55">
        <f>V7-V10</f>
        <v>49.51613742459361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-89.0910654857122</v>
      </c>
      <c r="D16" s="55">
        <f>D11*D15</f>
        <v>-162.2942157155695</v>
      </c>
      <c r="E16" s="55">
        <f>E11*E15</f>
        <v>-144.90554974604413</v>
      </c>
      <c r="F16" s="55">
        <f>F11*F15</f>
        <v>-129.37995513039655</v>
      </c>
      <c r="G16" s="55">
        <f>G11*G15</f>
        <v>-6.073584889365235</v>
      </c>
      <c r="H16" s="55">
        <f>H11*H15</f>
        <v>0.7025195938237707</v>
      </c>
      <c r="I16" s="55">
        <f>I11*I15</f>
        <v>13.412730061519143</v>
      </c>
      <c r="J16" s="55">
        <f>J11*J15</f>
        <v>27.878287603840292</v>
      </c>
      <c r="K16" s="55">
        <f>K11*K15</f>
        <v>40.916429080614705</v>
      </c>
      <c r="L16" s="55">
        <f>L11*L15</f>
        <v>50.840651735281135</v>
      </c>
      <c r="M16" s="55">
        <f>M11*M15</f>
        <v>56.4307035412653</v>
      </c>
      <c r="N16" s="55">
        <f>N11*N15</f>
        <v>54.284369958163545</v>
      </c>
      <c r="O16" s="55">
        <f>O11*O15</f>
        <v>48.46818746264602</v>
      </c>
      <c r="P16" s="55">
        <f>P11*P15</f>
        <v>43.27516737736251</v>
      </c>
      <c r="Q16" s="55">
        <f>Q11*Q15</f>
        <v>36.02574403731342</v>
      </c>
      <c r="R16" s="55">
        <f>R11*R15</f>
        <v>27.253971801750943</v>
      </c>
      <c r="S16" s="55">
        <f>S11*S15</f>
        <v>24.33390339442048</v>
      </c>
      <c r="T16" s="55">
        <f>T11*T15</f>
        <v>21.726699459304</v>
      </c>
      <c r="U16" s="55">
        <f>U11*U15</f>
        <v>13.853926917262351</v>
      </c>
      <c r="V16" s="55">
        <f>V11*V15</f>
        <v>5.746488407904946</v>
      </c>
    </row>
    <row r="17">
      <c r="A17" s="14" t="inlineStr">
        <is>
          <t>Tax-loss carryforward, end of year</t>
        </is>
      </c>
      <c r="C17" s="23">
        <f>Assumptions!$B$21-C8+MAX(0,-C7)</f>
        <v>646.854</v>
      </c>
      <c r="D17" s="23">
        <f>C17-D8+MAX(0,-D7)</f>
        <v>828.7080000000001</v>
      </c>
      <c r="E17" s="23">
        <f>D17-E8+MAX(0,-E7)</f>
        <v>1010.5620000000001</v>
      </c>
      <c r="F17" s="23">
        <f>E17-F8+MAX(0,-F7)</f>
        <v>1192.4160000000002</v>
      </c>
      <c r="G17" s="23">
        <f>F17-G8+MAX(0,-G7)</f>
        <v>1201.9773450321602</v>
      </c>
      <c r="H17" s="23">
        <f>G17-H8+MAX(0,-H7)</f>
        <v>1200.7386900643203</v>
      </c>
      <c r="I17" s="23">
        <f>H17-I8+MAX(0,-I7)</f>
        <v>1174.2520350964803</v>
      </c>
      <c r="J17" s="23">
        <f>I17-J8+MAX(0,-J7)</f>
        <v>1112.5933801286403</v>
      </c>
      <c r="K17" s="23">
        <f>J17-K8+MAX(0,-K7)</f>
        <v>1011.2387251608003</v>
      </c>
      <c r="L17" s="23">
        <f>K17-L8+MAX(0,-L7)</f>
        <v>870.1880701929603</v>
      </c>
      <c r="M17" s="23">
        <f>L17-M8+MAX(0,-M7)</f>
        <v>694.8414152251203</v>
      </c>
      <c r="N17" s="23">
        <f>M17-N8+MAX(0,-N7)</f>
        <v>505.9227602572803</v>
      </c>
      <c r="O17" s="23">
        <f>N17-O8+MAX(0,-O7)</f>
        <v>317.0041052894403</v>
      </c>
      <c r="P17" s="23">
        <f>O17-P8+MAX(0,-P7)</f>
        <v>128.0854503216003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533.827863730364</v>
      </c>
    </row>
    <row r="20">
      <c r="A20" s="14" t="inlineStr">
        <is>
          <t>PV of corporate burn</t>
        </is>
      </c>
      <c r="B20" s="23">
        <f>SUMPRODUCT(C6:V6,C15:V15)</f>
        <v>-573.1107346138166</v>
      </c>
    </row>
    <row r="21">
      <c r="A21" s="14" t="inlineStr">
        <is>
          <t>PV of taxes</t>
        </is>
      </c>
      <c r="B21" s="23">
        <f>-SUMPRODUCT(C10:V10,C15:V15)</f>
        <v>-27.311719651162555</v>
      </c>
    </row>
    <row r="22">
      <c r="A22" s="24" t="inlineStr">
        <is>
          <t>Pipeline rNPV (operations)</t>
        </is>
      </c>
      <c r="B22" s="54">
        <f>SUM(C16:V16)</f>
        <v>-66.59459053461502</v>
      </c>
    </row>
    <row r="23">
      <c r="A23" s="14" t="inlineStr">
        <is>
          <t>Cash &amp; investments</t>
        </is>
      </c>
      <c r="B23" s="57">
        <f>Main!C7</f>
        <v>621.1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554.505409465385</v>
      </c>
    </row>
    <row r="26">
      <c r="A26" s="14" t="inlineStr">
        <is>
          <t>Shares (mm)</t>
        </is>
      </c>
      <c r="B26" s="57">
        <f>Main!C4</f>
        <v>85.313401</v>
      </c>
    </row>
    <row r="27">
      <c r="A27" s="24" t="inlineStr">
        <is>
          <t>rNPV / share</t>
        </is>
      </c>
      <c r="B27" s="60">
        <f>B25/B26</f>
        <v>6.499628463591376</v>
      </c>
    </row>
    <row r="28">
      <c r="A28" s="14" t="inlineStr">
        <is>
          <t>Price</t>
        </is>
      </c>
      <c r="B28" s="61">
        <f>Main!C3</f>
        <v>11.36</v>
      </c>
    </row>
    <row r="29">
      <c r="A29" s="14" t="inlineStr">
        <is>
          <t>Upside</t>
        </is>
      </c>
      <c r="B29" s="62">
        <f>B27/B28-1</f>
        <v>-0.42784960707822384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2026-10-21T06:24:09Z</dcterms:modified>
  <cp:lastModifiedBy>Wang, Eric</cp:lastModifiedBy>
</cp:coreProperties>
</file>