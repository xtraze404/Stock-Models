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Monte Rosa Therapeutics, Inc.</t>
        </is>
      </c>
      <c r="C2" s="10" t="n"/>
    </row>
    <row r="3">
      <c r="B3" t="inlineStr">
        <is>
          <t>Price</t>
        </is>
      </c>
      <c r="C3" s="11">
        <f>INDEX([1]Pharma!$F$1:$F$1000,MATCH("GLUE",[1]Pharma!$B$1:$B$1000,0))</f>
        <v>11.36</v>
      </c>
      <c r="F3" s="1" t="n"/>
    </row>
    <row r="4">
      <c r="B4" t="inlineStr">
        <is>
          <t>Shares</t>
        </is>
      </c>
      <c r="C4" s="21" t="n">
        <v>85.313401</v>
      </c>
      <c r="F4" s="1" t="n"/>
    </row>
    <row r="5">
      <c r="B5" t="inlineStr">
        <is>
          <t>Market Cap.</t>
        </is>
      </c>
      <c r="C5" s="13">
        <f>C3*C4</f>
        <v>969.1602353599999</v>
      </c>
      <c r="F5" s="1" t="n"/>
    </row>
    <row r="6"/>
    <row r="7">
      <c r="B7" t="inlineStr">
        <is>
          <t>Cash</t>
        </is>
      </c>
      <c r="C7" s="21" t="n">
        <v>621.1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348.06023535999987</v>
      </c>
    </row>
    <row r="10"/>
    <row r="11">
      <c r="B11" s="14" t="inlineStr">
        <is>
          <t>Net Cash / Share</t>
        </is>
      </c>
      <c r="C11" s="11">
        <f>(C7-C8)/C4</f>
        <v>7.280216152676882</v>
      </c>
    </row>
    <row r="12">
      <c r="B12" s="14" t="inlineStr">
        <is>
          <t>Upside</t>
        </is>
      </c>
      <c r="C12" s="15">
        <f>IFERROR(C11/C3-1,"")</f>
        <v>-0.3591359020530913</v>
      </c>
    </row>
    <row r="13">
      <c r="B13" s="14" t="inlineStr">
        <is>
          <t>Cash / Share</t>
        </is>
      </c>
      <c r="C13" s="11">
        <f>IFERROR((C7-C8)/C4,"")</f>
        <v>7.280216152676882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-24.069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25.804977356765967</v>
      </c>
    </row>
    <row r="19">
      <c r="B19" s="14" t="inlineStr">
        <is>
          <t>Implied Pipeline Value</t>
        </is>
      </c>
      <c r="C19" s="13">
        <f>C9</f>
        <v>348.06023535999987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75.622</v>
      </c>
      <c r="G2" s="23" t="n">
        <v>123.672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75.622</v>
      </c>
      <c r="G4" s="23">
        <f>G2-G3</f>
        <v>123.672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24.005</v>
      </c>
      <c r="C5" s="23" t="n">
        <v>57.155</v>
      </c>
      <c r="D5" s="23" t="n">
        <v>85.06100000000001</v>
      </c>
      <c r="E5" s="23" t="n">
        <v>111.272</v>
      </c>
      <c r="F5" s="23" t="n">
        <v>121.563</v>
      </c>
      <c r="G5" s="23" t="n">
        <v>141.5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4.005</v>
      </c>
      <c r="C6" s="23" t="n">
        <v>15.727</v>
      </c>
      <c r="D6" s="23" t="n">
        <v>27.323</v>
      </c>
      <c r="E6" s="23" t="n">
        <v>32.039</v>
      </c>
      <c r="F6" s="23" t="n">
        <v>35.171</v>
      </c>
      <c r="G6" s="23" t="n">
        <v>36.38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28.009999999999998</v>
      </c>
      <c r="C7" s="23">
        <f>SUM(C5:C6)</f>
        <v>72.882</v>
      </c>
      <c r="D7" s="23">
        <f>SUM(D5:D6)</f>
        <v>112.38400000000001</v>
      </c>
      <c r="E7" s="23">
        <f>SUM(E5:E6)</f>
        <v>143.311</v>
      </c>
      <c r="F7" s="23">
        <f>SUM(F5:F6)</f>
        <v>156.734</v>
      </c>
      <c r="G7" s="23">
        <f>SUM(G5:G6)</f>
        <v>177.88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-28.009999999999998</v>
      </c>
      <c r="C8" s="23">
        <f>C4-C7</f>
        <v>-72.882</v>
      </c>
      <c r="D8" s="23">
        <f>D4-D7</f>
        <v>-112.38400000000001</v>
      </c>
      <c r="E8" s="23">
        <f>E4-E7</f>
        <v>-143.311</v>
      </c>
      <c r="F8" s="23">
        <f>F4-F7</f>
        <v>-81.11200000000001</v>
      </c>
      <c r="G8" s="23">
        <f>G4-G7</f>
        <v>-54.208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-7.869</v>
      </c>
      <c r="C9" s="23" t="n">
        <v>-1.076</v>
      </c>
      <c r="D9" s="23" t="n">
        <v>3.883</v>
      </c>
      <c r="E9" s="23" t="n">
        <v>8.297000000000001</v>
      </c>
      <c r="F9" s="23" t="n">
        <v>10.982</v>
      </c>
      <c r="G9" s="23" t="n">
        <v>14.511</v>
      </c>
    </row>
    <row r="10">
      <c r="A10" s="2" t="inlineStr">
        <is>
          <t>Pretax</t>
        </is>
      </c>
      <c r="B10" s="23">
        <f>B8+B9</f>
        <v>-35.879</v>
      </c>
      <c r="C10" s="23">
        <f>C8+C9</f>
        <v>-73.958</v>
      </c>
      <c r="D10" s="23">
        <f>D8+D9</f>
        <v>-108.50100000000002</v>
      </c>
      <c r="E10" s="23">
        <f>E8+E9</f>
        <v>-135.014</v>
      </c>
      <c r="F10" s="23">
        <f>F8+F9</f>
        <v>-70.13000000000001</v>
      </c>
      <c r="G10" s="23">
        <f>G8+G9</f>
        <v>-39.697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0.338</v>
      </c>
      <c r="F11" s="23" t="n">
        <v>2.57</v>
      </c>
      <c r="G11" s="23" t="n">
        <v>-1.097</v>
      </c>
    </row>
    <row r="12">
      <c r="A12" s="2" t="inlineStr">
        <is>
          <t>Net Income</t>
        </is>
      </c>
      <c r="B12" s="23" t="n">
        <v>-35.879</v>
      </c>
      <c r="C12" s="23" t="n">
        <v>-73.958</v>
      </c>
      <c r="D12" s="23" t="n">
        <v>-108.501</v>
      </c>
      <c r="E12" s="23" t="n">
        <v>-135.352</v>
      </c>
      <c r="F12" s="23" t="n">
        <v>-72.7</v>
      </c>
      <c r="G12" s="23" t="n">
        <v>-38.6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-23.651285431773236</v>
      </c>
      <c r="C13" s="11">
        <f>IFERROR(C12/C14,0)</f>
        <v>-2.95832</v>
      </c>
      <c r="D13" s="11">
        <f>IFERROR(D12/D14,0)</f>
        <v>-2.297435788849599</v>
      </c>
      <c r="E13" s="11">
        <f>IFERROR(E12/E14,0)</f>
        <v>-2.633461096951184</v>
      </c>
      <c r="F13" s="11">
        <f>IFERROR(F12/F14,0)</f>
        <v>-0.9836287376539035</v>
      </c>
      <c r="G13" s="11">
        <f>IFERROR(G12/G14,0)</f>
        <v>-0.46466275836332777</v>
      </c>
    </row>
    <row r="14">
      <c r="A14" s="2" t="inlineStr">
        <is>
          <t>Shares</t>
        </is>
      </c>
      <c r="B14" s="23" t="n">
        <v>1.517</v>
      </c>
      <c r="C14" s="23" t="n">
        <v>25</v>
      </c>
      <c r="D14" s="23" t="n">
        <v>47.227</v>
      </c>
      <c r="E14" s="23" t="n">
        <v>51.397</v>
      </c>
      <c r="F14" s="23" t="n">
        <v>73.91</v>
      </c>
      <c r="G14" s="23" t="n">
        <v>83.071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0.6353971066620825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-1.0725979212398509</v>
      </c>
      <c r="G18" s="15">
        <f>IFERROR(G8/G2,"")</f>
        <v>-0.4383207193220778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2026-10-21T01:04:54Z</dcterms:modified>
  <cp:lastModifiedBy>Wang, Eric</cp:lastModifiedBy>
</cp:coreProperties>
</file>