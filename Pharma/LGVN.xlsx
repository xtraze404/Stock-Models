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Longeveron Inc</t>
        </is>
      </c>
      <c r="C2" s="10" t="n"/>
    </row>
    <row r="3">
      <c r="B3" t="inlineStr">
        <is>
          <t>Price</t>
        </is>
      </c>
      <c r="C3" s="11">
        <f>INDEX([1]Pharma!$F$1:$F$1000,MATCH("LGVN",[1]Pharma!$B$1:$B$1000,0))</f>
        <v>1.5</v>
      </c>
      <c r="F3" s="1" t="n"/>
    </row>
    <row r="4">
      <c r="B4" t="inlineStr">
        <is>
          <t>Shares</t>
        </is>
      </c>
      <c r="C4" s="21" t="n">
        <v>31.881979</v>
      </c>
      <c r="F4" s="1" t="n"/>
    </row>
    <row r="5">
      <c r="B5" t="inlineStr">
        <is>
          <t>Market Cap.</t>
        </is>
      </c>
      <c r="C5" s="13">
        <f>C3*C4</f>
        <v>47.8229685</v>
      </c>
      <c r="F5" s="1" t="n"/>
    </row>
    <row r="6"/>
    <row r="7">
      <c r="B7" t="inlineStr">
        <is>
          <t>Cash</t>
        </is>
      </c>
      <c r="C7" s="21" t="n">
        <v>10.077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37.745968500000004</v>
      </c>
    </row>
    <row r="10"/>
    <row r="11">
      <c r="B11" s="14" t="inlineStr">
        <is>
          <t>Net Cash / Share</t>
        </is>
      </c>
      <c r="C11" s="11">
        <f>(C7-C8)/C4</f>
        <v>0.3160719728220133</v>
      </c>
    </row>
    <row r="12">
      <c r="B12" s="14" t="inlineStr">
        <is>
          <t>Upside</t>
        </is>
      </c>
      <c r="C12" s="15">
        <f>IFERROR(C11/C3-1,"")</f>
        <v>-0.7892853514519911</v>
      </c>
    </row>
    <row r="13">
      <c r="B13" s="14" t="inlineStr">
        <is>
          <t>Cash / Share</t>
        </is>
      </c>
      <c r="C13" s="11">
        <f>IFERROR((C7-C8)/C4,"")</f>
        <v>0.3160719728220133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-20.374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0.49460096201040543</v>
      </c>
    </row>
    <row r="19">
      <c r="B19" s="14" t="inlineStr">
        <is>
          <t>Implied Pipeline Value</t>
        </is>
      </c>
      <c r="C19" s="13">
        <f>C9</f>
        <v>37.745968500000004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5.629</v>
      </c>
      <c r="C2" s="23" t="n">
        <v>1.306</v>
      </c>
      <c r="D2" s="23" t="n">
        <v>1.222</v>
      </c>
      <c r="E2" s="23" t="n">
        <v>0.709</v>
      </c>
      <c r="F2" s="23" t="n">
        <v>2.392</v>
      </c>
      <c r="G2" s="23" t="n">
        <v>1.199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3.803</v>
      </c>
      <c r="C3" s="23" t="n">
        <v>0.716</v>
      </c>
      <c r="D3" s="23" t="n">
        <v>0.725</v>
      </c>
      <c r="E3" s="23" t="n">
        <v>0.488</v>
      </c>
      <c r="F3" s="23" t="n">
        <v>0.508</v>
      </c>
      <c r="G3" s="23" t="n">
        <v>0.396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1.8259999999999996</v>
      </c>
      <c r="C4" s="23">
        <f>C2-C3</f>
        <v>0.5900000000000001</v>
      </c>
      <c r="D4" s="23">
        <f>D2-D3</f>
        <v>0.497</v>
      </c>
      <c r="E4" s="23">
        <f>E2-E3</f>
        <v>0.22099999999999997</v>
      </c>
      <c r="F4" s="23">
        <f>F2-F3</f>
        <v>1.884</v>
      </c>
      <c r="G4" s="23">
        <f>G2-G3</f>
        <v>0.803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2.674</v>
      </c>
      <c r="C5" s="23" t="n">
        <v>7.092</v>
      </c>
      <c r="D5" s="23" t="n">
        <v>9.369999999999999</v>
      </c>
      <c r="E5" s="23" t="n">
        <v>9.066000000000001</v>
      </c>
      <c r="F5" s="23" t="n">
        <v>8.137</v>
      </c>
      <c r="G5" s="23" t="n">
        <v>12.041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2.93</v>
      </c>
      <c r="C6" s="23" t="n">
        <v>10.954</v>
      </c>
      <c r="D6" s="23" t="n">
        <v>9.17</v>
      </c>
      <c r="E6" s="23" t="n">
        <v>12.184</v>
      </c>
      <c r="F6" s="23" t="n">
        <v>10.269</v>
      </c>
      <c r="G6" s="23" t="n">
        <v>12.049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5.604</v>
      </c>
      <c r="C7" s="23">
        <f>SUM(C5:C6)</f>
        <v>18.046</v>
      </c>
      <c r="D7" s="23">
        <f>SUM(D5:D6)</f>
        <v>18.54</v>
      </c>
      <c r="E7" s="23">
        <f>SUM(E5:E6)</f>
        <v>21.25</v>
      </c>
      <c r="F7" s="23">
        <f>SUM(F5:F6)</f>
        <v>18.406</v>
      </c>
      <c r="G7" s="23">
        <f>SUM(G5:G6)</f>
        <v>24.09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-3.7780000000000005</v>
      </c>
      <c r="C8" s="23">
        <f>C4-C7</f>
        <v>-17.456</v>
      </c>
      <c r="D8" s="23">
        <f>D4-D7</f>
        <v>-18.043</v>
      </c>
      <c r="E8" s="23">
        <f>E4-E7</f>
        <v>-21.029</v>
      </c>
      <c r="F8" s="23">
        <f>F4-F7</f>
        <v>-16.522</v>
      </c>
      <c r="G8" s="23">
        <f>G4-G7</f>
        <v>-23.287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0.057</v>
      </c>
      <c r="C9" s="23" t="n">
        <v>0.411</v>
      </c>
      <c r="D9" s="23" t="n">
        <v>-0.792</v>
      </c>
      <c r="E9" s="23" t="n">
        <v>-0.384</v>
      </c>
      <c r="F9" s="23" t="n">
        <v>0.549</v>
      </c>
      <c r="G9" s="23" t="n">
        <v>0.583</v>
      </c>
    </row>
    <row r="10">
      <c r="A10" s="2" t="inlineStr">
        <is>
          <t>Pretax</t>
        </is>
      </c>
      <c r="B10" s="23">
        <f>B8+B9</f>
        <v>-3.7210000000000005</v>
      </c>
      <c r="C10" s="23">
        <f>C8+C9</f>
        <v>-17.044999999999998</v>
      </c>
      <c r="D10" s="23">
        <f>D8+D9</f>
        <v>-18.835</v>
      </c>
      <c r="E10" s="23">
        <f>E8+E9</f>
        <v>-21.413</v>
      </c>
      <c r="F10" s="23">
        <f>F8+F9</f>
        <v>-15.972999999999999</v>
      </c>
      <c r="G10" s="23">
        <f>G8+G9</f>
        <v>-22.704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-3.721</v>
      </c>
      <c r="C12" s="23" t="n">
        <v>-17.045</v>
      </c>
      <c r="D12" s="23" t="n">
        <v>-18.835</v>
      </c>
      <c r="E12" s="23" t="n">
        <v>-21.413</v>
      </c>
      <c r="F12" s="23" t="n">
        <v>-15.973</v>
      </c>
      <c r="G12" s="23" t="n">
        <v>-22.704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-1.1945425361155697</v>
      </c>
      <c r="C13" s="11">
        <f>IFERROR(C12/C14,0)</f>
        <v>-4.635572477563231</v>
      </c>
      <c r="D13" s="11">
        <f>IFERROR(D12/D14,0)</f>
        <v>-4.620951913640825</v>
      </c>
      <c r="E13" s="11">
        <f>IFERROR(E12/E14,0)</f>
        <v>-5.270243662318484</v>
      </c>
      <c r="F13" s="11">
        <f>IFERROR(F12/F14,0)</f>
        <v>-0.9080211471775339</v>
      </c>
      <c r="G13" s="11">
        <f>IFERROR(G12/G14,0)</f>
        <v>-1.2916880013654206</v>
      </c>
    </row>
    <row r="14">
      <c r="A14" s="2" t="inlineStr">
        <is>
          <t>Shares</t>
        </is>
      </c>
      <c r="B14" s="23" t="n">
        <v>3.115</v>
      </c>
      <c r="C14" s="23" t="n">
        <v>3.677</v>
      </c>
      <c r="D14" s="23" t="n">
        <v>4.076</v>
      </c>
      <c r="E14" s="23" t="n">
        <v>4.063</v>
      </c>
      <c r="F14" s="23" t="n">
        <v>17.591</v>
      </c>
      <c r="G14" s="23" t="n">
        <v>17.577</v>
      </c>
    </row>
    <row r="15"/>
    <row r="16" customFormat="1" s="4">
      <c r="A16" s="3" t="inlineStr">
        <is>
          <t>Revenue Change</t>
        </is>
      </c>
      <c r="C16" s="15">
        <f>IFERROR(C2/B2-1,"")</f>
        <v>-0.7679872090957541</v>
      </c>
      <c r="D16" s="15">
        <f>IFERROR(D2/C2-1,"")</f>
        <v>-0.06431852986217468</v>
      </c>
      <c r="E16" s="15">
        <f>IFERROR(E2/D2-1,"")</f>
        <v>-0.4198036006546645</v>
      </c>
      <c r="F16" s="15">
        <f>IFERROR(F2/E2-1,"")</f>
        <v>2.3737658674189</v>
      </c>
      <c r="G16" s="15">
        <f>IFERROR(G2/F2-1,"")</f>
        <v>-0.49874581939799323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0.32439154379108187</v>
      </c>
      <c r="C17" s="15">
        <f>IFERROR(C4/C2,"")</f>
        <v>0.4517611026033691</v>
      </c>
      <c r="D17" s="15">
        <f>IFERROR(D4/D2,"")</f>
        <v>0.4067103109656301</v>
      </c>
      <c r="E17" s="15">
        <f>IFERROR(E4/E2,"")</f>
        <v>0.311706629055007</v>
      </c>
      <c r="F17" s="15">
        <f>IFERROR(F4/F2,"")</f>
        <v>0.7876254180602007</v>
      </c>
      <c r="G17" s="15">
        <f>IFERROR(G4/G2,"")</f>
        <v>0.6697247706422018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-0.6711671700124358</v>
      </c>
      <c r="C18" s="15">
        <f>IFERROR(C8/C2,"")</f>
        <v>-13.366003062787135</v>
      </c>
      <c r="D18" s="15">
        <f>IFERROR(D8/D2,"")</f>
        <v>-14.765139116202946</v>
      </c>
      <c r="E18" s="15">
        <f>IFERROR(E8/E2,"")</f>
        <v>-29.660084626234134</v>
      </c>
      <c r="F18" s="15">
        <f>IFERROR(F8/F2,"")</f>
        <v>-6.907190635451505</v>
      </c>
      <c r="G18" s="15">
        <f>IFERROR(G8/G2,"")</f>
        <v>-19.42201834862385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2026-10-21T06:29:28Z</dcterms:modified>
  <cp:lastModifiedBy>Wang, Eric</cp:lastModifiedBy>
</cp:coreProperties>
</file>