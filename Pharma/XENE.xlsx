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Xenon Pharmaceuticals Inc.</t>
        </is>
      </c>
      <c r="C2" s="10" t="n"/>
    </row>
    <row r="3">
      <c r="B3" t="inlineStr">
        <is>
          <t>Price</t>
        </is>
      </c>
      <c r="C3" s="11">
        <f>INDEX([1]Pharma!$F$1:$F$1000,MATCH("XENE",[1]Pharma!$B$1:$B$1000,0))</f>
        <v>36.27</v>
      </c>
      <c r="F3" s="1" t="n"/>
    </row>
    <row r="4">
      <c r="B4" t="inlineStr">
        <is>
          <t>Shares</t>
        </is>
      </c>
      <c r="C4" s="21" t="n">
        <v>96.84043200000001</v>
      </c>
      <c r="F4" s="1" t="n"/>
    </row>
    <row r="5">
      <c r="B5" t="inlineStr">
        <is>
          <t>Market Cap.</t>
        </is>
      </c>
      <c r="C5" s="13">
        <f>C3*C4</f>
        <v>3512.4024686400007</v>
      </c>
      <c r="F5" s="1" t="n"/>
    </row>
    <row r="6"/>
    <row r="7">
      <c r="B7" t="inlineStr">
        <is>
          <t>Cash</t>
        </is>
      </c>
      <c r="C7" s="21">
        <f>119.527+811.159</f>
        <v>930.686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2581.7164686400006</v>
      </c>
    </row>
    <row r="10"/>
    <row r="11">
      <c r="B11" s="14" t="inlineStr">
        <is>
          <t>rNPV / Share</t>
        </is>
      </c>
      <c r="C11" s="11">
        <f>NPV!B27</f>
        <v>16.622505025658594</v>
      </c>
    </row>
    <row r="12">
      <c r="B12" s="14" t="inlineStr">
        <is>
          <t>Upside</t>
        </is>
      </c>
      <c r="C12" s="15">
        <f>IFERROR(C11/C3-1,"")</f>
        <v>-0.5417009918483984</v>
      </c>
    </row>
    <row r="13">
      <c r="B13" s="14" t="inlineStr">
        <is>
          <t>Cash / Share</t>
        </is>
      </c>
      <c r="C13" s="11">
        <f>IFERROR((C7-C8)/C4,"")</f>
        <v>9.610510618126941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-337.52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2.7574247452002845</v>
      </c>
    </row>
    <row r="19">
      <c r="B19" s="14" t="inlineStr">
        <is>
          <t>Implied Pipeline Value</t>
        </is>
      </c>
      <c r="C19" s="13">
        <f>C9</f>
        <v>2581.7164686400006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2012</v>
      </c>
      <c r="C1" s="17" t="n">
        <v>2013</v>
      </c>
      <c r="D1" s="17" t="n">
        <v>2014</v>
      </c>
      <c r="E1" s="17" t="n">
        <v>2015</v>
      </c>
      <c r="F1" s="17" t="n">
        <v>2016</v>
      </c>
      <c r="G1" s="17" t="n">
        <v>2017</v>
      </c>
      <c r="H1" s="17" t="n">
        <v>2018</v>
      </c>
      <c r="I1" s="17" t="n">
        <v>2019</v>
      </c>
      <c r="J1" s="17" t="n">
        <v>2020</v>
      </c>
      <c r="K1" s="17" t="n">
        <v>2021</v>
      </c>
      <c r="L1" s="17" t="n">
        <v>2022</v>
      </c>
      <c r="M1" s="17" t="n">
        <v>2023</v>
      </c>
      <c r="N1" s="17" t="n">
        <v>2024</v>
      </c>
      <c r="O1" s="17" t="n">
        <v>2025</v>
      </c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14.308</v>
      </c>
      <c r="C2" s="23" t="n">
        <v>27.356</v>
      </c>
      <c r="D2" s="23" t="n">
        <v>28.37</v>
      </c>
      <c r="E2" s="23" t="n">
        <v>15.577</v>
      </c>
      <c r="F2" s="23" t="n">
        <v>1.803</v>
      </c>
      <c r="G2" s="23" t="n">
        <v>0.311</v>
      </c>
      <c r="H2" s="23" t="n">
        <v>0</v>
      </c>
      <c r="I2" s="23" t="n">
        <v>6.829</v>
      </c>
      <c r="J2" s="23" t="n">
        <v>32.166</v>
      </c>
      <c r="K2" s="23" t="n">
        <v>18.437</v>
      </c>
      <c r="L2" s="23" t="n">
        <v>9.433999999999999</v>
      </c>
      <c r="M2" s="23" t="n">
        <v>0</v>
      </c>
      <c r="N2" s="23" t="n">
        <v>0</v>
      </c>
      <c r="O2" s="23" t="n">
        <v>7.5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</row>
    <row r="4" customFormat="1" s="1">
      <c r="A4" s="5" t="inlineStr">
        <is>
          <t>Gross Margin</t>
        </is>
      </c>
      <c r="B4" s="23">
        <f>B2-B3</f>
        <v>14.308</v>
      </c>
      <c r="C4" s="23">
        <f>C2-C3</f>
        <v>27.356</v>
      </c>
      <c r="D4" s="23">
        <f>D2-D3</f>
        <v>28.37</v>
      </c>
      <c r="E4" s="23">
        <f>E2-E3</f>
        <v>15.577</v>
      </c>
      <c r="F4" s="23">
        <f>F2-F3</f>
        <v>1.803</v>
      </c>
      <c r="G4" s="23">
        <f>G2-G3</f>
        <v>0.311</v>
      </c>
      <c r="H4" s="23">
        <f>H2-H3</f>
        <v>0.0</v>
      </c>
      <c r="I4" s="23">
        <f>I2-I3</f>
        <v>6.829</v>
      </c>
      <c r="J4" s="23">
        <f>J2-J3</f>
        <v>32.166</v>
      </c>
      <c r="K4" s="23">
        <f>K2-K3</f>
        <v>18.437</v>
      </c>
      <c r="L4" s="23">
        <f>L2-L3</f>
        <v>9.434</v>
      </c>
      <c r="M4" s="23">
        <f>M2-M3</f>
        <v>0.0</v>
      </c>
      <c r="N4" s="23">
        <f>N2-N3</f>
        <v>0.0</v>
      </c>
      <c r="O4" s="23">
        <f>O2-O3</f>
        <v>7.5</v>
      </c>
    </row>
    <row r="5">
      <c r="A5" s="2" t="inlineStr">
        <is>
          <t>Research &amp; Dev.</t>
        </is>
      </c>
      <c r="B5" s="23" t="n">
        <v>10.455</v>
      </c>
      <c r="C5" s="23" t="n">
        <v>12.303</v>
      </c>
      <c r="D5" s="23" t="n">
        <v>11.768</v>
      </c>
      <c r="E5" s="23" t="n">
        <v>15.152</v>
      </c>
      <c r="F5" s="23" t="n">
        <v>19.828</v>
      </c>
      <c r="G5" s="23" t="n">
        <v>25.573</v>
      </c>
      <c r="H5" s="23" t="n">
        <v>23.634</v>
      </c>
      <c r="I5" s="23" t="n">
        <v>38.845</v>
      </c>
      <c r="J5" s="23" t="n">
        <v>50.523</v>
      </c>
      <c r="K5" s="23" t="n">
        <v>75.46299999999999</v>
      </c>
      <c r="L5" s="23" t="n">
        <v>105.767</v>
      </c>
      <c r="M5" s="23" t="n">
        <v>167.512</v>
      </c>
      <c r="N5" s="23" t="n">
        <v>210.394</v>
      </c>
      <c r="O5" s="23" t="n">
        <v>300.938</v>
      </c>
    </row>
    <row r="6">
      <c r="A6" s="19" t="inlineStr">
        <is>
          <t>SG&amp;A &amp; Other</t>
        </is>
      </c>
      <c r="B6" s="23" t="n">
        <v>7.006</v>
      </c>
      <c r="C6" s="23" t="n">
        <v>5.341</v>
      </c>
      <c r="D6" s="23" t="n">
        <v>5.496</v>
      </c>
      <c r="E6" s="23" t="n">
        <v>9.786</v>
      </c>
      <c r="F6" s="23" t="n">
        <v>6.792</v>
      </c>
      <c r="G6" s="23" t="n">
        <v>7.313</v>
      </c>
      <c r="H6" s="23" t="n">
        <v>14.406</v>
      </c>
      <c r="I6" s="23" t="n">
        <v>10.803</v>
      </c>
      <c r="J6" s="23" t="n">
        <v>12.944</v>
      </c>
      <c r="K6" s="23" t="n">
        <v>21.967</v>
      </c>
      <c r="L6" s="23" t="n">
        <v>32.81</v>
      </c>
      <c r="M6" s="23" t="n">
        <v>46.542</v>
      </c>
      <c r="N6" s="23" t="n">
        <v>68.904</v>
      </c>
      <c r="O6" s="23" t="n">
        <v>79.63200000000001</v>
      </c>
    </row>
    <row r="7">
      <c r="A7" s="2" t="inlineStr">
        <is>
          <t>Operating Expense</t>
        </is>
      </c>
      <c r="B7" s="23">
        <f>SUM(B5:B6)</f>
        <v>17.461</v>
      </c>
      <c r="C7" s="23">
        <f>SUM(C5:C6)</f>
        <v>17.644000000000002</v>
      </c>
      <c r="D7" s="23">
        <f>SUM(D5:D6)</f>
        <v>17.264000000000003</v>
      </c>
      <c r="E7" s="23">
        <f>SUM(E5:E6)</f>
        <v>24.938</v>
      </c>
      <c r="F7" s="23">
        <f>SUM(F5:F6)</f>
        <v>26.619999999999997</v>
      </c>
      <c r="G7" s="23">
        <f>SUM(G5:G6)</f>
        <v>32.886</v>
      </c>
      <c r="H7" s="23">
        <f>SUM(H5:H6)</f>
        <v>38.04</v>
      </c>
      <c r="I7" s="23">
        <f>SUM(I5:I6)</f>
        <v>49.647999999999996</v>
      </c>
      <c r="J7" s="23">
        <f>SUM(J5:J6)</f>
        <v>63.467000000000006</v>
      </c>
      <c r="K7" s="23">
        <f>SUM(K5:K6)</f>
        <v>97.42999999999999</v>
      </c>
      <c r="L7" s="23">
        <f>SUM(L5:L6)</f>
        <v>138.577</v>
      </c>
      <c r="M7" s="23">
        <f>SUM(M5:M6)</f>
        <v>214.054</v>
      </c>
      <c r="N7" s="23">
        <f>SUM(N5:N6)</f>
        <v>279.298</v>
      </c>
      <c r="O7" s="23">
        <f>SUM(O5:O6)</f>
        <v>380.57</v>
      </c>
    </row>
    <row r="8">
      <c r="A8" s="2" t="inlineStr">
        <is>
          <t>Operating Income</t>
        </is>
      </c>
      <c r="B8" s="23">
        <f>B4-B7</f>
        <v>-3.1529999999999987</v>
      </c>
      <c r="C8" s="23">
        <f>C4-C7</f>
        <v>9.712</v>
      </c>
      <c r="D8" s="23">
        <f>D4-D7</f>
        <v>11.105999999999998</v>
      </c>
      <c r="E8" s="23">
        <f>E4-E7</f>
        <v>-9.360999999999999</v>
      </c>
      <c r="F8" s="23">
        <f>F4-F7</f>
        <v>-24.816999999999997</v>
      </c>
      <c r="G8" s="23">
        <f>G4-G7</f>
        <v>-32.575</v>
      </c>
      <c r="H8" s="23">
        <f>H4-H7</f>
        <v>-38.04</v>
      </c>
      <c r="I8" s="23">
        <f>I4-I7</f>
        <v>-42.818999999999996</v>
      </c>
      <c r="J8" s="23">
        <f>J4-J7</f>
        <v>-31.30100000000001</v>
      </c>
      <c r="K8" s="23">
        <f>K4-K7</f>
        <v>-78.993</v>
      </c>
      <c r="L8" s="23">
        <f>L4-L7</f>
        <v>-129.143</v>
      </c>
      <c r="M8" s="23">
        <f>M4-M7</f>
        <v>-214.054</v>
      </c>
      <c r="N8" s="23">
        <f>N4-N7</f>
        <v>-279.298</v>
      </c>
      <c r="O8" s="23">
        <f>O4-O7</f>
        <v>-373.07</v>
      </c>
    </row>
    <row r="9">
      <c r="A9" s="19" t="inlineStr">
        <is>
          <t>Interest &amp; Other</t>
        </is>
      </c>
      <c r="B9" s="23" t="n">
        <v>-1.148</v>
      </c>
      <c r="C9" s="23" t="n">
        <v>2.32</v>
      </c>
      <c r="D9" s="23" t="n">
        <v>1.912</v>
      </c>
      <c r="E9" s="23" t="n">
        <v>-6.391</v>
      </c>
      <c r="F9" s="23" t="n">
        <v>1.82</v>
      </c>
      <c r="G9" s="23" t="n">
        <v>1.871</v>
      </c>
      <c r="H9" s="23" t="n">
        <v>3.519</v>
      </c>
      <c r="I9" s="23" t="n">
        <v>1.201</v>
      </c>
      <c r="J9" s="23" t="n">
        <v>2.207</v>
      </c>
      <c r="K9" s="23" t="n">
        <v>0.105</v>
      </c>
      <c r="L9" s="23" t="n">
        <v>3.888</v>
      </c>
      <c r="M9" s="23" t="n">
        <v>31.369</v>
      </c>
      <c r="N9" s="23" t="n">
        <v>40.879</v>
      </c>
      <c r="O9" s="23" t="n">
        <v>28.176</v>
      </c>
    </row>
    <row r="10">
      <c r="A10" s="2" t="inlineStr">
        <is>
          <t>Pretax</t>
        </is>
      </c>
      <c r="B10" s="23">
        <f>B8+B9</f>
        <v>-4.300999999999998</v>
      </c>
      <c r="C10" s="23">
        <f>C8+C9</f>
        <v>12.032</v>
      </c>
      <c r="D10" s="23">
        <f>D8+D9</f>
        <v>13.017999999999997</v>
      </c>
      <c r="E10" s="23">
        <f>E8+E9</f>
        <v>-15.751999999999999</v>
      </c>
      <c r="F10" s="23">
        <f>F8+F9</f>
        <v>-22.996999999999996</v>
      </c>
      <c r="G10" s="23">
        <f>G8+G9</f>
        <v>-30.704000000000004</v>
      </c>
      <c r="H10" s="23">
        <f>H8+H9</f>
        <v>-34.521</v>
      </c>
      <c r="I10" s="23">
        <f>I8+I9</f>
        <v>-41.617999999999995</v>
      </c>
      <c r="J10" s="23">
        <f>J8+J9</f>
        <v>-29.09400000000001</v>
      </c>
      <c r="K10" s="23">
        <f>K8+K9</f>
        <v>-78.88799999999999</v>
      </c>
      <c r="L10" s="23">
        <f>L8+L9</f>
        <v>-125.255</v>
      </c>
      <c r="M10" s="23">
        <f>M8+M9</f>
        <v>-182.685</v>
      </c>
      <c r="N10" s="23">
        <f>N8+N9</f>
        <v>-238.419</v>
      </c>
      <c r="O10" s="23">
        <f>O8+O9</f>
        <v>-344.894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-0.024</v>
      </c>
      <c r="I11" s="23" t="n">
        <v>-0.023</v>
      </c>
      <c r="J11" s="23" t="n">
        <v>-0.257</v>
      </c>
      <c r="K11" s="23" t="n">
        <v>-0.006</v>
      </c>
      <c r="L11" s="23" t="n">
        <v>0.118</v>
      </c>
      <c r="M11" s="23" t="n">
        <v>-0.292</v>
      </c>
      <c r="N11" s="23" t="n">
        <v>-4.089</v>
      </c>
      <c r="O11" s="23" t="n">
        <v>1.016</v>
      </c>
    </row>
    <row r="12">
      <c r="A12" s="2" t="inlineStr">
        <is>
          <t>Net Income</t>
        </is>
      </c>
      <c r="B12" s="23" t="n">
        <v>-4.301</v>
      </c>
      <c r="C12" s="23" t="n">
        <v>12.032</v>
      </c>
      <c r="D12" s="23" t="n">
        <v>13.018</v>
      </c>
      <c r="E12" s="23" t="n">
        <v>-15.752</v>
      </c>
      <c r="F12" s="23" t="n">
        <v>-22.997</v>
      </c>
      <c r="G12" s="23" t="n">
        <v>-30.704</v>
      </c>
      <c r="H12" s="23" t="n">
        <v>-34.497</v>
      </c>
      <c r="I12" s="23" t="n">
        <v>-41.595</v>
      </c>
      <c r="J12" s="23" t="n">
        <v>-28.837</v>
      </c>
      <c r="K12" s="23" t="n">
        <v>-78.88200000000001</v>
      </c>
      <c r="L12" s="23" t="n">
        <v>-125.373</v>
      </c>
      <c r="M12" s="23" t="n">
        <v>-182.393</v>
      </c>
      <c r="N12" s="23" t="n">
        <v>-234.33</v>
      </c>
      <c r="O12" s="23" t="n">
        <v>-345.91</v>
      </c>
    </row>
    <row r="13">
      <c r="A13" s="2" t="inlineStr">
        <is>
          <t>Earnings per Share</t>
        </is>
      </c>
      <c r="B13" s="11">
        <f>IFERROR(B12/B14,0)</f>
        <v>-1.6199623352165726</v>
      </c>
      <c r="C13" s="11">
        <f>IFERROR(C12/C14,0)</f>
        <v>2.9945246391239424</v>
      </c>
      <c r="D13" s="11">
        <f>IFERROR(D12/D14,0)</f>
        <v>3.284056508577195</v>
      </c>
      <c r="E13" s="11">
        <f>IFERROR(E12/E14,0)</f>
        <v>-1.102926760957849</v>
      </c>
      <c r="F13" s="11">
        <f>IFERROR(F12/F14,0)</f>
        <v>-1.4843477699606273</v>
      </c>
      <c r="G13" s="11">
        <f>IFERROR(G12/G14,0)</f>
        <v>-1.7055882679702257</v>
      </c>
      <c r="H13" s="11">
        <f>IFERROR(H12/H14,0)</f>
        <v>-1.7758159168125194</v>
      </c>
      <c r="I13" s="11">
        <f>IFERROR(I12/I14,0)</f>
        <v>-1.6035699140290682</v>
      </c>
      <c r="J13" s="11">
        <f>IFERROR(J12/J14,0)</f>
        <v>-0.834838747032598</v>
      </c>
      <c r="K13" s="11">
        <f>IFERROR(K12/K14,0)</f>
        <v>-1.808100488229766</v>
      </c>
      <c r="L13" s="11">
        <f>IFERROR(L12/L14,0)</f>
        <v>-2.070843381454197</v>
      </c>
      <c r="M13" s="11">
        <f>IFERROR(M12/M14,0)</f>
        <v>-2.726801118270568</v>
      </c>
      <c r="N13" s="11">
        <f>IFERROR(N12/N14,0)</f>
        <v>-3.0082803774311575</v>
      </c>
      <c r="O13" s="11">
        <f>IFERROR(O12/O14,0)</f>
        <v>-4.364574658692306</v>
      </c>
    </row>
    <row r="14">
      <c r="A14" s="2" t="inlineStr">
        <is>
          <t>Shares</t>
        </is>
      </c>
      <c r="B14" s="23" t="n">
        <v>2.655</v>
      </c>
      <c r="C14" s="23" t="n">
        <v>4.018</v>
      </c>
      <c r="D14" s="23" t="n">
        <v>3.964</v>
      </c>
      <c r="E14" s="23" t="n">
        <v>14.282</v>
      </c>
      <c r="F14" s="23" t="n">
        <v>15.493</v>
      </c>
      <c r="G14" s="23" t="n">
        <v>18.002</v>
      </c>
      <c r="H14" s="23" t="n">
        <v>19.426</v>
      </c>
      <c r="I14" s="23" t="n">
        <v>25.939</v>
      </c>
      <c r="J14" s="23" t="n">
        <v>34.542</v>
      </c>
      <c r="K14" s="23" t="n">
        <v>43.627</v>
      </c>
      <c r="L14" s="23" t="n">
        <v>60.542</v>
      </c>
      <c r="M14" s="23" t="n">
        <v>66.889</v>
      </c>
      <c r="N14" s="23" t="n">
        <v>77.895</v>
      </c>
      <c r="O14" s="23" t="n">
        <v>79.254</v>
      </c>
    </row>
    <row r="15"/>
    <row r="16" customFormat="1" s="4">
      <c r="A16" s="3" t="inlineStr">
        <is>
          <t>Revenue Change</t>
        </is>
      </c>
      <c r="C16" s="15">
        <f>IFERROR(C2/B2-1,"")</f>
        <v>0.9119373776908024</v>
      </c>
      <c r="D16" s="15">
        <f>IFERROR(D2/C2-1,"")</f>
        <v>0.03706682263488803</v>
      </c>
      <c r="E16" s="15">
        <f>IFERROR(E2/D2-1,"")</f>
        <v>-0.4509340853013747</v>
      </c>
      <c r="F16" s="15">
        <f>IFERROR(F2/E2-1,"")</f>
        <v>-0.8842524234448225</v>
      </c>
      <c r="G16" s="15">
        <f>IFERROR(G2/F2-1,"")</f>
        <v>-0.8275097060454797</v>
      </c>
      <c r="H16" s="15">
        <f>IFERROR(H2/G2-1,"")</f>
        <v>-1.0</v>
      </c>
      <c r="I16" s="15">
        <f>IFERROR(I2/H2-1,"")</f>
        <v/>
      </c>
      <c r="J16" s="15">
        <f>IFERROR(J2/I2-1,"")</f>
        <v>3.7102064723971298</v>
      </c>
      <c r="K16" s="15">
        <f>IFERROR(K2/J2-1,"")</f>
        <v>-0.42681713610644767</v>
      </c>
      <c r="L16" s="15">
        <f>IFERROR(L2/K2-1,"")</f>
        <v>-0.48831154743179483</v>
      </c>
      <c r="M16" s="15">
        <f>IFERROR(M2/L2-1,"")</f>
        <v>-1.0</v>
      </c>
      <c r="N16" s="15">
        <f>IFERROR(N2/M2-1,"")</f>
        <v/>
      </c>
      <c r="O16" s="15">
        <f>IFERROR(O2/N2-1,"")</f>
        <v/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/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/>
      </c>
      <c r="N17" s="15">
        <f>IFERROR(N4/N2,"")</f>
        <v/>
      </c>
      <c r="O17" s="15">
        <f>IFERROR(O4/O2,"")</f>
        <v>1.0</v>
      </c>
    </row>
    <row r="18">
      <c r="A18" s="14" t="inlineStr">
        <is>
          <t>Operating Margin</t>
        </is>
      </c>
      <c r="B18" s="15">
        <f>IFERROR(B8/B2,"")</f>
        <v>-0.22036622868325403</v>
      </c>
      <c r="C18" s="15">
        <f>IFERROR(C8/C2,"")</f>
        <v>0.35502266413218303</v>
      </c>
      <c r="D18" s="15">
        <f>IFERROR(D8/D2,"")</f>
        <v>0.39146986253084237</v>
      </c>
      <c r="E18" s="15">
        <f>IFERROR(E8/E2,"")</f>
        <v>-0.6009501187648455</v>
      </c>
      <c r="F18" s="15">
        <f>IFERROR(F8/F2,"")</f>
        <v>-13.764281752634497</v>
      </c>
      <c r="G18" s="15">
        <f>IFERROR(G8/G2,"")</f>
        <v>-104.7427652733119</v>
      </c>
      <c r="H18" s="15">
        <f>IFERROR(H8/H2,"")</f>
        <v/>
      </c>
      <c r="I18" s="15">
        <f>IFERROR(I8/I2,"")</f>
        <v>-6.2701713281593205</v>
      </c>
      <c r="J18" s="15">
        <f>IFERROR(J8/J2,"")</f>
        <v>-0.9731082509482065</v>
      </c>
      <c r="K18" s="15">
        <f>IFERROR(K8/K2,"")</f>
        <v>-4.2844822910451805</v>
      </c>
      <c r="L18" s="15">
        <f>IFERROR(L8/L2,"")</f>
        <v>-13.689103243587027</v>
      </c>
      <c r="M18" s="15">
        <f>IFERROR(M8/M2,"")</f>
        <v/>
      </c>
      <c r="N18" s="15">
        <f>IFERROR(N8/N2,"")</f>
        <v/>
      </c>
      <c r="O18" s="15">
        <f>IFERROR(O8/O2,"")</f>
        <v>-49.742666666666665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Xenon Pharmaceuticals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0.7577195999999999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441.586</v>
      </c>
    </row>
    <row r="19">
      <c r="A19" s="14" t="inlineStr">
        <is>
          <t>Years of full burn (until the first launch, max 4)</t>
        </is>
      </c>
      <c r="B19" s="39">
        <f>MIN(4,MAX(1,MIN(Pipeline!I4:I5)-2026))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1145.6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679.0445676069494</v>
      </c>
      <c r="C29" s="42">
        <f>NPV!B25</f>
        <v>1609.7305676069495</v>
      </c>
      <c r="D29" s="43">
        <f>NPV!B27</f>
        <v>16.622505025658594</v>
      </c>
      <c r="E29" s="44">
        <f>NPV!B29</f>
        <v>-0.5417009918483984</v>
      </c>
    </row>
    <row r="30">
      <c r="A30" s="45" t="n">
        <v>1</v>
      </c>
      <c r="B30" s="46">
        <f t="dataTable" ref="B30:E32" r1="B4"/>
        <v>-395.5112986422139</v>
      </c>
      <c r="C30" s="46">
        <v>535.1747013577861</v>
      </c>
      <c r="D30" s="47">
        <v>5.5263559889714875</v>
      </c>
      <c r="E30" s="48">
        <v>-0.8476328649304801</v>
      </c>
    </row>
    <row r="31">
      <c r="A31" s="45" t="n">
        <v>2</v>
      </c>
      <c r="B31" s="46">
        <v>679.0445676069494</v>
      </c>
      <c r="C31" s="46">
        <v>1609.7305676069495</v>
      </c>
      <c r="D31" s="47">
        <v>16.622505025658594</v>
      </c>
      <c r="E31" s="48">
        <v>-0.5417009918483984</v>
      </c>
    </row>
    <row r="32">
      <c r="A32" s="45" t="n">
        <v>3</v>
      </c>
      <c r="B32" s="46">
        <v>2303.6441895990465</v>
      </c>
      <c r="C32" s="46">
        <v>3234.3301895990467</v>
      </c>
      <c r="D32" s="47">
        <v>33.398551852794775</v>
      </c>
      <c r="E32" s="48">
        <v>-0.07916868340791916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16.622505025658594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3.025007632351654</v>
      </c>
      <c r="C37" s="47">
        <v>6.701064872738046</v>
      </c>
      <c r="D37" s="47">
        <v>10.008449253171918</v>
      </c>
      <c r="E37" s="47">
        <v>16.196593597067356</v>
      </c>
      <c r="F37" s="47">
        <v>22.21807959234959</v>
      </c>
    </row>
    <row r="38">
      <c r="A38" s="50" t="n">
        <v>0.8</v>
      </c>
      <c r="B38" s="47">
        <v>4.457127953116642</v>
      </c>
      <c r="C38" s="47">
        <v>9.104871309284722</v>
      </c>
      <c r="D38" s="47">
        <v>13.283527046332834</v>
      </c>
      <c r="E38" s="47">
        <v>21.367041128180933</v>
      </c>
      <c r="F38" s="47">
        <v>29.304627042001343</v>
      </c>
    </row>
    <row r="39">
      <c r="A39" s="50" t="n">
        <v>1</v>
      </c>
      <c r="B39" s="47">
        <v>6.046746747296648</v>
      </c>
      <c r="C39" s="47">
        <v>11.50168028840139</v>
      </c>
      <c r="D39" s="47">
        <v>16.622505025658594</v>
      </c>
      <c r="E39" s="47">
        <v>26.617585253540952</v>
      </c>
      <c r="F39" s="47">
        <v>36.48935840253875</v>
      </c>
    </row>
    <row r="40">
      <c r="A40" s="50" t="n">
        <v>1.2</v>
      </c>
      <c r="B40" s="47">
        <v>7.700660033686824</v>
      </c>
      <c r="C40" s="47">
        <v>13.985803340491051</v>
      </c>
      <c r="D40" s="47">
        <v>20.056040953004363</v>
      </c>
      <c r="E40" s="47">
        <v>31.96409052405387</v>
      </c>
      <c r="F40" s="47">
        <v>43.75407941265797</v>
      </c>
    </row>
    <row r="41">
      <c r="A41" s="50" t="n">
        <v>1.4</v>
      </c>
      <c r="B41" s="47">
        <v>9.355092668092281</v>
      </c>
      <c r="C41" s="47">
        <v>16.57112568109427</v>
      </c>
      <c r="D41" s="47">
        <v>23.594515690535417</v>
      </c>
      <c r="E41" s="47">
        <v>37.42832694159787</v>
      </c>
      <c r="F41" s="47">
        <v>51.147466944042066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Xenon Pharmaceuticals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Depression / mood</t>
        </is>
      </c>
      <c r="C4" s="14" t="inlineStr">
        <is>
          <t>Azetukalner, XEN1101 10 mg</t>
        </is>
      </c>
      <c r="D4" s="14" t="inlineStr">
        <is>
          <t>Phase 3</t>
        </is>
      </c>
      <c r="E4" s="14" t="inlineStr">
        <is>
          <t>Psychiatry / chronic</t>
        </is>
      </c>
      <c r="F4" s="14" t="inlineStr">
        <is>
          <t>Owned</t>
        </is>
      </c>
      <c r="G4" s="40" t="n">
        <v>2000</v>
      </c>
      <c r="H4" s="27" t="n">
        <v>0.551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1580.7667677246109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110.2</v>
      </c>
      <c r="Q4" s="23">
        <f>IF(Q$3&lt;$I4,0,$G4*Assumptions!$E$11*INDEX(Assumptions!$B$24:$G$24,MIN(6,Q$3-$I4+1))*IF(Q$3&gt;$J4,(1-Assumptions!$B$26)^(Q$3-$J4),1)*IF($H4&gt;=1,1,MIN(0.97,$H4*Assumptions!$E$12)))</f>
        <v>275.5</v>
      </c>
      <c r="R4" s="23">
        <f>IF(R$3&lt;$I4,0,$G4*Assumptions!$E$11*INDEX(Assumptions!$B$24:$G$24,MIN(6,R$3-$I4+1))*IF(R$3&gt;$J4,(1-Assumptions!$B$26)^(R$3-$J4),1)*IF($H4&gt;=1,1,MIN(0.97,$H4*Assumptions!$E$12)))</f>
        <v>495.90000000000003</v>
      </c>
      <c r="S4" s="23">
        <f>IF(S$3&lt;$I4,0,$G4*Assumptions!$E$11*INDEX(Assumptions!$B$24:$G$24,MIN(6,S$3-$I4+1))*IF(S$3&gt;$J4,(1-Assumptions!$B$26)^(S$3-$J4),1)*IF($H4&gt;=1,1,MIN(0.97,$H4*Assumptions!$E$12)))</f>
        <v>716.3000000000001</v>
      </c>
      <c r="T4" s="23">
        <f>IF(T$3&lt;$I4,0,$G4*Assumptions!$E$11*INDEX(Assumptions!$B$24:$G$24,MIN(6,T$3-$I4+1))*IF(T$3&gt;$J4,(1-Assumptions!$B$26)^(T$3-$J4),1)*IF($H4&gt;=1,1,MIN(0.97,$H4*Assumptions!$E$12)))</f>
        <v>936.7</v>
      </c>
      <c r="U4" s="23">
        <f>IF(U$3&lt;$I4,0,$G4*Assumptions!$E$11*INDEX(Assumptions!$B$24:$G$24,MIN(6,U$3-$I4+1))*IF(U$3&gt;$J4,(1-Assumptions!$B$26)^(U$3-$J4),1)*IF($H4&gt;=1,1,MIN(0.97,$H4*Assumptions!$E$12)))</f>
        <v>1102.0</v>
      </c>
      <c r="V4" s="23">
        <f>IF(V$3&lt;$I4,0,$G4*Assumptions!$E$11*INDEX(Assumptions!$B$24:$G$24,MIN(6,V$3-$I4+1))*IF(V$3&gt;$J4,(1-Assumptions!$B$26)^(V$3-$J4),1)*IF($H4&gt;=1,1,MIN(0.97,$H4*Assumptions!$E$12)))</f>
        <v>1102.0</v>
      </c>
      <c r="W4" s="23">
        <f>IF(W$3&lt;$I4,0,$G4*Assumptions!$E$11*INDEX(Assumptions!$B$24:$G$24,MIN(6,W$3-$I4+1))*IF(W$3&gt;$J4,(1-Assumptions!$B$26)^(W$3-$J4),1)*IF($H4&gt;=1,1,MIN(0.97,$H4*Assumptions!$E$12)))</f>
        <v>1102.0</v>
      </c>
      <c r="X4" s="23">
        <f>IF(X$3&lt;$I4,0,$G4*Assumptions!$E$11*INDEX(Assumptions!$B$24:$G$24,MIN(6,X$3-$I4+1))*IF(X$3&gt;$J4,(1-Assumptions!$B$26)^(X$3-$J4),1)*IF($H4&gt;=1,1,MIN(0.97,$H4*Assumptions!$E$12)))</f>
        <v>1102.0</v>
      </c>
      <c r="Y4" s="23">
        <f>IF(Y$3&lt;$I4,0,$G4*Assumptions!$E$11*INDEX(Assumptions!$B$24:$G$24,MIN(6,Y$3-$I4+1))*IF(Y$3&gt;$J4,(1-Assumptions!$B$26)^(Y$3-$J4),1)*IF($H4&gt;=1,1,MIN(0.97,$H4*Assumptions!$E$12)))</f>
        <v>1102.0</v>
      </c>
      <c r="Z4" s="23">
        <f>IF(Z$3&lt;$I4,0,$G4*Assumptions!$E$11*INDEX(Assumptions!$B$24:$G$24,MIN(6,Z$3-$I4+1))*IF(Z$3&gt;$J4,(1-Assumptions!$B$26)^(Z$3-$J4),1)*IF($H4&gt;=1,1,MIN(0.97,$H4*Assumptions!$E$12)))</f>
        <v>1102.0</v>
      </c>
      <c r="AA4" s="23">
        <f>IF(AA$3&lt;$I4,0,$G4*Assumptions!$E$11*INDEX(Assumptions!$B$24:$G$24,MIN(6,AA$3-$I4+1))*IF(AA$3&gt;$J4,(1-Assumptions!$B$26)^(AA$3-$J4),1)*IF($H4&gt;=1,1,MIN(0.97,$H4*Assumptions!$E$12)))</f>
        <v>1102.0</v>
      </c>
      <c r="AB4" s="23">
        <f>IF(AB$3&lt;$I4,0,$G4*Assumptions!$E$11*INDEX(Assumptions!$B$24:$G$24,MIN(6,AB$3-$I4+1))*IF(AB$3&gt;$J4,(1-Assumptions!$B$26)^(AB$3-$J4),1)*IF($H4&gt;=1,1,MIN(0.97,$H4*Assumptions!$E$12)))</f>
        <v>1102.0</v>
      </c>
      <c r="AC4" s="23">
        <f>IF(AC$3&lt;$I4,0,$G4*Assumptions!$E$11*INDEX(Assumptions!$B$24:$G$24,MIN(6,AC$3-$I4+1))*IF(AC$3&gt;$J4,(1-Assumptions!$B$26)^(AC$3-$J4),1)*IF($H4&gt;=1,1,MIN(0.97,$H4*Assumptions!$E$12)))</f>
        <v>551.0</v>
      </c>
      <c r="AD4" s="23">
        <f>IF(AD$3&lt;$I4,0,$G4*Assumptions!$E$11*INDEX(Assumptions!$B$24:$G$24,MIN(6,AD$3-$I4+1))*IF(AD$3&gt;$J4,(1-Assumptions!$B$26)^(AD$3-$J4),1)*IF($H4&gt;=1,1,MIN(0.97,$H4*Assumptions!$E$12)))</f>
        <v>275.5</v>
      </c>
      <c r="AE4" s="23">
        <f>IF(AE$3&lt;$I4,0,$G4*Assumptions!$E$11*INDEX(Assumptions!$B$24:$G$24,MIN(6,AE$3-$I4+1))*IF(AE$3&gt;$J4,(1-Assumptions!$B$26)^(AE$3-$J4),1)*IF($H4&gt;=1,1,MIN(0.97,$H4*Assumptions!$E$12)))</f>
        <v>137.75</v>
      </c>
      <c r="AF4" s="23">
        <f>IF(AF$3&lt;$I4,0,$G4*Assumptions!$E$11*INDEX(Assumptions!$B$24:$G$24,MIN(6,AF$3-$I4+1))*IF(AF$3&gt;$J4,(1-Assumptions!$B$26)^(AF$3-$J4),1)*IF($H4&gt;=1,1,MIN(0.97,$H4*Assumptions!$E$12)))</f>
        <v>68.875</v>
      </c>
      <c r="AG4" s="35">
        <f>IF(F4="Owned",1-IF(H4&gt;=1,1,MIN(0.97,H4*Assumptions!$E$12)),1)</f>
        <v>0.44899999999999995</v>
      </c>
    </row>
    <row r="5">
      <c r="A5" s="39" t="n">
        <v>2</v>
      </c>
      <c r="B5" s="14" t="inlineStr">
        <is>
          <t>Epilepsy</t>
        </is>
      </c>
      <c r="C5" s="14" t="inlineStr">
        <is>
          <t>XEN1101</t>
        </is>
      </c>
      <c r="D5" s="14" t="inlineStr">
        <is>
          <t>Phase 3</t>
        </is>
      </c>
      <c r="E5" s="14" t="inlineStr">
        <is>
          <t>Neurology / area</t>
        </is>
      </c>
      <c r="F5" s="14" t="inlineStr">
        <is>
          <t>Owned</t>
        </is>
      </c>
      <c r="G5" s="40" t="n">
        <v>1200</v>
      </c>
      <c r="H5" s="27" t="n">
        <v>0.4604</v>
      </c>
      <c r="I5" s="26" t="n">
        <v>2029</v>
      </c>
      <c r="J5" s="39">
        <f>I5+Assumptions!$B$25</f>
        <v>2041.0</v>
      </c>
      <c r="K5" s="53">
        <f>Assumptions!$E$13</f>
        <v>0.4</v>
      </c>
      <c r="L5" s="23">
        <f>K5*SUMPRODUCT(M5:AF5,NPV!$C$15:$V$15)</f>
        <v>792.5063737136959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55.248</v>
      </c>
      <c r="Q5" s="23">
        <f>IF(Q$3&lt;$I5,0,$G5*Assumptions!$E$11*INDEX(Assumptions!$B$24:$G$24,MIN(6,Q$3-$I5+1))*IF(Q$3&gt;$J5,(1-Assumptions!$B$26)^(Q$3-$J5),1)*IF($H5&gt;=1,1,MIN(0.97,$H5*Assumptions!$E$12)))</f>
        <v>138.12</v>
      </c>
      <c r="R5" s="23">
        <f>IF(R$3&lt;$I5,0,$G5*Assumptions!$E$11*INDEX(Assumptions!$B$24:$G$24,MIN(6,R$3-$I5+1))*IF(R$3&gt;$J5,(1-Assumptions!$B$26)^(R$3-$J5),1)*IF($H5&gt;=1,1,MIN(0.97,$H5*Assumptions!$E$12)))</f>
        <v>248.61599999999999</v>
      </c>
      <c r="S5" s="23">
        <f>IF(S$3&lt;$I5,0,$G5*Assumptions!$E$11*INDEX(Assumptions!$B$24:$G$24,MIN(6,S$3-$I5+1))*IF(S$3&gt;$J5,(1-Assumptions!$B$26)^(S$3-$J5),1)*IF($H5&gt;=1,1,MIN(0.97,$H5*Assumptions!$E$12)))</f>
        <v>359.11199999999997</v>
      </c>
      <c r="T5" s="23">
        <f>IF(T$3&lt;$I5,0,$G5*Assumptions!$E$11*INDEX(Assumptions!$B$24:$G$24,MIN(6,T$3-$I5+1))*IF(T$3&gt;$J5,(1-Assumptions!$B$26)^(T$3-$J5),1)*IF($H5&gt;=1,1,MIN(0.97,$H5*Assumptions!$E$12)))</f>
        <v>469.60799999999995</v>
      </c>
      <c r="U5" s="23">
        <f>IF(U$3&lt;$I5,0,$G5*Assumptions!$E$11*INDEX(Assumptions!$B$24:$G$24,MIN(6,U$3-$I5+1))*IF(U$3&gt;$J5,(1-Assumptions!$B$26)^(U$3-$J5),1)*IF($H5&gt;=1,1,MIN(0.97,$H5*Assumptions!$E$12)))</f>
        <v>552.48</v>
      </c>
      <c r="V5" s="23">
        <f>IF(V$3&lt;$I5,0,$G5*Assumptions!$E$11*INDEX(Assumptions!$B$24:$G$24,MIN(6,V$3-$I5+1))*IF(V$3&gt;$J5,(1-Assumptions!$B$26)^(V$3-$J5),1)*IF($H5&gt;=1,1,MIN(0.97,$H5*Assumptions!$E$12)))</f>
        <v>552.48</v>
      </c>
      <c r="W5" s="23">
        <f>IF(W$3&lt;$I5,0,$G5*Assumptions!$E$11*INDEX(Assumptions!$B$24:$G$24,MIN(6,W$3-$I5+1))*IF(W$3&gt;$J5,(1-Assumptions!$B$26)^(W$3-$J5),1)*IF($H5&gt;=1,1,MIN(0.97,$H5*Assumptions!$E$12)))</f>
        <v>552.48</v>
      </c>
      <c r="X5" s="23">
        <f>IF(X$3&lt;$I5,0,$G5*Assumptions!$E$11*INDEX(Assumptions!$B$24:$G$24,MIN(6,X$3-$I5+1))*IF(X$3&gt;$J5,(1-Assumptions!$B$26)^(X$3-$J5),1)*IF($H5&gt;=1,1,MIN(0.97,$H5*Assumptions!$E$12)))</f>
        <v>552.48</v>
      </c>
      <c r="Y5" s="23">
        <f>IF(Y$3&lt;$I5,0,$G5*Assumptions!$E$11*INDEX(Assumptions!$B$24:$G$24,MIN(6,Y$3-$I5+1))*IF(Y$3&gt;$J5,(1-Assumptions!$B$26)^(Y$3-$J5),1)*IF($H5&gt;=1,1,MIN(0.97,$H5*Assumptions!$E$12)))</f>
        <v>552.48</v>
      </c>
      <c r="Z5" s="23">
        <f>IF(Z$3&lt;$I5,0,$G5*Assumptions!$E$11*INDEX(Assumptions!$B$24:$G$24,MIN(6,Z$3-$I5+1))*IF(Z$3&gt;$J5,(1-Assumptions!$B$26)^(Z$3-$J5),1)*IF($H5&gt;=1,1,MIN(0.97,$H5*Assumptions!$E$12)))</f>
        <v>552.48</v>
      </c>
      <c r="AA5" s="23">
        <f>IF(AA$3&lt;$I5,0,$G5*Assumptions!$E$11*INDEX(Assumptions!$B$24:$G$24,MIN(6,AA$3-$I5+1))*IF(AA$3&gt;$J5,(1-Assumptions!$B$26)^(AA$3-$J5),1)*IF($H5&gt;=1,1,MIN(0.97,$H5*Assumptions!$E$12)))</f>
        <v>552.48</v>
      </c>
      <c r="AB5" s="23">
        <f>IF(AB$3&lt;$I5,0,$G5*Assumptions!$E$11*INDEX(Assumptions!$B$24:$G$24,MIN(6,AB$3-$I5+1))*IF(AB$3&gt;$J5,(1-Assumptions!$B$26)^(AB$3-$J5),1)*IF($H5&gt;=1,1,MIN(0.97,$H5*Assumptions!$E$12)))</f>
        <v>552.48</v>
      </c>
      <c r="AC5" s="23">
        <f>IF(AC$3&lt;$I5,0,$G5*Assumptions!$E$11*INDEX(Assumptions!$B$24:$G$24,MIN(6,AC$3-$I5+1))*IF(AC$3&gt;$J5,(1-Assumptions!$B$26)^(AC$3-$J5),1)*IF($H5&gt;=1,1,MIN(0.97,$H5*Assumptions!$E$12)))</f>
        <v>276.24</v>
      </c>
      <c r="AD5" s="23">
        <f>IF(AD$3&lt;$I5,0,$G5*Assumptions!$E$11*INDEX(Assumptions!$B$24:$G$24,MIN(6,AD$3-$I5+1))*IF(AD$3&gt;$J5,(1-Assumptions!$B$26)^(AD$3-$J5),1)*IF($H5&gt;=1,1,MIN(0.97,$H5*Assumptions!$E$12)))</f>
        <v>138.12</v>
      </c>
      <c r="AE5" s="23">
        <f>IF(AE$3&lt;$I5,0,$G5*Assumptions!$E$11*INDEX(Assumptions!$B$24:$G$24,MIN(6,AE$3-$I5+1))*IF(AE$3&gt;$J5,(1-Assumptions!$B$26)^(AE$3-$J5),1)*IF($H5&gt;=1,1,MIN(0.97,$H5*Assumptions!$E$12)))</f>
        <v>69.06</v>
      </c>
      <c r="AF5" s="23">
        <f>IF(AF$3&lt;$I5,0,$G5*Assumptions!$E$11*INDEX(Assumptions!$B$24:$G$24,MIN(6,AF$3-$I5+1))*IF(AF$3&gt;$J5,(1-Assumptions!$B$26)^(AF$3-$J5),1)*IF($H5&gt;=1,1,MIN(0.97,$H5*Assumptions!$E$12)))</f>
        <v>34.53</v>
      </c>
      <c r="AG5" s="35">
        <f>IF(F5="Owned",1-IF(H5&gt;=1,1,MIN(0.97,H5*Assumptions!$E$12)),1)</f>
        <v>0.5396000000000001</v>
      </c>
    </row>
    <row r="6">
      <c r="B6" s="24" t="inlineStr">
        <is>
          <t>Risked revenue</t>
        </is>
      </c>
      <c r="L6" s="54">
        <f>SUM(L4:L5)</f>
        <v>2373.273141438307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165.448</v>
      </c>
      <c r="Q6" s="54">
        <f>SUM(Q4:Q5)</f>
        <v>413.62</v>
      </c>
      <c r="R6" s="54">
        <f>SUM(R4:R5)</f>
        <v>744.5160000000001</v>
      </c>
      <c r="S6" s="54">
        <f>SUM(S4:S5)</f>
        <v>1075.412</v>
      </c>
      <c r="T6" s="54">
        <f>SUM(T4:T5)</f>
        <v>1406.308</v>
      </c>
      <c r="U6" s="54">
        <f>SUM(U4:U5)</f>
        <v>1654.48</v>
      </c>
      <c r="V6" s="54">
        <f>SUM(V4:V5)</f>
        <v>1654.48</v>
      </c>
      <c r="W6" s="54">
        <f>SUM(W4:W5)</f>
        <v>1654.48</v>
      </c>
      <c r="X6" s="54">
        <f>SUM(X4:X5)</f>
        <v>1654.48</v>
      </c>
      <c r="Y6" s="54">
        <f>SUM(Y4:Y5)</f>
        <v>1654.48</v>
      </c>
      <c r="Z6" s="54">
        <f>SUM(Z4:Z5)</f>
        <v>1654.48</v>
      </c>
      <c r="AA6" s="54">
        <f>SUM(AA4:AA5)</f>
        <v>1654.48</v>
      </c>
      <c r="AB6" s="54">
        <f>SUM(AB4:AB5)</f>
        <v>1654.48</v>
      </c>
      <c r="AC6" s="54">
        <f>SUM(AC4:AC5)</f>
        <v>827.24</v>
      </c>
      <c r="AD6" s="54">
        <f>SUM(AD4:AD5)</f>
        <v>413.62</v>
      </c>
      <c r="AE6" s="54">
        <f>SUM(AE4:AE5)</f>
        <v>206.81</v>
      </c>
      <c r="AF6" s="54">
        <f>SUM(AF4:AF5)</f>
        <v>103.405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66.17920000000001</v>
      </c>
      <c r="Q7" s="55">
        <f>SUMPRODUCT(Q4:Q5,$K$4:$K$5)</f>
        <v>165.448</v>
      </c>
      <c r="R7" s="55">
        <f>SUMPRODUCT(R4:R5,$K$4:$K$5)</f>
        <v>297.8064</v>
      </c>
      <c r="S7" s="55">
        <f>SUMPRODUCT(S4:S5,$K$4:$K$5)</f>
        <v>430.1648</v>
      </c>
      <c r="T7" s="55">
        <f>SUMPRODUCT(T4:T5,$K$4:$K$5)</f>
        <v>562.5232000000001</v>
      </c>
      <c r="U7" s="55">
        <f>SUMPRODUCT(U4:U5,$K$4:$K$5)</f>
        <v>661.792</v>
      </c>
      <c r="V7" s="55">
        <f>SUMPRODUCT(V4:V5,$K$4:$K$5)</f>
        <v>661.792</v>
      </c>
      <c r="W7" s="55">
        <f>SUMPRODUCT(W4:W5,$K$4:$K$5)</f>
        <v>661.792</v>
      </c>
      <c r="X7" s="55">
        <f>SUMPRODUCT(X4:X5,$K$4:$K$5)</f>
        <v>661.792</v>
      </c>
      <c r="Y7" s="55">
        <f>SUMPRODUCT(Y4:Y5,$K$4:$K$5)</f>
        <v>661.792</v>
      </c>
      <c r="Z7" s="55">
        <f>SUMPRODUCT(Z4:Z5,$K$4:$K$5)</f>
        <v>661.792</v>
      </c>
      <c r="AA7" s="55">
        <f>SUMPRODUCT(AA4:AA5,$K$4:$K$5)</f>
        <v>661.792</v>
      </c>
      <c r="AB7" s="55">
        <f>SUMPRODUCT(AB4:AB5,$K$4:$K$5)</f>
        <v>661.792</v>
      </c>
      <c r="AC7" s="55">
        <f>SUMPRODUCT(AC4:AC5,$K$4:$K$5)</f>
        <v>330.896</v>
      </c>
      <c r="AD7" s="55">
        <f>SUMPRODUCT(AD4:AD5,$K$4:$K$5)</f>
        <v>165.448</v>
      </c>
      <c r="AE7" s="55">
        <f>SUMPRODUCT(AE4:AE5,$K$4:$K$5)</f>
        <v>82.724</v>
      </c>
      <c r="AF7" s="55">
        <f>SUMPRODUCT(AF4:AF5,$K$4:$K$5)</f>
        <v>41.362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Xenon Pharmaceuticals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165.448</v>
      </c>
      <c r="G4" s="57">
        <f>Pipeline!Q6</f>
        <v>413.62</v>
      </c>
      <c r="H4" s="57">
        <f>Pipeline!R6</f>
        <v>744.5160000000001</v>
      </c>
      <c r="I4" s="57">
        <f>Pipeline!S6</f>
        <v>1075.412</v>
      </c>
      <c r="J4" s="57">
        <f>Pipeline!T6</f>
        <v>1406.308</v>
      </c>
      <c r="K4" s="57">
        <f>Pipeline!U6</f>
        <v>1654.48</v>
      </c>
      <c r="L4" s="57">
        <f>Pipeline!V6</f>
        <v>1654.48</v>
      </c>
      <c r="M4" s="57">
        <f>Pipeline!W6</f>
        <v>1654.48</v>
      </c>
      <c r="N4" s="57">
        <f>Pipeline!X6</f>
        <v>1654.48</v>
      </c>
      <c r="O4" s="57">
        <f>Pipeline!Y6</f>
        <v>1654.48</v>
      </c>
      <c r="P4" s="57">
        <f>Pipeline!Z6</f>
        <v>1654.48</v>
      </c>
      <c r="Q4" s="57">
        <f>Pipeline!AA6</f>
        <v>1654.48</v>
      </c>
      <c r="R4" s="57">
        <f>Pipeline!AB6</f>
        <v>1654.48</v>
      </c>
      <c r="S4" s="57">
        <f>Pipeline!AC6</f>
        <v>827.24</v>
      </c>
      <c r="T4" s="57">
        <f>Pipeline!AD6</f>
        <v>413.62</v>
      </c>
      <c r="U4" s="57">
        <f>Pipeline!AE6</f>
        <v>206.81</v>
      </c>
      <c r="V4" s="57">
        <f>Pipeline!AF6</f>
        <v>103.405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66.17920000000001</v>
      </c>
      <c r="G5" s="57">
        <f>Pipeline!Q7</f>
        <v>165.448</v>
      </c>
      <c r="H5" s="57">
        <f>Pipeline!R7</f>
        <v>297.8064</v>
      </c>
      <c r="I5" s="57">
        <f>Pipeline!S7</f>
        <v>430.1648</v>
      </c>
      <c r="J5" s="57">
        <f>Pipeline!T7</f>
        <v>562.5232000000001</v>
      </c>
      <c r="K5" s="57">
        <f>Pipeline!U7</f>
        <v>661.792</v>
      </c>
      <c r="L5" s="57">
        <f>Pipeline!V7</f>
        <v>661.792</v>
      </c>
      <c r="M5" s="57">
        <f>Pipeline!W7</f>
        <v>661.792</v>
      </c>
      <c r="N5" s="57">
        <f>Pipeline!X7</f>
        <v>661.792</v>
      </c>
      <c r="O5" s="57">
        <f>Pipeline!Y7</f>
        <v>661.792</v>
      </c>
      <c r="P5" s="57">
        <f>Pipeline!Z7</f>
        <v>661.792</v>
      </c>
      <c r="Q5" s="57">
        <f>Pipeline!AA7</f>
        <v>661.792</v>
      </c>
      <c r="R5" s="57">
        <f>Pipeline!AB7</f>
        <v>661.792</v>
      </c>
      <c r="S5" s="57">
        <f>Pipeline!AC7</f>
        <v>330.896</v>
      </c>
      <c r="T5" s="57">
        <f>Pipeline!AD7</f>
        <v>165.448</v>
      </c>
      <c r="U5" s="57">
        <f>Pipeline!AE7</f>
        <v>82.724</v>
      </c>
      <c r="V5" s="57">
        <f>Pipeline!AF7</f>
        <v>41.362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-441.586</v>
      </c>
      <c r="D6" s="23">
        <f>-IF(D3-2026&lt;Assumptions!$B$19,Assumptions!$B$18,Assumptions!$B$18*Assumptions!$B$20*Assumptions!$B$16)</f>
        <v>-441.586</v>
      </c>
      <c r="E6" s="23">
        <f>-IF(E3-2026&lt;Assumptions!$B$19,Assumptions!$B$18,Assumptions!$B$18*Assumptions!$B$20*Assumptions!$B$16)</f>
        <v>-441.586</v>
      </c>
      <c r="F6" s="23">
        <f>-IF(F3-2026&lt;Assumptions!$B$19,Assumptions!$B$18,Assumptions!$B$18*Assumptions!$B$20*Assumptions!$B$16)</f>
        <v>-100.37951018567999</v>
      </c>
      <c r="G6" s="23">
        <f>-IF(G3-2026&lt;Assumptions!$B$19,Assumptions!$B$18,Assumptions!$B$18*Assumptions!$B$20*Assumptions!$B$16)</f>
        <v>-100.37951018567999</v>
      </c>
      <c r="H6" s="23">
        <f>-IF(H3-2026&lt;Assumptions!$B$19,Assumptions!$B$18,Assumptions!$B$18*Assumptions!$B$20*Assumptions!$B$16)</f>
        <v>-100.37951018567999</v>
      </c>
      <c r="I6" s="23">
        <f>-IF(I3-2026&lt;Assumptions!$B$19,Assumptions!$B$18,Assumptions!$B$18*Assumptions!$B$20*Assumptions!$B$16)</f>
        <v>-100.37951018567999</v>
      </c>
      <c r="J6" s="23">
        <f>-IF(J3-2026&lt;Assumptions!$B$19,Assumptions!$B$18,Assumptions!$B$18*Assumptions!$B$20*Assumptions!$B$16)</f>
        <v>-100.37951018567999</v>
      </c>
      <c r="K6" s="23">
        <f>-IF(K3-2026&lt;Assumptions!$B$19,Assumptions!$B$18,Assumptions!$B$18*Assumptions!$B$20*Assumptions!$B$16)</f>
        <v>-100.37951018567999</v>
      </c>
      <c r="L6" s="23">
        <f>-IF(L3-2026&lt;Assumptions!$B$19,Assumptions!$B$18,Assumptions!$B$18*Assumptions!$B$20*Assumptions!$B$16)</f>
        <v>-100.37951018567999</v>
      </c>
      <c r="M6" s="23">
        <f>-IF(M3-2026&lt;Assumptions!$B$19,Assumptions!$B$18,Assumptions!$B$18*Assumptions!$B$20*Assumptions!$B$16)</f>
        <v>-100.37951018567999</v>
      </c>
      <c r="N6" s="23">
        <f>-IF(N3-2026&lt;Assumptions!$B$19,Assumptions!$B$18,Assumptions!$B$18*Assumptions!$B$20*Assumptions!$B$16)</f>
        <v>-100.37951018567999</v>
      </c>
      <c r="O6" s="23">
        <f>-IF(O3-2026&lt;Assumptions!$B$19,Assumptions!$B$18,Assumptions!$B$18*Assumptions!$B$20*Assumptions!$B$16)</f>
        <v>-100.37951018567999</v>
      </c>
      <c r="P6" s="23">
        <f>-IF(P3-2026&lt;Assumptions!$B$19,Assumptions!$B$18,Assumptions!$B$18*Assumptions!$B$20*Assumptions!$B$16)</f>
        <v>-100.37951018567999</v>
      </c>
      <c r="Q6" s="23">
        <f>-IF(Q3-2026&lt;Assumptions!$B$19,Assumptions!$B$18,Assumptions!$B$18*Assumptions!$B$20*Assumptions!$B$16)</f>
        <v>-100.37951018567999</v>
      </c>
      <c r="R6" s="23">
        <f>-IF(R3-2026&lt;Assumptions!$B$19,Assumptions!$B$18,Assumptions!$B$18*Assumptions!$B$20*Assumptions!$B$16)</f>
        <v>-100.37951018567999</v>
      </c>
      <c r="S6" s="23">
        <f>-IF(S3-2026&lt;Assumptions!$B$19,Assumptions!$B$18,Assumptions!$B$18*Assumptions!$B$20*Assumptions!$B$16)</f>
        <v>-100.37951018567999</v>
      </c>
      <c r="T6" s="23">
        <f>-IF(T3-2026&lt;Assumptions!$B$19,Assumptions!$B$18,Assumptions!$B$18*Assumptions!$B$20*Assumptions!$B$16)</f>
        <v>-100.37951018567999</v>
      </c>
      <c r="U6" s="23">
        <f>-IF(U3-2026&lt;Assumptions!$B$19,Assumptions!$B$18,Assumptions!$B$18*Assumptions!$B$20*Assumptions!$B$16)</f>
        <v>-100.37951018567999</v>
      </c>
      <c r="V6" s="23">
        <f>-IF(V3-2026&lt;Assumptions!$B$19,Assumptions!$B$18,Assumptions!$B$18*Assumptions!$B$20*Assumptions!$B$16)</f>
        <v>-100.37951018567999</v>
      </c>
    </row>
    <row r="7">
      <c r="A7" s="14" t="inlineStr">
        <is>
          <t>Pre-tax cash flow</t>
        </is>
      </c>
      <c r="C7" s="23">
        <f>C5+C6</f>
        <v>-441.586</v>
      </c>
      <c r="D7" s="23">
        <f>D5+D6</f>
        <v>-441.586</v>
      </c>
      <c r="E7" s="23">
        <f>E5+E6</f>
        <v>-441.586</v>
      </c>
      <c r="F7" s="23">
        <f>F5+F6</f>
        <v>-34.20031018567998</v>
      </c>
      <c r="G7" s="23">
        <f>G5+G6</f>
        <v>65.06848981432002</v>
      </c>
      <c r="H7" s="23">
        <f>H5+H6</f>
        <v>197.42688981432002</v>
      </c>
      <c r="I7" s="23">
        <f>I5+I6</f>
        <v>329.78528981432004</v>
      </c>
      <c r="J7" s="23">
        <f>J5+J6</f>
        <v>462.1436898143201</v>
      </c>
      <c r="K7" s="23">
        <f>K5+K6</f>
        <v>561.41248981432</v>
      </c>
      <c r="L7" s="23">
        <f>L5+L6</f>
        <v>561.41248981432</v>
      </c>
      <c r="M7" s="23">
        <f>M5+M6</f>
        <v>561.41248981432</v>
      </c>
      <c r="N7" s="23">
        <f>N5+N6</f>
        <v>561.41248981432</v>
      </c>
      <c r="O7" s="23">
        <f>O5+O6</f>
        <v>561.41248981432</v>
      </c>
      <c r="P7" s="23">
        <f>P5+P6</f>
        <v>561.41248981432</v>
      </c>
      <c r="Q7" s="23">
        <f>Q5+Q6</f>
        <v>561.41248981432</v>
      </c>
      <c r="R7" s="23">
        <f>R5+R6</f>
        <v>561.41248981432</v>
      </c>
      <c r="S7" s="23">
        <f>S5+S6</f>
        <v>230.51648981432004</v>
      </c>
      <c r="T7" s="23">
        <f>T5+T6</f>
        <v>65.06848981432002</v>
      </c>
      <c r="U7" s="23">
        <f>U5+U6</f>
        <v>-17.655510185679987</v>
      </c>
      <c r="V7" s="23">
        <f>V5+V6</f>
        <v>-59.01751018567999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65.06848981432002</v>
      </c>
      <c r="H8" s="23">
        <f>MIN(G17,MAX(0,H7))</f>
        <v>197.42688981432002</v>
      </c>
      <c r="I8" s="23">
        <f>MIN(H17,MAX(0,I7))</f>
        <v>329.78528981432004</v>
      </c>
      <c r="J8" s="23">
        <f>MIN(I17,MAX(0,J7))</f>
        <v>462.1436898143201</v>
      </c>
      <c r="K8" s="23">
        <f>MIN(J17,MAX(0,K7))</f>
        <v>561.41248981432</v>
      </c>
      <c r="L8" s="23">
        <f>MIN(K17,MAX(0,L7))</f>
        <v>561.41248981432</v>
      </c>
      <c r="M8" s="23">
        <f>MIN(L17,MAX(0,M7))</f>
        <v>327.30897129975983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234.10351851456016</v>
      </c>
      <c r="N9" s="23">
        <f>MAX(0,N7)-N8</f>
        <v>561.41248981432</v>
      </c>
      <c r="O9" s="23">
        <f>MAX(0,O7)-O8</f>
        <v>561.41248981432</v>
      </c>
      <c r="P9" s="23">
        <f>MAX(0,P7)-P8</f>
        <v>561.41248981432</v>
      </c>
      <c r="Q9" s="23">
        <f>MAX(0,Q7)-Q8</f>
        <v>561.41248981432</v>
      </c>
      <c r="R9" s="23">
        <f>MAX(0,R7)-R8</f>
        <v>561.41248981432</v>
      </c>
      <c r="S9" s="23">
        <f>MAX(0,S7)-S8</f>
        <v>230.51648981432004</v>
      </c>
      <c r="T9" s="23">
        <f>MAX(0,T7)-T8</f>
        <v>65.06848981432002</v>
      </c>
      <c r="U9" s="23">
        <f>MAX(0,U7)-U8</f>
        <v>0.0</v>
      </c>
      <c r="V9" s="23">
        <f>MAX(0,V7)-V8</f>
        <v>0.0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49.161738888057634</v>
      </c>
      <c r="N10" s="23">
        <f>N9*Assumptions!$E$15</f>
        <v>117.89662286100719</v>
      </c>
      <c r="O10" s="23">
        <f>O9*Assumptions!$E$15</f>
        <v>117.89662286100719</v>
      </c>
      <c r="P10" s="23">
        <f>P9*Assumptions!$E$15</f>
        <v>117.89662286100719</v>
      </c>
      <c r="Q10" s="23">
        <f>Q9*Assumptions!$E$15</f>
        <v>117.89662286100719</v>
      </c>
      <c r="R10" s="23">
        <f>R9*Assumptions!$E$15</f>
        <v>117.89662286100719</v>
      </c>
      <c r="S10" s="23">
        <f>S9*Assumptions!$E$15</f>
        <v>48.40846286100721</v>
      </c>
      <c r="T10" s="23">
        <f>T9*Assumptions!$E$15</f>
        <v>13.664382861007203</v>
      </c>
      <c r="U10" s="23">
        <f>U9*Assumptions!$E$15</f>
        <v>0.0</v>
      </c>
      <c r="V10" s="23">
        <f>V9*Assumptions!$E$15</f>
        <v>0.0</v>
      </c>
    </row>
    <row r="11">
      <c r="A11" s="24" t="inlineStr">
        <is>
          <t>Free cash flow</t>
        </is>
      </c>
      <c r="C11" s="55">
        <f>C7-C10</f>
        <v>-441.586</v>
      </c>
      <c r="D11" s="55">
        <f>D7-D10</f>
        <v>-441.586</v>
      </c>
      <c r="E11" s="55">
        <f>E7-E10</f>
        <v>-441.586</v>
      </c>
      <c r="F11" s="55">
        <f>F7-F10</f>
        <v>-34.20031018567998</v>
      </c>
      <c r="G11" s="55">
        <f>G7-G10</f>
        <v>65.06848981432002</v>
      </c>
      <c r="H11" s="55">
        <f>H7-H10</f>
        <v>197.42688981432002</v>
      </c>
      <c r="I11" s="55">
        <f>I7-I10</f>
        <v>329.78528981432004</v>
      </c>
      <c r="J11" s="55">
        <f>J7-J10</f>
        <v>462.1436898143201</v>
      </c>
      <c r="K11" s="55">
        <f>K7-K10</f>
        <v>561.41248981432</v>
      </c>
      <c r="L11" s="55">
        <f>L7-L10</f>
        <v>561.41248981432</v>
      </c>
      <c r="M11" s="55">
        <f>M7-M10</f>
        <v>512.2507509262624</v>
      </c>
      <c r="N11" s="55">
        <f>N7-N10</f>
        <v>443.5158669533128</v>
      </c>
      <c r="O11" s="55">
        <f>O7-O10</f>
        <v>443.5158669533128</v>
      </c>
      <c r="P11" s="55">
        <f>P7-P10</f>
        <v>443.5158669533128</v>
      </c>
      <c r="Q11" s="55">
        <f>Q7-Q10</f>
        <v>443.5158669533128</v>
      </c>
      <c r="R11" s="55">
        <f>R7-R10</f>
        <v>443.5158669533128</v>
      </c>
      <c r="S11" s="55">
        <f>S7-S10</f>
        <v>182.10802695331284</v>
      </c>
      <c r="T11" s="55">
        <f>T7-T10</f>
        <v>51.40410695331281</v>
      </c>
      <c r="U11" s="55">
        <f>U7-U10</f>
        <v>-17.655510185679987</v>
      </c>
      <c r="V11" s="55">
        <f>V7-V10</f>
        <v>-59.01751018567999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-216.3349018639882</v>
      </c>
      <c r="D16" s="55">
        <f>D11*D15</f>
        <v>-394.0900587337945</v>
      </c>
      <c r="E16" s="55">
        <f>E11*E15</f>
        <v>-351.8661238694593</v>
      </c>
      <c r="F16" s="55">
        <f>F11*F15</f>
        <v>-24.331796920985624</v>
      </c>
      <c r="G16" s="55">
        <f>G11*G15</f>
        <v>41.332991873089064</v>
      </c>
      <c r="H16" s="55">
        <f>H11*H15</f>
        <v>111.97327911590156</v>
      </c>
      <c r="I16" s="55">
        <f>I11*I15</f>
        <v>167.0018760734458</v>
      </c>
      <c r="J16" s="55">
        <f>J11*J15</f>
        <v>208.95322328493071</v>
      </c>
      <c r="K16" s="55">
        <f>K11*K15</f>
        <v>226.63975652374017</v>
      </c>
      <c r="L16" s="55">
        <f>L11*L15</f>
        <v>202.35692546762513</v>
      </c>
      <c r="M16" s="55">
        <f>M11*M15</f>
        <v>164.85441521317964</v>
      </c>
      <c r="N16" s="55">
        <f>N11*N15</f>
        <v>127.44098462964271</v>
      </c>
      <c r="O16" s="55">
        <f>O11*O15</f>
        <v>113.78659341932384</v>
      </c>
      <c r="P16" s="55">
        <f>P11*P15</f>
        <v>101.59517269582484</v>
      </c>
      <c r="Q16" s="55">
        <f>Q11*Q15</f>
        <v>90.70997562127218</v>
      </c>
      <c r="R16" s="55">
        <f>R11*R15</f>
        <v>80.99104966185016</v>
      </c>
      <c r="S16" s="55">
        <f>S11*S15</f>
        <v>29.691964485547867</v>
      </c>
      <c r="T16" s="55">
        <f>T11*T15</f>
        <v>7.483239401144241</v>
      </c>
      <c r="U16" s="55">
        <f>U11*U15</f>
        <v>-2.294848764098835</v>
      </c>
      <c r="V16" s="55">
        <f>V11*V15</f>
        <v>-6.849149707242246</v>
      </c>
    </row>
    <row r="17">
      <c r="A17" s="14" t="inlineStr">
        <is>
          <t>Tax-loss carryforward, end of year</t>
        </is>
      </c>
      <c r="C17" s="23">
        <f>Assumptions!$B$21-C8+MAX(0,-C7)</f>
        <v>1587.186</v>
      </c>
      <c r="D17" s="23">
        <f>C17-D8+MAX(0,-D7)</f>
        <v>2028.772</v>
      </c>
      <c r="E17" s="23">
        <f>D17-E8+MAX(0,-E7)</f>
        <v>2470.358</v>
      </c>
      <c r="F17" s="23">
        <f>E17-F8+MAX(0,-F7)</f>
        <v>2504.55831018568</v>
      </c>
      <c r="G17" s="23">
        <f>F17-G8+MAX(0,-G7)</f>
        <v>2439.48982037136</v>
      </c>
      <c r="H17" s="23">
        <f>G17-H8+MAX(0,-H7)</f>
        <v>2242.06293055704</v>
      </c>
      <c r="I17" s="23">
        <f>H17-I8+MAX(0,-I7)</f>
        <v>1912.27764074272</v>
      </c>
      <c r="J17" s="23">
        <f>I17-J8+MAX(0,-J7)</f>
        <v>1450.1339509283998</v>
      </c>
      <c r="K17" s="23">
        <f>J17-K8+MAX(0,-K7)</f>
        <v>888.7214611140798</v>
      </c>
      <c r="L17" s="23">
        <f>K17-L8+MAX(0,-L7)</f>
        <v>327.30897129975983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17.655510185679987</v>
      </c>
      <c r="V17" s="23">
        <f>U17-V8+MAX(0,-V7)</f>
        <v>76.67302037135997</v>
      </c>
    </row>
    <row r="19">
      <c r="A19" s="14" t="inlineStr">
        <is>
          <t>PV of risked pipeline contribution</t>
        </is>
      </c>
      <c r="B19" s="23">
        <f>SUMPRODUCT(C5:V5,C15:V15)</f>
        <v>2373.273141438307</v>
      </c>
    </row>
    <row r="20">
      <c r="A20" s="14" t="inlineStr">
        <is>
          <t>PV of corporate burn</t>
        </is>
      </c>
      <c r="B20" s="23">
        <f>SUMPRODUCT(C6:V6,C15:V15)</f>
        <v>-1531.7530035163509</v>
      </c>
    </row>
    <row r="21">
      <c r="A21" s="14" t="inlineStr">
        <is>
          <t>PV of taxes</t>
        </is>
      </c>
      <c r="B21" s="23">
        <f>-SUMPRODUCT(C10:V10,C15:V15)</f>
        <v>-162.47557031500654</v>
      </c>
    </row>
    <row r="22">
      <c r="A22" s="24" t="inlineStr">
        <is>
          <t>Pipeline rNPV (operations)</t>
        </is>
      </c>
      <c r="B22" s="54">
        <f>SUM(C16:V16)</f>
        <v>679.0445676069494</v>
      </c>
    </row>
    <row r="23">
      <c r="A23" s="14" t="inlineStr">
        <is>
          <t>Cash &amp; investments</t>
        </is>
      </c>
      <c r="B23" s="57">
        <f>Main!C7</f>
        <v>930.686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1609.7305676069495</v>
      </c>
    </row>
    <row r="26">
      <c r="A26" s="14" t="inlineStr">
        <is>
          <t>Shares (mm)</t>
        </is>
      </c>
      <c r="B26" s="57">
        <f>Main!C4</f>
        <v>96.840432</v>
      </c>
    </row>
    <row r="27">
      <c r="A27" s="24" t="inlineStr">
        <is>
          <t>rNPV / share</t>
        </is>
      </c>
      <c r="B27" s="60">
        <f>B25/B26</f>
        <v>16.622505025658594</v>
      </c>
    </row>
    <row r="28">
      <c r="A28" s="14" t="inlineStr">
        <is>
          <t>Price</t>
        </is>
      </c>
      <c r="B28" s="61">
        <f>Main!C3</f>
        <v>36.27</v>
      </c>
    </row>
    <row r="29">
      <c r="A29" s="14" t="inlineStr">
        <is>
          <t>Upside</t>
        </is>
      </c>
      <c r="B29" s="62">
        <f>B27/B28-1</f>
        <v>-0.5417009918483984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2026-10-21T06:22:06Z</dcterms:modified>
  <cp:lastModifiedBy>Wang, Eric</cp:lastModifiedBy>
</cp:coreProperties>
</file>