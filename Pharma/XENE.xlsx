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Xenon Pharmaceuticals Inc.</t>
        </is>
      </c>
      <c r="C2" s="10" t="n"/>
    </row>
    <row r="3">
      <c r="B3" t="inlineStr">
        <is>
          <t>Price</t>
        </is>
      </c>
      <c r="C3" s="11">
        <f>INDEX([1]Pharma!$F$1:$F$1000,MATCH("XENE",[1]Pharma!$B$1:$B$1000,0))</f>
        <v>36.27</v>
      </c>
      <c r="F3" s="1" t="n"/>
    </row>
    <row r="4">
      <c r="B4" t="inlineStr">
        <is>
          <t>Shares</t>
        </is>
      </c>
      <c r="C4" s="21" t="n">
        <v>96.84043200000001</v>
      </c>
      <c r="F4" s="1" t="n"/>
    </row>
    <row r="5">
      <c r="B5" t="inlineStr">
        <is>
          <t>Market Cap.</t>
        </is>
      </c>
      <c r="C5" s="13">
        <f>C3*C4</f>
        <v>3512.4024686400007</v>
      </c>
      <c r="F5" s="1" t="n"/>
    </row>
    <row r="6"/>
    <row r="7">
      <c r="B7" t="inlineStr">
        <is>
          <t>Cash</t>
        </is>
      </c>
      <c r="C7" s="21">
        <f>119.527+811.159</f>
        <v>930.686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2581.7164686400006</v>
      </c>
    </row>
    <row r="10"/>
    <row r="11">
      <c r="B11" s="14" t="inlineStr">
        <is>
          <t>Net Cash / Share</t>
        </is>
      </c>
      <c r="C11" s="11">
        <f>(C7-C8)/C4</f>
        <v>9.610510618126941</v>
      </c>
    </row>
    <row r="12">
      <c r="B12" s="14" t="inlineStr">
        <is>
          <t>Upside</t>
        </is>
      </c>
      <c r="C12" s="15">
        <f>IFERROR(C11/C3-1,"")</f>
        <v>-0.7350286567927504</v>
      </c>
    </row>
    <row r="13">
      <c r="B13" s="14" t="inlineStr">
        <is>
          <t>Cash / Share</t>
        </is>
      </c>
      <c r="C13" s="11">
        <f>IFERROR((C7-C8)/C4,"")</f>
        <v>9.610510618126941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-337.52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2.7574247452002845</v>
      </c>
    </row>
    <row r="19">
      <c r="B19" s="14" t="inlineStr">
        <is>
          <t>Implied Pipeline Value</t>
        </is>
      </c>
      <c r="C19" s="13">
        <f>C9</f>
        <v>2581.7164686400006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14.308</v>
      </c>
      <c r="C2" s="23" t="n">
        <v>27.356</v>
      </c>
      <c r="D2" s="23" t="n">
        <v>28.37</v>
      </c>
      <c r="E2" s="23" t="n">
        <v>15.577</v>
      </c>
      <c r="F2" s="23" t="n">
        <v>1.803</v>
      </c>
      <c r="G2" s="23" t="n">
        <v>0.311</v>
      </c>
      <c r="H2" s="23" t="n">
        <v>0</v>
      </c>
      <c r="I2" s="23" t="n">
        <v>6.829</v>
      </c>
      <c r="J2" s="23" t="n">
        <v>32.166</v>
      </c>
      <c r="K2" s="23" t="n">
        <v>18.437</v>
      </c>
      <c r="L2" s="23" t="n">
        <v>9.433999999999999</v>
      </c>
      <c r="M2" s="23" t="n">
        <v>0</v>
      </c>
      <c r="N2" s="23" t="n">
        <v>0</v>
      </c>
      <c r="O2" s="23" t="n">
        <v>7.5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14.308</v>
      </c>
      <c r="C4" s="23">
        <f>C2-C3</f>
        <v>27.356</v>
      </c>
      <c r="D4" s="23">
        <f>D2-D3</f>
        <v>28.37</v>
      </c>
      <c r="E4" s="23">
        <f>E2-E3</f>
        <v>15.577</v>
      </c>
      <c r="F4" s="23">
        <f>F2-F3</f>
        <v>1.803</v>
      </c>
      <c r="G4" s="23">
        <f>G2-G3</f>
        <v>0.311</v>
      </c>
      <c r="H4" s="23">
        <f>H2-H3</f>
        <v>0.0</v>
      </c>
      <c r="I4" s="23">
        <f>I2-I3</f>
        <v>6.829</v>
      </c>
      <c r="J4" s="23">
        <f>J2-J3</f>
        <v>32.166</v>
      </c>
      <c r="K4" s="23">
        <f>K2-K3</f>
        <v>18.437</v>
      </c>
      <c r="L4" s="23">
        <f>L2-L3</f>
        <v>9.434</v>
      </c>
      <c r="M4" s="23">
        <f>M2-M3</f>
        <v>0.0</v>
      </c>
      <c r="N4" s="23">
        <f>N2-N3</f>
        <v>0.0</v>
      </c>
      <c r="O4" s="23">
        <f>O2-O3</f>
        <v>7.5</v>
      </c>
    </row>
    <row r="5">
      <c r="A5" s="2" t="inlineStr">
        <is>
          <t>Research &amp; Dev.</t>
        </is>
      </c>
      <c r="B5" s="23" t="n">
        <v>10.455</v>
      </c>
      <c r="C5" s="23" t="n">
        <v>12.303</v>
      </c>
      <c r="D5" s="23" t="n">
        <v>11.768</v>
      </c>
      <c r="E5" s="23" t="n">
        <v>15.152</v>
      </c>
      <c r="F5" s="23" t="n">
        <v>19.828</v>
      </c>
      <c r="G5" s="23" t="n">
        <v>25.573</v>
      </c>
      <c r="H5" s="23" t="n">
        <v>23.634</v>
      </c>
      <c r="I5" s="23" t="n">
        <v>38.845</v>
      </c>
      <c r="J5" s="23" t="n">
        <v>50.523</v>
      </c>
      <c r="K5" s="23" t="n">
        <v>75.46299999999999</v>
      </c>
      <c r="L5" s="23" t="n">
        <v>105.767</v>
      </c>
      <c r="M5" s="23" t="n">
        <v>167.512</v>
      </c>
      <c r="N5" s="23" t="n">
        <v>210.394</v>
      </c>
      <c r="O5" s="23" t="n">
        <v>300.938</v>
      </c>
    </row>
    <row r="6">
      <c r="A6" s="19" t="inlineStr">
        <is>
          <t>SG&amp;A &amp; Other</t>
        </is>
      </c>
      <c r="B6" s="23" t="n">
        <v>7.006</v>
      </c>
      <c r="C6" s="23" t="n">
        <v>5.341</v>
      </c>
      <c r="D6" s="23" t="n">
        <v>5.496</v>
      </c>
      <c r="E6" s="23" t="n">
        <v>9.786</v>
      </c>
      <c r="F6" s="23" t="n">
        <v>6.792</v>
      </c>
      <c r="G6" s="23" t="n">
        <v>7.313</v>
      </c>
      <c r="H6" s="23" t="n">
        <v>14.406</v>
      </c>
      <c r="I6" s="23" t="n">
        <v>10.803</v>
      </c>
      <c r="J6" s="23" t="n">
        <v>12.944</v>
      </c>
      <c r="K6" s="23" t="n">
        <v>21.967</v>
      </c>
      <c r="L6" s="23" t="n">
        <v>32.81</v>
      </c>
      <c r="M6" s="23" t="n">
        <v>46.542</v>
      </c>
      <c r="N6" s="23" t="n">
        <v>68.904</v>
      </c>
      <c r="O6" s="23" t="n">
        <v>79.63200000000001</v>
      </c>
    </row>
    <row r="7">
      <c r="A7" s="2" t="inlineStr">
        <is>
          <t>Operating Expense</t>
        </is>
      </c>
      <c r="B7" s="23">
        <f>SUM(B5:B6)</f>
        <v>17.461</v>
      </c>
      <c r="C7" s="23">
        <f>SUM(C5:C6)</f>
        <v>17.644000000000002</v>
      </c>
      <c r="D7" s="23">
        <f>SUM(D5:D6)</f>
        <v>17.264000000000003</v>
      </c>
      <c r="E7" s="23">
        <f>SUM(E5:E6)</f>
        <v>24.938</v>
      </c>
      <c r="F7" s="23">
        <f>SUM(F5:F6)</f>
        <v>26.619999999999997</v>
      </c>
      <c r="G7" s="23">
        <f>SUM(G5:G6)</f>
        <v>32.886</v>
      </c>
      <c r="H7" s="23">
        <f>SUM(H5:H6)</f>
        <v>38.04</v>
      </c>
      <c r="I7" s="23">
        <f>SUM(I5:I6)</f>
        <v>49.647999999999996</v>
      </c>
      <c r="J7" s="23">
        <f>SUM(J5:J6)</f>
        <v>63.467000000000006</v>
      </c>
      <c r="K7" s="23">
        <f>SUM(K5:K6)</f>
        <v>97.42999999999999</v>
      </c>
      <c r="L7" s="23">
        <f>SUM(L5:L6)</f>
        <v>138.577</v>
      </c>
      <c r="M7" s="23">
        <f>SUM(M5:M6)</f>
        <v>214.054</v>
      </c>
      <c r="N7" s="23">
        <f>SUM(N5:N6)</f>
        <v>279.298</v>
      </c>
      <c r="O7" s="23">
        <f>SUM(O5:O6)</f>
        <v>380.57</v>
      </c>
    </row>
    <row r="8">
      <c r="A8" s="2" t="inlineStr">
        <is>
          <t>Operating Income</t>
        </is>
      </c>
      <c r="B8" s="23">
        <f>B4-B7</f>
        <v>-3.1529999999999987</v>
      </c>
      <c r="C8" s="23">
        <f>C4-C7</f>
        <v>9.712</v>
      </c>
      <c r="D8" s="23">
        <f>D4-D7</f>
        <v>11.105999999999998</v>
      </c>
      <c r="E8" s="23">
        <f>E4-E7</f>
        <v>-9.360999999999999</v>
      </c>
      <c r="F8" s="23">
        <f>F4-F7</f>
        <v>-24.816999999999997</v>
      </c>
      <c r="G8" s="23">
        <f>G4-G7</f>
        <v>-32.575</v>
      </c>
      <c r="H8" s="23">
        <f>H4-H7</f>
        <v>-38.04</v>
      </c>
      <c r="I8" s="23">
        <f>I4-I7</f>
        <v>-42.818999999999996</v>
      </c>
      <c r="J8" s="23">
        <f>J4-J7</f>
        <v>-31.30100000000001</v>
      </c>
      <c r="K8" s="23">
        <f>K4-K7</f>
        <v>-78.993</v>
      </c>
      <c r="L8" s="23">
        <f>L4-L7</f>
        <v>-129.143</v>
      </c>
      <c r="M8" s="23">
        <f>M4-M7</f>
        <v>-214.054</v>
      </c>
      <c r="N8" s="23">
        <f>N4-N7</f>
        <v>-279.298</v>
      </c>
      <c r="O8" s="23">
        <f>O4-O7</f>
        <v>-373.07</v>
      </c>
    </row>
    <row r="9">
      <c r="A9" s="19" t="inlineStr">
        <is>
          <t>Interest &amp; Other</t>
        </is>
      </c>
      <c r="B9" s="23" t="n">
        <v>-1.148</v>
      </c>
      <c r="C9" s="23" t="n">
        <v>2.32</v>
      </c>
      <c r="D9" s="23" t="n">
        <v>1.912</v>
      </c>
      <c r="E9" s="23" t="n">
        <v>-6.391</v>
      </c>
      <c r="F9" s="23" t="n">
        <v>1.82</v>
      </c>
      <c r="G9" s="23" t="n">
        <v>1.871</v>
      </c>
      <c r="H9" s="23" t="n">
        <v>3.519</v>
      </c>
      <c r="I9" s="23" t="n">
        <v>1.201</v>
      </c>
      <c r="J9" s="23" t="n">
        <v>2.207</v>
      </c>
      <c r="K9" s="23" t="n">
        <v>0.105</v>
      </c>
      <c r="L9" s="23" t="n">
        <v>3.888</v>
      </c>
      <c r="M9" s="23" t="n">
        <v>31.369</v>
      </c>
      <c r="N9" s="23" t="n">
        <v>40.879</v>
      </c>
      <c r="O9" s="23" t="n">
        <v>28.176</v>
      </c>
    </row>
    <row r="10">
      <c r="A10" s="2" t="inlineStr">
        <is>
          <t>Pretax</t>
        </is>
      </c>
      <c r="B10" s="23">
        <f>B8+B9</f>
        <v>-4.300999999999998</v>
      </c>
      <c r="C10" s="23">
        <f>C8+C9</f>
        <v>12.032</v>
      </c>
      <c r="D10" s="23">
        <f>D8+D9</f>
        <v>13.017999999999997</v>
      </c>
      <c r="E10" s="23">
        <f>E8+E9</f>
        <v>-15.751999999999999</v>
      </c>
      <c r="F10" s="23">
        <f>F8+F9</f>
        <v>-22.996999999999996</v>
      </c>
      <c r="G10" s="23">
        <f>G8+G9</f>
        <v>-30.704000000000004</v>
      </c>
      <c r="H10" s="23">
        <f>H8+H9</f>
        <v>-34.521</v>
      </c>
      <c r="I10" s="23">
        <f>I8+I9</f>
        <v>-41.617999999999995</v>
      </c>
      <c r="J10" s="23">
        <f>J8+J9</f>
        <v>-29.09400000000001</v>
      </c>
      <c r="K10" s="23">
        <f>K8+K9</f>
        <v>-78.88799999999999</v>
      </c>
      <c r="L10" s="23">
        <f>L8+L9</f>
        <v>-125.255</v>
      </c>
      <c r="M10" s="23">
        <f>M8+M9</f>
        <v>-182.685</v>
      </c>
      <c r="N10" s="23">
        <f>N8+N9</f>
        <v>-238.419</v>
      </c>
      <c r="O10" s="23">
        <f>O8+O9</f>
        <v>-344.894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-0.024</v>
      </c>
      <c r="I11" s="23" t="n">
        <v>-0.023</v>
      </c>
      <c r="J11" s="23" t="n">
        <v>-0.257</v>
      </c>
      <c r="K11" s="23" t="n">
        <v>-0.006</v>
      </c>
      <c r="L11" s="23" t="n">
        <v>0.118</v>
      </c>
      <c r="M11" s="23" t="n">
        <v>-0.292</v>
      </c>
      <c r="N11" s="23" t="n">
        <v>-4.089</v>
      </c>
      <c r="O11" s="23" t="n">
        <v>1.016</v>
      </c>
    </row>
    <row r="12">
      <c r="A12" s="2" t="inlineStr">
        <is>
          <t>Net Income</t>
        </is>
      </c>
      <c r="B12" s="23" t="n">
        <v>-4.301</v>
      </c>
      <c r="C12" s="23" t="n">
        <v>12.032</v>
      </c>
      <c r="D12" s="23" t="n">
        <v>13.018</v>
      </c>
      <c r="E12" s="23" t="n">
        <v>-15.752</v>
      </c>
      <c r="F12" s="23" t="n">
        <v>-22.997</v>
      </c>
      <c r="G12" s="23" t="n">
        <v>-30.704</v>
      </c>
      <c r="H12" s="23" t="n">
        <v>-34.497</v>
      </c>
      <c r="I12" s="23" t="n">
        <v>-41.595</v>
      </c>
      <c r="J12" s="23" t="n">
        <v>-28.837</v>
      </c>
      <c r="K12" s="23" t="n">
        <v>-78.88200000000001</v>
      </c>
      <c r="L12" s="23" t="n">
        <v>-125.373</v>
      </c>
      <c r="M12" s="23" t="n">
        <v>-182.393</v>
      </c>
      <c r="N12" s="23" t="n">
        <v>-234.33</v>
      </c>
      <c r="O12" s="23" t="n">
        <v>-345.91</v>
      </c>
    </row>
    <row r="13">
      <c r="A13" s="2" t="inlineStr">
        <is>
          <t>Earnings per Share</t>
        </is>
      </c>
      <c r="B13" s="11">
        <f>IFERROR(B12/B14,0)</f>
        <v>-1.6199623352165726</v>
      </c>
      <c r="C13" s="11">
        <f>IFERROR(C12/C14,0)</f>
        <v>2.9945246391239424</v>
      </c>
      <c r="D13" s="11">
        <f>IFERROR(D12/D14,0)</f>
        <v>3.284056508577195</v>
      </c>
      <c r="E13" s="11">
        <f>IFERROR(E12/E14,0)</f>
        <v>-1.102926760957849</v>
      </c>
      <c r="F13" s="11">
        <f>IFERROR(F12/F14,0)</f>
        <v>-1.4843477699606273</v>
      </c>
      <c r="G13" s="11">
        <f>IFERROR(G12/G14,0)</f>
        <v>-1.7055882679702257</v>
      </c>
      <c r="H13" s="11">
        <f>IFERROR(H12/H14,0)</f>
        <v>-1.7758159168125194</v>
      </c>
      <c r="I13" s="11">
        <f>IFERROR(I12/I14,0)</f>
        <v>-1.6035699140290682</v>
      </c>
      <c r="J13" s="11">
        <f>IFERROR(J12/J14,0)</f>
        <v>-0.834838747032598</v>
      </c>
      <c r="K13" s="11">
        <f>IFERROR(K12/K14,0)</f>
        <v>-1.808100488229766</v>
      </c>
      <c r="L13" s="11">
        <f>IFERROR(L12/L14,0)</f>
        <v>-2.070843381454197</v>
      </c>
      <c r="M13" s="11">
        <f>IFERROR(M12/M14,0)</f>
        <v>-2.726801118270568</v>
      </c>
      <c r="N13" s="11">
        <f>IFERROR(N12/N14,0)</f>
        <v>-3.0082803774311575</v>
      </c>
      <c r="O13" s="11">
        <f>IFERROR(O12/O14,0)</f>
        <v>-4.364574658692306</v>
      </c>
    </row>
    <row r="14">
      <c r="A14" s="2" t="inlineStr">
        <is>
          <t>Shares</t>
        </is>
      </c>
      <c r="B14" s="23" t="n">
        <v>2.655</v>
      </c>
      <c r="C14" s="23" t="n">
        <v>4.018</v>
      </c>
      <c r="D14" s="23" t="n">
        <v>3.964</v>
      </c>
      <c r="E14" s="23" t="n">
        <v>14.282</v>
      </c>
      <c r="F14" s="23" t="n">
        <v>15.493</v>
      </c>
      <c r="G14" s="23" t="n">
        <v>18.002</v>
      </c>
      <c r="H14" s="23" t="n">
        <v>19.426</v>
      </c>
      <c r="I14" s="23" t="n">
        <v>25.939</v>
      </c>
      <c r="J14" s="23" t="n">
        <v>34.542</v>
      </c>
      <c r="K14" s="23" t="n">
        <v>43.627</v>
      </c>
      <c r="L14" s="23" t="n">
        <v>60.542</v>
      </c>
      <c r="M14" s="23" t="n">
        <v>66.889</v>
      </c>
      <c r="N14" s="23" t="n">
        <v>77.895</v>
      </c>
      <c r="O14" s="23" t="n">
        <v>79.254</v>
      </c>
    </row>
    <row r="15"/>
    <row r="16" customFormat="1" s="4">
      <c r="A16" s="3" t="inlineStr">
        <is>
          <t>Revenue Change</t>
        </is>
      </c>
      <c r="C16" s="15">
        <f>IFERROR(C2/B2-1,"")</f>
        <v>0.9119373776908024</v>
      </c>
      <c r="D16" s="15">
        <f>IFERROR(D2/C2-1,"")</f>
        <v>0.03706682263488803</v>
      </c>
      <c r="E16" s="15">
        <f>IFERROR(E2/D2-1,"")</f>
        <v>-0.4509340853013747</v>
      </c>
      <c r="F16" s="15">
        <f>IFERROR(F2/E2-1,"")</f>
        <v>-0.8842524234448225</v>
      </c>
      <c r="G16" s="15">
        <f>IFERROR(G2/F2-1,"")</f>
        <v>-0.8275097060454797</v>
      </c>
      <c r="H16" s="15">
        <f>IFERROR(H2/G2-1,"")</f>
        <v>-1.0</v>
      </c>
      <c r="I16" s="15">
        <f>IFERROR(I2/H2-1,"")</f>
        <v/>
      </c>
      <c r="J16" s="15">
        <f>IFERROR(J2/I2-1,"")</f>
        <v>3.7102064723971298</v>
      </c>
      <c r="K16" s="15">
        <f>IFERROR(K2/J2-1,"")</f>
        <v>-0.42681713610644767</v>
      </c>
      <c r="L16" s="15">
        <f>IFERROR(L2/K2-1,"")</f>
        <v>-0.48831154743179483</v>
      </c>
      <c r="M16" s="15">
        <f>IFERROR(M2/L2-1,"")</f>
        <v>-1.0</v>
      </c>
      <c r="N16" s="15">
        <f>IFERROR(N2/M2-1,"")</f>
        <v/>
      </c>
      <c r="O16" s="15">
        <f>IFERROR(O2/N2-1,"")</f>
        <v/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/>
      </c>
      <c r="N17" s="15">
        <f>IFERROR(N4/N2,"")</f>
        <v/>
      </c>
      <c r="O17" s="15">
        <f>IFERROR(O4/O2,"")</f>
        <v>1.0</v>
      </c>
    </row>
    <row r="18">
      <c r="A18" s="14" t="inlineStr">
        <is>
          <t>Operating Margin</t>
        </is>
      </c>
      <c r="B18" s="15">
        <f>IFERROR(B8/B2,"")</f>
        <v>-0.22036622868325403</v>
      </c>
      <c r="C18" s="15">
        <f>IFERROR(C8/C2,"")</f>
        <v>0.35502266413218303</v>
      </c>
      <c r="D18" s="15">
        <f>IFERROR(D8/D2,"")</f>
        <v>0.39146986253084237</v>
      </c>
      <c r="E18" s="15">
        <f>IFERROR(E8/E2,"")</f>
        <v>-0.6009501187648455</v>
      </c>
      <c r="F18" s="15">
        <f>IFERROR(F8/F2,"")</f>
        <v>-13.764281752634497</v>
      </c>
      <c r="G18" s="15">
        <f>IFERROR(G8/G2,"")</f>
        <v>-104.7427652733119</v>
      </c>
      <c r="H18" s="15">
        <f>IFERROR(H8/H2,"")</f>
        <v/>
      </c>
      <c r="I18" s="15">
        <f>IFERROR(I8/I2,"")</f>
        <v>-6.2701713281593205</v>
      </c>
      <c r="J18" s="15">
        <f>IFERROR(J8/J2,"")</f>
        <v>-0.9731082509482065</v>
      </c>
      <c r="K18" s="15">
        <f>IFERROR(K8/K2,"")</f>
        <v>-4.2844822910451805</v>
      </c>
      <c r="L18" s="15">
        <f>IFERROR(L8/L2,"")</f>
        <v>-13.689103243587027</v>
      </c>
      <c r="M18" s="15">
        <f>IFERROR(M8/M2,"")</f>
        <v/>
      </c>
      <c r="N18" s="15">
        <f>IFERROR(N8/N2,"")</f>
        <v/>
      </c>
      <c r="O18" s="15">
        <f>IFERROR(O8/O2,"")</f>
        <v>-49.742666666666665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2026-10-21T01:04:14Z</dcterms:modified>
  <cp:lastModifiedBy>Wang, Eric</cp:lastModifiedBy>
</cp:coreProperties>
</file>