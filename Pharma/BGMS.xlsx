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 Green Med Solution Inc</t>
        </is>
      </c>
      <c r="C2" s="10" t="n"/>
    </row>
    <row r="3">
      <c r="B3" t="inlineStr">
        <is>
          <t>Price</t>
        </is>
      </c>
      <c r="C3" s="11">
        <f>INDEX([1]Pharma!$F$1:$F$1000,MATCH("BGMS",[1]Pharma!$B$1:$B$1000,0))</f>
        <v>0.94</v>
      </c>
      <c r="F3" s="1" t="n"/>
    </row>
    <row r="4">
      <c r="B4" t="inlineStr">
        <is>
          <t>Shares</t>
        </is>
      </c>
      <c r="C4" s="21" t="n">
        <v>6.622794</v>
      </c>
      <c r="F4" s="1" t="n"/>
    </row>
    <row r="5">
      <c r="B5" t="inlineStr">
        <is>
          <t>Market Cap.</t>
        </is>
      </c>
      <c r="C5" s="13">
        <f>C3*C4</f>
        <v>6.225426359999999</v>
      </c>
      <c r="F5" s="1" t="n"/>
    </row>
    <row r="6"/>
    <row r="7">
      <c r="B7" t="inlineStr">
        <is>
          <t>Cash</t>
        </is>
      </c>
      <c r="C7" s="21" t="n">
        <v>3.79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2.4354263599999992</v>
      </c>
    </row>
    <row r="10"/>
    <row r="11">
      <c r="B11" s="14" t="inlineStr">
        <is>
          <t>Net Cash / Share</t>
        </is>
      </c>
      <c r="C11" s="11">
        <f>(C7-C8)/C4</f>
        <v>0.5722660254871282</v>
      </c>
    </row>
    <row r="12">
      <c r="B12" s="14" t="inlineStr">
        <is>
          <t>Upside</t>
        </is>
      </c>
      <c r="C12" s="15">
        <f>IFERROR(C11/C3-1,"")</f>
        <v>-0.39120635586475716</v>
      </c>
    </row>
    <row r="13">
      <c r="B13" s="14" t="inlineStr">
        <is>
          <t>Cash / Share</t>
        </is>
      </c>
      <c r="C13" s="11">
        <f>IFERROR((C7-C8)/C4,"")</f>
        <v>0.5722660254871282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-1.097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3.454876937101185</v>
      </c>
    </row>
    <row r="19">
      <c r="B19" s="14" t="inlineStr">
        <is>
          <t>Implied Pipeline Value</t>
        </is>
      </c>
      <c r="C19" s="13">
        <f>C9</f>
        <v>2.4354263599999992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1998</v>
      </c>
      <c r="C1" s="17" t="n">
        <v>1999</v>
      </c>
      <c r="D1" s="17" t="n">
        <v>2000</v>
      </c>
      <c r="E1" s="17" t="n">
        <v>2001</v>
      </c>
      <c r="F1" s="17" t="n">
        <v>2002</v>
      </c>
      <c r="G1" s="17" t="n">
        <v>2003</v>
      </c>
      <c r="H1" s="17" t="n">
        <v>2004</v>
      </c>
      <c r="I1" s="17" t="n">
        <v>2005</v>
      </c>
      <c r="J1" s="17" t="n">
        <v>2006</v>
      </c>
      <c r="K1" s="17" t="n">
        <v>2007</v>
      </c>
      <c r="L1" s="17" t="n">
        <v>2008</v>
      </c>
      <c r="M1" s="17" t="n">
        <v>2009</v>
      </c>
      <c r="N1" s="17" t="n">
        <v>2010</v>
      </c>
      <c r="O1" s="17" t="n">
        <v>2011</v>
      </c>
      <c r="P1" s="17" t="n">
        <v>2012</v>
      </c>
      <c r="Q1" s="17" t="n">
        <v>2013</v>
      </c>
      <c r="R1" s="17" t="n">
        <v>2014</v>
      </c>
      <c r="S1" s="17" t="n">
        <v>2015</v>
      </c>
      <c r="T1" s="17" t="n">
        <v>2016</v>
      </c>
      <c r="U1" s="17" t="n">
        <v>2017</v>
      </c>
      <c r="V1" s="17" t="n">
        <v>2018</v>
      </c>
      <c r="W1" s="17" t="n">
        <v>2019</v>
      </c>
      <c r="X1" s="17" t="n">
        <v>2020</v>
      </c>
      <c r="Y1" s="17" t="n">
        <v>2021</v>
      </c>
      <c r="Z1" s="17" t="n">
        <v>2022</v>
      </c>
      <c r="AA1" s="17" t="n">
        <v>2023</v>
      </c>
      <c r="AB1" s="17" t="n">
        <v>2024</v>
      </c>
      <c r="AC1" s="17" t="n">
        <v>2025</v>
      </c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0.911</v>
      </c>
      <c r="N2" s="23" t="n">
        <v>0.574</v>
      </c>
      <c r="O2" s="23" t="n">
        <v>0.699</v>
      </c>
      <c r="P2" s="23" t="n">
        <v>0.06900000000000001</v>
      </c>
      <c r="Q2" s="23" t="n">
        <v>1.084</v>
      </c>
      <c r="R2" s="23" t="n">
        <v>1.734</v>
      </c>
      <c r="S2" s="23" t="n">
        <v>1.944</v>
      </c>
      <c r="T2" s="23" t="n">
        <v>0.843</v>
      </c>
      <c r="U2" s="23" t="n">
        <v>0</v>
      </c>
      <c r="V2" s="23" t="n">
        <v>0.15</v>
      </c>
      <c r="W2" s="23" t="n">
        <v>0</v>
      </c>
      <c r="X2" s="23" t="n">
        <v>0</v>
      </c>
      <c r="Y2" s="23" t="n">
        <v>0</v>
      </c>
      <c r="Z2" s="23" t="n">
        <v>0</v>
      </c>
      <c r="AA2" s="23" t="n">
        <v>0.42</v>
      </c>
      <c r="AB2" s="23" t="n">
        <v>0.043</v>
      </c>
      <c r="AC2" s="23" t="n">
        <v>0.747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0.545</v>
      </c>
      <c r="N3" s="23" t="n">
        <v>0.418</v>
      </c>
      <c r="O3" s="23" t="n">
        <v>0.36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  <c r="W3" s="23" t="n">
        <v>0</v>
      </c>
      <c r="X3" s="23" t="n">
        <v>0</v>
      </c>
      <c r="Y3" s="23" t="n">
        <v>0</v>
      </c>
      <c r="Z3" s="23" t="n">
        <v>0</v>
      </c>
      <c r="AA3" s="23" t="n">
        <v>0</v>
      </c>
      <c r="AB3" s="23" t="n">
        <v>0</v>
      </c>
      <c r="AC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0.366</v>
      </c>
      <c r="N4" s="23">
        <f>N2-N3</f>
        <v>0.15599999999999997</v>
      </c>
      <c r="O4" s="23">
        <f>O2-O3</f>
        <v>0.33899999999999997</v>
      </c>
      <c r="P4" s="23">
        <f>P2-P3</f>
        <v>0.069</v>
      </c>
      <c r="Q4" s="23">
        <f>Q2-Q3</f>
        <v>1.084</v>
      </c>
      <c r="R4" s="23">
        <f>R2-R3</f>
        <v>1.734</v>
      </c>
      <c r="S4" s="23">
        <f>S2-S3</f>
        <v>1.944</v>
      </c>
      <c r="T4" s="23">
        <f>T2-T3</f>
        <v>0.843</v>
      </c>
      <c r="U4" s="23">
        <f>U2-U3</f>
        <v>0.0</v>
      </c>
      <c r="V4" s="23">
        <f>V2-V3</f>
        <v>0.15</v>
      </c>
      <c r="W4" s="23">
        <f>W2-W3</f>
        <v>0.0</v>
      </c>
      <c r="X4" s="23">
        <f>X2-X3</f>
        <v>0.0</v>
      </c>
      <c r="Y4" s="23">
        <f>Y2-Y3</f>
        <v>0.0</v>
      </c>
      <c r="Z4" s="23">
        <f>Z2-Z3</f>
        <v>0.0</v>
      </c>
      <c r="AA4" s="23">
        <f>AA2-AA3</f>
        <v>0.42</v>
      </c>
      <c r="AB4" s="23">
        <f>AB2-AB3</f>
        <v>0.043</v>
      </c>
      <c r="AC4" s="23">
        <f>AC2-AC3</f>
        <v>0.747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  <c r="K5" s="23" t="n">
        <v>0</v>
      </c>
      <c r="L5" s="23" t="n">
        <v>0</v>
      </c>
      <c r="M5" s="23" t="n">
        <v>9.766</v>
      </c>
      <c r="N5" s="23" t="n">
        <v>6.414</v>
      </c>
      <c r="O5" s="23" t="n">
        <v>9.206</v>
      </c>
      <c r="P5" s="23" t="n">
        <v>6.592</v>
      </c>
      <c r="Q5" s="23" t="n">
        <v>11.277</v>
      </c>
      <c r="R5" s="23" t="n">
        <v>18.277</v>
      </c>
      <c r="S5" s="23" t="n">
        <v>12.382</v>
      </c>
      <c r="T5" s="23" t="n">
        <v>9.477</v>
      </c>
      <c r="U5" s="23" t="n">
        <v>4.237</v>
      </c>
      <c r="V5" s="23" t="n">
        <v>4.327</v>
      </c>
      <c r="W5" s="23" t="n">
        <v>4.658</v>
      </c>
      <c r="X5" s="23" t="n">
        <v>4.759</v>
      </c>
      <c r="Y5" s="23" t="n">
        <v>14.928</v>
      </c>
      <c r="Z5" s="23" t="n">
        <v>20.274</v>
      </c>
      <c r="AA5" s="23" t="n">
        <v>19.155</v>
      </c>
      <c r="AB5" s="23" t="n">
        <v>6.655</v>
      </c>
      <c r="AC5" s="23" t="n">
        <v>0.848</v>
      </c>
    </row>
    <row r="6">
      <c r="A6" s="19" t="inlineStr">
        <is>
          <t>SG&amp;A &amp; Other</t>
        </is>
      </c>
      <c r="B6" s="23" t="n">
        <v>2.534</v>
      </c>
      <c r="C6" s="23" t="n">
        <v>3.964</v>
      </c>
      <c r="D6" s="23" t="n">
        <v>5.686</v>
      </c>
      <c r="E6" s="23" t="n">
        <v>10.382</v>
      </c>
      <c r="F6" s="23" t="n">
        <v>14.853</v>
      </c>
      <c r="G6" s="23" t="n">
        <v>15.542</v>
      </c>
      <c r="H6" s="23" t="n">
        <v>22.742</v>
      </c>
      <c r="I6" s="23" t="n">
        <v>18.048</v>
      </c>
      <c r="J6" s="23" t="n">
        <v>29.258</v>
      </c>
      <c r="K6" s="23" t="n">
        <v>24.053</v>
      </c>
      <c r="L6" s="23" t="n">
        <v>40.386</v>
      </c>
      <c r="M6" s="23" t="n">
        <v>8.904</v>
      </c>
      <c r="N6" s="23" t="n">
        <v>8.877000000000001</v>
      </c>
      <c r="O6" s="23" t="n">
        <v>6.881</v>
      </c>
      <c r="P6" s="23" t="n">
        <v>8.58</v>
      </c>
      <c r="Q6" s="23" t="n">
        <v>7.781</v>
      </c>
      <c r="R6" s="23" t="n">
        <v>5.894</v>
      </c>
      <c r="S6" s="23" t="n">
        <v>5.732</v>
      </c>
      <c r="T6" s="23" t="n">
        <v>5.516</v>
      </c>
      <c r="U6" s="23" t="n">
        <v>5.254</v>
      </c>
      <c r="V6" s="23" t="n">
        <v>5.371</v>
      </c>
      <c r="W6" s="23" t="n">
        <v>5.024</v>
      </c>
      <c r="X6" s="23" t="n">
        <v>5.877</v>
      </c>
      <c r="Y6" s="23" t="n">
        <v>7.461</v>
      </c>
      <c r="Z6" s="23" t="n">
        <v>7.382</v>
      </c>
      <c r="AA6" s="23" t="n">
        <v>6.718</v>
      </c>
      <c r="AB6" s="23" t="n">
        <v>5.392</v>
      </c>
      <c r="AC6" s="23" t="n">
        <v>8.326000000000001</v>
      </c>
    </row>
    <row r="7">
      <c r="A7" s="2" t="inlineStr">
        <is>
          <t>Operating Expense</t>
        </is>
      </c>
      <c r="B7" s="23">
        <f>SUM(B5:B6)</f>
        <v>2.534</v>
      </c>
      <c r="C7" s="23">
        <f>SUM(C5:C6)</f>
        <v>3.964</v>
      </c>
      <c r="D7" s="23">
        <f>SUM(D5:D6)</f>
        <v>5.686</v>
      </c>
      <c r="E7" s="23">
        <f>SUM(E5:E6)</f>
        <v>10.382</v>
      </c>
      <c r="F7" s="23">
        <f>SUM(F5:F6)</f>
        <v>14.853</v>
      </c>
      <c r="G7" s="23">
        <f>SUM(G5:G6)</f>
        <v>15.542</v>
      </c>
      <c r="H7" s="23">
        <f>SUM(H5:H6)</f>
        <v>22.742</v>
      </c>
      <c r="I7" s="23">
        <f>SUM(I5:I6)</f>
        <v>18.048</v>
      </c>
      <c r="J7" s="23">
        <f>SUM(J5:J6)</f>
        <v>29.258</v>
      </c>
      <c r="K7" s="23">
        <f>SUM(K5:K6)</f>
        <v>24.053</v>
      </c>
      <c r="L7" s="23">
        <f>SUM(L5:L6)</f>
        <v>40.386</v>
      </c>
      <c r="M7" s="23">
        <f>SUM(M5:M6)</f>
        <v>18.67</v>
      </c>
      <c r="N7" s="23">
        <f>SUM(N5:N6)</f>
        <v>15.291</v>
      </c>
      <c r="O7" s="23">
        <f>SUM(O5:O6)</f>
        <v>16.087</v>
      </c>
      <c r="P7" s="23">
        <f>SUM(P5:P6)</f>
        <v>15.172</v>
      </c>
      <c r="Q7" s="23">
        <f>SUM(Q5:Q6)</f>
        <v>19.058</v>
      </c>
      <c r="R7" s="23">
        <f>SUM(R5:R6)</f>
        <v>24.171</v>
      </c>
      <c r="S7" s="23">
        <f>SUM(S5:S6)</f>
        <v>18.114</v>
      </c>
      <c r="T7" s="23">
        <f>SUM(T5:T6)</f>
        <v>14.993</v>
      </c>
      <c r="U7" s="23">
        <f>SUM(U5:U6)</f>
        <v>9.491</v>
      </c>
      <c r="V7" s="23">
        <f>SUM(V5:V6)</f>
        <v>9.698</v>
      </c>
      <c r="W7" s="23">
        <f>SUM(W5:W6)</f>
        <v>9.682</v>
      </c>
      <c r="X7" s="23">
        <f>SUM(X5:X6)</f>
        <v>10.636</v>
      </c>
      <c r="Y7" s="23">
        <f>SUM(Y5:Y6)</f>
        <v>22.389000000000003</v>
      </c>
      <c r="Z7" s="23">
        <f>SUM(Z5:Z6)</f>
        <v>27.656</v>
      </c>
      <c r="AA7" s="23">
        <f>SUM(AA5:AA6)</f>
        <v>25.873</v>
      </c>
      <c r="AB7" s="23">
        <f>SUM(AB5:AB6)</f>
        <v>12.047</v>
      </c>
      <c r="AC7" s="23">
        <f>SUM(AC5:AC6)</f>
        <v>9.174000000000001</v>
      </c>
    </row>
    <row r="8">
      <c r="A8" s="2" t="inlineStr">
        <is>
          <t>Operating Income</t>
        </is>
      </c>
      <c r="B8" s="23">
        <f>B4-B7</f>
        <v>-2.534</v>
      </c>
      <c r="C8" s="23">
        <f>C4-C7</f>
        <v>-3.964</v>
      </c>
      <c r="D8" s="23">
        <f>D4-D7</f>
        <v>-5.686</v>
      </c>
      <c r="E8" s="23">
        <f>E4-E7</f>
        <v>-10.382</v>
      </c>
      <c r="F8" s="23">
        <f>F4-F7</f>
        <v>-14.853</v>
      </c>
      <c r="G8" s="23">
        <f>G4-G7</f>
        <v>-15.542</v>
      </c>
      <c r="H8" s="23">
        <f>H4-H7</f>
        <v>-22.742</v>
      </c>
      <c r="I8" s="23">
        <f>I4-I7</f>
        <v>-18.048</v>
      </c>
      <c r="J8" s="23">
        <f>J4-J7</f>
        <v>-29.258</v>
      </c>
      <c r="K8" s="23">
        <f>K4-K7</f>
        <v>-24.053</v>
      </c>
      <c r="L8" s="23">
        <f>L4-L7</f>
        <v>-40.386</v>
      </c>
      <c r="M8" s="23">
        <f>M4-M7</f>
        <v>-18.304000000000002</v>
      </c>
      <c r="N8" s="23">
        <f>N4-N7</f>
        <v>-15.135</v>
      </c>
      <c r="O8" s="23">
        <f>O4-O7</f>
        <v>-15.748</v>
      </c>
      <c r="P8" s="23">
        <f>P4-P7</f>
        <v>-15.103</v>
      </c>
      <c r="Q8" s="23">
        <f>Q4-Q7</f>
        <v>-17.974</v>
      </c>
      <c r="R8" s="23">
        <f>R4-R7</f>
        <v>-22.436999999999998</v>
      </c>
      <c r="S8" s="23">
        <f>S4-S7</f>
        <v>-16.17</v>
      </c>
      <c r="T8" s="23">
        <f>T4-T7</f>
        <v>-14.15</v>
      </c>
      <c r="U8" s="23">
        <f>U4-U7</f>
        <v>-9.491</v>
      </c>
      <c r="V8" s="23">
        <f>V4-V7</f>
        <v>-9.548</v>
      </c>
      <c r="W8" s="23">
        <f>W4-W7</f>
        <v>-9.682</v>
      </c>
      <c r="X8" s="23">
        <f>X4-X7</f>
        <v>-10.636</v>
      </c>
      <c r="Y8" s="23">
        <f>Y4-Y7</f>
        <v>-22.389000000000003</v>
      </c>
      <c r="Z8" s="23">
        <f>Z4-Z7</f>
        <v>-27.656</v>
      </c>
      <c r="AA8" s="23">
        <f>AA4-AA7</f>
        <v>-25.453</v>
      </c>
      <c r="AB8" s="23">
        <f>AB4-AB7</f>
        <v>-12.004000000000001</v>
      </c>
      <c r="AC8" s="23">
        <f>AC4-AC7</f>
        <v>-8.427000000000001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  <c r="L9" s="23" t="n">
        <v>0</v>
      </c>
      <c r="M9" s="23" t="n">
        <v>-2.214</v>
      </c>
      <c r="N9" s="23" t="n">
        <v>-1.543</v>
      </c>
      <c r="O9" s="23" t="n">
        <v>-0.06</v>
      </c>
      <c r="P9" s="23" t="n">
        <v>0.5659999999999999</v>
      </c>
      <c r="Q9" s="23" t="n">
        <v>6.151</v>
      </c>
      <c r="R9" s="23" t="n">
        <v>-0.193</v>
      </c>
      <c r="S9" s="23" t="n">
        <v>-0.316</v>
      </c>
      <c r="T9" s="23" t="n">
        <v>0.376</v>
      </c>
      <c r="U9" s="23" t="n">
        <v>1.028</v>
      </c>
      <c r="V9" s="23" t="n">
        <v>0.923</v>
      </c>
      <c r="W9" s="23" t="n">
        <v>0.556</v>
      </c>
      <c r="X9" s="23" t="n">
        <v>0.955</v>
      </c>
      <c r="Y9" s="23" t="n">
        <v>0.204</v>
      </c>
      <c r="Z9" s="23" t="n">
        <v>1.741</v>
      </c>
      <c r="AA9" s="23" t="n">
        <v>45.012</v>
      </c>
      <c r="AB9" s="23" t="n">
        <v>0.01</v>
      </c>
      <c r="AC9" s="23" t="n">
        <v>5.436</v>
      </c>
    </row>
    <row r="10">
      <c r="A10" s="2" t="inlineStr">
        <is>
          <t>Pretax</t>
        </is>
      </c>
      <c r="B10" s="23">
        <f>B8+B9</f>
        <v>-2.534</v>
      </c>
      <c r="C10" s="23">
        <f>C8+C9</f>
        <v>-3.964</v>
      </c>
      <c r="D10" s="23">
        <f>D8+D9</f>
        <v>-5.686</v>
      </c>
      <c r="E10" s="23">
        <f>E8+E9</f>
        <v>-10.382</v>
      </c>
      <c r="F10" s="23">
        <f>F8+F9</f>
        <v>-14.853</v>
      </c>
      <c r="G10" s="23">
        <f>G8+G9</f>
        <v>-15.542</v>
      </c>
      <c r="H10" s="23">
        <f>H8+H9</f>
        <v>-22.742</v>
      </c>
      <c r="I10" s="23">
        <f>I8+I9</f>
        <v>-18.048</v>
      </c>
      <c r="J10" s="23">
        <f>J8+J9</f>
        <v>-29.258</v>
      </c>
      <c r="K10" s="23">
        <f>K8+K9</f>
        <v>-24.053</v>
      </c>
      <c r="L10" s="23">
        <f>L8+L9</f>
        <v>-40.386</v>
      </c>
      <c r="M10" s="23">
        <f>M8+M9</f>
        <v>-20.518</v>
      </c>
      <c r="N10" s="23">
        <f>N8+N9</f>
        <v>-16.678</v>
      </c>
      <c r="O10" s="23">
        <f>O8+O9</f>
        <v>-15.808</v>
      </c>
      <c r="P10" s="23">
        <f>P8+P9</f>
        <v>-14.536999999999999</v>
      </c>
      <c r="Q10" s="23">
        <f>Q8+Q9</f>
        <v>-11.823</v>
      </c>
      <c r="R10" s="23">
        <f>R8+R9</f>
        <v>-22.63</v>
      </c>
      <c r="S10" s="23">
        <f>S8+S9</f>
        <v>-16.486</v>
      </c>
      <c r="T10" s="23">
        <f>T8+T9</f>
        <v>-13.774000000000001</v>
      </c>
      <c r="U10" s="23">
        <f>U8+U9</f>
        <v>-8.463</v>
      </c>
      <c r="V10" s="23">
        <f>V8+V9</f>
        <v>-8.625</v>
      </c>
      <c r="W10" s="23">
        <f>W8+W9</f>
        <v>-9.126000000000001</v>
      </c>
      <c r="X10" s="23">
        <f>X8+X9</f>
        <v>-9.681</v>
      </c>
      <c r="Y10" s="23">
        <f>Y8+Y9</f>
        <v>-22.185000000000002</v>
      </c>
      <c r="Z10" s="23">
        <f>Z8+Z9</f>
        <v>-25.915</v>
      </c>
      <c r="AA10" s="23">
        <f>AA8+AA9</f>
        <v>19.559</v>
      </c>
      <c r="AB10" s="23">
        <f>AB8+AB9</f>
        <v>-11.994000000000002</v>
      </c>
      <c r="AC10" s="23">
        <f>AC8+AC9</f>
        <v>-2.9910000000000014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-0.948</v>
      </c>
      <c r="N11" s="23" t="n">
        <v>-0.657</v>
      </c>
      <c r="O11" s="23" t="n">
        <v>-0.5649999999999999</v>
      </c>
      <c r="P11" s="23" t="n">
        <v>-1.351</v>
      </c>
      <c r="Q11" s="23" t="n">
        <v>-1.67</v>
      </c>
      <c r="R11" s="23" t="n">
        <v>-3.243</v>
      </c>
      <c r="S11" s="23" t="n">
        <v>-2.144</v>
      </c>
      <c r="T11" s="23" t="n">
        <v>-1.983</v>
      </c>
      <c r="U11" s="23" t="n">
        <v>-0.993</v>
      </c>
      <c r="V11" s="23" t="n">
        <v>-1.337</v>
      </c>
      <c r="W11" s="23" t="n">
        <v>-1.296</v>
      </c>
      <c r="X11" s="23" t="n">
        <v>-1.236</v>
      </c>
      <c r="Y11" s="23" t="n">
        <v>-3.728</v>
      </c>
      <c r="Z11" s="23" t="n">
        <v>-4.717</v>
      </c>
      <c r="AA11" s="23" t="n">
        <v>-2.996</v>
      </c>
      <c r="AB11" s="23" t="n">
        <v>-0.782</v>
      </c>
      <c r="AC11" s="23" t="n">
        <v>0.007</v>
      </c>
    </row>
    <row r="12">
      <c r="A12" s="2" t="inlineStr">
        <is>
          <t>Net Income</t>
        </is>
      </c>
      <c r="B12" s="23" t="n">
        <v>-2.534</v>
      </c>
      <c r="C12" s="23" t="n">
        <v>-3.964</v>
      </c>
      <c r="D12" s="23" t="n">
        <v>-5.686</v>
      </c>
      <c r="E12" s="23" t="n">
        <v>-10.382</v>
      </c>
      <c r="F12" s="23" t="n">
        <v>-14.853</v>
      </c>
      <c r="G12" s="23" t="n">
        <v>-15.542</v>
      </c>
      <c r="H12" s="23" t="n">
        <v>-22.742</v>
      </c>
      <c r="I12" s="23" t="n">
        <v>-18.048</v>
      </c>
      <c r="J12" s="23" t="n">
        <v>-29.258</v>
      </c>
      <c r="K12" s="23" t="n">
        <v>-24.053</v>
      </c>
      <c r="L12" s="23" t="n">
        <v>-40.386</v>
      </c>
      <c r="M12" s="23" t="n">
        <v>-19.57</v>
      </c>
      <c r="N12" s="23" t="n">
        <v>-16.021</v>
      </c>
      <c r="O12" s="23" t="n">
        <v>-15.243</v>
      </c>
      <c r="P12" s="23" t="n">
        <v>-13.186</v>
      </c>
      <c r="Q12" s="23" t="n">
        <v>-10.153</v>
      </c>
      <c r="R12" s="23" t="n">
        <v>-19.387</v>
      </c>
      <c r="S12" s="23" t="n">
        <v>-14.342</v>
      </c>
      <c r="T12" s="23" t="n">
        <v>-11.791</v>
      </c>
      <c r="U12" s="23" t="n">
        <v>-7.47</v>
      </c>
      <c r="V12" s="23" t="n">
        <v>-7.288</v>
      </c>
      <c r="W12" s="23" t="n">
        <v>-7.83</v>
      </c>
      <c r="X12" s="23" t="n">
        <v>-8.445</v>
      </c>
      <c r="Y12" s="23" t="n">
        <v>-18.457</v>
      </c>
      <c r="Z12" s="23" t="n">
        <v>-21.198</v>
      </c>
      <c r="AA12" s="23" t="n">
        <v>22.555</v>
      </c>
      <c r="AB12" s="23" t="n">
        <v>-11.212</v>
      </c>
      <c r="AC12" s="23" t="n">
        <v>-2.998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0</v>
      </c>
      <c r="L13" s="11">
        <f>IFERROR(L12/L14,0)</f>
        <v>0</v>
      </c>
      <c r="M13" s="11">
        <f>IFERROR(M12/M14,0)</f>
        <v>-171.66666666666666</v>
      </c>
      <c r="N13" s="11">
        <f>IFERROR(N12/N14,0)</f>
        <v>-572.1785714285714</v>
      </c>
      <c r="O13" s="11">
        <f>IFERROR(O12/O14,0)</f>
        <v>-411.972972972973</v>
      </c>
      <c r="P13" s="11">
        <f>IFERROR(P12/P14,0)</f>
        <v>-306.6511627906977</v>
      </c>
      <c r="Q13" s="11">
        <f>IFERROR(Q12/Q14,0)</f>
        <v>-130.16666666666669</v>
      </c>
      <c r="R13" s="11">
        <f>IFERROR(R12/R14,0)</f>
        <v>-171.56637168141592</v>
      </c>
      <c r="S13" s="11">
        <f>IFERROR(S12/S14,0)</f>
        <v>-129.2072072072072</v>
      </c>
      <c r="T13" s="11">
        <f>IFERROR(T12/T14,0)</f>
        <v>-83.62411347517731</v>
      </c>
      <c r="U13" s="11">
        <f>IFERROR(U12/U14,0)</f>
        <v>-23.78980891719745</v>
      </c>
      <c r="V13" s="11">
        <f>IFERROR(V12/V14,0)</f>
        <v>-14.663983903420524</v>
      </c>
      <c r="W13" s="11">
        <f>IFERROR(W12/W14,0)</f>
        <v>-15.566600397614314</v>
      </c>
      <c r="X13" s="11">
        <f>IFERROR(X12/X14,0)</f>
        <v>-3.771773112996874</v>
      </c>
      <c r="Y13" s="11">
        <f>IFERROR(Y12/Y14,0)</f>
        <v>-3.3545983278807707</v>
      </c>
      <c r="Z13" s="11">
        <f>IFERROR(Z12/Z14,0)</f>
        <v>-3.055787804526452</v>
      </c>
      <c r="AA13" s="11">
        <f>IFERROR(AA12/AA14,0)</f>
        <v>10.322654462242562</v>
      </c>
      <c r="AB13" s="11">
        <f>IFERROR(AB12/AB14,0)</f>
        <v>-5.126657521719251</v>
      </c>
      <c r="AC13" s="11">
        <f>IFERROR(AC12/AC14,0)</f>
        <v>-1.3720823798627002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>
        <v>0.114</v>
      </c>
      <c r="N14" s="23" t="n">
        <v>0.028</v>
      </c>
      <c r="O14" s="23" t="n">
        <v>0.037</v>
      </c>
      <c r="P14" s="23" t="n">
        <v>0.043</v>
      </c>
      <c r="Q14" s="23" t="n">
        <v>0.078</v>
      </c>
      <c r="R14" s="23" t="n">
        <v>0.113</v>
      </c>
      <c r="S14" s="23" t="n">
        <v>0.111</v>
      </c>
      <c r="T14" s="23" t="n">
        <v>0.141</v>
      </c>
      <c r="U14" s="23" t="n">
        <v>0.314</v>
      </c>
      <c r="V14" s="23" t="n">
        <v>0.497</v>
      </c>
      <c r="W14" s="23" t="n">
        <v>0.503</v>
      </c>
      <c r="X14" s="23" t="n">
        <v>2.239</v>
      </c>
      <c r="Y14" s="23" t="n">
        <v>5.502</v>
      </c>
      <c r="Z14" s="23" t="n">
        <v>6.937</v>
      </c>
      <c r="AA14" s="23" t="n">
        <v>2.185</v>
      </c>
      <c r="AB14" s="23" t="n">
        <v>2.187</v>
      </c>
      <c r="AC14" s="23" t="n">
        <v>2.185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>-0.3699231613611417</v>
      </c>
      <c r="O16" s="15">
        <f>IFERROR(O2/N2-1,"")</f>
        <v>0.21777003484320567</v>
      </c>
      <c r="P16" s="15">
        <f>IFERROR(P2/O2-1,"")</f>
        <v>-0.9012875536480687</v>
      </c>
      <c r="Q16" s="15">
        <f>IFERROR(Q2/P2-1,"")</f>
        <v>14.710144927536232</v>
      </c>
      <c r="R16" s="15">
        <f>IFERROR(R2/Q2-1,"")</f>
        <v>0.5996309963099631</v>
      </c>
      <c r="S16" s="15">
        <f>IFERROR(S2/R2-1,"")</f>
        <v>0.12110726643598624</v>
      </c>
      <c r="T16" s="15">
        <f>IFERROR(T2/S2-1,"")</f>
        <v>-0.566358024691358</v>
      </c>
      <c r="U16" s="15">
        <f>IFERROR(U2/T2-1,"")</f>
        <v>-1.0</v>
      </c>
      <c r="V16" s="15">
        <f>IFERROR(V2/U2-1,"")</f>
        <v/>
      </c>
      <c r="W16" s="15">
        <f>IFERROR(W2/V2-1,"")</f>
        <v>-1.0</v>
      </c>
      <c r="X16" s="15">
        <f>IFERROR(X2/W2-1,"")</f>
        <v/>
      </c>
      <c r="Y16" s="15">
        <f>IFERROR(Y2/X2-1,"")</f>
        <v/>
      </c>
      <c r="Z16" s="15">
        <f>IFERROR(Z2/Y2-1,"")</f>
        <v/>
      </c>
      <c r="AA16" s="15">
        <f>IFERROR(AA2/Z2-1,"")</f>
        <v/>
      </c>
      <c r="AB16" s="15">
        <f>IFERROR(AB2/AA2-1,"")</f>
        <v>-0.8976190476190476</v>
      </c>
      <c r="AC16" s="15">
        <f>IFERROR(AC2/AB2-1,"")</f>
        <v>16.372093023255815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>0.40175631174533477</v>
      </c>
      <c r="N17" s="15">
        <f>IFERROR(N4/N2,"")</f>
        <v>0.27177700348432055</v>
      </c>
      <c r="O17" s="15">
        <f>IFERROR(O4/O2,"")</f>
        <v>0.48497854077253216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/>
      </c>
      <c r="V17" s="15">
        <f>IFERROR(V4/V2,"")</f>
        <v>1.0</v>
      </c>
      <c r="W17" s="15">
        <f>IFERROR(W4/W2,"")</f>
        <v/>
      </c>
      <c r="X17" s="15">
        <f>IFERROR(X4/X2,"")</f>
        <v/>
      </c>
      <c r="Y17" s="15">
        <f>IFERROR(Y4/Y2,"")</f>
        <v/>
      </c>
      <c r="Z17" s="15">
        <f>IFERROR(Z4/Z2,"")</f>
        <v/>
      </c>
      <c r="AA17" s="15">
        <f>IFERROR(AA4/AA2,"")</f>
        <v>1.0</v>
      </c>
      <c r="AB17" s="15">
        <f>IFERROR(AB4/AB2,"")</f>
        <v>1.0</v>
      </c>
      <c r="AC17" s="15">
        <f>IFERROR(AC4/AC2,"")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>-20.09220636663008</v>
      </c>
      <c r="N18" s="15">
        <f>IFERROR(N8/N2,"")</f>
        <v>-26.36759581881533</v>
      </c>
      <c r="O18" s="15">
        <f>IFERROR(O8/O2,"")</f>
        <v>-22.529327610872677</v>
      </c>
      <c r="P18" s="15">
        <f>IFERROR(P8/P2,"")</f>
        <v>-218.88405797101447</v>
      </c>
      <c r="Q18" s="15">
        <f>IFERROR(Q8/Q2,"")</f>
        <v>-16.581180811808117</v>
      </c>
      <c r="R18" s="15">
        <f>IFERROR(R8/R2,"")</f>
        <v>-12.939446366782006</v>
      </c>
      <c r="S18" s="15">
        <f>IFERROR(S8/S2,"")</f>
        <v>-8.317901234567902</v>
      </c>
      <c r="T18" s="15">
        <f>IFERROR(T8/T2,"")</f>
        <v>-16.785290628707</v>
      </c>
      <c r="U18" s="15">
        <f>IFERROR(U8/U2,"")</f>
        <v/>
      </c>
      <c r="V18" s="15">
        <f>IFERROR(V8/V2,"")</f>
        <v>-63.653333333333336</v>
      </c>
      <c r="W18" s="15">
        <f>IFERROR(W8/W2,"")</f>
        <v/>
      </c>
      <c r="X18" s="15">
        <f>IFERROR(X8/X2,"")</f>
        <v/>
      </c>
      <c r="Y18" s="15">
        <f>IFERROR(Y8/Y2,"")</f>
        <v/>
      </c>
      <c r="Z18" s="15">
        <f>IFERROR(Z8/Z2,"")</f>
        <v/>
      </c>
      <c r="AA18" s="15">
        <f>IFERROR(AA8/AA2,"")</f>
        <v>-60.602380952380955</v>
      </c>
      <c r="AB18" s="15">
        <f>IFERROR(AB8/AB2,"")</f>
        <v>-279.1627906976745</v>
      </c>
      <c r="AC18" s="15">
        <f>IFERROR(AC8/AC2,"")</f>
        <v>-11.28112449799197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  <c r="Y19" s="20" t="inlineStr">
        <is>
          <t>A</t>
        </is>
      </c>
      <c r="Z19" s="20" t="inlineStr">
        <is>
          <t>A</t>
        </is>
      </c>
      <c r="AA19" s="20" t="inlineStr">
        <is>
          <t>A</t>
        </is>
      </c>
      <c r="AB19" s="20" t="inlineStr">
        <is>
          <t>A</t>
        </is>
      </c>
      <c r="A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2026-10-21T06:31:17Z</dcterms:modified>
  <cp:lastModifiedBy>Wang, Eric</cp:lastModifiedBy>
</cp:coreProperties>
</file>