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Sagimet Biosciences Inc.</t>
        </is>
      </c>
      <c r="C2" s="10" t="n"/>
    </row>
    <row r="3">
      <c r="B3" t="inlineStr">
        <is>
          <t>Price</t>
        </is>
      </c>
      <c r="C3" s="11">
        <f>INDEX([1]Pharma!$F$1:$F$1000,MATCH("SGMT",[1]Pharma!$B$1:$B$1000,0))</f>
        <v>9.74</v>
      </c>
      <c r="F3" s="1" t="n"/>
    </row>
    <row r="4">
      <c r="B4" t="inlineStr">
        <is>
          <t>Shares</t>
        </is>
      </c>
      <c r="C4" s="21" t="n">
        <v>62.158653</v>
      </c>
      <c r="F4" s="1" t="n"/>
    </row>
    <row r="5">
      <c r="B5" t="inlineStr">
        <is>
          <t>Market Cap.</t>
        </is>
      </c>
      <c r="C5" s="13">
        <f>C3*C4</f>
        <v>605.42528022</v>
      </c>
      <c r="F5" s="1" t="n"/>
    </row>
    <row r="6"/>
    <row r="7">
      <c r="B7" t="inlineStr">
        <is>
          <t>Cash</t>
        </is>
      </c>
      <c r="C7" s="21" t="n">
        <v>257.6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347.82528021999997</v>
      </c>
    </row>
    <row r="10"/>
    <row r="11">
      <c r="B11" s="14" t="inlineStr">
        <is>
          <t>Net Cash / Share</t>
        </is>
      </c>
      <c r="C11" s="11">
        <f>(C7-C8)/C4</f>
        <v>4.144233949213797</v>
      </c>
    </row>
    <row r="12">
      <c r="B12" s="14" t="inlineStr">
        <is>
          <t>Upside</t>
        </is>
      </c>
      <c r="C12" s="15">
        <f>IFERROR(C11/C3-1,"")</f>
        <v>-0.5745139682532037</v>
      </c>
    </row>
    <row r="13">
      <c r="B13" s="14" t="inlineStr">
        <is>
          <t>Cash / Share</t>
        </is>
      </c>
      <c r="C13" s="11">
        <f>IFERROR((C7-C8)/C4,"")</f>
        <v>4.144233949213797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-41.723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6.174052680775592</v>
      </c>
    </row>
    <row r="19">
      <c r="B19" s="14" t="inlineStr">
        <is>
          <t>Implied Pipeline Value</t>
        </is>
      </c>
      <c r="C19" s="13">
        <f>C9</f>
        <v>347.82528021999997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2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2.0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24.919</v>
      </c>
      <c r="C5" s="23" t="n">
        <v>19.777</v>
      </c>
      <c r="D5" s="23" t="n">
        <v>38.444</v>
      </c>
      <c r="E5" s="23" t="n">
        <v>39.054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6.136</v>
      </c>
      <c r="C6" s="23" t="n">
        <v>12.963</v>
      </c>
      <c r="D6" s="23" t="n">
        <v>16.01</v>
      </c>
      <c r="E6" s="23" t="n">
        <v>17.835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31.055</v>
      </c>
      <c r="C7" s="23">
        <f>SUM(C5:C6)</f>
        <v>32.74</v>
      </c>
      <c r="D7" s="23">
        <f>SUM(D5:D6)</f>
        <v>54.45400000000001</v>
      </c>
      <c r="E7" s="23">
        <f>SUM(E5:E6)</f>
        <v>56.889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-31.055</v>
      </c>
      <c r="C8" s="23">
        <f>C4-C7</f>
        <v>-30.740000000000002</v>
      </c>
      <c r="D8" s="23">
        <f>D4-D7</f>
        <v>-54.45400000000001</v>
      </c>
      <c r="E8" s="23">
        <f>E4-E7</f>
        <v>-56.889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0.556</v>
      </c>
      <c r="C9" s="23" t="n">
        <v>2.864</v>
      </c>
      <c r="D9" s="23" t="n">
        <v>8.887</v>
      </c>
      <c r="E9" s="23" t="n">
        <v>5.851</v>
      </c>
    </row>
    <row r="10">
      <c r="A10" s="2" t="inlineStr">
        <is>
          <t>Pretax</t>
        </is>
      </c>
      <c r="B10" s="23">
        <f>B8+B9</f>
        <v>-30.499</v>
      </c>
      <c r="C10" s="23">
        <f>C8+C9</f>
        <v>-27.876</v>
      </c>
      <c r="D10" s="23">
        <f>D8+D9</f>
        <v>-45.56700000000001</v>
      </c>
      <c r="E10" s="23">
        <f>E8+E9</f>
        <v>-51.038000000000004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</row>
    <row r="12">
      <c r="A12" s="2" t="inlineStr">
        <is>
          <t>Net Income</t>
        </is>
      </c>
      <c r="B12" s="23" t="n">
        <v>-30.499</v>
      </c>
      <c r="C12" s="23" t="n">
        <v>-27.876</v>
      </c>
      <c r="D12" s="23" t="n">
        <v>-45.567</v>
      </c>
      <c r="E12" s="23" t="n">
        <v>-51.038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-0.9660753880266075</v>
      </c>
      <c r="C13" s="11">
        <f>IFERROR(C12/C14,0)</f>
        <v>-0.8883082119753991</v>
      </c>
      <c r="D13" s="11">
        <f>IFERROR(D12/D14,0)</f>
        <v>-1.4534464610379254</v>
      </c>
      <c r="E13" s="11">
        <f>IFERROR(E12/E14,0)</f>
        <v>-1.5778767080937366</v>
      </c>
    </row>
    <row r="14">
      <c r="A14" s="2" t="inlineStr">
        <is>
          <t>Shares</t>
        </is>
      </c>
      <c r="B14" s="23" t="n">
        <v>31.57</v>
      </c>
      <c r="C14" s="23" t="n">
        <v>31.381</v>
      </c>
      <c r="D14" s="23" t="n">
        <v>31.351</v>
      </c>
      <c r="E14" s="23" t="n">
        <v>32.346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-1.0</v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-15.370000000000001</v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2026-10-21T01:05:07Z</dcterms:modified>
  <cp:lastModifiedBy>Wang, Eric</cp:lastModifiedBy>
</cp:coreProperties>
</file>