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Sagimet Biosciences Inc.</t>
        </is>
      </c>
      <c r="C2" s="10" t="n"/>
    </row>
    <row r="3">
      <c r="B3" t="inlineStr">
        <is>
          <t>Price</t>
        </is>
      </c>
      <c r="C3" s="11">
        <f>INDEX([1]Pharma!$F$1:$F$1000,MATCH("SGMT",[1]Pharma!$B$1:$B$1000,0))</f>
        <v>9.74</v>
      </c>
      <c r="F3" s="1" t="n"/>
    </row>
    <row r="4">
      <c r="B4" t="inlineStr">
        <is>
          <t>Shares</t>
        </is>
      </c>
      <c r="C4" s="21" t="n">
        <v>62.158653</v>
      </c>
      <c r="F4" s="1" t="n"/>
    </row>
    <row r="5">
      <c r="B5" t="inlineStr">
        <is>
          <t>Market Cap.</t>
        </is>
      </c>
      <c r="C5" s="13">
        <f>C3*C4</f>
        <v>605.42528022</v>
      </c>
      <c r="F5" s="1" t="n"/>
    </row>
    <row r="6"/>
    <row r="7">
      <c r="B7" t="inlineStr">
        <is>
          <t>Cash</t>
        </is>
      </c>
      <c r="C7" s="21" t="n">
        <v>257.6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347.82528021999997</v>
      </c>
    </row>
    <row r="10"/>
    <row r="11">
      <c r="B11" s="14" t="inlineStr">
        <is>
          <t>rNPV / Share</t>
        </is>
      </c>
      <c r="C11" s="11">
        <f>NPV!B27</f>
        <v>7.026986276557859</v>
      </c>
    </row>
    <row r="12">
      <c r="B12" s="14" t="inlineStr">
        <is>
          <t>Upside</t>
        </is>
      </c>
      <c r="C12" s="15">
        <f>IFERROR(C11/C3-1,"")</f>
        <v>-0.27854350343348466</v>
      </c>
    </row>
    <row r="13">
      <c r="B13" s="14" t="inlineStr">
        <is>
          <t>Cash / Share</t>
        </is>
      </c>
      <c r="C13" s="11">
        <f>IFERROR((C7-C8)/C4,"")</f>
        <v>4.144233949213797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-41.723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6.174052680775592</v>
      </c>
    </row>
    <row r="19">
      <c r="B19" s="14" t="inlineStr">
        <is>
          <t>Implied Pipeline Value</t>
        </is>
      </c>
      <c r="C19" s="13">
        <f>C9</f>
        <v>347.82528021999997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2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2.0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24.919</v>
      </c>
      <c r="C5" s="23" t="n">
        <v>19.777</v>
      </c>
      <c r="D5" s="23" t="n">
        <v>38.444</v>
      </c>
      <c r="E5" s="23" t="n">
        <v>39.054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6.136</v>
      </c>
      <c r="C6" s="23" t="n">
        <v>12.963</v>
      </c>
      <c r="D6" s="23" t="n">
        <v>16.01</v>
      </c>
      <c r="E6" s="23" t="n">
        <v>17.835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31.055</v>
      </c>
      <c r="C7" s="23">
        <f>SUM(C5:C6)</f>
        <v>32.74</v>
      </c>
      <c r="D7" s="23">
        <f>SUM(D5:D6)</f>
        <v>54.45400000000001</v>
      </c>
      <c r="E7" s="23">
        <f>SUM(E5:E6)</f>
        <v>56.889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-31.055</v>
      </c>
      <c r="C8" s="23">
        <f>C4-C7</f>
        <v>-30.740000000000002</v>
      </c>
      <c r="D8" s="23">
        <f>D4-D7</f>
        <v>-54.45400000000001</v>
      </c>
      <c r="E8" s="23">
        <f>E4-E7</f>
        <v>-56.889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0.556</v>
      </c>
      <c r="C9" s="23" t="n">
        <v>2.864</v>
      </c>
      <c r="D9" s="23" t="n">
        <v>8.887</v>
      </c>
      <c r="E9" s="23" t="n">
        <v>5.851</v>
      </c>
    </row>
    <row r="10">
      <c r="A10" s="2" t="inlineStr">
        <is>
          <t>Pretax</t>
        </is>
      </c>
      <c r="B10" s="23">
        <f>B8+B9</f>
        <v>-30.499</v>
      </c>
      <c r="C10" s="23">
        <f>C8+C9</f>
        <v>-27.876</v>
      </c>
      <c r="D10" s="23">
        <f>D8+D9</f>
        <v>-45.56700000000001</v>
      </c>
      <c r="E10" s="23">
        <f>E8+E9</f>
        <v>-51.038000000000004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-30.499</v>
      </c>
      <c r="C12" s="23" t="n">
        <v>-27.876</v>
      </c>
      <c r="D12" s="23" t="n">
        <v>-45.567</v>
      </c>
      <c r="E12" s="23" t="n">
        <v>-51.038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-0.9660753880266075</v>
      </c>
      <c r="C13" s="11">
        <f>IFERROR(C12/C14,0)</f>
        <v>-0.8883082119753991</v>
      </c>
      <c r="D13" s="11">
        <f>IFERROR(D12/D14,0)</f>
        <v>-1.4534464610379254</v>
      </c>
      <c r="E13" s="11">
        <f>IFERROR(E12/E14,0)</f>
        <v>-1.5778767080937366</v>
      </c>
    </row>
    <row r="14">
      <c r="A14" s="2" t="inlineStr">
        <is>
          <t>Shares</t>
        </is>
      </c>
      <c r="B14" s="23" t="n">
        <v>31.57</v>
      </c>
      <c r="C14" s="23" t="n">
        <v>31.381</v>
      </c>
      <c r="D14" s="23" t="n">
        <v>31.351</v>
      </c>
      <c r="E14" s="23" t="n">
        <v>32.346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-1.0</v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-15.370000000000001</v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Sagimet Biosciences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0.5304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52.63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155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179.188001600322</v>
      </c>
      <c r="C29" s="42">
        <f>NPV!B25</f>
        <v>436.788001600322</v>
      </c>
      <c r="D29" s="43">
        <f>NPV!B27</f>
        <v>7.026986276557859</v>
      </c>
      <c r="E29" s="44">
        <f>NPV!B29</f>
        <v>-0.27854350343348466</v>
      </c>
    </row>
    <row r="30">
      <c r="A30" s="45" t="n">
        <v>1</v>
      </c>
      <c r="B30" s="46">
        <f t="dataTable" ref="B30:E32" r1="B4"/>
        <v>5.027413810354578</v>
      </c>
      <c r="C30" s="46">
        <v>262.6274138103546</v>
      </c>
      <c r="D30" s="47">
        <v>4.2251143024343625</v>
      </c>
      <c r="E30" s="48">
        <v>-0.5662100305508868</v>
      </c>
    </row>
    <row r="31">
      <c r="A31" s="45" t="n">
        <v>2</v>
      </c>
      <c r="B31" s="46">
        <v>179.188001600322</v>
      </c>
      <c r="C31" s="46">
        <v>436.788001600322</v>
      </c>
      <c r="D31" s="47">
        <v>7.026986276557859</v>
      </c>
      <c r="E31" s="48">
        <v>-0.27854350343348466</v>
      </c>
    </row>
    <row r="32">
      <c r="A32" s="45" t="n">
        <v>3</v>
      </c>
      <c r="B32" s="46">
        <v>444.3917612624945</v>
      </c>
      <c r="C32" s="46">
        <v>701.9917612624945</v>
      </c>
      <c r="D32" s="47">
        <v>11.293548482501615</v>
      </c>
      <c r="E32" s="48">
        <v>0.15950189758743472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7.026986276557859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3.6765564249206175</v>
      </c>
      <c r="C37" s="47">
        <v>4.5028103759131355</v>
      </c>
      <c r="D37" s="47">
        <v>5.276708194704711</v>
      </c>
      <c r="E37" s="47">
        <v>6.783511808725279</v>
      </c>
      <c r="F37" s="47">
        <v>8.267108334368993</v>
      </c>
    </row>
    <row r="38">
      <c r="A38" s="50" t="n">
        <v>0.8</v>
      </c>
      <c r="B38" s="47">
        <v>4.1028173957119165</v>
      </c>
      <c r="C38" s="47">
        <v>5.145897784144731</v>
      </c>
      <c r="D38" s="47">
        <v>6.157616815416637</v>
      </c>
      <c r="E38" s="47">
        <v>8.14151371277534</v>
      </c>
      <c r="F38" s="47">
        <v>10.106991742873564</v>
      </c>
    </row>
    <row r="39">
      <c r="A39" s="50" t="n">
        <v>1</v>
      </c>
      <c r="B39" s="47">
        <v>4.4967709646937815</v>
      </c>
      <c r="C39" s="47">
        <v>5.776788364914895</v>
      </c>
      <c r="D39" s="47">
        <v>7.026986276557859</v>
      </c>
      <c r="E39" s="47">
        <v>9.493591603843214</v>
      </c>
      <c r="F39" s="47">
        <v>11.939472197079752</v>
      </c>
    </row>
    <row r="40">
      <c r="A40" s="50" t="n">
        <v>1.2</v>
      </c>
      <c r="B40" s="47">
        <v>4.88311305987347</v>
      </c>
      <c r="C40" s="47">
        <v>6.400721823910392</v>
      </c>
      <c r="D40" s="47">
        <v>7.889503698385468</v>
      </c>
      <c r="E40" s="47">
        <v>10.836895939402098</v>
      </c>
      <c r="F40" s="47">
        <v>13.769006803126377</v>
      </c>
    </row>
    <row r="41">
      <c r="A41" s="50" t="n">
        <v>1.4</v>
      </c>
      <c r="B41" s="47">
        <v>5.263439614686967</v>
      </c>
      <c r="C41" s="47">
        <v>7.020818966086834</v>
      </c>
      <c r="D41" s="47">
        <v>8.750110794861444</v>
      </c>
      <c r="E41" s="47">
        <v>12.180200274960976</v>
      </c>
      <c r="F41" s="47">
        <v>15.591437305422389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Sagimet Biosciences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Dermatology (other)</t>
        </is>
      </c>
      <c r="C4" s="14" t="inlineStr">
        <is>
          <t>Denifanstat, TVB-3567</t>
        </is>
      </c>
      <c r="D4" s="14" t="inlineStr">
        <is>
          <t>Phase 3</t>
        </is>
      </c>
      <c r="E4" s="14" t="inlineStr">
        <is>
          <t>Other / area</t>
        </is>
      </c>
      <c r="F4" s="14" t="inlineStr">
        <is>
          <t>Owned</t>
        </is>
      </c>
      <c r="G4" s="40" t="n">
        <v>500</v>
      </c>
      <c r="H4" s="27" t="n">
        <v>0.5304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380.41683012755607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26.52</v>
      </c>
      <c r="Q4" s="23">
        <f>IF(Q$3&lt;$I4,0,$G4*Assumptions!$E$11*INDEX(Assumptions!$B$24:$G$24,MIN(6,Q$3-$I4+1))*IF(Q$3&gt;$J4,(1-Assumptions!$B$26)^(Q$3-$J4),1)*IF($H4&gt;=1,1,MIN(0.97,$H4*Assumptions!$E$12)))</f>
        <v>66.3</v>
      </c>
      <c r="R4" s="23">
        <f>IF(R$3&lt;$I4,0,$G4*Assumptions!$E$11*INDEX(Assumptions!$B$24:$G$24,MIN(6,R$3-$I4+1))*IF(R$3&gt;$J4,(1-Assumptions!$B$26)^(R$3-$J4),1)*IF($H4&gt;=1,1,MIN(0.97,$H4*Assumptions!$E$12)))</f>
        <v>119.33999999999999</v>
      </c>
      <c r="S4" s="23">
        <f>IF(S$3&lt;$I4,0,$G4*Assumptions!$E$11*INDEX(Assumptions!$B$24:$G$24,MIN(6,S$3-$I4+1))*IF(S$3&gt;$J4,(1-Assumptions!$B$26)^(S$3-$J4),1)*IF($H4&gt;=1,1,MIN(0.97,$H4*Assumptions!$E$12)))</f>
        <v>172.38</v>
      </c>
      <c r="T4" s="23">
        <f>IF(T$3&lt;$I4,0,$G4*Assumptions!$E$11*INDEX(Assumptions!$B$24:$G$24,MIN(6,T$3-$I4+1))*IF(T$3&gt;$J4,(1-Assumptions!$B$26)^(T$3-$J4),1)*IF($H4&gt;=1,1,MIN(0.97,$H4*Assumptions!$E$12)))</f>
        <v>225.42</v>
      </c>
      <c r="U4" s="23">
        <f>IF(U$3&lt;$I4,0,$G4*Assumptions!$E$11*INDEX(Assumptions!$B$24:$G$24,MIN(6,U$3-$I4+1))*IF(U$3&gt;$J4,(1-Assumptions!$B$26)^(U$3-$J4),1)*IF($H4&gt;=1,1,MIN(0.97,$H4*Assumptions!$E$12)))</f>
        <v>265.2</v>
      </c>
      <c r="V4" s="23">
        <f>IF(V$3&lt;$I4,0,$G4*Assumptions!$E$11*INDEX(Assumptions!$B$24:$G$24,MIN(6,V$3-$I4+1))*IF(V$3&gt;$J4,(1-Assumptions!$B$26)^(V$3-$J4),1)*IF($H4&gt;=1,1,MIN(0.97,$H4*Assumptions!$E$12)))</f>
        <v>265.2</v>
      </c>
      <c r="W4" s="23">
        <f>IF(W$3&lt;$I4,0,$G4*Assumptions!$E$11*INDEX(Assumptions!$B$24:$G$24,MIN(6,W$3-$I4+1))*IF(W$3&gt;$J4,(1-Assumptions!$B$26)^(W$3-$J4),1)*IF($H4&gt;=1,1,MIN(0.97,$H4*Assumptions!$E$12)))</f>
        <v>265.2</v>
      </c>
      <c r="X4" s="23">
        <f>IF(X$3&lt;$I4,0,$G4*Assumptions!$E$11*INDEX(Assumptions!$B$24:$G$24,MIN(6,X$3-$I4+1))*IF(X$3&gt;$J4,(1-Assumptions!$B$26)^(X$3-$J4),1)*IF($H4&gt;=1,1,MIN(0.97,$H4*Assumptions!$E$12)))</f>
        <v>265.2</v>
      </c>
      <c r="Y4" s="23">
        <f>IF(Y$3&lt;$I4,0,$G4*Assumptions!$E$11*INDEX(Assumptions!$B$24:$G$24,MIN(6,Y$3-$I4+1))*IF(Y$3&gt;$J4,(1-Assumptions!$B$26)^(Y$3-$J4),1)*IF($H4&gt;=1,1,MIN(0.97,$H4*Assumptions!$E$12)))</f>
        <v>265.2</v>
      </c>
      <c r="Z4" s="23">
        <f>IF(Z$3&lt;$I4,0,$G4*Assumptions!$E$11*INDEX(Assumptions!$B$24:$G$24,MIN(6,Z$3-$I4+1))*IF(Z$3&gt;$J4,(1-Assumptions!$B$26)^(Z$3-$J4),1)*IF($H4&gt;=1,1,MIN(0.97,$H4*Assumptions!$E$12)))</f>
        <v>265.2</v>
      </c>
      <c r="AA4" s="23">
        <f>IF(AA$3&lt;$I4,0,$G4*Assumptions!$E$11*INDEX(Assumptions!$B$24:$G$24,MIN(6,AA$3-$I4+1))*IF(AA$3&gt;$J4,(1-Assumptions!$B$26)^(AA$3-$J4),1)*IF($H4&gt;=1,1,MIN(0.97,$H4*Assumptions!$E$12)))</f>
        <v>265.2</v>
      </c>
      <c r="AB4" s="23">
        <f>IF(AB$3&lt;$I4,0,$G4*Assumptions!$E$11*INDEX(Assumptions!$B$24:$G$24,MIN(6,AB$3-$I4+1))*IF(AB$3&gt;$J4,(1-Assumptions!$B$26)^(AB$3-$J4),1)*IF($H4&gt;=1,1,MIN(0.97,$H4*Assumptions!$E$12)))</f>
        <v>265.2</v>
      </c>
      <c r="AC4" s="23">
        <f>IF(AC$3&lt;$I4,0,$G4*Assumptions!$E$11*INDEX(Assumptions!$B$24:$G$24,MIN(6,AC$3-$I4+1))*IF(AC$3&gt;$J4,(1-Assumptions!$B$26)^(AC$3-$J4),1)*IF($H4&gt;=1,1,MIN(0.97,$H4*Assumptions!$E$12)))</f>
        <v>132.6</v>
      </c>
      <c r="AD4" s="23">
        <f>IF(AD$3&lt;$I4,0,$G4*Assumptions!$E$11*INDEX(Assumptions!$B$24:$G$24,MIN(6,AD$3-$I4+1))*IF(AD$3&gt;$J4,(1-Assumptions!$B$26)^(AD$3-$J4),1)*IF($H4&gt;=1,1,MIN(0.97,$H4*Assumptions!$E$12)))</f>
        <v>66.3</v>
      </c>
      <c r="AE4" s="23">
        <f>IF(AE$3&lt;$I4,0,$G4*Assumptions!$E$11*INDEX(Assumptions!$B$24:$G$24,MIN(6,AE$3-$I4+1))*IF(AE$3&gt;$J4,(1-Assumptions!$B$26)^(AE$3-$J4),1)*IF($H4&gt;=1,1,MIN(0.97,$H4*Assumptions!$E$12)))</f>
        <v>33.15</v>
      </c>
      <c r="AF4" s="23">
        <f>IF(AF$3&lt;$I4,0,$G4*Assumptions!$E$11*INDEX(Assumptions!$B$24:$G$24,MIN(6,AF$3-$I4+1))*IF(AF$3&gt;$J4,(1-Assumptions!$B$26)^(AF$3-$J4),1)*IF($H4&gt;=1,1,MIN(0.97,$H4*Assumptions!$E$12)))</f>
        <v>16.575</v>
      </c>
      <c r="AG4" s="35">
        <f>IF(F4="Owned",1-IF(H4&gt;=1,1,MIN(0.97,H4*Assumptions!$E$12)),1)</f>
        <v>0.4696</v>
      </c>
    </row>
    <row r="5">
      <c r="B5" s="24" t="inlineStr">
        <is>
          <t>Risked revenue</t>
        </is>
      </c>
      <c r="L5" s="54">
        <f>SUM(L4:L4)</f>
        <v>380.41683012755607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26.52</v>
      </c>
      <c r="Q5" s="54">
        <f>SUM(Q4:Q4)</f>
        <v>66.3</v>
      </c>
      <c r="R5" s="54">
        <f>SUM(R4:R4)</f>
        <v>119.33999999999999</v>
      </c>
      <c r="S5" s="54">
        <f>SUM(S4:S4)</f>
        <v>172.38</v>
      </c>
      <c r="T5" s="54">
        <f>SUM(T4:T4)</f>
        <v>225.42</v>
      </c>
      <c r="U5" s="54">
        <f>SUM(U4:U4)</f>
        <v>265.2</v>
      </c>
      <c r="V5" s="54">
        <f>SUM(V4:V4)</f>
        <v>265.2</v>
      </c>
      <c r="W5" s="54">
        <f>SUM(W4:W4)</f>
        <v>265.2</v>
      </c>
      <c r="X5" s="54">
        <f>SUM(X4:X4)</f>
        <v>265.2</v>
      </c>
      <c r="Y5" s="54">
        <f>SUM(Y4:Y4)</f>
        <v>265.2</v>
      </c>
      <c r="Z5" s="54">
        <f>SUM(Z4:Z4)</f>
        <v>265.2</v>
      </c>
      <c r="AA5" s="54">
        <f>SUM(AA4:AA4)</f>
        <v>265.2</v>
      </c>
      <c r="AB5" s="54">
        <f>SUM(AB4:AB4)</f>
        <v>265.2</v>
      </c>
      <c r="AC5" s="54">
        <f>SUM(AC4:AC4)</f>
        <v>132.6</v>
      </c>
      <c r="AD5" s="54">
        <f>SUM(AD4:AD4)</f>
        <v>66.3</v>
      </c>
      <c r="AE5" s="54">
        <f>SUM(AE4:AE4)</f>
        <v>33.15</v>
      </c>
      <c r="AF5" s="54">
        <f>SUM(AF4:AF4)</f>
        <v>16.575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10.608</v>
      </c>
      <c r="Q6" s="55">
        <f>SUMPRODUCT(Q4:Q4,$K$4:$K$4)</f>
        <v>26.52</v>
      </c>
      <c r="R6" s="55">
        <f>SUMPRODUCT(R4:R4,$K$4:$K$4)</f>
        <v>47.736</v>
      </c>
      <c r="S6" s="55">
        <f>SUMPRODUCT(S4:S4,$K$4:$K$4)</f>
        <v>68.952</v>
      </c>
      <c r="T6" s="55">
        <f>SUMPRODUCT(T4:T4,$K$4:$K$4)</f>
        <v>90.168</v>
      </c>
      <c r="U6" s="55">
        <f>SUMPRODUCT(U4:U4,$K$4:$K$4)</f>
        <v>106.08</v>
      </c>
      <c r="V6" s="55">
        <f>SUMPRODUCT(V4:V4,$K$4:$K$4)</f>
        <v>106.08</v>
      </c>
      <c r="W6" s="55">
        <f>SUMPRODUCT(W4:W4,$K$4:$K$4)</f>
        <v>106.08</v>
      </c>
      <c r="X6" s="55">
        <f>SUMPRODUCT(X4:X4,$K$4:$K$4)</f>
        <v>106.08</v>
      </c>
      <c r="Y6" s="55">
        <f>SUMPRODUCT(Y4:Y4,$K$4:$K$4)</f>
        <v>106.08</v>
      </c>
      <c r="Z6" s="55">
        <f>SUMPRODUCT(Z4:Z4,$K$4:$K$4)</f>
        <v>106.08</v>
      </c>
      <c r="AA6" s="55">
        <f>SUMPRODUCT(AA4:AA4,$K$4:$K$4)</f>
        <v>106.08</v>
      </c>
      <c r="AB6" s="55">
        <f>SUMPRODUCT(AB4:AB4,$K$4:$K$4)</f>
        <v>106.08</v>
      </c>
      <c r="AC6" s="55">
        <f>SUMPRODUCT(AC4:AC4,$K$4:$K$4)</f>
        <v>53.04</v>
      </c>
      <c r="AD6" s="55">
        <f>SUMPRODUCT(AD4:AD4,$K$4:$K$4)</f>
        <v>26.52</v>
      </c>
      <c r="AE6" s="55">
        <f>SUMPRODUCT(AE4:AE4,$K$4:$K$4)</f>
        <v>13.26</v>
      </c>
      <c r="AF6" s="55">
        <f>SUMPRODUCT(AF4:AF4,$K$4:$K$4)</f>
        <v>6.63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Sagimet Biosciences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26.52</v>
      </c>
      <c r="G4" s="57">
        <f>Pipeline!Q5</f>
        <v>66.3</v>
      </c>
      <c r="H4" s="57">
        <f>Pipeline!R5</f>
        <v>119.33999999999999</v>
      </c>
      <c r="I4" s="57">
        <f>Pipeline!S5</f>
        <v>172.38</v>
      </c>
      <c r="J4" s="57">
        <f>Pipeline!T5</f>
        <v>225.42</v>
      </c>
      <c r="K4" s="57">
        <f>Pipeline!U5</f>
        <v>265.2</v>
      </c>
      <c r="L4" s="57">
        <f>Pipeline!V5</f>
        <v>265.2</v>
      </c>
      <c r="M4" s="57">
        <f>Pipeline!W5</f>
        <v>265.2</v>
      </c>
      <c r="N4" s="57">
        <f>Pipeline!X5</f>
        <v>265.2</v>
      </c>
      <c r="O4" s="57">
        <f>Pipeline!Y5</f>
        <v>265.2</v>
      </c>
      <c r="P4" s="57">
        <f>Pipeline!Z5</f>
        <v>265.2</v>
      </c>
      <c r="Q4" s="57">
        <f>Pipeline!AA5</f>
        <v>265.2</v>
      </c>
      <c r="R4" s="57">
        <f>Pipeline!AB5</f>
        <v>265.2</v>
      </c>
      <c r="S4" s="57">
        <f>Pipeline!AC5</f>
        <v>132.6</v>
      </c>
      <c r="T4" s="57">
        <f>Pipeline!AD5</f>
        <v>66.3</v>
      </c>
      <c r="U4" s="57">
        <f>Pipeline!AE5</f>
        <v>33.15</v>
      </c>
      <c r="V4" s="57">
        <f>Pipeline!AF5</f>
        <v>16.575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10.608</v>
      </c>
      <c r="G5" s="57">
        <f>Pipeline!Q6</f>
        <v>26.52</v>
      </c>
      <c r="H5" s="57">
        <f>Pipeline!R6</f>
        <v>47.736</v>
      </c>
      <c r="I5" s="57">
        <f>Pipeline!S6</f>
        <v>68.952</v>
      </c>
      <c r="J5" s="57">
        <f>Pipeline!T6</f>
        <v>90.168</v>
      </c>
      <c r="K5" s="57">
        <f>Pipeline!U6</f>
        <v>106.08</v>
      </c>
      <c r="L5" s="57">
        <f>Pipeline!V6</f>
        <v>106.08</v>
      </c>
      <c r="M5" s="57">
        <f>Pipeline!W6</f>
        <v>106.08</v>
      </c>
      <c r="N5" s="57">
        <f>Pipeline!X6</f>
        <v>106.08</v>
      </c>
      <c r="O5" s="57">
        <f>Pipeline!Y6</f>
        <v>106.08</v>
      </c>
      <c r="P5" s="57">
        <f>Pipeline!Z6</f>
        <v>106.08</v>
      </c>
      <c r="Q5" s="57">
        <f>Pipeline!AA6</f>
        <v>106.08</v>
      </c>
      <c r="R5" s="57">
        <f>Pipeline!AB6</f>
        <v>106.08</v>
      </c>
      <c r="S5" s="57">
        <f>Pipeline!AC6</f>
        <v>53.04</v>
      </c>
      <c r="T5" s="57">
        <f>Pipeline!AD6</f>
        <v>26.52</v>
      </c>
      <c r="U5" s="57">
        <f>Pipeline!AE6</f>
        <v>13.26</v>
      </c>
      <c r="V5" s="57">
        <f>Pipeline!AF6</f>
        <v>6.63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-52.63</v>
      </c>
      <c r="D6" s="23">
        <f>-IF(D3-2026&lt;Assumptions!$B$19,Assumptions!$B$18,Assumptions!$B$18*Assumptions!$B$20*Assumptions!$B$16)</f>
        <v>-52.63</v>
      </c>
      <c r="E6" s="23">
        <f>-IF(E3-2026&lt;Assumptions!$B$19,Assumptions!$B$18,Assumptions!$B$18*Assumptions!$B$20*Assumptions!$B$16)</f>
        <v>-52.63</v>
      </c>
      <c r="F6" s="23">
        <f>-IF(F3-2026&lt;Assumptions!$B$19,Assumptions!$B$18,Assumptions!$B$18*Assumptions!$B$20*Assumptions!$B$16)</f>
        <v>-8.3744856</v>
      </c>
      <c r="G6" s="23">
        <f>-IF(G3-2026&lt;Assumptions!$B$19,Assumptions!$B$18,Assumptions!$B$18*Assumptions!$B$20*Assumptions!$B$16)</f>
        <v>-8.3744856</v>
      </c>
      <c r="H6" s="23">
        <f>-IF(H3-2026&lt;Assumptions!$B$19,Assumptions!$B$18,Assumptions!$B$18*Assumptions!$B$20*Assumptions!$B$16)</f>
        <v>-8.3744856</v>
      </c>
      <c r="I6" s="23">
        <f>-IF(I3-2026&lt;Assumptions!$B$19,Assumptions!$B$18,Assumptions!$B$18*Assumptions!$B$20*Assumptions!$B$16)</f>
        <v>-8.3744856</v>
      </c>
      <c r="J6" s="23">
        <f>-IF(J3-2026&lt;Assumptions!$B$19,Assumptions!$B$18,Assumptions!$B$18*Assumptions!$B$20*Assumptions!$B$16)</f>
        <v>-8.3744856</v>
      </c>
      <c r="K6" s="23">
        <f>-IF(K3-2026&lt;Assumptions!$B$19,Assumptions!$B$18,Assumptions!$B$18*Assumptions!$B$20*Assumptions!$B$16)</f>
        <v>-8.3744856</v>
      </c>
      <c r="L6" s="23">
        <f>-IF(L3-2026&lt;Assumptions!$B$19,Assumptions!$B$18,Assumptions!$B$18*Assumptions!$B$20*Assumptions!$B$16)</f>
        <v>-8.3744856</v>
      </c>
      <c r="M6" s="23">
        <f>-IF(M3-2026&lt;Assumptions!$B$19,Assumptions!$B$18,Assumptions!$B$18*Assumptions!$B$20*Assumptions!$B$16)</f>
        <v>-8.3744856</v>
      </c>
      <c r="N6" s="23">
        <f>-IF(N3-2026&lt;Assumptions!$B$19,Assumptions!$B$18,Assumptions!$B$18*Assumptions!$B$20*Assumptions!$B$16)</f>
        <v>-8.3744856</v>
      </c>
      <c r="O6" s="23">
        <f>-IF(O3-2026&lt;Assumptions!$B$19,Assumptions!$B$18,Assumptions!$B$18*Assumptions!$B$20*Assumptions!$B$16)</f>
        <v>-8.3744856</v>
      </c>
      <c r="P6" s="23">
        <f>-IF(P3-2026&lt;Assumptions!$B$19,Assumptions!$B$18,Assumptions!$B$18*Assumptions!$B$20*Assumptions!$B$16)</f>
        <v>-8.3744856</v>
      </c>
      <c r="Q6" s="23">
        <f>-IF(Q3-2026&lt;Assumptions!$B$19,Assumptions!$B$18,Assumptions!$B$18*Assumptions!$B$20*Assumptions!$B$16)</f>
        <v>-8.3744856</v>
      </c>
      <c r="R6" s="23">
        <f>-IF(R3-2026&lt;Assumptions!$B$19,Assumptions!$B$18,Assumptions!$B$18*Assumptions!$B$20*Assumptions!$B$16)</f>
        <v>-8.3744856</v>
      </c>
      <c r="S6" s="23">
        <f>-IF(S3-2026&lt;Assumptions!$B$19,Assumptions!$B$18,Assumptions!$B$18*Assumptions!$B$20*Assumptions!$B$16)</f>
        <v>-8.3744856</v>
      </c>
      <c r="T6" s="23">
        <f>-IF(T3-2026&lt;Assumptions!$B$19,Assumptions!$B$18,Assumptions!$B$18*Assumptions!$B$20*Assumptions!$B$16)</f>
        <v>-8.3744856</v>
      </c>
      <c r="U6" s="23">
        <f>-IF(U3-2026&lt;Assumptions!$B$19,Assumptions!$B$18,Assumptions!$B$18*Assumptions!$B$20*Assumptions!$B$16)</f>
        <v>-8.3744856</v>
      </c>
      <c r="V6" s="23">
        <f>-IF(V3-2026&lt;Assumptions!$B$19,Assumptions!$B$18,Assumptions!$B$18*Assumptions!$B$20*Assumptions!$B$16)</f>
        <v>-8.3744856</v>
      </c>
    </row>
    <row r="7">
      <c r="A7" s="14" t="inlineStr">
        <is>
          <t>Pre-tax cash flow</t>
        </is>
      </c>
      <c r="C7" s="23">
        <f>C5+C6</f>
        <v>-52.63</v>
      </c>
      <c r="D7" s="23">
        <f>D5+D6</f>
        <v>-52.63</v>
      </c>
      <c r="E7" s="23">
        <f>E5+E6</f>
        <v>-52.63</v>
      </c>
      <c r="F7" s="23">
        <f>F5+F6</f>
        <v>2.2335144000000007</v>
      </c>
      <c r="G7" s="23">
        <f>G5+G6</f>
        <v>18.1455144</v>
      </c>
      <c r="H7" s="23">
        <f>H5+H6</f>
        <v>39.3615144</v>
      </c>
      <c r="I7" s="23">
        <f>I5+I6</f>
        <v>60.5775144</v>
      </c>
      <c r="J7" s="23">
        <f>J5+J6</f>
        <v>81.7935144</v>
      </c>
      <c r="K7" s="23">
        <f>K5+K6</f>
        <v>97.7055144</v>
      </c>
      <c r="L7" s="23">
        <f>L5+L6</f>
        <v>97.7055144</v>
      </c>
      <c r="M7" s="23">
        <f>M5+M6</f>
        <v>97.7055144</v>
      </c>
      <c r="N7" s="23">
        <f>N5+N6</f>
        <v>97.7055144</v>
      </c>
      <c r="O7" s="23">
        <f>O5+O6</f>
        <v>97.7055144</v>
      </c>
      <c r="P7" s="23">
        <f>P5+P6</f>
        <v>97.7055144</v>
      </c>
      <c r="Q7" s="23">
        <f>Q5+Q6</f>
        <v>97.7055144</v>
      </c>
      <c r="R7" s="23">
        <f>R5+R6</f>
        <v>97.7055144</v>
      </c>
      <c r="S7" s="23">
        <f>S5+S6</f>
        <v>44.6655144</v>
      </c>
      <c r="T7" s="23">
        <f>T5+T6</f>
        <v>18.1455144</v>
      </c>
      <c r="U7" s="23">
        <f>U5+U6</f>
        <v>4.8855144</v>
      </c>
      <c r="V7" s="23">
        <f>V5+V6</f>
        <v>-1.7444856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2.2335144000000007</v>
      </c>
      <c r="G8" s="23">
        <f>MIN(F17,MAX(0,G7))</f>
        <v>18.1455144</v>
      </c>
      <c r="H8" s="23">
        <f>MIN(G17,MAX(0,H7))</f>
        <v>39.3615144</v>
      </c>
      <c r="I8" s="23">
        <f>MIN(H17,MAX(0,I7))</f>
        <v>60.5775144</v>
      </c>
      <c r="J8" s="23">
        <f>MIN(I17,MAX(0,J7))</f>
        <v>81.7935144</v>
      </c>
      <c r="K8" s="23">
        <f>MIN(J17,MAX(0,K7))</f>
        <v>97.7055144</v>
      </c>
      <c r="L8" s="23">
        <f>MIN(K17,MAX(0,L7))</f>
        <v>13.07291359999995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84.63260080000005</v>
      </c>
      <c r="M9" s="23">
        <f>MAX(0,M7)-M8</f>
        <v>97.7055144</v>
      </c>
      <c r="N9" s="23">
        <f>MAX(0,N7)-N8</f>
        <v>97.7055144</v>
      </c>
      <c r="O9" s="23">
        <f>MAX(0,O7)-O8</f>
        <v>97.7055144</v>
      </c>
      <c r="P9" s="23">
        <f>MAX(0,P7)-P8</f>
        <v>97.7055144</v>
      </c>
      <c r="Q9" s="23">
        <f>MAX(0,Q7)-Q8</f>
        <v>97.7055144</v>
      </c>
      <c r="R9" s="23">
        <f>MAX(0,R7)-R8</f>
        <v>97.7055144</v>
      </c>
      <c r="S9" s="23">
        <f>MAX(0,S7)-S8</f>
        <v>44.6655144</v>
      </c>
      <c r="T9" s="23">
        <f>MAX(0,T7)-T8</f>
        <v>18.1455144</v>
      </c>
      <c r="U9" s="23">
        <f>MAX(0,U7)-U8</f>
        <v>4.8855144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17.772846168000008</v>
      </c>
      <c r="M10" s="23">
        <f>M9*Assumptions!$E$15</f>
        <v>20.518158023999998</v>
      </c>
      <c r="N10" s="23">
        <f>N9*Assumptions!$E$15</f>
        <v>20.518158023999998</v>
      </c>
      <c r="O10" s="23">
        <f>O9*Assumptions!$E$15</f>
        <v>20.518158023999998</v>
      </c>
      <c r="P10" s="23">
        <f>P9*Assumptions!$E$15</f>
        <v>20.518158023999998</v>
      </c>
      <c r="Q10" s="23">
        <f>Q9*Assumptions!$E$15</f>
        <v>20.518158023999998</v>
      </c>
      <c r="R10" s="23">
        <f>R9*Assumptions!$E$15</f>
        <v>20.518158023999998</v>
      </c>
      <c r="S10" s="23">
        <f>S9*Assumptions!$E$15</f>
        <v>9.379758024</v>
      </c>
      <c r="T10" s="23">
        <f>T9*Assumptions!$E$15</f>
        <v>3.8105580239999997</v>
      </c>
      <c r="U10" s="23">
        <f>U9*Assumptions!$E$15</f>
        <v>1.025958024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-52.63</v>
      </c>
      <c r="D11" s="55">
        <f>D7-D10</f>
        <v>-52.63</v>
      </c>
      <c r="E11" s="55">
        <f>E7-E10</f>
        <v>-52.63</v>
      </c>
      <c r="F11" s="55">
        <f>F7-F10</f>
        <v>2.2335144000000007</v>
      </c>
      <c r="G11" s="55">
        <f>G7-G10</f>
        <v>18.1455144</v>
      </c>
      <c r="H11" s="55">
        <f>H7-H10</f>
        <v>39.3615144</v>
      </c>
      <c r="I11" s="55">
        <f>I7-I10</f>
        <v>60.5775144</v>
      </c>
      <c r="J11" s="55">
        <f>J7-J10</f>
        <v>81.7935144</v>
      </c>
      <c r="K11" s="55">
        <f>K7-K10</f>
        <v>97.7055144</v>
      </c>
      <c r="L11" s="55">
        <f>L7-L10</f>
        <v>79.932668232</v>
      </c>
      <c r="M11" s="55">
        <f>M7-M10</f>
        <v>77.187356376</v>
      </c>
      <c r="N11" s="55">
        <f>N7-N10</f>
        <v>77.187356376</v>
      </c>
      <c r="O11" s="55">
        <f>O7-O10</f>
        <v>77.187356376</v>
      </c>
      <c r="P11" s="55">
        <f>P7-P10</f>
        <v>77.187356376</v>
      </c>
      <c r="Q11" s="55">
        <f>Q7-Q10</f>
        <v>77.187356376</v>
      </c>
      <c r="R11" s="55">
        <f>R7-R10</f>
        <v>77.187356376</v>
      </c>
      <c r="S11" s="55">
        <f>S7-S10</f>
        <v>35.285756376</v>
      </c>
      <c r="T11" s="55">
        <f>T7-T10</f>
        <v>14.334956376000001</v>
      </c>
      <c r="U11" s="55">
        <f>U7-U10</f>
        <v>3.859556376</v>
      </c>
      <c r="V11" s="55">
        <f>V7-V10</f>
        <v>-1.7444856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-25.78366588864162</v>
      </c>
      <c r="D16" s="55">
        <f>D11*D15</f>
        <v>-46.96924221139167</v>
      </c>
      <c r="E16" s="55">
        <f>E11*E15</f>
        <v>-41.93682340302827</v>
      </c>
      <c r="F16" s="55">
        <f>F11*F15</f>
        <v>1.5890329212175407</v>
      </c>
      <c r="G16" s="55">
        <f>G11*G15</f>
        <v>11.526445463364077</v>
      </c>
      <c r="H16" s="55">
        <f>H11*H15</f>
        <v>22.32440496064631</v>
      </c>
      <c r="I16" s="55">
        <f>I11*I15</f>
        <v>30.6761971049774</v>
      </c>
      <c r="J16" s="55">
        <f>J11*J15</f>
        <v>36.9820444471485</v>
      </c>
      <c r="K16" s="55">
        <f>K11*K15</f>
        <v>39.443287059692274</v>
      </c>
      <c r="L16" s="55">
        <f>L11*L15</f>
        <v>28.811131354061757</v>
      </c>
      <c r="M16" s="55">
        <f>M11*M15</f>
        <v>24.84071809403451</v>
      </c>
      <c r="N16" s="55">
        <f>N11*N15</f>
        <v>22.17921258395938</v>
      </c>
      <c r="O16" s="55">
        <f>O11*O15</f>
        <v>19.80286837853516</v>
      </c>
      <c r="P16" s="55">
        <f>P11*P15</f>
        <v>17.68113248083496</v>
      </c>
      <c r="Q16" s="55">
        <f>Q11*Q15</f>
        <v>15.786725429316931</v>
      </c>
      <c r="R16" s="55">
        <f>R11*R15</f>
        <v>14.095290561890115</v>
      </c>
      <c r="S16" s="55">
        <f>S11*S15</f>
        <v>5.75319738887999</v>
      </c>
      <c r="T16" s="55">
        <f>T11*T15</f>
        <v>2.0868354052721028</v>
      </c>
      <c r="U16" s="55">
        <f>U11*U15</f>
        <v>0.5016619789677437</v>
      </c>
      <c r="V16" s="55">
        <f>V11*V15</f>
        <v>-0.20245250941520465</v>
      </c>
    </row>
    <row r="17">
      <c r="A17" s="14" t="inlineStr">
        <is>
          <t>Tax-loss carryforward, end of year</t>
        </is>
      </c>
      <c r="C17" s="23">
        <f>Assumptions!$B$21-C8+MAX(0,-C7)</f>
        <v>207.63</v>
      </c>
      <c r="D17" s="23">
        <f>C17-D8+MAX(0,-D7)</f>
        <v>260.26</v>
      </c>
      <c r="E17" s="23">
        <f>D17-E8+MAX(0,-E7)</f>
        <v>312.89</v>
      </c>
      <c r="F17" s="23">
        <f>E17-F8+MAX(0,-F7)</f>
        <v>310.6564856</v>
      </c>
      <c r="G17" s="23">
        <f>F17-G8+MAX(0,-G7)</f>
        <v>292.5109712</v>
      </c>
      <c r="H17" s="23">
        <f>G17-H8+MAX(0,-H7)</f>
        <v>253.14945679999997</v>
      </c>
      <c r="I17" s="23">
        <f>H17-I8+MAX(0,-I7)</f>
        <v>192.57194239999995</v>
      </c>
      <c r="J17" s="23">
        <f>I17-J8+MAX(0,-J7)</f>
        <v>110.77842799999995</v>
      </c>
      <c r="K17" s="23">
        <f>J17-K8+MAX(0,-K7)</f>
        <v>13.07291359999995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1.7444856</v>
      </c>
    </row>
    <row r="19">
      <c r="A19" s="14" t="inlineStr">
        <is>
          <t>PV of risked pipeline contribution</t>
        </is>
      </c>
      <c r="B19" s="23">
        <f>SUMPRODUCT(C5:V5,C15:V15)</f>
        <v>380.416830127556</v>
      </c>
    </row>
    <row r="20">
      <c r="A20" s="14" t="inlineStr">
        <is>
          <t>PV of corporate burn</t>
        </is>
      </c>
      <c r="B20" s="23">
        <f>SUMPRODUCT(C6:V6,C15:V15)</f>
        <v>-162.19893564246834</v>
      </c>
    </row>
    <row r="21">
      <c r="A21" s="14" t="inlineStr">
        <is>
          <t>PV of taxes</t>
        </is>
      </c>
      <c r="B21" s="23">
        <f>-SUMPRODUCT(C10:V10,C15:V15)</f>
        <v>-39.029892884765765</v>
      </c>
    </row>
    <row r="22">
      <c r="A22" s="24" t="inlineStr">
        <is>
          <t>Pipeline rNPV (operations)</t>
        </is>
      </c>
      <c r="B22" s="54">
        <f>SUM(C16:V16)</f>
        <v>179.188001600322</v>
      </c>
    </row>
    <row r="23">
      <c r="A23" s="14" t="inlineStr">
        <is>
          <t>Cash &amp; investments</t>
        </is>
      </c>
      <c r="B23" s="57">
        <f>Main!C7</f>
        <v>257.6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436.788001600322</v>
      </c>
    </row>
    <row r="26">
      <c r="A26" s="14" t="inlineStr">
        <is>
          <t>Shares (mm)</t>
        </is>
      </c>
      <c r="B26" s="57">
        <f>Main!C4</f>
        <v>62.158653</v>
      </c>
    </row>
    <row r="27">
      <c r="A27" s="24" t="inlineStr">
        <is>
          <t>rNPV / share</t>
        </is>
      </c>
      <c r="B27" s="60">
        <f>B25/B26</f>
        <v>7.026986276557859</v>
      </c>
    </row>
    <row r="28">
      <c r="A28" s="14" t="inlineStr">
        <is>
          <t>Price</t>
        </is>
      </c>
      <c r="B28" s="61">
        <f>Main!C3</f>
        <v>9.74</v>
      </c>
    </row>
    <row r="29">
      <c r="A29" s="14" t="inlineStr">
        <is>
          <t>Upside</t>
        </is>
      </c>
      <c r="B29" s="62">
        <f>B27/B28-1</f>
        <v>-0.27854350343348466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2026-10-21T06:25:03Z</dcterms:modified>
  <cp:lastModifiedBy>Wang, Eric</cp:lastModifiedBy>
</cp:coreProperties>
</file>