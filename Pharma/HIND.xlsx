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Vyome Holdings Inc</t>
        </is>
      </c>
      <c r="C2" s="10" t="n"/>
    </row>
    <row r="3">
      <c r="B3" t="inlineStr">
        <is>
          <t>Price</t>
        </is>
      </c>
      <c r="C3" s="11">
        <f>INDEX([1]Pharma!$F$1:$F$1000,MATCH("HIND",[1]Pharma!$B$1:$B$1000,0))</f>
        <v>1.84</v>
      </c>
      <c r="F3" s="1" t="n"/>
    </row>
    <row r="4">
      <c r="B4" t="inlineStr">
        <is>
          <t>Shares</t>
        </is>
      </c>
      <c r="C4" s="21" t="n">
        <v>7.018528</v>
      </c>
      <c r="F4" s="1" t="n"/>
    </row>
    <row r="5">
      <c r="B5" t="inlineStr">
        <is>
          <t>Market Cap.</t>
        </is>
      </c>
      <c r="C5" s="13">
        <f>C3*C4</f>
        <v>12.91409152</v>
      </c>
      <c r="F5" s="1" t="n"/>
    </row>
    <row r="6"/>
    <row r="7">
      <c r="B7" t="inlineStr">
        <is>
          <t>Cash</t>
        </is>
      </c>
      <c r="C7" s="21" t="n">
        <v>7.88751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5.02658152</v>
      </c>
    </row>
    <row r="10"/>
    <row r="11">
      <c r="B11" s="14" t="inlineStr">
        <is>
          <t>Net Cash / Share</t>
        </is>
      </c>
      <c r="C11" s="11">
        <f>(C7-C8)/C4</f>
        <v>1.1238125715249694</v>
      </c>
    </row>
    <row r="12">
      <c r="B12" s="14" t="inlineStr">
        <is>
          <t>Upside</t>
        </is>
      </c>
      <c r="C12" s="15">
        <f>IFERROR(C11/C3-1,"")</f>
        <v>-0.38923229808425575</v>
      </c>
    </row>
    <row r="13">
      <c r="B13" s="14" t="inlineStr">
        <is>
          <t>Cash / Share</t>
        </is>
      </c>
      <c r="C13" s="11">
        <f>IFERROR((C7-C8)/C4,"")</f>
        <v>1.1238125715249694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-5.579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1.4137856246639182</v>
      </c>
    </row>
    <row r="19">
      <c r="B19" s="14" t="inlineStr">
        <is>
          <t>Implied Pipeline Value</t>
        </is>
      </c>
      <c r="C19" s="13">
        <f>C9</f>
        <v>5.02658152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3.539</v>
      </c>
      <c r="C2" s="23" t="n">
        <v>4.039</v>
      </c>
      <c r="D2" s="23" t="n">
        <v>3.393</v>
      </c>
      <c r="E2" s="23" t="n">
        <v>9.914</v>
      </c>
      <c r="F2" s="23" t="n">
        <v>9.101000000000001</v>
      </c>
      <c r="G2" s="23" t="n">
        <v>3.281</v>
      </c>
      <c r="H2" s="23" t="n">
        <v>11.299</v>
      </c>
      <c r="I2" s="23" t="n">
        <v>13.6</v>
      </c>
      <c r="J2" s="23" t="n">
        <v>11.24</v>
      </c>
      <c r="K2" s="23" t="n">
        <v>8.678000000000001</v>
      </c>
      <c r="L2" s="23" t="n">
        <v>8.006</v>
      </c>
      <c r="M2" s="23" t="n">
        <v>0.32</v>
      </c>
    </row>
    <row r="3" customFormat="1" s="1">
      <c r="A3" s="5" t="inlineStr">
        <is>
          <t>Cost of Sales</t>
        </is>
      </c>
      <c r="B3" s="23" t="n">
        <v>2.912</v>
      </c>
      <c r="C3" s="23" t="n">
        <v>2.503</v>
      </c>
      <c r="D3" s="23" t="n">
        <v>2.809</v>
      </c>
      <c r="E3" s="23" t="n">
        <v>4.829</v>
      </c>
      <c r="F3" s="23" t="n">
        <v>5.423</v>
      </c>
      <c r="G3" s="23" t="n">
        <v>2.95</v>
      </c>
      <c r="H3" s="23" t="n">
        <v>5.037</v>
      </c>
      <c r="I3" s="23" t="n">
        <v>5.252</v>
      </c>
      <c r="J3" s="23" t="n">
        <v>4.438</v>
      </c>
      <c r="K3" s="23" t="n">
        <v>3.13</v>
      </c>
      <c r="L3" s="23" t="n">
        <v>0.062</v>
      </c>
      <c r="M3" s="23" t="n">
        <v>0.101</v>
      </c>
    </row>
    <row r="4" customFormat="1" s="1">
      <c r="A4" s="5" t="inlineStr">
        <is>
          <t>Gross Margin</t>
        </is>
      </c>
      <c r="B4" s="23">
        <f>B2-B3</f>
        <v>0.6270000000000002</v>
      </c>
      <c r="C4" s="23">
        <f>C2-C3</f>
        <v>1.5359999999999996</v>
      </c>
      <c r="D4" s="23">
        <f>D2-D3</f>
        <v>0.5839999999999996</v>
      </c>
      <c r="E4" s="23">
        <f>E2-E3</f>
        <v>5.085</v>
      </c>
      <c r="F4" s="23">
        <f>F2-F3</f>
        <v>3.678000000000001</v>
      </c>
      <c r="G4" s="23">
        <f>G2-G3</f>
        <v>0.33099999999999996</v>
      </c>
      <c r="H4" s="23">
        <f>H2-H3</f>
        <v>6.262</v>
      </c>
      <c r="I4" s="23">
        <f>I2-I3</f>
        <v>8.347999999999999</v>
      </c>
      <c r="J4" s="23">
        <f>J2-J3</f>
        <v>6.8020000000000005</v>
      </c>
      <c r="K4" s="23">
        <f>K2-K3</f>
        <v>5.548000000000001</v>
      </c>
      <c r="L4" s="23">
        <f>L2-L3</f>
        <v>7.944</v>
      </c>
      <c r="M4" s="23">
        <f>M2-M3</f>
        <v>0.219</v>
      </c>
    </row>
    <row r="5">
      <c r="A5" s="2" t="inlineStr">
        <is>
          <t>Research &amp; Dev.</t>
        </is>
      </c>
      <c r="B5" s="23" t="n">
        <v>5.767</v>
      </c>
      <c r="C5" s="23" t="n">
        <v>12.978</v>
      </c>
      <c r="D5" s="23" t="n">
        <v>9.872</v>
      </c>
      <c r="E5" s="23" t="n">
        <v>10.647</v>
      </c>
      <c r="F5" s="23" t="n">
        <v>10.697</v>
      </c>
      <c r="G5" s="23" t="n">
        <v>6.893</v>
      </c>
      <c r="H5" s="23" t="n">
        <v>3.498</v>
      </c>
      <c r="I5" s="23" t="n">
        <v>2.369</v>
      </c>
      <c r="J5" s="23" t="n">
        <v>2.537</v>
      </c>
      <c r="K5" s="23" t="n">
        <v>2.315</v>
      </c>
      <c r="L5" s="23" t="n">
        <v>0.285</v>
      </c>
      <c r="M5" s="23" t="n">
        <v>0.588</v>
      </c>
    </row>
    <row r="6">
      <c r="A6" s="19" t="inlineStr">
        <is>
          <t>SG&amp;A &amp; Other</t>
        </is>
      </c>
      <c r="B6" s="23" t="n">
        <v>4.7</v>
      </c>
      <c r="C6" s="23" t="n">
        <v>3.491</v>
      </c>
      <c r="D6" s="23" t="n">
        <v>10.217</v>
      </c>
      <c r="E6" s="23" t="n">
        <v>28.829</v>
      </c>
      <c r="F6" s="23" t="n">
        <v>29.946</v>
      </c>
      <c r="G6" s="23" t="n">
        <v>16.668</v>
      </c>
      <c r="H6" s="23" t="n">
        <v>15.221</v>
      </c>
      <c r="I6" s="23" t="n">
        <v>63.861</v>
      </c>
      <c r="J6" s="23" t="n">
        <v>50.616</v>
      </c>
      <c r="K6" s="23" t="n">
        <v>18.616</v>
      </c>
      <c r="L6" s="23" t="n">
        <v>8.664999999999999</v>
      </c>
      <c r="M6" s="23" t="n">
        <v>10.083</v>
      </c>
    </row>
    <row r="7">
      <c r="A7" s="2" t="inlineStr">
        <is>
          <t>Operating Expense</t>
        </is>
      </c>
      <c r="B7" s="23">
        <f>SUM(B5:B6)</f>
        <v>10.467</v>
      </c>
      <c r="C7" s="23">
        <f>SUM(C5:C6)</f>
        <v>16.469</v>
      </c>
      <c r="D7" s="23">
        <f>SUM(D5:D6)</f>
        <v>20.089</v>
      </c>
      <c r="E7" s="23">
        <f>SUM(E5:E6)</f>
        <v>39.476</v>
      </c>
      <c r="F7" s="23">
        <f>SUM(F5:F6)</f>
        <v>40.643</v>
      </c>
      <c r="G7" s="23">
        <f>SUM(G5:G6)</f>
        <v>23.561</v>
      </c>
      <c r="H7" s="23">
        <f>SUM(H5:H6)</f>
        <v>18.719</v>
      </c>
      <c r="I7" s="23">
        <f>SUM(I5:I6)</f>
        <v>66.23</v>
      </c>
      <c r="J7" s="23">
        <f>SUM(J5:J6)</f>
        <v>53.153</v>
      </c>
      <c r="K7" s="23">
        <f>SUM(K5:K6)</f>
        <v>20.931</v>
      </c>
      <c r="L7" s="23">
        <f>SUM(L5:L6)</f>
        <v>8.95</v>
      </c>
      <c r="M7" s="23">
        <f>SUM(M5:M6)</f>
        <v>10.671</v>
      </c>
    </row>
    <row r="8">
      <c r="A8" s="2" t="inlineStr">
        <is>
          <t>Operating Income</t>
        </is>
      </c>
      <c r="B8" s="23">
        <f>B4-B7</f>
        <v>-9.84</v>
      </c>
      <c r="C8" s="23">
        <f>C4-C7</f>
        <v>-14.933000000000002</v>
      </c>
      <c r="D8" s="23">
        <f>D4-D7</f>
        <v>-19.505</v>
      </c>
      <c r="E8" s="23">
        <f>E4-E7</f>
        <v>-34.391</v>
      </c>
      <c r="F8" s="23">
        <f>F4-F7</f>
        <v>-36.965</v>
      </c>
      <c r="G8" s="23">
        <f>G4-G7</f>
        <v>-23.23</v>
      </c>
      <c r="H8" s="23">
        <f>H4-H7</f>
        <v>-12.457</v>
      </c>
      <c r="I8" s="23">
        <f>I4-I7</f>
        <v>-57.882000000000005</v>
      </c>
      <c r="J8" s="23">
        <f>J4-J7</f>
        <v>-46.351</v>
      </c>
      <c r="K8" s="23">
        <f>K4-K7</f>
        <v>-15.383</v>
      </c>
      <c r="L8" s="23">
        <f>L4-L7</f>
        <v>-1.0059999999999993</v>
      </c>
      <c r="M8" s="23">
        <f>M4-M7</f>
        <v>-10.452</v>
      </c>
    </row>
    <row r="9">
      <c r="A9" s="19" t="inlineStr">
        <is>
          <t>Interest &amp; Other</t>
        </is>
      </c>
      <c r="B9" s="23" t="n">
        <v>-0.034</v>
      </c>
      <c r="C9" s="23" t="n">
        <v>-0.637</v>
      </c>
      <c r="D9" s="23" t="n">
        <v>-0.96</v>
      </c>
      <c r="E9" s="23" t="n">
        <v>-0.364</v>
      </c>
      <c r="F9" s="23" t="n">
        <v>-0.404</v>
      </c>
      <c r="G9" s="23" t="n">
        <v>-0.432</v>
      </c>
      <c r="H9" s="23" t="n">
        <v>-9.353999999999999</v>
      </c>
      <c r="I9" s="23" t="n">
        <v>-5.538</v>
      </c>
      <c r="J9" s="23" t="n">
        <v>-0.243</v>
      </c>
      <c r="K9" s="23" t="n">
        <v>4.048</v>
      </c>
      <c r="L9" s="23" t="n">
        <v>-0.402</v>
      </c>
      <c r="M9" s="23" t="n">
        <v>0.191</v>
      </c>
    </row>
    <row r="10">
      <c r="A10" s="2" t="inlineStr">
        <is>
          <t>Pretax</t>
        </is>
      </c>
      <c r="B10" s="23">
        <f>B8+B9</f>
        <v>-9.874</v>
      </c>
      <c r="C10" s="23">
        <f>C8+C9</f>
        <v>-15.570000000000002</v>
      </c>
      <c r="D10" s="23">
        <f>D8+D9</f>
        <v>-20.465</v>
      </c>
      <c r="E10" s="23">
        <f>E8+E9</f>
        <v>-34.754999999999995</v>
      </c>
      <c r="F10" s="23">
        <f>F8+F9</f>
        <v>-37.36900000000001</v>
      </c>
      <c r="G10" s="23">
        <f>G8+G9</f>
        <v>-23.662</v>
      </c>
      <c r="H10" s="23">
        <f>H8+H9</f>
        <v>-21.811</v>
      </c>
      <c r="I10" s="23">
        <f>I8+I9</f>
        <v>-63.42</v>
      </c>
      <c r="J10" s="23">
        <f>J8+J9</f>
        <v>-46.594</v>
      </c>
      <c r="K10" s="23">
        <f>K8+K9</f>
        <v>-11.334999999999999</v>
      </c>
      <c r="L10" s="23">
        <f>L8+L9</f>
        <v>-1.4079999999999995</v>
      </c>
      <c r="M10" s="23">
        <f>M8+M9</f>
        <v>-10.261</v>
      </c>
    </row>
    <row r="11">
      <c r="A11" s="2" t="inlineStr">
        <is>
          <t>Taxes</t>
        </is>
      </c>
      <c r="B11" s="23" t="n">
        <v>0.016</v>
      </c>
      <c r="C11" s="23" t="n">
        <v>-0.013</v>
      </c>
      <c r="D11" s="23" t="n">
        <v>0.002</v>
      </c>
      <c r="E11" s="23" t="n">
        <v>0.01</v>
      </c>
      <c r="F11" s="23" t="n">
        <v>0.011</v>
      </c>
      <c r="G11" s="23" t="n">
        <v>0.014</v>
      </c>
      <c r="H11" s="23" t="n">
        <v>-0.181</v>
      </c>
      <c r="I11" s="23" t="n">
        <v>-0.274</v>
      </c>
      <c r="J11" s="23" t="n">
        <v>-0.38</v>
      </c>
      <c r="K11" s="23" t="n">
        <v>0.052</v>
      </c>
      <c r="L11" s="23" t="n">
        <v>0.039</v>
      </c>
      <c r="M11" s="23" t="n">
        <v>0</v>
      </c>
    </row>
    <row r="12">
      <c r="A12" s="2" t="inlineStr">
        <is>
          <t>Net Income</t>
        </is>
      </c>
      <c r="B12" s="23" t="n">
        <v>-9.890000000000001</v>
      </c>
      <c r="C12" s="23" t="n">
        <v>-15.557</v>
      </c>
      <c r="D12" s="23" t="n">
        <v>-20.467</v>
      </c>
      <c r="E12" s="23" t="n">
        <v>-34.765</v>
      </c>
      <c r="F12" s="23" t="n">
        <v>-37.38</v>
      </c>
      <c r="G12" s="23" t="n">
        <v>-23.676</v>
      </c>
      <c r="H12" s="23" t="n">
        <v>-21.63</v>
      </c>
      <c r="I12" s="23" t="n">
        <v>-63.146</v>
      </c>
      <c r="J12" s="23" t="n">
        <v>-46.214</v>
      </c>
      <c r="K12" s="23" t="n">
        <v>-11.387</v>
      </c>
      <c r="L12" s="23" t="n">
        <v>-1.447</v>
      </c>
      <c r="M12" s="23" t="n">
        <v>-10.262</v>
      </c>
    </row>
    <row r="13">
      <c r="A13" s="2" t="inlineStr">
        <is>
          <t>Earnings per Share</t>
        </is>
      </c>
      <c r="B13" s="11">
        <f>IFERROR(B12/B14,0)</f>
        <v>-3.978278358809332</v>
      </c>
      <c r="C13" s="11">
        <f>IFERROR(C12/C14,0)</f>
        <v>-5.802685565087654</v>
      </c>
      <c r="D13" s="11">
        <f>IFERROR(D12/D14,0)</f>
        <v>-1.0362513290466304</v>
      </c>
      <c r="E13" s="11">
        <f>IFERROR(E12/E14,0)</f>
        <v>-1.7781699145823744</v>
      </c>
      <c r="F13" s="11">
        <f>IFERROR(F12/F14,0)</f>
        <v>-16.79245283018868</v>
      </c>
      <c r="G13" s="11">
        <f>IFERROR(G12/G14,0)</f>
        <v>-4.300817438692098</v>
      </c>
      <c r="H13" s="11">
        <f>IFERROR(H12/H14,0)</f>
        <v>-4.744461504715946</v>
      </c>
      <c r="I13" s="11">
        <f>IFERROR(I12/I14,0)</f>
        <v>-13.727391304347828</v>
      </c>
      <c r="J13" s="11">
        <f>IFERROR(J12/J14,0)</f>
        <v>-5.172822923662413</v>
      </c>
      <c r="K13" s="11">
        <f>IFERROR(K12/K14,0)</f>
        <v>-5.266882516188715</v>
      </c>
      <c r="L13" s="11">
        <f>IFERROR(L12/L14,0)</f>
        <v>-0.6695974086071264</v>
      </c>
      <c r="M13" s="11">
        <f>IFERROR(M12/M14,0)</f>
        <v>-4.748727440999537</v>
      </c>
    </row>
    <row r="14">
      <c r="A14" s="2" t="inlineStr">
        <is>
          <t>Shares</t>
        </is>
      </c>
      <c r="B14" s="23" t="n">
        <v>2.486</v>
      </c>
      <c r="C14" s="23" t="n">
        <v>2.681</v>
      </c>
      <c r="D14" s="23" t="n">
        <v>19.751</v>
      </c>
      <c r="E14" s="23" t="n">
        <v>19.551</v>
      </c>
      <c r="F14" s="23" t="n">
        <v>2.226</v>
      </c>
      <c r="G14" s="23" t="n">
        <v>5.505</v>
      </c>
      <c r="H14" s="23" t="n">
        <v>4.559</v>
      </c>
      <c r="I14" s="23" t="n">
        <v>4.6</v>
      </c>
      <c r="J14" s="23" t="n">
        <v>8.933999999999999</v>
      </c>
      <c r="K14" s="23" t="n">
        <v>2.162</v>
      </c>
      <c r="L14" s="23" t="n">
        <v>2.161</v>
      </c>
      <c r="M14" s="23" t="n">
        <v>2.161</v>
      </c>
    </row>
    <row r="15"/>
    <row r="16" customFormat="1" s="4">
      <c r="A16" s="3" t="inlineStr">
        <is>
          <t>Revenue Change</t>
        </is>
      </c>
      <c r="C16" s="15">
        <f>IFERROR(C2/B2-1,"")</f>
        <v>0.14128284826222082</v>
      </c>
      <c r="D16" s="15">
        <f>IFERROR(D2/C2-1,"")</f>
        <v>-0.15994057935132455</v>
      </c>
      <c r="E16" s="15">
        <f>IFERROR(E2/D2-1,"")</f>
        <v>1.9218980253463012</v>
      </c>
      <c r="F16" s="15">
        <f>IFERROR(F2/E2-1,"")</f>
        <v>-0.08200524510792806</v>
      </c>
      <c r="G16" s="15">
        <f>IFERROR(G2/F2-1,"")</f>
        <v>-0.6394901659158334</v>
      </c>
      <c r="H16" s="15">
        <f>IFERROR(H2/G2-1,"")</f>
        <v>2.4437671441633646</v>
      </c>
      <c r="I16" s="15">
        <f>IFERROR(I2/H2-1,"")</f>
        <v>0.2036463403841049</v>
      </c>
      <c r="J16" s="15">
        <f>IFERROR(J2/I2-1,"")</f>
        <v>-0.17352941176470582</v>
      </c>
      <c r="K16" s="15">
        <f>IFERROR(K2/J2-1,"")</f>
        <v>-0.22793594306049814</v>
      </c>
      <c r="L16" s="15">
        <f>IFERROR(L2/K2-1,"")</f>
        <v>-0.07743719751094724</v>
      </c>
      <c r="M16" s="15">
        <f>IFERROR(M2/L2-1,"")</f>
        <v>-0.9600299775168624</v>
      </c>
    </row>
    <row r="17" customFormat="1" s="4">
      <c r="A17" s="3" t="inlineStr">
        <is>
          <t>Gross Margin</t>
        </is>
      </c>
      <c r="B17" s="15">
        <f>IFERROR(B4/B2,"")</f>
        <v>0.17716869172082514</v>
      </c>
      <c r="C17" s="15">
        <f>IFERROR(C4/C2,"")</f>
        <v>0.38029215152265405</v>
      </c>
      <c r="D17" s="15">
        <f>IFERROR(D4/D2,"")</f>
        <v>0.1721190686707927</v>
      </c>
      <c r="E17" s="15">
        <f>IFERROR(E4/E2,"")</f>
        <v>0.5129110349001412</v>
      </c>
      <c r="F17" s="15">
        <f>IFERROR(F4/F2,"")</f>
        <v>0.4041314141303154</v>
      </c>
      <c r="G17" s="15">
        <f>IFERROR(G4/G2,"")</f>
        <v>0.10088387686680889</v>
      </c>
      <c r="H17" s="15">
        <f>IFERROR(H4/H2,"")</f>
        <v>0.5542083370209753</v>
      </c>
      <c r="I17" s="15">
        <f>IFERROR(I4/I2,"")</f>
        <v>0.6138235294117647</v>
      </c>
      <c r="J17" s="15">
        <f>IFERROR(J4/J2,"")</f>
        <v>0.6051601423487545</v>
      </c>
      <c r="K17" s="15">
        <f>IFERROR(K4/K2,"")</f>
        <v>0.6393178151647846</v>
      </c>
      <c r="L17" s="15">
        <f>IFERROR(L4/L2,"")</f>
        <v>0.992255808143892</v>
      </c>
      <c r="M17" s="15">
        <f>IFERROR(M4/M2,"")</f>
        <v>0.684375</v>
      </c>
    </row>
    <row r="18">
      <c r="A18" s="14" t="inlineStr">
        <is>
          <t>Operating Margin</t>
        </is>
      </c>
      <c r="B18" s="15">
        <f>IFERROR(B8/B2,"")</f>
        <v>-2.7804464538005083</v>
      </c>
      <c r="C18" s="15">
        <f>IFERROR(C8/C2,"")</f>
        <v>-3.697202277791533</v>
      </c>
      <c r="D18" s="15">
        <f>IFERROR(D8/D2,"")</f>
        <v>-5.748600058944887</v>
      </c>
      <c r="E18" s="15">
        <f>IFERROR(E8/E2,"")</f>
        <v>-3.468932822271535</v>
      </c>
      <c r="F18" s="15">
        <f>IFERROR(F8/F2,"")</f>
        <v>-4.061641577848588</v>
      </c>
      <c r="G18" s="15">
        <f>IFERROR(G8/G2,"")</f>
        <v>-7.080158488265773</v>
      </c>
      <c r="H18" s="15">
        <f>IFERROR(H8/H2,"")</f>
        <v>-1.1024869457474114</v>
      </c>
      <c r="I18" s="15">
        <f>IFERROR(I8/I2,"")</f>
        <v>-4.256029411764707</v>
      </c>
      <c r="J18" s="15">
        <f>IFERROR(J8/J2,"")</f>
        <v>-4.123754448398576</v>
      </c>
      <c r="K18" s="15">
        <f>IFERROR(K8/K2,"")</f>
        <v>-1.7726434662364599</v>
      </c>
      <c r="L18" s="15">
        <f>IFERROR(L8/L2,"")</f>
        <v>-0.1256557581813639</v>
      </c>
      <c r="M18" s="15">
        <f>IFERROR(M8/M2,"")</f>
        <v>-32.6625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2026-10-21T01:06:33Z</dcterms:modified>
  <cp:lastModifiedBy>Wang, Eric</cp:lastModifiedBy>
</cp:coreProperties>
</file>