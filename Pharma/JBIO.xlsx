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Jade Biosciences, Inc.</t>
        </is>
      </c>
      <c r="C2" s="10" t="n"/>
    </row>
    <row r="3">
      <c r="B3" t="inlineStr">
        <is>
          <t>Price</t>
        </is>
      </c>
      <c r="C3" s="11">
        <f>INDEX([1]Pharma!$F$1:$F$1000,MATCH("JBIO",[1]Pharma!$B$1:$B$1000,0))</f>
        <v>14.86</v>
      </c>
      <c r="F3" s="1" t="n"/>
    </row>
    <row r="4">
      <c r="B4" t="inlineStr">
        <is>
          <t>Shares</t>
        </is>
      </c>
      <c r="C4" s="21" t="n">
        <v>63.597387</v>
      </c>
      <c r="F4" s="1" t="n"/>
    </row>
    <row r="5">
      <c r="B5" t="inlineStr">
        <is>
          <t>Market Cap.</t>
        </is>
      </c>
      <c r="C5" s="13">
        <f>C3*C4</f>
        <v>945.0571708199999</v>
      </c>
      <c r="F5" s="1" t="n"/>
    </row>
    <row r="6"/>
    <row r="7">
      <c r="B7" t="inlineStr">
        <is>
          <t>Cash</t>
        </is>
      </c>
      <c r="C7" s="21">
        <f>107.25+353.955</f>
        <v>461.205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483.8521708199999</v>
      </c>
    </row>
    <row r="10"/>
    <row r="11">
      <c r="B11" s="14" t="inlineStr">
        <is>
          <t>rNPV / Share</t>
        </is>
      </c>
      <c r="C11" s="11">
        <f>NPV!B27</f>
        <v>4.790377388588212</v>
      </c>
    </row>
    <row r="12">
      <c r="B12" s="14" t="inlineStr">
        <is>
          <t>Upside</t>
        </is>
      </c>
      <c r="C12" s="15">
        <f>IFERROR(C11/C3-1,"")</f>
        <v>-0.6776327463937946</v>
      </c>
    </row>
    <row r="13">
      <c r="B13" s="14" t="inlineStr">
        <is>
          <t>Cash / Share</t>
        </is>
      </c>
      <c r="C13" s="11">
        <f>IFERROR((C7-C8)/C4,"")</f>
        <v>7.251948889032186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-123.51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3.7341510808841387</v>
      </c>
    </row>
    <row r="19">
      <c r="B19" s="14" t="inlineStr">
        <is>
          <t>Implied Pipeline Value</t>
        </is>
      </c>
      <c r="C19" s="13">
        <f>C9</f>
        <v>483.8521708199999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7.94</v>
      </c>
      <c r="C5" s="23" t="n">
        <v>14.987</v>
      </c>
      <c r="D5" s="23" t="n">
        <v>38.622</v>
      </c>
      <c r="E5" s="23" t="n">
        <v>64.21899999999999</v>
      </c>
      <c r="F5" s="23" t="n">
        <v>53.187</v>
      </c>
      <c r="G5" s="23" t="n">
        <v>93.121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0.949</v>
      </c>
      <c r="C6" s="23" t="n">
        <v>8.035</v>
      </c>
      <c r="D6" s="23" t="n">
        <v>14.615</v>
      </c>
      <c r="E6" s="23" t="n">
        <v>17.19</v>
      </c>
      <c r="F6" s="23" t="n">
        <v>21.409</v>
      </c>
      <c r="G6" s="23" t="n">
        <v>20.421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8.889000000000001</v>
      </c>
      <c r="C7" s="23">
        <f>SUM(C5:C6)</f>
        <v>23.022</v>
      </c>
      <c r="D7" s="23">
        <f>SUM(D5:D6)</f>
        <v>53.237</v>
      </c>
      <c r="E7" s="23">
        <f>SUM(E5:E6)</f>
        <v>81.40899999999999</v>
      </c>
      <c r="F7" s="23">
        <f>SUM(F5:F6)</f>
        <v>74.596</v>
      </c>
      <c r="G7" s="23">
        <f>SUM(G5:G6)</f>
        <v>113.542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-8.889000000000001</v>
      </c>
      <c r="C8" s="23">
        <f>C4-C7</f>
        <v>-23.022</v>
      </c>
      <c r="D8" s="23">
        <f>D4-D7</f>
        <v>-53.237</v>
      </c>
      <c r="E8" s="23">
        <f>E4-E7</f>
        <v>-81.40899999999999</v>
      </c>
      <c r="F8" s="23">
        <f>F4-F7</f>
        <v>-74.596</v>
      </c>
      <c r="G8" s="23">
        <f>G4-G7</f>
        <v>-113.542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-0.722</v>
      </c>
      <c r="C9" s="23" t="n">
        <v>0.062</v>
      </c>
      <c r="D9" s="23" t="n">
        <v>1.751</v>
      </c>
      <c r="E9" s="23" t="n">
        <v>5.944</v>
      </c>
      <c r="F9" s="23" t="n">
        <v>5.023</v>
      </c>
      <c r="G9" s="23" t="n">
        <v>-13.81</v>
      </c>
    </row>
    <row r="10">
      <c r="A10" s="2" t="inlineStr">
        <is>
          <t>Pretax</t>
        </is>
      </c>
      <c r="B10" s="23">
        <f>B8+B9</f>
        <v>-9.611</v>
      </c>
      <c r="C10" s="23">
        <f>C8+C9</f>
        <v>-22.959999999999997</v>
      </c>
      <c r="D10" s="23">
        <f>D8+D9</f>
        <v>-51.486000000000004</v>
      </c>
      <c r="E10" s="23">
        <f>E8+E9</f>
        <v>-75.46499999999999</v>
      </c>
      <c r="F10" s="23">
        <f>F8+F9</f>
        <v>-69.57300000000001</v>
      </c>
      <c r="G10" s="23">
        <f>G8+G9</f>
        <v>-127.352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0.003</v>
      </c>
      <c r="D11" s="23" t="n">
        <v>0.025</v>
      </c>
      <c r="E11" s="23" t="n">
        <v>0.056</v>
      </c>
      <c r="F11" s="23" t="n">
        <v>0.055</v>
      </c>
      <c r="G11" s="23" t="n">
        <v>0.058</v>
      </c>
    </row>
    <row r="12">
      <c r="A12" s="2" t="inlineStr">
        <is>
          <t>Net Income</t>
        </is>
      </c>
      <c r="B12" s="23" t="n">
        <v>-9.611000000000001</v>
      </c>
      <c r="C12" s="23" t="n">
        <v>-22.963</v>
      </c>
      <c r="D12" s="23" t="n">
        <v>-51.511</v>
      </c>
      <c r="E12" s="23" t="n">
        <v>-75.521</v>
      </c>
      <c r="F12" s="23" t="n">
        <v>-69.628</v>
      </c>
      <c r="G12" s="23" t="n">
        <v>-127.41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-0.3889833252387891</v>
      </c>
      <c r="C13" s="11">
        <f>IFERROR(C12/C14,0)</f>
        <v>-0.9339488347500712</v>
      </c>
      <c r="D13" s="11">
        <f>IFERROR(D12/D14,0)</f>
        <v>-2.1048953906505394</v>
      </c>
      <c r="E13" s="11">
        <f>IFERROR(E12/E14,0)</f>
        <v>-2.868031292723682</v>
      </c>
      <c r="F13" s="11">
        <f>IFERROR(F12/F14,0)</f>
        <v>-2.436078650899167</v>
      </c>
      <c r="G13" s="11">
        <f>IFERROR(G12/G14,0)</f>
        <v>-4.06281887755102</v>
      </c>
    </row>
    <row r="14">
      <c r="A14" s="2" t="inlineStr">
        <is>
          <t>Shares</t>
        </is>
      </c>
      <c r="B14" s="23" t="n">
        <v>24.708</v>
      </c>
      <c r="C14" s="23" t="n">
        <v>24.587</v>
      </c>
      <c r="D14" s="23" t="n">
        <v>24.472</v>
      </c>
      <c r="E14" s="23" t="n">
        <v>26.332</v>
      </c>
      <c r="F14" s="23" t="n">
        <v>28.582</v>
      </c>
      <c r="G14" s="23" t="n">
        <v>31.36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Jade Biosciences,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0.33175135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164.741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356.6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-156.54951534190607</v>
      </c>
      <c r="C29" s="42">
        <f>NPV!B25</f>
        <v>304.6554846580939</v>
      </c>
      <c r="D29" s="43">
        <f>NPV!B27</f>
        <v>4.790377388588212</v>
      </c>
      <c r="E29" s="44">
        <f>NPV!B29</f>
        <v>-0.6776327463937946</v>
      </c>
    </row>
    <row r="30">
      <c r="A30" s="45" t="n">
        <v>1</v>
      </c>
      <c r="B30" s="46">
        <f t="dataTable" ref="B30:E32" r1="B4"/>
        <v>-357.66876272129946</v>
      </c>
      <c r="C30" s="46">
        <v>103.53623727870053</v>
      </c>
      <c r="D30" s="47">
        <v>1.627995145126018</v>
      </c>
      <c r="E30" s="48">
        <v>-0.890444472064198</v>
      </c>
    </row>
    <row r="31">
      <c r="A31" s="45" t="n">
        <v>2</v>
      </c>
      <c r="B31" s="46">
        <v>-156.54951534190607</v>
      </c>
      <c r="C31" s="46">
        <v>304.6554846580939</v>
      </c>
      <c r="D31" s="47">
        <v>4.790377388588212</v>
      </c>
      <c r="E31" s="48">
        <v>-0.6776327463937946</v>
      </c>
    </row>
    <row r="32">
      <c r="A32" s="45" t="n">
        <v>3</v>
      </c>
      <c r="B32" s="46">
        <v>161.48266730577205</v>
      </c>
      <c r="C32" s="46">
        <v>622.687667305772</v>
      </c>
      <c r="D32" s="47">
        <v>9.791088858820128</v>
      </c>
      <c r="E32" s="48">
        <v>-0.34111111313458087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4.790377388588212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0.9324511930509709</v>
      </c>
      <c r="C37" s="47">
        <v>1.9127629320290123</v>
      </c>
      <c r="D37" s="47">
        <v>2.8930746710070556</v>
      </c>
      <c r="E37" s="47">
        <v>4.663185866038815</v>
      </c>
      <c r="F37" s="47">
        <v>6.321166107271447</v>
      </c>
    </row>
    <row r="38">
      <c r="A38" s="50" t="n">
        <v>0.8</v>
      </c>
      <c r="B38" s="47">
        <v>1.3384440153047397</v>
      </c>
      <c r="C38" s="47">
        <v>2.6455263339421293</v>
      </c>
      <c r="D38" s="47">
        <v>3.874430166440205</v>
      </c>
      <c r="E38" s="47">
        <v>6.104914206275207</v>
      </c>
      <c r="F38" s="47">
        <v>8.272383875849549</v>
      </c>
    </row>
    <row r="39">
      <c r="A39" s="50" t="n">
        <v>1</v>
      </c>
      <c r="B39" s="47">
        <v>1.7527185727427579</v>
      </c>
      <c r="C39" s="47">
        <v>3.367855323119525</v>
      </c>
      <c r="D39" s="47">
        <v>4.790377388588212</v>
      </c>
      <c r="E39" s="47">
        <v>7.5259974159259775</v>
      </c>
      <c r="F39" s="47">
        <v>10.202187623388681</v>
      </c>
    </row>
    <row r="40">
      <c r="A40" s="50" t="n">
        <v>1.2</v>
      </c>
      <c r="B40" s="47">
        <v>2.175274865365025</v>
      </c>
      <c r="C40" s="47">
        <v>4.019820082670524</v>
      </c>
      <c r="D40" s="47">
        <v>5.694114540917728</v>
      </c>
      <c r="E40" s="47">
        <v>8.938379366446233</v>
      </c>
      <c r="F40" s="47">
        <v>12.12544896116113</v>
      </c>
    </row>
    <row r="41">
      <c r="A41" s="50" t="n">
        <v>1.4</v>
      </c>
      <c r="B41" s="47">
        <v>2.6061128931715407</v>
      </c>
      <c r="C41" s="47">
        <v>4.666042508605181</v>
      </c>
      <c r="D41" s="47">
        <v>6.593451864147219</v>
      </c>
      <c r="E41" s="47">
        <v>10.348742573121495</v>
      </c>
      <c r="F41" s="47">
        <v>14.049481507982406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Jade Biosciences,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Rare autoimmune</t>
        </is>
      </c>
      <c r="C4" s="14" t="inlineStr">
        <is>
          <t>JADE101</t>
        </is>
      </c>
      <c r="D4" s="14" t="inlineStr">
        <is>
          <t>Phase 2</t>
        </is>
      </c>
      <c r="E4" s="14" t="inlineStr">
        <is>
          <t>Autoimmune / rare</t>
        </is>
      </c>
      <c r="F4" s="14" t="inlineStr">
        <is>
          <t>Owned</t>
        </is>
      </c>
      <c r="G4" s="40" t="n">
        <v>800</v>
      </c>
      <c r="H4" s="27" t="n">
        <v>0.2521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229.11714950603306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20.168</v>
      </c>
      <c r="S4" s="23">
        <f>IF(S$3&lt;$I4,0,$G4*Assumptions!$E$11*INDEX(Assumptions!$B$24:$G$24,MIN(6,S$3-$I4+1))*IF(S$3&gt;$J4,(1-Assumptions!$B$26)^(S$3-$J4),1)*IF($H4&gt;=1,1,MIN(0.97,$H4*Assumptions!$E$12)))</f>
        <v>50.42</v>
      </c>
      <c r="T4" s="23">
        <f>IF(T$3&lt;$I4,0,$G4*Assumptions!$E$11*INDEX(Assumptions!$B$24:$G$24,MIN(6,T$3-$I4+1))*IF(T$3&gt;$J4,(1-Assumptions!$B$26)^(T$3-$J4),1)*IF($H4&gt;=1,1,MIN(0.97,$H4*Assumptions!$E$12)))</f>
        <v>90.756</v>
      </c>
      <c r="U4" s="23">
        <f>IF(U$3&lt;$I4,0,$G4*Assumptions!$E$11*INDEX(Assumptions!$B$24:$G$24,MIN(6,U$3-$I4+1))*IF(U$3&gt;$J4,(1-Assumptions!$B$26)^(U$3-$J4),1)*IF($H4&gt;=1,1,MIN(0.97,$H4*Assumptions!$E$12)))</f>
        <v>131.09199999999998</v>
      </c>
      <c r="V4" s="23">
        <f>IF(V$3&lt;$I4,0,$G4*Assumptions!$E$11*INDEX(Assumptions!$B$24:$G$24,MIN(6,V$3-$I4+1))*IF(V$3&gt;$J4,(1-Assumptions!$B$26)^(V$3-$J4),1)*IF($H4&gt;=1,1,MIN(0.97,$H4*Assumptions!$E$12)))</f>
        <v>171.428</v>
      </c>
      <c r="W4" s="23">
        <f>IF(W$3&lt;$I4,0,$G4*Assumptions!$E$11*INDEX(Assumptions!$B$24:$G$24,MIN(6,W$3-$I4+1))*IF(W$3&gt;$J4,(1-Assumptions!$B$26)^(W$3-$J4),1)*IF($H4&gt;=1,1,MIN(0.97,$H4*Assumptions!$E$12)))</f>
        <v>201.68</v>
      </c>
      <c r="X4" s="23">
        <f>IF(X$3&lt;$I4,0,$G4*Assumptions!$E$11*INDEX(Assumptions!$B$24:$G$24,MIN(6,X$3-$I4+1))*IF(X$3&gt;$J4,(1-Assumptions!$B$26)^(X$3-$J4),1)*IF($H4&gt;=1,1,MIN(0.97,$H4*Assumptions!$E$12)))</f>
        <v>201.68</v>
      </c>
      <c r="Y4" s="23">
        <f>IF(Y$3&lt;$I4,0,$G4*Assumptions!$E$11*INDEX(Assumptions!$B$24:$G$24,MIN(6,Y$3-$I4+1))*IF(Y$3&gt;$J4,(1-Assumptions!$B$26)^(Y$3-$J4),1)*IF($H4&gt;=1,1,MIN(0.97,$H4*Assumptions!$E$12)))</f>
        <v>201.68</v>
      </c>
      <c r="Z4" s="23">
        <f>IF(Z$3&lt;$I4,0,$G4*Assumptions!$E$11*INDEX(Assumptions!$B$24:$G$24,MIN(6,Z$3-$I4+1))*IF(Z$3&gt;$J4,(1-Assumptions!$B$26)^(Z$3-$J4),1)*IF($H4&gt;=1,1,MIN(0.97,$H4*Assumptions!$E$12)))</f>
        <v>201.68</v>
      </c>
      <c r="AA4" s="23">
        <f>IF(AA$3&lt;$I4,0,$G4*Assumptions!$E$11*INDEX(Assumptions!$B$24:$G$24,MIN(6,AA$3-$I4+1))*IF(AA$3&gt;$J4,(1-Assumptions!$B$26)^(AA$3-$J4),1)*IF($H4&gt;=1,1,MIN(0.97,$H4*Assumptions!$E$12)))</f>
        <v>201.68</v>
      </c>
      <c r="AB4" s="23">
        <f>IF(AB$3&lt;$I4,0,$G4*Assumptions!$E$11*INDEX(Assumptions!$B$24:$G$24,MIN(6,AB$3-$I4+1))*IF(AB$3&gt;$J4,(1-Assumptions!$B$26)^(AB$3-$J4),1)*IF($H4&gt;=1,1,MIN(0.97,$H4*Assumptions!$E$12)))</f>
        <v>201.68</v>
      </c>
      <c r="AC4" s="23">
        <f>IF(AC$3&lt;$I4,0,$G4*Assumptions!$E$11*INDEX(Assumptions!$B$24:$G$24,MIN(6,AC$3-$I4+1))*IF(AC$3&gt;$J4,(1-Assumptions!$B$26)^(AC$3-$J4),1)*IF($H4&gt;=1,1,MIN(0.97,$H4*Assumptions!$E$12)))</f>
        <v>201.68</v>
      </c>
      <c r="AD4" s="23">
        <f>IF(AD$3&lt;$I4,0,$G4*Assumptions!$E$11*INDEX(Assumptions!$B$24:$G$24,MIN(6,AD$3-$I4+1))*IF(AD$3&gt;$J4,(1-Assumptions!$B$26)^(AD$3-$J4),1)*IF($H4&gt;=1,1,MIN(0.97,$H4*Assumptions!$E$12)))</f>
        <v>201.68</v>
      </c>
      <c r="AE4" s="23">
        <f>IF(AE$3&lt;$I4,0,$G4*Assumptions!$E$11*INDEX(Assumptions!$B$24:$G$24,MIN(6,AE$3-$I4+1))*IF(AE$3&gt;$J4,(1-Assumptions!$B$26)^(AE$3-$J4),1)*IF($H4&gt;=1,1,MIN(0.97,$H4*Assumptions!$E$12)))</f>
        <v>100.84</v>
      </c>
      <c r="AF4" s="23">
        <f>IF(AF$3&lt;$I4,0,$G4*Assumptions!$E$11*INDEX(Assumptions!$B$24:$G$24,MIN(6,AF$3-$I4+1))*IF(AF$3&gt;$J4,(1-Assumptions!$B$26)^(AF$3-$J4),1)*IF($H4&gt;=1,1,MIN(0.97,$H4*Assumptions!$E$12)))</f>
        <v>50.42</v>
      </c>
      <c r="AG4" s="35">
        <f>IF(F4="Owned",1-IF(H4&gt;=1,1,MIN(0.97,H4*Assumptions!$E$12)),1)</f>
        <v>0.7479</v>
      </c>
    </row>
    <row r="5">
      <c r="A5" s="39" t="n">
        <v>2</v>
      </c>
      <c r="B5" s="14" t="inlineStr">
        <is>
          <t>Rheumatoid / spondyloarthritis</t>
        </is>
      </c>
      <c r="C5" s="14" t="inlineStr">
        <is>
          <t>JADE201</t>
        </is>
      </c>
      <c r="D5" s="14" t="inlineStr">
        <is>
          <t>Phase 1</t>
        </is>
      </c>
      <c r="E5" s="14" t="inlineStr">
        <is>
          <t>Autoimmune / area</t>
        </is>
      </c>
      <c r="F5" s="14" t="inlineStr">
        <is>
          <t>Owned</t>
        </is>
      </c>
      <c r="G5" s="40" t="n">
        <v>2000</v>
      </c>
      <c r="H5" s="27" t="n">
        <v>0.1065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186.5179507901639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21.3</v>
      </c>
      <c r="U5" s="23">
        <f>IF(U$3&lt;$I5,0,$G5*Assumptions!$E$11*INDEX(Assumptions!$B$24:$G$24,MIN(6,U$3-$I5+1))*IF(U$3&gt;$J5,(1-Assumptions!$B$26)^(U$3-$J5),1)*IF($H5&gt;=1,1,MIN(0.97,$H5*Assumptions!$E$12)))</f>
        <v>53.25</v>
      </c>
      <c r="V5" s="23">
        <f>IF(V$3&lt;$I5,0,$G5*Assumptions!$E$11*INDEX(Assumptions!$B$24:$G$24,MIN(6,V$3-$I5+1))*IF(V$3&gt;$J5,(1-Assumptions!$B$26)^(V$3-$J5),1)*IF($H5&gt;=1,1,MIN(0.97,$H5*Assumptions!$E$12)))</f>
        <v>95.85</v>
      </c>
      <c r="W5" s="23">
        <f>IF(W$3&lt;$I5,0,$G5*Assumptions!$E$11*INDEX(Assumptions!$B$24:$G$24,MIN(6,W$3-$I5+1))*IF(W$3&gt;$J5,(1-Assumptions!$B$26)^(W$3-$J5),1)*IF($H5&gt;=1,1,MIN(0.97,$H5*Assumptions!$E$12)))</f>
        <v>138.45</v>
      </c>
      <c r="X5" s="23">
        <f>IF(X$3&lt;$I5,0,$G5*Assumptions!$E$11*INDEX(Assumptions!$B$24:$G$24,MIN(6,X$3-$I5+1))*IF(X$3&gt;$J5,(1-Assumptions!$B$26)^(X$3-$J5),1)*IF($H5&gt;=1,1,MIN(0.97,$H5*Assumptions!$E$12)))</f>
        <v>181.04999999999998</v>
      </c>
      <c r="Y5" s="23">
        <f>IF(Y$3&lt;$I5,0,$G5*Assumptions!$E$11*INDEX(Assumptions!$B$24:$G$24,MIN(6,Y$3-$I5+1))*IF(Y$3&gt;$J5,(1-Assumptions!$B$26)^(Y$3-$J5),1)*IF($H5&gt;=1,1,MIN(0.97,$H5*Assumptions!$E$12)))</f>
        <v>213.0</v>
      </c>
      <c r="Z5" s="23">
        <f>IF(Z$3&lt;$I5,0,$G5*Assumptions!$E$11*INDEX(Assumptions!$B$24:$G$24,MIN(6,Z$3-$I5+1))*IF(Z$3&gt;$J5,(1-Assumptions!$B$26)^(Z$3-$J5),1)*IF($H5&gt;=1,1,MIN(0.97,$H5*Assumptions!$E$12)))</f>
        <v>213.0</v>
      </c>
      <c r="AA5" s="23">
        <f>IF(AA$3&lt;$I5,0,$G5*Assumptions!$E$11*INDEX(Assumptions!$B$24:$G$24,MIN(6,AA$3-$I5+1))*IF(AA$3&gt;$J5,(1-Assumptions!$B$26)^(AA$3-$J5),1)*IF($H5&gt;=1,1,MIN(0.97,$H5*Assumptions!$E$12)))</f>
        <v>213.0</v>
      </c>
      <c r="AB5" s="23">
        <f>IF(AB$3&lt;$I5,0,$G5*Assumptions!$E$11*INDEX(Assumptions!$B$24:$G$24,MIN(6,AB$3-$I5+1))*IF(AB$3&gt;$J5,(1-Assumptions!$B$26)^(AB$3-$J5),1)*IF($H5&gt;=1,1,MIN(0.97,$H5*Assumptions!$E$12)))</f>
        <v>213.0</v>
      </c>
      <c r="AC5" s="23">
        <f>IF(AC$3&lt;$I5,0,$G5*Assumptions!$E$11*INDEX(Assumptions!$B$24:$G$24,MIN(6,AC$3-$I5+1))*IF(AC$3&gt;$J5,(1-Assumptions!$B$26)^(AC$3-$J5),1)*IF($H5&gt;=1,1,MIN(0.97,$H5*Assumptions!$E$12)))</f>
        <v>213.0</v>
      </c>
      <c r="AD5" s="23">
        <f>IF(AD$3&lt;$I5,0,$G5*Assumptions!$E$11*INDEX(Assumptions!$B$24:$G$24,MIN(6,AD$3-$I5+1))*IF(AD$3&gt;$J5,(1-Assumptions!$B$26)^(AD$3-$J5),1)*IF($H5&gt;=1,1,MIN(0.97,$H5*Assumptions!$E$12)))</f>
        <v>213.0</v>
      </c>
      <c r="AE5" s="23">
        <f>IF(AE$3&lt;$I5,0,$G5*Assumptions!$E$11*INDEX(Assumptions!$B$24:$G$24,MIN(6,AE$3-$I5+1))*IF(AE$3&gt;$J5,(1-Assumptions!$B$26)^(AE$3-$J5),1)*IF($H5&gt;=1,1,MIN(0.97,$H5*Assumptions!$E$12)))</f>
        <v>213.0</v>
      </c>
      <c r="AF5" s="23">
        <f>IF(AF$3&lt;$I5,0,$G5*Assumptions!$E$11*INDEX(Assumptions!$B$24:$G$24,MIN(6,AF$3-$I5+1))*IF(AF$3&gt;$J5,(1-Assumptions!$B$26)^(AF$3-$J5),1)*IF($H5&gt;=1,1,MIN(0.97,$H5*Assumptions!$E$12)))</f>
        <v>213.0</v>
      </c>
      <c r="AG5" s="35">
        <f>IF(F5="Owned",1-IF(H5&gt;=1,1,MIN(0.97,H5*Assumptions!$E$12)),1)</f>
        <v>0.8935</v>
      </c>
    </row>
    <row r="6">
      <c r="B6" s="24" t="inlineStr">
        <is>
          <t>Risked revenue</t>
        </is>
      </c>
      <c r="L6" s="54">
        <f>SUM(L4:L5)</f>
        <v>415.6351002961969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20.168</v>
      </c>
      <c r="S6" s="54">
        <f>SUM(S4:S5)</f>
        <v>50.42</v>
      </c>
      <c r="T6" s="54">
        <f>SUM(T4:T5)</f>
        <v>112.056</v>
      </c>
      <c r="U6" s="54">
        <f>SUM(U4:U5)</f>
        <v>184.34199999999998</v>
      </c>
      <c r="V6" s="54">
        <f>SUM(V4:V5)</f>
        <v>267.278</v>
      </c>
      <c r="W6" s="54">
        <f>SUM(W4:W5)</f>
        <v>340.13</v>
      </c>
      <c r="X6" s="54">
        <f>SUM(X4:X5)</f>
        <v>382.73</v>
      </c>
      <c r="Y6" s="54">
        <f>SUM(Y4:Y5)</f>
        <v>414.68</v>
      </c>
      <c r="Z6" s="54">
        <f>SUM(Z4:Z5)</f>
        <v>414.68</v>
      </c>
      <c r="AA6" s="54">
        <f>SUM(AA4:AA5)</f>
        <v>414.68</v>
      </c>
      <c r="AB6" s="54">
        <f>SUM(AB4:AB5)</f>
        <v>414.68</v>
      </c>
      <c r="AC6" s="54">
        <f>SUM(AC4:AC5)</f>
        <v>414.68</v>
      </c>
      <c r="AD6" s="54">
        <f>SUM(AD4:AD5)</f>
        <v>414.68</v>
      </c>
      <c r="AE6" s="54">
        <f>SUM(AE4:AE5)</f>
        <v>313.84000000000003</v>
      </c>
      <c r="AF6" s="54">
        <f>SUM(AF4:AF5)</f>
        <v>263.42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8.0672</v>
      </c>
      <c r="S7" s="55">
        <f>SUMPRODUCT(S4:S5,$K$4:$K$5)</f>
        <v>20.168000000000003</v>
      </c>
      <c r="T7" s="55">
        <f>SUMPRODUCT(T4:T5,$K$4:$K$5)</f>
        <v>44.8224</v>
      </c>
      <c r="U7" s="55">
        <f>SUMPRODUCT(U4:U5,$K$4:$K$5)</f>
        <v>73.7368</v>
      </c>
      <c r="V7" s="55">
        <f>SUMPRODUCT(V4:V5,$K$4:$K$5)</f>
        <v>106.91120000000001</v>
      </c>
      <c r="W7" s="55">
        <f>SUMPRODUCT(W4:W5,$K$4:$K$5)</f>
        <v>136.05200000000002</v>
      </c>
      <c r="X7" s="55">
        <f>SUMPRODUCT(X4:X5,$K$4:$K$5)</f>
        <v>153.092</v>
      </c>
      <c r="Y7" s="55">
        <f>SUMPRODUCT(Y4:Y5,$K$4:$K$5)</f>
        <v>165.872</v>
      </c>
      <c r="Z7" s="55">
        <f>SUMPRODUCT(Z4:Z5,$K$4:$K$5)</f>
        <v>165.872</v>
      </c>
      <c r="AA7" s="55">
        <f>SUMPRODUCT(AA4:AA5,$K$4:$K$5)</f>
        <v>165.872</v>
      </c>
      <c r="AB7" s="55">
        <f>SUMPRODUCT(AB4:AB5,$K$4:$K$5)</f>
        <v>165.872</v>
      </c>
      <c r="AC7" s="55">
        <f>SUMPRODUCT(AC4:AC5,$K$4:$K$5)</f>
        <v>165.872</v>
      </c>
      <c r="AD7" s="55">
        <f>SUMPRODUCT(AD4:AD5,$K$4:$K$5)</f>
        <v>165.872</v>
      </c>
      <c r="AE7" s="55">
        <f>SUMPRODUCT(AE4:AE5,$K$4:$K$5)</f>
        <v>125.536</v>
      </c>
      <c r="AF7" s="55">
        <f>SUMPRODUCT(AF4:AF5,$K$4:$K$5)</f>
        <v>105.36800000000001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Jade Biosciences,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20.168</v>
      </c>
      <c r="I4" s="57">
        <f>Pipeline!S6</f>
        <v>50.42</v>
      </c>
      <c r="J4" s="57">
        <f>Pipeline!T6</f>
        <v>112.056</v>
      </c>
      <c r="K4" s="57">
        <f>Pipeline!U6</f>
        <v>184.34199999999998</v>
      </c>
      <c r="L4" s="57">
        <f>Pipeline!V6</f>
        <v>267.278</v>
      </c>
      <c r="M4" s="57">
        <f>Pipeline!W6</f>
        <v>340.13</v>
      </c>
      <c r="N4" s="57">
        <f>Pipeline!X6</f>
        <v>382.73</v>
      </c>
      <c r="O4" s="57">
        <f>Pipeline!Y6</f>
        <v>414.68</v>
      </c>
      <c r="P4" s="57">
        <f>Pipeline!Z6</f>
        <v>414.68</v>
      </c>
      <c r="Q4" s="57">
        <f>Pipeline!AA6</f>
        <v>414.68</v>
      </c>
      <c r="R4" s="57">
        <f>Pipeline!AB6</f>
        <v>414.68</v>
      </c>
      <c r="S4" s="57">
        <f>Pipeline!AC6</f>
        <v>414.68</v>
      </c>
      <c r="T4" s="57">
        <f>Pipeline!AD6</f>
        <v>414.68</v>
      </c>
      <c r="U4" s="57">
        <f>Pipeline!AE6</f>
        <v>313.84000000000003</v>
      </c>
      <c r="V4" s="57">
        <f>Pipeline!AF6</f>
        <v>263.42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8.0672</v>
      </c>
      <c r="I5" s="57">
        <f>Pipeline!S7</f>
        <v>20.168000000000003</v>
      </c>
      <c r="J5" s="57">
        <f>Pipeline!T7</f>
        <v>44.8224</v>
      </c>
      <c r="K5" s="57">
        <f>Pipeline!U7</f>
        <v>73.7368</v>
      </c>
      <c r="L5" s="57">
        <f>Pipeline!V7</f>
        <v>106.91120000000001</v>
      </c>
      <c r="M5" s="57">
        <f>Pipeline!W7</f>
        <v>136.05200000000002</v>
      </c>
      <c r="N5" s="57">
        <f>Pipeline!X7</f>
        <v>153.092</v>
      </c>
      <c r="O5" s="57">
        <f>Pipeline!Y7</f>
        <v>165.872</v>
      </c>
      <c r="P5" s="57">
        <f>Pipeline!Z7</f>
        <v>165.872</v>
      </c>
      <c r="Q5" s="57">
        <f>Pipeline!AA7</f>
        <v>165.872</v>
      </c>
      <c r="R5" s="57">
        <f>Pipeline!AB7</f>
        <v>165.872</v>
      </c>
      <c r="S5" s="57">
        <f>Pipeline!AC7</f>
        <v>165.872</v>
      </c>
      <c r="T5" s="57">
        <f>Pipeline!AD7</f>
        <v>165.872</v>
      </c>
      <c r="U5" s="57">
        <f>Pipeline!AE7</f>
        <v>125.536</v>
      </c>
      <c r="V5" s="57">
        <f>Pipeline!AF7</f>
        <v>105.36800000000001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-164.741</v>
      </c>
      <c r="D6" s="23">
        <f>-IF(D3-2026&lt;Assumptions!$B$19,Assumptions!$B$18,Assumptions!$B$18*Assumptions!$B$20*Assumptions!$B$16)</f>
        <v>-164.741</v>
      </c>
      <c r="E6" s="23">
        <f>-IF(E3-2026&lt;Assumptions!$B$19,Assumptions!$B$18,Assumptions!$B$18*Assumptions!$B$20*Assumptions!$B$16)</f>
        <v>-164.741</v>
      </c>
      <c r="F6" s="23">
        <f>-IF(F3-2026&lt;Assumptions!$B$19,Assumptions!$B$18,Assumptions!$B$18*Assumptions!$B$20*Assumptions!$B$16)</f>
        <v>-164.741</v>
      </c>
      <c r="G6" s="23">
        <f>-IF(G3-2026&lt;Assumptions!$B$19,Assumptions!$B$18,Assumptions!$B$18*Assumptions!$B$20*Assumptions!$B$16)</f>
        <v>-16.395914745105</v>
      </c>
      <c r="H6" s="23">
        <f>-IF(H3-2026&lt;Assumptions!$B$19,Assumptions!$B$18,Assumptions!$B$18*Assumptions!$B$20*Assumptions!$B$16)</f>
        <v>-16.395914745105</v>
      </c>
      <c r="I6" s="23">
        <f>-IF(I3-2026&lt;Assumptions!$B$19,Assumptions!$B$18,Assumptions!$B$18*Assumptions!$B$20*Assumptions!$B$16)</f>
        <v>-16.395914745105</v>
      </c>
      <c r="J6" s="23">
        <f>-IF(J3-2026&lt;Assumptions!$B$19,Assumptions!$B$18,Assumptions!$B$18*Assumptions!$B$20*Assumptions!$B$16)</f>
        <v>-16.395914745105</v>
      </c>
      <c r="K6" s="23">
        <f>-IF(K3-2026&lt;Assumptions!$B$19,Assumptions!$B$18,Assumptions!$B$18*Assumptions!$B$20*Assumptions!$B$16)</f>
        <v>-16.395914745105</v>
      </c>
      <c r="L6" s="23">
        <f>-IF(L3-2026&lt;Assumptions!$B$19,Assumptions!$B$18,Assumptions!$B$18*Assumptions!$B$20*Assumptions!$B$16)</f>
        <v>-16.395914745105</v>
      </c>
      <c r="M6" s="23">
        <f>-IF(M3-2026&lt;Assumptions!$B$19,Assumptions!$B$18,Assumptions!$B$18*Assumptions!$B$20*Assumptions!$B$16)</f>
        <v>-16.395914745105</v>
      </c>
      <c r="N6" s="23">
        <f>-IF(N3-2026&lt;Assumptions!$B$19,Assumptions!$B$18,Assumptions!$B$18*Assumptions!$B$20*Assumptions!$B$16)</f>
        <v>-16.395914745105</v>
      </c>
      <c r="O6" s="23">
        <f>-IF(O3-2026&lt;Assumptions!$B$19,Assumptions!$B$18,Assumptions!$B$18*Assumptions!$B$20*Assumptions!$B$16)</f>
        <v>-16.395914745105</v>
      </c>
      <c r="P6" s="23">
        <f>-IF(P3-2026&lt;Assumptions!$B$19,Assumptions!$B$18,Assumptions!$B$18*Assumptions!$B$20*Assumptions!$B$16)</f>
        <v>-16.395914745105</v>
      </c>
      <c r="Q6" s="23">
        <f>-IF(Q3-2026&lt;Assumptions!$B$19,Assumptions!$B$18,Assumptions!$B$18*Assumptions!$B$20*Assumptions!$B$16)</f>
        <v>-16.395914745105</v>
      </c>
      <c r="R6" s="23">
        <f>-IF(R3-2026&lt;Assumptions!$B$19,Assumptions!$B$18,Assumptions!$B$18*Assumptions!$B$20*Assumptions!$B$16)</f>
        <v>-16.395914745105</v>
      </c>
      <c r="S6" s="23">
        <f>-IF(S3-2026&lt;Assumptions!$B$19,Assumptions!$B$18,Assumptions!$B$18*Assumptions!$B$20*Assumptions!$B$16)</f>
        <v>-16.395914745105</v>
      </c>
      <c r="T6" s="23">
        <f>-IF(T3-2026&lt;Assumptions!$B$19,Assumptions!$B$18,Assumptions!$B$18*Assumptions!$B$20*Assumptions!$B$16)</f>
        <v>-16.395914745105</v>
      </c>
      <c r="U6" s="23">
        <f>-IF(U3-2026&lt;Assumptions!$B$19,Assumptions!$B$18,Assumptions!$B$18*Assumptions!$B$20*Assumptions!$B$16)</f>
        <v>-16.395914745105</v>
      </c>
      <c r="V6" s="23">
        <f>-IF(V3-2026&lt;Assumptions!$B$19,Assumptions!$B$18,Assumptions!$B$18*Assumptions!$B$20*Assumptions!$B$16)</f>
        <v>-16.395914745105</v>
      </c>
    </row>
    <row r="7">
      <c r="A7" s="14" t="inlineStr">
        <is>
          <t>Pre-tax cash flow</t>
        </is>
      </c>
      <c r="C7" s="23">
        <f>C5+C6</f>
        <v>-164.741</v>
      </c>
      <c r="D7" s="23">
        <f>D5+D6</f>
        <v>-164.741</v>
      </c>
      <c r="E7" s="23">
        <f>E5+E6</f>
        <v>-164.741</v>
      </c>
      <c r="F7" s="23">
        <f>F5+F6</f>
        <v>-164.741</v>
      </c>
      <c r="G7" s="23">
        <f>G5+G6</f>
        <v>-16.395914745105</v>
      </c>
      <c r="H7" s="23">
        <f>H5+H6</f>
        <v>-8.328714745105</v>
      </c>
      <c r="I7" s="23">
        <f>I5+I6</f>
        <v>3.7720852548950035</v>
      </c>
      <c r="J7" s="23">
        <f>J5+J6</f>
        <v>28.426485254895002</v>
      </c>
      <c r="K7" s="23">
        <f>K5+K6</f>
        <v>57.340885254895</v>
      </c>
      <c r="L7" s="23">
        <f>L5+L6</f>
        <v>90.515285254895</v>
      </c>
      <c r="M7" s="23">
        <f>M5+M6</f>
        <v>119.65608525489502</v>
      </c>
      <c r="N7" s="23">
        <f>N5+N6</f>
        <v>136.69608525489502</v>
      </c>
      <c r="O7" s="23">
        <f>O5+O6</f>
        <v>149.47608525489503</v>
      </c>
      <c r="P7" s="23">
        <f>P5+P6</f>
        <v>149.47608525489503</v>
      </c>
      <c r="Q7" s="23">
        <f>Q5+Q6</f>
        <v>149.47608525489503</v>
      </c>
      <c r="R7" s="23">
        <f>R5+R6</f>
        <v>149.47608525489503</v>
      </c>
      <c r="S7" s="23">
        <f>S5+S6</f>
        <v>149.47608525489503</v>
      </c>
      <c r="T7" s="23">
        <f>T5+T6</f>
        <v>149.47608525489503</v>
      </c>
      <c r="U7" s="23">
        <f>U5+U6</f>
        <v>109.140085254895</v>
      </c>
      <c r="V7" s="23">
        <f>V5+V6</f>
        <v>88.972085254895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3.7720852548950035</v>
      </c>
      <c r="J8" s="23">
        <f>MIN(I17,MAX(0,J7))</f>
        <v>28.426485254895002</v>
      </c>
      <c r="K8" s="23">
        <f>MIN(J17,MAX(0,K7))</f>
        <v>57.340885254895</v>
      </c>
      <c r="L8" s="23">
        <f>MIN(K17,MAX(0,L7))</f>
        <v>90.515285254895</v>
      </c>
      <c r="M8" s="23">
        <f>MIN(L17,MAX(0,M7))</f>
        <v>119.65608525489502</v>
      </c>
      <c r="N8" s="23">
        <f>MIN(M17,MAX(0,N7))</f>
        <v>136.69608525489502</v>
      </c>
      <c r="O8" s="23">
        <f>MIN(N17,MAX(0,O7))</f>
        <v>149.47608525489503</v>
      </c>
      <c r="P8" s="23">
        <f>MIN(O17,MAX(0,P7))</f>
        <v>149.47608525489503</v>
      </c>
      <c r="Q8" s="23">
        <f>MIN(P17,MAX(0,Q7))</f>
        <v>149.47608525489503</v>
      </c>
      <c r="R8" s="23">
        <f>MIN(Q17,MAX(0,R7))</f>
        <v>149.47608525489503</v>
      </c>
      <c r="S8" s="23">
        <f>MIN(R17,MAX(0,S7))</f>
        <v>5.9773769412595925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143.49870831363543</v>
      </c>
      <c r="T9" s="23">
        <f>MAX(0,T7)-T8</f>
        <v>149.47608525489503</v>
      </c>
      <c r="U9" s="23">
        <f>MAX(0,U7)-U8</f>
        <v>109.140085254895</v>
      </c>
      <c r="V9" s="23">
        <f>MAX(0,V7)-V8</f>
        <v>88.972085254895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30.13472874586344</v>
      </c>
      <c r="T10" s="23">
        <f>T9*Assumptions!$E$15</f>
        <v>31.389977903527953</v>
      </c>
      <c r="U10" s="23">
        <f>U9*Assumptions!$E$15</f>
        <v>22.91941790352795</v>
      </c>
      <c r="V10" s="23">
        <f>V9*Assumptions!$E$15</f>
        <v>18.68413790352795</v>
      </c>
    </row>
    <row r="11">
      <c r="A11" s="24" t="inlineStr">
        <is>
          <t>Free cash flow</t>
        </is>
      </c>
      <c r="C11" s="55">
        <f>C7-C10</f>
        <v>-164.741</v>
      </c>
      <c r="D11" s="55">
        <f>D7-D10</f>
        <v>-164.741</v>
      </c>
      <c r="E11" s="55">
        <f>E7-E10</f>
        <v>-164.741</v>
      </c>
      <c r="F11" s="55">
        <f>F7-F10</f>
        <v>-164.741</v>
      </c>
      <c r="G11" s="55">
        <f>G7-G10</f>
        <v>-16.395914745105</v>
      </c>
      <c r="H11" s="55">
        <f>H7-H10</f>
        <v>-8.328714745105</v>
      </c>
      <c r="I11" s="55">
        <f>I7-I10</f>
        <v>3.7720852548950035</v>
      </c>
      <c r="J11" s="55">
        <f>J7-J10</f>
        <v>28.426485254895002</v>
      </c>
      <c r="K11" s="55">
        <f>K7-K10</f>
        <v>57.340885254895</v>
      </c>
      <c r="L11" s="55">
        <f>L7-L10</f>
        <v>90.515285254895</v>
      </c>
      <c r="M11" s="55">
        <f>M7-M10</f>
        <v>119.65608525489502</v>
      </c>
      <c r="N11" s="55">
        <f>N7-N10</f>
        <v>136.69608525489502</v>
      </c>
      <c r="O11" s="55">
        <f>O7-O10</f>
        <v>149.47608525489503</v>
      </c>
      <c r="P11" s="55">
        <f>P7-P10</f>
        <v>149.47608525489503</v>
      </c>
      <c r="Q11" s="55">
        <f>Q7-Q10</f>
        <v>149.47608525489503</v>
      </c>
      <c r="R11" s="55">
        <f>R7-R10</f>
        <v>149.47608525489503</v>
      </c>
      <c r="S11" s="55">
        <f>S7-S10</f>
        <v>119.34135650903158</v>
      </c>
      <c r="T11" s="55">
        <f>T7-T10</f>
        <v>118.08610735136708</v>
      </c>
      <c r="U11" s="55">
        <f>U7-U10</f>
        <v>86.22066735136704</v>
      </c>
      <c r="V11" s="55">
        <f>V7-V10</f>
        <v>70.28794735136705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-80.70733236102431</v>
      </c>
      <c r="D16" s="55">
        <f>D11*D15</f>
        <v>-147.02184934727106</v>
      </c>
      <c r="E16" s="55">
        <f>E11*E15</f>
        <v>-131.2695083457777</v>
      </c>
      <c r="F16" s="55">
        <f>F11*F15</f>
        <v>-117.20491816587295</v>
      </c>
      <c r="G16" s="55">
        <f>G11*G15</f>
        <v>-10.415059775402106</v>
      </c>
      <c r="H16" s="55">
        <f>H11*H15</f>
        <v>-4.723741035010333</v>
      </c>
      <c r="I16" s="55">
        <f>I11*I15</f>
        <v>1.9101680206267766</v>
      </c>
      <c r="J16" s="55">
        <f>J11*J15</f>
        <v>12.852724924272705</v>
      </c>
      <c r="K16" s="55">
        <f>K11*K15</f>
        <v>23.148263547402188</v>
      </c>
      <c r="L16" s="55">
        <f>L11*L15</f>
        <v>32.62555636776718</v>
      </c>
      <c r="M16" s="55">
        <f>M11*M15</f>
        <v>38.50816016516408</v>
      </c>
      <c r="N16" s="55">
        <f>N11*N15</f>
        <v>39.2786030848705</v>
      </c>
      <c r="O16" s="55">
        <f>O11*O15</f>
        <v>38.34896518054298</v>
      </c>
      <c r="P16" s="55">
        <f>P11*P15</f>
        <v>34.24014748262766</v>
      </c>
      <c r="Q16" s="55">
        <f>Q11*Q15</f>
        <v>30.571560252346124</v>
      </c>
      <c r="R16" s="55">
        <f>R11*R15</f>
        <v>27.296035939594752</v>
      </c>
      <c r="S16" s="55">
        <f>S11*S15</f>
        <v>19.458117131935744</v>
      </c>
      <c r="T16" s="55">
        <f>T11*T15</f>
        <v>17.190583858641464</v>
      </c>
      <c r="U16" s="55">
        <f>U11*U15</f>
        <v>11.206891776570934</v>
      </c>
      <c r="V16" s="55">
        <f>V11*V15</f>
        <v>8.157115956089317</v>
      </c>
    </row>
    <row r="17">
      <c r="A17" s="14" t="inlineStr">
        <is>
          <t>Tax-loss carryforward, end of year</t>
        </is>
      </c>
      <c r="C17" s="23">
        <f>Assumptions!$B$21-C8+MAX(0,-C7)</f>
        <v>521.341</v>
      </c>
      <c r="D17" s="23">
        <f>C17-D8+MAX(0,-D7)</f>
        <v>686.082</v>
      </c>
      <c r="E17" s="23">
        <f>D17-E8+MAX(0,-E7)</f>
        <v>850.823</v>
      </c>
      <c r="F17" s="23">
        <f>E17-F8+MAX(0,-F7)</f>
        <v>1015.564</v>
      </c>
      <c r="G17" s="23">
        <f>F17-G8+MAX(0,-G7)</f>
        <v>1031.959914745105</v>
      </c>
      <c r="H17" s="23">
        <f>G17-H8+MAX(0,-H7)</f>
        <v>1040.2886294902098</v>
      </c>
      <c r="I17" s="23">
        <f>H17-I8+MAX(0,-I7)</f>
        <v>1036.5165442353148</v>
      </c>
      <c r="J17" s="23">
        <f>I17-J8+MAX(0,-J7)</f>
        <v>1008.0900589804197</v>
      </c>
      <c r="K17" s="23">
        <f>J17-K8+MAX(0,-K7)</f>
        <v>950.7491737255248</v>
      </c>
      <c r="L17" s="23">
        <f>K17-L8+MAX(0,-L7)</f>
        <v>860.2338884706297</v>
      </c>
      <c r="M17" s="23">
        <f>L17-M8+MAX(0,-M7)</f>
        <v>740.5778032157347</v>
      </c>
      <c r="N17" s="23">
        <f>M17-N8+MAX(0,-N7)</f>
        <v>603.8817179608396</v>
      </c>
      <c r="O17" s="23">
        <f>N17-O8+MAX(0,-O7)</f>
        <v>454.40563270594464</v>
      </c>
      <c r="P17" s="23">
        <f>O17-P8+MAX(0,-P7)</f>
        <v>304.92954745104964</v>
      </c>
      <c r="Q17" s="23">
        <f>P17-Q8+MAX(0,-Q7)</f>
        <v>155.45346219615462</v>
      </c>
      <c r="R17" s="23">
        <f>Q17-R8+MAX(0,-R7)</f>
        <v>5.9773769412595925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415.63510029619704</v>
      </c>
    </row>
    <row r="20">
      <c r="A20" s="14" t="inlineStr">
        <is>
          <t>PV of corporate burn</t>
        </is>
      </c>
      <c r="B20" s="23">
        <f>SUMPRODUCT(C6:V6,C15:V15)</f>
        <v>-557.5542287752896</v>
      </c>
    </row>
    <row r="21">
      <c r="A21" s="14" t="inlineStr">
        <is>
          <t>PV of taxes</t>
        </is>
      </c>
      <c r="B21" s="23">
        <f>-SUMPRODUCT(C10:V10,C15:V15)</f>
        <v>-14.630386862813369</v>
      </c>
    </row>
    <row r="22">
      <c r="A22" s="24" t="inlineStr">
        <is>
          <t>Pipeline rNPV (operations)</t>
        </is>
      </c>
      <c r="B22" s="54">
        <f>SUM(C16:V16)</f>
        <v>-156.54951534190607</v>
      </c>
    </row>
    <row r="23">
      <c r="A23" s="14" t="inlineStr">
        <is>
          <t>Cash &amp; investments</t>
        </is>
      </c>
      <c r="B23" s="57">
        <f>Main!C7</f>
        <v>461.205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304.6554846580939</v>
      </c>
    </row>
    <row r="26">
      <c r="A26" s="14" t="inlineStr">
        <is>
          <t>Shares (mm)</t>
        </is>
      </c>
      <c r="B26" s="57">
        <f>Main!C4</f>
        <v>63.597387</v>
      </c>
    </row>
    <row r="27">
      <c r="A27" s="24" t="inlineStr">
        <is>
          <t>rNPV / share</t>
        </is>
      </c>
      <c r="B27" s="60">
        <f>B25/B26</f>
        <v>4.790377388588212</v>
      </c>
    </row>
    <row r="28">
      <c r="A28" s="14" t="inlineStr">
        <is>
          <t>Price</t>
        </is>
      </c>
      <c r="B28" s="61">
        <f>Main!C3</f>
        <v>14.86</v>
      </c>
    </row>
    <row r="29">
      <c r="A29" s="14" t="inlineStr">
        <is>
          <t>Upside</t>
        </is>
      </c>
      <c r="B29" s="62">
        <f>B27/B28-1</f>
        <v>-0.6776327463937946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2026-10-21T06:24:04Z</dcterms:modified>
  <cp:lastModifiedBy>Wang, Eric</cp:lastModifiedBy>
</cp:coreProperties>
</file>