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Jade Biosciences, Inc.</t>
        </is>
      </c>
      <c r="C2" s="10" t="n"/>
    </row>
    <row r="3">
      <c r="B3" t="inlineStr">
        <is>
          <t>Price</t>
        </is>
      </c>
      <c r="C3" s="11">
        <f>INDEX([1]Pharma!$F$1:$F$1000,MATCH("JBIO",[1]Pharma!$B$1:$B$1000,0))</f>
        <v>14.86</v>
      </c>
      <c r="F3" s="1" t="n"/>
    </row>
    <row r="4">
      <c r="B4" t="inlineStr">
        <is>
          <t>Shares</t>
        </is>
      </c>
      <c r="C4" s="21" t="n">
        <v>63.597387</v>
      </c>
      <c r="F4" s="1" t="n"/>
    </row>
    <row r="5">
      <c r="B5" t="inlineStr">
        <is>
          <t>Market Cap.</t>
        </is>
      </c>
      <c r="C5" s="13">
        <f>C3*C4</f>
        <v>945.0571708199999</v>
      </c>
      <c r="F5" s="1" t="n"/>
    </row>
    <row r="6"/>
    <row r="7">
      <c r="B7" t="inlineStr">
        <is>
          <t>Cash</t>
        </is>
      </c>
      <c r="C7" s="21">
        <f>107.25+353.955</f>
        <v>461.205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483.8521708199999</v>
      </c>
    </row>
    <row r="10"/>
    <row r="11">
      <c r="B11" s="14" t="inlineStr">
        <is>
          <t>Net Cash / Share</t>
        </is>
      </c>
      <c r="C11" s="11">
        <f>(C7-C8)/C4</f>
        <v>7.251948889032186</v>
      </c>
    </row>
    <row r="12">
      <c r="B12" s="14" t="inlineStr">
        <is>
          <t>Upside</t>
        </is>
      </c>
      <c r="C12" s="15">
        <f>IFERROR(C11/C3-1,"")</f>
        <v>-0.5119819051795298</v>
      </c>
    </row>
    <row r="13">
      <c r="B13" s="14" t="inlineStr">
        <is>
          <t>Cash / Share</t>
        </is>
      </c>
      <c r="C13" s="11">
        <f>IFERROR((C7-C8)/C4,"")</f>
        <v>7.251948889032186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-123.51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3.7341510808841387</v>
      </c>
    </row>
    <row r="19">
      <c r="B19" s="14" t="inlineStr">
        <is>
          <t>Implied Pipeline Value</t>
        </is>
      </c>
      <c r="C19" s="13">
        <f>C9</f>
        <v>483.8521708199999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7.94</v>
      </c>
      <c r="C5" s="23" t="n">
        <v>14.987</v>
      </c>
      <c r="D5" s="23" t="n">
        <v>38.622</v>
      </c>
      <c r="E5" s="23" t="n">
        <v>64.21899999999999</v>
      </c>
      <c r="F5" s="23" t="n">
        <v>53.187</v>
      </c>
      <c r="G5" s="23" t="n">
        <v>93.121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0.949</v>
      </c>
      <c r="C6" s="23" t="n">
        <v>8.035</v>
      </c>
      <c r="D6" s="23" t="n">
        <v>14.615</v>
      </c>
      <c r="E6" s="23" t="n">
        <v>17.19</v>
      </c>
      <c r="F6" s="23" t="n">
        <v>21.409</v>
      </c>
      <c r="G6" s="23" t="n">
        <v>20.421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8.889000000000001</v>
      </c>
      <c r="C7" s="23">
        <f>SUM(C5:C6)</f>
        <v>23.022</v>
      </c>
      <c r="D7" s="23">
        <f>SUM(D5:D6)</f>
        <v>53.237</v>
      </c>
      <c r="E7" s="23">
        <f>SUM(E5:E6)</f>
        <v>81.40899999999999</v>
      </c>
      <c r="F7" s="23">
        <f>SUM(F5:F6)</f>
        <v>74.596</v>
      </c>
      <c r="G7" s="23">
        <f>SUM(G5:G6)</f>
        <v>113.542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-8.889000000000001</v>
      </c>
      <c r="C8" s="23">
        <f>C4-C7</f>
        <v>-23.022</v>
      </c>
      <c r="D8" s="23">
        <f>D4-D7</f>
        <v>-53.237</v>
      </c>
      <c r="E8" s="23">
        <f>E4-E7</f>
        <v>-81.40899999999999</v>
      </c>
      <c r="F8" s="23">
        <f>F4-F7</f>
        <v>-74.596</v>
      </c>
      <c r="G8" s="23">
        <f>G4-G7</f>
        <v>-113.542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-0.722</v>
      </c>
      <c r="C9" s="23" t="n">
        <v>0.062</v>
      </c>
      <c r="D9" s="23" t="n">
        <v>1.751</v>
      </c>
      <c r="E9" s="23" t="n">
        <v>5.944</v>
      </c>
      <c r="F9" s="23" t="n">
        <v>5.023</v>
      </c>
      <c r="G9" s="23" t="n">
        <v>-13.81</v>
      </c>
    </row>
    <row r="10">
      <c r="A10" s="2" t="inlineStr">
        <is>
          <t>Pretax</t>
        </is>
      </c>
      <c r="B10" s="23">
        <f>B8+B9</f>
        <v>-9.611</v>
      </c>
      <c r="C10" s="23">
        <f>C8+C9</f>
        <v>-22.959999999999997</v>
      </c>
      <c r="D10" s="23">
        <f>D8+D9</f>
        <v>-51.486000000000004</v>
      </c>
      <c r="E10" s="23">
        <f>E8+E9</f>
        <v>-75.46499999999999</v>
      </c>
      <c r="F10" s="23">
        <f>F8+F9</f>
        <v>-69.57300000000001</v>
      </c>
      <c r="G10" s="23">
        <f>G8+G9</f>
        <v>-127.352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0.003</v>
      </c>
      <c r="D11" s="23" t="n">
        <v>0.025</v>
      </c>
      <c r="E11" s="23" t="n">
        <v>0.056</v>
      </c>
      <c r="F11" s="23" t="n">
        <v>0.055</v>
      </c>
      <c r="G11" s="23" t="n">
        <v>0.058</v>
      </c>
    </row>
    <row r="12">
      <c r="A12" s="2" t="inlineStr">
        <is>
          <t>Net Income</t>
        </is>
      </c>
      <c r="B12" s="23" t="n">
        <v>-9.611000000000001</v>
      </c>
      <c r="C12" s="23" t="n">
        <v>-22.963</v>
      </c>
      <c r="D12" s="23" t="n">
        <v>-51.511</v>
      </c>
      <c r="E12" s="23" t="n">
        <v>-75.521</v>
      </c>
      <c r="F12" s="23" t="n">
        <v>-69.628</v>
      </c>
      <c r="G12" s="23" t="n">
        <v>-127.41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-0.3889833252387891</v>
      </c>
      <c r="C13" s="11">
        <f>IFERROR(C12/C14,0)</f>
        <v>-0.9339488347500712</v>
      </c>
      <c r="D13" s="11">
        <f>IFERROR(D12/D14,0)</f>
        <v>-2.1048953906505394</v>
      </c>
      <c r="E13" s="11">
        <f>IFERROR(E12/E14,0)</f>
        <v>-2.868031292723682</v>
      </c>
      <c r="F13" s="11">
        <f>IFERROR(F12/F14,0)</f>
        <v>-2.436078650899167</v>
      </c>
      <c r="G13" s="11">
        <f>IFERROR(G12/G14,0)</f>
        <v>-4.06281887755102</v>
      </c>
    </row>
    <row r="14">
      <c r="A14" s="2" t="inlineStr">
        <is>
          <t>Shares</t>
        </is>
      </c>
      <c r="B14" s="23" t="n">
        <v>24.708</v>
      </c>
      <c r="C14" s="23" t="n">
        <v>24.587</v>
      </c>
      <c r="D14" s="23" t="n">
        <v>24.472</v>
      </c>
      <c r="E14" s="23" t="n">
        <v>26.332</v>
      </c>
      <c r="F14" s="23" t="n">
        <v>28.582</v>
      </c>
      <c r="G14" s="23" t="n">
        <v>31.36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2026-10-21T01:04:53Z</dcterms:modified>
  <cp:lastModifiedBy>Wang, Eric</cp:lastModifiedBy>
</cp:coreProperties>
</file>