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Acumen Pharmaceuticals Inc</t>
        </is>
      </c>
      <c r="C2" s="10" t="n"/>
    </row>
    <row r="3">
      <c r="B3" t="inlineStr">
        <is>
          <t>Price</t>
        </is>
      </c>
      <c r="C3" s="11">
        <f>INDEX([1]Pharma!$F$1:$F$1000,MATCH("ABOS",[1]Pharma!$B$1:$B$1000,0))</f>
        <v>2.015</v>
      </c>
      <c r="F3" s="1" t="n"/>
    </row>
    <row r="4">
      <c r="B4" t="inlineStr">
        <is>
          <t>Shares</t>
        </is>
      </c>
      <c r="C4" s="21" t="n">
        <v>72.317285</v>
      </c>
      <c r="F4" s="1" t="n"/>
    </row>
    <row r="5">
      <c r="B5" t="inlineStr">
        <is>
          <t>Market Cap.</t>
        </is>
      </c>
      <c r="C5" s="13">
        <f>C3*C4</f>
        <v>145.719329275</v>
      </c>
      <c r="F5" s="1" t="n"/>
    </row>
    <row r="6"/>
    <row r="7">
      <c r="B7" t="inlineStr">
        <is>
          <t>Cash</t>
        </is>
      </c>
      <c r="C7" s="21">
        <f>59.443+50.754</f>
        <v>110.197</v>
      </c>
    </row>
    <row r="8">
      <c r="B8" t="inlineStr">
        <is>
          <t>Debt</t>
        </is>
      </c>
      <c r="C8" s="21">
        <f>11.896+19.673</f>
        <v>31.569</v>
      </c>
    </row>
    <row r="9">
      <c r="B9" t="inlineStr">
        <is>
          <t>Enterprise V.</t>
        </is>
      </c>
      <c r="C9" s="13">
        <f>C5-C7+C8</f>
        <v>67.091329275</v>
      </c>
    </row>
    <row r="10"/>
    <row r="11">
      <c r="B11" s="14" t="inlineStr">
        <is>
          <t>Net Cash / Share</t>
        </is>
      </c>
      <c r="C11" s="11">
        <f>(C7-C8)/C4</f>
        <v>1.0872642688397387</v>
      </c>
    </row>
    <row r="12">
      <c r="B12" s="14" t="inlineStr">
        <is>
          <t>Upside</t>
        </is>
      </c>
      <c r="C12" s="15">
        <f>IFERROR(C11/C3-1,"")</f>
        <v>-0.4604147549182439</v>
      </c>
    </row>
    <row r="13">
      <c r="B13" s="14" t="inlineStr">
        <is>
          <t>Cash / Share</t>
        </is>
      </c>
      <c r="C13" s="11">
        <f>IFERROR((C7-C8)/C4,"")</f>
        <v>1.0872642688397387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-91.788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0.8566261384930492</v>
      </c>
    </row>
    <row r="19">
      <c r="B19" s="14" t="inlineStr">
        <is>
          <t>Implied Pipeline Value</t>
        </is>
      </c>
      <c r="C19" s="13">
        <f>C9</f>
        <v>67.091329275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7.997</v>
      </c>
      <c r="C5" s="23" t="n">
        <v>12.305</v>
      </c>
      <c r="D5" s="23" t="n">
        <v>32.361</v>
      </c>
      <c r="E5" s="23" t="n">
        <v>42.318</v>
      </c>
      <c r="F5" s="23" t="n">
        <v>93.798</v>
      </c>
      <c r="G5" s="23" t="n">
        <v>104.885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-0.08500000000000001</v>
      </c>
      <c r="C6" s="23" t="n">
        <v>7.279</v>
      </c>
      <c r="D6" s="23" t="n">
        <v>12.876</v>
      </c>
      <c r="E6" s="23" t="n">
        <v>18.82</v>
      </c>
      <c r="F6" s="23" t="n">
        <v>20.219</v>
      </c>
      <c r="G6" s="23" t="n">
        <v>18.947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7.912</v>
      </c>
      <c r="C7" s="23">
        <f>SUM(C5:C6)</f>
        <v>19.584</v>
      </c>
      <c r="D7" s="23">
        <f>SUM(D5:D6)</f>
        <v>45.236999999999995</v>
      </c>
      <c r="E7" s="23">
        <f>SUM(E5:E6)</f>
        <v>61.138</v>
      </c>
      <c r="F7" s="23">
        <f>SUM(F5:F6)</f>
        <v>114.017</v>
      </c>
      <c r="G7" s="23">
        <f>SUM(G5:G6)</f>
        <v>123.83200000000001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-7.912</v>
      </c>
      <c r="C8" s="23">
        <f>C4-C7</f>
        <v>-19.584</v>
      </c>
      <c r="D8" s="23">
        <f>D4-D7</f>
        <v>-45.236999999999995</v>
      </c>
      <c r="E8" s="23">
        <f>E4-E7</f>
        <v>-61.138</v>
      </c>
      <c r="F8" s="23">
        <f>F4-F7</f>
        <v>-114.017</v>
      </c>
      <c r="G8" s="23">
        <f>G4-G7</f>
        <v>-123.83200000000001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0.587</v>
      </c>
      <c r="C9" s="23" t="n">
        <v>-81.02200000000001</v>
      </c>
      <c r="D9" s="23" t="n">
        <v>2.381</v>
      </c>
      <c r="E9" s="23" t="n">
        <v>8.766999999999999</v>
      </c>
      <c r="F9" s="23" t="n">
        <v>11.688</v>
      </c>
      <c r="G9" s="23" t="n">
        <v>2.497</v>
      </c>
    </row>
    <row r="10">
      <c r="A10" s="2" t="inlineStr">
        <is>
          <t>Pretax</t>
        </is>
      </c>
      <c r="B10" s="23">
        <f>B8+B9</f>
        <v>-7.325</v>
      </c>
      <c r="C10" s="23">
        <f>C8+C9</f>
        <v>-100.60600000000001</v>
      </c>
      <c r="D10" s="23">
        <f>D8+D9</f>
        <v>-42.855999999999995</v>
      </c>
      <c r="E10" s="23">
        <f>E8+E9</f>
        <v>-52.370999999999995</v>
      </c>
      <c r="F10" s="23">
        <f>F8+F9</f>
        <v>-102.329</v>
      </c>
      <c r="G10" s="23">
        <f>G8+G9</f>
        <v>-121.33500000000001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-7.325</v>
      </c>
      <c r="C12" s="23" t="n">
        <v>-100.606</v>
      </c>
      <c r="D12" s="23" t="n">
        <v>-42.856</v>
      </c>
      <c r="E12" s="23" t="n">
        <v>-52.371</v>
      </c>
      <c r="F12" s="23" t="n">
        <v>-102.329</v>
      </c>
      <c r="G12" s="23" t="n">
        <v>-121.335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-0.18205089969181829</v>
      </c>
      <c r="C13" s="11">
        <f>IFERROR(C12/C14,0)</f>
        <v>-2.507939673438863</v>
      </c>
      <c r="D13" s="11">
        <f>IFERROR(D12/D14,0)</f>
        <v>-1.0555145066745482</v>
      </c>
      <c r="E13" s="11">
        <f>IFERROR(E12/E14,0)</f>
        <v>-1.0773930753564154</v>
      </c>
      <c r="F13" s="11">
        <f>IFERROR(F12/F14,0)</f>
        <v>-1.7051138919900688</v>
      </c>
      <c r="G13" s="11">
        <f>IFERROR(G12/G14,0)</f>
        <v>-2.0034840328919126</v>
      </c>
    </row>
    <row r="14">
      <c r="A14" s="2" t="inlineStr">
        <is>
          <t>Shares</t>
        </is>
      </c>
      <c r="B14" s="23" t="n">
        <v>40.236</v>
      </c>
      <c r="C14" s="23" t="n">
        <v>40.115</v>
      </c>
      <c r="D14" s="23" t="n">
        <v>40.602</v>
      </c>
      <c r="E14" s="23" t="n">
        <v>48.609</v>
      </c>
      <c r="F14" s="23" t="n">
        <v>60.013</v>
      </c>
      <c r="G14" s="23" t="n">
        <v>60.562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2026-10-21T01:05:50Z</dcterms:modified>
  <cp:lastModifiedBy>Wang, Eric</cp:lastModifiedBy>
</cp:coreProperties>
</file>