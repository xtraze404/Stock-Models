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Sionna Therapeutics, Inc.</t>
        </is>
      </c>
      <c r="C2" s="10" t="n"/>
    </row>
    <row r="3">
      <c r="B3" t="inlineStr">
        <is>
          <t>Price</t>
        </is>
      </c>
      <c r="C3" s="11">
        <f>INDEX([1]Pharma!$F$1:$F$1000,MATCH("SION",[1]Pharma!$B$1:$B$1000,0))</f>
        <v>4.15</v>
      </c>
      <c r="F3" s="1" t="n"/>
    </row>
    <row r="4">
      <c r="B4" t="inlineStr">
        <is>
          <t>Shares</t>
        </is>
      </c>
      <c r="C4" s="21" t="n">
        <v>45.212399</v>
      </c>
      <c r="F4" s="1" t="n"/>
    </row>
    <row r="5">
      <c r="B5" t="inlineStr">
        <is>
          <t>Market Cap.</t>
        </is>
      </c>
      <c r="C5" s="13">
        <f>C3*C4</f>
        <v>187.63145585</v>
      </c>
      <c r="F5" s="1" t="n"/>
    </row>
    <row r="6"/>
    <row r="7">
      <c r="B7" t="inlineStr">
        <is>
          <t>Cash</t>
        </is>
      </c>
      <c r="C7" s="21" t="n">
        <v>268.3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-80.66854415</v>
      </c>
    </row>
    <row r="10"/>
    <row r="11">
      <c r="B11" s="14" t="inlineStr">
        <is>
          <t>Net Cash / Share</t>
        </is>
      </c>
      <c r="C11" s="11">
        <f>(C7-C8)/C4</f>
        <v>5.9342128693502865</v>
      </c>
    </row>
    <row r="12">
      <c r="B12" s="14" t="inlineStr">
        <is>
          <t>Upside</t>
        </is>
      </c>
      <c r="C12" s="15">
        <f>IFERROR(C11/C3-1,"")</f>
        <v>0.4299308118916352</v>
      </c>
    </row>
    <row r="13">
      <c r="B13" s="14" t="inlineStr">
        <is>
          <t>Cash / Share</t>
        </is>
      </c>
      <c r="C13" s="11">
        <f>IFERROR((C7-C8)/C4,"")</f>
        <v>5.9342128693502865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-75.916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3.534169345065599</v>
      </c>
    </row>
    <row r="19">
      <c r="B19" s="14" t="inlineStr">
        <is>
          <t>Implied Pipeline Value</t>
        </is>
      </c>
      <c r="C19" s="13">
        <f>C9</f>
        <v>-80.66854415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57.288</v>
      </c>
      <c r="C5" s="23" t="n">
        <v>60.263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13.268</v>
      </c>
      <c r="C6" s="23" t="n">
        <v>28.719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70.556</v>
      </c>
      <c r="C7" s="23">
        <f>SUM(C5:C6)</f>
        <v>88.982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-70.556</v>
      </c>
      <c r="C8" s="23">
        <f>C4-C7</f>
        <v>-88.982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8.868</v>
      </c>
      <c r="C9" s="23" t="n">
        <v>13.714</v>
      </c>
    </row>
    <row r="10">
      <c r="A10" s="2" t="inlineStr">
        <is>
          <t>Pretax</t>
        </is>
      </c>
      <c r="B10" s="23">
        <f>B8+B9</f>
        <v>-61.687999999999995</v>
      </c>
      <c r="C10" s="23">
        <f>C8+C9</f>
        <v>-75.268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-61.688</v>
      </c>
      <c r="C12" s="23" t="n">
        <v>-75.268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-15.98548846851516</v>
      </c>
      <c r="C13" s="11">
        <f>IFERROR(C12/C14,0)</f>
        <v>-1.8834893148491065</v>
      </c>
    </row>
    <row r="14">
      <c r="A14" s="2" t="inlineStr">
        <is>
          <t>Shares</t>
        </is>
      </c>
      <c r="B14" s="23" t="n">
        <v>3.859</v>
      </c>
      <c r="C14" s="23" t="n">
        <v>39.962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2026-10-21T01:05:43Z</dcterms:modified>
  <cp:lastModifiedBy>Wang, Eric</cp:lastModifiedBy>
</cp:coreProperties>
</file>