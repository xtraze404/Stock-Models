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Sionna Therapeutics, Inc.</t>
        </is>
      </c>
      <c r="C2" s="10" t="n"/>
    </row>
    <row r="3">
      <c r="B3" t="inlineStr">
        <is>
          <t>Price</t>
        </is>
      </c>
      <c r="C3" s="11">
        <f>INDEX([1]Pharma!$F$1:$F$1000,MATCH("SION",[1]Pharma!$B$1:$B$1000,0))</f>
        <v>4.15</v>
      </c>
      <c r="F3" s="1" t="n"/>
    </row>
    <row r="4">
      <c r="B4" t="inlineStr">
        <is>
          <t>Shares</t>
        </is>
      </c>
      <c r="C4" s="21" t="n">
        <v>45.212399</v>
      </c>
      <c r="F4" s="1" t="n"/>
    </row>
    <row r="5">
      <c r="B5" t="inlineStr">
        <is>
          <t>Market Cap.</t>
        </is>
      </c>
      <c r="C5" s="13">
        <f>C3*C4</f>
        <v>187.63145585</v>
      </c>
      <c r="F5" s="1" t="n"/>
    </row>
    <row r="6"/>
    <row r="7">
      <c r="B7" t="inlineStr">
        <is>
          <t>Cash</t>
        </is>
      </c>
      <c r="C7" s="21" t="n">
        <v>268.3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-80.66854415</v>
      </c>
    </row>
    <row r="10"/>
    <row r="11">
      <c r="B11" s="14" t="inlineStr">
        <is>
          <t>rNPV / Share</t>
        </is>
      </c>
      <c r="C11" s="11">
        <f>NPV!B27</f>
        <v>6.673850321816321</v>
      </c>
    </row>
    <row r="12">
      <c r="B12" s="14" t="inlineStr">
        <is>
          <t>Upside</t>
        </is>
      </c>
      <c r="C12" s="15">
        <f>IFERROR(C11/C3-1,"")</f>
        <v>0.6081567040521254</v>
      </c>
    </row>
    <row r="13">
      <c r="B13" s="14" t="inlineStr">
        <is>
          <t>Cash / Share</t>
        </is>
      </c>
      <c r="C13" s="11">
        <f>IFERROR((C7-C8)/C4,"")</f>
        <v>5.9342128693502865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-75.916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3.534169345065599</v>
      </c>
    </row>
    <row r="19">
      <c r="B19" s="14" t="inlineStr">
        <is>
          <t>Implied Pipeline Value</t>
        </is>
      </c>
      <c r="C19" s="13">
        <f>C9</f>
        <v>-80.66854415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57.288</v>
      </c>
      <c r="C5" s="23" t="n">
        <v>60.263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13.268</v>
      </c>
      <c r="C6" s="23" t="n">
        <v>28.719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70.556</v>
      </c>
      <c r="C7" s="23">
        <f>SUM(C5:C6)</f>
        <v>88.982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-70.556</v>
      </c>
      <c r="C8" s="23">
        <f>C4-C7</f>
        <v>-88.982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8.868</v>
      </c>
      <c r="C9" s="23" t="n">
        <v>13.714</v>
      </c>
    </row>
    <row r="10">
      <c r="A10" s="2" t="inlineStr">
        <is>
          <t>Pretax</t>
        </is>
      </c>
      <c r="B10" s="23">
        <f>B8+B9</f>
        <v>-61.687999999999995</v>
      </c>
      <c r="C10" s="23">
        <f>C8+C9</f>
        <v>-75.268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-61.688</v>
      </c>
      <c r="C12" s="23" t="n">
        <v>-75.268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-15.98548846851516</v>
      </c>
      <c r="C13" s="11">
        <f>IFERROR(C12/C14,0)</f>
        <v>-1.8834893148491065</v>
      </c>
    </row>
    <row r="14">
      <c r="A14" s="2" t="inlineStr">
        <is>
          <t>Shares</t>
        </is>
      </c>
      <c r="B14" s="23" t="n">
        <v>3.859</v>
      </c>
      <c r="C14" s="23" t="n">
        <v>39.962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Sionna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0.2521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109.486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137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33.44078361623785</v>
      </c>
      <c r="C29" s="42">
        <f>NPV!B25</f>
        <v>301.7407836162379</v>
      </c>
      <c r="D29" s="43">
        <f>NPV!B27</f>
        <v>6.673850321816321</v>
      </c>
      <c r="E29" s="44">
        <f>NPV!B29</f>
        <v>0.6081567040521254</v>
      </c>
    </row>
    <row r="30">
      <c r="A30" s="45" t="n">
        <v>1</v>
      </c>
      <c r="B30" s="46">
        <f t="dataTable" ref="B30:E32" r1="B4"/>
        <v>-169.0577763018502</v>
      </c>
      <c r="C30" s="46">
        <v>99.24222369814981</v>
      </c>
      <c r="D30" s="47">
        <v>2.1950222924058913</v>
      </c>
      <c r="E30" s="48">
        <v>-0.4710789656853275</v>
      </c>
    </row>
    <row r="31">
      <c r="A31" s="45" t="n">
        <v>2</v>
      </c>
      <c r="B31" s="46">
        <v>33.44078361623785</v>
      </c>
      <c r="C31" s="46">
        <v>301.7407836162379</v>
      </c>
      <c r="D31" s="47">
        <v>6.673850321816321</v>
      </c>
      <c r="E31" s="48">
        <v>0.6081567040521254</v>
      </c>
    </row>
    <row r="32">
      <c r="A32" s="45" t="n">
        <v>3</v>
      </c>
      <c r="B32" s="46">
        <v>356.55061979455</v>
      </c>
      <c r="C32" s="46">
        <v>624.8506197945501</v>
      </c>
      <c r="D32" s="47">
        <v>13.820337642215138</v>
      </c>
      <c r="E32" s="48">
        <v>2.3302018414976233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6.673850321816321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1.239600112735918</v>
      </c>
      <c r="C37" s="47">
        <v>2.602548682093889</v>
      </c>
      <c r="D37" s="47">
        <v>3.8291471140512954</v>
      </c>
      <c r="E37" s="47">
        <v>6.202055408008251</v>
      </c>
      <c r="F37" s="47">
        <v>8.527524637243943</v>
      </c>
    </row>
    <row r="38">
      <c r="A38" s="50" t="n">
        <v>0.8</v>
      </c>
      <c r="B38" s="47">
        <v>2.008030192635144</v>
      </c>
      <c r="C38" s="47">
        <v>3.670383757099819</v>
      </c>
      <c r="D38" s="47">
        <v>5.264022997890689</v>
      </c>
      <c r="E38" s="47">
        <v>8.374446631723663</v>
      </c>
      <c r="F38" s="47">
        <v>11.441081447060855</v>
      </c>
    </row>
    <row r="39">
      <c r="A39" s="50" t="n">
        <v>1</v>
      </c>
      <c r="B39" s="47">
        <v>2.691632928703917</v>
      </c>
      <c r="C39" s="47">
        <v>4.711365391978175</v>
      </c>
      <c r="D39" s="47">
        <v>6.673850321816321</v>
      </c>
      <c r="E39" s="47">
        <v>10.5240952220521</v>
      </c>
      <c r="F39" s="47">
        <v>14.340153442290896</v>
      </c>
    </row>
    <row r="40">
      <c r="A40" s="50" t="n">
        <v>1.2</v>
      </c>
      <c r="B40" s="47">
        <v>3.3506456440736105</v>
      </c>
      <c r="C40" s="47">
        <v>5.737137852369233</v>
      </c>
      <c r="D40" s="47">
        <v>8.068290620683099</v>
      </c>
      <c r="E40" s="47">
        <v>12.670168366059377</v>
      </c>
      <c r="F40" s="47">
        <v>17.22881215925047</v>
      </c>
    </row>
    <row r="41">
      <c r="A41" s="50" t="n">
        <v>1.4</v>
      </c>
      <c r="B41" s="47">
        <v>3.9982521196981087</v>
      </c>
      <c r="C41" s="47">
        <v>6.754573886872524</v>
      </c>
      <c r="D41" s="47">
        <v>9.455887614288608</v>
      </c>
      <c r="E41" s="47">
        <v>14.800799827956089</v>
      </c>
      <c r="F41" s="47">
        <v>20.117470876210046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Sionna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Cystic fibrosis / bronchiectasis</t>
        </is>
      </c>
      <c r="C4" s="14" t="inlineStr">
        <is>
          <t>SION-719, SION-451</t>
        </is>
      </c>
      <c r="D4" s="14" t="inlineStr">
        <is>
          <t>Phase 2</t>
        </is>
      </c>
      <c r="E4" s="14" t="inlineStr">
        <is>
          <t>Respiratory / rare</t>
        </is>
      </c>
      <c r="F4" s="14" t="inlineStr">
        <is>
          <t>Owned</t>
        </is>
      </c>
      <c r="G4" s="40" t="n">
        <v>1500</v>
      </c>
      <c r="H4" s="27" t="n">
        <v>0.2521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429.5946553238118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37.815</v>
      </c>
      <c r="S4" s="23">
        <f>IF(S$3&lt;$I4,0,$G4*Assumptions!$E$11*INDEX(Assumptions!$B$24:$G$24,MIN(6,S$3-$I4+1))*IF(S$3&gt;$J4,(1-Assumptions!$B$26)^(S$3-$J4),1)*IF($H4&gt;=1,1,MIN(0.97,$H4*Assumptions!$E$12)))</f>
        <v>94.5375</v>
      </c>
      <c r="T4" s="23">
        <f>IF(T$3&lt;$I4,0,$G4*Assumptions!$E$11*INDEX(Assumptions!$B$24:$G$24,MIN(6,T$3-$I4+1))*IF(T$3&gt;$J4,(1-Assumptions!$B$26)^(T$3-$J4),1)*IF($H4&gt;=1,1,MIN(0.97,$H4*Assumptions!$E$12)))</f>
        <v>170.1675</v>
      </c>
      <c r="U4" s="23">
        <f>IF(U$3&lt;$I4,0,$G4*Assumptions!$E$11*INDEX(Assumptions!$B$24:$G$24,MIN(6,U$3-$I4+1))*IF(U$3&gt;$J4,(1-Assumptions!$B$26)^(U$3-$J4),1)*IF($H4&gt;=1,1,MIN(0.97,$H4*Assumptions!$E$12)))</f>
        <v>245.79749999999999</v>
      </c>
      <c r="V4" s="23">
        <f>IF(V$3&lt;$I4,0,$G4*Assumptions!$E$11*INDEX(Assumptions!$B$24:$G$24,MIN(6,V$3-$I4+1))*IF(V$3&gt;$J4,(1-Assumptions!$B$26)^(V$3-$J4),1)*IF($H4&gt;=1,1,MIN(0.97,$H4*Assumptions!$E$12)))</f>
        <v>321.4275</v>
      </c>
      <c r="W4" s="23">
        <f>IF(W$3&lt;$I4,0,$G4*Assumptions!$E$11*INDEX(Assumptions!$B$24:$G$24,MIN(6,W$3-$I4+1))*IF(W$3&gt;$J4,(1-Assumptions!$B$26)^(W$3-$J4),1)*IF($H4&gt;=1,1,MIN(0.97,$H4*Assumptions!$E$12)))</f>
        <v>378.15</v>
      </c>
      <c r="X4" s="23">
        <f>IF(X$3&lt;$I4,0,$G4*Assumptions!$E$11*INDEX(Assumptions!$B$24:$G$24,MIN(6,X$3-$I4+1))*IF(X$3&gt;$J4,(1-Assumptions!$B$26)^(X$3-$J4),1)*IF($H4&gt;=1,1,MIN(0.97,$H4*Assumptions!$E$12)))</f>
        <v>378.15</v>
      </c>
      <c r="Y4" s="23">
        <f>IF(Y$3&lt;$I4,0,$G4*Assumptions!$E$11*INDEX(Assumptions!$B$24:$G$24,MIN(6,Y$3-$I4+1))*IF(Y$3&gt;$J4,(1-Assumptions!$B$26)^(Y$3-$J4),1)*IF($H4&gt;=1,1,MIN(0.97,$H4*Assumptions!$E$12)))</f>
        <v>378.15</v>
      </c>
      <c r="Z4" s="23">
        <f>IF(Z$3&lt;$I4,0,$G4*Assumptions!$E$11*INDEX(Assumptions!$B$24:$G$24,MIN(6,Z$3-$I4+1))*IF(Z$3&gt;$J4,(1-Assumptions!$B$26)^(Z$3-$J4),1)*IF($H4&gt;=1,1,MIN(0.97,$H4*Assumptions!$E$12)))</f>
        <v>378.15</v>
      </c>
      <c r="AA4" s="23">
        <f>IF(AA$3&lt;$I4,0,$G4*Assumptions!$E$11*INDEX(Assumptions!$B$24:$G$24,MIN(6,AA$3-$I4+1))*IF(AA$3&gt;$J4,(1-Assumptions!$B$26)^(AA$3-$J4),1)*IF($H4&gt;=1,1,MIN(0.97,$H4*Assumptions!$E$12)))</f>
        <v>378.15</v>
      </c>
      <c r="AB4" s="23">
        <f>IF(AB$3&lt;$I4,0,$G4*Assumptions!$E$11*INDEX(Assumptions!$B$24:$G$24,MIN(6,AB$3-$I4+1))*IF(AB$3&gt;$J4,(1-Assumptions!$B$26)^(AB$3-$J4),1)*IF($H4&gt;=1,1,MIN(0.97,$H4*Assumptions!$E$12)))</f>
        <v>378.15</v>
      </c>
      <c r="AC4" s="23">
        <f>IF(AC$3&lt;$I4,0,$G4*Assumptions!$E$11*INDEX(Assumptions!$B$24:$G$24,MIN(6,AC$3-$I4+1))*IF(AC$3&gt;$J4,(1-Assumptions!$B$26)^(AC$3-$J4),1)*IF($H4&gt;=1,1,MIN(0.97,$H4*Assumptions!$E$12)))</f>
        <v>378.15</v>
      </c>
      <c r="AD4" s="23">
        <f>IF(AD$3&lt;$I4,0,$G4*Assumptions!$E$11*INDEX(Assumptions!$B$24:$G$24,MIN(6,AD$3-$I4+1))*IF(AD$3&gt;$J4,(1-Assumptions!$B$26)^(AD$3-$J4),1)*IF($H4&gt;=1,1,MIN(0.97,$H4*Assumptions!$E$12)))</f>
        <v>378.15</v>
      </c>
      <c r="AE4" s="23">
        <f>IF(AE$3&lt;$I4,0,$G4*Assumptions!$E$11*INDEX(Assumptions!$B$24:$G$24,MIN(6,AE$3-$I4+1))*IF(AE$3&gt;$J4,(1-Assumptions!$B$26)^(AE$3-$J4),1)*IF($H4&gt;=1,1,MIN(0.97,$H4*Assumptions!$E$12)))</f>
        <v>189.075</v>
      </c>
      <c r="AF4" s="23">
        <f>IF(AF$3&lt;$I4,0,$G4*Assumptions!$E$11*INDEX(Assumptions!$B$24:$G$24,MIN(6,AF$3-$I4+1))*IF(AF$3&gt;$J4,(1-Assumptions!$B$26)^(AF$3-$J4),1)*IF($H4&gt;=1,1,MIN(0.97,$H4*Assumptions!$E$12)))</f>
        <v>94.5375</v>
      </c>
      <c r="AG4" s="35">
        <f>IF(F4="Owned",1-IF(H4&gt;=1,1,MIN(0.97,H4*Assumptions!$E$12)),1)</f>
        <v>0.7479</v>
      </c>
    </row>
    <row r="5">
      <c r="B5" s="24" t="inlineStr">
        <is>
          <t>Risked revenue</t>
        </is>
      </c>
      <c r="L5" s="54">
        <f>SUM(L4:L4)</f>
        <v>429.5946553238118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37.815</v>
      </c>
      <c r="S5" s="54">
        <f>SUM(S4:S4)</f>
        <v>94.5375</v>
      </c>
      <c r="T5" s="54">
        <f>SUM(T4:T4)</f>
        <v>170.1675</v>
      </c>
      <c r="U5" s="54">
        <f>SUM(U4:U4)</f>
        <v>245.79749999999999</v>
      </c>
      <c r="V5" s="54">
        <f>SUM(V4:V4)</f>
        <v>321.4275</v>
      </c>
      <c r="W5" s="54">
        <f>SUM(W4:W4)</f>
        <v>378.15</v>
      </c>
      <c r="X5" s="54">
        <f>SUM(X4:X4)</f>
        <v>378.15</v>
      </c>
      <c r="Y5" s="54">
        <f>SUM(Y4:Y4)</f>
        <v>378.15</v>
      </c>
      <c r="Z5" s="54">
        <f>SUM(Z4:Z4)</f>
        <v>378.15</v>
      </c>
      <c r="AA5" s="54">
        <f>SUM(AA4:AA4)</f>
        <v>378.15</v>
      </c>
      <c r="AB5" s="54">
        <f>SUM(AB4:AB4)</f>
        <v>378.15</v>
      </c>
      <c r="AC5" s="54">
        <f>SUM(AC4:AC4)</f>
        <v>378.15</v>
      </c>
      <c r="AD5" s="54">
        <f>SUM(AD4:AD4)</f>
        <v>378.15</v>
      </c>
      <c r="AE5" s="54">
        <f>SUM(AE4:AE4)</f>
        <v>189.075</v>
      </c>
      <c r="AF5" s="54">
        <f>SUM(AF4:AF4)</f>
        <v>94.5375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15.126</v>
      </c>
      <c r="S6" s="55">
        <f>SUMPRODUCT(S4:S4,$K$4:$K$4)</f>
        <v>37.815</v>
      </c>
      <c r="T6" s="55">
        <f>SUMPRODUCT(T4:T4,$K$4:$K$4)</f>
        <v>68.067</v>
      </c>
      <c r="U6" s="55">
        <f>SUMPRODUCT(U4:U4,$K$4:$K$4)</f>
        <v>98.319</v>
      </c>
      <c r="V6" s="55">
        <f>SUMPRODUCT(V4:V4,$K$4:$K$4)</f>
        <v>128.571</v>
      </c>
      <c r="W6" s="55">
        <f>SUMPRODUCT(W4:W4,$K$4:$K$4)</f>
        <v>151.26</v>
      </c>
      <c r="X6" s="55">
        <f>SUMPRODUCT(X4:X4,$K$4:$K$4)</f>
        <v>151.26</v>
      </c>
      <c r="Y6" s="55">
        <f>SUMPRODUCT(Y4:Y4,$K$4:$K$4)</f>
        <v>151.26</v>
      </c>
      <c r="Z6" s="55">
        <f>SUMPRODUCT(Z4:Z4,$K$4:$K$4)</f>
        <v>151.26</v>
      </c>
      <c r="AA6" s="55">
        <f>SUMPRODUCT(AA4:AA4,$K$4:$K$4)</f>
        <v>151.26</v>
      </c>
      <c r="AB6" s="55">
        <f>SUMPRODUCT(AB4:AB4,$K$4:$K$4)</f>
        <v>151.26</v>
      </c>
      <c r="AC6" s="55">
        <f>SUMPRODUCT(AC4:AC4,$K$4:$K$4)</f>
        <v>151.26</v>
      </c>
      <c r="AD6" s="55">
        <f>SUMPRODUCT(AD4:AD4,$K$4:$K$4)</f>
        <v>151.26</v>
      </c>
      <c r="AE6" s="55">
        <f>SUMPRODUCT(AE4:AE4,$K$4:$K$4)</f>
        <v>75.63</v>
      </c>
      <c r="AF6" s="55">
        <f>SUMPRODUCT(AF4:AF4,$K$4:$K$4)</f>
        <v>37.815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Sionna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37.815</v>
      </c>
      <c r="I4" s="57">
        <f>Pipeline!S5</f>
        <v>94.5375</v>
      </c>
      <c r="J4" s="57">
        <f>Pipeline!T5</f>
        <v>170.1675</v>
      </c>
      <c r="K4" s="57">
        <f>Pipeline!U5</f>
        <v>245.79749999999999</v>
      </c>
      <c r="L4" s="57">
        <f>Pipeline!V5</f>
        <v>321.4275</v>
      </c>
      <c r="M4" s="57">
        <f>Pipeline!W5</f>
        <v>378.15</v>
      </c>
      <c r="N4" s="57">
        <f>Pipeline!X5</f>
        <v>378.15</v>
      </c>
      <c r="O4" s="57">
        <f>Pipeline!Y5</f>
        <v>378.15</v>
      </c>
      <c r="P4" s="57">
        <f>Pipeline!Z5</f>
        <v>378.15</v>
      </c>
      <c r="Q4" s="57">
        <f>Pipeline!AA5</f>
        <v>378.15</v>
      </c>
      <c r="R4" s="57">
        <f>Pipeline!AB5</f>
        <v>378.15</v>
      </c>
      <c r="S4" s="57">
        <f>Pipeline!AC5</f>
        <v>378.15</v>
      </c>
      <c r="T4" s="57">
        <f>Pipeline!AD5</f>
        <v>378.15</v>
      </c>
      <c r="U4" s="57">
        <f>Pipeline!AE5</f>
        <v>189.075</v>
      </c>
      <c r="V4" s="57">
        <f>Pipeline!AF5</f>
        <v>94.5375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15.126</v>
      </c>
      <c r="I5" s="57">
        <f>Pipeline!S6</f>
        <v>37.815</v>
      </c>
      <c r="J5" s="57">
        <f>Pipeline!T6</f>
        <v>68.067</v>
      </c>
      <c r="K5" s="57">
        <f>Pipeline!U6</f>
        <v>98.319</v>
      </c>
      <c r="L5" s="57">
        <f>Pipeline!V6</f>
        <v>128.571</v>
      </c>
      <c r="M5" s="57">
        <f>Pipeline!W6</f>
        <v>151.26</v>
      </c>
      <c r="N5" s="57">
        <f>Pipeline!X6</f>
        <v>151.26</v>
      </c>
      <c r="O5" s="57">
        <f>Pipeline!Y6</f>
        <v>151.26</v>
      </c>
      <c r="P5" s="57">
        <f>Pipeline!Z6</f>
        <v>151.26</v>
      </c>
      <c r="Q5" s="57">
        <f>Pipeline!AA6</f>
        <v>151.26</v>
      </c>
      <c r="R5" s="57">
        <f>Pipeline!AB6</f>
        <v>151.26</v>
      </c>
      <c r="S5" s="57">
        <f>Pipeline!AC6</f>
        <v>151.26</v>
      </c>
      <c r="T5" s="57">
        <f>Pipeline!AD6</f>
        <v>151.26</v>
      </c>
      <c r="U5" s="57">
        <f>Pipeline!AE6</f>
        <v>75.63</v>
      </c>
      <c r="V5" s="57">
        <f>Pipeline!AF6</f>
        <v>37.815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-109.486</v>
      </c>
      <c r="D6" s="23">
        <f>-IF(D3-2026&lt;Assumptions!$B$19,Assumptions!$B$18,Assumptions!$B$18*Assumptions!$B$20*Assumptions!$B$16)</f>
        <v>-109.486</v>
      </c>
      <c r="E6" s="23">
        <f>-IF(E3-2026&lt;Assumptions!$B$19,Assumptions!$B$18,Assumptions!$B$18*Assumptions!$B$20*Assumptions!$B$16)</f>
        <v>-109.486</v>
      </c>
      <c r="F6" s="23">
        <f>-IF(F3-2026&lt;Assumptions!$B$19,Assumptions!$B$18,Assumptions!$B$18*Assumptions!$B$20*Assumptions!$B$16)</f>
        <v>-109.486</v>
      </c>
      <c r="G6" s="23">
        <f>-IF(G3-2026&lt;Assumptions!$B$19,Assumptions!$B$18,Assumptions!$B$18*Assumptions!$B$20*Assumptions!$B$16)</f>
        <v>-8.28042618</v>
      </c>
      <c r="H6" s="23">
        <f>-IF(H3-2026&lt;Assumptions!$B$19,Assumptions!$B$18,Assumptions!$B$18*Assumptions!$B$20*Assumptions!$B$16)</f>
        <v>-8.28042618</v>
      </c>
      <c r="I6" s="23">
        <f>-IF(I3-2026&lt;Assumptions!$B$19,Assumptions!$B$18,Assumptions!$B$18*Assumptions!$B$20*Assumptions!$B$16)</f>
        <v>-8.28042618</v>
      </c>
      <c r="J6" s="23">
        <f>-IF(J3-2026&lt;Assumptions!$B$19,Assumptions!$B$18,Assumptions!$B$18*Assumptions!$B$20*Assumptions!$B$16)</f>
        <v>-8.28042618</v>
      </c>
      <c r="K6" s="23">
        <f>-IF(K3-2026&lt;Assumptions!$B$19,Assumptions!$B$18,Assumptions!$B$18*Assumptions!$B$20*Assumptions!$B$16)</f>
        <v>-8.28042618</v>
      </c>
      <c r="L6" s="23">
        <f>-IF(L3-2026&lt;Assumptions!$B$19,Assumptions!$B$18,Assumptions!$B$18*Assumptions!$B$20*Assumptions!$B$16)</f>
        <v>-8.28042618</v>
      </c>
      <c r="M6" s="23">
        <f>-IF(M3-2026&lt;Assumptions!$B$19,Assumptions!$B$18,Assumptions!$B$18*Assumptions!$B$20*Assumptions!$B$16)</f>
        <v>-8.28042618</v>
      </c>
      <c r="N6" s="23">
        <f>-IF(N3-2026&lt;Assumptions!$B$19,Assumptions!$B$18,Assumptions!$B$18*Assumptions!$B$20*Assumptions!$B$16)</f>
        <v>-8.28042618</v>
      </c>
      <c r="O6" s="23">
        <f>-IF(O3-2026&lt;Assumptions!$B$19,Assumptions!$B$18,Assumptions!$B$18*Assumptions!$B$20*Assumptions!$B$16)</f>
        <v>-8.28042618</v>
      </c>
      <c r="P6" s="23">
        <f>-IF(P3-2026&lt;Assumptions!$B$19,Assumptions!$B$18,Assumptions!$B$18*Assumptions!$B$20*Assumptions!$B$16)</f>
        <v>-8.28042618</v>
      </c>
      <c r="Q6" s="23">
        <f>-IF(Q3-2026&lt;Assumptions!$B$19,Assumptions!$B$18,Assumptions!$B$18*Assumptions!$B$20*Assumptions!$B$16)</f>
        <v>-8.28042618</v>
      </c>
      <c r="R6" s="23">
        <f>-IF(R3-2026&lt;Assumptions!$B$19,Assumptions!$B$18,Assumptions!$B$18*Assumptions!$B$20*Assumptions!$B$16)</f>
        <v>-8.28042618</v>
      </c>
      <c r="S6" s="23">
        <f>-IF(S3-2026&lt;Assumptions!$B$19,Assumptions!$B$18,Assumptions!$B$18*Assumptions!$B$20*Assumptions!$B$16)</f>
        <v>-8.28042618</v>
      </c>
      <c r="T6" s="23">
        <f>-IF(T3-2026&lt;Assumptions!$B$19,Assumptions!$B$18,Assumptions!$B$18*Assumptions!$B$20*Assumptions!$B$16)</f>
        <v>-8.28042618</v>
      </c>
      <c r="U6" s="23">
        <f>-IF(U3-2026&lt;Assumptions!$B$19,Assumptions!$B$18,Assumptions!$B$18*Assumptions!$B$20*Assumptions!$B$16)</f>
        <v>-8.28042618</v>
      </c>
      <c r="V6" s="23">
        <f>-IF(V3-2026&lt;Assumptions!$B$19,Assumptions!$B$18,Assumptions!$B$18*Assumptions!$B$20*Assumptions!$B$16)</f>
        <v>-8.28042618</v>
      </c>
    </row>
    <row r="7">
      <c r="A7" s="14" t="inlineStr">
        <is>
          <t>Pre-tax cash flow</t>
        </is>
      </c>
      <c r="C7" s="23">
        <f>C5+C6</f>
        <v>-109.486</v>
      </c>
      <c r="D7" s="23">
        <f>D5+D6</f>
        <v>-109.486</v>
      </c>
      <c r="E7" s="23">
        <f>E5+E6</f>
        <v>-109.486</v>
      </c>
      <c r="F7" s="23">
        <f>F5+F6</f>
        <v>-109.486</v>
      </c>
      <c r="G7" s="23">
        <f>G5+G6</f>
        <v>-8.28042618</v>
      </c>
      <c r="H7" s="23">
        <f>H5+H6</f>
        <v>6.84557382</v>
      </c>
      <c r="I7" s="23">
        <f>I5+I6</f>
        <v>29.53457382</v>
      </c>
      <c r="J7" s="23">
        <f>J5+J6</f>
        <v>59.786573819999994</v>
      </c>
      <c r="K7" s="23">
        <f>K5+K6</f>
        <v>90.03857382000001</v>
      </c>
      <c r="L7" s="23">
        <f>L5+L6</f>
        <v>120.29057381999999</v>
      </c>
      <c r="M7" s="23">
        <f>M5+M6</f>
        <v>142.97957381999998</v>
      </c>
      <c r="N7" s="23">
        <f>N5+N6</f>
        <v>142.97957381999998</v>
      </c>
      <c r="O7" s="23">
        <f>O5+O6</f>
        <v>142.97957381999998</v>
      </c>
      <c r="P7" s="23">
        <f>P5+P6</f>
        <v>142.97957381999998</v>
      </c>
      <c r="Q7" s="23">
        <f>Q5+Q6</f>
        <v>142.97957381999998</v>
      </c>
      <c r="R7" s="23">
        <f>R5+R6</f>
        <v>142.97957381999998</v>
      </c>
      <c r="S7" s="23">
        <f>S5+S6</f>
        <v>142.97957381999998</v>
      </c>
      <c r="T7" s="23">
        <f>T5+T6</f>
        <v>142.97957381999998</v>
      </c>
      <c r="U7" s="23">
        <f>U5+U6</f>
        <v>67.34957381999999</v>
      </c>
      <c r="V7" s="23">
        <f>V5+V6</f>
        <v>29.53457382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6.84557382</v>
      </c>
      <c r="I8" s="23">
        <f>MIN(H17,MAX(0,I7))</f>
        <v>29.53457382</v>
      </c>
      <c r="J8" s="23">
        <f>MIN(I17,MAX(0,J7))</f>
        <v>59.786573819999994</v>
      </c>
      <c r="K8" s="23">
        <f>MIN(J17,MAX(0,K7))</f>
        <v>90.03857382000001</v>
      </c>
      <c r="L8" s="23">
        <f>MIN(K17,MAX(0,L7))</f>
        <v>120.29057381999999</v>
      </c>
      <c r="M8" s="23">
        <f>MIN(L17,MAX(0,M7))</f>
        <v>142.97957381999998</v>
      </c>
      <c r="N8" s="23">
        <f>MIN(M17,MAX(0,N7))</f>
        <v>133.74898325999987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9.23059056000011</v>
      </c>
      <c r="O9" s="23">
        <f>MAX(0,O7)-O8</f>
        <v>142.97957381999998</v>
      </c>
      <c r="P9" s="23">
        <f>MAX(0,P7)-P8</f>
        <v>142.97957381999998</v>
      </c>
      <c r="Q9" s="23">
        <f>MAX(0,Q7)-Q8</f>
        <v>142.97957381999998</v>
      </c>
      <c r="R9" s="23">
        <f>MAX(0,R7)-R8</f>
        <v>142.97957381999998</v>
      </c>
      <c r="S9" s="23">
        <f>MAX(0,S7)-S8</f>
        <v>142.97957381999998</v>
      </c>
      <c r="T9" s="23">
        <f>MAX(0,T7)-T8</f>
        <v>142.97957381999998</v>
      </c>
      <c r="U9" s="23">
        <f>MAX(0,U7)-U8</f>
        <v>67.34957381999999</v>
      </c>
      <c r="V9" s="23">
        <f>MAX(0,V7)-V8</f>
        <v>29.53457382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1.938424017600023</v>
      </c>
      <c r="O10" s="23">
        <f>O9*Assumptions!$E$15</f>
        <v>30.025710502199995</v>
      </c>
      <c r="P10" s="23">
        <f>P9*Assumptions!$E$15</f>
        <v>30.025710502199995</v>
      </c>
      <c r="Q10" s="23">
        <f>Q9*Assumptions!$E$15</f>
        <v>30.025710502199995</v>
      </c>
      <c r="R10" s="23">
        <f>R9*Assumptions!$E$15</f>
        <v>30.025710502199995</v>
      </c>
      <c r="S10" s="23">
        <f>S9*Assumptions!$E$15</f>
        <v>30.025710502199995</v>
      </c>
      <c r="T10" s="23">
        <f>T9*Assumptions!$E$15</f>
        <v>30.025710502199995</v>
      </c>
      <c r="U10" s="23">
        <f>U9*Assumptions!$E$15</f>
        <v>14.143410502199997</v>
      </c>
      <c r="V10" s="23">
        <f>V9*Assumptions!$E$15</f>
        <v>6.2022605022</v>
      </c>
    </row>
    <row r="11">
      <c r="A11" s="24" t="inlineStr">
        <is>
          <t>Free cash flow</t>
        </is>
      </c>
      <c r="C11" s="55">
        <f>C7-C10</f>
        <v>-109.486</v>
      </c>
      <c r="D11" s="55">
        <f>D7-D10</f>
        <v>-109.486</v>
      </c>
      <c r="E11" s="55">
        <f>E7-E10</f>
        <v>-109.486</v>
      </c>
      <c r="F11" s="55">
        <f>F7-F10</f>
        <v>-109.486</v>
      </c>
      <c r="G11" s="55">
        <f>G7-G10</f>
        <v>-8.28042618</v>
      </c>
      <c r="H11" s="55">
        <f>H7-H10</f>
        <v>6.84557382</v>
      </c>
      <c r="I11" s="55">
        <f>I7-I10</f>
        <v>29.53457382</v>
      </c>
      <c r="J11" s="55">
        <f>J7-J10</f>
        <v>59.786573819999994</v>
      </c>
      <c r="K11" s="55">
        <f>K7-K10</f>
        <v>90.03857382000001</v>
      </c>
      <c r="L11" s="55">
        <f>L7-L10</f>
        <v>120.29057381999999</v>
      </c>
      <c r="M11" s="55">
        <f>M7-M10</f>
        <v>142.97957381999998</v>
      </c>
      <c r="N11" s="55">
        <f>N7-N10</f>
        <v>141.04114980239996</v>
      </c>
      <c r="O11" s="55">
        <f>O7-O10</f>
        <v>112.95386331779999</v>
      </c>
      <c r="P11" s="55">
        <f>P7-P10</f>
        <v>112.95386331779999</v>
      </c>
      <c r="Q11" s="55">
        <f>Q7-Q10</f>
        <v>112.95386331779999</v>
      </c>
      <c r="R11" s="55">
        <f>R7-R10</f>
        <v>112.95386331779999</v>
      </c>
      <c r="S11" s="55">
        <f>S7-S10</f>
        <v>112.95386331779999</v>
      </c>
      <c r="T11" s="55">
        <f>T7-T10</f>
        <v>112.95386331779999</v>
      </c>
      <c r="U11" s="55">
        <f>U7-U10</f>
        <v>53.20616331779999</v>
      </c>
      <c r="V11" s="55">
        <f>V7-V10</f>
        <v>23.3323133178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-53.6376675562192</v>
      </c>
      <c r="D16" s="55">
        <f>D11*D15</f>
        <v>-97.70994590074918</v>
      </c>
      <c r="E16" s="55">
        <f>E11*E15</f>
        <v>-87.24102312566887</v>
      </c>
      <c r="F16" s="55">
        <f>F11*F15</f>
        <v>-77.89377064791864</v>
      </c>
      <c r="G16" s="55">
        <f>G11*G15</f>
        <v>-5.259915959019719</v>
      </c>
      <c r="H16" s="55">
        <f>H11*H15</f>
        <v>3.8825579878013667</v>
      </c>
      <c r="I16" s="55">
        <f>I11*I15</f>
        <v>14.956183278358898</v>
      </c>
      <c r="J16" s="55">
        <f>J11*J15</f>
        <v>27.031846553764957</v>
      </c>
      <c r="K16" s="55">
        <f>K11*K15</f>
        <v>36.348176819255904</v>
      </c>
      <c r="L16" s="55">
        <f>L11*L15</f>
        <v>43.357836034254035</v>
      </c>
      <c r="M16" s="55">
        <f>M11*M15</f>
        <v>46.014210788182375</v>
      </c>
      <c r="N16" s="55">
        <f>N11*N15</f>
        <v>40.5271250554986</v>
      </c>
      <c r="O16" s="55">
        <f>O11*O15</f>
        <v>28.97897522533806</v>
      </c>
      <c r="P16" s="55">
        <f>P11*P15</f>
        <v>25.874085022623266</v>
      </c>
      <c r="Q16" s="55">
        <f>Q11*Q15</f>
        <v>23.101861627342203</v>
      </c>
      <c r="R16" s="55">
        <f>R11*R15</f>
        <v>20.626662167269824</v>
      </c>
      <c r="S16" s="55">
        <f>S11*S15</f>
        <v>18.416662649348055</v>
      </c>
      <c r="T16" s="55">
        <f>T11*T15</f>
        <v>16.44344879406076</v>
      </c>
      <c r="U16" s="55">
        <f>U11*U15</f>
        <v>6.915693562416955</v>
      </c>
      <c r="V16" s="55">
        <f>V11*V15</f>
        <v>2.7077812402982344</v>
      </c>
    </row>
    <row r="17">
      <c r="A17" s="14" t="inlineStr">
        <is>
          <t>Tax-loss carryforward, end of year</t>
        </is>
      </c>
      <c r="C17" s="23">
        <f>Assumptions!$B$21-C8+MAX(0,-C7)</f>
        <v>246.486</v>
      </c>
      <c r="D17" s="23">
        <f>C17-D8+MAX(0,-D7)</f>
        <v>355.972</v>
      </c>
      <c r="E17" s="23">
        <f>D17-E8+MAX(0,-E7)</f>
        <v>465.45799999999997</v>
      </c>
      <c r="F17" s="23">
        <f>E17-F8+MAX(0,-F7)</f>
        <v>574.944</v>
      </c>
      <c r="G17" s="23">
        <f>F17-G8+MAX(0,-G7)</f>
        <v>583.2244261799999</v>
      </c>
      <c r="H17" s="23">
        <f>G17-H8+MAX(0,-H7)</f>
        <v>576.3788523599999</v>
      </c>
      <c r="I17" s="23">
        <f>H17-I8+MAX(0,-I7)</f>
        <v>546.8442785399999</v>
      </c>
      <c r="J17" s="23">
        <f>I17-J8+MAX(0,-J7)</f>
        <v>487.0577047199999</v>
      </c>
      <c r="K17" s="23">
        <f>J17-K8+MAX(0,-K7)</f>
        <v>397.0191308999999</v>
      </c>
      <c r="L17" s="23">
        <f>K17-L8+MAX(0,-L7)</f>
        <v>276.72855707999986</v>
      </c>
      <c r="M17" s="23">
        <f>L17-M8+MAX(0,-M7)</f>
        <v>133.74898325999987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429.594655323812</v>
      </c>
    </row>
    <row r="20">
      <c r="A20" s="14" t="inlineStr">
        <is>
          <t>PV of corporate burn</t>
        </is>
      </c>
      <c r="B20" s="23">
        <f>SUMPRODUCT(C6:V6,C15:V15)</f>
        <v>-357.5668980124332</v>
      </c>
    </row>
    <row r="21">
      <c r="A21" s="14" t="inlineStr">
        <is>
          <t>PV of taxes</t>
        </is>
      </c>
      <c r="B21" s="23">
        <f>-SUMPRODUCT(C10:V10,C15:V15)</f>
        <v>-38.58697369514074</v>
      </c>
    </row>
    <row r="22">
      <c r="A22" s="24" t="inlineStr">
        <is>
          <t>Pipeline rNPV (operations)</t>
        </is>
      </c>
      <c r="B22" s="54">
        <f>SUM(C16:V16)</f>
        <v>33.44078361623785</v>
      </c>
    </row>
    <row r="23">
      <c r="A23" s="14" t="inlineStr">
        <is>
          <t>Cash &amp; investments</t>
        </is>
      </c>
      <c r="B23" s="57">
        <f>Main!C7</f>
        <v>268.3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301.7407836162379</v>
      </c>
    </row>
    <row r="26">
      <c r="A26" s="14" t="inlineStr">
        <is>
          <t>Shares (mm)</t>
        </is>
      </c>
      <c r="B26" s="57">
        <f>Main!C4</f>
        <v>45.212399</v>
      </c>
    </row>
    <row r="27">
      <c r="A27" s="24" t="inlineStr">
        <is>
          <t>rNPV / share</t>
        </is>
      </c>
      <c r="B27" s="60">
        <f>B25/B26</f>
        <v>6.673850321816321</v>
      </c>
    </row>
    <row r="28">
      <c r="A28" s="14" t="inlineStr">
        <is>
          <t>Price</t>
        </is>
      </c>
      <c r="B28" s="61">
        <f>Main!C3</f>
        <v>4.15</v>
      </c>
    </row>
    <row r="29">
      <c r="A29" s="14" t="inlineStr">
        <is>
          <t>Upside</t>
        </is>
      </c>
      <c r="B29" s="62">
        <f>B27/B28-1</f>
        <v>0.6081567040521254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2026-10-21T06:27:09Z</dcterms:modified>
  <cp:lastModifiedBy>Wang, Eric</cp:lastModifiedBy>
</cp:coreProperties>
</file>