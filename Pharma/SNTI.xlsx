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Senti Biosciences Holdings Inc</t>
        </is>
      </c>
      <c r="C2" s="10" t="n"/>
    </row>
    <row r="3">
      <c r="B3" t="inlineStr">
        <is>
          <t>Price</t>
        </is>
      </c>
      <c r="C3" s="11">
        <f>INDEX([1]Pharma!$F$1:$F$1000,MATCH("SNTI",[1]Pharma!$B$1:$B$1000,0))</f>
        <v>0.2277</v>
      </c>
      <c r="F3" s="1" t="n"/>
    </row>
    <row r="4">
      <c r="B4" t="inlineStr">
        <is>
          <t>Shares</t>
        </is>
      </c>
      <c r="C4" s="21" t="n">
        <v>31.144754</v>
      </c>
      <c r="F4" s="1" t="n"/>
    </row>
    <row r="5">
      <c r="B5" t="inlineStr">
        <is>
          <t>Market Cap.</t>
        </is>
      </c>
      <c r="C5" s="13">
        <f>C3*C4</f>
        <v>7.0916604858</v>
      </c>
      <c r="F5" s="1" t="n"/>
    </row>
    <row r="6"/>
    <row r="7">
      <c r="B7" t="inlineStr">
        <is>
          <t>Cash</t>
        </is>
      </c>
      <c r="C7" s="21" t="n">
        <v>6.463</v>
      </c>
    </row>
    <row r="8">
      <c r="B8" t="inlineStr">
        <is>
          <t>Debt</t>
        </is>
      </c>
      <c r="C8" s="21" t="n">
        <v>3.993</v>
      </c>
    </row>
    <row r="9">
      <c r="B9" t="inlineStr">
        <is>
          <t>Enterprise V.</t>
        </is>
      </c>
      <c r="C9" s="13">
        <f>C5-C7+C8</f>
        <v>4.6216604858</v>
      </c>
    </row>
    <row r="10"/>
    <row r="11">
      <c r="B11" s="14" t="inlineStr">
        <is>
          <t>Net Cash / Share</t>
        </is>
      </c>
      <c r="C11" s="11">
        <f>(C7-C8)/C4</f>
        <v>0.07930709614851991</v>
      </c>
    </row>
    <row r="12">
      <c r="B12" s="14" t="inlineStr">
        <is>
          <t>Upside</t>
        </is>
      </c>
      <c r="C12" s="15">
        <f>IFERROR(C11/C3-1,"")</f>
        <v>-0.6517035742269657</v>
      </c>
    </row>
    <row r="13">
      <c r="B13" s="14" t="inlineStr">
        <is>
          <t>Cash / Share</t>
        </is>
      </c>
      <c r="C13" s="11">
        <f>IFERROR((C7-C8)/C4,"")</f>
        <v>0.07930709614851991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-38.051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0.06491288008199522</v>
      </c>
    </row>
    <row r="19">
      <c r="B19" s="14" t="inlineStr">
        <is>
          <t>Implied Pipeline Value</t>
        </is>
      </c>
      <c r="C19" s="13">
        <f>C9</f>
        <v>4.6216604858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2.761</v>
      </c>
      <c r="C2" s="23" t="n">
        <v>4.286</v>
      </c>
      <c r="D2" s="23" t="n">
        <v>2.561</v>
      </c>
      <c r="E2" s="23" t="n">
        <v>0</v>
      </c>
      <c r="F2" s="23" t="n">
        <v>0.022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2.761</v>
      </c>
      <c r="C4" s="23">
        <f>C2-C3</f>
        <v>4.286</v>
      </c>
      <c r="D4" s="23">
        <f>D2-D3</f>
        <v>2.561</v>
      </c>
      <c r="E4" s="23">
        <f>E2-E3</f>
        <v>0.0</v>
      </c>
      <c r="F4" s="23">
        <f>F2-F3</f>
        <v>0.022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21.957</v>
      </c>
      <c r="C5" s="23" t="n">
        <v>28.145</v>
      </c>
      <c r="D5" s="23" t="n">
        <v>32.15</v>
      </c>
      <c r="E5" s="23" t="n">
        <v>34.356</v>
      </c>
      <c r="F5" s="23" t="n">
        <v>37.586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21.25</v>
      </c>
      <c r="C6" s="23" t="n">
        <v>38.225</v>
      </c>
      <c r="D6" s="23" t="n">
        <v>63.138</v>
      </c>
      <c r="E6" s="23" t="n">
        <v>26.683</v>
      </c>
      <c r="F6" s="23" t="n">
        <v>31.215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43.207</v>
      </c>
      <c r="C7" s="23">
        <f>SUM(C5:C6)</f>
        <v>66.37</v>
      </c>
      <c r="D7" s="23">
        <f>SUM(D5:D6)</f>
        <v>95.288</v>
      </c>
      <c r="E7" s="23">
        <f>SUM(E5:E6)</f>
        <v>61.039</v>
      </c>
      <c r="F7" s="23">
        <f>SUM(F5:F6)</f>
        <v>68.801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-40.446</v>
      </c>
      <c r="C8" s="23">
        <f>C4-C7</f>
        <v>-62.084</v>
      </c>
      <c r="D8" s="23">
        <f>D4-D7</f>
        <v>-92.727</v>
      </c>
      <c r="E8" s="23">
        <f>E4-E7</f>
        <v>-61.039</v>
      </c>
      <c r="F8" s="23">
        <f>F4-F7</f>
        <v>-68.779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-14.873</v>
      </c>
      <c r="C9" s="23" t="n">
        <v>3.874</v>
      </c>
      <c r="D9" s="23" t="n">
        <v>21.669</v>
      </c>
      <c r="E9" s="23" t="n">
        <v>8.249000000000001</v>
      </c>
      <c r="F9" s="23" t="n">
        <v>7.341</v>
      </c>
    </row>
    <row r="10">
      <c r="A10" s="2" t="inlineStr">
        <is>
          <t>Pretax</t>
        </is>
      </c>
      <c r="B10" s="23">
        <f>B8+B9</f>
        <v>-55.318999999999996</v>
      </c>
      <c r="C10" s="23">
        <f>C8+C9</f>
        <v>-58.21</v>
      </c>
      <c r="D10" s="23">
        <f>D8+D9</f>
        <v>-71.058</v>
      </c>
      <c r="E10" s="23">
        <f>E8+E9</f>
        <v>-52.79</v>
      </c>
      <c r="F10" s="23">
        <f>F8+F9</f>
        <v>-61.437999999999995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</row>
    <row r="12">
      <c r="A12" s="2" t="inlineStr">
        <is>
          <t>Net Income</t>
        </is>
      </c>
      <c r="B12" s="23" t="n">
        <v>-55.319</v>
      </c>
      <c r="C12" s="23" t="n">
        <v>-58.21</v>
      </c>
      <c r="D12" s="23" t="n">
        <v>-71.05800000000001</v>
      </c>
      <c r="E12" s="23" t="n">
        <v>-52.79</v>
      </c>
      <c r="F12" s="23" t="n">
        <v>-61.438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-12.664606227106226</v>
      </c>
      <c r="C13" s="11">
        <f>IFERROR(C12/C14,0)</f>
        <v>-13.375459558823529</v>
      </c>
      <c r="D13" s="11">
        <f>IFERROR(D12/D14,0)</f>
        <v>-16.014874915483436</v>
      </c>
      <c r="E13" s="11">
        <f>IFERROR(E12/E14,0)</f>
        <v>-11.486074847693645</v>
      </c>
      <c r="F13" s="11">
        <f>IFERROR(F12/F14,0)</f>
        <v>-2.7326424409553884</v>
      </c>
    </row>
    <row r="14">
      <c r="A14" s="2" t="inlineStr">
        <is>
          <t>Shares</t>
        </is>
      </c>
      <c r="B14" s="23" t="n">
        <v>4.368</v>
      </c>
      <c r="C14" s="23" t="n">
        <v>4.352</v>
      </c>
      <c r="D14" s="23" t="n">
        <v>4.437</v>
      </c>
      <c r="E14" s="23" t="n">
        <v>4.596</v>
      </c>
      <c r="F14" s="23" t="n">
        <v>22.483</v>
      </c>
    </row>
    <row r="15"/>
    <row r="16" customFormat="1" s="4">
      <c r="A16" s="3" t="inlineStr">
        <is>
          <t>Revenue Change</t>
        </is>
      </c>
      <c r="C16" s="15">
        <f>IFERROR(C2/B2-1,"")</f>
        <v>0.5523361101050341</v>
      </c>
      <c r="D16" s="15">
        <f>IFERROR(D2/C2-1,"")</f>
        <v>-0.40247316845543624</v>
      </c>
      <c r="E16" s="15">
        <f>IFERROR(E2/D2-1,"")</f>
        <v>-1.0</v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/>
      </c>
      <c r="F17" s="15">
        <f>IFERROR(F4/F2,"")</f>
        <v>1.0</v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-14.649040202825063</v>
      </c>
      <c r="C18" s="15">
        <f>IFERROR(C8/C2,"")</f>
        <v>-14.485300979934673</v>
      </c>
      <c r="D18" s="15">
        <f>IFERROR(D8/D2,"")</f>
        <v>-36.20734088246779</v>
      </c>
      <c r="E18" s="15">
        <f>IFERROR(E8/E2,"")</f>
        <v/>
      </c>
      <c r="F18" s="15">
        <f>IFERROR(F8/F2,"")</f>
        <v>-3126.318181818182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2026-10-21T01:06:42Z</dcterms:modified>
  <cp:lastModifiedBy>Wang, Eric</cp:lastModifiedBy>
</cp:coreProperties>
</file>