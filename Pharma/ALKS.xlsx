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Alkermes Plc</t>
        </is>
      </c>
      <c r="C2" s="10" t="n"/>
    </row>
    <row r="3">
      <c r="B3" t="inlineStr">
        <is>
          <t>Price</t>
        </is>
      </c>
      <c r="C3" s="11">
        <f>INDEX([1]Pharma!$F$1:$F$1000,MATCH("ALKS",[1]Pharma!$B$1:$B$1000,0))</f>
        <v>44.11</v>
      </c>
      <c r="F3" s="1" t="n"/>
    </row>
    <row r="4">
      <c r="B4" t="inlineStr">
        <is>
          <t>Shares</t>
        </is>
      </c>
      <c r="C4" s="51" t="n">
        <v>167.763272</v>
      </c>
      <c r="F4" s="1" t="n"/>
    </row>
    <row r="5">
      <c r="B5" t="inlineStr">
        <is>
          <t>Market Cap.</t>
        </is>
      </c>
      <c r="C5" s="13">
        <f>C3*C4</f>
        <v>7400.03792792</v>
      </c>
      <c r="F5" s="1" t="n"/>
    </row>
    <row r="6"/>
    <row r="7">
      <c r="B7" t="inlineStr">
        <is>
          <t>Cash</t>
        </is>
      </c>
      <c r="C7" s="51">
        <f>511.529+145.048</f>
        <v>656.577</v>
      </c>
    </row>
    <row r="8">
      <c r="B8" t="inlineStr">
        <is>
          <t>Debt</t>
        </is>
      </c>
      <c r="C8" s="51">
        <f>26.5+1476.611</f>
        <v>1503.111</v>
      </c>
    </row>
    <row r="9">
      <c r="B9" t="inlineStr">
        <is>
          <t>Enterprise V.</t>
        </is>
      </c>
      <c r="C9" s="13">
        <f>C5-C7+C8</f>
        <v>8246.57192792</v>
      </c>
    </row>
    <row r="10"/>
    <row r="11">
      <c r="B11" s="14" t="inlineStr">
        <is>
          <t>NPV / Share</t>
        </is>
      </c>
      <c r="C11" s="11">
        <f>NPV!B28</f>
        <v>12.355105948043038</v>
      </c>
    </row>
    <row r="12">
      <c r="B12" s="14" t="inlineStr">
        <is>
          <t>Upside</t>
        </is>
      </c>
      <c r="C12" s="15">
        <f>IFERROR(C11/C3-1,"")</f>
        <v>-0.7199023815905001</v>
      </c>
    </row>
    <row r="13">
      <c r="B13" s="14" t="inlineStr">
        <is>
          <t>Cash / Share</t>
        </is>
      </c>
      <c r="C13" s="11">
        <f>IFERROR((C7-C8)/C4,"")</f>
        <v>-5.0460031561616185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2010</v>
      </c>
      <c r="C1" s="16" t="n">
        <v>2011</v>
      </c>
      <c r="D1" s="16" t="n">
        <v>2012</v>
      </c>
      <c r="E1" s="16" t="n">
        <v>2013</v>
      </c>
      <c r="F1" s="16" t="n">
        <v>2014</v>
      </c>
      <c r="G1" s="16" t="n">
        <v>2015</v>
      </c>
      <c r="H1" s="16" t="n">
        <v>2016</v>
      </c>
      <c r="I1" s="16" t="n">
        <v>2017</v>
      </c>
      <c r="J1" s="16" t="n">
        <v>2018</v>
      </c>
      <c r="K1" s="16" t="n">
        <v>2019</v>
      </c>
      <c r="L1" s="16" t="n">
        <v>2020</v>
      </c>
      <c r="M1" s="16" t="n">
        <v>2021</v>
      </c>
      <c r="N1" s="16" t="n">
        <v>2022</v>
      </c>
      <c r="O1" s="16" t="n">
        <v>2023</v>
      </c>
      <c r="P1" s="16" t="n">
        <v>2024</v>
      </c>
      <c r="Q1" s="16" t="n">
        <v>2025</v>
      </c>
      <c r="R1" s="16" t="n">
        <v>2026</v>
      </c>
      <c r="S1" s="16" t="n">
        <v>2027</v>
      </c>
      <c r="T1" s="16" t="n">
        <v>2028</v>
      </c>
      <c r="U1" s="16" t="n">
        <v>2029</v>
      </c>
      <c r="V1" s="16" t="n">
        <v>2030</v>
      </c>
      <c r="W1" s="16" t="n">
        <v>2031</v>
      </c>
      <c r="X1" s="16" t="n">
        <v>2032</v>
      </c>
      <c r="Y1" s="16" t="n">
        <v>2033</v>
      </c>
      <c r="Z1" s="16" t="n">
        <v>2034</v>
      </c>
      <c r="AA1" s="16" t="n">
        <v>2035</v>
      </c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178.281</v>
      </c>
      <c r="C2" s="52" t="n">
        <v>186.64</v>
      </c>
      <c r="D2" s="52" t="n">
        <v>389.977</v>
      </c>
      <c r="E2" s="52" t="n">
        <v>596.333</v>
      </c>
      <c r="F2" s="52" t="n">
        <v>618.789</v>
      </c>
      <c r="G2" s="52" t="n">
        <v>628.335</v>
      </c>
      <c r="H2" s="52" t="n">
        <v>745.694</v>
      </c>
      <c r="I2" s="52" t="n">
        <v>903.374</v>
      </c>
      <c r="J2" s="52" t="n">
        <v>1094.274</v>
      </c>
      <c r="K2" s="52" t="n">
        <v>1170.947</v>
      </c>
      <c r="L2" s="52" t="n">
        <v>1038.756</v>
      </c>
      <c r="M2" s="52" t="n">
        <v>1173.751</v>
      </c>
      <c r="N2" s="52" t="n">
        <v>1111.795</v>
      </c>
      <c r="O2" s="52" t="n">
        <v>1663.405</v>
      </c>
      <c r="P2" s="52" t="n">
        <v>1557.632</v>
      </c>
      <c r="Q2" s="52" t="n">
        <v>1475.899</v>
      </c>
      <c r="R2" s="52">
        <f>Q2*(1+NPV!C5)</f>
        <v>1398.4143024999998</v>
      </c>
      <c r="S2" s="52">
        <f>R2*(1+NPV!D5)</f>
        <v>1337.0394525569443</v>
      </c>
      <c r="T2" s="52">
        <f>S2*(1+NPV!E5)</f>
        <v>1289.8716718695189</v>
      </c>
      <c r="U2" s="52">
        <f>T2*(1+NPV!F5)</f>
        <v>1255.4750939529983</v>
      </c>
      <c r="V2" s="52">
        <f>U2*(1+NPV!G5)</f>
        <v>1232.8067936455136</v>
      </c>
      <c r="W2" s="52">
        <f>V2*(1+NPV!H5)</f>
        <v>1221.1636183721948</v>
      </c>
      <c r="X2" s="52">
        <f>W2*(1+NPV!I5)</f>
        <v>1220.1459820235514</v>
      </c>
      <c r="Y2" s="52">
        <f>X2*(1+NPV!J5)</f>
        <v>1229.636006328179</v>
      </c>
      <c r="Z2" s="52">
        <f>Y2*(1+NPV!K5)</f>
        <v>1249.7883742096685</v>
      </c>
      <c r="AA2" s="52">
        <f>Z2*(1+NPV!L5)</f>
        <v>1281.0330835649102</v>
      </c>
    </row>
    <row r="3" customFormat="1" s="1">
      <c r="A3" s="5" t="inlineStr">
        <is>
          <t>Cost of Sales</t>
        </is>
      </c>
      <c r="B3" s="52" t="n">
        <v>49.438</v>
      </c>
      <c r="C3" s="52" t="n">
        <v>52.185</v>
      </c>
      <c r="D3" s="52" t="n">
        <v>127.578</v>
      </c>
      <c r="E3" s="52" t="n">
        <v>170.466</v>
      </c>
      <c r="F3" s="52" t="n">
        <v>175.832</v>
      </c>
      <c r="G3" s="52" t="n">
        <v>138.989</v>
      </c>
      <c r="H3" s="52" t="n">
        <v>132.122</v>
      </c>
      <c r="I3" s="52" t="n">
        <v>154.748</v>
      </c>
      <c r="J3" s="52" t="n">
        <v>176.42</v>
      </c>
      <c r="K3" s="52" t="n">
        <v>180.385</v>
      </c>
      <c r="L3" s="52" t="n">
        <v>178.316</v>
      </c>
      <c r="M3" s="52" t="n">
        <v>197.323</v>
      </c>
      <c r="N3" s="52" t="n">
        <v>218.068</v>
      </c>
      <c r="O3" s="52" t="n">
        <v>253.037</v>
      </c>
      <c r="P3" s="52" t="n">
        <v>245.331</v>
      </c>
      <c r="Q3" s="52" t="n">
        <v>196.457</v>
      </c>
      <c r="R3" s="52">
        <f>R2*(1-Assumptions!$B$19)</f>
        <v>186.12894366274998</v>
      </c>
      <c r="S3" s="52">
        <f>S2*(1-Assumptions!$B$19)</f>
        <v>177.95995113532928</v>
      </c>
      <c r="T3" s="52">
        <f>T2*(1-Assumptions!$B$19)</f>
        <v>171.68191952583297</v>
      </c>
      <c r="U3" s="52">
        <f>U2*(1-Assumptions!$B$19)</f>
        <v>167.10373500514407</v>
      </c>
      <c r="V3" s="52">
        <f>V2*(1-Assumptions!$B$19)</f>
        <v>164.08658423421787</v>
      </c>
      <c r="W3" s="52">
        <f>W2*(1-Assumptions!$B$19)</f>
        <v>162.53687760533913</v>
      </c>
      <c r="X3" s="52">
        <f>X2*(1-Assumptions!$B$19)</f>
        <v>162.40143020733467</v>
      </c>
      <c r="Y3" s="52">
        <f>Y2*(1-Assumptions!$B$19)</f>
        <v>163.66455244228064</v>
      </c>
      <c r="Z3" s="52">
        <f>Z2*(1-Assumptions!$B$19)</f>
        <v>166.34683260730688</v>
      </c>
      <c r="AA3" s="52">
        <f>AA2*(1-Assumptions!$B$19)</f>
        <v>170.50550342248954</v>
      </c>
    </row>
    <row r="4" customFormat="1" s="1">
      <c r="A4" s="5" t="inlineStr">
        <is>
          <t>Gross Margin</t>
        </is>
      </c>
      <c r="B4" s="52">
        <f>B2-B3</f>
        <v>128.84300000000002</v>
      </c>
      <c r="C4" s="52">
        <f>C2-C3</f>
        <v>134.45499999999998</v>
      </c>
      <c r="D4" s="52">
        <f>D2-D3</f>
        <v>262.399</v>
      </c>
      <c r="E4" s="52">
        <f>E2-E3</f>
        <v>425.86699999999996</v>
      </c>
      <c r="F4" s="52">
        <f>F2-F3</f>
        <v>442.957</v>
      </c>
      <c r="G4" s="52">
        <f>G2-G3</f>
        <v>489.346</v>
      </c>
      <c r="H4" s="52">
        <f>H2-H3</f>
        <v>613.5719999999999</v>
      </c>
      <c r="I4" s="52">
        <f>I2-I3</f>
        <v>748.626</v>
      </c>
      <c r="J4" s="52">
        <f>J2-J3</f>
        <v>917.8539999999999</v>
      </c>
      <c r="K4" s="52">
        <f>K2-K3</f>
        <v>990.5619999999999</v>
      </c>
      <c r="L4" s="52">
        <f>L2-L3</f>
        <v>860.44</v>
      </c>
      <c r="M4" s="52">
        <f>M2-M3</f>
        <v>976.428</v>
      </c>
      <c r="N4" s="52">
        <f>N2-N3</f>
        <v>893.7270000000001</v>
      </c>
      <c r="O4" s="52">
        <f>O2-O3</f>
        <v>1410.368</v>
      </c>
      <c r="P4" s="52">
        <f>P2-P3</f>
        <v>1312.3010000000002</v>
      </c>
      <c r="Q4" s="52">
        <f>Q2-Q3</f>
        <v>1279.442</v>
      </c>
      <c r="R4" s="52">
        <f>R2-R3</f>
        <v>1212.28535883725</v>
      </c>
      <c r="S4" s="52">
        <f>S2-S3</f>
        <v>1159.079501421615</v>
      </c>
      <c r="T4" s="52">
        <f>T2-T3</f>
        <v>1118.189752343686</v>
      </c>
      <c r="U4" s="52">
        <f>U2-U3</f>
        <v>1088.3713589478543</v>
      </c>
      <c r="V4" s="52">
        <f>V2-V3</f>
        <v>1068.7202094112959</v>
      </c>
      <c r="W4" s="52">
        <f>W2-W3</f>
        <v>1058.6267407668556</v>
      </c>
      <c r="X4" s="52">
        <f>X2-X3</f>
        <v>1057.7445518162167</v>
      </c>
      <c r="Y4" s="52">
        <f>Y2-Y3</f>
        <v>1065.9714538858984</v>
      </c>
      <c r="Z4" s="52">
        <f>Z2-Z3</f>
        <v>1083.4415416023617</v>
      </c>
      <c r="AA4" s="52">
        <f>AA2-AA3</f>
        <v>1110.5275801424207</v>
      </c>
    </row>
    <row r="5">
      <c r="A5" s="2" t="inlineStr">
        <is>
          <t>Research &amp; Dev.</t>
        </is>
      </c>
      <c r="B5" s="52" t="n">
        <v>95.363</v>
      </c>
      <c r="C5" s="52" t="n">
        <v>97.239</v>
      </c>
      <c r="D5" s="52" t="n">
        <v>141.893</v>
      </c>
      <c r="E5" s="52" t="n">
        <v>140.013</v>
      </c>
      <c r="F5" s="52" t="n">
        <v>272.043</v>
      </c>
      <c r="G5" s="52" t="n">
        <v>344.404</v>
      </c>
      <c r="H5" s="52" t="n">
        <v>387.148</v>
      </c>
      <c r="I5" s="52" t="n">
        <v>412.889</v>
      </c>
      <c r="J5" s="52" t="n">
        <v>425.406</v>
      </c>
      <c r="K5" s="52" t="n">
        <v>512.833</v>
      </c>
      <c r="L5" s="52" t="n">
        <v>394.588</v>
      </c>
      <c r="M5" s="52" t="n">
        <v>290.924</v>
      </c>
      <c r="N5" s="52" t="n">
        <v>272.702</v>
      </c>
      <c r="O5" s="52" t="n">
        <v>270.806</v>
      </c>
      <c r="P5" s="52" t="n">
        <v>245.326</v>
      </c>
      <c r="Q5" s="52" t="n">
        <v>323.964</v>
      </c>
      <c r="R5" s="52">
        <f>R7*Assumptions!$B$20</f>
        <v>274.66370684582455</v>
      </c>
      <c r="S5" s="52">
        <f>S7*Assumptions!$B$20</f>
        <v>264.2351493720494</v>
      </c>
      <c r="T5" s="52">
        <f>T7*Assumptions!$B$20</f>
        <v>256.4822817668271</v>
      </c>
      <c r="U5" s="52">
        <f>U7*Assumptions!$B$20</f>
        <v>251.1696818944371</v>
      </c>
      <c r="V5" s="52">
        <f>V7*Assumptions!$B$20</f>
        <v>248.13403186365446</v>
      </c>
      <c r="W5" s="52">
        <f>W7*Assumptions!$B$20</f>
        <v>247.2757412950606</v>
      </c>
      <c r="X5" s="52">
        <f>X7*Assumptions!$B$20</f>
        <v>248.55363802284154</v>
      </c>
      <c r="Y5" s="52">
        <f>Y7*Assumptions!$B$20</f>
        <v>251.98233474067786</v>
      </c>
      <c r="Z5" s="52">
        <f>Z7*Assumptions!$B$20</f>
        <v>257.632056594245</v>
      </c>
      <c r="AA5" s="52">
        <f>AA7*Assumptions!$B$20</f>
        <v>265.63086966082903</v>
      </c>
    </row>
    <row r="6">
      <c r="A6" s="18" t="inlineStr">
        <is>
          <t>SG&amp;A &amp; Other</t>
        </is>
      </c>
      <c r="B6" s="52" t="n">
        <v>76.514</v>
      </c>
      <c r="C6" s="52" t="n">
        <v>82.84699999999999</v>
      </c>
      <c r="D6" s="52" t="n">
        <v>208.787</v>
      </c>
      <c r="E6" s="52" t="n">
        <v>251.376</v>
      </c>
      <c r="F6" s="52" t="n">
        <v>258.058</v>
      </c>
      <c r="G6" s="52" t="n">
        <v>369.243</v>
      </c>
      <c r="H6" s="52" t="n">
        <v>435.089</v>
      </c>
      <c r="I6" s="52" t="n">
        <v>483.637</v>
      </c>
      <c r="J6" s="52" t="n">
        <v>591.576</v>
      </c>
      <c r="K6" s="52" t="n">
        <v>653.208</v>
      </c>
      <c r="L6" s="52" t="n">
        <v>578.279</v>
      </c>
      <c r="M6" s="52" t="n">
        <v>587.758</v>
      </c>
      <c r="N6" s="52" t="n">
        <v>627.114</v>
      </c>
      <c r="O6" s="52" t="n">
        <v>725.4400000000001</v>
      </c>
      <c r="P6" s="52" t="n">
        <v>646.3390000000001</v>
      </c>
      <c r="Q6" s="52" t="n">
        <v>701.522</v>
      </c>
      <c r="R6" s="52">
        <f>R7-R5</f>
        <v>594.8003857335505</v>
      </c>
      <c r="S6" s="52">
        <f>S7-S5</f>
        <v>572.2167321475752</v>
      </c>
      <c r="T6" s="52">
        <f>T7-T5</f>
        <v>555.4274420914417</v>
      </c>
      <c r="U6" s="52">
        <f>U7-U5</f>
        <v>543.9226951059969</v>
      </c>
      <c r="V6" s="52">
        <f>V7-V5</f>
        <v>537.3488167075848</v>
      </c>
      <c r="W6" s="52">
        <f>W7-W5</f>
        <v>535.4901380815162</v>
      </c>
      <c r="X6" s="52">
        <f>X7-X5</f>
        <v>538.2574984850455</v>
      </c>
      <c r="Y6" s="52">
        <f>Y7-Y5</f>
        <v>545.6825425644118</v>
      </c>
      <c r="Z6" s="52">
        <f>Z7-Z5</f>
        <v>557.9173469962742</v>
      </c>
      <c r="AA6" s="52">
        <f>AA7-AA5</f>
        <v>575.2392463911781</v>
      </c>
    </row>
    <row r="7">
      <c r="A7" s="2" t="inlineStr">
        <is>
          <t>Operating Expense</t>
        </is>
      </c>
      <c r="B7" s="52">
        <f>SUM(B5:B6)</f>
        <v>171.877</v>
      </c>
      <c r="C7" s="52">
        <f>SUM(C5:C6)</f>
        <v>180.086</v>
      </c>
      <c r="D7" s="52">
        <f>SUM(D5:D6)</f>
        <v>350.68</v>
      </c>
      <c r="E7" s="52">
        <f>SUM(E5:E6)</f>
        <v>391.389</v>
      </c>
      <c r="F7" s="52">
        <f>SUM(F5:F6)</f>
        <v>530.101</v>
      </c>
      <c r="G7" s="52">
        <f>SUM(G5:G6)</f>
        <v>713.6469999999999</v>
      </c>
      <c r="H7" s="52">
        <f>SUM(H5:H6)</f>
        <v>822.2370000000001</v>
      </c>
      <c r="I7" s="52">
        <f>SUM(I5:I6)</f>
        <v>896.5260000000001</v>
      </c>
      <c r="J7" s="52">
        <f>SUM(J5:J6)</f>
        <v>1016.982</v>
      </c>
      <c r="K7" s="52">
        <f>SUM(K5:K6)</f>
        <v>1166.041</v>
      </c>
      <c r="L7" s="52">
        <f>SUM(L5:L6)</f>
        <v>972.867</v>
      </c>
      <c r="M7" s="52">
        <f>SUM(M5:M6)</f>
        <v>878.682</v>
      </c>
      <c r="N7" s="52">
        <f>SUM(N5:N6)</f>
        <v>899.816</v>
      </c>
      <c r="O7" s="52">
        <f>SUM(O5:O6)</f>
        <v>996.2460000000001</v>
      </c>
      <c r="P7" s="52">
        <f>SUM(P5:P6)</f>
        <v>891.6650000000001</v>
      </c>
      <c r="Q7" s="52">
        <f>SUM(Q5:Q6)</f>
        <v>1025.486</v>
      </c>
      <c r="R7" s="52">
        <f>R4-R2*NPV!C6</f>
        <v>869.464092579375</v>
      </c>
      <c r="S7" s="52">
        <f>S4-S2*NPV!D6</f>
        <v>836.4518815196245</v>
      </c>
      <c r="T7" s="52">
        <f>T4-T2*NPV!E6</f>
        <v>811.9097238582688</v>
      </c>
      <c r="U7" s="52">
        <f>U4-U2*NPV!F6</f>
        <v>795.092377000434</v>
      </c>
      <c r="V7" s="52">
        <f>V4-V2*NPV!G6</f>
        <v>785.4828485712392</v>
      </c>
      <c r="W7" s="52">
        <f>W4-W2*NPV!H6</f>
        <v>782.7658793765768</v>
      </c>
      <c r="X7" s="52">
        <f>X4-X2*NPV!I6</f>
        <v>786.8111365078871</v>
      </c>
      <c r="Y7" s="52">
        <f>Y4-Y2*NPV!J6</f>
        <v>797.6648773050897</v>
      </c>
      <c r="Z7" s="52">
        <f>Z4-Z2*NPV!K6</f>
        <v>815.5494035905192</v>
      </c>
      <c r="AA7" s="52">
        <f>AA4-AA2*NPV!L6</f>
        <v>840.8701160520071</v>
      </c>
    </row>
    <row r="8">
      <c r="A8" s="2" t="inlineStr">
        <is>
          <t>Operating Income</t>
        </is>
      </c>
      <c r="B8" s="52">
        <f>B4-B7</f>
        <v>-43.03399999999999</v>
      </c>
      <c r="C8" s="52">
        <f>C4-C7</f>
        <v>-45.63100000000003</v>
      </c>
      <c r="D8" s="52">
        <f>D4-D7</f>
        <v>-88.281</v>
      </c>
      <c r="E8" s="52">
        <f>E4-E7</f>
        <v>34.47799999999995</v>
      </c>
      <c r="F8" s="52">
        <f>F4-F7</f>
        <v>-87.144</v>
      </c>
      <c r="G8" s="52">
        <f>G4-G7</f>
        <v>-224.30099999999993</v>
      </c>
      <c r="H8" s="52">
        <f>H4-H7</f>
        <v>-208.6650000000002</v>
      </c>
      <c r="I8" s="52">
        <f>I4-I7</f>
        <v>-147.9000000000001</v>
      </c>
      <c r="J8" s="52">
        <f>J4-J7</f>
        <v>-99.12800000000004</v>
      </c>
      <c r="K8" s="52">
        <f>K4-K7</f>
        <v>-175.47900000000004</v>
      </c>
      <c r="L8" s="52">
        <f>L4-L7</f>
        <v>-112.42699999999991</v>
      </c>
      <c r="M8" s="52">
        <f>M4-M7</f>
        <v>97.74599999999998</v>
      </c>
      <c r="N8" s="52">
        <f>N4-N7</f>
        <v>-6.088999999999942</v>
      </c>
      <c r="O8" s="52">
        <f>O4-O7</f>
        <v>414.12199999999984</v>
      </c>
      <c r="P8" s="52">
        <f>P4-P7</f>
        <v>420.6360000000001</v>
      </c>
      <c r="Q8" s="52">
        <f>Q4-Q7</f>
        <v>253.9559999999999</v>
      </c>
      <c r="R8" s="52">
        <f>R4-R7</f>
        <v>342.821266257875</v>
      </c>
      <c r="S8" s="52">
        <f>S4-S7</f>
        <v>322.62761990199056</v>
      </c>
      <c r="T8" s="52">
        <f>T4-T7</f>
        <v>306.28002848541723</v>
      </c>
      <c r="U8" s="52">
        <f>U4-U7</f>
        <v>293.27898194742033</v>
      </c>
      <c r="V8" s="52">
        <f>V4-V7</f>
        <v>283.2373608400567</v>
      </c>
      <c r="W8" s="52">
        <f>W4-W7</f>
        <v>275.86086139027884</v>
      </c>
      <c r="X8" s="52">
        <f>X4-X7</f>
        <v>270.9334153083296</v>
      </c>
      <c r="Y8" s="52">
        <f>Y4-Y7</f>
        <v>268.3065765808087</v>
      </c>
      <c r="Z8" s="52">
        <f>Z4-Z7</f>
        <v>267.89213801184246</v>
      </c>
      <c r="AA8" s="52">
        <f>AA4-AA7</f>
        <v>269.65746409041355</v>
      </c>
    </row>
    <row r="9">
      <c r="A9" s="18" t="inlineStr">
        <is>
          <t>Interest &amp; Other</t>
        </is>
      </c>
      <c r="B9" s="52" t="n">
        <v>-1.667</v>
      </c>
      <c r="C9" s="52" t="n">
        <v>-0.86</v>
      </c>
      <c r="D9" s="52" t="n">
        <v>-26.111</v>
      </c>
      <c r="E9" s="52" t="n">
        <v>-16.88</v>
      </c>
      <c r="F9" s="52" t="n">
        <v>73.11499999999999</v>
      </c>
      <c r="G9" s="52" t="n">
        <v>0.296</v>
      </c>
      <c r="H9" s="52" t="n">
        <v>-5.722</v>
      </c>
      <c r="I9" s="52" t="n">
        <v>4.626</v>
      </c>
      <c r="J9" s="52" t="n">
        <v>-27.839</v>
      </c>
      <c r="K9" s="52" t="n">
        <v>-21.577</v>
      </c>
      <c r="L9" s="52" t="n">
        <v>15.89</v>
      </c>
      <c r="M9" s="52" t="n">
        <v>-134.62</v>
      </c>
      <c r="N9" s="52" t="n">
        <v>-150.187</v>
      </c>
      <c r="O9" s="52" t="n">
        <v>-155.96</v>
      </c>
      <c r="P9" s="52" t="n">
        <v>18.076</v>
      </c>
      <c r="Q9" s="52" t="n">
        <v>37.53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</row>
    <row r="10">
      <c r="A10" s="2" t="inlineStr">
        <is>
          <t>Pretax</t>
        </is>
      </c>
      <c r="B10" s="52">
        <f>B8+B9</f>
        <v>-44.70099999999999</v>
      </c>
      <c r="C10" s="52">
        <f>C8+C9</f>
        <v>-46.49100000000003</v>
      </c>
      <c r="D10" s="52">
        <f>D8+D9</f>
        <v>-114.39200000000001</v>
      </c>
      <c r="E10" s="52">
        <f>E8+E9</f>
        <v>17.597999999999953</v>
      </c>
      <c r="F10" s="52">
        <f>F8+F9</f>
        <v>-14.02900000000001</v>
      </c>
      <c r="G10" s="52">
        <f>G8+G9</f>
        <v>-224.00499999999994</v>
      </c>
      <c r="H10" s="52">
        <f>H8+H9</f>
        <v>-214.3870000000002</v>
      </c>
      <c r="I10" s="52">
        <f>I8+I9</f>
        <v>-143.2740000000001</v>
      </c>
      <c r="J10" s="52">
        <f>J8+J9</f>
        <v>-126.96700000000004</v>
      </c>
      <c r="K10" s="52">
        <f>K8+K9</f>
        <v>-197.05600000000004</v>
      </c>
      <c r="L10" s="52">
        <f>L8+L9</f>
        <v>-96.5369999999999</v>
      </c>
      <c r="M10" s="52">
        <f>M8+M9</f>
        <v>-36.874000000000024</v>
      </c>
      <c r="N10" s="52">
        <f>N8+N9</f>
        <v>-156.27599999999995</v>
      </c>
      <c r="O10" s="52">
        <f>O8+O9</f>
        <v>258.1619999999998</v>
      </c>
      <c r="P10" s="52">
        <f>P8+P9</f>
        <v>438.7120000000001</v>
      </c>
      <c r="Q10" s="52">
        <f>Q8+Q9</f>
        <v>291.4859999999999</v>
      </c>
      <c r="R10" s="52">
        <f>R8+R9</f>
        <v>342.821266257875</v>
      </c>
      <c r="S10" s="52">
        <f>S8+S9</f>
        <v>322.62761990199056</v>
      </c>
      <c r="T10" s="52">
        <f>T8+T9</f>
        <v>306.28002848541723</v>
      </c>
      <c r="U10" s="52">
        <f>U8+U9</f>
        <v>293.27898194742033</v>
      </c>
      <c r="V10" s="52">
        <f>V8+V9</f>
        <v>283.2373608400567</v>
      </c>
      <c r="W10" s="52">
        <f>W8+W9</f>
        <v>275.86086139027884</v>
      </c>
      <c r="X10" s="52">
        <f>X8+X9</f>
        <v>270.9334153083296</v>
      </c>
      <c r="Y10" s="52">
        <f>Y8+Y9</f>
        <v>268.3065765808087</v>
      </c>
      <c r="Z10" s="52">
        <f>Z8+Z9</f>
        <v>267.89213801184246</v>
      </c>
      <c r="AA10" s="52">
        <f>AA8+AA9</f>
        <v>269.65746409041355</v>
      </c>
    </row>
    <row r="11">
      <c r="A11" s="2" t="inlineStr">
        <is>
          <t>Taxes</t>
        </is>
      </c>
      <c r="B11" s="52" t="n">
        <v>-5.075</v>
      </c>
      <c r="C11" s="52" t="n">
        <v>-0.951</v>
      </c>
      <c r="D11" s="52" t="n">
        <v>-0.714</v>
      </c>
      <c r="E11" s="52" t="n">
        <v>-7.385</v>
      </c>
      <c r="F11" s="52" t="n">
        <v>16.032</v>
      </c>
      <c r="G11" s="52" t="n">
        <v>3.158</v>
      </c>
      <c r="H11" s="52" t="n">
        <v>-5.943</v>
      </c>
      <c r="I11" s="52" t="n">
        <v>14.671</v>
      </c>
      <c r="J11" s="52" t="n">
        <v>12.344</v>
      </c>
      <c r="K11" s="52" t="n">
        <v>-0.436</v>
      </c>
      <c r="L11" s="52" t="n">
        <v>14.324</v>
      </c>
      <c r="M11" s="52" t="n">
        <v>11.326</v>
      </c>
      <c r="N11" s="52" t="n">
        <v>2.024</v>
      </c>
      <c r="O11" s="52" t="n">
        <v>-97.63800000000001</v>
      </c>
      <c r="P11" s="52" t="n">
        <v>71.61199999999999</v>
      </c>
      <c r="Q11" s="52" t="n">
        <v>49.786</v>
      </c>
      <c r="R11" s="52">
        <f>MAX(0,R10)*Assumptions!$E$14</f>
        <v>58.27961526383875</v>
      </c>
      <c r="S11" s="52">
        <f>MAX(0,S10)*Assumptions!$E$14</f>
        <v>54.8466953833384</v>
      </c>
      <c r="T11" s="52">
        <f>MAX(0,T10)*Assumptions!$E$14</f>
        <v>52.067604842520936</v>
      </c>
      <c r="U11" s="52">
        <f>MAX(0,U10)*Assumptions!$E$14</f>
        <v>49.85742693106146</v>
      </c>
      <c r="V11" s="52">
        <f>MAX(0,V10)*Assumptions!$E$14</f>
        <v>48.15035134280964</v>
      </c>
      <c r="W11" s="52">
        <f>MAX(0,W10)*Assumptions!$E$14</f>
        <v>46.89634643634741</v>
      </c>
      <c r="X11" s="52">
        <f>MAX(0,X10)*Assumptions!$E$14</f>
        <v>46.05868060241603</v>
      </c>
      <c r="Y11" s="52">
        <f>MAX(0,Y10)*Assumptions!$E$14</f>
        <v>45.61211801873748</v>
      </c>
      <c r="Z11" s="52">
        <f>MAX(0,Z10)*Assumptions!$E$14</f>
        <v>45.54166346201322</v>
      </c>
      <c r="AA11" s="52">
        <f>MAX(0,AA10)*Assumptions!$E$14</f>
        <v>45.84176889537031</v>
      </c>
    </row>
    <row r="12">
      <c r="A12" s="2" t="inlineStr">
        <is>
          <t>Net Income</t>
        </is>
      </c>
      <c r="B12" s="52" t="n">
        <v>-39.626</v>
      </c>
      <c r="C12" s="52" t="n">
        <v>-45.54</v>
      </c>
      <c r="D12" s="52" t="n">
        <v>-113.678</v>
      </c>
      <c r="E12" s="52" t="n">
        <v>24.983</v>
      </c>
      <c r="F12" s="52" t="n">
        <v>-30.061</v>
      </c>
      <c r="G12" s="52" t="n">
        <v>-227.163</v>
      </c>
      <c r="H12" s="52" t="n">
        <v>-208.444</v>
      </c>
      <c r="I12" s="52" t="n">
        <v>-157.945</v>
      </c>
      <c r="J12" s="52" t="n">
        <v>-139.311</v>
      </c>
      <c r="K12" s="52" t="n">
        <v>-196.62</v>
      </c>
      <c r="L12" s="52" t="n">
        <v>-110.861</v>
      </c>
      <c r="M12" s="52" t="n">
        <v>-48.2</v>
      </c>
      <c r="N12" s="52" t="n">
        <v>-158.3</v>
      </c>
      <c r="O12" s="52" t="n">
        <v>355.8</v>
      </c>
      <c r="P12" s="52" t="n">
        <v>367.1</v>
      </c>
      <c r="Q12" s="52" t="n">
        <v>241.7</v>
      </c>
      <c r="R12" s="52">
        <f>R10-R11</f>
        <v>284.5416509940362</v>
      </c>
      <c r="S12" s="52">
        <f>S10-S11</f>
        <v>267.78092451865217</v>
      </c>
      <c r="T12" s="52">
        <f>T10-T11</f>
        <v>254.21242364289628</v>
      </c>
      <c r="U12" s="52">
        <f>U10-U11</f>
        <v>243.42155501635887</v>
      </c>
      <c r="V12" s="52">
        <f>V10-V11</f>
        <v>235.08700949724704</v>
      </c>
      <c r="W12" s="52">
        <f>W10-W11</f>
        <v>228.96451495393143</v>
      </c>
      <c r="X12" s="52">
        <f>X10-X11</f>
        <v>224.87473470591357</v>
      </c>
      <c r="Y12" s="52">
        <f>Y10-Y11</f>
        <v>222.69445856207125</v>
      </c>
      <c r="Z12" s="52">
        <f>Z10-Z11</f>
        <v>222.35047454982924</v>
      </c>
      <c r="AA12" s="52">
        <f>AA10-AA11</f>
        <v>223.81569519504325</v>
      </c>
    </row>
    <row r="13">
      <c r="A13" s="2" t="inlineStr">
        <is>
          <t>Earnings per Share</t>
        </is>
      </c>
      <c r="B13" s="11">
        <f>IFERROR(B12/B14,0)</f>
        <v>-0.4178238910152996</v>
      </c>
      <c r="C13" s="11">
        <f>IFERROR(C12/C14,0)</f>
        <v>-0.4763100094132413</v>
      </c>
      <c r="D13" s="11">
        <f>IFERROR(D12/D14,0)</f>
        <v>-0.9910725183519031</v>
      </c>
      <c r="E13" s="11">
        <f>IFERROR(E12/E14,0)</f>
        <v>0.17347859900563842</v>
      </c>
      <c r="F13" s="11">
        <f>IFERROR(F12/F14,0)</f>
        <v>-0.20692622217327258</v>
      </c>
      <c r="G13" s="11">
        <f>IFERROR(G12/G14,0)</f>
        <v>-1.5224789887806123</v>
      </c>
      <c r="H13" s="11">
        <f>IFERROR(H12/H14,0)</f>
        <v>-1.3760133083361938</v>
      </c>
      <c r="I13" s="11">
        <f>IFERROR(I12/I14,0)</f>
        <v>-1.029527751523645</v>
      </c>
      <c r="J13" s="11">
        <f>IFERROR(J12/J14,0)</f>
        <v>-0.8981316725978649</v>
      </c>
      <c r="K13" s="11">
        <f>IFERROR(K12/K14,0)</f>
        <v>-1.2519500035020472</v>
      </c>
      <c r="L13" s="11">
        <f>IFERROR(L12/L14,0)</f>
        <v>-0.6981039401018873</v>
      </c>
      <c r="M13" s="11">
        <f>IFERROR(M12/M14,0)</f>
        <v>-0.29255916432477713</v>
      </c>
      <c r="N13" s="11">
        <f>IFERROR(N12/N14,0)</f>
        <v>-0.9667647885087517</v>
      </c>
      <c r="O13" s="11">
        <f>IFERROR(O12/O14,0)</f>
        <v>2.096270547339893</v>
      </c>
      <c r="P13" s="11">
        <f>IFERROR(P12/P14,0)</f>
        <v>2.1696473953592834</v>
      </c>
      <c r="Q13" s="11">
        <f>IFERROR(Q12/Q14,0)</f>
        <v>1.4323557125332607</v>
      </c>
      <c r="R13" s="11">
        <f>IFERROR(R12/R14,0)</f>
        <v>1.6960902562393765</v>
      </c>
      <c r="S13" s="11">
        <f>IFERROR(S12/S14,0)</f>
        <v>1.5961832487307006</v>
      </c>
      <c r="T13" s="11">
        <f>IFERROR(T12/T14,0)</f>
        <v>1.5153043965600306</v>
      </c>
      <c r="U13" s="11">
        <f>IFERROR(U12/U14,0)</f>
        <v>1.4509823998685414</v>
      </c>
      <c r="V13" s="11">
        <f>IFERROR(V12/V14,0)</f>
        <v>1.4013020054666496</v>
      </c>
      <c r="W13" s="11">
        <f>IFERROR(W12/W14,0)</f>
        <v>1.3648071608542032</v>
      </c>
      <c r="X13" s="11">
        <f>IFERROR(X12/X14,0)</f>
        <v>1.3404288794862893</v>
      </c>
      <c r="Y13" s="11">
        <f>IFERROR(Y12/Y14,0)</f>
        <v>1.3274327324879027</v>
      </c>
      <c r="Z13" s="11">
        <f>IFERROR(Z12/Z14,0)</f>
        <v>1.3253823193781606</v>
      </c>
      <c r="AA13" s="11">
        <f>IFERROR(AA12/AA14,0)</f>
        <v>1.3341161776759054</v>
      </c>
    </row>
    <row r="14">
      <c r="A14" s="2" t="inlineStr">
        <is>
          <t>Shares</t>
        </is>
      </c>
      <c r="B14" s="52" t="n">
        <v>94.839</v>
      </c>
      <c r="C14" s="52" t="n">
        <v>95.61</v>
      </c>
      <c r="D14" s="52" t="n">
        <v>114.702</v>
      </c>
      <c r="E14" s="52" t="n">
        <v>144.012</v>
      </c>
      <c r="F14" s="52" t="n">
        <v>145.274</v>
      </c>
      <c r="G14" s="52" t="n">
        <v>149.206</v>
      </c>
      <c r="H14" s="52" t="n">
        <v>151.484</v>
      </c>
      <c r="I14" s="52" t="n">
        <v>153.415</v>
      </c>
      <c r="J14" s="52" t="n">
        <v>155.112</v>
      </c>
      <c r="K14" s="52" t="n">
        <v>157.051</v>
      </c>
      <c r="L14" s="52" t="n">
        <v>158.803</v>
      </c>
      <c r="M14" s="52" t="n">
        <v>164.753</v>
      </c>
      <c r="N14" s="52" t="n">
        <v>163.742</v>
      </c>
      <c r="O14" s="52" t="n">
        <v>169.73</v>
      </c>
      <c r="P14" s="52" t="n">
        <v>169.198</v>
      </c>
      <c r="Q14" s="52" t="n">
        <v>168.743</v>
      </c>
      <c r="R14" s="52">
        <f>Main!$C$4</f>
        <v>167.763272</v>
      </c>
      <c r="S14" s="52">
        <f>Main!$C$4</f>
        <v>167.763272</v>
      </c>
      <c r="T14" s="52">
        <f>Main!$C$4</f>
        <v>167.763272</v>
      </c>
      <c r="U14" s="52">
        <f>Main!$C$4</f>
        <v>167.763272</v>
      </c>
      <c r="V14" s="52">
        <f>Main!$C$4</f>
        <v>167.763272</v>
      </c>
      <c r="W14" s="52">
        <f>Main!$C$4</f>
        <v>167.763272</v>
      </c>
      <c r="X14" s="52">
        <f>Main!$C$4</f>
        <v>167.763272</v>
      </c>
      <c r="Y14" s="52">
        <f>Main!$C$4</f>
        <v>167.763272</v>
      </c>
      <c r="Z14" s="52">
        <f>Main!$C$4</f>
        <v>167.763272</v>
      </c>
      <c r="AA14" s="52">
        <f>Main!$C$4</f>
        <v>167.763272</v>
      </c>
    </row>
    <row r="15"/>
    <row r="16" customFormat="1" s="4">
      <c r="A16" s="3" t="inlineStr">
        <is>
          <t>Revenue Change</t>
        </is>
      </c>
      <c r="C16" s="15">
        <f>IFERROR(C2/B2-1,"")</f>
        <v>0.046886656458063225</v>
      </c>
      <c r="D16" s="15">
        <f>IFERROR(D2/C2-1,"")</f>
        <v>1.0894609944277756</v>
      </c>
      <c r="E16" s="15">
        <f>IFERROR(E2/D2-1,"")</f>
        <v>0.5291491549501637</v>
      </c>
      <c r="F16" s="15">
        <f>IFERROR(F2/E2-1,"")</f>
        <v>0.03765681255271813</v>
      </c>
      <c r="G16" s="15">
        <f>IFERROR(G2/F2-1,"")</f>
        <v>0.015426906425292097</v>
      </c>
      <c r="H16" s="15">
        <f>IFERROR(H2/G2-1,"")</f>
        <v>0.18677775390516183</v>
      </c>
      <c r="I16" s="15">
        <f>IFERROR(I2/H2-1,"")</f>
        <v>0.2114540280597672</v>
      </c>
      <c r="J16" s="15">
        <f>IFERROR(J2/I2-1,"")</f>
        <v>0.2113189000347584</v>
      </c>
      <c r="K16" s="15">
        <f>IFERROR(K2/J2-1,"")</f>
        <v>0.07006746025218558</v>
      </c>
      <c r="L16" s="15">
        <f>IFERROR(L2/K2-1,"")</f>
        <v>-0.11289238539404411</v>
      </c>
      <c r="M16" s="15">
        <f>IFERROR(M2/L2-1,"")</f>
        <v>0.1299583347773683</v>
      </c>
      <c r="N16" s="15">
        <f>IFERROR(N2/M2-1,"")</f>
        <v>-0.05278461956581926</v>
      </c>
      <c r="O16" s="15">
        <f>IFERROR(O2/N2-1,"")</f>
        <v>0.49614362359967434</v>
      </c>
      <c r="P16" s="15">
        <f>IFERROR(P2/O2-1,"")</f>
        <v>-0.06358824218996573</v>
      </c>
      <c r="Q16" s="15">
        <f>IFERROR(Q2/P2-1,"")</f>
        <v>-0.052472599432985545</v>
      </c>
      <c r="R16" s="15">
        <f>IFERROR(R2/Q2-1,"")</f>
        <v>-0.05249999999999999</v>
      </c>
      <c r="S16" s="15">
        <f>IFERROR(S2/R2-1,"")</f>
        <v>-0.043888888888888866</v>
      </c>
      <c r="T16" s="15">
        <f>IFERROR(T2/S2-1,"")</f>
        <v>-0.03527777777777774</v>
      </c>
      <c r="U16" s="15">
        <f>IFERROR(U2/T2-1,"")</f>
        <v>-0.026666666666666727</v>
      </c>
      <c r="V16" s="15">
        <f>IFERROR(V2/U2-1,"")</f>
        <v>-0.018055555555555602</v>
      </c>
      <c r="W16" s="15">
        <f>IFERROR(W2/V2-1,"")</f>
        <v>-0.009444444444444478</v>
      </c>
      <c r="X16" s="15">
        <f>IFERROR(X2/W2-1,"")</f>
        <v>-0.0008333333333333526</v>
      </c>
      <c r="Y16" s="15">
        <f>IFERROR(Y2/X2-1,"")</f>
        <v>0.007777777777777883</v>
      </c>
      <c r="Z16" s="15">
        <f>IFERROR(Z2/Y2-1,"")</f>
        <v>0.016388888888888786</v>
      </c>
      <c r="AA16" s="15">
        <f>IFERROR(AA2/Z2-1,"")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0.7226961930884391</v>
      </c>
      <c r="C17" s="15">
        <f>IFERROR(C4/C2,"")</f>
        <v>0.7203975567938277</v>
      </c>
      <c r="D17" s="15">
        <f>IFERROR(D4/D2,"")</f>
        <v>0.6728576300653629</v>
      </c>
      <c r="E17" s="15">
        <f>IFERROR(E4/E2,"")</f>
        <v>0.714142936916119</v>
      </c>
      <c r="F17" s="15">
        <f>IFERROR(F4/F2,"")</f>
        <v>0.7158449810840206</v>
      </c>
      <c r="G17" s="15">
        <f>IFERROR(G4/G2,"")</f>
        <v>0.7787979342229862</v>
      </c>
      <c r="H17" s="15">
        <f>IFERROR(H4/H2,"")</f>
        <v>0.8228200843777742</v>
      </c>
      <c r="I17" s="15">
        <f>IFERROR(I4/I2,"")</f>
        <v>0.8286999625847101</v>
      </c>
      <c r="J17" s="15">
        <f>IFERROR(J4/J2,"")</f>
        <v>0.8387789529861808</v>
      </c>
      <c r="K17" s="15">
        <f>IFERROR(K4/K2,"")</f>
        <v>0.8459494750829883</v>
      </c>
      <c r="L17" s="15">
        <f>IFERROR(L4/L2,"")</f>
        <v>0.8283369723014837</v>
      </c>
      <c r="M17" s="15">
        <f>IFERROR(M4/M2,"")</f>
        <v>0.8318868311933281</v>
      </c>
      <c r="N17" s="15">
        <f>IFERROR(N4/N2,"")</f>
        <v>0.8038595244626933</v>
      </c>
      <c r="O17" s="15">
        <f>IFERROR(O4/O2,"")</f>
        <v>0.8478801013583582</v>
      </c>
      <c r="P17" s="15">
        <f>IFERROR(P4/P2,"")</f>
        <v>0.8424974576793492</v>
      </c>
      <c r="Q17" s="15">
        <f>IFERROR(Q4/Q2,"")</f>
        <v>0.8668899430110055</v>
      </c>
      <c r="R17" s="15">
        <f>IFERROR(R4/R2,"")</f>
        <v>0.8669000000000001</v>
      </c>
      <c r="S17" s="15">
        <f>IFERROR(S4/S2,"")</f>
        <v>0.8669</v>
      </c>
      <c r="T17" s="15">
        <f>IFERROR(T4/T2,"")</f>
        <v>0.8669000000000001</v>
      </c>
      <c r="U17" s="15">
        <f>IFERROR(U4/U2,"")</f>
        <v>0.8669</v>
      </c>
      <c r="V17" s="15">
        <f>IFERROR(V4/V2,"")</f>
        <v>0.8669000000000001</v>
      </c>
      <c r="W17" s="15">
        <f>IFERROR(W4/W2,"")</f>
        <v>0.8668999999999999</v>
      </c>
      <c r="X17" s="15">
        <f>IFERROR(X4/X2,"")</f>
        <v>0.8669</v>
      </c>
      <c r="Y17" s="15">
        <f>IFERROR(Y4/Y2,"")</f>
        <v>0.8669</v>
      </c>
      <c r="Z17" s="15">
        <f>IFERROR(Z4/Z2,"")</f>
        <v>0.8669</v>
      </c>
      <c r="AA17" s="15">
        <f>IFERROR(AA4/AA2,"")</f>
        <v>0.8669</v>
      </c>
    </row>
    <row r="18">
      <c r="A18" s="14" t="inlineStr">
        <is>
          <t>Operating Margin</t>
        </is>
      </c>
      <c r="B18" s="15">
        <f>IFERROR(B8/B2,"")</f>
        <v>-0.24138298528727117</v>
      </c>
      <c r="C18" s="15">
        <f>IFERROR(C8/C2,"")</f>
        <v>-0.2444867123874841</v>
      </c>
      <c r="D18" s="15">
        <f>IFERROR(D8/D2,"")</f>
        <v>-0.22637488877549192</v>
      </c>
      <c r="E18" s="15">
        <f>IFERROR(E8/E2,"")</f>
        <v>0.05781668966835636</v>
      </c>
      <c r="F18" s="15">
        <f>IFERROR(F8/F2,"")</f>
        <v>-0.14082991132680123</v>
      </c>
      <c r="G18" s="15">
        <f>IFERROR(G8/G2,"")</f>
        <v>-0.35697677194490185</v>
      </c>
      <c r="H18" s="15">
        <f>IFERROR(H8/H2,"")</f>
        <v>-0.27982657765785995</v>
      </c>
      <c r="I18" s="15">
        <f>IFERROR(I8/I2,"")</f>
        <v>-0.16371956686820752</v>
      </c>
      <c r="J18" s="15">
        <f>IFERROR(J8/J2,"")</f>
        <v>-0.09058791490979412</v>
      </c>
      <c r="K18" s="15">
        <f>IFERROR(K8/K2,"")</f>
        <v>-0.14986075373180857</v>
      </c>
      <c r="L18" s="15">
        <f>IFERROR(L8/L2,"")</f>
        <v>-0.10823234715371069</v>
      </c>
      <c r="M18" s="15">
        <f>IFERROR(M8/M2,"")</f>
        <v>0.08327660636710851</v>
      </c>
      <c r="N18" s="15">
        <f>IFERROR(N8/N2,"")</f>
        <v>-0.005476729073255359</v>
      </c>
      <c r="O18" s="15">
        <f>IFERROR(O8/O2,"")</f>
        <v>0.2489604155331984</v>
      </c>
      <c r="P18" s="15">
        <f>IFERROR(P8/P2,"")</f>
        <v>0.2700483811323856</v>
      </c>
      <c r="Q18" s="15">
        <f>IFERROR(Q8/Q2,"")</f>
        <v>0.17206868491678626</v>
      </c>
      <c r="R18" s="15">
        <f>IFERROR(R8/R2,"")</f>
        <v>0.24515</v>
      </c>
      <c r="S18" s="15">
        <f>IFERROR(S8/S2,"")</f>
        <v>0.24129999999999993</v>
      </c>
      <c r="T18" s="15">
        <f>IFERROR(T8/T2,"")</f>
        <v>0.23745</v>
      </c>
      <c r="U18" s="15">
        <f>IFERROR(U8/U2,"")</f>
        <v>0.23359999999999995</v>
      </c>
      <c r="V18" s="15">
        <f>IFERROR(V8/V2,"")</f>
        <v>0.22974999999999995</v>
      </c>
      <c r="W18" s="15">
        <f>IFERROR(W8/W2,"")</f>
        <v>0.22590000000000002</v>
      </c>
      <c r="X18" s="15">
        <f>IFERROR(X8/X2,"")</f>
        <v>0.22205</v>
      </c>
      <c r="Y18" s="15">
        <f>IFERROR(Y8/Y2,"")</f>
        <v>0.21820000000000003</v>
      </c>
      <c r="Z18" s="15">
        <f>IFERROR(Z8/Z2,"")</f>
        <v>0.21435</v>
      </c>
      <c r="AA18" s="15">
        <f>IFERROR(AA8/AA2,"")</f>
        <v>0.21049999999999996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Alkermes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-0.1025</v>
      </c>
      <c r="C12" s="53" t="n">
        <v>-0.0525</v>
      </c>
      <c r="D12" s="53" t="n">
        <v>-0.0025</v>
      </c>
      <c r="E12" s="54">
        <f>CHOOSE($B$4,B12,C12,D12)</f>
        <v>-0.0525</v>
      </c>
    </row>
    <row r="13">
      <c r="A13" s="14" t="inlineStr">
        <is>
          <t>Operating margin, year 10</t>
        </is>
      </c>
      <c r="B13" s="53" t="n">
        <v>0.1605</v>
      </c>
      <c r="C13" s="53" t="n">
        <v>0.2105</v>
      </c>
      <c r="D13" s="53" t="n">
        <v>0.2605</v>
      </c>
      <c r="E13" s="54">
        <f>CHOOSE($B$4,B13,C13,D13)</f>
        <v>0.2105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0.249</v>
      </c>
    </row>
    <row r="19">
      <c r="A19" s="14" t="inlineStr">
        <is>
          <t>Gross margin (forecast)</t>
        </is>
      </c>
      <c r="B19" s="53" t="n">
        <v>0.8669</v>
      </c>
    </row>
    <row r="20">
      <c r="A20" s="14" t="inlineStr">
        <is>
          <t>R&amp;D share of operating expense (forecast)</t>
        </is>
      </c>
      <c r="B20" s="53" t="n">
        <v>0.3159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Model'!Q2</f>
        <v>1475.899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2919.2669997503617</v>
      </c>
      <c r="C29" s="56">
        <f>NPV!B26</f>
        <v>2072.732999750362</v>
      </c>
      <c r="D29" s="35">
        <f>NPV!B28</f>
        <v>12.355105948043038</v>
      </c>
      <c r="E29" s="57">
        <f>NPV!B30</f>
        <v>-0.7199023815905001</v>
      </c>
    </row>
    <row r="30">
      <c r="A30" s="58" t="n">
        <v>1</v>
      </c>
      <c r="B30" s="59">
        <f t="dataTable" ref="B30:E32" r1="B4"/>
        <v>1778.6510976772902</v>
      </c>
      <c r="C30" s="59">
        <v>932.1170976772898</v>
      </c>
      <c r="D30" s="39">
        <v>5.556145195339835</v>
      </c>
      <c r="E30" s="60">
        <v>-0.8740388756440753</v>
      </c>
    </row>
    <row r="31">
      <c r="A31" s="58" t="n">
        <v>2</v>
      </c>
      <c r="B31" s="59">
        <v>2919.2669997503617</v>
      </c>
      <c r="C31" s="59">
        <v>2072.732999750362</v>
      </c>
      <c r="D31" s="39">
        <v>12.355105948043038</v>
      </c>
      <c r="E31" s="60">
        <v>-0.7199023815905001</v>
      </c>
    </row>
    <row r="32">
      <c r="A32" s="58" t="n">
        <v>3</v>
      </c>
      <c r="B32" s="59">
        <v>5163.414391493232</v>
      </c>
      <c r="C32" s="59">
        <v>4316.880391493232</v>
      </c>
      <c r="D32" s="39">
        <v>25.731975420062337</v>
      </c>
      <c r="E32" s="60">
        <v>-0.4166407748795662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12.355105948043038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15.571670561832551</v>
      </c>
      <c r="C37" s="39">
        <v>16.84495096814453</v>
      </c>
      <c r="D37" s="39">
        <v>18.369785783688958</v>
      </c>
      <c r="E37" s="39">
        <v>20.229994732283682</v>
      </c>
      <c r="F37" s="39">
        <v>22.55130707790111</v>
      </c>
    </row>
    <row r="38">
      <c r="A38" s="62" t="n">
        <v>0.08500000000000001</v>
      </c>
      <c r="B38" s="39">
        <v>12.944847888160933</v>
      </c>
      <c r="C38" s="39">
        <v>13.832487714069032</v>
      </c>
      <c r="D38" s="39">
        <v>14.865603301458737</v>
      </c>
      <c r="E38" s="39">
        <v>16.083845229235873</v>
      </c>
      <c r="F38" s="39">
        <v>17.5427240646884</v>
      </c>
    </row>
    <row r="39">
      <c r="A39" s="62" t="n">
        <v>0.095</v>
      </c>
      <c r="B39" s="39">
        <v>10.968986010211902</v>
      </c>
      <c r="C39" s="39">
        <v>11.616781854735947</v>
      </c>
      <c r="D39" s="39">
        <v>12.355105948043038</v>
      </c>
      <c r="E39" s="39">
        <v>13.204829664870278</v>
      </c>
      <c r="F39" s="39">
        <v>14.193781313419054</v>
      </c>
    </row>
    <row r="40">
      <c r="A40" s="62" t="n">
        <v>0.105</v>
      </c>
      <c r="B40" s="39">
        <v>9.427080276063338</v>
      </c>
      <c r="C40" s="39">
        <v>9.916622739119022</v>
      </c>
      <c r="D40" s="39">
        <v>10.465677339987012</v>
      </c>
      <c r="E40" s="39">
        <v>11.086130268947517</v>
      </c>
      <c r="F40" s="39">
        <v>11.793263615617564</v>
      </c>
    </row>
    <row r="41">
      <c r="A41" s="62" t="n">
        <v>0.115</v>
      </c>
      <c r="B41" s="39">
        <v>8.188962504146915</v>
      </c>
      <c r="C41" s="39">
        <v>8.56924030938887</v>
      </c>
      <c r="D41" s="39">
        <v>8.990346149248452</v>
      </c>
      <c r="E41" s="39">
        <v>9.459471386304319</v>
      </c>
      <c r="F41" s="39">
        <v>9.985605095621585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Alkermes Plc: free-cash-flow DCF ($mm)</t>
        </is>
      </c>
    </row>
    <row r="3">
      <c r="A3" s="20" t="inlineStr">
        <is>
          <t>Fiscal year</t>
        </is>
      </c>
      <c r="B3" s="43">
        <f>'Yearly Model'!Q1</f>
        <v>2025</v>
      </c>
      <c r="C3" s="43">
        <f>'Yearly Model'!R1</f>
        <v>2026</v>
      </c>
      <c r="D3" s="43">
        <f>'Yearly Model'!S1</f>
        <v>2027</v>
      </c>
      <c r="E3" s="43">
        <f>'Yearly Model'!T1</f>
        <v>2028</v>
      </c>
      <c r="F3" s="43">
        <f>'Yearly Model'!U1</f>
        <v>2029</v>
      </c>
      <c r="G3" s="43">
        <f>'Yearly Model'!V1</f>
        <v>2030</v>
      </c>
      <c r="H3" s="43">
        <f>'Yearly Model'!W1</f>
        <v>2031</v>
      </c>
      <c r="I3" s="43">
        <f>'Yearly Model'!X1</f>
        <v>2032</v>
      </c>
      <c r="J3" s="43">
        <f>'Yearly Model'!Y1</f>
        <v>2033</v>
      </c>
      <c r="K3" s="43">
        <f>'Yearly Model'!Z1</f>
        <v>2034</v>
      </c>
      <c r="L3" s="43">
        <f>'Yearly Model'!AA1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-0.0525</v>
      </c>
      <c r="D5" s="63">
        <f>Assumptions!$E$12+(Assumptions!$E$11-Assumptions!$E$12)*(D4-1)/(Assumptions!$B$21-1)</f>
        <v>-0.04388888888888889</v>
      </c>
      <c r="E5" s="63">
        <f>Assumptions!$E$12+(Assumptions!$E$11-Assumptions!$E$12)*(E4-1)/(Assumptions!$B$21-1)</f>
        <v>-0.035277777777777776</v>
      </c>
      <c r="F5" s="63">
        <f>Assumptions!$E$12+(Assumptions!$E$11-Assumptions!$E$12)*(F4-1)/(Assumptions!$B$21-1)</f>
        <v>-0.026666666666666665</v>
      </c>
      <c r="G5" s="63">
        <f>Assumptions!$E$12+(Assumptions!$E$11-Assumptions!$E$12)*(G4-1)/(Assumptions!$B$21-1)</f>
        <v>-0.018055555555555554</v>
      </c>
      <c r="H5" s="63">
        <f>Assumptions!$E$12+(Assumptions!$E$11-Assumptions!$E$12)*(H4-1)/(Assumptions!$B$21-1)</f>
        <v>-0.009444444444444443</v>
      </c>
      <c r="I5" s="63">
        <f>Assumptions!$E$12+(Assumptions!$E$11-Assumptions!$E$12)*(I4-1)/(Assumptions!$B$21-1)</f>
        <v>-0.0008333333333333318</v>
      </c>
      <c r="J5" s="63">
        <f>Assumptions!$E$12+(Assumptions!$E$11-Assumptions!$E$12)*(J4-1)/(Assumptions!$B$21-1)</f>
        <v>0.007777777777777779</v>
      </c>
      <c r="K5" s="63">
        <f>Assumptions!$E$12+(Assumptions!$E$11-Assumptions!$E$12)*(K4-1)/(Assumptions!$B$21-1)</f>
        <v>0.01638888888888889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0.17206868491678626</v>
      </c>
      <c r="C6" s="63">
        <f>Assumptions!$B$18+(Assumptions!$E$13-Assumptions!$B$18)*C4/Assumptions!$B$21</f>
        <v>0.24515</v>
      </c>
      <c r="D6" s="63">
        <f>Assumptions!$B$18+(Assumptions!$E$13-Assumptions!$B$18)*D4/Assumptions!$B$21</f>
        <v>0.2413</v>
      </c>
      <c r="E6" s="63">
        <f>Assumptions!$B$18+(Assumptions!$E$13-Assumptions!$B$18)*E4/Assumptions!$B$21</f>
        <v>0.23745</v>
      </c>
      <c r="F6" s="63">
        <f>Assumptions!$B$18+(Assumptions!$E$13-Assumptions!$B$18)*F4/Assumptions!$B$21</f>
        <v>0.2336</v>
      </c>
      <c r="G6" s="63">
        <f>Assumptions!$B$18+(Assumptions!$E$13-Assumptions!$B$18)*G4/Assumptions!$B$21</f>
        <v>0.22975</v>
      </c>
      <c r="H6" s="63">
        <f>Assumptions!$B$18+(Assumptions!$E$13-Assumptions!$B$18)*H4/Assumptions!$B$21</f>
        <v>0.2259</v>
      </c>
      <c r="I6" s="63">
        <f>Assumptions!$B$18+(Assumptions!$E$13-Assumptions!$B$18)*I4/Assumptions!$B$21</f>
        <v>0.22205</v>
      </c>
      <c r="J6" s="63">
        <f>Assumptions!$B$18+(Assumptions!$E$13-Assumptions!$B$18)*J4/Assumptions!$B$21</f>
        <v>0.2182</v>
      </c>
      <c r="K6" s="63">
        <f>Assumptions!$B$18+(Assumptions!$E$13-Assumptions!$B$18)*K4/Assumptions!$B$21</f>
        <v>0.21434999999999998</v>
      </c>
      <c r="L6" s="63">
        <f>Assumptions!$B$18+(Assumptions!$E$13-Assumptions!$B$18)*L4/Assumptions!$B$21</f>
        <v>0.2105</v>
      </c>
    </row>
    <row r="7">
      <c r="A7" s="14" t="inlineStr">
        <is>
          <t>Revenue</t>
        </is>
      </c>
      <c r="B7" s="55">
        <f>'Yearly Model'!Q2</f>
        <v>1475.899</v>
      </c>
      <c r="C7" s="55">
        <f>'Yearly Model'!R2</f>
        <v>1398.4143024999998</v>
      </c>
      <c r="D7" s="55">
        <f>'Yearly Model'!S2</f>
        <v>1337.0394525569443</v>
      </c>
      <c r="E7" s="55">
        <f>'Yearly Model'!T2</f>
        <v>1289.8716718695189</v>
      </c>
      <c r="F7" s="55">
        <f>'Yearly Model'!U2</f>
        <v>1255.4750939529983</v>
      </c>
      <c r="G7" s="55">
        <f>'Yearly Model'!V2</f>
        <v>1232.8067936455136</v>
      </c>
      <c r="H7" s="55">
        <f>'Yearly Model'!W2</f>
        <v>1221.1636183721948</v>
      </c>
      <c r="I7" s="55">
        <f>'Yearly Model'!X2</f>
        <v>1220.1459820235514</v>
      </c>
      <c r="J7" s="55">
        <f>'Yearly Model'!Y2</f>
        <v>1229.636006328179</v>
      </c>
      <c r="K7" s="55">
        <f>'Yearly Model'!Z2</f>
        <v>1249.7883742096685</v>
      </c>
      <c r="L7" s="55">
        <f>'Yearly Model'!AA2</f>
        <v>1281.0330835649102</v>
      </c>
    </row>
    <row r="8">
      <c r="A8" s="14" t="inlineStr">
        <is>
          <t>Operating income</t>
        </is>
      </c>
      <c r="B8" s="55">
        <f>'Yearly Model'!Q8</f>
        <v>253.9559999999999</v>
      </c>
      <c r="C8" s="55">
        <f>'Yearly Model'!R8</f>
        <v>342.821266257875</v>
      </c>
      <c r="D8" s="55">
        <f>'Yearly Model'!S8</f>
        <v>322.62761990199056</v>
      </c>
      <c r="E8" s="55">
        <f>'Yearly Model'!T8</f>
        <v>306.28002848541723</v>
      </c>
      <c r="F8" s="55">
        <f>'Yearly Model'!U8</f>
        <v>293.27898194742033</v>
      </c>
      <c r="G8" s="55">
        <f>'Yearly Model'!V8</f>
        <v>283.2373608400567</v>
      </c>
      <c r="H8" s="55">
        <f>'Yearly Model'!W8</f>
        <v>275.86086139027884</v>
      </c>
      <c r="I8" s="55">
        <f>'Yearly Model'!X8</f>
        <v>270.9334153083296</v>
      </c>
      <c r="J8" s="55">
        <f>'Yearly Model'!Y8</f>
        <v>268.3065765808087</v>
      </c>
      <c r="K8" s="55">
        <f>'Yearly Model'!Z8</f>
        <v>267.89213801184246</v>
      </c>
      <c r="L8" s="55">
        <f>'Yearly Model'!AA8</f>
        <v>269.65746409041355</v>
      </c>
    </row>
    <row r="9">
      <c r="A9" s="14" t="inlineStr">
        <is>
          <t>Tax on operating income</t>
        </is>
      </c>
      <c r="C9" s="52">
        <f>MAX(0,C8)*Assumptions!$E$14</f>
        <v>58.27961526383875</v>
      </c>
      <c r="D9" s="52">
        <f>MAX(0,D8)*Assumptions!$E$14</f>
        <v>54.8466953833384</v>
      </c>
      <c r="E9" s="52">
        <f>MAX(0,E8)*Assumptions!$E$14</f>
        <v>52.067604842520936</v>
      </c>
      <c r="F9" s="52">
        <f>MAX(0,F8)*Assumptions!$E$14</f>
        <v>49.85742693106146</v>
      </c>
      <c r="G9" s="52">
        <f>MAX(0,G8)*Assumptions!$E$14</f>
        <v>48.15035134280964</v>
      </c>
      <c r="H9" s="52">
        <f>MAX(0,H8)*Assumptions!$E$14</f>
        <v>46.89634643634741</v>
      </c>
      <c r="I9" s="52">
        <f>MAX(0,I8)*Assumptions!$E$14</f>
        <v>46.05868060241603</v>
      </c>
      <c r="J9" s="52">
        <f>MAX(0,J8)*Assumptions!$E$14</f>
        <v>45.61211801873748</v>
      </c>
      <c r="K9" s="52">
        <f>MAX(0,K8)*Assumptions!$E$14</f>
        <v>45.54166346201322</v>
      </c>
      <c r="L9" s="52">
        <f>MAX(0,L8)*Assumptions!$E$14</f>
        <v>45.84176889537031</v>
      </c>
    </row>
    <row r="10">
      <c r="A10" s="14" t="inlineStr">
        <is>
          <t>NOPAT</t>
        </is>
      </c>
      <c r="C10" s="52">
        <f>C8-C9</f>
        <v>284.5416509940362</v>
      </c>
      <c r="D10" s="52">
        <f>D8-D9</f>
        <v>267.78092451865217</v>
      </c>
      <c r="E10" s="52">
        <f>E8-E9</f>
        <v>254.21242364289628</v>
      </c>
      <c r="F10" s="52">
        <f>F8-F9</f>
        <v>243.42155501635887</v>
      </c>
      <c r="G10" s="52">
        <f>G8-G9</f>
        <v>235.08700949724704</v>
      </c>
      <c r="H10" s="52">
        <f>H8-H9</f>
        <v>228.96451495393143</v>
      </c>
      <c r="I10" s="52">
        <f>I8-I9</f>
        <v>224.87473470591357</v>
      </c>
      <c r="J10" s="52">
        <f>J8-J9</f>
        <v>222.69445856207125</v>
      </c>
      <c r="K10" s="52">
        <f>K8-K9</f>
        <v>222.35047454982924</v>
      </c>
      <c r="L10" s="52">
        <f>L8-L9</f>
        <v>223.81569519504325</v>
      </c>
    </row>
    <row r="11">
      <c r="A11" s="14" t="inlineStr">
        <is>
          <t>Reinvestment</t>
        </is>
      </c>
      <c r="C11" s="52">
        <f>(C7-B7)*Assumptions!$E$15</f>
        <v>-19.37117437500001</v>
      </c>
      <c r="D11" s="52">
        <f>(D7-C7)*Assumptions!$E$15</f>
        <v>-15.343712485763888</v>
      </c>
      <c r="E11" s="52">
        <f>(E7-D7)*Assumptions!$E$15</f>
        <v>-11.791945171856355</v>
      </c>
      <c r="F11" s="52">
        <f>(F7-E7)*Assumptions!$E$15</f>
        <v>-8.599144479130132</v>
      </c>
      <c r="G11" s="52">
        <f>(G7-F7)*Assumptions!$E$15</f>
        <v>-5.6670750768711855</v>
      </c>
      <c r="H11" s="52">
        <f>(H7-G7)*Assumptions!$E$15</f>
        <v>-2.9107938183296937</v>
      </c>
      <c r="I11" s="52">
        <f>(I7-H7)*Assumptions!$E$15</f>
        <v>-0.25440908716086597</v>
      </c>
      <c r="J11" s="52">
        <f>(J7-I7)*Assumptions!$E$15</f>
        <v>2.372506076156924</v>
      </c>
      <c r="K11" s="52">
        <f>(K7-J7)*Assumptions!$E$15</f>
        <v>5.0380919703723634</v>
      </c>
      <c r="L11" s="52">
        <f>(L7-K7)*Assumptions!$E$15</f>
        <v>7.81117733881041</v>
      </c>
    </row>
    <row r="12">
      <c r="A12" s="20" t="inlineStr">
        <is>
          <t>Free cash flow</t>
        </is>
      </c>
      <c r="C12" s="64">
        <f>C10-C11</f>
        <v>303.9128253690362</v>
      </c>
      <c r="D12" s="64">
        <f>D10-D11</f>
        <v>283.12463700441606</v>
      </c>
      <c r="E12" s="64">
        <f>E10-E11</f>
        <v>266.00436881475264</v>
      </c>
      <c r="F12" s="64">
        <f>F10-F11</f>
        <v>252.020699495489</v>
      </c>
      <c r="G12" s="64">
        <f>G10-G11</f>
        <v>240.75408457411822</v>
      </c>
      <c r="H12" s="64">
        <f>H10-H11</f>
        <v>231.87530877226112</v>
      </c>
      <c r="I12" s="64">
        <f>I10-I11</f>
        <v>225.12914379307443</v>
      </c>
      <c r="J12" s="64">
        <f>J10-J11</f>
        <v>220.32195248591432</v>
      </c>
      <c r="K12" s="64">
        <f>K10-K11</f>
        <v>217.31238257945688</v>
      </c>
      <c r="L12" s="64">
        <f>L10-L11</f>
        <v>216.00451785623284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149.73778231771348</v>
      </c>
      <c r="D16" s="64">
        <f>D12*D13*D15</f>
        <v>258.46512140409703</v>
      </c>
      <c r="E16" s="64">
        <f>E12*E13*E15</f>
        <v>221.7680272661959</v>
      </c>
      <c r="F16" s="64">
        <f>F12*F13*F15</f>
        <v>191.88112550700646</v>
      </c>
      <c r="G16" s="64">
        <f>G12*G13*G15</f>
        <v>167.400052321821</v>
      </c>
      <c r="H16" s="64">
        <f>H12*H13*H15</f>
        <v>147.2388143179618</v>
      </c>
      <c r="I16" s="64">
        <f>I12*I13*I15</f>
        <v>130.5525643292249</v>
      </c>
      <c r="J16" s="64">
        <f>J12*J13*J15</f>
        <v>116.68024692065131</v>
      </c>
      <c r="K16" s="64">
        <f>K12*K13*K15</f>
        <v>105.10174388806189</v>
      </c>
      <c r="L16" s="64">
        <f>L12*L13*L15</f>
        <v>95.40566527842613</v>
      </c>
    </row>
    <row r="19">
      <c r="A19" s="14" t="inlineStr">
        <is>
          <t>PV of forecast free cash flow</t>
        </is>
      </c>
      <c r="B19" s="52">
        <f>SUM(C16:L16)</f>
        <v>1584.23114355116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221.40463080263862</v>
      </c>
    </row>
    <row r="21">
      <c r="A21" s="14" t="inlineStr">
        <is>
          <t>Terminal value</t>
        </is>
      </c>
      <c r="B21" s="52">
        <f>B20/(Assumptions!$E$10-Assumptions!$E$11)</f>
        <v>3162.9232971805513</v>
      </c>
    </row>
    <row r="22">
      <c r="A22" s="14" t="inlineStr">
        <is>
          <t>PV of terminal value</t>
        </is>
      </c>
      <c r="B22" s="52">
        <f>B21/(1+Assumptions!$E$10)^(L14+0.5)</f>
        <v>1335.0358561992018</v>
      </c>
    </row>
    <row r="23">
      <c r="A23" s="20" t="inlineStr">
        <is>
          <t>Enterprise value</t>
        </is>
      </c>
      <c r="B23" s="66">
        <f>B19+B22</f>
        <v>2919.2669997503617</v>
      </c>
    </row>
    <row r="24">
      <c r="A24" s="14" t="inlineStr">
        <is>
          <t>Cash &amp; investments</t>
        </is>
      </c>
      <c r="B24" s="55">
        <f>Main!C7</f>
        <v>656.577</v>
      </c>
    </row>
    <row r="25">
      <c r="A25" s="14" t="inlineStr">
        <is>
          <t>Debt</t>
        </is>
      </c>
      <c r="B25" s="55">
        <f>Main!C8</f>
        <v>1503.111</v>
      </c>
    </row>
    <row r="26">
      <c r="A26" s="20" t="inlineStr">
        <is>
          <t>Equity value</t>
        </is>
      </c>
      <c r="B26" s="66">
        <f>B23+B24-B25</f>
        <v>2072.732999750362</v>
      </c>
    </row>
    <row r="27">
      <c r="A27" s="14" t="inlineStr">
        <is>
          <t>Shares (mm)</t>
        </is>
      </c>
      <c r="B27" s="55">
        <f>Main!C4</f>
        <v>167.763272</v>
      </c>
    </row>
    <row r="28">
      <c r="A28" s="20" t="inlineStr">
        <is>
          <t>NPV / share</t>
        </is>
      </c>
      <c r="B28" s="49">
        <f>B26/B27</f>
        <v>12.355105948043038</v>
      </c>
    </row>
    <row r="29">
      <c r="A29" s="14" t="inlineStr">
        <is>
          <t>Price</t>
        </is>
      </c>
      <c r="B29" s="50">
        <f>Main!C3</f>
        <v>44.11</v>
      </c>
    </row>
    <row r="30">
      <c r="A30" s="14" t="inlineStr">
        <is>
          <t>Upside</t>
        </is>
      </c>
      <c r="B30" s="63">
        <f>B28/B29-1</f>
        <v>-0.7199023815905001</v>
      </c>
    </row>
    <row r="31">
      <c r="A31" s="14" t="inlineStr">
        <is>
          <t>Terminal value, % of EV</t>
        </is>
      </c>
      <c r="B31" s="63">
        <f>IFERROR(B22/B23,0)</f>
        <v>0.4573188599444196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2026-10-21T01:04:00Z</dcterms:modified>
  <cp:lastModifiedBy>Wang, Eric</cp:lastModifiedBy>
</cp:coreProperties>
</file>