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AIM ImmunoTech Inc</t>
        </is>
      </c>
      <c r="C2" s="10" t="n"/>
    </row>
    <row r="3">
      <c r="B3" t="inlineStr">
        <is>
          <t>Price</t>
        </is>
      </c>
      <c r="C3" s="11">
        <f>INDEX([1]Pharma!$F$1:$F$1000,MATCH("AIM",[1]Pharma!$B$1:$B$1000,0))</f>
        <v>0.1679</v>
      </c>
      <c r="F3" s="1" t="n"/>
    </row>
    <row r="4">
      <c r="B4" t="inlineStr">
        <is>
          <t>Shares</t>
        </is>
      </c>
      <c r="C4" s="21" t="n">
        <v>30.442139</v>
      </c>
      <c r="F4" s="1" t="n"/>
    </row>
    <row r="5">
      <c r="B5" t="inlineStr">
        <is>
          <t>Market Cap.</t>
        </is>
      </c>
      <c r="C5" s="13">
        <f>C3*C4</f>
        <v>5.1112351381</v>
      </c>
      <c r="F5" s="1" t="n"/>
    </row>
    <row r="6"/>
    <row r="7">
      <c r="B7" t="inlineStr">
        <is>
          <t>Cash</t>
        </is>
      </c>
      <c r="C7" s="21">
        <f>9.9+0.064</f>
        <v>9.964</v>
      </c>
    </row>
    <row r="8">
      <c r="B8" t="inlineStr">
        <is>
          <t>Debt</t>
        </is>
      </c>
      <c r="C8" s="21" t="n">
        <v>3.621</v>
      </c>
    </row>
    <row r="9">
      <c r="B9" t="inlineStr">
        <is>
          <t>Enterprise V.</t>
        </is>
      </c>
      <c r="C9" s="13">
        <f>C5-C7+C8</f>
        <v>-1.2317648619000008</v>
      </c>
    </row>
    <row r="10"/>
    <row r="11">
      <c r="B11" s="14" t="inlineStr">
        <is>
          <t>Net Cash / Share</t>
        </is>
      </c>
      <c r="C11" s="11">
        <f>(C7-C8)/C4</f>
        <v>0.20836249384446998</v>
      </c>
    </row>
    <row r="12">
      <c r="B12" s="14" t="inlineStr">
        <is>
          <t>Upside</t>
        </is>
      </c>
      <c r="C12" s="15">
        <f>IFERROR(C11/C3-1,"")</f>
        <v>0.24099162504151272</v>
      </c>
    </row>
    <row r="13">
      <c r="B13" s="14" t="inlineStr">
        <is>
          <t>Cash / Share</t>
        </is>
      </c>
      <c r="C13" s="11">
        <f>IFERROR((C7-C8)/C4,"")</f>
        <v>0.20836249384446998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-14.374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0.4412828718519549</v>
      </c>
    </row>
    <row r="19">
      <c r="B19" s="14" t="inlineStr">
        <is>
          <t>Implied Pipeline Value</t>
        </is>
      </c>
      <c r="C19" s="13">
        <f>C9</f>
        <v>-1.2317648619000008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2009</v>
      </c>
      <c r="C1" s="17" t="n">
        <v>2010</v>
      </c>
      <c r="D1" s="17" t="n">
        <v>2011</v>
      </c>
      <c r="E1" s="17" t="n">
        <v>2012</v>
      </c>
      <c r="F1" s="17" t="n">
        <v>2013</v>
      </c>
      <c r="G1" s="17" t="n">
        <v>2014</v>
      </c>
      <c r="H1" s="17" t="n">
        <v>2015</v>
      </c>
      <c r="I1" s="17" t="n">
        <v>2016</v>
      </c>
      <c r="J1" s="17" t="n">
        <v>2017</v>
      </c>
      <c r="K1" s="17" t="n">
        <v>2018</v>
      </c>
      <c r="L1" s="17" t="n">
        <v>2019</v>
      </c>
      <c r="M1" s="17" t="n">
        <v>2020</v>
      </c>
      <c r="N1" s="17" t="n">
        <v>2021</v>
      </c>
      <c r="O1" s="17" t="n">
        <v>2022</v>
      </c>
      <c r="P1" s="17" t="n">
        <v>2023</v>
      </c>
      <c r="Q1" s="17" t="n">
        <v>2024</v>
      </c>
      <c r="R1" s="17" t="n">
        <v>2025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0.111</v>
      </c>
      <c r="C2" s="23" t="n">
        <v>0.135</v>
      </c>
      <c r="D2" s="23" t="n">
        <v>0.161</v>
      </c>
      <c r="E2" s="23" t="n">
        <v>0.213</v>
      </c>
      <c r="F2" s="23" t="n">
        <v>0.15</v>
      </c>
      <c r="G2" s="23" t="n">
        <v>0.197</v>
      </c>
      <c r="H2" s="23" t="n">
        <v>0.133</v>
      </c>
      <c r="I2" s="23" t="n">
        <v>0.092</v>
      </c>
      <c r="J2" s="23" t="n">
        <v>0.437</v>
      </c>
      <c r="K2" s="23" t="n">
        <v>0.367</v>
      </c>
      <c r="L2" s="23" t="n">
        <v>0.14</v>
      </c>
      <c r="M2" s="23" t="n">
        <v>0.163</v>
      </c>
      <c r="N2" s="23" t="n">
        <v>0.135</v>
      </c>
      <c r="O2" s="23" t="n">
        <v>0.141</v>
      </c>
      <c r="P2" s="23" t="n">
        <v>0.202</v>
      </c>
      <c r="Q2" s="23" t="n">
        <v>0.17</v>
      </c>
      <c r="R2" s="23" t="n">
        <v>0.08799999999999999</v>
      </c>
    </row>
    <row r="3" customFormat="1" s="1">
      <c r="A3" s="5" t="inlineStr">
        <is>
          <t>Cost of Sales</t>
        </is>
      </c>
      <c r="B3" s="23" t="n">
        <v>0.584</v>
      </c>
      <c r="C3" s="23" t="n">
        <v>1.341</v>
      </c>
      <c r="D3" s="23" t="n">
        <v>1.043</v>
      </c>
      <c r="E3" s="23" t="n">
        <v>1.989</v>
      </c>
      <c r="F3" s="23" t="n">
        <v>1.234</v>
      </c>
      <c r="G3" s="23" t="n">
        <v>1.251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</row>
    <row r="4" customFormat="1" s="1">
      <c r="A4" s="5" t="inlineStr">
        <is>
          <t>Gross Margin</t>
        </is>
      </c>
      <c r="B4" s="23">
        <f>B2-B3</f>
        <v>-0.473</v>
      </c>
      <c r="C4" s="23">
        <f>C2-C3</f>
        <v>-1.206</v>
      </c>
      <c r="D4" s="23">
        <f>D2-D3</f>
        <v>-0.8819999999999999</v>
      </c>
      <c r="E4" s="23">
        <f>E2-E3</f>
        <v>-1.776</v>
      </c>
      <c r="F4" s="23">
        <f>F2-F3</f>
        <v>-1.084</v>
      </c>
      <c r="G4" s="23">
        <f>G2-G3</f>
        <v>-1.0539999999999998</v>
      </c>
      <c r="H4" s="23">
        <f>H2-H3</f>
        <v>0.133</v>
      </c>
      <c r="I4" s="23">
        <f>I2-I3</f>
        <v>0.092</v>
      </c>
      <c r="J4" s="23">
        <f>J2-J3</f>
        <v>0.437</v>
      </c>
      <c r="K4" s="23">
        <f>K2-K3</f>
        <v>0.367</v>
      </c>
      <c r="L4" s="23">
        <f>L2-L3</f>
        <v>0.14</v>
      </c>
      <c r="M4" s="23">
        <f>M2-M3</f>
        <v>0.163</v>
      </c>
      <c r="N4" s="23">
        <f>N2-N3</f>
        <v>0.135</v>
      </c>
      <c r="O4" s="23">
        <f>O2-O3</f>
        <v>0.141</v>
      </c>
      <c r="P4" s="23">
        <f>P2-P3</f>
        <v>0.202</v>
      </c>
      <c r="Q4" s="23">
        <f>Q2-Q3</f>
        <v>0.17</v>
      </c>
      <c r="R4" s="23">
        <f>R2-R3</f>
        <v>0.088</v>
      </c>
    </row>
    <row r="5">
      <c r="A5" s="2" t="inlineStr">
        <is>
          <t>Research &amp; Dev.</t>
        </is>
      </c>
      <c r="B5" s="23" t="n">
        <v>6.995</v>
      </c>
      <c r="C5" s="23" t="n">
        <v>7.613</v>
      </c>
      <c r="D5" s="23" t="n">
        <v>6.722</v>
      </c>
      <c r="E5" s="23" t="n">
        <v>9.507999999999999</v>
      </c>
      <c r="F5" s="23" t="n">
        <v>8.359999999999999</v>
      </c>
      <c r="G5" s="23" t="n">
        <v>8.988</v>
      </c>
      <c r="H5" s="23" t="n">
        <v>8.038</v>
      </c>
      <c r="I5" s="23" t="n">
        <v>5.107</v>
      </c>
      <c r="J5" s="23" t="n">
        <v>4.098</v>
      </c>
      <c r="K5" s="23" t="n">
        <v>4.778</v>
      </c>
      <c r="L5" s="23" t="n">
        <v>4.651</v>
      </c>
      <c r="M5" s="23" t="n">
        <v>5.72</v>
      </c>
      <c r="N5" s="23" t="n">
        <v>7.672</v>
      </c>
      <c r="O5" s="23" t="n">
        <v>6.99</v>
      </c>
      <c r="P5" s="23" t="n">
        <v>10.939</v>
      </c>
      <c r="Q5" s="23" t="n">
        <v>6.197</v>
      </c>
      <c r="R5" s="23" t="n">
        <v>3.924</v>
      </c>
    </row>
    <row r="6">
      <c r="A6" s="19" t="inlineStr">
        <is>
          <t>SG&amp;A &amp; Other</t>
        </is>
      </c>
      <c r="B6" s="23" t="n">
        <v>5.796</v>
      </c>
      <c r="C6" s="23" t="n">
        <v>7.568</v>
      </c>
      <c r="D6" s="23" t="n">
        <v>6.691</v>
      </c>
      <c r="E6" s="23" t="n">
        <v>9.055999999999999</v>
      </c>
      <c r="F6" s="23" t="n">
        <v>7.723</v>
      </c>
      <c r="G6" s="23" t="n">
        <v>9.057</v>
      </c>
      <c r="H6" s="23" t="n">
        <v>8.744999999999999</v>
      </c>
      <c r="I6" s="23" t="n">
        <v>8.789</v>
      </c>
      <c r="J6" s="23" t="n">
        <v>7.755</v>
      </c>
      <c r="K6" s="23" t="n">
        <v>7.085</v>
      </c>
      <c r="L6" s="23" t="n">
        <v>7.932</v>
      </c>
      <c r="M6" s="23" t="n">
        <v>9.595000000000001</v>
      </c>
      <c r="N6" s="23" t="n">
        <v>11.301</v>
      </c>
      <c r="O6" s="23" t="n">
        <v>13.074</v>
      </c>
      <c r="P6" s="23" t="n">
        <v>21.179</v>
      </c>
      <c r="Q6" s="23" t="n">
        <v>13.745</v>
      </c>
      <c r="R6" s="23" t="n">
        <v>7.828</v>
      </c>
    </row>
    <row r="7">
      <c r="A7" s="2" t="inlineStr">
        <is>
          <t>Operating Expense</t>
        </is>
      </c>
      <c r="B7" s="23">
        <f>SUM(B5:B6)</f>
        <v>12.791</v>
      </c>
      <c r="C7" s="23">
        <f>SUM(C5:C6)</f>
        <v>15.181000000000001</v>
      </c>
      <c r="D7" s="23">
        <f>SUM(D5:D6)</f>
        <v>13.413</v>
      </c>
      <c r="E7" s="23">
        <f>SUM(E5:E6)</f>
        <v>18.564</v>
      </c>
      <c r="F7" s="23">
        <f>SUM(F5:F6)</f>
        <v>16.083</v>
      </c>
      <c r="G7" s="23">
        <f>SUM(G5:G6)</f>
        <v>18.045</v>
      </c>
      <c r="H7" s="23">
        <f>SUM(H5:H6)</f>
        <v>16.783</v>
      </c>
      <c r="I7" s="23">
        <f>SUM(I5:I6)</f>
        <v>13.896</v>
      </c>
      <c r="J7" s="23">
        <f>SUM(J5:J6)</f>
        <v>11.853</v>
      </c>
      <c r="K7" s="23">
        <f>SUM(K5:K6)</f>
        <v>11.863</v>
      </c>
      <c r="L7" s="23">
        <f>SUM(L5:L6)</f>
        <v>12.583</v>
      </c>
      <c r="M7" s="23">
        <f>SUM(M5:M6)</f>
        <v>15.315000000000001</v>
      </c>
      <c r="N7" s="23">
        <f>SUM(N5:N6)</f>
        <v>18.973</v>
      </c>
      <c r="O7" s="23">
        <f>SUM(O5:O6)</f>
        <v>20.064</v>
      </c>
      <c r="P7" s="23">
        <f>SUM(P5:P6)</f>
        <v>32.117999999999995</v>
      </c>
      <c r="Q7" s="23">
        <f>SUM(Q5:Q6)</f>
        <v>19.942</v>
      </c>
      <c r="R7" s="23">
        <f>SUM(R5:R6)</f>
        <v>11.752</v>
      </c>
    </row>
    <row r="8">
      <c r="A8" s="2" t="inlineStr">
        <is>
          <t>Operating Income</t>
        </is>
      </c>
      <c r="B8" s="23">
        <f>B4-B7</f>
        <v>-13.264000000000001</v>
      </c>
      <c r="C8" s="23">
        <f>C4-C7</f>
        <v>-16.387</v>
      </c>
      <c r="D8" s="23">
        <f>D4-D7</f>
        <v>-14.295</v>
      </c>
      <c r="E8" s="23">
        <f>E4-E7</f>
        <v>-20.34</v>
      </c>
      <c r="F8" s="23">
        <f>F4-F7</f>
        <v>-17.166999999999998</v>
      </c>
      <c r="G8" s="23">
        <f>G4-G7</f>
        <v>-19.099</v>
      </c>
      <c r="H8" s="23">
        <f>H4-H7</f>
        <v>-16.650000000000002</v>
      </c>
      <c r="I8" s="23">
        <f>I4-I7</f>
        <v>-13.804</v>
      </c>
      <c r="J8" s="23">
        <f>J4-J7</f>
        <v>-11.416</v>
      </c>
      <c r="K8" s="23">
        <f>K4-K7</f>
        <v>-11.495999999999999</v>
      </c>
      <c r="L8" s="23">
        <f>L4-L7</f>
        <v>-12.443</v>
      </c>
      <c r="M8" s="23">
        <f>M4-M7</f>
        <v>-15.152000000000001</v>
      </c>
      <c r="N8" s="23">
        <f>N4-N7</f>
        <v>-18.837999999999997</v>
      </c>
      <c r="O8" s="23">
        <f>O4-O7</f>
        <v>-19.923000000000002</v>
      </c>
      <c r="P8" s="23">
        <f>P4-P7</f>
        <v>-31.915999999999993</v>
      </c>
      <c r="Q8" s="23">
        <f>Q4-Q7</f>
        <v>-19.772</v>
      </c>
      <c r="R8" s="23">
        <f>R4-R7</f>
        <v>-11.664000000000001</v>
      </c>
    </row>
    <row r="9">
      <c r="A9" s="19" t="inlineStr">
        <is>
          <t>Interest &amp; Other</t>
        </is>
      </c>
      <c r="B9" s="23" t="n">
        <v>6.084</v>
      </c>
      <c r="C9" s="23" t="n">
        <v>3.251</v>
      </c>
      <c r="D9" s="23" t="n">
        <v>5.28</v>
      </c>
      <c r="E9" s="23" t="n">
        <v>2.986</v>
      </c>
      <c r="F9" s="23" t="n">
        <v>0.9419999999999999</v>
      </c>
      <c r="G9" s="23" t="n">
        <v>1.649</v>
      </c>
      <c r="H9" s="23" t="n">
        <v>1.42</v>
      </c>
      <c r="I9" s="23" t="n">
        <v>6.302</v>
      </c>
      <c r="J9" s="23" t="n">
        <v>3.157</v>
      </c>
      <c r="K9" s="23" t="n">
        <v>1.669</v>
      </c>
      <c r="L9" s="23" t="n">
        <v>3.039</v>
      </c>
      <c r="M9" s="23" t="n">
        <v>0.752</v>
      </c>
      <c r="N9" s="23" t="n">
        <v>-0.289</v>
      </c>
      <c r="O9" s="23" t="n">
        <v>0.478</v>
      </c>
      <c r="P9" s="23" t="n">
        <v>2.954</v>
      </c>
      <c r="Q9" s="23" t="n">
        <v>2.452</v>
      </c>
      <c r="R9" s="23" t="n">
        <v>-2.294</v>
      </c>
    </row>
    <row r="10">
      <c r="A10" s="2" t="inlineStr">
        <is>
          <t>Pretax</t>
        </is>
      </c>
      <c r="B10" s="23">
        <f>B8+B9</f>
        <v>-7.1800000000000015</v>
      </c>
      <c r="C10" s="23">
        <f>C8+C9</f>
        <v>-13.136000000000001</v>
      </c>
      <c r="D10" s="23">
        <f>D8+D9</f>
        <v>-9.015</v>
      </c>
      <c r="E10" s="23">
        <f>E8+E9</f>
        <v>-17.354</v>
      </c>
      <c r="F10" s="23">
        <f>F8+F9</f>
        <v>-16.224999999999998</v>
      </c>
      <c r="G10" s="23">
        <f>G8+G9</f>
        <v>-17.45</v>
      </c>
      <c r="H10" s="23">
        <f>H8+H9</f>
        <v>-15.230000000000002</v>
      </c>
      <c r="I10" s="23">
        <f>I8+I9</f>
        <v>-7.502000000000001</v>
      </c>
      <c r="J10" s="23">
        <f>J8+J9</f>
        <v>-8.259</v>
      </c>
      <c r="K10" s="23">
        <f>K8+K9</f>
        <v>-9.826999999999998</v>
      </c>
      <c r="L10" s="23">
        <f>L8+L9</f>
        <v>-9.404</v>
      </c>
      <c r="M10" s="23">
        <f>M8+M9</f>
        <v>-14.4</v>
      </c>
      <c r="N10" s="23">
        <f>N8+N9</f>
        <v>-19.127</v>
      </c>
      <c r="O10" s="23">
        <f>O8+O9</f>
        <v>-19.445</v>
      </c>
      <c r="P10" s="23">
        <f>P8+P9</f>
        <v>-28.961999999999993</v>
      </c>
      <c r="Q10" s="23">
        <f>Q8+Q9</f>
        <v>-17.32</v>
      </c>
      <c r="R10" s="23">
        <f>R8+R9</f>
        <v>-13.958000000000002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</row>
    <row r="12">
      <c r="A12" s="2" t="inlineStr">
        <is>
          <t>Net Income</t>
        </is>
      </c>
      <c r="B12" s="23" t="n">
        <v>-7.18</v>
      </c>
      <c r="C12" s="23" t="n">
        <v>-13.136</v>
      </c>
      <c r="D12" s="23" t="n">
        <v>-9.015000000000001</v>
      </c>
      <c r="E12" s="23" t="n">
        <v>-17.354</v>
      </c>
      <c r="F12" s="23" t="n">
        <v>-16.225</v>
      </c>
      <c r="G12" s="23" t="n">
        <v>-17.45</v>
      </c>
      <c r="H12" s="23" t="n">
        <v>-15.23</v>
      </c>
      <c r="I12" s="23" t="n">
        <v>-7.502</v>
      </c>
      <c r="J12" s="23" t="n">
        <v>-8.259</v>
      </c>
      <c r="K12" s="23" t="n">
        <v>-9.827</v>
      </c>
      <c r="L12" s="23" t="n">
        <v>-9.404</v>
      </c>
      <c r="M12" s="23" t="n">
        <v>-14.4</v>
      </c>
      <c r="N12" s="23" t="n">
        <v>-19.127</v>
      </c>
      <c r="O12" s="23" t="n">
        <v>-19.445</v>
      </c>
      <c r="P12" s="23" t="n">
        <v>-28.962</v>
      </c>
      <c r="Q12" s="23" t="n">
        <v>-17.32</v>
      </c>
      <c r="R12" s="23" t="n">
        <v>-13.958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-247.8490566037736</v>
      </c>
      <c r="D13" s="11">
        <f>IFERROR(D12/D14,0)</f>
        <v>-166.94444444444446</v>
      </c>
      <c r="E13" s="11">
        <f>IFERROR(E12/E14,0)</f>
        <v>-309.8928571428571</v>
      </c>
      <c r="F13" s="11">
        <f>IFERROR(F12/F14,0)</f>
        <v>-245.83333333333334</v>
      </c>
      <c r="G13" s="11">
        <f>IFERROR(G12/G14,0)</f>
        <v>-2908.333333333333</v>
      </c>
      <c r="H13" s="11">
        <f>IFERROR(H12/H14,0)</f>
        <v>-1903.75</v>
      </c>
      <c r="I13" s="11">
        <f>IFERROR(I12/I14,0)</f>
        <v>-833.5555555555555</v>
      </c>
      <c r="J13" s="11">
        <f>IFERROR(J12/J14,0)</f>
        <v>-750.8181818181819</v>
      </c>
      <c r="K13" s="11">
        <f>IFERROR(K12/K14,0)</f>
        <v>-818.9166666666666</v>
      </c>
      <c r="L13" s="11">
        <f>IFERROR(L12/L14,0)</f>
        <v>-223.9047619047619</v>
      </c>
      <c r="M13" s="11">
        <f>IFERROR(M12/M14,0)</f>
        <v>-39.34426229508197</v>
      </c>
      <c r="N13" s="11">
        <f>IFERROR(N12/N14,0)</f>
        <v>-35.15992647058823</v>
      </c>
      <c r="O13" s="11">
        <f>IFERROR(O12/O14,0)</f>
        <v>-35.22644927536231</v>
      </c>
      <c r="P13" s="11">
        <f>IFERROR(P12/P14,0)</f>
        <v>-51.90322580645161</v>
      </c>
      <c r="Q13" s="11">
        <f>IFERROR(Q12/Q14,0)</f>
        <v>-30.928571428571427</v>
      </c>
      <c r="R13" s="11">
        <f>IFERROR(R12/R14,0)</f>
        <v>-8.621371216800494</v>
      </c>
    </row>
    <row r="14">
      <c r="A14" s="2" t="inlineStr">
        <is>
          <t>Shares</t>
        </is>
      </c>
      <c r="B14" s="23" t="n"/>
      <c r="C14" s="23" t="n">
        <v>0.053</v>
      </c>
      <c r="D14" s="23" t="n">
        <v>0.054</v>
      </c>
      <c r="E14" s="23" t="n">
        <v>0.056</v>
      </c>
      <c r="F14" s="23" t="n">
        <v>0.066</v>
      </c>
      <c r="G14" s="23" t="n">
        <v>0.006</v>
      </c>
      <c r="H14" s="23" t="n">
        <v>0.008</v>
      </c>
      <c r="I14" s="23" t="n">
        <v>0.008999999999999999</v>
      </c>
      <c r="J14" s="23" t="n">
        <v>0.011</v>
      </c>
      <c r="K14" s="23" t="n">
        <v>0.012</v>
      </c>
      <c r="L14" s="23" t="n">
        <v>0.042</v>
      </c>
      <c r="M14" s="23" t="n">
        <v>0.366</v>
      </c>
      <c r="N14" s="23" t="n">
        <v>0.544</v>
      </c>
      <c r="O14" s="23" t="n">
        <v>0.552</v>
      </c>
      <c r="P14" s="23" t="n">
        <v>0.5580000000000001</v>
      </c>
      <c r="Q14" s="23" t="n">
        <v>0.5600000000000001</v>
      </c>
      <c r="R14" s="23" t="n">
        <v>1.619</v>
      </c>
    </row>
    <row r="15"/>
    <row r="16" customFormat="1" s="4">
      <c r="A16" s="3" t="inlineStr">
        <is>
          <t>Revenue Change</t>
        </is>
      </c>
      <c r="C16" s="15">
        <f>IFERROR(C2/B2-1,"")</f>
        <v>0.21621621621621623</v>
      </c>
      <c r="D16" s="15">
        <f>IFERROR(D2/C2-1,"")</f>
        <v>0.19259259259259265</v>
      </c>
      <c r="E16" s="15">
        <f>IFERROR(E2/D2-1,"")</f>
        <v>0.3229813664596273</v>
      </c>
      <c r="F16" s="15">
        <f>IFERROR(F2/E2-1,"")</f>
        <v>-0.295774647887324</v>
      </c>
      <c r="G16" s="15">
        <f>IFERROR(G2/F2-1,"")</f>
        <v>0.31333333333333346</v>
      </c>
      <c r="H16" s="15">
        <f>IFERROR(H2/G2-1,"")</f>
        <v>-0.3248730964467005</v>
      </c>
      <c r="I16" s="15">
        <f>IFERROR(I2/H2-1,"")</f>
        <v>-0.30827067669172936</v>
      </c>
      <c r="J16" s="15">
        <f>IFERROR(J2/I2-1,"")</f>
        <v>3.75</v>
      </c>
      <c r="K16" s="15">
        <f>IFERROR(K2/J2-1,"")</f>
        <v>-0.1601830663615561</v>
      </c>
      <c r="L16" s="15">
        <f>IFERROR(L2/K2-1,"")</f>
        <v>-0.6185286103542234</v>
      </c>
      <c r="M16" s="15">
        <f>IFERROR(M2/L2-1,"")</f>
        <v>0.16428571428571415</v>
      </c>
      <c r="N16" s="15">
        <f>IFERROR(N2/M2-1,"")</f>
        <v>-0.17177914110429449</v>
      </c>
      <c r="O16" s="15">
        <f>IFERROR(O2/N2-1,"")</f>
        <v>0.04444444444444429</v>
      </c>
      <c r="P16" s="15">
        <f>IFERROR(P2/O2-1,"")</f>
        <v>0.4326241134751776</v>
      </c>
      <c r="Q16" s="15">
        <f>IFERROR(Q2/P2-1,"")</f>
        <v>-0.15841584158415845</v>
      </c>
      <c r="R16" s="15">
        <f>IFERROR(R2/Q2-1,"")</f>
        <v>-0.48235294117647065</v>
      </c>
    </row>
    <row r="17" customFormat="1" s="4">
      <c r="A17" s="3" t="inlineStr">
        <is>
          <t>Gross Margin</t>
        </is>
      </c>
      <c r="B17" s="15">
        <f>IFERROR(B4/B2,"")</f>
        <v>-4.261261261261261</v>
      </c>
      <c r="C17" s="15">
        <f>IFERROR(C4/C2,"")</f>
        <v>-8.933333333333332</v>
      </c>
      <c r="D17" s="15">
        <f>IFERROR(D4/D2,"")</f>
        <v>-5.478260869565217</v>
      </c>
      <c r="E17" s="15">
        <f>IFERROR(E4/E2,"")</f>
        <v>-8.338028169014084</v>
      </c>
      <c r="F17" s="15">
        <f>IFERROR(F4/F2,"")</f>
        <v>-7.2266666666666675</v>
      </c>
      <c r="G17" s="15">
        <f>IFERROR(G4/G2,"")</f>
        <v>-5.350253807106598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</row>
    <row r="18">
      <c r="A18" s="14" t="inlineStr">
        <is>
          <t>Operating Margin</t>
        </is>
      </c>
      <c r="B18" s="15">
        <f>IFERROR(B8/B2,"")</f>
        <v>-119.4954954954955</v>
      </c>
      <c r="C18" s="15">
        <f>IFERROR(C8/C2,"")</f>
        <v>-121.38518518518518</v>
      </c>
      <c r="D18" s="15">
        <f>IFERROR(D8/D2,"")</f>
        <v>-88.7888198757764</v>
      </c>
      <c r="E18" s="15">
        <f>IFERROR(E8/E2,"")</f>
        <v>-95.49295774647888</v>
      </c>
      <c r="F18" s="15">
        <f>IFERROR(F8/F2,"")</f>
        <v>-114.44666666666666</v>
      </c>
      <c r="G18" s="15">
        <f>IFERROR(G8/G2,"")</f>
        <v>-96.9492385786802</v>
      </c>
      <c r="H18" s="15">
        <f>IFERROR(H8/H2,"")</f>
        <v>-125.18796992481204</v>
      </c>
      <c r="I18" s="15">
        <f>IFERROR(I8/I2,"")</f>
        <v>-150.04347826086956</v>
      </c>
      <c r="J18" s="15">
        <f>IFERROR(J8/J2,"")</f>
        <v>-26.123569794050344</v>
      </c>
      <c r="K18" s="15">
        <f>IFERROR(K8/K2,"")</f>
        <v>-31.324250681198908</v>
      </c>
      <c r="L18" s="15">
        <f>IFERROR(L8/L2,"")</f>
        <v>-88.87857142857142</v>
      </c>
      <c r="M18" s="15">
        <f>IFERROR(M8/M2,"")</f>
        <v>-92.95705521472392</v>
      </c>
      <c r="N18" s="15">
        <f>IFERROR(N8/N2,"")</f>
        <v>-139.54074074074072</v>
      </c>
      <c r="O18" s="15">
        <f>IFERROR(O8/O2,"")</f>
        <v>-141.29787234042556</v>
      </c>
      <c r="P18" s="15">
        <f>IFERROR(P8/P2,"")</f>
        <v>-157.99999999999994</v>
      </c>
      <c r="Q18" s="15">
        <f>IFERROR(Q8/Q2,"")</f>
        <v>-116.30588235294115</v>
      </c>
      <c r="R18" s="15">
        <f>IFERROR(R8/R2,"")</f>
        <v>-132.54545454545456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2026-10-21T06:31:26Z</dcterms:modified>
  <cp:lastModifiedBy>Wang, Eric</cp:lastModifiedBy>
</cp:coreProperties>
</file>