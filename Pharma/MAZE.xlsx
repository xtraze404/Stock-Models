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Maze Therapeutics, Inc.</t>
        </is>
      </c>
      <c r="C2" s="10" t="n"/>
    </row>
    <row r="3">
      <c r="B3" t="inlineStr">
        <is>
          <t>Price</t>
        </is>
      </c>
      <c r="C3" s="11">
        <f>INDEX([1]Pharma!$F$1:$F$1000,MATCH("MAZE",[1]Pharma!$B$1:$B$1000,0))</f>
        <v>32.45</v>
      </c>
      <c r="F3" s="1" t="n"/>
    </row>
    <row r="4">
      <c r="B4" t="inlineStr">
        <is>
          <t>Shares</t>
        </is>
      </c>
      <c r="C4" s="21" t="n">
        <v>55.549168</v>
      </c>
      <c r="F4" s="1" t="n"/>
    </row>
    <row r="5">
      <c r="B5" t="inlineStr">
        <is>
          <t>Market Cap.</t>
        </is>
      </c>
      <c r="C5" s="13">
        <f>C3*C4</f>
        <v>1802.5705016000002</v>
      </c>
      <c r="F5" s="1" t="n"/>
    </row>
    <row r="6"/>
    <row r="7">
      <c r="B7" t="inlineStr">
        <is>
          <t>Cash</t>
        </is>
      </c>
      <c r="C7" s="21">
        <f>202.643+208.444</f>
        <v>411.087</v>
      </c>
    </row>
    <row r="8">
      <c r="B8" t="inlineStr">
        <is>
          <t>Debt</t>
        </is>
      </c>
      <c r="C8" s="21" t="n">
        <v>38.96</v>
      </c>
    </row>
    <row r="9">
      <c r="B9" t="inlineStr">
        <is>
          <t>Enterprise V.</t>
        </is>
      </c>
      <c r="C9" s="13">
        <f>C5-C7+C8</f>
        <v>1430.4435016000002</v>
      </c>
    </row>
    <row r="10"/>
    <row r="11">
      <c r="B11" s="14" t="inlineStr">
        <is>
          <t>Net Cash / Share</t>
        </is>
      </c>
      <c r="C11" s="11">
        <f>(C7-C8)/C4</f>
        <v>6.699056230689179</v>
      </c>
    </row>
    <row r="12">
      <c r="B12" s="14" t="inlineStr">
        <is>
          <t>Upside</t>
        </is>
      </c>
      <c r="C12" s="15">
        <f>IFERROR(C11/C3-1,"")</f>
        <v>-0.7935575891929375</v>
      </c>
    </row>
    <row r="13">
      <c r="B13" s="14" t="inlineStr">
        <is>
          <t>Cash / Share</t>
        </is>
      </c>
      <c r="C13" s="11">
        <f>IFERROR((C7-C8)/C4,"")</f>
        <v>6.699056230689179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-106.538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3.4929039403780813</v>
      </c>
    </row>
    <row r="19">
      <c r="B19" s="14" t="inlineStr">
        <is>
          <t>Implied Pipeline Value</t>
        </is>
      </c>
      <c r="C19" s="13">
        <f>C9</f>
        <v>1430.4435016000002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167.5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167.5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83.496</v>
      </c>
      <c r="C5" s="23" t="n">
        <v>108.448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26.418</v>
      </c>
      <c r="C6" s="23" t="n">
        <v>34.451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109.91399999999999</v>
      </c>
      <c r="C7" s="23">
        <f>SUM(C5:C6)</f>
        <v>142.899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57.58600000000001</v>
      </c>
      <c r="C8" s="23">
        <f>C4-C7</f>
        <v>-142.899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-4.183</v>
      </c>
      <c r="C9" s="23" t="n">
        <v>11.779</v>
      </c>
    </row>
    <row r="10">
      <c r="A10" s="2" t="inlineStr">
        <is>
          <t>Pretax</t>
        </is>
      </c>
      <c r="B10" s="23">
        <f>B8+B9</f>
        <v>53.40300000000001</v>
      </c>
      <c r="C10" s="23">
        <f>C8+C9</f>
        <v>-131.12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1.172</v>
      </c>
      <c r="C11" s="23" t="n">
        <v>0</v>
      </c>
    </row>
    <row r="12">
      <c r="A12" s="2" t="inlineStr">
        <is>
          <t>Net Income</t>
        </is>
      </c>
      <c r="B12" s="23" t="n">
        <v>52.231</v>
      </c>
      <c r="C12" s="23" t="n">
        <v>-131.12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1.1956277898592194</v>
      </c>
      <c r="C13" s="11">
        <f>IFERROR(C12/C14,0)</f>
        <v>-3.051005212211467</v>
      </c>
    </row>
    <row r="14">
      <c r="A14" s="2" t="inlineStr">
        <is>
          <t>Shares</t>
        </is>
      </c>
      <c r="B14" s="23" t="n">
        <v>43.685</v>
      </c>
      <c r="C14" s="23" t="n">
        <v>42.976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0.34379701492537323</v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2026-10-21T01:04:38Z</dcterms:modified>
  <cp:lastModifiedBy>Wang, Eric</cp:lastModifiedBy>
</cp:coreProperties>
</file>