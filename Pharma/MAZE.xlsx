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Maze Therapeutics, Inc.</t>
        </is>
      </c>
      <c r="C2" s="10" t="n"/>
    </row>
    <row r="3">
      <c r="B3" t="inlineStr">
        <is>
          <t>Price</t>
        </is>
      </c>
      <c r="C3" s="11">
        <f>INDEX([1]Pharma!$F$1:$F$1000,MATCH("MAZE",[1]Pharma!$B$1:$B$1000,0))</f>
        <v>32.45</v>
      </c>
      <c r="F3" s="1" t="n"/>
    </row>
    <row r="4">
      <c r="B4" t="inlineStr">
        <is>
          <t>Shares</t>
        </is>
      </c>
      <c r="C4" s="21" t="n">
        <v>55.549168</v>
      </c>
      <c r="F4" s="1" t="n"/>
    </row>
    <row r="5">
      <c r="B5" t="inlineStr">
        <is>
          <t>Market Cap.</t>
        </is>
      </c>
      <c r="C5" s="13">
        <f>C3*C4</f>
        <v>1802.5705016000002</v>
      </c>
      <c r="F5" s="1" t="n"/>
    </row>
    <row r="6"/>
    <row r="7">
      <c r="B7" t="inlineStr">
        <is>
          <t>Cash</t>
        </is>
      </c>
      <c r="C7" s="21">
        <f>202.643+208.444</f>
        <v>411.087</v>
      </c>
    </row>
    <row r="8">
      <c r="B8" t="inlineStr">
        <is>
          <t>Debt</t>
        </is>
      </c>
      <c r="C8" s="21" t="n">
        <v>38.96</v>
      </c>
    </row>
    <row r="9">
      <c r="B9" t="inlineStr">
        <is>
          <t>Enterprise V.</t>
        </is>
      </c>
      <c r="C9" s="13">
        <f>C5-C7+C8</f>
        <v>1430.4435016000002</v>
      </c>
    </row>
    <row r="10"/>
    <row r="11">
      <c r="B11" s="14" t="inlineStr">
        <is>
          <t>rNPV / Share</t>
        </is>
      </c>
      <c r="C11" s="11">
        <f>NPV!B27</f>
        <v>5.5801211731479174</v>
      </c>
    </row>
    <row r="12">
      <c r="B12" s="14" t="inlineStr">
        <is>
          <t>Upside</t>
        </is>
      </c>
      <c r="C12" s="15">
        <f>IFERROR(C11/C3-1,"")</f>
        <v>-0.8280394091479841</v>
      </c>
    </row>
    <row r="13">
      <c r="B13" s="14" t="inlineStr">
        <is>
          <t>Cash / Share</t>
        </is>
      </c>
      <c r="C13" s="11">
        <f>IFERROR((C7-C8)/C4,"")</f>
        <v>6.699056230689179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-106.538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3.4929039403780813</v>
      </c>
    </row>
    <row r="19">
      <c r="B19" s="14" t="inlineStr">
        <is>
          <t>Implied Pipeline Value</t>
        </is>
      </c>
      <c r="C19" s="13">
        <f>C9</f>
        <v>1430.4435016000002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2024</v>
      </c>
      <c r="C1" s="17" t="n">
        <v>2025</v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167.5</v>
      </c>
      <c r="C2" s="23" t="n">
        <v>0</v>
      </c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167.5</v>
      </c>
      <c r="C4" s="23">
        <f>C2-C3</f>
        <v>0.0</v>
      </c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23" t="n">
        <v>83.496</v>
      </c>
      <c r="C5" s="23" t="n">
        <v>108.448</v>
      </c>
      <c r="D5" s="1" t="n"/>
      <c r="I5" s="1" t="n"/>
      <c r="J5" s="1" t="n"/>
      <c r="K5" s="1" t="n"/>
    </row>
    <row r="6">
      <c r="A6" s="19" t="inlineStr">
        <is>
          <t>SG&amp;A &amp; Other</t>
        </is>
      </c>
      <c r="B6" s="23" t="n">
        <v>26.418</v>
      </c>
      <c r="C6" s="23" t="n">
        <v>34.451</v>
      </c>
      <c r="D6" s="1" t="n"/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109.91399999999999</v>
      </c>
      <c r="C7" s="23">
        <f>SUM(C5:C6)</f>
        <v>142.899</v>
      </c>
      <c r="D7" s="1" t="n"/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57.58600000000001</v>
      </c>
      <c r="C8" s="23">
        <f>C4-C7</f>
        <v>-142.899</v>
      </c>
      <c r="D8" s="1" t="n"/>
      <c r="I8" s="1" t="n"/>
      <c r="J8" s="1" t="n"/>
      <c r="K8" s="1" t="n"/>
    </row>
    <row r="9">
      <c r="A9" s="19" t="inlineStr">
        <is>
          <t>Interest &amp; Other</t>
        </is>
      </c>
      <c r="B9" s="23" t="n">
        <v>-4.183</v>
      </c>
      <c r="C9" s="23" t="n">
        <v>11.779</v>
      </c>
    </row>
    <row r="10">
      <c r="A10" s="2" t="inlineStr">
        <is>
          <t>Pretax</t>
        </is>
      </c>
      <c r="B10" s="23">
        <f>B8+B9</f>
        <v>53.40300000000001</v>
      </c>
      <c r="C10" s="23">
        <f>C8+C9</f>
        <v>-131.12</v>
      </c>
      <c r="D10" s="1" t="n"/>
      <c r="I10" s="1" t="n"/>
      <c r="J10" s="1" t="n"/>
      <c r="K10" s="1" t="n"/>
    </row>
    <row r="11">
      <c r="A11" s="2" t="inlineStr">
        <is>
          <t>Taxes</t>
        </is>
      </c>
      <c r="B11" s="23" t="n">
        <v>1.172</v>
      </c>
      <c r="C11" s="23" t="n">
        <v>0</v>
      </c>
    </row>
    <row r="12">
      <c r="A12" s="2" t="inlineStr">
        <is>
          <t>Net Income</t>
        </is>
      </c>
      <c r="B12" s="23" t="n">
        <v>52.231</v>
      </c>
      <c r="C12" s="23" t="n">
        <v>-131.12</v>
      </c>
      <c r="D12" s="1" t="n"/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1.1956277898592194</v>
      </c>
      <c r="C13" s="11">
        <f>IFERROR(C12/C14,0)</f>
        <v>-3.051005212211467</v>
      </c>
    </row>
    <row r="14">
      <c r="A14" s="2" t="inlineStr">
        <is>
          <t>Shares</t>
        </is>
      </c>
      <c r="B14" s="23" t="n">
        <v>43.685</v>
      </c>
      <c r="C14" s="23" t="n">
        <v>42.976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0.34379701492537323</v>
      </c>
      <c r="C18" s="15">
        <f>IFERROR(C8/C2,"")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Maze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0.40519512999999996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145.612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131.1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-62.155911492449285</v>
      </c>
      <c r="C29" s="42">
        <f>NPV!B25</f>
        <v>309.97108850755075</v>
      </c>
      <c r="D29" s="43">
        <f>NPV!B27</f>
        <v>5.5801211731479174</v>
      </c>
      <c r="E29" s="44">
        <f>NPV!B29</f>
        <v>-0.8280394091479841</v>
      </c>
    </row>
    <row r="30">
      <c r="A30" s="45" t="n">
        <v>1</v>
      </c>
      <c r="B30" s="46">
        <f t="dataTable" ref="B30:E32" r1="B4"/>
        <v>-281.5800335889531</v>
      </c>
      <c r="C30" s="46">
        <v>90.5469664110469</v>
      </c>
      <c r="D30" s="47">
        <v>1.6300328100512125</v>
      </c>
      <c r="E30" s="48">
        <v>-0.9497678640970351</v>
      </c>
    </row>
    <row r="31">
      <c r="A31" s="45" t="n">
        <v>2</v>
      </c>
      <c r="B31" s="46">
        <v>-62.155911492449285</v>
      </c>
      <c r="C31" s="46">
        <v>309.97108850755075</v>
      </c>
      <c r="D31" s="47">
        <v>5.5801211731479174</v>
      </c>
      <c r="E31" s="48">
        <v>-0.8280394091479841</v>
      </c>
    </row>
    <row r="32">
      <c r="A32" s="45" t="n">
        <v>3</v>
      </c>
      <c r="B32" s="46">
        <v>288.90668640617247</v>
      </c>
      <c r="C32" s="46">
        <v>661.0336864061724</v>
      </c>
      <c r="D32" s="47">
        <v>11.899974566786893</v>
      </c>
      <c r="E32" s="48">
        <v>-0.6332827560312206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5.5801211731479174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0.7146902887401742</v>
      </c>
      <c r="C37" s="47">
        <v>2.0095839539555334</v>
      </c>
      <c r="D37" s="47">
        <v>3.1777753568451415</v>
      </c>
      <c r="E37" s="47">
        <v>5.365837417342281</v>
      </c>
      <c r="F37" s="47">
        <v>7.49308327453516</v>
      </c>
    </row>
    <row r="38">
      <c r="A38" s="50" t="n">
        <v>0.8</v>
      </c>
      <c r="B38" s="47">
        <v>1.2778620665915477</v>
      </c>
      <c r="C38" s="47">
        <v>2.9095801436910027</v>
      </c>
      <c r="D38" s="47">
        <v>4.385344547432494</v>
      </c>
      <c r="E38" s="47">
        <v>7.240319443397913</v>
      </c>
      <c r="F38" s="47">
        <v>10.042321508060105</v>
      </c>
    </row>
    <row r="39">
      <c r="A39" s="50" t="n">
        <v>1</v>
      </c>
      <c r="B39" s="47">
        <v>1.85714203494836</v>
      </c>
      <c r="C39" s="47">
        <v>3.7719617855003102</v>
      </c>
      <c r="D39" s="47">
        <v>5.5801211731479174</v>
      </c>
      <c r="E39" s="47">
        <v>9.110084571585721</v>
      </c>
      <c r="F39" s="47">
        <v>12.588922373609313</v>
      </c>
    </row>
    <row r="40">
      <c r="A40" s="50" t="n">
        <v>1.2</v>
      </c>
      <c r="B40" s="47">
        <v>2.4137039833358993</v>
      </c>
      <c r="C40" s="47">
        <v>4.630447729833298</v>
      </c>
      <c r="D40" s="47">
        <v>6.774574723715808</v>
      </c>
      <c r="E40" s="47">
        <v>10.974582789133034</v>
      </c>
      <c r="F40" s="47">
        <v>15.13516280227961</v>
      </c>
    </row>
    <row r="41">
      <c r="A41" s="50" t="n">
        <v>1.4</v>
      </c>
      <c r="B41" s="47">
        <v>2.94255348949693</v>
      </c>
      <c r="C41" s="47">
        <v>5.4927341330497725</v>
      </c>
      <c r="D41" s="47">
        <v>7.969408817312732</v>
      </c>
      <c r="E41" s="47">
        <v>12.852266175895661</v>
      </c>
      <c r="F41" s="47">
        <v>17.68836074917095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Maze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Kidney disease</t>
        </is>
      </c>
      <c r="C4" s="14" t="inlineStr">
        <is>
          <t>MZE829</t>
        </is>
      </c>
      <c r="D4" s="14" t="inlineStr">
        <is>
          <t>Phase 2</t>
        </is>
      </c>
      <c r="E4" s="14" t="inlineStr">
        <is>
          <t>Other / area</t>
        </is>
      </c>
      <c r="F4" s="14" t="inlineStr">
        <is>
          <t>Owned</t>
        </is>
      </c>
      <c r="G4" s="40" t="n">
        <v>1200</v>
      </c>
      <c r="H4" s="27" t="n">
        <v>0.2047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279.05759919011285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24.564</v>
      </c>
      <c r="S4" s="23">
        <f>IF(S$3&lt;$I4,0,$G4*Assumptions!$E$11*INDEX(Assumptions!$B$24:$G$24,MIN(6,S$3-$I4+1))*IF(S$3&gt;$J4,(1-Assumptions!$B$26)^(S$3-$J4),1)*IF($H4&gt;=1,1,MIN(0.97,$H4*Assumptions!$E$12)))</f>
        <v>61.41</v>
      </c>
      <c r="T4" s="23">
        <f>IF(T$3&lt;$I4,0,$G4*Assumptions!$E$11*INDEX(Assumptions!$B$24:$G$24,MIN(6,T$3-$I4+1))*IF(T$3&gt;$J4,(1-Assumptions!$B$26)^(T$3-$J4),1)*IF($H4&gt;=1,1,MIN(0.97,$H4*Assumptions!$E$12)))</f>
        <v>110.538</v>
      </c>
      <c r="U4" s="23">
        <f>IF(U$3&lt;$I4,0,$G4*Assumptions!$E$11*INDEX(Assumptions!$B$24:$G$24,MIN(6,U$3-$I4+1))*IF(U$3&gt;$J4,(1-Assumptions!$B$26)^(U$3-$J4),1)*IF($H4&gt;=1,1,MIN(0.97,$H4*Assumptions!$E$12)))</f>
        <v>159.666</v>
      </c>
      <c r="V4" s="23">
        <f>IF(V$3&lt;$I4,0,$G4*Assumptions!$E$11*INDEX(Assumptions!$B$24:$G$24,MIN(6,V$3-$I4+1))*IF(V$3&gt;$J4,(1-Assumptions!$B$26)^(V$3-$J4),1)*IF($H4&gt;=1,1,MIN(0.97,$H4*Assumptions!$E$12)))</f>
        <v>208.79399999999998</v>
      </c>
      <c r="W4" s="23">
        <f>IF(W$3&lt;$I4,0,$G4*Assumptions!$E$11*INDEX(Assumptions!$B$24:$G$24,MIN(6,W$3-$I4+1))*IF(W$3&gt;$J4,(1-Assumptions!$B$26)^(W$3-$J4),1)*IF($H4&gt;=1,1,MIN(0.97,$H4*Assumptions!$E$12)))</f>
        <v>245.64</v>
      </c>
      <c r="X4" s="23">
        <f>IF(X$3&lt;$I4,0,$G4*Assumptions!$E$11*INDEX(Assumptions!$B$24:$G$24,MIN(6,X$3-$I4+1))*IF(X$3&gt;$J4,(1-Assumptions!$B$26)^(X$3-$J4),1)*IF($H4&gt;=1,1,MIN(0.97,$H4*Assumptions!$E$12)))</f>
        <v>245.64</v>
      </c>
      <c r="Y4" s="23">
        <f>IF(Y$3&lt;$I4,0,$G4*Assumptions!$E$11*INDEX(Assumptions!$B$24:$G$24,MIN(6,Y$3-$I4+1))*IF(Y$3&gt;$J4,(1-Assumptions!$B$26)^(Y$3-$J4),1)*IF($H4&gt;=1,1,MIN(0.97,$H4*Assumptions!$E$12)))</f>
        <v>245.64</v>
      </c>
      <c r="Z4" s="23">
        <f>IF(Z$3&lt;$I4,0,$G4*Assumptions!$E$11*INDEX(Assumptions!$B$24:$G$24,MIN(6,Z$3-$I4+1))*IF(Z$3&gt;$J4,(1-Assumptions!$B$26)^(Z$3-$J4),1)*IF($H4&gt;=1,1,MIN(0.97,$H4*Assumptions!$E$12)))</f>
        <v>245.64</v>
      </c>
      <c r="AA4" s="23">
        <f>IF(AA$3&lt;$I4,0,$G4*Assumptions!$E$11*INDEX(Assumptions!$B$24:$G$24,MIN(6,AA$3-$I4+1))*IF(AA$3&gt;$J4,(1-Assumptions!$B$26)^(AA$3-$J4),1)*IF($H4&gt;=1,1,MIN(0.97,$H4*Assumptions!$E$12)))</f>
        <v>245.64</v>
      </c>
      <c r="AB4" s="23">
        <f>IF(AB$3&lt;$I4,0,$G4*Assumptions!$E$11*INDEX(Assumptions!$B$24:$G$24,MIN(6,AB$3-$I4+1))*IF(AB$3&gt;$J4,(1-Assumptions!$B$26)^(AB$3-$J4),1)*IF($H4&gt;=1,1,MIN(0.97,$H4*Assumptions!$E$12)))</f>
        <v>245.64</v>
      </c>
      <c r="AC4" s="23">
        <f>IF(AC$3&lt;$I4,0,$G4*Assumptions!$E$11*INDEX(Assumptions!$B$24:$G$24,MIN(6,AC$3-$I4+1))*IF(AC$3&gt;$J4,(1-Assumptions!$B$26)^(AC$3-$J4),1)*IF($H4&gt;=1,1,MIN(0.97,$H4*Assumptions!$E$12)))</f>
        <v>245.64</v>
      </c>
      <c r="AD4" s="23">
        <f>IF(AD$3&lt;$I4,0,$G4*Assumptions!$E$11*INDEX(Assumptions!$B$24:$G$24,MIN(6,AD$3-$I4+1))*IF(AD$3&gt;$J4,(1-Assumptions!$B$26)^(AD$3-$J4),1)*IF($H4&gt;=1,1,MIN(0.97,$H4*Assumptions!$E$12)))</f>
        <v>245.64</v>
      </c>
      <c r="AE4" s="23">
        <f>IF(AE$3&lt;$I4,0,$G4*Assumptions!$E$11*INDEX(Assumptions!$B$24:$G$24,MIN(6,AE$3-$I4+1))*IF(AE$3&gt;$J4,(1-Assumptions!$B$26)^(AE$3-$J4),1)*IF($H4&gt;=1,1,MIN(0.97,$H4*Assumptions!$E$12)))</f>
        <v>122.82</v>
      </c>
      <c r="AF4" s="23">
        <f>IF(AF$3&lt;$I4,0,$G4*Assumptions!$E$11*INDEX(Assumptions!$B$24:$G$24,MIN(6,AF$3-$I4+1))*IF(AF$3&gt;$J4,(1-Assumptions!$B$26)^(AF$3-$J4),1)*IF($H4&gt;=1,1,MIN(0.97,$H4*Assumptions!$E$12)))</f>
        <v>61.41</v>
      </c>
      <c r="AG4" s="35">
        <f>IF(F4="Owned",1-IF(H4&gt;=1,1,MIN(0.97,H4*Assumptions!$E$12)),1)</f>
        <v>0.7953</v>
      </c>
    </row>
    <row r="5">
      <c r="A5" s="39" t="n">
        <v>2</v>
      </c>
      <c r="B5" s="14" t="inlineStr">
        <is>
          <t>Rare metabolic / lysosomal</t>
        </is>
      </c>
      <c r="C5" s="14" t="inlineStr">
        <is>
          <t>MZE782</t>
        </is>
      </c>
      <c r="D5" s="14" t="inlineStr">
        <is>
          <t>Phase 2</t>
        </is>
      </c>
      <c r="E5" s="14" t="inlineStr">
        <is>
          <t>Metabolic / rare</t>
        </is>
      </c>
      <c r="F5" s="14" t="inlineStr">
        <is>
          <t>Owned</t>
        </is>
      </c>
      <c r="G5" s="40" t="n">
        <v>700</v>
      </c>
      <c r="H5" s="27" t="n">
        <v>0.2521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200.47750581777888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17.647</v>
      </c>
      <c r="S5" s="23">
        <f>IF(S$3&lt;$I5,0,$G5*Assumptions!$E$11*INDEX(Assumptions!$B$24:$G$24,MIN(6,S$3-$I5+1))*IF(S$3&gt;$J5,(1-Assumptions!$B$26)^(S$3-$J5),1)*IF($H5&gt;=1,1,MIN(0.97,$H5*Assumptions!$E$12)))</f>
        <v>44.1175</v>
      </c>
      <c r="T5" s="23">
        <f>IF(T$3&lt;$I5,0,$G5*Assumptions!$E$11*INDEX(Assumptions!$B$24:$G$24,MIN(6,T$3-$I5+1))*IF(T$3&gt;$J5,(1-Assumptions!$B$26)^(T$3-$J5),1)*IF($H5&gt;=1,1,MIN(0.97,$H5*Assumptions!$E$12)))</f>
        <v>79.4115</v>
      </c>
      <c r="U5" s="23">
        <f>IF(U$3&lt;$I5,0,$G5*Assumptions!$E$11*INDEX(Assumptions!$B$24:$G$24,MIN(6,U$3-$I5+1))*IF(U$3&gt;$J5,(1-Assumptions!$B$26)^(U$3-$J5),1)*IF($H5&gt;=1,1,MIN(0.97,$H5*Assumptions!$E$12)))</f>
        <v>114.7055</v>
      </c>
      <c r="V5" s="23">
        <f>IF(V$3&lt;$I5,0,$G5*Assumptions!$E$11*INDEX(Assumptions!$B$24:$G$24,MIN(6,V$3-$I5+1))*IF(V$3&gt;$J5,(1-Assumptions!$B$26)^(V$3-$J5),1)*IF($H5&gt;=1,1,MIN(0.97,$H5*Assumptions!$E$12)))</f>
        <v>149.99949999999998</v>
      </c>
      <c r="W5" s="23">
        <f>IF(W$3&lt;$I5,0,$G5*Assumptions!$E$11*INDEX(Assumptions!$B$24:$G$24,MIN(6,W$3-$I5+1))*IF(W$3&gt;$J5,(1-Assumptions!$B$26)^(W$3-$J5),1)*IF($H5&gt;=1,1,MIN(0.97,$H5*Assumptions!$E$12)))</f>
        <v>176.47</v>
      </c>
      <c r="X5" s="23">
        <f>IF(X$3&lt;$I5,0,$G5*Assumptions!$E$11*INDEX(Assumptions!$B$24:$G$24,MIN(6,X$3-$I5+1))*IF(X$3&gt;$J5,(1-Assumptions!$B$26)^(X$3-$J5),1)*IF($H5&gt;=1,1,MIN(0.97,$H5*Assumptions!$E$12)))</f>
        <v>176.47</v>
      </c>
      <c r="Y5" s="23">
        <f>IF(Y$3&lt;$I5,0,$G5*Assumptions!$E$11*INDEX(Assumptions!$B$24:$G$24,MIN(6,Y$3-$I5+1))*IF(Y$3&gt;$J5,(1-Assumptions!$B$26)^(Y$3-$J5),1)*IF($H5&gt;=1,1,MIN(0.97,$H5*Assumptions!$E$12)))</f>
        <v>176.47</v>
      </c>
      <c r="Z5" s="23">
        <f>IF(Z$3&lt;$I5,0,$G5*Assumptions!$E$11*INDEX(Assumptions!$B$24:$G$24,MIN(6,Z$3-$I5+1))*IF(Z$3&gt;$J5,(1-Assumptions!$B$26)^(Z$3-$J5),1)*IF($H5&gt;=1,1,MIN(0.97,$H5*Assumptions!$E$12)))</f>
        <v>176.47</v>
      </c>
      <c r="AA5" s="23">
        <f>IF(AA$3&lt;$I5,0,$G5*Assumptions!$E$11*INDEX(Assumptions!$B$24:$G$24,MIN(6,AA$3-$I5+1))*IF(AA$3&gt;$J5,(1-Assumptions!$B$26)^(AA$3-$J5),1)*IF($H5&gt;=1,1,MIN(0.97,$H5*Assumptions!$E$12)))</f>
        <v>176.47</v>
      </c>
      <c r="AB5" s="23">
        <f>IF(AB$3&lt;$I5,0,$G5*Assumptions!$E$11*INDEX(Assumptions!$B$24:$G$24,MIN(6,AB$3-$I5+1))*IF(AB$3&gt;$J5,(1-Assumptions!$B$26)^(AB$3-$J5),1)*IF($H5&gt;=1,1,MIN(0.97,$H5*Assumptions!$E$12)))</f>
        <v>176.47</v>
      </c>
      <c r="AC5" s="23">
        <f>IF(AC$3&lt;$I5,0,$G5*Assumptions!$E$11*INDEX(Assumptions!$B$24:$G$24,MIN(6,AC$3-$I5+1))*IF(AC$3&gt;$J5,(1-Assumptions!$B$26)^(AC$3-$J5),1)*IF($H5&gt;=1,1,MIN(0.97,$H5*Assumptions!$E$12)))</f>
        <v>176.47</v>
      </c>
      <c r="AD5" s="23">
        <f>IF(AD$3&lt;$I5,0,$G5*Assumptions!$E$11*INDEX(Assumptions!$B$24:$G$24,MIN(6,AD$3-$I5+1))*IF(AD$3&gt;$J5,(1-Assumptions!$B$26)^(AD$3-$J5),1)*IF($H5&gt;=1,1,MIN(0.97,$H5*Assumptions!$E$12)))</f>
        <v>176.47</v>
      </c>
      <c r="AE5" s="23">
        <f>IF(AE$3&lt;$I5,0,$G5*Assumptions!$E$11*INDEX(Assumptions!$B$24:$G$24,MIN(6,AE$3-$I5+1))*IF(AE$3&gt;$J5,(1-Assumptions!$B$26)^(AE$3-$J5),1)*IF($H5&gt;=1,1,MIN(0.97,$H5*Assumptions!$E$12)))</f>
        <v>88.235</v>
      </c>
      <c r="AF5" s="23">
        <f>IF(AF$3&lt;$I5,0,$G5*Assumptions!$E$11*INDEX(Assumptions!$B$24:$G$24,MIN(6,AF$3-$I5+1))*IF(AF$3&gt;$J5,(1-Assumptions!$B$26)^(AF$3-$J5),1)*IF($H5&gt;=1,1,MIN(0.97,$H5*Assumptions!$E$12)))</f>
        <v>44.1175</v>
      </c>
      <c r="AG5" s="35">
        <f>IF(F5="Owned",1-IF(H5&gt;=1,1,MIN(0.97,H5*Assumptions!$E$12)),1)</f>
        <v>0.7479</v>
      </c>
    </row>
    <row r="6">
      <c r="B6" s="24" t="inlineStr">
        <is>
          <t>Risked revenue</t>
        </is>
      </c>
      <c r="L6" s="54">
        <f>SUM(L4:L5)</f>
        <v>479.53510500789173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42.211</v>
      </c>
      <c r="S6" s="54">
        <f>SUM(S4:S5)</f>
        <v>105.5275</v>
      </c>
      <c r="T6" s="54">
        <f>SUM(T4:T5)</f>
        <v>189.9495</v>
      </c>
      <c r="U6" s="54">
        <f>SUM(U4:U5)</f>
        <v>274.37149999999997</v>
      </c>
      <c r="V6" s="54">
        <f>SUM(V4:V5)</f>
        <v>358.7935</v>
      </c>
      <c r="W6" s="54">
        <f>SUM(W4:W5)</f>
        <v>422.11</v>
      </c>
      <c r="X6" s="54">
        <f>SUM(X4:X5)</f>
        <v>422.11</v>
      </c>
      <c r="Y6" s="54">
        <f>SUM(Y4:Y5)</f>
        <v>422.11</v>
      </c>
      <c r="Z6" s="54">
        <f>SUM(Z4:Z5)</f>
        <v>422.11</v>
      </c>
      <c r="AA6" s="54">
        <f>SUM(AA4:AA5)</f>
        <v>422.11</v>
      </c>
      <c r="AB6" s="54">
        <f>SUM(AB4:AB5)</f>
        <v>422.11</v>
      </c>
      <c r="AC6" s="54">
        <f>SUM(AC4:AC5)</f>
        <v>422.11</v>
      </c>
      <c r="AD6" s="54">
        <f>SUM(AD4:AD5)</f>
        <v>422.11</v>
      </c>
      <c r="AE6" s="54">
        <f>SUM(AE4:AE5)</f>
        <v>211.055</v>
      </c>
      <c r="AF6" s="54">
        <f>SUM(AF4:AF5)</f>
        <v>105.5275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16.8844</v>
      </c>
      <c r="S7" s="55">
        <f>SUMPRODUCT(S4:S5,$K$4:$K$5)</f>
        <v>42.211</v>
      </c>
      <c r="T7" s="55">
        <f>SUMPRODUCT(T4:T5,$K$4:$K$5)</f>
        <v>75.97980000000001</v>
      </c>
      <c r="U7" s="55">
        <f>SUMPRODUCT(U4:U5,$K$4:$K$5)</f>
        <v>109.74860000000001</v>
      </c>
      <c r="V7" s="55">
        <f>SUMPRODUCT(V4:V5,$K$4:$K$5)</f>
        <v>143.5174</v>
      </c>
      <c r="W7" s="55">
        <f>SUMPRODUCT(W4:W5,$K$4:$K$5)</f>
        <v>168.844</v>
      </c>
      <c r="X7" s="55">
        <f>SUMPRODUCT(X4:X5,$K$4:$K$5)</f>
        <v>168.844</v>
      </c>
      <c r="Y7" s="55">
        <f>SUMPRODUCT(Y4:Y5,$K$4:$K$5)</f>
        <v>168.844</v>
      </c>
      <c r="Z7" s="55">
        <f>SUMPRODUCT(Z4:Z5,$K$4:$K$5)</f>
        <v>168.844</v>
      </c>
      <c r="AA7" s="55">
        <f>SUMPRODUCT(AA4:AA5,$K$4:$K$5)</f>
        <v>168.844</v>
      </c>
      <c r="AB7" s="55">
        <f>SUMPRODUCT(AB4:AB5,$K$4:$K$5)</f>
        <v>168.844</v>
      </c>
      <c r="AC7" s="55">
        <f>SUMPRODUCT(AC4:AC5,$K$4:$K$5)</f>
        <v>168.844</v>
      </c>
      <c r="AD7" s="55">
        <f>SUMPRODUCT(AD4:AD5,$K$4:$K$5)</f>
        <v>168.844</v>
      </c>
      <c r="AE7" s="55">
        <f>SUMPRODUCT(AE4:AE5,$K$4:$K$5)</f>
        <v>84.422</v>
      </c>
      <c r="AF7" s="55">
        <f>SUMPRODUCT(AF4:AF5,$K$4:$K$5)</f>
        <v>42.211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Maze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42.211</v>
      </c>
      <c r="I4" s="57">
        <f>Pipeline!S6</f>
        <v>105.5275</v>
      </c>
      <c r="J4" s="57">
        <f>Pipeline!T6</f>
        <v>189.9495</v>
      </c>
      <c r="K4" s="57">
        <f>Pipeline!U6</f>
        <v>274.37149999999997</v>
      </c>
      <c r="L4" s="57">
        <f>Pipeline!V6</f>
        <v>358.7935</v>
      </c>
      <c r="M4" s="57">
        <f>Pipeline!W6</f>
        <v>422.11</v>
      </c>
      <c r="N4" s="57">
        <f>Pipeline!X6</f>
        <v>422.11</v>
      </c>
      <c r="O4" s="57">
        <f>Pipeline!Y6</f>
        <v>422.11</v>
      </c>
      <c r="P4" s="57">
        <f>Pipeline!Z6</f>
        <v>422.11</v>
      </c>
      <c r="Q4" s="57">
        <f>Pipeline!AA6</f>
        <v>422.11</v>
      </c>
      <c r="R4" s="57">
        <f>Pipeline!AB6</f>
        <v>422.11</v>
      </c>
      <c r="S4" s="57">
        <f>Pipeline!AC6</f>
        <v>422.11</v>
      </c>
      <c r="T4" s="57">
        <f>Pipeline!AD6</f>
        <v>422.11</v>
      </c>
      <c r="U4" s="57">
        <f>Pipeline!AE6</f>
        <v>211.055</v>
      </c>
      <c r="V4" s="57">
        <f>Pipeline!AF6</f>
        <v>105.5275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16.8844</v>
      </c>
      <c r="I5" s="57">
        <f>Pipeline!S7</f>
        <v>42.211</v>
      </c>
      <c r="J5" s="57">
        <f>Pipeline!T7</f>
        <v>75.97980000000001</v>
      </c>
      <c r="K5" s="57">
        <f>Pipeline!U7</f>
        <v>109.74860000000001</v>
      </c>
      <c r="L5" s="57">
        <f>Pipeline!V7</f>
        <v>143.5174</v>
      </c>
      <c r="M5" s="57">
        <f>Pipeline!W7</f>
        <v>168.844</v>
      </c>
      <c r="N5" s="57">
        <f>Pipeline!X7</f>
        <v>168.844</v>
      </c>
      <c r="O5" s="57">
        <f>Pipeline!Y7</f>
        <v>168.844</v>
      </c>
      <c r="P5" s="57">
        <f>Pipeline!Z7</f>
        <v>168.844</v>
      </c>
      <c r="Q5" s="57">
        <f>Pipeline!AA7</f>
        <v>168.844</v>
      </c>
      <c r="R5" s="57">
        <f>Pipeline!AB7</f>
        <v>168.844</v>
      </c>
      <c r="S5" s="57">
        <f>Pipeline!AC7</f>
        <v>168.844</v>
      </c>
      <c r="T5" s="57">
        <f>Pipeline!AD7</f>
        <v>168.844</v>
      </c>
      <c r="U5" s="57">
        <f>Pipeline!AE7</f>
        <v>84.422</v>
      </c>
      <c r="V5" s="57">
        <f>Pipeline!AF7</f>
        <v>42.211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-145.612</v>
      </c>
      <c r="D6" s="23">
        <f>-IF(D3-2026&lt;Assumptions!$B$19,Assumptions!$B$18,Assumptions!$B$18*Assumptions!$B$20*Assumptions!$B$16)</f>
        <v>-145.612</v>
      </c>
      <c r="E6" s="23">
        <f>-IF(E3-2026&lt;Assumptions!$B$19,Assumptions!$B$18,Assumptions!$B$18*Assumptions!$B$20*Assumptions!$B$16)</f>
        <v>-145.612</v>
      </c>
      <c r="F6" s="23">
        <f>-IF(F3-2026&lt;Assumptions!$B$19,Assumptions!$B$18,Assumptions!$B$18*Assumptions!$B$20*Assumptions!$B$16)</f>
        <v>-145.612</v>
      </c>
      <c r="G6" s="23">
        <f>-IF(G3-2026&lt;Assumptions!$B$19,Assumptions!$B$18,Assumptions!$B$18*Assumptions!$B$20*Assumptions!$B$16)</f>
        <v>-17.700381980868</v>
      </c>
      <c r="H6" s="23">
        <f>-IF(H3-2026&lt;Assumptions!$B$19,Assumptions!$B$18,Assumptions!$B$18*Assumptions!$B$20*Assumptions!$B$16)</f>
        <v>-17.700381980868</v>
      </c>
      <c r="I6" s="23">
        <f>-IF(I3-2026&lt;Assumptions!$B$19,Assumptions!$B$18,Assumptions!$B$18*Assumptions!$B$20*Assumptions!$B$16)</f>
        <v>-17.700381980868</v>
      </c>
      <c r="J6" s="23">
        <f>-IF(J3-2026&lt;Assumptions!$B$19,Assumptions!$B$18,Assumptions!$B$18*Assumptions!$B$20*Assumptions!$B$16)</f>
        <v>-17.700381980868</v>
      </c>
      <c r="K6" s="23">
        <f>-IF(K3-2026&lt;Assumptions!$B$19,Assumptions!$B$18,Assumptions!$B$18*Assumptions!$B$20*Assumptions!$B$16)</f>
        <v>-17.700381980868</v>
      </c>
      <c r="L6" s="23">
        <f>-IF(L3-2026&lt;Assumptions!$B$19,Assumptions!$B$18,Assumptions!$B$18*Assumptions!$B$20*Assumptions!$B$16)</f>
        <v>-17.700381980868</v>
      </c>
      <c r="M6" s="23">
        <f>-IF(M3-2026&lt;Assumptions!$B$19,Assumptions!$B$18,Assumptions!$B$18*Assumptions!$B$20*Assumptions!$B$16)</f>
        <v>-17.700381980868</v>
      </c>
      <c r="N6" s="23">
        <f>-IF(N3-2026&lt;Assumptions!$B$19,Assumptions!$B$18,Assumptions!$B$18*Assumptions!$B$20*Assumptions!$B$16)</f>
        <v>-17.700381980868</v>
      </c>
      <c r="O6" s="23">
        <f>-IF(O3-2026&lt;Assumptions!$B$19,Assumptions!$B$18,Assumptions!$B$18*Assumptions!$B$20*Assumptions!$B$16)</f>
        <v>-17.700381980868</v>
      </c>
      <c r="P6" s="23">
        <f>-IF(P3-2026&lt;Assumptions!$B$19,Assumptions!$B$18,Assumptions!$B$18*Assumptions!$B$20*Assumptions!$B$16)</f>
        <v>-17.700381980868</v>
      </c>
      <c r="Q6" s="23">
        <f>-IF(Q3-2026&lt;Assumptions!$B$19,Assumptions!$B$18,Assumptions!$B$18*Assumptions!$B$20*Assumptions!$B$16)</f>
        <v>-17.700381980868</v>
      </c>
      <c r="R6" s="23">
        <f>-IF(R3-2026&lt;Assumptions!$B$19,Assumptions!$B$18,Assumptions!$B$18*Assumptions!$B$20*Assumptions!$B$16)</f>
        <v>-17.700381980868</v>
      </c>
      <c r="S6" s="23">
        <f>-IF(S3-2026&lt;Assumptions!$B$19,Assumptions!$B$18,Assumptions!$B$18*Assumptions!$B$20*Assumptions!$B$16)</f>
        <v>-17.700381980868</v>
      </c>
      <c r="T6" s="23">
        <f>-IF(T3-2026&lt;Assumptions!$B$19,Assumptions!$B$18,Assumptions!$B$18*Assumptions!$B$20*Assumptions!$B$16)</f>
        <v>-17.700381980868</v>
      </c>
      <c r="U6" s="23">
        <f>-IF(U3-2026&lt;Assumptions!$B$19,Assumptions!$B$18,Assumptions!$B$18*Assumptions!$B$20*Assumptions!$B$16)</f>
        <v>-17.700381980868</v>
      </c>
      <c r="V6" s="23">
        <f>-IF(V3-2026&lt;Assumptions!$B$19,Assumptions!$B$18,Assumptions!$B$18*Assumptions!$B$20*Assumptions!$B$16)</f>
        <v>-17.700381980868</v>
      </c>
    </row>
    <row r="7">
      <c r="A7" s="14" t="inlineStr">
        <is>
          <t>Pre-tax cash flow</t>
        </is>
      </c>
      <c r="C7" s="23">
        <f>C5+C6</f>
        <v>-145.612</v>
      </c>
      <c r="D7" s="23">
        <f>D5+D6</f>
        <v>-145.612</v>
      </c>
      <c r="E7" s="23">
        <f>E5+E6</f>
        <v>-145.612</v>
      </c>
      <c r="F7" s="23">
        <f>F5+F6</f>
        <v>-145.612</v>
      </c>
      <c r="G7" s="23">
        <f>G5+G6</f>
        <v>-17.700381980868</v>
      </c>
      <c r="H7" s="23">
        <f>H5+H6</f>
        <v>-0.8159819808679991</v>
      </c>
      <c r="I7" s="23">
        <f>I5+I6</f>
        <v>24.510618019132</v>
      </c>
      <c r="J7" s="23">
        <f>J5+J6</f>
        <v>58.27941801913201</v>
      </c>
      <c r="K7" s="23">
        <f>K5+K6</f>
        <v>92.04821801913201</v>
      </c>
      <c r="L7" s="23">
        <f>L5+L6</f>
        <v>125.81701801913201</v>
      </c>
      <c r="M7" s="23">
        <f>M5+M6</f>
        <v>151.143618019132</v>
      </c>
      <c r="N7" s="23">
        <f>N5+N6</f>
        <v>151.143618019132</v>
      </c>
      <c r="O7" s="23">
        <f>O5+O6</f>
        <v>151.143618019132</v>
      </c>
      <c r="P7" s="23">
        <f>P5+P6</f>
        <v>151.143618019132</v>
      </c>
      <c r="Q7" s="23">
        <f>Q5+Q6</f>
        <v>151.143618019132</v>
      </c>
      <c r="R7" s="23">
        <f>R5+R6</f>
        <v>151.143618019132</v>
      </c>
      <c r="S7" s="23">
        <f>S5+S6</f>
        <v>151.143618019132</v>
      </c>
      <c r="T7" s="23">
        <f>T5+T6</f>
        <v>151.143618019132</v>
      </c>
      <c r="U7" s="23">
        <f>U5+U6</f>
        <v>66.721618019132</v>
      </c>
      <c r="V7" s="23">
        <f>V5+V6</f>
        <v>24.510618019132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24.510618019132</v>
      </c>
      <c r="J8" s="23">
        <f>MIN(I17,MAX(0,J7))</f>
        <v>58.27941801913201</v>
      </c>
      <c r="K8" s="23">
        <f>MIN(J17,MAX(0,K7))</f>
        <v>92.04821801913201</v>
      </c>
      <c r="L8" s="23">
        <f>MIN(K17,MAX(0,L7))</f>
        <v>125.81701801913201</v>
      </c>
      <c r="M8" s="23">
        <f>MIN(L17,MAX(0,M7))</f>
        <v>151.143618019132</v>
      </c>
      <c r="N8" s="23">
        <f>MIN(M17,MAX(0,N7))</f>
        <v>151.143618019132</v>
      </c>
      <c r="O8" s="23">
        <f>MIN(N17,MAX(0,O7))</f>
        <v>129.12185584694382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22.021762172188176</v>
      </c>
      <c r="P9" s="23">
        <f>MAX(0,P7)-P8</f>
        <v>151.143618019132</v>
      </c>
      <c r="Q9" s="23">
        <f>MAX(0,Q7)-Q8</f>
        <v>151.143618019132</v>
      </c>
      <c r="R9" s="23">
        <f>MAX(0,R7)-R8</f>
        <v>151.143618019132</v>
      </c>
      <c r="S9" s="23">
        <f>MAX(0,S7)-S8</f>
        <v>151.143618019132</v>
      </c>
      <c r="T9" s="23">
        <f>MAX(0,T7)-T8</f>
        <v>151.143618019132</v>
      </c>
      <c r="U9" s="23">
        <f>MAX(0,U7)-U8</f>
        <v>66.721618019132</v>
      </c>
      <c r="V9" s="23">
        <f>MAX(0,V7)-V8</f>
        <v>24.510618019132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4.624570056159516</v>
      </c>
      <c r="P10" s="23">
        <f>P9*Assumptions!$E$15</f>
        <v>31.740159784017717</v>
      </c>
      <c r="Q10" s="23">
        <f>Q9*Assumptions!$E$15</f>
        <v>31.740159784017717</v>
      </c>
      <c r="R10" s="23">
        <f>R9*Assumptions!$E$15</f>
        <v>31.740159784017717</v>
      </c>
      <c r="S10" s="23">
        <f>S9*Assumptions!$E$15</f>
        <v>31.740159784017717</v>
      </c>
      <c r="T10" s="23">
        <f>T9*Assumptions!$E$15</f>
        <v>31.740159784017717</v>
      </c>
      <c r="U10" s="23">
        <f>U9*Assumptions!$E$15</f>
        <v>14.01153978401772</v>
      </c>
      <c r="V10" s="23">
        <f>V9*Assumptions!$E$15</f>
        <v>5.1472297840177195</v>
      </c>
    </row>
    <row r="11">
      <c r="A11" s="24" t="inlineStr">
        <is>
          <t>Free cash flow</t>
        </is>
      </c>
      <c r="C11" s="55">
        <f>C7-C10</f>
        <v>-145.612</v>
      </c>
      <c r="D11" s="55">
        <f>D7-D10</f>
        <v>-145.612</v>
      </c>
      <c r="E11" s="55">
        <f>E7-E10</f>
        <v>-145.612</v>
      </c>
      <c r="F11" s="55">
        <f>F7-F10</f>
        <v>-145.612</v>
      </c>
      <c r="G11" s="55">
        <f>G7-G10</f>
        <v>-17.700381980868</v>
      </c>
      <c r="H11" s="55">
        <f>H7-H10</f>
        <v>-0.8159819808679991</v>
      </c>
      <c r="I11" s="55">
        <f>I7-I10</f>
        <v>24.510618019132</v>
      </c>
      <c r="J11" s="55">
        <f>J7-J10</f>
        <v>58.27941801913201</v>
      </c>
      <c r="K11" s="55">
        <f>K7-K10</f>
        <v>92.04821801913201</v>
      </c>
      <c r="L11" s="55">
        <f>L7-L10</f>
        <v>125.81701801913201</v>
      </c>
      <c r="M11" s="55">
        <f>M7-M10</f>
        <v>151.143618019132</v>
      </c>
      <c r="N11" s="55">
        <f>N7-N10</f>
        <v>151.143618019132</v>
      </c>
      <c r="O11" s="55">
        <f>O7-O10</f>
        <v>146.51904796297248</v>
      </c>
      <c r="P11" s="55">
        <f>P7-P10</f>
        <v>119.40345823511427</v>
      </c>
      <c r="Q11" s="55">
        <f>Q7-Q10</f>
        <v>119.40345823511427</v>
      </c>
      <c r="R11" s="55">
        <f>R7-R10</f>
        <v>119.40345823511427</v>
      </c>
      <c r="S11" s="55">
        <f>S7-S10</f>
        <v>119.40345823511427</v>
      </c>
      <c r="T11" s="55">
        <f>T7-T10</f>
        <v>119.40345823511427</v>
      </c>
      <c r="U11" s="55">
        <f>U7-U10</f>
        <v>52.710078235114274</v>
      </c>
      <c r="V11" s="55">
        <f>V7-V10</f>
        <v>19.36338823511428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-71.33595206872285</v>
      </c>
      <c r="D16" s="55">
        <f>D11*D15</f>
        <v>-129.95031915039263</v>
      </c>
      <c r="E16" s="55">
        <f>E11*E15</f>
        <v>-116.02707066999338</v>
      </c>
      <c r="F16" s="55">
        <f>F11*F15</f>
        <v>-103.5955988124941</v>
      </c>
      <c r="G16" s="55">
        <f>G11*G15</f>
        <v>-11.24368717721153</v>
      </c>
      <c r="H16" s="55">
        <f>H11*H15</f>
        <v>-0.4627950031690743</v>
      </c>
      <c r="I16" s="55">
        <f>I11*I15</f>
        <v>12.412073307512664</v>
      </c>
      <c r="J16" s="55">
        <f>J11*J15</f>
        <v>26.350402514768177</v>
      </c>
      <c r="K16" s="55">
        <f>K11*K15</f>
        <v>37.15946135647962</v>
      </c>
      <c r="L16" s="55">
        <f>L11*L15</f>
        <v>45.349801437935405</v>
      </c>
      <c r="M16" s="55">
        <f>M11*M15</f>
        <v>48.64159343191459</v>
      </c>
      <c r="N16" s="55">
        <f>N11*N15</f>
        <v>43.429994135638026</v>
      </c>
      <c r="O16" s="55">
        <f>O11*O15</f>
        <v>37.59031994339933</v>
      </c>
      <c r="P16" s="55">
        <f>P11*P15</f>
        <v>27.351479087335804</v>
      </c>
      <c r="Q16" s="55">
        <f>Q11*Q15</f>
        <v>24.420963470835538</v>
      </c>
      <c r="R16" s="55">
        <f>R11*R15</f>
        <v>21.804431670388873</v>
      </c>
      <c r="S16" s="55">
        <f>S11*S15</f>
        <v>19.468242562847205</v>
      </c>
      <c r="T16" s="55">
        <f>T11*T15</f>
        <v>17.382359431113574</v>
      </c>
      <c r="U16" s="55">
        <f>U11*U15</f>
        <v>6.851212829381409</v>
      </c>
      <c r="V16" s="55">
        <f>V11*V15</f>
        <v>2.2471762099840413</v>
      </c>
    </row>
    <row r="17">
      <c r="A17" s="14" t="inlineStr">
        <is>
          <t>Tax-loss carryforward, end of year</t>
        </is>
      </c>
      <c r="C17" s="23">
        <f>Assumptions!$B$21-C8+MAX(0,-C7)</f>
        <v>276.712</v>
      </c>
      <c r="D17" s="23">
        <f>C17-D8+MAX(0,-D7)</f>
        <v>422.32399999999996</v>
      </c>
      <c r="E17" s="23">
        <f>D17-E8+MAX(0,-E7)</f>
        <v>567.9359999999999</v>
      </c>
      <c r="F17" s="23">
        <f>E17-F8+MAX(0,-F7)</f>
        <v>713.5479999999999</v>
      </c>
      <c r="G17" s="23">
        <f>F17-G8+MAX(0,-G7)</f>
        <v>731.2483819808679</v>
      </c>
      <c r="H17" s="23">
        <f>G17-H8+MAX(0,-H7)</f>
        <v>732.0643639617358</v>
      </c>
      <c r="I17" s="23">
        <f>H17-I8+MAX(0,-I7)</f>
        <v>707.5537459426038</v>
      </c>
      <c r="J17" s="23">
        <f>I17-J8+MAX(0,-J7)</f>
        <v>649.2743279234718</v>
      </c>
      <c r="K17" s="23">
        <f>J17-K8+MAX(0,-K7)</f>
        <v>557.2261099043398</v>
      </c>
      <c r="L17" s="23">
        <f>K17-L8+MAX(0,-L7)</f>
        <v>431.4090918852078</v>
      </c>
      <c r="M17" s="23">
        <f>L17-M8+MAX(0,-M7)</f>
        <v>280.2654738660758</v>
      </c>
      <c r="N17" s="23">
        <f>M17-N8+MAX(0,-N7)</f>
        <v>129.12185584694382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479.53510500789173</v>
      </c>
    </row>
    <row r="20">
      <c r="A20" s="14" t="inlineStr">
        <is>
          <t>PV of corporate burn</t>
        </is>
      </c>
      <c r="B20" s="23">
        <f>SUMPRODUCT(C6:V6,C15:V15)</f>
        <v>-508.7318576047375</v>
      </c>
    </row>
    <row r="21">
      <c r="A21" s="14" t="inlineStr">
        <is>
          <t>PV of taxes</t>
        </is>
      </c>
      <c r="B21" s="23">
        <f>-SUMPRODUCT(C10:V10,C15:V15)</f>
        <v>-32.95915889560353</v>
      </c>
    </row>
    <row r="22">
      <c r="A22" s="24" t="inlineStr">
        <is>
          <t>Pipeline rNPV (operations)</t>
        </is>
      </c>
      <c r="B22" s="54">
        <f>SUM(C16:V16)</f>
        <v>-62.155911492449285</v>
      </c>
    </row>
    <row r="23">
      <c r="A23" s="14" t="inlineStr">
        <is>
          <t>Cash &amp; investments</t>
        </is>
      </c>
      <c r="B23" s="57">
        <f>Main!C7</f>
        <v>411.087</v>
      </c>
    </row>
    <row r="24">
      <c r="A24" s="14" t="inlineStr">
        <is>
          <t>Debt</t>
        </is>
      </c>
      <c r="B24" s="57">
        <f>Main!C8</f>
        <v>38.96</v>
      </c>
    </row>
    <row r="25">
      <c r="A25" s="24" t="inlineStr">
        <is>
          <t>Equity value</t>
        </is>
      </c>
      <c r="B25" s="54">
        <f>B22+B23-B24</f>
        <v>309.97108850755075</v>
      </c>
    </row>
    <row r="26">
      <c r="A26" s="14" t="inlineStr">
        <is>
          <t>Shares (mm)</t>
        </is>
      </c>
      <c r="B26" s="57">
        <f>Main!C4</f>
        <v>55.549168</v>
      </c>
    </row>
    <row r="27">
      <c r="A27" s="24" t="inlineStr">
        <is>
          <t>rNPV / share</t>
        </is>
      </c>
      <c r="B27" s="60">
        <f>B25/B26</f>
        <v>5.5801211731479174</v>
      </c>
    </row>
    <row r="28">
      <c r="A28" s="14" t="inlineStr">
        <is>
          <t>Price</t>
        </is>
      </c>
      <c r="B28" s="61">
        <f>Main!C3</f>
        <v>32.45</v>
      </c>
    </row>
    <row r="29">
      <c r="A29" s="14" t="inlineStr">
        <is>
          <t>Upside</t>
        </is>
      </c>
      <c r="B29" s="62">
        <f>B27/B28-1</f>
        <v>-0.8280394091479841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2026-10-21T06:23:04Z</dcterms:modified>
  <cp:lastModifiedBy>Wang, Eric</cp:lastModifiedBy>
</cp:coreProperties>
</file>