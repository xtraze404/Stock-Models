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High Tide Inc</t>
        </is>
      </c>
      <c r="C2" s="10" t="n"/>
    </row>
    <row r="3">
      <c r="B3" t="inlineStr">
        <is>
          <t>Price</t>
        </is>
      </c>
      <c r="C3" s="11">
        <f>INDEX([1]Pharma!$F$1:$F$1000,MATCH("HITI",[1]Pharma!$B$1:$B$1000,0))</f>
        <v>2.65</v>
      </c>
      <c r="F3" s="1" t="n"/>
    </row>
    <row r="4">
      <c r="B4" t="inlineStr">
        <is>
          <t>Shares</t>
        </is>
      </c>
      <c r="C4" s="51" t="n">
        <v>87.235986</v>
      </c>
      <c r="F4" s="1" t="n"/>
    </row>
    <row r="5">
      <c r="B5" t="inlineStr">
        <is>
          <t>Market Cap.</t>
        </is>
      </c>
      <c r="C5" s="13">
        <f>C3*C4</f>
        <v>231.17536289999998</v>
      </c>
      <c r="F5" s="1" t="n"/>
    </row>
    <row r="6"/>
    <row r="7">
      <c r="B7" t="inlineStr">
        <is>
          <t>Cash</t>
        </is>
      </c>
      <c r="C7" s="51">
        <f>(47.883)/1.4161</f>
        <v>33.81329002189111</v>
      </c>
    </row>
    <row r="8">
      <c r="B8" t="inlineStr">
        <is>
          <t>Debt</t>
        </is>
      </c>
      <c r="C8" s="51">
        <f>(16.189+1.536+11.903)/1.4161</f>
        <v>20.922251253442553</v>
      </c>
    </row>
    <row r="9">
      <c r="B9" t="inlineStr">
        <is>
          <t>Enterprise V.</t>
        </is>
      </c>
      <c r="C9" s="13">
        <f>C5-C7+C8</f>
        <v>218.28432413155144</v>
      </c>
    </row>
    <row r="10"/>
    <row r="11">
      <c r="B11" s="14" t="inlineStr">
        <is>
          <t>NPV / Share</t>
        </is>
      </c>
      <c r="C11" s="11">
        <f>NPV!B28</f>
        <v>3.356647505514884</v>
      </c>
    </row>
    <row r="12">
      <c r="B12" s="14" t="inlineStr">
        <is>
          <t>Upside</t>
        </is>
      </c>
      <c r="C12" s="15">
        <f>IFERROR(C11/C3-1,"")</f>
        <v>0.2666594360433525</v>
      </c>
    </row>
    <row r="13">
      <c r="B13" s="14" t="inlineStr">
        <is>
          <t>Cash / Share</t>
        </is>
      </c>
      <c r="C13" s="11">
        <f>IFERROR((C7-C8)/C4,"")</f>
        <v>0.1477720303229972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2020</v>
      </c>
      <c r="C1" s="16" t="n">
        <v>2021</v>
      </c>
      <c r="D1" s="16" t="n">
        <v>2022</v>
      </c>
      <c r="E1" s="16" t="n">
        <v>2023</v>
      </c>
      <c r="F1" s="16" t="n">
        <v>2024</v>
      </c>
      <c r="G1" s="16" t="n">
        <v>2025</v>
      </c>
      <c r="H1" s="16" t="n">
        <v>2026</v>
      </c>
      <c r="I1" s="16" t="n">
        <v>2027</v>
      </c>
      <c r="J1" s="16" t="n">
        <v>2028</v>
      </c>
      <c r="K1" s="16" t="n">
        <v>2029</v>
      </c>
      <c r="L1" s="16" t="n">
        <v>2030</v>
      </c>
      <c r="M1" s="16" t="n">
        <v>2031</v>
      </c>
      <c r="N1" s="16" t="n">
        <v>2032</v>
      </c>
      <c r="O1" s="16" t="n">
        <v>2033</v>
      </c>
      <c r="P1" s="16" t="n">
        <v>2034</v>
      </c>
      <c r="Q1" s="16" t="n">
        <v>2035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58.799</v>
      </c>
      <c r="C2" s="52" t="n">
        <v>127.903</v>
      </c>
      <c r="D2" s="52" t="n">
        <v>251.996</v>
      </c>
      <c r="E2" s="52" t="n">
        <v>344.375</v>
      </c>
      <c r="F2" s="52" t="n">
        <v>368.834</v>
      </c>
      <c r="G2" s="52" t="n">
        <v>419.452</v>
      </c>
      <c r="H2" s="52">
        <f>G2*(1+NPV!C5)</f>
        <v>463.1169532</v>
      </c>
      <c r="I2" s="52">
        <f>H2*(1+NPV!D5)</f>
        <v>507.25714458388444</v>
      </c>
      <c r="J2" s="52">
        <f>I2*(1+NPV!E5)</f>
        <v>551.1461599713812</v>
      </c>
      <c r="K2" s="52">
        <f>J2*(1+NPV!F5)</f>
        <v>593.9885881398233</v>
      </c>
      <c r="L2" s="52">
        <f>K2*(1+NPV!G5)</f>
        <v>634.9408013554633</v>
      </c>
      <c r="M2" s="52">
        <f>L2*(1+NPV!H5)</f>
        <v>673.1360180058908</v>
      </c>
      <c r="N2" s="52">
        <f>M2*(1+NPV!I5)</f>
        <v>707.7127714641267</v>
      </c>
      <c r="O2" s="52">
        <f>N2*(1+NPV!J5)</f>
        <v>737.8456085780216</v>
      </c>
      <c r="P2" s="52">
        <f>O2*(1+NPV!K5)</f>
        <v>762.776591863419</v>
      </c>
      <c r="Q2" s="52">
        <f>P2*(1+NPV!L5)</f>
        <v>781.8460066600044</v>
      </c>
    </row>
    <row r="3" customFormat="1" s="1">
      <c r="A3" s="5" t="inlineStr">
        <is>
          <t>Cost of Sales</t>
        </is>
      </c>
      <c r="B3" s="52" t="n">
        <v>37.04</v>
      </c>
      <c r="C3" s="52" t="n">
        <v>82.72</v>
      </c>
      <c r="D3" s="52" t="n">
        <v>180.708</v>
      </c>
      <c r="E3" s="52" t="n">
        <v>251.645</v>
      </c>
      <c r="F3" s="52" t="n">
        <v>268.204</v>
      </c>
      <c r="G3" s="52" t="n">
        <v>310.424</v>
      </c>
      <c r="H3" s="52">
        <f>H2*(1-Assumptions!$B$19)</f>
        <v>342.75285706332</v>
      </c>
      <c r="I3" s="52">
        <f>I2*(1-Assumptions!$B$19)</f>
        <v>375.42101270653285</v>
      </c>
      <c r="J3" s="52">
        <f>J2*(1-Assumptions!$B$19)</f>
        <v>407.9032729948192</v>
      </c>
      <c r="K3" s="52">
        <f>K2*(1-Assumptions!$B$19)</f>
        <v>439.6109540822832</v>
      </c>
      <c r="L3" s="52">
        <f>L2*(1-Assumptions!$B$19)</f>
        <v>469.9196870831784</v>
      </c>
      <c r="M3" s="52">
        <f>M2*(1-Assumptions!$B$19)</f>
        <v>498.1879669261598</v>
      </c>
      <c r="N3" s="52">
        <f>N2*(1-Assumptions!$B$19)</f>
        <v>523.7782221606002</v>
      </c>
      <c r="O3" s="52">
        <f>O2*(1-Assumptions!$B$19)</f>
        <v>546.0795349085938</v>
      </c>
      <c r="P3" s="52">
        <f>P2*(1-Assumptions!$B$19)</f>
        <v>564.5309556381163</v>
      </c>
      <c r="Q3" s="52">
        <f>Q2*(1-Assumptions!$B$19)</f>
        <v>578.6442295290692</v>
      </c>
    </row>
    <row r="4" customFormat="1" s="1">
      <c r="A4" s="5" t="inlineStr">
        <is>
          <t>Gross Margin</t>
        </is>
      </c>
      <c r="B4" s="52">
        <f>B2-B3</f>
        <v>21.759</v>
      </c>
      <c r="C4" s="52">
        <f>C2-C3</f>
        <v>45.18300000000001</v>
      </c>
      <c r="D4" s="52">
        <f>D2-D3</f>
        <v>71.28800000000001</v>
      </c>
      <c r="E4" s="52">
        <f>E2-E3</f>
        <v>92.72999999999999</v>
      </c>
      <c r="F4" s="52">
        <f>F2-F3</f>
        <v>100.63</v>
      </c>
      <c r="G4" s="52">
        <f>G2-G3</f>
        <v>109.02800000000002</v>
      </c>
      <c r="H4" s="52">
        <f>H2-H3</f>
        <v>120.36409613668002</v>
      </c>
      <c r="I4" s="52">
        <f>I2-I3</f>
        <v>131.8361318773516</v>
      </c>
      <c r="J4" s="52">
        <f>J2-J3</f>
        <v>143.24288697656198</v>
      </c>
      <c r="K4" s="52">
        <f>K2-K3</f>
        <v>154.3776340575401</v>
      </c>
      <c r="L4" s="52">
        <f>L2-L3</f>
        <v>165.02111427228493</v>
      </c>
      <c r="M4" s="52">
        <f>M2-M3</f>
        <v>174.94805107973104</v>
      </c>
      <c r="N4" s="52">
        <f>N2-N3</f>
        <v>183.93454930352652</v>
      </c>
      <c r="O4" s="52">
        <f>O2-O3</f>
        <v>191.76607366942778</v>
      </c>
      <c r="P4" s="52">
        <f>P2-P3</f>
        <v>198.24563622530263</v>
      </c>
      <c r="Q4" s="52">
        <f>Q2-Q3</f>
        <v>203.20177713093517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</v>
      </c>
      <c r="F5" s="52" t="n">
        <v>0</v>
      </c>
      <c r="G5" s="52" t="n">
        <v>0</v>
      </c>
      <c r="H5" s="52">
        <f>H7*Assumptions!$B$20</f>
        <v>0.0</v>
      </c>
      <c r="I5" s="52">
        <f>I7*Assumptions!$B$20</f>
        <v>0.0</v>
      </c>
      <c r="J5" s="52">
        <f>J7*Assumptions!$B$20</f>
        <v>0.0</v>
      </c>
      <c r="K5" s="52">
        <f>K7*Assumptions!$B$20</f>
        <v>0.0</v>
      </c>
      <c r="L5" s="52">
        <f>L7*Assumptions!$B$20</f>
        <v>0.0</v>
      </c>
      <c r="M5" s="52">
        <f>M7*Assumptions!$B$20</f>
        <v>0.0</v>
      </c>
      <c r="N5" s="52">
        <f>N7*Assumptions!$B$20</f>
        <v>0.0</v>
      </c>
      <c r="O5" s="52">
        <f>O7*Assumptions!$B$20</f>
        <v>0.0</v>
      </c>
      <c r="P5" s="52">
        <f>P7*Assumptions!$B$20</f>
        <v>0.0</v>
      </c>
      <c r="Q5" s="52">
        <f>Q7*Assumptions!$B$20</f>
        <v>0.0</v>
      </c>
    </row>
    <row r="6">
      <c r="A6" s="18" t="inlineStr">
        <is>
          <t>SG&amp;A &amp; Other</t>
        </is>
      </c>
      <c r="B6" s="52" t="n">
        <v>21.694</v>
      </c>
      <c r="C6" s="52" t="n">
        <v>58.369</v>
      </c>
      <c r="D6" s="52" t="n">
        <v>122.352</v>
      </c>
      <c r="E6" s="52" t="n">
        <v>121.982</v>
      </c>
      <c r="F6" s="52" t="n">
        <v>97.09699999999999</v>
      </c>
      <c r="G6" s="52" t="n">
        <v>119.231</v>
      </c>
      <c r="H6" s="52">
        <f>H7-H5</f>
        <v>125.40280858749603</v>
      </c>
      <c r="I6" s="52">
        <f>I7-I5</f>
        <v>130.54769873010852</v>
      </c>
      <c r="J6" s="52">
        <f>J7-J5</f>
        <v>134.44659426341875</v>
      </c>
      <c r="K6" s="52">
        <f>K7-K5</f>
        <v>136.9262493379921</v>
      </c>
      <c r="L6" s="52">
        <f>L7-L5</f>
        <v>137.84564797427112</v>
      </c>
      <c r="M6" s="52">
        <f>M7-M5</f>
        <v>137.10434414743986</v>
      </c>
      <c r="N6" s="52">
        <f>N7-N5</f>
        <v>134.64943189876476</v>
      </c>
      <c r="O6" s="52">
        <f>O7-O5</f>
        <v>130.48061742093734</v>
      </c>
      <c r="P6" s="52">
        <f>P7-P5</f>
        <v>124.65295064232</v>
      </c>
      <c r="Q6" s="52">
        <f>Q7-Q5</f>
        <v>117.2769009990007</v>
      </c>
    </row>
    <row r="7">
      <c r="A7" s="2" t="inlineStr">
        <is>
          <t>Operating Expense</t>
        </is>
      </c>
      <c r="B7" s="52">
        <f>SUM(B5:B6)</f>
        <v>21.694</v>
      </c>
      <c r="C7" s="52">
        <f>SUM(C5:C6)</f>
        <v>58.369</v>
      </c>
      <c r="D7" s="52">
        <f>SUM(D5:D6)</f>
        <v>122.352</v>
      </c>
      <c r="E7" s="52">
        <f>SUM(E5:E6)</f>
        <v>121.982</v>
      </c>
      <c r="F7" s="52">
        <f>SUM(F5:F6)</f>
        <v>97.097</v>
      </c>
      <c r="G7" s="52">
        <f>SUM(G5:G6)</f>
        <v>119.231</v>
      </c>
      <c r="H7" s="52">
        <f>H4-H2*NPV!C6</f>
        <v>125.40280858749603</v>
      </c>
      <c r="I7" s="52">
        <f>I4-I2*NPV!D6</f>
        <v>130.54769873010852</v>
      </c>
      <c r="J7" s="52">
        <f>J4-J2*NPV!E6</f>
        <v>134.44659426341875</v>
      </c>
      <c r="K7" s="52">
        <f>K4-K2*NPV!F6</f>
        <v>136.9262493379921</v>
      </c>
      <c r="L7" s="52">
        <f>L4-L2*NPV!G6</f>
        <v>137.84564797427112</v>
      </c>
      <c r="M7" s="52">
        <f>M4-M2*NPV!H6</f>
        <v>137.10434414743986</v>
      </c>
      <c r="N7" s="52">
        <f>N4-N2*NPV!I6</f>
        <v>134.64943189876476</v>
      </c>
      <c r="O7" s="52">
        <f>O4-O2*NPV!J6</f>
        <v>130.48061742093734</v>
      </c>
      <c r="P7" s="52">
        <f>P4-P2*NPV!K6</f>
        <v>124.65295064232</v>
      </c>
      <c r="Q7" s="52">
        <f>Q4-Q2*NPV!L6</f>
        <v>117.2769009990007</v>
      </c>
    </row>
    <row r="8">
      <c r="A8" s="2" t="inlineStr">
        <is>
          <t>Operating Income</t>
        </is>
      </c>
      <c r="B8" s="52">
        <f>B4-B7</f>
        <v>0.06500000000000128</v>
      </c>
      <c r="C8" s="52">
        <f>C4-C7</f>
        <v>-13.185999999999993</v>
      </c>
      <c r="D8" s="52">
        <f>D4-D7</f>
        <v>-51.06399999999999</v>
      </c>
      <c r="E8" s="52">
        <f>E4-E7</f>
        <v>-29.25200000000001</v>
      </c>
      <c r="F8" s="52">
        <f>F4-F7</f>
        <v>3.5330000000000013</v>
      </c>
      <c r="G8" s="52">
        <f>G4-G7</f>
        <v>-10.202999999999975</v>
      </c>
      <c r="H8" s="52">
        <f>H4-H7</f>
        <v>-5.038712450816007</v>
      </c>
      <c r="I8" s="52">
        <f>I4-I7</f>
        <v>1.2884331472430688</v>
      </c>
      <c r="J8" s="52">
        <f>J4-J7</f>
        <v>8.796292713143231</v>
      </c>
      <c r="K8" s="52">
        <f>K4-K7</f>
        <v>17.451384719548003</v>
      </c>
      <c r="L8" s="52">
        <f>L4-L7</f>
        <v>27.175466298013816</v>
      </c>
      <c r="M8" s="52">
        <f>M4-M7</f>
        <v>37.843706932291184</v>
      </c>
      <c r="N8" s="52">
        <f>N4-N7</f>
        <v>49.28511740476176</v>
      </c>
      <c r="O8" s="52">
        <f>O4-O7</f>
        <v>61.28545624849045</v>
      </c>
      <c r="P8" s="52">
        <f>P4-P7</f>
        <v>73.59268558298264</v>
      </c>
      <c r="Q8" s="52">
        <f>Q4-Q7</f>
        <v>85.92487613193447</v>
      </c>
    </row>
    <row r="9">
      <c r="A9" s="18" t="inlineStr">
        <is>
          <t>Interest &amp; Other</t>
        </is>
      </c>
      <c r="B9" s="52" t="n">
        <v>-4.823</v>
      </c>
      <c r="C9" s="52" t="n">
        <v>-11.59</v>
      </c>
      <c r="D9" s="52" t="n">
        <v>-1.667</v>
      </c>
      <c r="E9" s="52" t="n">
        <v>-3.904</v>
      </c>
      <c r="F9" s="52" t="n">
        <v>-7.014</v>
      </c>
      <c r="G9" s="52" t="n">
        <v>-25.651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</row>
    <row r="10">
      <c r="A10" s="2" t="inlineStr">
        <is>
          <t>Pretax</t>
        </is>
      </c>
      <c r="B10" s="52">
        <f>B8+B9</f>
        <v>-4.757999999999999</v>
      </c>
      <c r="C10" s="52">
        <f>C8+C9</f>
        <v>-24.775999999999993</v>
      </c>
      <c r="D10" s="52">
        <f>D8+D9</f>
        <v>-52.730999999999995</v>
      </c>
      <c r="E10" s="52">
        <f>E8+E9</f>
        <v>-33.156000000000006</v>
      </c>
      <c r="F10" s="52">
        <f>F8+F9</f>
        <v>-3.480999999999999</v>
      </c>
      <c r="G10" s="52">
        <f>G8+G9</f>
        <v>-35.85399999999997</v>
      </c>
      <c r="H10" s="52">
        <f>H8+H9</f>
        <v>-5.038712450816007</v>
      </c>
      <c r="I10" s="52">
        <f>I8+I9</f>
        <v>1.2884331472430688</v>
      </c>
      <c r="J10" s="52">
        <f>J8+J9</f>
        <v>8.796292713143231</v>
      </c>
      <c r="K10" s="52">
        <f>K8+K9</f>
        <v>17.451384719548003</v>
      </c>
      <c r="L10" s="52">
        <f>L8+L9</f>
        <v>27.175466298013816</v>
      </c>
      <c r="M10" s="52">
        <f>M8+M9</f>
        <v>37.843706932291184</v>
      </c>
      <c r="N10" s="52">
        <f>N8+N9</f>
        <v>49.28511740476176</v>
      </c>
      <c r="O10" s="52">
        <f>O8+O9</f>
        <v>61.28545624849045</v>
      </c>
      <c r="P10" s="52">
        <f>P8+P9</f>
        <v>73.59268558298264</v>
      </c>
      <c r="Q10" s="52">
        <f>Q8+Q9</f>
        <v>85.92487613193447</v>
      </c>
    </row>
    <row r="11">
      <c r="A11" s="2" t="inlineStr">
        <is>
          <t>Taxes</t>
        </is>
      </c>
      <c r="B11" s="52" t="n">
        <v>0.162</v>
      </c>
      <c r="C11" s="52" t="n">
        <v>-0.516</v>
      </c>
      <c r="D11" s="52" t="n">
        <v>-2.058</v>
      </c>
      <c r="E11" s="52" t="n">
        <v>-5.398</v>
      </c>
      <c r="F11" s="52" t="n">
        <v>-0.419</v>
      </c>
      <c r="G11" s="52" t="n">
        <v>-0.018</v>
      </c>
      <c r="H11" s="52">
        <f>MAX(0,H10)*Assumptions!$E$14</f>
        <v>0.0</v>
      </c>
      <c r="I11" s="52">
        <f>MAX(0,I10)*Assumptions!$E$14</f>
        <v>0.2190336350313217</v>
      </c>
      <c r="J11" s="52">
        <f>MAX(0,J10)*Assumptions!$E$14</f>
        <v>1.4953697612343493</v>
      </c>
      <c r="K11" s="52">
        <f>MAX(0,K10)*Assumptions!$E$14</f>
        <v>2.9667354023231605</v>
      </c>
      <c r="L11" s="52">
        <f>MAX(0,L10)*Assumptions!$E$14</f>
        <v>4.619829270662349</v>
      </c>
      <c r="M11" s="52">
        <f>MAX(0,M10)*Assumptions!$E$14</f>
        <v>6.433430178489502</v>
      </c>
      <c r="N11" s="52">
        <f>MAX(0,N10)*Assumptions!$E$14</f>
        <v>8.3784699588095</v>
      </c>
      <c r="O11" s="52">
        <f>MAX(0,O10)*Assumptions!$E$14</f>
        <v>10.418527562243376</v>
      </c>
      <c r="P11" s="52">
        <f>MAX(0,P10)*Assumptions!$E$14</f>
        <v>12.51075654910705</v>
      </c>
      <c r="Q11" s="52">
        <f>MAX(0,Q10)*Assumptions!$E$14</f>
        <v>14.607228942428861</v>
      </c>
    </row>
    <row r="12">
      <c r="A12" s="2" t="inlineStr">
        <is>
          <t>Net Income</t>
        </is>
      </c>
      <c r="B12" s="52" t="n">
        <v>-4.921</v>
      </c>
      <c r="C12" s="52" t="n">
        <v>-24.262</v>
      </c>
      <c r="D12" s="52" t="n">
        <v>-50.672</v>
      </c>
      <c r="E12" s="52" t="n">
        <v>-27.759</v>
      </c>
      <c r="F12" s="52" t="n">
        <v>-3.063</v>
      </c>
      <c r="G12" s="52" t="n">
        <v>-35.836</v>
      </c>
      <c r="H12" s="52">
        <f>H10-H11</f>
        <v>-5.038712450816007</v>
      </c>
      <c r="I12" s="52">
        <f>I10-I11</f>
        <v>1.069399512211747</v>
      </c>
      <c r="J12" s="52">
        <f>J10-J11</f>
        <v>7.300922951908881</v>
      </c>
      <c r="K12" s="52">
        <f>K10-K11</f>
        <v>14.484649317224843</v>
      </c>
      <c r="L12" s="52">
        <f>L10-L11</f>
        <v>22.555637027351466</v>
      </c>
      <c r="M12" s="52">
        <f>M10-M11</f>
        <v>31.410276753801682</v>
      </c>
      <c r="N12" s="52">
        <f>N10-N11</f>
        <v>40.90664744595226</v>
      </c>
      <c r="O12" s="52">
        <f>O10-O11</f>
        <v>50.86692868624707</v>
      </c>
      <c r="P12" s="52">
        <f>P10-P11</f>
        <v>61.08192903387559</v>
      </c>
      <c r="Q12" s="52">
        <f>Q10-Q11</f>
        <v>71.3176471895056</v>
      </c>
    </row>
    <row r="13">
      <c r="A13" s="2" t="inlineStr">
        <is>
          <t>Earnings per Share</t>
        </is>
      </c>
      <c r="B13" s="11">
        <f>IFERROR(B12/B14,0)</f>
        <v>-0.32232920678587806</v>
      </c>
      <c r="C13" s="11">
        <f>IFERROR(C12/C14,0)</f>
        <v>-0.5717854449472096</v>
      </c>
      <c r="D13" s="11">
        <f>IFERROR(D12/D14,0)</f>
        <v>-0.807200318598168</v>
      </c>
      <c r="E13" s="11">
        <f>IFERROR(E12/E14,0)</f>
        <v>-0.37346123316605906</v>
      </c>
      <c r="F13" s="11">
        <f>IFERROR(F12/F14,0)</f>
        <v>-0.03850069761303217</v>
      </c>
      <c r="G13" s="11">
        <f>IFERROR(G12/G14,0)</f>
        <v>-0.4360724759366748</v>
      </c>
      <c r="H13" s="11">
        <f>IFERROR(H12/H14,0)</f>
        <v>-0.05775956324739663</v>
      </c>
      <c r="I13" s="11">
        <f>IFERROR(I12/I14,0)</f>
        <v>0.012258696912209453</v>
      </c>
      <c r="J13" s="11">
        <f>IFERROR(J12/J14,0)</f>
        <v>0.08369164248236825</v>
      </c>
      <c r="K13" s="11">
        <f>IFERROR(K12/K14,0)</f>
        <v>0.16603984182886228</v>
      </c>
      <c r="L13" s="11">
        <f>IFERROR(L12/L14,0)</f>
        <v>0.2585588592688282</v>
      </c>
      <c r="M13" s="11">
        <f>IFERROR(M12/M14,0)</f>
        <v>0.36006100456985357</v>
      </c>
      <c r="N13" s="11">
        <f>IFERROR(N12/N14,0)</f>
        <v>0.46891941412747096</v>
      </c>
      <c r="O13" s="11">
        <f>IFERROR(O12/O14,0)</f>
        <v>0.5830957041770247</v>
      </c>
      <c r="P13" s="11">
        <f>IFERROR(P12/P14,0)</f>
        <v>0.7001918799184043</v>
      </c>
      <c r="Q13" s="11">
        <f>IFERROR(Q12/Q14,0)</f>
        <v>0.8175255471922517</v>
      </c>
    </row>
    <row r="14">
      <c r="A14" s="2" t="inlineStr">
        <is>
          <t>Shares</t>
        </is>
      </c>
      <c r="B14" s="52" t="n">
        <v>15.267</v>
      </c>
      <c r="C14" s="52" t="n">
        <v>42.432</v>
      </c>
      <c r="D14" s="52" t="n">
        <v>62.775</v>
      </c>
      <c r="E14" s="52" t="n">
        <v>74.32899999999999</v>
      </c>
      <c r="F14" s="52" t="n">
        <v>79.557</v>
      </c>
      <c r="G14" s="52" t="n">
        <v>82.179</v>
      </c>
      <c r="H14" s="52">
        <f>Main!$C$4</f>
        <v>87.235986</v>
      </c>
      <c r="I14" s="52">
        <f>Main!$C$4</f>
        <v>87.235986</v>
      </c>
      <c r="J14" s="52">
        <f>Main!$C$4</f>
        <v>87.235986</v>
      </c>
      <c r="K14" s="52">
        <f>Main!$C$4</f>
        <v>87.235986</v>
      </c>
      <c r="L14" s="52">
        <f>Main!$C$4</f>
        <v>87.235986</v>
      </c>
      <c r="M14" s="52">
        <f>Main!$C$4</f>
        <v>87.235986</v>
      </c>
      <c r="N14" s="52">
        <f>Main!$C$4</f>
        <v>87.235986</v>
      </c>
      <c r="O14" s="52">
        <f>Main!$C$4</f>
        <v>87.235986</v>
      </c>
      <c r="P14" s="52">
        <f>Main!$C$4</f>
        <v>87.235986</v>
      </c>
      <c r="Q14" s="52">
        <f>Main!$C$4</f>
        <v>87.235986</v>
      </c>
    </row>
    <row r="15"/>
    <row r="16" customFormat="1" s="4">
      <c r="A16" s="3" t="inlineStr">
        <is>
          <t>Revenue Change</t>
        </is>
      </c>
      <c r="C16" s="15">
        <f>IFERROR(C2/B2-1,"")</f>
        <v>1.175258082620453</v>
      </c>
      <c r="D16" s="15">
        <f>IFERROR(D2/C2-1,"")</f>
        <v>0.9702118011305443</v>
      </c>
      <c r="E16" s="15">
        <f>IFERROR(E2/D2-1,"")</f>
        <v>0.3665891522087652</v>
      </c>
      <c r="F16" s="15">
        <f>IFERROR(F2/E2-1,"")</f>
        <v>0.0710243194192377</v>
      </c>
      <c r="G16" s="15">
        <f>IFERROR(G2/F2-1,"")</f>
        <v>0.1372378902161948</v>
      </c>
      <c r="H16" s="15">
        <f>IFERROR(H2/G2-1,"")</f>
        <v>0.10410000000000008</v>
      </c>
      <c r="I16" s="15">
        <f>IFERROR(I2/H2-1,"")</f>
        <v>0.09531111111111112</v>
      </c>
      <c r="J16" s="15">
        <f>IFERROR(J2/I2-1,"")</f>
        <v>0.08652222222222217</v>
      </c>
      <c r="K16" s="15">
        <f>IFERROR(K2/J2-1,"")</f>
        <v>0.07773333333333343</v>
      </c>
      <c r="L16" s="15">
        <f>IFERROR(L2/K2-1,"")</f>
        <v>0.06894444444444447</v>
      </c>
      <c r="M16" s="15">
        <f>IFERROR(M2/L2-1,"")</f>
        <v>0.06015555555555552</v>
      </c>
      <c r="N16" s="15">
        <f>IFERROR(N2/M2-1,"")</f>
        <v>0.05136666666666656</v>
      </c>
      <c r="O16" s="15">
        <f>IFERROR(O2/N2-1,"")</f>
        <v>0.042577777777777825</v>
      </c>
      <c r="P16" s="15">
        <f>IFERROR(P2/O2-1,"")</f>
        <v>0.03378888888888887</v>
      </c>
      <c r="Q16" s="15">
        <f>IFERROR(Q2/P2-1,"")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0.37005731389989627</v>
      </c>
      <c r="C17" s="15">
        <f>IFERROR(C4/C2,"")</f>
        <v>0.3532598922621049</v>
      </c>
      <c r="D17" s="15">
        <f>IFERROR(D4/D2,"")</f>
        <v>0.2828933792599883</v>
      </c>
      <c r="E17" s="15">
        <f>IFERROR(E4/E2,"")</f>
        <v>0.2692704174228675</v>
      </c>
      <c r="F17" s="15">
        <f>IFERROR(F4/F2,"")</f>
        <v>0.27283276487525554</v>
      </c>
      <c r="G17" s="15">
        <f>IFERROR(G4/G2,"")</f>
        <v>0.2599296224597809</v>
      </c>
      <c r="H17" s="15">
        <f>IFERROR(H4/H2,"")</f>
        <v>0.2599</v>
      </c>
      <c r="I17" s="15">
        <f>IFERROR(I4/I2,"")</f>
        <v>0.2599000000000001</v>
      </c>
      <c r="J17" s="15">
        <f>IFERROR(J4/J2,"")</f>
        <v>0.2599</v>
      </c>
      <c r="K17" s="15">
        <f>IFERROR(K4/K2,"")</f>
        <v>0.2599</v>
      </c>
      <c r="L17" s="15">
        <f>IFERROR(L4/L2,"")</f>
        <v>0.2599</v>
      </c>
      <c r="M17" s="15">
        <f>IFERROR(M4/M2,"")</f>
        <v>0.2599</v>
      </c>
      <c r="N17" s="15">
        <f>IFERROR(N4/N2,"")</f>
        <v>0.25989999999999996</v>
      </c>
      <c r="O17" s="15">
        <f>IFERROR(O4/O2,"")</f>
        <v>0.25989999999999996</v>
      </c>
      <c r="P17" s="15">
        <f>IFERROR(P4/P2,"")</f>
        <v>0.2599000000000001</v>
      </c>
      <c r="Q17" s="15">
        <f>IFERROR(Q4/Q2,"")</f>
        <v>0.2599</v>
      </c>
    </row>
    <row r="18">
      <c r="A18" s="14" t="inlineStr">
        <is>
          <t>Operating Margin</t>
        </is>
      </c>
      <c r="B18" s="15">
        <f>IFERROR(B8/B2,"")</f>
        <v>0.0011054609772275256</v>
      </c>
      <c r="C18" s="15">
        <f>IFERROR(C8/C2,"")</f>
        <v>-0.10309375073297727</v>
      </c>
      <c r="D18" s="15">
        <f>IFERROR(D8/D2,"")</f>
        <v>-0.2026381371132875</v>
      </c>
      <c r="E18" s="15">
        <f>IFERROR(E8/E2,"")</f>
        <v>-0.08494228675136119</v>
      </c>
      <c r="F18" s="15">
        <f>IFERROR(F8/F2,"")</f>
        <v>0.009578834923027706</v>
      </c>
      <c r="G18" s="15">
        <f>IFERROR(G8/G2,"")</f>
        <v>-0.024324594947693595</v>
      </c>
      <c r="H18" s="15">
        <f>IFERROR(H8/H2,"")</f>
        <v>-0.010880000000000015</v>
      </c>
      <c r="I18" s="15">
        <f>IFERROR(I8/I2,"")</f>
        <v>0.0025400000000000045</v>
      </c>
      <c r="J18" s="15">
        <f>IFERROR(J8/J2,"")</f>
        <v>0.015959999999999978</v>
      </c>
      <c r="K18" s="15">
        <f>IFERROR(K8/K2,"")</f>
        <v>0.029379999999999993</v>
      </c>
      <c r="L18" s="15">
        <f>IFERROR(L8/L2,"")</f>
        <v>0.04279999999999998</v>
      </c>
      <c r="M18" s="15">
        <f>IFERROR(M8/M2,"")</f>
        <v>0.05622</v>
      </c>
      <c r="N18" s="15">
        <f>IFERROR(N8/N2,"")</f>
        <v>0.06963999999999997</v>
      </c>
      <c r="O18" s="15">
        <f>IFERROR(O8/O2,"")</f>
        <v>0.08305999999999997</v>
      </c>
      <c r="P18" s="15">
        <f>IFERROR(P8/P2,"")</f>
        <v>0.09647999999999997</v>
      </c>
      <c r="Q18" s="15">
        <f>IFERROR(Q8/Q2,"")</f>
        <v>0.10989999999999998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High Tide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0.0541</v>
      </c>
      <c r="C12" s="53" t="n">
        <v>0.1041</v>
      </c>
      <c r="D12" s="53" t="n">
        <v>0.1541</v>
      </c>
      <c r="E12" s="54">
        <f>CHOOSE($B$4,B12,C12,D12)</f>
        <v>0.1041</v>
      </c>
    </row>
    <row r="13">
      <c r="A13" s="14" t="inlineStr">
        <is>
          <t>Operating margin, year 10</t>
        </is>
      </c>
      <c r="B13" s="53" t="n">
        <v>0.0599</v>
      </c>
      <c r="C13" s="53" t="n">
        <v>0.1099</v>
      </c>
      <c r="D13" s="53" t="n">
        <v>0.1599</v>
      </c>
      <c r="E13" s="54">
        <f>CHOOSE($B$4,B13,C13,D13)</f>
        <v>0.1099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-0.0243</v>
      </c>
    </row>
    <row r="19">
      <c r="A19" s="14" t="inlineStr">
        <is>
          <t>Gross margin (forecast)</t>
        </is>
      </c>
      <c r="B19" s="53" t="n">
        <v>0.2599</v>
      </c>
    </row>
    <row r="20">
      <c r="A20" s="14" t="inlineStr">
        <is>
          <t>R&amp;D share of operating expense (forecast)</t>
        </is>
      </c>
      <c r="B20" s="53" t="n">
        <v>0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45961</v>
      </c>
    </row>
    <row r="24">
      <c r="A24" s="14" t="inlineStr">
        <is>
          <t>Reporting currency per USD (CAD)</t>
        </is>
      </c>
      <c r="B24" s="32" t="n">
        <v>1.4161</v>
      </c>
    </row>
    <row r="25">
      <c r="A25" s="14" t="inlineStr">
        <is>
          <t>Base revenue, FY2025</t>
        </is>
      </c>
      <c r="B25" s="55">
        <f>'Yearly Model'!G2</f>
        <v>419.452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279.92941602958274</v>
      </c>
      <c r="C29" s="56">
        <f>NPV!B26</f>
        <v>292.82045479803134</v>
      </c>
      <c r="D29" s="35">
        <f>NPV!B28</f>
        <v>3.356647505514884</v>
      </c>
      <c r="E29" s="57">
        <f>NPV!B30</f>
        <v>0.2666594360433525</v>
      </c>
    </row>
    <row r="30">
      <c r="A30" s="58" t="n">
        <v>1</v>
      </c>
      <c r="B30" s="59">
        <f t="dataTable" ref="B30:E32" r1="B4"/>
        <v>76.22265970730791</v>
      </c>
      <c r="C30" s="59">
        <v>89.11369847575646</v>
      </c>
      <c r="D30" s="39">
        <v>1.0215245171385634</v>
      </c>
      <c r="E30" s="60">
        <v>-0.6145190501363911</v>
      </c>
    </row>
    <row r="31">
      <c r="A31" s="58" t="n">
        <v>2</v>
      </c>
      <c r="B31" s="59">
        <v>279.92941602958274</v>
      </c>
      <c r="C31" s="59">
        <v>292.82045479803134</v>
      </c>
      <c r="D31" s="39">
        <v>3.356647505514884</v>
      </c>
      <c r="E31" s="60">
        <v>0.2666594360433525</v>
      </c>
    </row>
    <row r="32">
      <c r="A32" s="58" t="n">
        <v>3</v>
      </c>
      <c r="B32" s="59">
        <v>685.8367864422564</v>
      </c>
      <c r="C32" s="59">
        <v>698.727825210705</v>
      </c>
      <c r="D32" s="39">
        <v>8.009628334007768</v>
      </c>
      <c r="E32" s="60">
        <v>2.0225012581161392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3.356647505514884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4.21542331769486</v>
      </c>
      <c r="C37" s="39">
        <v>4.444171106148088</v>
      </c>
      <c r="D37" s="39">
        <v>4.702040021234289</v>
      </c>
      <c r="E37" s="39">
        <v>4.994862464476565</v>
      </c>
      <c r="F37" s="39">
        <v>5.330137370390919</v>
      </c>
    </row>
    <row r="38">
      <c r="A38" s="62" t="n">
        <v>0.115</v>
      </c>
      <c r="B38" s="39">
        <v>3.584759789381646</v>
      </c>
      <c r="C38" s="39">
        <v>3.756133418890205</v>
      </c>
      <c r="D38" s="39">
        <v>3.946997931549142</v>
      </c>
      <c r="E38" s="39">
        <v>4.1607997603736475</v>
      </c>
      <c r="F38" s="39">
        <v>4.401847057545001</v>
      </c>
    </row>
    <row r="39">
      <c r="A39" s="62" t="n">
        <v>0.125</v>
      </c>
      <c r="B39" s="39">
        <v>3.0811245466794057</v>
      </c>
      <c r="C39" s="39">
        <v>3.212141265705163</v>
      </c>
      <c r="D39" s="39">
        <v>3.356647505514884</v>
      </c>
      <c r="E39" s="39">
        <v>3.5167790365932907</v>
      </c>
      <c r="F39" s="39">
        <v>3.6951463392785007</v>
      </c>
    </row>
    <row r="40">
      <c r="A40" s="62" t="n">
        <v>0.135</v>
      </c>
      <c r="B40" s="39">
        <v>2.671849788761752</v>
      </c>
      <c r="C40" s="39">
        <v>2.7736620251306037</v>
      </c>
      <c r="D40" s="39">
        <v>2.885068360196038</v>
      </c>
      <c r="E40" s="39">
        <v>3.0074444140763985</v>
      </c>
      <c r="F40" s="39">
        <v>3.1424410118404276</v>
      </c>
    </row>
    <row r="41">
      <c r="A41" s="62" t="n">
        <v>0.145</v>
      </c>
      <c r="B41" s="39">
        <v>2.334399414868005</v>
      </c>
      <c r="C41" s="39">
        <v>2.4145774073075823</v>
      </c>
      <c r="D41" s="39">
        <v>2.501734948998732</v>
      </c>
      <c r="E41" s="39">
        <v>2.596786791951428</v>
      </c>
      <c r="F41" s="39">
        <v>2.7008140769099045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High Tide Inc: free-cash-flow DCF ($mm)</t>
        </is>
      </c>
    </row>
    <row r="3">
      <c r="A3" s="20" t="inlineStr">
        <is>
          <t>Fiscal year</t>
        </is>
      </c>
      <c r="B3" s="43">
        <f>'Yearly Model'!G1</f>
        <v>2025</v>
      </c>
      <c r="C3" s="43">
        <f>'Yearly Model'!H1</f>
        <v>2026</v>
      </c>
      <c r="D3" s="43">
        <f>'Yearly Model'!I1</f>
        <v>2027</v>
      </c>
      <c r="E3" s="43">
        <f>'Yearly Model'!J1</f>
        <v>2028</v>
      </c>
      <c r="F3" s="43">
        <f>'Yearly Model'!K1</f>
        <v>2029</v>
      </c>
      <c r="G3" s="43">
        <f>'Yearly Model'!L1</f>
        <v>2030</v>
      </c>
      <c r="H3" s="43">
        <f>'Yearly Model'!M1</f>
        <v>2031</v>
      </c>
      <c r="I3" s="43">
        <f>'Yearly Model'!N1</f>
        <v>2032</v>
      </c>
      <c r="J3" s="43">
        <f>'Yearly Model'!O1</f>
        <v>2033</v>
      </c>
      <c r="K3" s="43">
        <f>'Yearly Model'!P1</f>
        <v>2034</v>
      </c>
      <c r="L3" s="43">
        <f>'Yearly Model'!Q1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0.1041</v>
      </c>
      <c r="D5" s="63">
        <f>Assumptions!$E$12+(Assumptions!$E$11-Assumptions!$E$12)*(D4-1)/(Assumptions!$B$21-1)</f>
        <v>0.09531111111111111</v>
      </c>
      <c r="E5" s="63">
        <f>Assumptions!$E$12+(Assumptions!$E$11-Assumptions!$E$12)*(E4-1)/(Assumptions!$B$21-1)</f>
        <v>0.08652222222222222</v>
      </c>
      <c r="F5" s="63">
        <f>Assumptions!$E$12+(Assumptions!$E$11-Assumptions!$E$12)*(F4-1)/(Assumptions!$B$21-1)</f>
        <v>0.07773333333333333</v>
      </c>
      <c r="G5" s="63">
        <f>Assumptions!$E$12+(Assumptions!$E$11-Assumptions!$E$12)*(G4-1)/(Assumptions!$B$21-1)</f>
        <v>0.06894444444444445</v>
      </c>
      <c r="H5" s="63">
        <f>Assumptions!$E$12+(Assumptions!$E$11-Assumptions!$E$12)*(H4-1)/(Assumptions!$B$21-1)</f>
        <v>0.06015555555555555</v>
      </c>
      <c r="I5" s="63">
        <f>Assumptions!$E$12+(Assumptions!$E$11-Assumptions!$E$12)*(I4-1)/(Assumptions!$B$21-1)</f>
        <v>0.051366666666666665</v>
      </c>
      <c r="J5" s="63">
        <f>Assumptions!$E$12+(Assumptions!$E$11-Assumptions!$E$12)*(J4-1)/(Assumptions!$B$21-1)</f>
        <v>0.04257777777777777</v>
      </c>
      <c r="K5" s="63">
        <f>Assumptions!$E$12+(Assumptions!$E$11-Assumptions!$E$12)*(K4-1)/(Assumptions!$B$21-1)</f>
        <v>0.03378888888888888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-0.024324594947693595</v>
      </c>
      <c r="C6" s="63">
        <f>Assumptions!$B$18+(Assumptions!$E$13-Assumptions!$B$18)*C4/Assumptions!$B$21</f>
        <v>-0.01088</v>
      </c>
      <c r="D6" s="63">
        <f>Assumptions!$B$18+(Assumptions!$E$13-Assumptions!$B$18)*D4/Assumptions!$B$21</f>
        <v>0.002539999999999997</v>
      </c>
      <c r="E6" s="63">
        <f>Assumptions!$B$18+(Assumptions!$E$13-Assumptions!$B$18)*E4/Assumptions!$B$21</f>
        <v>0.01596</v>
      </c>
      <c r="F6" s="63">
        <f>Assumptions!$B$18+(Assumptions!$E$13-Assumptions!$B$18)*F4/Assumptions!$B$21</f>
        <v>0.029379999999999993</v>
      </c>
      <c r="G6" s="63">
        <f>Assumptions!$B$18+(Assumptions!$E$13-Assumptions!$B$18)*G4/Assumptions!$B$21</f>
        <v>0.04279999999999999</v>
      </c>
      <c r="H6" s="63">
        <f>Assumptions!$B$18+(Assumptions!$E$13-Assumptions!$B$18)*H4/Assumptions!$B$21</f>
        <v>0.05621999999999999</v>
      </c>
      <c r="I6" s="63">
        <f>Assumptions!$B$18+(Assumptions!$E$13-Assumptions!$B$18)*I4/Assumptions!$B$21</f>
        <v>0.06964</v>
      </c>
      <c r="J6" s="63">
        <f>Assumptions!$B$18+(Assumptions!$E$13-Assumptions!$B$18)*J4/Assumptions!$B$21</f>
        <v>0.08305999999999998</v>
      </c>
      <c r="K6" s="63">
        <f>Assumptions!$B$18+(Assumptions!$E$13-Assumptions!$B$18)*K4/Assumptions!$B$21</f>
        <v>0.09647999999999997</v>
      </c>
      <c r="L6" s="63">
        <f>Assumptions!$B$18+(Assumptions!$E$13-Assumptions!$B$18)*L4/Assumptions!$B$21</f>
        <v>0.10989999999999998</v>
      </c>
    </row>
    <row r="7">
      <c r="A7" s="14" t="inlineStr">
        <is>
          <t>Revenue</t>
        </is>
      </c>
      <c r="B7" s="55">
        <f>'Yearly Model'!G2</f>
        <v>419.452</v>
      </c>
      <c r="C7" s="55">
        <f>'Yearly Model'!H2</f>
        <v>463.1169532</v>
      </c>
      <c r="D7" s="55">
        <f>'Yearly Model'!I2</f>
        <v>507.25714458388444</v>
      </c>
      <c r="E7" s="55">
        <f>'Yearly Model'!J2</f>
        <v>551.1461599713812</v>
      </c>
      <c r="F7" s="55">
        <f>'Yearly Model'!K2</f>
        <v>593.9885881398233</v>
      </c>
      <c r="G7" s="55">
        <f>'Yearly Model'!L2</f>
        <v>634.9408013554633</v>
      </c>
      <c r="H7" s="55">
        <f>'Yearly Model'!M2</f>
        <v>673.1360180058908</v>
      </c>
      <c r="I7" s="55">
        <f>'Yearly Model'!N2</f>
        <v>707.7127714641267</v>
      </c>
      <c r="J7" s="55">
        <f>'Yearly Model'!O2</f>
        <v>737.8456085780216</v>
      </c>
      <c r="K7" s="55">
        <f>'Yearly Model'!P2</f>
        <v>762.776591863419</v>
      </c>
      <c r="L7" s="55">
        <f>'Yearly Model'!Q2</f>
        <v>781.8460066600044</v>
      </c>
    </row>
    <row r="8">
      <c r="A8" s="14" t="inlineStr">
        <is>
          <t>Operating income</t>
        </is>
      </c>
      <c r="B8" s="55">
        <f>'Yearly Model'!G8</f>
        <v>-10.202999999999975</v>
      </c>
      <c r="C8" s="55">
        <f>'Yearly Model'!H8</f>
        <v>-5.038712450816007</v>
      </c>
      <c r="D8" s="55">
        <f>'Yearly Model'!I8</f>
        <v>1.2884331472430688</v>
      </c>
      <c r="E8" s="55">
        <f>'Yearly Model'!J8</f>
        <v>8.796292713143231</v>
      </c>
      <c r="F8" s="55">
        <f>'Yearly Model'!K8</f>
        <v>17.451384719548003</v>
      </c>
      <c r="G8" s="55">
        <f>'Yearly Model'!L8</f>
        <v>27.175466298013816</v>
      </c>
      <c r="H8" s="55">
        <f>'Yearly Model'!M8</f>
        <v>37.843706932291184</v>
      </c>
      <c r="I8" s="55">
        <f>'Yearly Model'!N8</f>
        <v>49.28511740476176</v>
      </c>
      <c r="J8" s="55">
        <f>'Yearly Model'!O8</f>
        <v>61.28545624849045</v>
      </c>
      <c r="K8" s="55">
        <f>'Yearly Model'!P8</f>
        <v>73.59268558298264</v>
      </c>
      <c r="L8" s="55">
        <f>'Yearly Model'!Q8</f>
        <v>85.92487613193447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0.2190336350313217</v>
      </c>
      <c r="E9" s="52">
        <f>MAX(0,E8)*Assumptions!$E$14</f>
        <v>1.4953697612343493</v>
      </c>
      <c r="F9" s="52">
        <f>MAX(0,F8)*Assumptions!$E$14</f>
        <v>2.9667354023231605</v>
      </c>
      <c r="G9" s="52">
        <f>MAX(0,G8)*Assumptions!$E$14</f>
        <v>4.619829270662349</v>
      </c>
      <c r="H9" s="52">
        <f>MAX(0,H8)*Assumptions!$E$14</f>
        <v>6.433430178489502</v>
      </c>
      <c r="I9" s="52">
        <f>MAX(0,I8)*Assumptions!$E$14</f>
        <v>8.3784699588095</v>
      </c>
      <c r="J9" s="52">
        <f>MAX(0,J8)*Assumptions!$E$14</f>
        <v>10.418527562243376</v>
      </c>
      <c r="K9" s="52">
        <f>MAX(0,K8)*Assumptions!$E$14</f>
        <v>12.51075654910705</v>
      </c>
      <c r="L9" s="52">
        <f>MAX(0,L8)*Assumptions!$E$14</f>
        <v>14.607228942428861</v>
      </c>
    </row>
    <row r="10">
      <c r="A10" s="14" t="inlineStr">
        <is>
          <t>NOPAT</t>
        </is>
      </c>
      <c r="C10" s="52">
        <f>C8-C9</f>
        <v>-5.038712450816007</v>
      </c>
      <c r="D10" s="52">
        <f>D8-D9</f>
        <v>1.069399512211747</v>
      </c>
      <c r="E10" s="52">
        <f>E8-E9</f>
        <v>7.300922951908881</v>
      </c>
      <c r="F10" s="52">
        <f>F8-F9</f>
        <v>14.484649317224843</v>
      </c>
      <c r="G10" s="52">
        <f>G8-G9</f>
        <v>22.555637027351466</v>
      </c>
      <c r="H10" s="52">
        <f>H8-H9</f>
        <v>31.410276753801682</v>
      </c>
      <c r="I10" s="52">
        <f>I8-I9</f>
        <v>40.90664744595226</v>
      </c>
      <c r="J10" s="52">
        <f>J8-J9</f>
        <v>50.86692868624707</v>
      </c>
      <c r="K10" s="52">
        <f>K8-K9</f>
        <v>61.08192903387559</v>
      </c>
      <c r="L10" s="52">
        <f>L8-L9</f>
        <v>71.3176471895056</v>
      </c>
    </row>
    <row r="11">
      <c r="A11" s="14" t="inlineStr">
        <is>
          <t>Reinvestment</t>
        </is>
      </c>
      <c r="C11" s="52">
        <f>(C7-B7)*Assumptions!$E$15</f>
        <v>10.916238300000003</v>
      </c>
      <c r="D11" s="52">
        <f>(D7-C7)*Assumptions!$E$15</f>
        <v>11.035047845971107</v>
      </c>
      <c r="E11" s="52">
        <f>(E7-D7)*Assumptions!$E$15</f>
        <v>10.972253846874182</v>
      </c>
      <c r="F11" s="52">
        <f>(F7-E7)*Assumptions!$E$15</f>
        <v>10.710607042110524</v>
      </c>
      <c r="G11" s="52">
        <f>(G7-F7)*Assumptions!$E$15</f>
        <v>10.238053303910021</v>
      </c>
      <c r="H11" s="52">
        <f>(H7-G7)*Assumptions!$E$15</f>
        <v>9.54880416260687</v>
      </c>
      <c r="I11" s="52">
        <f>(I7-H7)*Assumptions!$E$15</f>
        <v>8.644188364558971</v>
      </c>
      <c r="J11" s="52">
        <f>(J7-I7)*Assumptions!$E$15</f>
        <v>7.53320927847372</v>
      </c>
      <c r="K11" s="52">
        <f>(K7-J7)*Assumptions!$E$15</f>
        <v>6.23274582134934</v>
      </c>
      <c r="L11" s="52">
        <f>(L7-K7)*Assumptions!$E$15</f>
        <v>4.767353699146355</v>
      </c>
    </row>
    <row r="12">
      <c r="A12" s="20" t="inlineStr">
        <is>
          <t>Free cash flow</t>
        </is>
      </c>
      <c r="C12" s="64">
        <f>C10-C11</f>
        <v>-15.95495075081601</v>
      </c>
      <c r="D12" s="64">
        <f>D10-D11</f>
        <v>-9.96564833375936</v>
      </c>
      <c r="E12" s="64">
        <f>E10-E11</f>
        <v>-3.6713308949653003</v>
      </c>
      <c r="F12" s="64">
        <f>F10-F11</f>
        <v>3.7740422751143186</v>
      </c>
      <c r="G12" s="64">
        <f>G10-G11</f>
        <v>12.317583723441444</v>
      </c>
      <c r="H12" s="64">
        <f>H10-H11</f>
        <v>21.86147259119481</v>
      </c>
      <c r="I12" s="64">
        <f>I10-I11</f>
        <v>32.26245908139329</v>
      </c>
      <c r="J12" s="64">
        <f>J10-J11</f>
        <v>43.33371940777335</v>
      </c>
      <c r="K12" s="64">
        <f>K10-K11</f>
        <v>54.84918321252625</v>
      </c>
      <c r="L12" s="64">
        <f>L10-L11</f>
        <v>66.55029349035925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0.9428090415820635</v>
      </c>
      <c r="D15" s="65">
        <f>1/(1+Assumptions!$E$10)^D14</f>
        <v>0.8380524814062785</v>
      </c>
      <c r="E15" s="65">
        <f>1/(1+Assumptions!$E$10)^E14</f>
        <v>0.7449355390278032</v>
      </c>
      <c r="F15" s="65">
        <f>1/(1+Assumptions!$E$10)^F14</f>
        <v>0.6621649235802695</v>
      </c>
      <c r="G15" s="65">
        <f>1/(1+Assumptions!$E$10)^G14</f>
        <v>0.5885910431824618</v>
      </c>
      <c r="H15" s="65">
        <f>1/(1+Assumptions!$E$10)^H14</f>
        <v>0.5231920383844104</v>
      </c>
      <c r="I15" s="65">
        <f>1/(1+Assumptions!$E$10)^I14</f>
        <v>0.4650595896750315</v>
      </c>
      <c r="J15" s="65">
        <f>1/(1+Assumptions!$E$10)^J14</f>
        <v>0.41338630193336134</v>
      </c>
      <c r="K15" s="65">
        <f>1/(1+Assumptions!$E$10)^K14</f>
        <v>0.3674544906074323</v>
      </c>
      <c r="L15" s="65">
        <f>1/(1+Assumptions!$E$10)^L14</f>
        <v>0.3266262138732731</v>
      </c>
    </row>
    <row r="16">
      <c r="A16" s="20" t="inlineStr">
        <is>
          <t>PV of free cash flow</t>
        </is>
      </c>
      <c r="C16" s="64">
        <f>C12*C13*C15</f>
        <v>-15.042471825865867</v>
      </c>
      <c r="D16" s="64">
        <f>D12*D13*D15</f>
        <v>-8.351736314929376</v>
      </c>
      <c r="E16" s="64">
        <f>E12*E13*E15</f>
        <v>-2.734904859190403</v>
      </c>
      <c r="F16" s="64">
        <f>F12*F13*F15</f>
        <v>2.499038414689779</v>
      </c>
      <c r="G16" s="64">
        <f>G12*G13*G15</f>
        <v>7.250019453267712</v>
      </c>
      <c r="H16" s="64">
        <f>H12*H13*H15</f>
        <v>11.437748407072132</v>
      </c>
      <c r="I16" s="64">
        <f>I12*I13*I15</f>
        <v>15.003965982300258</v>
      </c>
      <c r="J16" s="64">
        <f>J12*J13*J15</f>
        <v>17.913566014997354</v>
      </c>
      <c r="K16" s="64">
        <f>K12*K13*K15</f>
        <v>20.15457867759256</v>
      </c>
      <c r="L16" s="64">
        <f>L12*L13*L15</f>
        <v>21.73707039491118</v>
      </c>
    </row>
    <row r="19">
      <c r="A19" s="14" t="inlineStr">
        <is>
          <t>PV of forecast free cash flow</t>
        </is>
      </c>
      <c r="B19" s="52">
        <f>SUM(C16:L16)</f>
        <v>69.86687434484534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68.21405082761821</v>
      </c>
    </row>
    <row r="21">
      <c r="A21" s="14" t="inlineStr">
        <is>
          <t>Terminal value</t>
        </is>
      </c>
      <c r="B21" s="52">
        <f>B20/(Assumptions!$E$10-Assumptions!$E$11)</f>
        <v>682.140508276182</v>
      </c>
    </row>
    <row r="22">
      <c r="A22" s="14" t="inlineStr">
        <is>
          <t>PV of terminal value</t>
        </is>
      </c>
      <c r="B22" s="52">
        <f>B21/(1+Assumptions!$E$10)^(L14+0.5)</f>
        <v>210.06254168473743</v>
      </c>
    </row>
    <row r="23">
      <c r="A23" s="20" t="inlineStr">
        <is>
          <t>Enterprise value</t>
        </is>
      </c>
      <c r="B23" s="66">
        <f>B19+B22</f>
        <v>279.92941602958274</v>
      </c>
    </row>
    <row r="24">
      <c r="A24" s="14" t="inlineStr">
        <is>
          <t>Cash &amp; investments</t>
        </is>
      </c>
      <c r="B24" s="55">
        <f>Main!C7</f>
        <v>33.81329002189111</v>
      </c>
    </row>
    <row r="25">
      <c r="A25" s="14" t="inlineStr">
        <is>
          <t>Debt</t>
        </is>
      </c>
      <c r="B25" s="55">
        <f>Main!C8</f>
        <v>20.922251253442553</v>
      </c>
    </row>
    <row r="26">
      <c r="A26" s="20" t="inlineStr">
        <is>
          <t>Equity value</t>
        </is>
      </c>
      <c r="B26" s="66">
        <f>B23+B24-B25</f>
        <v>292.82045479803134</v>
      </c>
    </row>
    <row r="27">
      <c r="A27" s="14" t="inlineStr">
        <is>
          <t>Shares (mm)</t>
        </is>
      </c>
      <c r="B27" s="55">
        <f>Main!C4</f>
        <v>87.235986</v>
      </c>
    </row>
    <row r="28">
      <c r="A28" s="20" t="inlineStr">
        <is>
          <t>NPV / share</t>
        </is>
      </c>
      <c r="B28" s="49">
        <f>B26/B27</f>
        <v>3.356647505514884</v>
      </c>
    </row>
    <row r="29">
      <c r="A29" s="14" t="inlineStr">
        <is>
          <t>Price</t>
        </is>
      </c>
      <c r="B29" s="50">
        <f>Main!C3</f>
        <v>2.65</v>
      </c>
    </row>
    <row r="30">
      <c r="A30" s="14" t="inlineStr">
        <is>
          <t>Upside</t>
        </is>
      </c>
      <c r="B30" s="63">
        <f>B28/B29-1</f>
        <v>0.2666594360433525</v>
      </c>
    </row>
    <row r="31">
      <c r="A31" s="14" t="inlineStr">
        <is>
          <t>Terminal value, % of EV</t>
        </is>
      </c>
      <c r="B31" s="63">
        <f>IFERROR(B22/B23,0)</f>
        <v>0.7504125313594702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2026-10-21T01:05:33Z</dcterms:modified>
  <cp:lastModifiedBy>Wang, Eric</cp:lastModifiedBy>
</cp:coreProperties>
</file>