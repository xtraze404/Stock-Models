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Milestone Pharmaceuticals Inc</t>
        </is>
      </c>
      <c r="C2" s="10" t="n"/>
    </row>
    <row r="3">
      <c r="B3" t="inlineStr">
        <is>
          <t>Price</t>
        </is>
      </c>
      <c r="C3" s="11">
        <f>INDEX([1]Pharma!$F$1:$F$1000,MATCH("MIST",[1]Pharma!$B$1:$B$1000,0))</f>
        <v>0.7185</v>
      </c>
      <c r="F3" s="1" t="n"/>
    </row>
    <row r="4">
      <c r="B4" t="inlineStr">
        <is>
          <t>Shares</t>
        </is>
      </c>
      <c r="C4" s="21" t="n">
        <v>124.49798</v>
      </c>
      <c r="F4" s="1" t="n"/>
    </row>
    <row r="5">
      <c r="B5" t="inlineStr">
        <is>
          <t>Market Cap.</t>
        </is>
      </c>
      <c r="C5" s="13">
        <f>C3*C4</f>
        <v>89.45179863</v>
      </c>
      <c r="F5" s="1" t="n"/>
    </row>
    <row r="6"/>
    <row r="7">
      <c r="B7" t="inlineStr">
        <is>
          <t>Cash</t>
        </is>
      </c>
      <c r="C7" s="21">
        <f>169.728+0.881</f>
        <v>170.609</v>
      </c>
    </row>
    <row r="8">
      <c r="B8" t="inlineStr">
        <is>
          <t>Debt</t>
        </is>
      </c>
      <c r="C8" s="21" t="n">
        <v>59.207</v>
      </c>
    </row>
    <row r="9">
      <c r="B9" t="inlineStr">
        <is>
          <t>Enterprise V.</t>
        </is>
      </c>
      <c r="C9" s="13">
        <f>C5-C7+C8</f>
        <v>-21.95020137000001</v>
      </c>
    </row>
    <row r="10"/>
    <row r="11">
      <c r="B11" s="14" t="inlineStr">
        <is>
          <t>Net Cash / Share</t>
        </is>
      </c>
      <c r="C11" s="11">
        <f>(C7-C8)/C4</f>
        <v>0.8948096989204164</v>
      </c>
    </row>
    <row r="12">
      <c r="B12" s="14" t="inlineStr">
        <is>
          <t>Upside</t>
        </is>
      </c>
      <c r="C12" s="15">
        <f>IFERROR(C11/C3-1,"")</f>
        <v>0.24538580225527684</v>
      </c>
    </row>
    <row r="13">
      <c r="B13" s="14" t="inlineStr">
        <is>
          <t>Cash / Share</t>
        </is>
      </c>
      <c r="C13" s="11">
        <f>IFERROR((C7-C8)/C4,"")</f>
        <v>0.8948096989204164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-61.29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1.8176211453744495</v>
      </c>
    </row>
    <row r="19">
      <c r="B19" s="14" t="inlineStr">
        <is>
          <t>Implied Pipeline Value</t>
        </is>
      </c>
      <c r="C19" s="13">
        <f>C9</f>
        <v>-21.95020137000001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16.849</v>
      </c>
      <c r="C5" s="23" t="n">
        <v>41.985</v>
      </c>
      <c r="D5" s="23" t="n">
        <v>34.488</v>
      </c>
      <c r="E5" s="23" t="n">
        <v>38.671</v>
      </c>
      <c r="F5" s="23" t="n">
        <v>39.829</v>
      </c>
      <c r="G5" s="23" t="n">
        <v>31.052</v>
      </c>
      <c r="H5" s="23" t="n">
        <v>14.357</v>
      </c>
      <c r="I5" s="23" t="n">
        <v>18.108</v>
      </c>
      <c r="J5" s="1" t="n"/>
      <c r="K5" s="1" t="n"/>
    </row>
    <row r="6">
      <c r="A6" s="19" t="inlineStr">
        <is>
          <t>SG&amp;A &amp; Other</t>
        </is>
      </c>
      <c r="B6" s="23" t="n">
        <v>6.973</v>
      </c>
      <c r="C6" s="23" t="n">
        <v>15.896</v>
      </c>
      <c r="D6" s="23" t="n">
        <v>16.222</v>
      </c>
      <c r="E6" s="23" t="n">
        <v>4.402</v>
      </c>
      <c r="F6" s="23" t="n">
        <v>19.813</v>
      </c>
      <c r="G6" s="23" t="n">
        <v>30.046</v>
      </c>
      <c r="H6" s="23" t="n">
        <v>27.745</v>
      </c>
      <c r="I6" s="23" t="n">
        <v>44.032</v>
      </c>
      <c r="J6" s="1" t="n"/>
      <c r="K6" s="1" t="n"/>
    </row>
    <row r="7">
      <c r="A7" s="2" t="inlineStr">
        <is>
          <t>Operating Expense</t>
        </is>
      </c>
      <c r="B7" s="23">
        <f>SUM(B5:B6)</f>
        <v>23.822</v>
      </c>
      <c r="C7" s="23">
        <f>SUM(C5:C6)</f>
        <v>57.881</v>
      </c>
      <c r="D7" s="23">
        <f>SUM(D5:D6)</f>
        <v>50.71</v>
      </c>
      <c r="E7" s="23">
        <f>SUM(E5:E6)</f>
        <v>43.073</v>
      </c>
      <c r="F7" s="23">
        <f>SUM(F5:F6)</f>
        <v>59.641999999999996</v>
      </c>
      <c r="G7" s="23">
        <f>SUM(G5:G6)</f>
        <v>61.098</v>
      </c>
      <c r="H7" s="23">
        <f>SUM(H5:H6)</f>
        <v>42.102000000000004</v>
      </c>
      <c r="I7" s="23">
        <f>SUM(I5:I6)</f>
        <v>62.14</v>
      </c>
      <c r="J7" s="1" t="n"/>
      <c r="K7" s="1" t="n"/>
    </row>
    <row r="8">
      <c r="A8" s="2" t="inlineStr">
        <is>
          <t>Operating Income</t>
        </is>
      </c>
      <c r="B8" s="23">
        <f>B4-B7</f>
        <v>-23.822</v>
      </c>
      <c r="C8" s="23">
        <f>C4-C7</f>
        <v>-57.881</v>
      </c>
      <c r="D8" s="23">
        <f>D4-D7</f>
        <v>-50.71</v>
      </c>
      <c r="E8" s="23">
        <f>E4-E7</f>
        <v>-43.073</v>
      </c>
      <c r="F8" s="23">
        <f>F4-F7</f>
        <v>-59.641999999999996</v>
      </c>
      <c r="G8" s="23">
        <f>G4-G7</f>
        <v>-61.098</v>
      </c>
      <c r="H8" s="23">
        <f>H4-H7</f>
        <v>-42.102000000000004</v>
      </c>
      <c r="I8" s="23">
        <f>I4-I7</f>
        <v>-62.14</v>
      </c>
      <c r="J8" s="1" t="n"/>
      <c r="K8" s="1" t="n"/>
    </row>
    <row r="9">
      <c r="A9" s="19" t="inlineStr">
        <is>
          <t>Interest &amp; Other</t>
        </is>
      </c>
      <c r="B9" s="23" t="n">
        <v>0.711</v>
      </c>
      <c r="C9" s="23" t="n">
        <v>2.596</v>
      </c>
      <c r="D9" s="23" t="n">
        <v>0.726</v>
      </c>
      <c r="E9" s="23" t="n">
        <v>0.22</v>
      </c>
      <c r="F9" s="23" t="n">
        <v>1.254</v>
      </c>
      <c r="G9" s="23" t="n">
        <v>61.038</v>
      </c>
      <c r="H9" s="23" t="n">
        <v>42.06</v>
      </c>
      <c r="I9" s="23" t="n">
        <v>62.077</v>
      </c>
    </row>
    <row r="10">
      <c r="A10" s="2" t="inlineStr">
        <is>
          <t>Pretax</t>
        </is>
      </c>
      <c r="B10" s="23">
        <f>B8+B9</f>
        <v>-23.111</v>
      </c>
      <c r="C10" s="23">
        <f>C8+C9</f>
        <v>-55.285</v>
      </c>
      <c r="D10" s="23">
        <f>D8+D9</f>
        <v>-49.984</v>
      </c>
      <c r="E10" s="23">
        <f>E8+E9</f>
        <v>-42.853</v>
      </c>
      <c r="F10" s="23">
        <f>F8+F9</f>
        <v>-58.388</v>
      </c>
      <c r="G10" s="23">
        <f>G8+G9</f>
        <v>-0.060000000000002274</v>
      </c>
      <c r="H10" s="23">
        <f>H8+H9</f>
        <v>-0.04200000000000159</v>
      </c>
      <c r="I10" s="23">
        <f>I8+I9</f>
        <v>-0.06300000000000239</v>
      </c>
      <c r="J10" s="1" t="n"/>
      <c r="K10" s="1" t="n"/>
    </row>
    <row r="11">
      <c r="A11" s="2" t="inlineStr">
        <is>
          <t>Taxes</t>
        </is>
      </c>
      <c r="B11" s="23" t="n">
        <v>0.074</v>
      </c>
      <c r="C11" s="23" t="n">
        <v>-0.056</v>
      </c>
      <c r="D11" s="23" t="n">
        <v>-0.017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-23.185</v>
      </c>
      <c r="C12" s="23" t="n">
        <v>-55.229</v>
      </c>
      <c r="D12" s="23" t="n">
        <v>-49.967</v>
      </c>
      <c r="E12" s="23" t="n">
        <v>-42.853</v>
      </c>
      <c r="F12" s="23" t="n">
        <v>-58.388</v>
      </c>
      <c r="G12" s="23" t="n">
        <v>-0.06</v>
      </c>
      <c r="H12" s="23" t="n">
        <v>-0.042</v>
      </c>
      <c r="I12" s="23" t="n">
        <v>-0.063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-1.4823221021673805</v>
      </c>
      <c r="C13" s="11">
        <f>IFERROR(C12/C14,0)</f>
        <v>-3.4988280012670256</v>
      </c>
      <c r="D13" s="11">
        <f>IFERROR(D12/D14,0)</f>
        <v>-1.7027432271255751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</row>
    <row r="14">
      <c r="A14" s="2" t="inlineStr">
        <is>
          <t>Shares</t>
        </is>
      </c>
      <c r="B14" s="23" t="n">
        <v>15.641</v>
      </c>
      <c r="C14" s="23" t="n">
        <v>15.785</v>
      </c>
      <c r="D14" s="23" t="n">
        <v>29.345</v>
      </c>
      <c r="E14" s="23" t="n"/>
      <c r="F14" s="23" t="n"/>
      <c r="G14" s="23" t="n"/>
      <c r="H14" s="23" t="n"/>
      <c r="I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2026-10-21T01:06:00Z</dcterms:modified>
  <cp:lastModifiedBy>Wang, Eric</cp:lastModifiedBy>
</cp:coreProperties>
</file>