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Milestone Pharmaceuticals Inc</t>
        </is>
      </c>
      <c r="C2" s="10" t="n"/>
    </row>
    <row r="3">
      <c r="B3" t="inlineStr">
        <is>
          <t>Price</t>
        </is>
      </c>
      <c r="C3" s="11">
        <f>INDEX([1]Pharma!$F$1:$F$1000,MATCH("MIST",[1]Pharma!$B$1:$B$1000,0))</f>
        <v>0.7185</v>
      </c>
      <c r="F3" s="1" t="n"/>
    </row>
    <row r="4">
      <c r="B4" t="inlineStr">
        <is>
          <t>Shares</t>
        </is>
      </c>
      <c r="C4" s="21" t="n">
        <v>124.49798</v>
      </c>
      <c r="F4" s="1" t="n"/>
    </row>
    <row r="5">
      <c r="B5" t="inlineStr">
        <is>
          <t>Market Cap.</t>
        </is>
      </c>
      <c r="C5" s="13">
        <f>C3*C4</f>
        <v>89.45179863</v>
      </c>
      <c r="F5" s="1" t="n"/>
    </row>
    <row r="6"/>
    <row r="7">
      <c r="B7" t="inlineStr">
        <is>
          <t>Cash</t>
        </is>
      </c>
      <c r="C7" s="21">
        <f>169.728+0.881</f>
        <v>170.609</v>
      </c>
    </row>
    <row r="8">
      <c r="B8" t="inlineStr">
        <is>
          <t>Debt</t>
        </is>
      </c>
      <c r="C8" s="21" t="n">
        <v>59.207</v>
      </c>
    </row>
    <row r="9">
      <c r="B9" t="inlineStr">
        <is>
          <t>Enterprise V.</t>
        </is>
      </c>
      <c r="C9" s="13">
        <f>C5-C7+C8</f>
        <v>-21.95020137000001</v>
      </c>
    </row>
    <row r="10"/>
    <row r="11">
      <c r="B11" s="14" t="inlineStr">
        <is>
          <t>rNPV / Share</t>
        </is>
      </c>
      <c r="C11" s="11">
        <f>NPV!B27</f>
        <v>10.029137822670185</v>
      </c>
    </row>
    <row r="12">
      <c r="B12" s="14" t="inlineStr">
        <is>
          <t>Upside</t>
        </is>
      </c>
      <c r="C12" s="15">
        <f>IFERROR(C11/C3-1,"")</f>
        <v>12.958438166555581</v>
      </c>
    </row>
    <row r="13">
      <c r="B13" s="14" t="inlineStr">
        <is>
          <t>Cash / Share</t>
        </is>
      </c>
      <c r="C13" s="11">
        <f>IFERROR((C7-C8)/C4,"")</f>
        <v>0.8948096989204164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-61.29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1.8176211453744495</v>
      </c>
    </row>
    <row r="19">
      <c r="B19" s="14" t="inlineStr">
        <is>
          <t>Implied Pipeline Value</t>
        </is>
      </c>
      <c r="C19" s="13">
        <f>C9</f>
        <v>-21.95020137000001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2018</v>
      </c>
      <c r="C1" s="17" t="n">
        <v>2019</v>
      </c>
      <c r="D1" s="17" t="n">
        <v>2020</v>
      </c>
      <c r="E1" s="17" t="n">
        <v>2021</v>
      </c>
      <c r="F1" s="17" t="n">
        <v>2022</v>
      </c>
      <c r="G1" s="17" t="n">
        <v>2023</v>
      </c>
      <c r="H1" s="17" t="n">
        <v>2024</v>
      </c>
      <c r="I1" s="17" t="n">
        <v>2025</v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1" t="n"/>
      <c r="K4" s="1" t="n"/>
    </row>
    <row r="5">
      <c r="A5" s="2" t="inlineStr">
        <is>
          <t>Research &amp; Dev.</t>
        </is>
      </c>
      <c r="B5" s="23" t="n">
        <v>16.849</v>
      </c>
      <c r="C5" s="23" t="n">
        <v>41.985</v>
      </c>
      <c r="D5" s="23" t="n">
        <v>34.488</v>
      </c>
      <c r="E5" s="23" t="n">
        <v>38.671</v>
      </c>
      <c r="F5" s="23" t="n">
        <v>39.829</v>
      </c>
      <c r="G5" s="23" t="n">
        <v>31.052</v>
      </c>
      <c r="H5" s="23" t="n">
        <v>14.357</v>
      </c>
      <c r="I5" s="23" t="n">
        <v>18.108</v>
      </c>
      <c r="J5" s="1" t="n"/>
      <c r="K5" s="1" t="n"/>
    </row>
    <row r="6">
      <c r="A6" s="19" t="inlineStr">
        <is>
          <t>SG&amp;A &amp; Other</t>
        </is>
      </c>
      <c r="B6" s="23" t="n">
        <v>6.973</v>
      </c>
      <c r="C6" s="23" t="n">
        <v>15.896</v>
      </c>
      <c r="D6" s="23" t="n">
        <v>16.222</v>
      </c>
      <c r="E6" s="23" t="n">
        <v>4.402</v>
      </c>
      <c r="F6" s="23" t="n">
        <v>19.813</v>
      </c>
      <c r="G6" s="23" t="n">
        <v>30.046</v>
      </c>
      <c r="H6" s="23" t="n">
        <v>27.745</v>
      </c>
      <c r="I6" s="23" t="n">
        <v>44.032</v>
      </c>
      <c r="J6" s="1" t="n"/>
      <c r="K6" s="1" t="n"/>
    </row>
    <row r="7">
      <c r="A7" s="2" t="inlineStr">
        <is>
          <t>Operating Expense</t>
        </is>
      </c>
      <c r="B7" s="23">
        <f>SUM(B5:B6)</f>
        <v>23.822</v>
      </c>
      <c r="C7" s="23">
        <f>SUM(C5:C6)</f>
        <v>57.881</v>
      </c>
      <c r="D7" s="23">
        <f>SUM(D5:D6)</f>
        <v>50.71</v>
      </c>
      <c r="E7" s="23">
        <f>SUM(E5:E6)</f>
        <v>43.073</v>
      </c>
      <c r="F7" s="23">
        <f>SUM(F5:F6)</f>
        <v>59.641999999999996</v>
      </c>
      <c r="G7" s="23">
        <f>SUM(G5:G6)</f>
        <v>61.098</v>
      </c>
      <c r="H7" s="23">
        <f>SUM(H5:H6)</f>
        <v>42.102000000000004</v>
      </c>
      <c r="I7" s="23">
        <f>SUM(I5:I6)</f>
        <v>62.14</v>
      </c>
      <c r="J7" s="1" t="n"/>
      <c r="K7" s="1" t="n"/>
    </row>
    <row r="8">
      <c r="A8" s="2" t="inlineStr">
        <is>
          <t>Operating Income</t>
        </is>
      </c>
      <c r="B8" s="23">
        <f>B4-B7</f>
        <v>-23.822</v>
      </c>
      <c r="C8" s="23">
        <f>C4-C7</f>
        <v>-57.881</v>
      </c>
      <c r="D8" s="23">
        <f>D4-D7</f>
        <v>-50.71</v>
      </c>
      <c r="E8" s="23">
        <f>E4-E7</f>
        <v>-43.073</v>
      </c>
      <c r="F8" s="23">
        <f>F4-F7</f>
        <v>-59.641999999999996</v>
      </c>
      <c r="G8" s="23">
        <f>G4-G7</f>
        <v>-61.098</v>
      </c>
      <c r="H8" s="23">
        <f>H4-H7</f>
        <v>-42.102000000000004</v>
      </c>
      <c r="I8" s="23">
        <f>I4-I7</f>
        <v>-62.14</v>
      </c>
      <c r="J8" s="1" t="n"/>
      <c r="K8" s="1" t="n"/>
    </row>
    <row r="9">
      <c r="A9" s="19" t="inlineStr">
        <is>
          <t>Interest &amp; Other</t>
        </is>
      </c>
      <c r="B9" s="23" t="n">
        <v>0.711</v>
      </c>
      <c r="C9" s="23" t="n">
        <v>2.596</v>
      </c>
      <c r="D9" s="23" t="n">
        <v>0.726</v>
      </c>
      <c r="E9" s="23" t="n">
        <v>0.22</v>
      </c>
      <c r="F9" s="23" t="n">
        <v>1.254</v>
      </c>
      <c r="G9" s="23" t="n">
        <v>61.038</v>
      </c>
      <c r="H9" s="23" t="n">
        <v>42.06</v>
      </c>
      <c r="I9" s="23" t="n">
        <v>62.077</v>
      </c>
    </row>
    <row r="10">
      <c r="A10" s="2" t="inlineStr">
        <is>
          <t>Pretax</t>
        </is>
      </c>
      <c r="B10" s="23">
        <f>B8+B9</f>
        <v>-23.111</v>
      </c>
      <c r="C10" s="23">
        <f>C8+C9</f>
        <v>-55.285</v>
      </c>
      <c r="D10" s="23">
        <f>D8+D9</f>
        <v>-49.984</v>
      </c>
      <c r="E10" s="23">
        <f>E8+E9</f>
        <v>-42.853</v>
      </c>
      <c r="F10" s="23">
        <f>F8+F9</f>
        <v>-58.388</v>
      </c>
      <c r="G10" s="23">
        <f>G8+G9</f>
        <v>-0.060000000000002274</v>
      </c>
      <c r="H10" s="23">
        <f>H8+H9</f>
        <v>-0.04200000000000159</v>
      </c>
      <c r="I10" s="23">
        <f>I8+I9</f>
        <v>-0.06300000000000239</v>
      </c>
      <c r="J10" s="1" t="n"/>
      <c r="K10" s="1" t="n"/>
    </row>
    <row r="11">
      <c r="A11" s="2" t="inlineStr">
        <is>
          <t>Taxes</t>
        </is>
      </c>
      <c r="B11" s="23" t="n">
        <v>0.074</v>
      </c>
      <c r="C11" s="23" t="n">
        <v>-0.056</v>
      </c>
      <c r="D11" s="23" t="n">
        <v>-0.017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</row>
    <row r="12">
      <c r="A12" s="2" t="inlineStr">
        <is>
          <t>Net Income</t>
        </is>
      </c>
      <c r="B12" s="23" t="n">
        <v>-23.185</v>
      </c>
      <c r="C12" s="23" t="n">
        <v>-55.229</v>
      </c>
      <c r="D12" s="23" t="n">
        <v>-49.967</v>
      </c>
      <c r="E12" s="23" t="n">
        <v>-42.853</v>
      </c>
      <c r="F12" s="23" t="n">
        <v>-58.388</v>
      </c>
      <c r="G12" s="23" t="n">
        <v>-0.06</v>
      </c>
      <c r="H12" s="23" t="n">
        <v>-0.042</v>
      </c>
      <c r="I12" s="23" t="n">
        <v>-0.063</v>
      </c>
      <c r="J12" s="1" t="n"/>
      <c r="K12" s="1" t="n"/>
    </row>
    <row r="13">
      <c r="A13" s="2" t="inlineStr">
        <is>
          <t>Earnings per Share</t>
        </is>
      </c>
      <c r="B13" s="11">
        <f>IFERROR(B12/B14,0)</f>
        <v>-1.4823221021673805</v>
      </c>
      <c r="C13" s="11">
        <f>IFERROR(C12/C14,0)</f>
        <v>-3.4988280012670256</v>
      </c>
      <c r="D13" s="11">
        <f>IFERROR(D12/D14,0)</f>
        <v>-1.7027432271255751</v>
      </c>
      <c r="E13" s="11">
        <f>IFERROR(E12/E14,0)</f>
        <v>0</v>
      </c>
      <c r="F13" s="11">
        <f>IFERROR(F12/F14,0)</f>
        <v>0</v>
      </c>
      <c r="G13" s="11">
        <f>IFERROR(G12/G14,0)</f>
        <v>0</v>
      </c>
      <c r="H13" s="11">
        <f>IFERROR(H12/H14,0)</f>
        <v>0</v>
      </c>
      <c r="I13" s="11">
        <f>IFERROR(I12/I14,0)</f>
        <v>0</v>
      </c>
    </row>
    <row r="14">
      <c r="A14" s="2" t="inlineStr">
        <is>
          <t>Shares</t>
        </is>
      </c>
      <c r="B14" s="23" t="n">
        <v>15.641</v>
      </c>
      <c r="C14" s="23" t="n">
        <v>15.785</v>
      </c>
      <c r="D14" s="23" t="n">
        <v>29.345</v>
      </c>
      <c r="E14" s="23" t="n"/>
      <c r="F14" s="23" t="n"/>
      <c r="G14" s="23" t="n"/>
      <c r="H14" s="23" t="n"/>
      <c r="I14" s="23" t="n"/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Milestone Pharmaceuticals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1-PRODUCT(Pipeline!AG4:AG5)</f>
        <v>0.844789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78.379</v>
      </c>
    </row>
    <row r="19">
      <c r="A19" s="14" t="inlineStr">
        <is>
          <t>Years of full burn (until the first launch, max 4)</t>
        </is>
      </c>
      <c r="B19" s="39">
        <f>MIN(4,MAX(1,MIN(Pipeline!I4:I5)-2026))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229.8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1137.2054000640364</v>
      </c>
      <c r="C29" s="42">
        <f>NPV!B25</f>
        <v>1248.6074000640363</v>
      </c>
      <c r="D29" s="43">
        <f>NPV!B27</f>
        <v>10.029137822670185</v>
      </c>
      <c r="E29" s="44">
        <f>NPV!B29</f>
        <v>12.958438166555581</v>
      </c>
    </row>
    <row r="30">
      <c r="A30" s="45" t="n">
        <v>1</v>
      </c>
      <c r="B30" s="46">
        <f t="dataTable" ref="B30:E32" r1="B4"/>
        <v>357.0167945069238</v>
      </c>
      <c r="C30" s="46">
        <v>468.41879450692386</v>
      </c>
      <c r="D30" s="47">
        <v>3.7624610014308977</v>
      </c>
      <c r="E30" s="48">
        <v>4.236549758428528</v>
      </c>
    </row>
    <row r="31">
      <c r="A31" s="45" t="n">
        <v>2</v>
      </c>
      <c r="B31" s="46">
        <v>1137.2054000640364</v>
      </c>
      <c r="C31" s="46">
        <v>1248.6074000640363</v>
      </c>
      <c r="D31" s="47">
        <v>10.029137822670185</v>
      </c>
      <c r="E31" s="48">
        <v>12.958438166555581</v>
      </c>
    </row>
    <row r="32">
      <c r="A32" s="45" t="n">
        <v>3</v>
      </c>
      <c r="B32" s="46">
        <v>2339.5225964926963</v>
      </c>
      <c r="C32" s="46">
        <v>2450.9245964926963</v>
      </c>
      <c r="D32" s="47">
        <v>19.68646074813982</v>
      </c>
      <c r="E32" s="48">
        <v>26.39938865433517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10.029137822670185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2.6145412961137633</v>
      </c>
      <c r="C37" s="47">
        <v>4.269539323577184</v>
      </c>
      <c r="D37" s="47">
        <v>5.908232623535875</v>
      </c>
      <c r="E37" s="47">
        <v>9.169346267673149</v>
      </c>
      <c r="F37" s="47">
        <v>12.420569645827175</v>
      </c>
    </row>
    <row r="38">
      <c r="A38" s="50" t="n">
        <v>0.8</v>
      </c>
      <c r="B38" s="47">
        <v>3.5933247564485042</v>
      </c>
      <c r="C38" s="47">
        <v>5.783799201576688</v>
      </c>
      <c r="D38" s="47">
        <v>7.962401848457626</v>
      </c>
      <c r="E38" s="47">
        <v>12.297366352662998</v>
      </c>
      <c r="F38" s="47">
        <v>16.62313474057221</v>
      </c>
    </row>
    <row r="39">
      <c r="A39" s="50" t="n">
        <v>1</v>
      </c>
      <c r="B39" s="47">
        <v>4.589412881942666</v>
      </c>
      <c r="C39" s="47">
        <v>7.317082690005783</v>
      </c>
      <c r="D39" s="47">
        <v>10.029137822670185</v>
      </c>
      <c r="E39" s="47">
        <v>15.443374545130473</v>
      </c>
      <c r="F39" s="47">
        <v>20.842668936916137</v>
      </c>
    </row>
    <row r="40">
      <c r="A40" s="50" t="n">
        <v>1.2</v>
      </c>
      <c r="B40" s="47">
        <v>5.602145010409274</v>
      </c>
      <c r="C40" s="47">
        <v>8.867107434002765</v>
      </c>
      <c r="D40" s="47">
        <v>12.118330812156794</v>
      </c>
      <c r="E40" s="47">
        <v>18.605318531009033</v>
      </c>
      <c r="F40" s="47">
        <v>25.08447180115182</v>
      </c>
    </row>
    <row r="41">
      <c r="A41" s="50" t="n">
        <v>1.4</v>
      </c>
      <c r="B41" s="47">
        <v>6.545920007948682</v>
      </c>
      <c r="C41" s="47">
        <v>10.297554256965348</v>
      </c>
      <c r="D41" s="47">
        <v>14.040975203815645</v>
      </c>
      <c r="E41" s="47">
        <v>21.50216599422784</v>
      </c>
      <c r="F41" s="47">
        <v>28.962188037707712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Milestone Pharmaceuticals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Thrombosis / cardiovascular</t>
        </is>
      </c>
      <c r="C4" s="14" t="inlineStr">
        <is>
          <t>Etripamil</t>
        </is>
      </c>
      <c r="D4" s="14" t="inlineStr">
        <is>
          <t>Phase 3</t>
        </is>
      </c>
      <c r="E4" s="14" t="inlineStr">
        <is>
          <t>Cardiovascular / area</t>
        </is>
      </c>
      <c r="F4" s="14" t="inlineStr">
        <is>
          <t>Owned</t>
        </is>
      </c>
      <c r="G4" s="40" t="n">
        <v>1500</v>
      </c>
      <c r="H4" s="27" t="n">
        <v>0.4554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979.8745726249381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68.31</v>
      </c>
      <c r="Q4" s="23">
        <f>IF(Q$3&lt;$I4,0,$G4*Assumptions!$E$11*INDEX(Assumptions!$B$24:$G$24,MIN(6,Q$3-$I4+1))*IF(Q$3&gt;$J4,(1-Assumptions!$B$26)^(Q$3-$J4),1)*IF($H4&gt;=1,1,MIN(0.97,$H4*Assumptions!$E$12)))</f>
        <v>170.775</v>
      </c>
      <c r="R4" s="23">
        <f>IF(R$3&lt;$I4,0,$G4*Assumptions!$E$11*INDEX(Assumptions!$B$24:$G$24,MIN(6,R$3-$I4+1))*IF(R$3&gt;$J4,(1-Assumptions!$B$26)^(R$3-$J4),1)*IF($H4&gt;=1,1,MIN(0.97,$H4*Assumptions!$E$12)))</f>
        <v>307.39500000000004</v>
      </c>
      <c r="S4" s="23">
        <f>IF(S$3&lt;$I4,0,$G4*Assumptions!$E$11*INDEX(Assumptions!$B$24:$G$24,MIN(6,S$3-$I4+1))*IF(S$3&gt;$J4,(1-Assumptions!$B$26)^(S$3-$J4),1)*IF($H4&gt;=1,1,MIN(0.97,$H4*Assumptions!$E$12)))</f>
        <v>444.01500000000004</v>
      </c>
      <c r="T4" s="23">
        <f>IF(T$3&lt;$I4,0,$G4*Assumptions!$E$11*INDEX(Assumptions!$B$24:$G$24,MIN(6,T$3-$I4+1))*IF(T$3&gt;$J4,(1-Assumptions!$B$26)^(T$3-$J4),1)*IF($H4&gt;=1,1,MIN(0.97,$H4*Assumptions!$E$12)))</f>
        <v>580.635</v>
      </c>
      <c r="U4" s="23">
        <f>IF(U$3&lt;$I4,0,$G4*Assumptions!$E$11*INDEX(Assumptions!$B$24:$G$24,MIN(6,U$3-$I4+1))*IF(U$3&gt;$J4,(1-Assumptions!$B$26)^(U$3-$J4),1)*IF($H4&gt;=1,1,MIN(0.97,$H4*Assumptions!$E$12)))</f>
        <v>683.1</v>
      </c>
      <c r="V4" s="23">
        <f>IF(V$3&lt;$I4,0,$G4*Assumptions!$E$11*INDEX(Assumptions!$B$24:$G$24,MIN(6,V$3-$I4+1))*IF(V$3&gt;$J4,(1-Assumptions!$B$26)^(V$3-$J4),1)*IF($H4&gt;=1,1,MIN(0.97,$H4*Assumptions!$E$12)))</f>
        <v>683.1</v>
      </c>
      <c r="W4" s="23">
        <f>IF(W$3&lt;$I4,0,$G4*Assumptions!$E$11*INDEX(Assumptions!$B$24:$G$24,MIN(6,W$3-$I4+1))*IF(W$3&gt;$J4,(1-Assumptions!$B$26)^(W$3-$J4),1)*IF($H4&gt;=1,1,MIN(0.97,$H4*Assumptions!$E$12)))</f>
        <v>683.1</v>
      </c>
      <c r="X4" s="23">
        <f>IF(X$3&lt;$I4,0,$G4*Assumptions!$E$11*INDEX(Assumptions!$B$24:$G$24,MIN(6,X$3-$I4+1))*IF(X$3&gt;$J4,(1-Assumptions!$B$26)^(X$3-$J4),1)*IF($H4&gt;=1,1,MIN(0.97,$H4*Assumptions!$E$12)))</f>
        <v>683.1</v>
      </c>
      <c r="Y4" s="23">
        <f>IF(Y$3&lt;$I4,0,$G4*Assumptions!$E$11*INDEX(Assumptions!$B$24:$G$24,MIN(6,Y$3-$I4+1))*IF(Y$3&gt;$J4,(1-Assumptions!$B$26)^(Y$3-$J4),1)*IF($H4&gt;=1,1,MIN(0.97,$H4*Assumptions!$E$12)))</f>
        <v>683.1</v>
      </c>
      <c r="Z4" s="23">
        <f>IF(Z$3&lt;$I4,0,$G4*Assumptions!$E$11*INDEX(Assumptions!$B$24:$G$24,MIN(6,Z$3-$I4+1))*IF(Z$3&gt;$J4,(1-Assumptions!$B$26)^(Z$3-$J4),1)*IF($H4&gt;=1,1,MIN(0.97,$H4*Assumptions!$E$12)))</f>
        <v>683.1</v>
      </c>
      <c r="AA4" s="23">
        <f>IF(AA$3&lt;$I4,0,$G4*Assumptions!$E$11*INDEX(Assumptions!$B$24:$G$24,MIN(6,AA$3-$I4+1))*IF(AA$3&gt;$J4,(1-Assumptions!$B$26)^(AA$3-$J4),1)*IF($H4&gt;=1,1,MIN(0.97,$H4*Assumptions!$E$12)))</f>
        <v>683.1</v>
      </c>
      <c r="AB4" s="23">
        <f>IF(AB$3&lt;$I4,0,$G4*Assumptions!$E$11*INDEX(Assumptions!$B$24:$G$24,MIN(6,AB$3-$I4+1))*IF(AB$3&gt;$J4,(1-Assumptions!$B$26)^(AB$3-$J4),1)*IF($H4&gt;=1,1,MIN(0.97,$H4*Assumptions!$E$12)))</f>
        <v>683.1</v>
      </c>
      <c r="AC4" s="23">
        <f>IF(AC$3&lt;$I4,0,$G4*Assumptions!$E$11*INDEX(Assumptions!$B$24:$G$24,MIN(6,AC$3-$I4+1))*IF(AC$3&gt;$J4,(1-Assumptions!$B$26)^(AC$3-$J4),1)*IF($H4&gt;=1,1,MIN(0.97,$H4*Assumptions!$E$12)))</f>
        <v>341.55</v>
      </c>
      <c r="AD4" s="23">
        <f>IF(AD$3&lt;$I4,0,$G4*Assumptions!$E$11*INDEX(Assumptions!$B$24:$G$24,MIN(6,AD$3-$I4+1))*IF(AD$3&gt;$J4,(1-Assumptions!$B$26)^(AD$3-$J4),1)*IF($H4&gt;=1,1,MIN(0.97,$H4*Assumptions!$E$12)))</f>
        <v>170.775</v>
      </c>
      <c r="AE4" s="23">
        <f>IF(AE$3&lt;$I4,0,$G4*Assumptions!$E$11*INDEX(Assumptions!$B$24:$G$24,MIN(6,AE$3-$I4+1))*IF(AE$3&gt;$J4,(1-Assumptions!$B$26)^(AE$3-$J4),1)*IF($H4&gt;=1,1,MIN(0.97,$H4*Assumptions!$E$12)))</f>
        <v>85.3875</v>
      </c>
      <c r="AF4" s="23">
        <f>IF(AF$3&lt;$I4,0,$G4*Assumptions!$E$11*INDEX(Assumptions!$B$24:$G$24,MIN(6,AF$3-$I4+1))*IF(AF$3&gt;$J4,(1-Assumptions!$B$26)^(AF$3-$J4),1)*IF($H4&gt;=1,1,MIN(0.97,$H4*Assumptions!$E$12)))</f>
        <v>42.69375</v>
      </c>
      <c r="AG4" s="35">
        <f>IF(F4="Owned",1-IF(H4&gt;=1,1,MIN(0.97,H4*Assumptions!$E$12)),1)</f>
        <v>0.5446</v>
      </c>
    </row>
    <row r="5">
      <c r="A5" s="39" t="n">
        <v>2</v>
      </c>
      <c r="B5" s="14" t="inlineStr">
        <is>
          <t>Rare hematology</t>
        </is>
      </c>
      <c r="C5" s="14" t="inlineStr">
        <is>
          <t>Etripamil NS 70 mg, Etripamil NS</t>
        </is>
      </c>
      <c r="D5" s="14" t="inlineStr">
        <is>
          <t>Phase 3</t>
        </is>
      </c>
      <c r="E5" s="14" t="inlineStr">
        <is>
          <t>Hematology / area</t>
        </is>
      </c>
      <c r="F5" s="14" t="inlineStr">
        <is>
          <t>Owned</t>
        </is>
      </c>
      <c r="G5" s="40" t="n">
        <v>700</v>
      </c>
      <c r="H5" s="27" t="n">
        <v>0.715</v>
      </c>
      <c r="I5" s="26" t="n">
        <v>2029</v>
      </c>
      <c r="J5" s="39">
        <f>I5+Assumptions!$B$25</f>
        <v>2041.0</v>
      </c>
      <c r="K5" s="53">
        <f>Assumptions!$E$13</f>
        <v>0.4</v>
      </c>
      <c r="L5" s="23">
        <f>K5*SUMPRODUCT(M5:AF5,NPV!$C$15:$V$15)</f>
        <v>717.9435274466132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50.05</v>
      </c>
      <c r="Q5" s="23">
        <f>IF(Q$3&lt;$I5,0,$G5*Assumptions!$E$11*INDEX(Assumptions!$B$24:$G$24,MIN(6,Q$3-$I5+1))*IF(Q$3&gt;$J5,(1-Assumptions!$B$26)^(Q$3-$J5),1)*IF($H5&gt;=1,1,MIN(0.97,$H5*Assumptions!$E$12)))</f>
        <v>125.125</v>
      </c>
      <c r="R5" s="23">
        <f>IF(R$3&lt;$I5,0,$G5*Assumptions!$E$11*INDEX(Assumptions!$B$24:$G$24,MIN(6,R$3-$I5+1))*IF(R$3&gt;$J5,(1-Assumptions!$B$26)^(R$3-$J5),1)*IF($H5&gt;=1,1,MIN(0.97,$H5*Assumptions!$E$12)))</f>
        <v>225.225</v>
      </c>
      <c r="S5" s="23">
        <f>IF(S$3&lt;$I5,0,$G5*Assumptions!$E$11*INDEX(Assumptions!$B$24:$G$24,MIN(6,S$3-$I5+1))*IF(S$3&gt;$J5,(1-Assumptions!$B$26)^(S$3-$J5),1)*IF($H5&gt;=1,1,MIN(0.97,$H5*Assumptions!$E$12)))</f>
        <v>325.325</v>
      </c>
      <c r="T5" s="23">
        <f>IF(T$3&lt;$I5,0,$G5*Assumptions!$E$11*INDEX(Assumptions!$B$24:$G$24,MIN(6,T$3-$I5+1))*IF(T$3&gt;$J5,(1-Assumptions!$B$26)^(T$3-$J5),1)*IF($H5&gt;=1,1,MIN(0.97,$H5*Assumptions!$E$12)))</f>
        <v>425.42499999999995</v>
      </c>
      <c r="U5" s="23">
        <f>IF(U$3&lt;$I5,0,$G5*Assumptions!$E$11*INDEX(Assumptions!$B$24:$G$24,MIN(6,U$3-$I5+1))*IF(U$3&gt;$J5,(1-Assumptions!$B$26)^(U$3-$J5),1)*IF($H5&gt;=1,1,MIN(0.97,$H5*Assumptions!$E$12)))</f>
        <v>500.5</v>
      </c>
      <c r="V5" s="23">
        <f>IF(V$3&lt;$I5,0,$G5*Assumptions!$E$11*INDEX(Assumptions!$B$24:$G$24,MIN(6,V$3-$I5+1))*IF(V$3&gt;$J5,(1-Assumptions!$B$26)^(V$3-$J5),1)*IF($H5&gt;=1,1,MIN(0.97,$H5*Assumptions!$E$12)))</f>
        <v>500.5</v>
      </c>
      <c r="W5" s="23">
        <f>IF(W$3&lt;$I5,0,$G5*Assumptions!$E$11*INDEX(Assumptions!$B$24:$G$24,MIN(6,W$3-$I5+1))*IF(W$3&gt;$J5,(1-Assumptions!$B$26)^(W$3-$J5),1)*IF($H5&gt;=1,1,MIN(0.97,$H5*Assumptions!$E$12)))</f>
        <v>500.5</v>
      </c>
      <c r="X5" s="23">
        <f>IF(X$3&lt;$I5,0,$G5*Assumptions!$E$11*INDEX(Assumptions!$B$24:$G$24,MIN(6,X$3-$I5+1))*IF(X$3&gt;$J5,(1-Assumptions!$B$26)^(X$3-$J5),1)*IF($H5&gt;=1,1,MIN(0.97,$H5*Assumptions!$E$12)))</f>
        <v>500.5</v>
      </c>
      <c r="Y5" s="23">
        <f>IF(Y$3&lt;$I5,0,$G5*Assumptions!$E$11*INDEX(Assumptions!$B$24:$G$24,MIN(6,Y$3-$I5+1))*IF(Y$3&gt;$J5,(1-Assumptions!$B$26)^(Y$3-$J5),1)*IF($H5&gt;=1,1,MIN(0.97,$H5*Assumptions!$E$12)))</f>
        <v>500.5</v>
      </c>
      <c r="Z5" s="23">
        <f>IF(Z$3&lt;$I5,0,$G5*Assumptions!$E$11*INDEX(Assumptions!$B$24:$G$24,MIN(6,Z$3-$I5+1))*IF(Z$3&gt;$J5,(1-Assumptions!$B$26)^(Z$3-$J5),1)*IF($H5&gt;=1,1,MIN(0.97,$H5*Assumptions!$E$12)))</f>
        <v>500.5</v>
      </c>
      <c r="AA5" s="23">
        <f>IF(AA$3&lt;$I5,0,$G5*Assumptions!$E$11*INDEX(Assumptions!$B$24:$G$24,MIN(6,AA$3-$I5+1))*IF(AA$3&gt;$J5,(1-Assumptions!$B$26)^(AA$3-$J5),1)*IF($H5&gt;=1,1,MIN(0.97,$H5*Assumptions!$E$12)))</f>
        <v>500.5</v>
      </c>
      <c r="AB5" s="23">
        <f>IF(AB$3&lt;$I5,0,$G5*Assumptions!$E$11*INDEX(Assumptions!$B$24:$G$24,MIN(6,AB$3-$I5+1))*IF(AB$3&gt;$J5,(1-Assumptions!$B$26)^(AB$3-$J5),1)*IF($H5&gt;=1,1,MIN(0.97,$H5*Assumptions!$E$12)))</f>
        <v>500.5</v>
      </c>
      <c r="AC5" s="23">
        <f>IF(AC$3&lt;$I5,0,$G5*Assumptions!$E$11*INDEX(Assumptions!$B$24:$G$24,MIN(6,AC$3-$I5+1))*IF(AC$3&gt;$J5,(1-Assumptions!$B$26)^(AC$3-$J5),1)*IF($H5&gt;=1,1,MIN(0.97,$H5*Assumptions!$E$12)))</f>
        <v>250.25</v>
      </c>
      <c r="AD5" s="23">
        <f>IF(AD$3&lt;$I5,0,$G5*Assumptions!$E$11*INDEX(Assumptions!$B$24:$G$24,MIN(6,AD$3-$I5+1))*IF(AD$3&gt;$J5,(1-Assumptions!$B$26)^(AD$3-$J5),1)*IF($H5&gt;=1,1,MIN(0.97,$H5*Assumptions!$E$12)))</f>
        <v>125.125</v>
      </c>
      <c r="AE5" s="23">
        <f>IF(AE$3&lt;$I5,0,$G5*Assumptions!$E$11*INDEX(Assumptions!$B$24:$G$24,MIN(6,AE$3-$I5+1))*IF(AE$3&gt;$J5,(1-Assumptions!$B$26)^(AE$3-$J5),1)*IF($H5&gt;=1,1,MIN(0.97,$H5*Assumptions!$E$12)))</f>
        <v>62.5625</v>
      </c>
      <c r="AF5" s="23">
        <f>IF(AF$3&lt;$I5,0,$G5*Assumptions!$E$11*INDEX(Assumptions!$B$24:$G$24,MIN(6,AF$3-$I5+1))*IF(AF$3&gt;$J5,(1-Assumptions!$B$26)^(AF$3-$J5),1)*IF($H5&gt;=1,1,MIN(0.97,$H5*Assumptions!$E$12)))</f>
        <v>31.28125</v>
      </c>
      <c r="AG5" s="35">
        <f>IF(F5="Owned",1-IF(H5&gt;=1,1,MIN(0.97,H5*Assumptions!$E$12)),1)</f>
        <v>0.28500000000000003</v>
      </c>
    </row>
    <row r="6">
      <c r="B6" s="24" t="inlineStr">
        <is>
          <t>Risked revenue</t>
        </is>
      </c>
      <c r="L6" s="54">
        <f>SUM(L4:L5)</f>
        <v>1697.8181000715513</v>
      </c>
      <c r="M6" s="54">
        <f>SUM(M4:M5)</f>
        <v>0.0</v>
      </c>
      <c r="N6" s="54">
        <f>SUM(N4:N5)</f>
        <v>0.0</v>
      </c>
      <c r="O6" s="54">
        <f>SUM(O4:O5)</f>
        <v>0.0</v>
      </c>
      <c r="P6" s="54">
        <f>SUM(P4:P5)</f>
        <v>118.36</v>
      </c>
      <c r="Q6" s="54">
        <f>SUM(Q4:Q5)</f>
        <v>295.9</v>
      </c>
      <c r="R6" s="54">
        <f>SUM(R4:R5)</f>
        <v>532.62</v>
      </c>
      <c r="S6" s="54">
        <f>SUM(S4:S5)</f>
        <v>769.34</v>
      </c>
      <c r="T6" s="54">
        <f>SUM(T4:T5)</f>
        <v>1006.06</v>
      </c>
      <c r="U6" s="54">
        <f>SUM(U4:U5)</f>
        <v>1183.6</v>
      </c>
      <c r="V6" s="54">
        <f>SUM(V4:V5)</f>
        <v>1183.6</v>
      </c>
      <c r="W6" s="54">
        <f>SUM(W4:W5)</f>
        <v>1183.6</v>
      </c>
      <c r="X6" s="54">
        <f>SUM(X4:X5)</f>
        <v>1183.6</v>
      </c>
      <c r="Y6" s="54">
        <f>SUM(Y4:Y5)</f>
        <v>1183.6</v>
      </c>
      <c r="Z6" s="54">
        <f>SUM(Z4:Z5)</f>
        <v>1183.6</v>
      </c>
      <c r="AA6" s="54">
        <f>SUM(AA4:AA5)</f>
        <v>1183.6</v>
      </c>
      <c r="AB6" s="54">
        <f>SUM(AB4:AB5)</f>
        <v>1183.6</v>
      </c>
      <c r="AC6" s="54">
        <f>SUM(AC4:AC5)</f>
        <v>591.8</v>
      </c>
      <c r="AD6" s="54">
        <f>SUM(AD4:AD5)</f>
        <v>295.9</v>
      </c>
      <c r="AE6" s="54">
        <f>SUM(AE4:AE5)</f>
        <v>147.95</v>
      </c>
      <c r="AF6" s="54">
        <f>SUM(AF4:AF5)</f>
        <v>73.975</v>
      </c>
    </row>
    <row r="7">
      <c r="B7" s="24" t="inlineStr">
        <is>
          <t>Risked contribution (revenue x share)</t>
        </is>
      </c>
      <c r="M7" s="55">
        <f>SUMPRODUCT(M4:M5,$K$4:$K$5)</f>
        <v>0.0</v>
      </c>
      <c r="N7" s="55">
        <f>SUMPRODUCT(N4:N5,$K$4:$K$5)</f>
        <v>0.0</v>
      </c>
      <c r="O7" s="55">
        <f>SUMPRODUCT(O4:O5,$K$4:$K$5)</f>
        <v>0.0</v>
      </c>
      <c r="P7" s="55">
        <f>SUMPRODUCT(P4:P5,$K$4:$K$5)</f>
        <v>47.344</v>
      </c>
      <c r="Q7" s="55">
        <f>SUMPRODUCT(Q4:Q5,$K$4:$K$5)</f>
        <v>118.36000000000001</v>
      </c>
      <c r="R7" s="55">
        <f>SUMPRODUCT(R4:R5,$K$4:$K$5)</f>
        <v>213.04800000000003</v>
      </c>
      <c r="S7" s="55">
        <f>SUMPRODUCT(S4:S5,$K$4:$K$5)</f>
        <v>307.736</v>
      </c>
      <c r="T7" s="55">
        <f>SUMPRODUCT(T4:T5,$K$4:$K$5)</f>
        <v>402.424</v>
      </c>
      <c r="U7" s="55">
        <f>SUMPRODUCT(U4:U5,$K$4:$K$5)</f>
        <v>473.44000000000005</v>
      </c>
      <c r="V7" s="55">
        <f>SUMPRODUCT(V4:V5,$K$4:$K$5)</f>
        <v>473.44000000000005</v>
      </c>
      <c r="W7" s="55">
        <f>SUMPRODUCT(W4:W5,$K$4:$K$5)</f>
        <v>473.44000000000005</v>
      </c>
      <c r="X7" s="55">
        <f>SUMPRODUCT(X4:X5,$K$4:$K$5)</f>
        <v>473.44000000000005</v>
      </c>
      <c r="Y7" s="55">
        <f>SUMPRODUCT(Y4:Y5,$K$4:$K$5)</f>
        <v>473.44000000000005</v>
      </c>
      <c r="Z7" s="55">
        <f>SUMPRODUCT(Z4:Z5,$K$4:$K$5)</f>
        <v>473.44000000000005</v>
      </c>
      <c r="AA7" s="55">
        <f>SUMPRODUCT(AA4:AA5,$K$4:$K$5)</f>
        <v>473.44000000000005</v>
      </c>
      <c r="AB7" s="55">
        <f>SUMPRODUCT(AB4:AB5,$K$4:$K$5)</f>
        <v>473.44000000000005</v>
      </c>
      <c r="AC7" s="55">
        <f>SUMPRODUCT(AC4:AC5,$K$4:$K$5)</f>
        <v>236.72000000000003</v>
      </c>
      <c r="AD7" s="55">
        <f>SUMPRODUCT(AD4:AD5,$K$4:$K$5)</f>
        <v>118.36000000000001</v>
      </c>
      <c r="AE7" s="55">
        <f>SUMPRODUCT(AE4:AE5,$K$4:$K$5)</f>
        <v>59.18000000000001</v>
      </c>
      <c r="AF7" s="55">
        <f>SUMPRODUCT(AF4:AF5,$K$4:$K$5)</f>
        <v>29.590000000000003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Milestone Pharmaceuticals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Pipeline!M6</f>
        <v>0.0</v>
      </c>
      <c r="D4" s="57">
        <f>Pipeline!N6</f>
        <v>0.0</v>
      </c>
      <c r="E4" s="57">
        <f>Pipeline!O6</f>
        <v>0.0</v>
      </c>
      <c r="F4" s="57">
        <f>Pipeline!P6</f>
        <v>118.36</v>
      </c>
      <c r="G4" s="57">
        <f>Pipeline!Q6</f>
        <v>295.9</v>
      </c>
      <c r="H4" s="57">
        <f>Pipeline!R6</f>
        <v>532.62</v>
      </c>
      <c r="I4" s="57">
        <f>Pipeline!S6</f>
        <v>769.34</v>
      </c>
      <c r="J4" s="57">
        <f>Pipeline!T6</f>
        <v>1006.06</v>
      </c>
      <c r="K4" s="57">
        <f>Pipeline!U6</f>
        <v>1183.6</v>
      </c>
      <c r="L4" s="57">
        <f>Pipeline!V6</f>
        <v>1183.6</v>
      </c>
      <c r="M4" s="57">
        <f>Pipeline!W6</f>
        <v>1183.6</v>
      </c>
      <c r="N4" s="57">
        <f>Pipeline!X6</f>
        <v>1183.6</v>
      </c>
      <c r="O4" s="57">
        <f>Pipeline!Y6</f>
        <v>1183.6</v>
      </c>
      <c r="P4" s="57">
        <f>Pipeline!Z6</f>
        <v>1183.6</v>
      </c>
      <c r="Q4" s="57">
        <f>Pipeline!AA6</f>
        <v>1183.6</v>
      </c>
      <c r="R4" s="57">
        <f>Pipeline!AB6</f>
        <v>1183.6</v>
      </c>
      <c r="S4" s="57">
        <f>Pipeline!AC6</f>
        <v>591.8</v>
      </c>
      <c r="T4" s="57">
        <f>Pipeline!AD6</f>
        <v>295.9</v>
      </c>
      <c r="U4" s="57">
        <f>Pipeline!AE6</f>
        <v>147.95</v>
      </c>
      <c r="V4" s="57">
        <f>Pipeline!AF6</f>
        <v>73.975</v>
      </c>
    </row>
    <row r="5">
      <c r="A5" s="14" t="inlineStr">
        <is>
          <t>Risked contribution</t>
        </is>
      </c>
      <c r="C5" s="57">
        <f>Pipeline!M7</f>
        <v>0.0</v>
      </c>
      <c r="D5" s="57">
        <f>Pipeline!N7</f>
        <v>0.0</v>
      </c>
      <c r="E5" s="57">
        <f>Pipeline!O7</f>
        <v>0.0</v>
      </c>
      <c r="F5" s="57">
        <f>Pipeline!P7</f>
        <v>47.344</v>
      </c>
      <c r="G5" s="57">
        <f>Pipeline!Q7</f>
        <v>118.36000000000001</v>
      </c>
      <c r="H5" s="57">
        <f>Pipeline!R7</f>
        <v>213.04800000000003</v>
      </c>
      <c r="I5" s="57">
        <f>Pipeline!S7</f>
        <v>307.736</v>
      </c>
      <c r="J5" s="57">
        <f>Pipeline!T7</f>
        <v>402.424</v>
      </c>
      <c r="K5" s="57">
        <f>Pipeline!U7</f>
        <v>473.44000000000005</v>
      </c>
      <c r="L5" s="57">
        <f>Pipeline!V7</f>
        <v>473.44000000000005</v>
      </c>
      <c r="M5" s="57">
        <f>Pipeline!W7</f>
        <v>473.44000000000005</v>
      </c>
      <c r="N5" s="57">
        <f>Pipeline!X7</f>
        <v>473.44000000000005</v>
      </c>
      <c r="O5" s="57">
        <f>Pipeline!Y7</f>
        <v>473.44000000000005</v>
      </c>
      <c r="P5" s="57">
        <f>Pipeline!Z7</f>
        <v>473.44000000000005</v>
      </c>
      <c r="Q5" s="57">
        <f>Pipeline!AA7</f>
        <v>473.44000000000005</v>
      </c>
      <c r="R5" s="57">
        <f>Pipeline!AB7</f>
        <v>473.44000000000005</v>
      </c>
      <c r="S5" s="57">
        <f>Pipeline!AC7</f>
        <v>236.72000000000003</v>
      </c>
      <c r="T5" s="57">
        <f>Pipeline!AD7</f>
        <v>118.36000000000001</v>
      </c>
      <c r="U5" s="57">
        <f>Pipeline!AE7</f>
        <v>59.18000000000001</v>
      </c>
      <c r="V5" s="57">
        <f>Pipeline!AF7</f>
        <v>29.590000000000003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-78.379</v>
      </c>
      <c r="D6" s="23">
        <f>-IF(D3-2026&lt;Assumptions!$B$19,Assumptions!$B$18,Assumptions!$B$18*Assumptions!$B$20*Assumptions!$B$16)</f>
        <v>-78.379</v>
      </c>
      <c r="E6" s="23">
        <f>-IF(E3-2026&lt;Assumptions!$B$19,Assumptions!$B$18,Assumptions!$B$18*Assumptions!$B$20*Assumptions!$B$16)</f>
        <v>-78.379</v>
      </c>
      <c r="F6" s="23">
        <f>-IF(F3-2026&lt;Assumptions!$B$19,Assumptions!$B$18,Assumptions!$B$18*Assumptions!$B$20*Assumptions!$B$16)</f>
        <v>-19.864115109300002</v>
      </c>
      <c r="G6" s="23">
        <f>-IF(G3-2026&lt;Assumptions!$B$19,Assumptions!$B$18,Assumptions!$B$18*Assumptions!$B$20*Assumptions!$B$16)</f>
        <v>-19.864115109300002</v>
      </c>
      <c r="H6" s="23">
        <f>-IF(H3-2026&lt;Assumptions!$B$19,Assumptions!$B$18,Assumptions!$B$18*Assumptions!$B$20*Assumptions!$B$16)</f>
        <v>-19.864115109300002</v>
      </c>
      <c r="I6" s="23">
        <f>-IF(I3-2026&lt;Assumptions!$B$19,Assumptions!$B$18,Assumptions!$B$18*Assumptions!$B$20*Assumptions!$B$16)</f>
        <v>-19.864115109300002</v>
      </c>
      <c r="J6" s="23">
        <f>-IF(J3-2026&lt;Assumptions!$B$19,Assumptions!$B$18,Assumptions!$B$18*Assumptions!$B$20*Assumptions!$B$16)</f>
        <v>-19.864115109300002</v>
      </c>
      <c r="K6" s="23">
        <f>-IF(K3-2026&lt;Assumptions!$B$19,Assumptions!$B$18,Assumptions!$B$18*Assumptions!$B$20*Assumptions!$B$16)</f>
        <v>-19.864115109300002</v>
      </c>
      <c r="L6" s="23">
        <f>-IF(L3-2026&lt;Assumptions!$B$19,Assumptions!$B$18,Assumptions!$B$18*Assumptions!$B$20*Assumptions!$B$16)</f>
        <v>-19.864115109300002</v>
      </c>
      <c r="M6" s="23">
        <f>-IF(M3-2026&lt;Assumptions!$B$19,Assumptions!$B$18,Assumptions!$B$18*Assumptions!$B$20*Assumptions!$B$16)</f>
        <v>-19.864115109300002</v>
      </c>
      <c r="N6" s="23">
        <f>-IF(N3-2026&lt;Assumptions!$B$19,Assumptions!$B$18,Assumptions!$B$18*Assumptions!$B$20*Assumptions!$B$16)</f>
        <v>-19.864115109300002</v>
      </c>
      <c r="O6" s="23">
        <f>-IF(O3-2026&lt;Assumptions!$B$19,Assumptions!$B$18,Assumptions!$B$18*Assumptions!$B$20*Assumptions!$B$16)</f>
        <v>-19.864115109300002</v>
      </c>
      <c r="P6" s="23">
        <f>-IF(P3-2026&lt;Assumptions!$B$19,Assumptions!$B$18,Assumptions!$B$18*Assumptions!$B$20*Assumptions!$B$16)</f>
        <v>-19.864115109300002</v>
      </c>
      <c r="Q6" s="23">
        <f>-IF(Q3-2026&lt;Assumptions!$B$19,Assumptions!$B$18,Assumptions!$B$18*Assumptions!$B$20*Assumptions!$B$16)</f>
        <v>-19.864115109300002</v>
      </c>
      <c r="R6" s="23">
        <f>-IF(R3-2026&lt;Assumptions!$B$19,Assumptions!$B$18,Assumptions!$B$18*Assumptions!$B$20*Assumptions!$B$16)</f>
        <v>-19.864115109300002</v>
      </c>
      <c r="S6" s="23">
        <f>-IF(S3-2026&lt;Assumptions!$B$19,Assumptions!$B$18,Assumptions!$B$18*Assumptions!$B$20*Assumptions!$B$16)</f>
        <v>-19.864115109300002</v>
      </c>
      <c r="T6" s="23">
        <f>-IF(T3-2026&lt;Assumptions!$B$19,Assumptions!$B$18,Assumptions!$B$18*Assumptions!$B$20*Assumptions!$B$16)</f>
        <v>-19.864115109300002</v>
      </c>
      <c r="U6" s="23">
        <f>-IF(U3-2026&lt;Assumptions!$B$19,Assumptions!$B$18,Assumptions!$B$18*Assumptions!$B$20*Assumptions!$B$16)</f>
        <v>-19.864115109300002</v>
      </c>
      <c r="V6" s="23">
        <f>-IF(V3-2026&lt;Assumptions!$B$19,Assumptions!$B$18,Assumptions!$B$18*Assumptions!$B$20*Assumptions!$B$16)</f>
        <v>-19.864115109300002</v>
      </c>
    </row>
    <row r="7">
      <c r="A7" s="14" t="inlineStr">
        <is>
          <t>Pre-tax cash flow</t>
        </is>
      </c>
      <c r="C7" s="23">
        <f>C5+C6</f>
        <v>-78.379</v>
      </c>
      <c r="D7" s="23">
        <f>D5+D6</f>
        <v>-78.379</v>
      </c>
      <c r="E7" s="23">
        <f>E5+E6</f>
        <v>-78.379</v>
      </c>
      <c r="F7" s="23">
        <f>F5+F6</f>
        <v>27.4798848907</v>
      </c>
      <c r="G7" s="23">
        <f>G5+G6</f>
        <v>98.49588489070001</v>
      </c>
      <c r="H7" s="23">
        <f>H5+H6</f>
        <v>193.18388489070003</v>
      </c>
      <c r="I7" s="23">
        <f>I5+I6</f>
        <v>287.8718848907</v>
      </c>
      <c r="J7" s="23">
        <f>J5+J6</f>
        <v>382.5598848907</v>
      </c>
      <c r="K7" s="23">
        <f>K5+K6</f>
        <v>453.5758848907001</v>
      </c>
      <c r="L7" s="23">
        <f>L5+L6</f>
        <v>453.5758848907001</v>
      </c>
      <c r="M7" s="23">
        <f>M5+M6</f>
        <v>453.5758848907001</v>
      </c>
      <c r="N7" s="23">
        <f>N5+N6</f>
        <v>453.5758848907001</v>
      </c>
      <c r="O7" s="23">
        <f>O5+O6</f>
        <v>453.5758848907001</v>
      </c>
      <c r="P7" s="23">
        <f>P5+P6</f>
        <v>453.5758848907001</v>
      </c>
      <c r="Q7" s="23">
        <f>Q5+Q6</f>
        <v>453.5758848907001</v>
      </c>
      <c r="R7" s="23">
        <f>R5+R6</f>
        <v>453.5758848907001</v>
      </c>
      <c r="S7" s="23">
        <f>S5+S6</f>
        <v>216.85588489070003</v>
      </c>
      <c r="T7" s="23">
        <f>T5+T6</f>
        <v>98.49588489070001</v>
      </c>
      <c r="U7" s="23">
        <f>U5+U6</f>
        <v>39.315884890700005</v>
      </c>
      <c r="V7" s="23">
        <f>V5+V6</f>
        <v>9.725884890700002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27.4798848907</v>
      </c>
      <c r="G8" s="23">
        <f>MIN(F17,MAX(0,G7))</f>
        <v>98.49588489070001</v>
      </c>
      <c r="H8" s="23">
        <f>MIN(G17,MAX(0,H7))</f>
        <v>193.18388489070003</v>
      </c>
      <c r="I8" s="23">
        <f>MIN(H17,MAX(0,I7))</f>
        <v>145.77734532789998</v>
      </c>
      <c r="J8" s="23">
        <f>MIN(I17,MAX(0,J7))</f>
        <v>0.0</v>
      </c>
      <c r="K8" s="23">
        <f>MIN(J17,MAX(0,K7))</f>
        <v>0.0</v>
      </c>
      <c r="L8" s="23">
        <f>MIN(K17,MAX(0,L7))</f>
        <v>0.0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142.09453956280004</v>
      </c>
      <c r="J9" s="23">
        <f>MAX(0,J7)-J8</f>
        <v>382.5598848907</v>
      </c>
      <c r="K9" s="23">
        <f>MAX(0,K7)-K8</f>
        <v>453.5758848907001</v>
      </c>
      <c r="L9" s="23">
        <f>MAX(0,L7)-L8</f>
        <v>453.5758848907001</v>
      </c>
      <c r="M9" s="23">
        <f>MAX(0,M7)-M8</f>
        <v>453.5758848907001</v>
      </c>
      <c r="N9" s="23">
        <f>MAX(0,N7)-N8</f>
        <v>453.5758848907001</v>
      </c>
      <c r="O9" s="23">
        <f>MAX(0,O7)-O8</f>
        <v>453.5758848907001</v>
      </c>
      <c r="P9" s="23">
        <f>MAX(0,P7)-P8</f>
        <v>453.5758848907001</v>
      </c>
      <c r="Q9" s="23">
        <f>MAX(0,Q7)-Q8</f>
        <v>453.5758848907001</v>
      </c>
      <c r="R9" s="23">
        <f>MAX(0,R7)-R8</f>
        <v>453.5758848907001</v>
      </c>
      <c r="S9" s="23">
        <f>MAX(0,S7)-S8</f>
        <v>216.85588489070003</v>
      </c>
      <c r="T9" s="23">
        <f>MAX(0,T7)-T8</f>
        <v>98.49588489070001</v>
      </c>
      <c r="U9" s="23">
        <f>MAX(0,U7)-U8</f>
        <v>39.315884890700005</v>
      </c>
      <c r="V9" s="23">
        <f>MAX(0,V7)-V8</f>
        <v>9.725884890700002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29.839853308188008</v>
      </c>
      <c r="J10" s="23">
        <f>J9*Assumptions!$E$15</f>
        <v>80.337575827047</v>
      </c>
      <c r="K10" s="23">
        <f>K9*Assumptions!$E$15</f>
        <v>95.25093582704702</v>
      </c>
      <c r="L10" s="23">
        <f>L9*Assumptions!$E$15</f>
        <v>95.25093582704702</v>
      </c>
      <c r="M10" s="23">
        <f>M9*Assumptions!$E$15</f>
        <v>95.25093582704702</v>
      </c>
      <c r="N10" s="23">
        <f>N9*Assumptions!$E$15</f>
        <v>95.25093582704702</v>
      </c>
      <c r="O10" s="23">
        <f>O9*Assumptions!$E$15</f>
        <v>95.25093582704702</v>
      </c>
      <c r="P10" s="23">
        <f>P9*Assumptions!$E$15</f>
        <v>95.25093582704702</v>
      </c>
      <c r="Q10" s="23">
        <f>Q9*Assumptions!$E$15</f>
        <v>95.25093582704702</v>
      </c>
      <c r="R10" s="23">
        <f>R9*Assumptions!$E$15</f>
        <v>95.25093582704702</v>
      </c>
      <c r="S10" s="23">
        <f>S9*Assumptions!$E$15</f>
        <v>45.539735827047004</v>
      </c>
      <c r="T10" s="23">
        <f>T9*Assumptions!$E$15</f>
        <v>20.684135827047</v>
      </c>
      <c r="U10" s="23">
        <f>U9*Assumptions!$E$15</f>
        <v>8.256335827047002</v>
      </c>
      <c r="V10" s="23">
        <f>V9*Assumptions!$E$15</f>
        <v>2.0424358270470004</v>
      </c>
    </row>
    <row r="11">
      <c r="A11" s="24" t="inlineStr">
        <is>
          <t>Free cash flow</t>
        </is>
      </c>
      <c r="C11" s="55">
        <f>C7-C10</f>
        <v>-78.379</v>
      </c>
      <c r="D11" s="55">
        <f>D7-D10</f>
        <v>-78.379</v>
      </c>
      <c r="E11" s="55">
        <f>E7-E10</f>
        <v>-78.379</v>
      </c>
      <c r="F11" s="55">
        <f>F7-F10</f>
        <v>27.4798848907</v>
      </c>
      <c r="G11" s="55">
        <f>G7-G10</f>
        <v>98.49588489070001</v>
      </c>
      <c r="H11" s="55">
        <f>H7-H10</f>
        <v>193.18388489070003</v>
      </c>
      <c r="I11" s="55">
        <f>I7-I10</f>
        <v>258.032031582512</v>
      </c>
      <c r="J11" s="55">
        <f>J7-J10</f>
        <v>302.22230906365303</v>
      </c>
      <c r="K11" s="55">
        <f>K7-K10</f>
        <v>358.3249490636531</v>
      </c>
      <c r="L11" s="55">
        <f>L7-L10</f>
        <v>358.3249490636531</v>
      </c>
      <c r="M11" s="55">
        <f>M7-M10</f>
        <v>358.3249490636531</v>
      </c>
      <c r="N11" s="55">
        <f>N7-N10</f>
        <v>358.3249490636531</v>
      </c>
      <c r="O11" s="55">
        <f>O7-O10</f>
        <v>358.3249490636531</v>
      </c>
      <c r="P11" s="55">
        <f>P7-P10</f>
        <v>358.3249490636531</v>
      </c>
      <c r="Q11" s="55">
        <f>Q7-Q10</f>
        <v>358.3249490636531</v>
      </c>
      <c r="R11" s="55">
        <f>R7-R10</f>
        <v>358.3249490636531</v>
      </c>
      <c r="S11" s="55">
        <f>S7-S10</f>
        <v>171.31614906365303</v>
      </c>
      <c r="T11" s="55">
        <f>T7-T10</f>
        <v>77.81174906365301</v>
      </c>
      <c r="U11" s="55">
        <f>U7-U10</f>
        <v>31.059549063653</v>
      </c>
      <c r="V11" s="55">
        <f>V7-V10</f>
        <v>7.683449063653001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-38.398212971420136</v>
      </c>
      <c r="D16" s="55">
        <f>D11*D15</f>
        <v>-69.94874093267468</v>
      </c>
      <c r="E16" s="55">
        <f>E11*E15</f>
        <v>-62.45423297560237</v>
      </c>
      <c r="F16" s="55">
        <f>F11*F15</f>
        <v>19.55055304885913</v>
      </c>
      <c r="G16" s="55">
        <f>G11*G15</f>
        <v>62.566837210106286</v>
      </c>
      <c r="H16" s="55">
        <f>H11*H15</f>
        <v>109.56680259667219</v>
      </c>
      <c r="I16" s="55">
        <f>I11*I15</f>
        <v>130.66632955516067</v>
      </c>
      <c r="J16" s="55">
        <f>J11*J15</f>
        <v>136.64651713158162</v>
      </c>
      <c r="K16" s="55">
        <f>K11*K15</f>
        <v>144.6542082436166</v>
      </c>
      <c r="L16" s="55">
        <f>L11*L15</f>
        <v>129.1555430746577</v>
      </c>
      <c r="M16" s="55">
        <f>M11*M15</f>
        <v>115.31744917380149</v>
      </c>
      <c r="N16" s="55">
        <f>N11*N15</f>
        <v>102.96200819089417</v>
      </c>
      <c r="O16" s="55">
        <f>O11*O15</f>
        <v>91.9303644561555</v>
      </c>
      <c r="P16" s="55">
        <f>P11*P15</f>
        <v>82.08068255013883</v>
      </c>
      <c r="Q16" s="55">
        <f>Q11*Q15</f>
        <v>73.2863237054811</v>
      </c>
      <c r="R16" s="55">
        <f>R11*R15</f>
        <v>65.43421759417954</v>
      </c>
      <c r="S16" s="55">
        <f>S11*S15</f>
        <v>27.93239320034418</v>
      </c>
      <c r="T16" s="55">
        <f>T11*T15</f>
        <v>11.327576354821792</v>
      </c>
      <c r="U16" s="55">
        <f>U11*U15</f>
        <v>4.0370947671624045</v>
      </c>
      <c r="V16" s="55">
        <f>V11*V15</f>
        <v>0.8916860901004023</v>
      </c>
    </row>
    <row r="17">
      <c r="A17" s="14" t="inlineStr">
        <is>
          <t>Tax-loss carryforward, end of year</t>
        </is>
      </c>
      <c r="C17" s="23">
        <f>Assumptions!$B$21-C8+MAX(0,-C7)</f>
        <v>308.17900000000003</v>
      </c>
      <c r="D17" s="23">
        <f>C17-D8+MAX(0,-D7)</f>
        <v>386.55800000000005</v>
      </c>
      <c r="E17" s="23">
        <f>D17-E8+MAX(0,-E7)</f>
        <v>464.93700000000007</v>
      </c>
      <c r="F17" s="23">
        <f>E17-F8+MAX(0,-F7)</f>
        <v>437.45711510930005</v>
      </c>
      <c r="G17" s="23">
        <f>F17-G8+MAX(0,-G7)</f>
        <v>338.9612302186</v>
      </c>
      <c r="H17" s="23">
        <f>G17-H8+MAX(0,-H7)</f>
        <v>145.77734532789998</v>
      </c>
      <c r="I17" s="23">
        <f>H17-I8+MAX(0,-I7)</f>
        <v>0.0</v>
      </c>
      <c r="J17" s="23">
        <f>I17-J8+MAX(0,-J7)</f>
        <v>0.0</v>
      </c>
      <c r="K17" s="23">
        <f>J17-K8+MAX(0,-K7)</f>
        <v>0.0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1697.818100071551</v>
      </c>
    </row>
    <row r="20">
      <c r="A20" s="14" t="inlineStr">
        <is>
          <t>PV of corporate burn</t>
        </is>
      </c>
      <c r="B20" s="23">
        <f>SUMPRODUCT(C6:V6,C15:V15)</f>
        <v>-283.4920845482546</v>
      </c>
    </row>
    <row r="21">
      <c r="A21" s="14" t="inlineStr">
        <is>
          <t>PV of taxes</t>
        </is>
      </c>
      <c r="B21" s="23">
        <f>-SUMPRODUCT(C10:V10,C15:V15)</f>
        <v>-277.1206154592605</v>
      </c>
    </row>
    <row r="22">
      <c r="A22" s="24" t="inlineStr">
        <is>
          <t>Pipeline rNPV (operations)</t>
        </is>
      </c>
      <c r="B22" s="54">
        <f>SUM(C16:V16)</f>
        <v>1137.2054000640364</v>
      </c>
    </row>
    <row r="23">
      <c r="A23" s="14" t="inlineStr">
        <is>
          <t>Cash &amp; investments</t>
        </is>
      </c>
      <c r="B23" s="57">
        <f>Main!C7</f>
        <v>170.609</v>
      </c>
    </row>
    <row r="24">
      <c r="A24" s="14" t="inlineStr">
        <is>
          <t>Debt</t>
        </is>
      </c>
      <c r="B24" s="57">
        <f>Main!C8</f>
        <v>59.207</v>
      </c>
    </row>
    <row r="25">
      <c r="A25" s="24" t="inlineStr">
        <is>
          <t>Equity value</t>
        </is>
      </c>
      <c r="B25" s="54">
        <f>B22+B23-B24</f>
        <v>1248.6074000640363</v>
      </c>
    </row>
    <row r="26">
      <c r="A26" s="14" t="inlineStr">
        <is>
          <t>Shares (mm)</t>
        </is>
      </c>
      <c r="B26" s="57">
        <f>Main!C4</f>
        <v>124.49798</v>
      </c>
    </row>
    <row r="27">
      <c r="A27" s="24" t="inlineStr">
        <is>
          <t>rNPV / share</t>
        </is>
      </c>
      <c r="B27" s="60">
        <f>B25/B26</f>
        <v>10.029137822670185</v>
      </c>
    </row>
    <row r="28">
      <c r="A28" s="14" t="inlineStr">
        <is>
          <t>Price</t>
        </is>
      </c>
      <c r="B28" s="61">
        <f>Main!C3</f>
        <v>0.7185</v>
      </c>
    </row>
    <row r="29">
      <c r="A29" s="14" t="inlineStr">
        <is>
          <t>Upside</t>
        </is>
      </c>
      <c r="B29" s="62">
        <f>B27/B28-1</f>
        <v>12.958438166555581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2026-10-21T06:28:24Z</dcterms:modified>
  <cp:lastModifiedBy>Wang, Eric</cp:lastModifiedBy>
</cp:coreProperties>
</file>