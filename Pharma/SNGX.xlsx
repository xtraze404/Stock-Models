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Soligenix Inc</t>
        </is>
      </c>
      <c r="C2" s="10" t="n"/>
    </row>
    <row r="3">
      <c r="B3" t="inlineStr">
        <is>
          <t>Price</t>
        </is>
      </c>
      <c r="C3" s="11">
        <f>INDEX([1]Pharma!$F$1:$F$1000,MATCH("SNGX",[1]Pharma!$B$1:$B$1000,0))</f>
        <v>0.3546</v>
      </c>
      <c r="F3" s="1" t="n"/>
    </row>
    <row r="4">
      <c r="B4" t="inlineStr">
        <is>
          <t>Shares</t>
        </is>
      </c>
      <c r="C4" s="21" t="n">
        <v>21.765479</v>
      </c>
      <c r="F4" s="1" t="n"/>
    </row>
    <row r="5">
      <c r="B5" t="inlineStr">
        <is>
          <t>Market Cap.</t>
        </is>
      </c>
      <c r="C5" s="13">
        <f>C3*C4</f>
        <v>7.7180388534</v>
      </c>
      <c r="F5" s="1" t="n"/>
    </row>
    <row r="6"/>
    <row r="7">
      <c r="B7" t="inlineStr">
        <is>
          <t>Cash</t>
        </is>
      </c>
      <c r="C7" s="21" t="n">
        <v>9.811140999999999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-2.093102146599999</v>
      </c>
    </row>
    <row r="10"/>
    <row r="11">
      <c r="B11" s="14" t="inlineStr">
        <is>
          <t>Net Cash / Share</t>
        </is>
      </c>
      <c r="C11" s="11">
        <f>(C7-C8)/C4</f>
        <v>0.45076614210971416</v>
      </c>
    </row>
    <row r="12">
      <c r="B12" s="14" t="inlineStr">
        <is>
          <t>Upside</t>
        </is>
      </c>
      <c r="C12" s="15">
        <f>IFERROR(C11/C3-1,"")</f>
        <v>0.27119611424059253</v>
      </c>
    </row>
    <row r="13">
      <c r="B13" s="14" t="inlineStr">
        <is>
          <t>Cash / Share</t>
        </is>
      </c>
      <c r="C13" s="11">
        <f>IFERROR((C7-C8)/C4,"")</f>
        <v>0.45076614210971416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-9.742000000000001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1.00709720796551</v>
      </c>
    </row>
    <row r="19">
      <c r="B19" s="14" t="inlineStr">
        <is>
          <t>Implied Pipeline Value</t>
        </is>
      </c>
      <c r="C19" s="13">
        <f>C9</f>
        <v>-2.093102146599999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2010</v>
      </c>
      <c r="C1" s="17" t="n">
        <v>2011</v>
      </c>
      <c r="D1" s="17" t="n">
        <v>2012</v>
      </c>
      <c r="E1" s="17" t="n">
        <v>2013</v>
      </c>
      <c r="F1" s="17" t="n">
        <v>2014</v>
      </c>
      <c r="G1" s="17" t="n">
        <v>2015</v>
      </c>
      <c r="H1" s="17" t="n">
        <v>2016</v>
      </c>
      <c r="I1" s="17" t="n">
        <v>2017</v>
      </c>
      <c r="J1" s="17" t="n">
        <v>2018</v>
      </c>
      <c r="K1" s="17" t="n">
        <v>2019</v>
      </c>
      <c r="L1" s="17" t="n">
        <v>2020</v>
      </c>
      <c r="M1" s="17" t="n">
        <v>2021</v>
      </c>
      <c r="N1" s="17" t="n">
        <v>2022</v>
      </c>
      <c r="O1" s="17" t="n">
        <v>2023</v>
      </c>
      <c r="P1" s="17" t="n">
        <v>2024</v>
      </c>
      <c r="Q1" s="17" t="n">
        <v>2025</v>
      </c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1.948</v>
      </c>
      <c r="C2" s="23" t="n">
        <v>7.663</v>
      </c>
      <c r="D2" s="23" t="n">
        <v>3.145</v>
      </c>
      <c r="E2" s="23" t="n">
        <v>3.224</v>
      </c>
      <c r="F2" s="23" t="n">
        <v>7.043</v>
      </c>
      <c r="G2" s="23" t="n">
        <v>8.768000000000001</v>
      </c>
      <c r="H2" s="23" t="n">
        <v>10.449</v>
      </c>
      <c r="I2" s="23" t="n">
        <v>5.432</v>
      </c>
      <c r="J2" s="23" t="n">
        <v>5.241</v>
      </c>
      <c r="K2" s="23" t="n">
        <v>4.63</v>
      </c>
      <c r="L2" s="23" t="n">
        <v>2.359</v>
      </c>
      <c r="M2" s="23" t="n">
        <v>0.824</v>
      </c>
      <c r="N2" s="23" t="n">
        <v>0.949</v>
      </c>
      <c r="O2" s="23" t="n">
        <v>0.839</v>
      </c>
      <c r="P2" s="23" t="n">
        <v>0.119</v>
      </c>
      <c r="Q2" s="23" t="n">
        <v>0</v>
      </c>
    </row>
    <row r="3" customFormat="1" s="1">
      <c r="A3" s="5" t="inlineStr">
        <is>
          <t>Cost of Sales</t>
        </is>
      </c>
      <c r="B3" s="23" t="n">
        <v>1.638</v>
      </c>
      <c r="C3" s="23" t="n">
        <v>2.108</v>
      </c>
      <c r="D3" s="23" t="n">
        <v>2.593</v>
      </c>
      <c r="E3" s="23" t="n">
        <v>2.544</v>
      </c>
      <c r="F3" s="23" t="n">
        <v>5.314</v>
      </c>
      <c r="G3" s="23" t="n">
        <v>6.882</v>
      </c>
      <c r="H3" s="23" t="n">
        <v>8.433999999999999</v>
      </c>
      <c r="I3" s="23" t="n">
        <v>4.31</v>
      </c>
      <c r="J3" s="23" t="n">
        <v>4.598</v>
      </c>
      <c r="K3" s="23" t="n">
        <v>3.567</v>
      </c>
      <c r="L3" s="23" t="n">
        <v>1.821</v>
      </c>
      <c r="M3" s="23" t="n">
        <v>0.729</v>
      </c>
      <c r="N3" s="23" t="n">
        <v>0.551</v>
      </c>
      <c r="O3" s="23" t="n">
        <v>0.742</v>
      </c>
      <c r="P3" s="23" t="n">
        <v>0.119</v>
      </c>
      <c r="Q3" s="23" t="n">
        <v>0</v>
      </c>
    </row>
    <row r="4" customFormat="1" s="1">
      <c r="A4" s="5" t="inlineStr">
        <is>
          <t>Gross Margin</t>
        </is>
      </c>
      <c r="B4" s="23">
        <f>B2-B3</f>
        <v>0.31000000000000005</v>
      </c>
      <c r="C4" s="23">
        <f>C2-C3</f>
        <v>5.555</v>
      </c>
      <c r="D4" s="23">
        <f>D2-D3</f>
        <v>0.552</v>
      </c>
      <c r="E4" s="23">
        <f>E2-E3</f>
        <v>0.6800000000000002</v>
      </c>
      <c r="F4" s="23">
        <f>F2-F3</f>
        <v>1.729</v>
      </c>
      <c r="G4" s="23">
        <f>G2-G3</f>
        <v>1.886000000000001</v>
      </c>
      <c r="H4" s="23">
        <f>H2-H3</f>
        <v>2.0150000000000006</v>
      </c>
      <c r="I4" s="23">
        <f>I2-I3</f>
        <v>1.1220000000000008</v>
      </c>
      <c r="J4" s="23">
        <f>J2-J3</f>
        <v>0.6429999999999998</v>
      </c>
      <c r="K4" s="23">
        <f>K2-K3</f>
        <v>1.0629999999999997</v>
      </c>
      <c r="L4" s="23">
        <f>L2-L3</f>
        <v>0.538</v>
      </c>
      <c r="M4" s="23">
        <f>M2-M3</f>
        <v>0.09499999999999997</v>
      </c>
      <c r="N4" s="23">
        <f>N2-N3</f>
        <v>0.3979999999999999</v>
      </c>
      <c r="O4" s="23">
        <f>O2-O3</f>
        <v>0.09699999999999998</v>
      </c>
      <c r="P4" s="23">
        <f>P2-P3</f>
        <v>0.0</v>
      </c>
      <c r="Q4" s="23">
        <f>Q2-Q3</f>
        <v>0.0</v>
      </c>
    </row>
    <row r="5">
      <c r="A5" s="2" t="inlineStr">
        <is>
          <t>Research &amp; Dev.</t>
        </is>
      </c>
      <c r="B5" s="23" t="n">
        <v>5.986</v>
      </c>
      <c r="C5" s="23" t="n">
        <v>6.273</v>
      </c>
      <c r="D5" s="23" t="n">
        <v>2.609</v>
      </c>
      <c r="E5" s="23" t="n">
        <v>5.071</v>
      </c>
      <c r="F5" s="23" t="n">
        <v>5.087</v>
      </c>
      <c r="G5" s="23" t="n">
        <v>5.4</v>
      </c>
      <c r="H5" s="23" t="n">
        <v>4.296</v>
      </c>
      <c r="I5" s="23" t="n">
        <v>5.507</v>
      </c>
      <c r="J5" s="23" t="n">
        <v>6.751</v>
      </c>
      <c r="K5" s="23" t="n">
        <v>8.122999999999999</v>
      </c>
      <c r="L5" s="23" t="n">
        <v>9.795999999999999</v>
      </c>
      <c r="M5" s="23" t="n">
        <v>8.186</v>
      </c>
      <c r="N5" s="23" t="n">
        <v>7.944</v>
      </c>
      <c r="O5" s="23" t="n">
        <v>3.313</v>
      </c>
      <c r="P5" s="23" t="n">
        <v>5.224</v>
      </c>
      <c r="Q5" s="23" t="n">
        <v>7.486</v>
      </c>
    </row>
    <row r="6">
      <c r="A6" s="19" t="inlineStr">
        <is>
          <t>SG&amp;A &amp; Other</t>
        </is>
      </c>
      <c r="B6" s="23" t="n">
        <v>2.201</v>
      </c>
      <c r="C6" s="23" t="n">
        <v>2.242</v>
      </c>
      <c r="D6" s="23" t="n">
        <v>2.633</v>
      </c>
      <c r="E6" s="23" t="n">
        <v>2.765</v>
      </c>
      <c r="F6" s="23" t="n">
        <v>7.404</v>
      </c>
      <c r="G6" s="23" t="n">
        <v>3.597</v>
      </c>
      <c r="H6" s="23" t="n">
        <v>3.429</v>
      </c>
      <c r="I6" s="23" t="n">
        <v>3.209</v>
      </c>
      <c r="J6" s="23" t="n">
        <v>2.952</v>
      </c>
      <c r="K6" s="23" t="n">
        <v>3.481</v>
      </c>
      <c r="L6" s="23" t="n">
        <v>9.329000000000001</v>
      </c>
      <c r="M6" s="23" t="n">
        <v>5.009</v>
      </c>
      <c r="N6" s="23" t="n">
        <v>6.693</v>
      </c>
      <c r="O6" s="23" t="n">
        <v>4.483</v>
      </c>
      <c r="P6" s="23" t="n">
        <v>4.216</v>
      </c>
      <c r="Q6" s="23" t="n">
        <v>4.36</v>
      </c>
    </row>
    <row r="7">
      <c r="A7" s="2" t="inlineStr">
        <is>
          <t>Operating Expense</t>
        </is>
      </c>
      <c r="B7" s="23">
        <f>SUM(B5:B6)</f>
        <v>8.187</v>
      </c>
      <c r="C7" s="23">
        <f>SUM(C5:C6)</f>
        <v>8.515</v>
      </c>
      <c r="D7" s="23">
        <f>SUM(D5:D6)</f>
        <v>5.242</v>
      </c>
      <c r="E7" s="23">
        <f>SUM(E5:E6)</f>
        <v>7.836</v>
      </c>
      <c r="F7" s="23">
        <f>SUM(F5:F6)</f>
        <v>12.491</v>
      </c>
      <c r="G7" s="23">
        <f>SUM(G5:G6)</f>
        <v>8.997</v>
      </c>
      <c r="H7" s="23">
        <f>SUM(H5:H6)</f>
        <v>7.725</v>
      </c>
      <c r="I7" s="23">
        <f>SUM(I5:I6)</f>
        <v>8.716</v>
      </c>
      <c r="J7" s="23">
        <f>SUM(J5:J6)</f>
        <v>9.703</v>
      </c>
      <c r="K7" s="23">
        <f>SUM(K5:K6)</f>
        <v>11.604</v>
      </c>
      <c r="L7" s="23">
        <f>SUM(L5:L6)</f>
        <v>19.125</v>
      </c>
      <c r="M7" s="23">
        <f>SUM(M5:M6)</f>
        <v>13.195</v>
      </c>
      <c r="N7" s="23">
        <f>SUM(N5:N6)</f>
        <v>14.637</v>
      </c>
      <c r="O7" s="23">
        <f>SUM(O5:O6)</f>
        <v>7.795999999999999</v>
      </c>
      <c r="P7" s="23">
        <f>SUM(P5:P6)</f>
        <v>9.440000000000001</v>
      </c>
      <c r="Q7" s="23">
        <f>SUM(Q5:Q6)</f>
        <v>11.846</v>
      </c>
    </row>
    <row r="8">
      <c r="A8" s="2" t="inlineStr">
        <is>
          <t>Operating Income</t>
        </is>
      </c>
      <c r="B8" s="23">
        <f>B4-B7</f>
        <v>-7.876999999999999</v>
      </c>
      <c r="C8" s="23">
        <f>C4-C7</f>
        <v>-2.960000000000001</v>
      </c>
      <c r="D8" s="23">
        <f>D4-D7</f>
        <v>-4.6899999999999995</v>
      </c>
      <c r="E8" s="23">
        <f>E4-E7</f>
        <v>-7.156000000000001</v>
      </c>
      <c r="F8" s="23">
        <f>F4-F7</f>
        <v>-10.762</v>
      </c>
      <c r="G8" s="23">
        <f>G4-G7</f>
        <v>-7.110999999999999</v>
      </c>
      <c r="H8" s="23">
        <f>H4-H7</f>
        <v>-5.709999999999999</v>
      </c>
      <c r="I8" s="23">
        <f>I4-I7</f>
        <v>-7.5939999999999985</v>
      </c>
      <c r="J8" s="23">
        <f>J4-J7</f>
        <v>-9.059999999999999</v>
      </c>
      <c r="K8" s="23">
        <f>K4-K7</f>
        <v>-10.541</v>
      </c>
      <c r="L8" s="23">
        <f>L4-L7</f>
        <v>-18.587</v>
      </c>
      <c r="M8" s="23">
        <f>M4-M7</f>
        <v>-13.1</v>
      </c>
      <c r="N8" s="23">
        <f>N4-N7</f>
        <v>-14.239</v>
      </c>
      <c r="O8" s="23">
        <f>O4-O7</f>
        <v>-7.699</v>
      </c>
      <c r="P8" s="23">
        <f>P4-P7</f>
        <v>-9.440000000000001</v>
      </c>
      <c r="Q8" s="23">
        <f>Q4-Q7</f>
        <v>-11.846</v>
      </c>
    </row>
    <row r="9">
      <c r="A9" s="19" t="inlineStr">
        <is>
          <t>Interest &amp; Other</t>
        </is>
      </c>
      <c r="B9" s="23" t="n">
        <v>0.246</v>
      </c>
      <c r="C9" s="23" t="n">
        <v>0.007</v>
      </c>
      <c r="D9" s="23" t="n">
        <v>0.006</v>
      </c>
      <c r="E9" s="23" t="n">
        <v>-3.653</v>
      </c>
      <c r="F9" s="23" t="n">
        <v>3.438</v>
      </c>
      <c r="G9" s="23" t="n">
        <v>-1.21</v>
      </c>
      <c r="H9" s="23" t="n">
        <v>1.934</v>
      </c>
      <c r="I9" s="23" t="n">
        <v>0.03</v>
      </c>
      <c r="J9" s="23" t="n">
        <v>0.159</v>
      </c>
      <c r="K9" s="23" t="n">
        <v>0.575</v>
      </c>
      <c r="L9" s="23" t="n">
        <v>0.061</v>
      </c>
      <c r="M9" s="23" t="n">
        <v>-0.317</v>
      </c>
      <c r="N9" s="23" t="n">
        <v>-0.714</v>
      </c>
      <c r="O9" s="23" t="n">
        <v>-0.17</v>
      </c>
      <c r="P9" s="23" t="n">
        <v>0.73</v>
      </c>
      <c r="Q9" s="23" t="n">
        <v>0.239</v>
      </c>
    </row>
    <row r="10">
      <c r="A10" s="2" t="inlineStr">
        <is>
          <t>Pretax</t>
        </is>
      </c>
      <c r="B10" s="23">
        <f>B8+B9</f>
        <v>-7.6309999999999985</v>
      </c>
      <c r="C10" s="23">
        <f>C8+C9</f>
        <v>-2.9530000000000007</v>
      </c>
      <c r="D10" s="23">
        <f>D8+D9</f>
        <v>-4.683999999999999</v>
      </c>
      <c r="E10" s="23">
        <f>E8+E9</f>
        <v>-10.809000000000001</v>
      </c>
      <c r="F10" s="23">
        <f>F8+F9</f>
        <v>-7.324</v>
      </c>
      <c r="G10" s="23">
        <f>G8+G9</f>
        <v>-8.320999999999998</v>
      </c>
      <c r="H10" s="23">
        <f>H8+H9</f>
        <v>-3.775999999999999</v>
      </c>
      <c r="I10" s="23">
        <f>I8+I9</f>
        <v>-7.563999999999998</v>
      </c>
      <c r="J10" s="23">
        <f>J8+J9</f>
        <v>-8.900999999999998</v>
      </c>
      <c r="K10" s="23">
        <f>K8+K9</f>
        <v>-9.966000000000001</v>
      </c>
      <c r="L10" s="23">
        <f>L8+L9</f>
        <v>-18.526</v>
      </c>
      <c r="M10" s="23">
        <f>M8+M9</f>
        <v>-13.417</v>
      </c>
      <c r="N10" s="23">
        <f>N8+N9</f>
        <v>-14.953000000000001</v>
      </c>
      <c r="O10" s="23">
        <f>O8+O9</f>
        <v>-7.869</v>
      </c>
      <c r="P10" s="23">
        <f>P8+P9</f>
        <v>-8.71</v>
      </c>
      <c r="Q10" s="23">
        <f>Q8+Q9</f>
        <v>-11.607</v>
      </c>
    </row>
    <row r="11">
      <c r="A11" s="2" t="inlineStr">
        <is>
          <t>Taxes</t>
        </is>
      </c>
      <c r="B11" s="23" t="n">
        <v>-0.246</v>
      </c>
      <c r="C11" s="23" t="n">
        <v>-0.574</v>
      </c>
      <c r="D11" s="23" t="n">
        <v>-0.521</v>
      </c>
      <c r="E11" s="23" t="n">
        <v>-0.75</v>
      </c>
      <c r="F11" s="23" t="n">
        <v>-0.617</v>
      </c>
      <c r="G11" s="23" t="n">
        <v>-0.489</v>
      </c>
      <c r="H11" s="23" t="n">
        <v>-0.53</v>
      </c>
      <c r="I11" s="23" t="n">
        <v>-0.417</v>
      </c>
      <c r="J11" s="23" t="n">
        <v>0</v>
      </c>
      <c r="K11" s="23" t="n">
        <v>-0.611</v>
      </c>
      <c r="L11" s="23" t="n">
        <v>-0.837</v>
      </c>
      <c r="M11" s="23" t="n">
        <v>-0.865</v>
      </c>
      <c r="N11" s="23" t="n">
        <v>-1.155</v>
      </c>
      <c r="O11" s="23" t="n">
        <v>-1.768</v>
      </c>
      <c r="P11" s="23" t="n">
        <v>-0.409</v>
      </c>
      <c r="Q11" s="23" t="n">
        <v>-0.507</v>
      </c>
    </row>
    <row r="12">
      <c r="A12" s="2" t="inlineStr">
        <is>
          <t>Net Income</t>
        </is>
      </c>
      <c r="B12" s="23" t="n">
        <v>-7.387</v>
      </c>
      <c r="C12" s="23" t="n">
        <v>-2.379</v>
      </c>
      <c r="D12" s="23" t="n">
        <v>-4.163</v>
      </c>
      <c r="E12" s="23" t="n">
        <v>-10.059</v>
      </c>
      <c r="F12" s="23" t="n">
        <v>-6.707</v>
      </c>
      <c r="G12" s="23" t="n">
        <v>-7.831</v>
      </c>
      <c r="H12" s="23" t="n">
        <v>-3.245</v>
      </c>
      <c r="I12" s="23" t="n">
        <v>-7.147</v>
      </c>
      <c r="J12" s="23" t="n">
        <v>-8.9</v>
      </c>
      <c r="K12" s="23" t="n">
        <v>-9.356</v>
      </c>
      <c r="L12" s="23" t="n">
        <v>-17.689</v>
      </c>
      <c r="M12" s="23" t="n">
        <v>-12.551</v>
      </c>
      <c r="N12" s="23" t="n">
        <v>-13.798</v>
      </c>
      <c r="O12" s="23" t="n">
        <v>-6.1</v>
      </c>
      <c r="P12" s="23" t="n">
        <v>-8.300000000000001</v>
      </c>
      <c r="Q12" s="23" t="n">
        <v>-11.1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-11.719211822660098</v>
      </c>
      <c r="D13" s="11">
        <f>IFERROR(D12/D14,0)</f>
        <v>-20.208737864077673</v>
      </c>
      <c r="E13" s="11">
        <f>IFERROR(E12/E14,0)</f>
        <v>-35.17132867132867</v>
      </c>
      <c r="F13" s="11">
        <f>IFERROR(F12/F14,0)</f>
        <v>-15.347826086956522</v>
      </c>
      <c r="G13" s="11">
        <f>IFERROR(G12/G14,0)</f>
        <v>-18.04377880184332</v>
      </c>
      <c r="H13" s="11">
        <f>IFERROR(H12/H14,0)</f>
        <v>-5.435510887772194</v>
      </c>
      <c r="I13" s="11">
        <f>IFERROR(I12/I14,0)</f>
        <v>-6.9794921875</v>
      </c>
      <c r="J13" s="11">
        <f>IFERROR(J12/J14,0)</f>
        <v>-4.052823315118397</v>
      </c>
      <c r="K13" s="11">
        <f>IFERROR(K12/K14,0)</f>
        <v>-2.897491483431403</v>
      </c>
      <c r="L13" s="11">
        <f>IFERROR(L12/L14,0)</f>
        <v>-3.861383977297533</v>
      </c>
      <c r="M13" s="11">
        <f>IFERROR(M12/M14,0)</f>
        <v>-28.141255605381165</v>
      </c>
      <c r="N13" s="11">
        <f>IFERROR(N12/N14,0)</f>
        <v>-28.805845511482257</v>
      </c>
      <c r="O13" s="11">
        <f>IFERROR(O12/O14,0)</f>
        <v>-12.577319587628866</v>
      </c>
      <c r="P13" s="11">
        <f>IFERROR(P12/P14,0)</f>
        <v>-5.000000000000001</v>
      </c>
      <c r="Q13" s="11">
        <f>IFERROR(Q12/Q14,0)</f>
        <v>-2.139140489497013</v>
      </c>
    </row>
    <row r="14">
      <c r="A14" s="2" t="inlineStr">
        <is>
          <t>Shares</t>
        </is>
      </c>
      <c r="B14" s="23" t="n"/>
      <c r="C14" s="23" t="n">
        <v>0.203</v>
      </c>
      <c r="D14" s="23" t="n">
        <v>0.206</v>
      </c>
      <c r="E14" s="23" t="n">
        <v>0.286</v>
      </c>
      <c r="F14" s="23" t="n">
        <v>0.437</v>
      </c>
      <c r="G14" s="23" t="n">
        <v>0.434</v>
      </c>
      <c r="H14" s="23" t="n">
        <v>0.597</v>
      </c>
      <c r="I14" s="23" t="n">
        <v>1.024</v>
      </c>
      <c r="J14" s="23" t="n">
        <v>2.196</v>
      </c>
      <c r="K14" s="23" t="n">
        <v>3.229</v>
      </c>
      <c r="L14" s="23" t="n">
        <v>4.581</v>
      </c>
      <c r="M14" s="23" t="n">
        <v>0.446</v>
      </c>
      <c r="N14" s="23" t="n">
        <v>0.479</v>
      </c>
      <c r="O14" s="23" t="n">
        <v>0.485</v>
      </c>
      <c r="P14" s="23" t="n">
        <v>1.66</v>
      </c>
      <c r="Q14" s="23" t="n">
        <v>5.189</v>
      </c>
    </row>
    <row r="15"/>
    <row r="16" customFormat="1" s="4">
      <c r="A16" s="3" t="inlineStr">
        <is>
          <t>Revenue Change</t>
        </is>
      </c>
      <c r="C16" s="15">
        <f>IFERROR(C2/B2-1,"")</f>
        <v>2.9337782340862426</v>
      </c>
      <c r="D16" s="15">
        <f>IFERROR(D2/C2-1,"")</f>
        <v>-0.5895863238940363</v>
      </c>
      <c r="E16" s="15">
        <f>IFERROR(E2/D2-1,"")</f>
        <v>0.025119236883942797</v>
      </c>
      <c r="F16" s="15">
        <f>IFERROR(F2/E2-1,"")</f>
        <v>1.1845533498759306</v>
      </c>
      <c r="G16" s="15">
        <f>IFERROR(G2/F2-1,"")</f>
        <v>0.2449240380519666</v>
      </c>
      <c r="H16" s="15">
        <f>IFERROR(H2/G2-1,"")</f>
        <v>0.19171989051094873</v>
      </c>
      <c r="I16" s="15">
        <f>IFERROR(I2/H2-1,"")</f>
        <v>-0.4801416403483586</v>
      </c>
      <c r="J16" s="15">
        <f>IFERROR(J2/I2-1,"")</f>
        <v>-0.0351620029455082</v>
      </c>
      <c r="K16" s="15">
        <f>IFERROR(K2/J2-1,"")</f>
        <v>-0.11658080518984926</v>
      </c>
      <c r="L16" s="15">
        <f>IFERROR(L2/K2-1,"")</f>
        <v>-0.4904967602591792</v>
      </c>
      <c r="M16" s="15">
        <f>IFERROR(M2/L2-1,"")</f>
        <v>-0.6506994489190335</v>
      </c>
      <c r="N16" s="15">
        <f>IFERROR(N2/M2-1,"")</f>
        <v>0.1516990291262137</v>
      </c>
      <c r="O16" s="15">
        <f>IFERROR(O2/N2-1,"")</f>
        <v>-0.1159114857744995</v>
      </c>
      <c r="P16" s="15">
        <f>IFERROR(P2/O2-1,"")</f>
        <v>-0.8581644815256257</v>
      </c>
      <c r="Q16" s="15">
        <f>IFERROR(Q2/P2-1,"")</f>
        <v>-1.0</v>
      </c>
    </row>
    <row r="17" customFormat="1" s="4">
      <c r="A17" s="3" t="inlineStr">
        <is>
          <t>Gross Margin</t>
        </is>
      </c>
      <c r="B17" s="15">
        <f>IFERROR(B4/B2,"")</f>
        <v>0.15913757700205342</v>
      </c>
      <c r="C17" s="15">
        <f>IFERROR(C4/C2,"")</f>
        <v>0.7249119143938405</v>
      </c>
      <c r="D17" s="15">
        <f>IFERROR(D4/D2,"")</f>
        <v>0.175516693163752</v>
      </c>
      <c r="E17" s="15">
        <f>IFERROR(E4/E2,"")</f>
        <v>0.21091811414392064</v>
      </c>
      <c r="F17" s="15">
        <f>IFERROR(F4/F2,"")</f>
        <v>0.24549197785034788</v>
      </c>
      <c r="G17" s="15">
        <f>IFERROR(G4/G2,"")</f>
        <v>0.21510036496350374</v>
      </c>
      <c r="H17" s="15">
        <f>IFERROR(H4/H2,"")</f>
        <v>0.19284142023160117</v>
      </c>
      <c r="I17" s="15">
        <f>IFERROR(I4/I2,"")</f>
        <v>0.20655375552282781</v>
      </c>
      <c r="J17" s="15">
        <f>IFERROR(J4/J2,"")</f>
        <v>0.12268651020797555</v>
      </c>
      <c r="K17" s="15">
        <f>IFERROR(K4/K2,"")</f>
        <v>0.22958963282937359</v>
      </c>
      <c r="L17" s="15">
        <f>IFERROR(L4/L2,"")</f>
        <v>0.22806273844849514</v>
      </c>
      <c r="M17" s="15">
        <f>IFERROR(M4/M2,"")</f>
        <v>0.1152912621359223</v>
      </c>
      <c r="N17" s="15">
        <f>IFERROR(N4/N2,"")</f>
        <v>0.4193888303477344</v>
      </c>
      <c r="O17" s="15">
        <f>IFERROR(O4/O2,"")</f>
        <v>0.11561382598331345</v>
      </c>
      <c r="P17" s="15">
        <f>IFERROR(P4/P2,"")</f>
        <v>0.0</v>
      </c>
      <c r="Q17" s="15">
        <f>IFERROR(Q4/Q2,"")</f>
        <v/>
      </c>
    </row>
    <row r="18">
      <c r="A18" s="14" t="inlineStr">
        <is>
          <t>Operating Margin</t>
        </is>
      </c>
      <c r="B18" s="15">
        <f>IFERROR(B8/B2,"")</f>
        <v>-4.043634496919918</v>
      </c>
      <c r="C18" s="15">
        <f>IFERROR(C8/C2,"")</f>
        <v>-0.3862716951585542</v>
      </c>
      <c r="D18" s="15">
        <f>IFERROR(D8/D2,"")</f>
        <v>-1.491255961844197</v>
      </c>
      <c r="E18" s="15">
        <f>IFERROR(E8/E2,"")</f>
        <v>-2.2196029776674937</v>
      </c>
      <c r="F18" s="15">
        <f>IFERROR(F8/F2,"")</f>
        <v>-1.5280420275450803</v>
      </c>
      <c r="G18" s="15">
        <f>IFERROR(G8/G2,"")</f>
        <v>-0.8110173357664232</v>
      </c>
      <c r="H18" s="15">
        <f>IFERROR(H8/H2,"")</f>
        <v>-0.5464637764379365</v>
      </c>
      <c r="I18" s="15">
        <f>IFERROR(I8/I2,"")</f>
        <v>-1.3980117820324003</v>
      </c>
      <c r="J18" s="15">
        <f>IFERROR(J8/J2,"")</f>
        <v>-1.7286777332570118</v>
      </c>
      <c r="K18" s="15">
        <f>IFERROR(K8/K2,"")</f>
        <v>-2.276673866090713</v>
      </c>
      <c r="L18" s="15">
        <f>IFERROR(L8/L2,"")</f>
        <v>-7.879186095803306</v>
      </c>
      <c r="M18" s="15">
        <f>IFERROR(M8/M2,"")</f>
        <v>-15.898058252427186</v>
      </c>
      <c r="N18" s="15">
        <f>IFERROR(N8/N2,"")</f>
        <v>-15.004214963119074</v>
      </c>
      <c r="O18" s="15">
        <f>IFERROR(O8/O2,"")</f>
        <v>-9.176400476758046</v>
      </c>
      <c r="P18" s="15">
        <f>IFERROR(P8/P2,"")</f>
        <v>-79.32773109243699</v>
      </c>
      <c r="Q18" s="15">
        <f>IFERROR(Q8/Q2,"")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2026-10-21T01:06:41Z</dcterms:modified>
  <cp:lastModifiedBy>Wang, Eric</cp:lastModifiedBy>
</cp:coreProperties>
</file>