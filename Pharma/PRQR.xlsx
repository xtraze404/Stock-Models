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ProQR Therapeutics NV</t>
        </is>
      </c>
      <c r="C2" s="10" t="n"/>
    </row>
    <row r="3">
      <c r="B3" t="inlineStr">
        <is>
          <t>Price</t>
        </is>
      </c>
      <c r="C3" s="11">
        <f>INDEX([1]Pharma!$F$1:$F$1000,MATCH("PRQR",[1]Pharma!$B$1:$B$1000,0))</f>
        <v>1.38</v>
      </c>
      <c r="F3" s="1" t="n"/>
    </row>
    <row r="4">
      <c r="B4" t="inlineStr">
        <is>
          <t>Shares</t>
        </is>
      </c>
      <c r="C4" s="21" t="n">
        <v>105.361064</v>
      </c>
      <c r="F4" s="1" t="n"/>
    </row>
    <row r="5">
      <c r="B5" t="inlineStr">
        <is>
          <t>Market Cap.</t>
        </is>
      </c>
      <c r="C5" s="13">
        <f>C3*C4</f>
        <v>145.39826832</v>
      </c>
      <c r="F5" s="1" t="n"/>
    </row>
    <row r="6"/>
    <row r="7">
      <c r="B7" t="inlineStr">
        <is>
          <t>Cash</t>
        </is>
      </c>
      <c r="C7" s="21">
        <f>(92.413)/0.88865</f>
        <v>103.99257300399482</v>
      </c>
    </row>
    <row r="8">
      <c r="B8" t="inlineStr">
        <is>
          <t>Debt</t>
        </is>
      </c>
      <c r="C8" s="21">
        <f>(4.872)/0.88865</f>
        <v>5.482473414730208</v>
      </c>
    </row>
    <row r="9">
      <c r="B9" t="inlineStr">
        <is>
          <t>Enterprise V.</t>
        </is>
      </c>
      <c r="C9" s="13">
        <f>C5-C7+C8</f>
        <v>46.88816873073539</v>
      </c>
    </row>
    <row r="10"/>
    <row r="11">
      <c r="B11" s="14" t="inlineStr">
        <is>
          <t>rNPV / Share</t>
        </is>
      </c>
      <c r="C11" s="11">
        <f>NPV!B27</f>
        <v>1.35320853954196</v>
      </c>
    </row>
    <row r="12">
      <c r="B12" s="14" t="inlineStr">
        <is>
          <t>Upside</t>
        </is>
      </c>
      <c r="C12" s="15">
        <f>IFERROR(C11/C3-1,"")</f>
        <v>-0.01941410178118841</v>
      </c>
    </row>
    <row r="13">
      <c r="B13" s="14" t="inlineStr">
        <is>
          <t>Cash / Share</t>
        </is>
      </c>
      <c r="C13" s="11">
        <f>IFERROR((C7-C8)/C4,"")</f>
        <v>0.9349763171456261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-59.406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1.6582516848342694</v>
      </c>
    </row>
    <row r="19">
      <c r="B19" s="14" t="inlineStr">
        <is>
          <t>Implied Pipeline Value</t>
        </is>
      </c>
      <c r="C19" s="13">
        <f>C9</f>
        <v>46.88816873073539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1.524</v>
      </c>
      <c r="I2" s="23" t="n">
        <v>4.044</v>
      </c>
      <c r="J2" s="23" t="n">
        <v>7.33</v>
      </c>
      <c r="K2" s="23" t="n">
        <v>21.274</v>
      </c>
      <c r="L2" s="23" t="n">
        <v>17.899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1.524</v>
      </c>
      <c r="I4" s="23">
        <f>I2-I3</f>
        <v>4.044</v>
      </c>
      <c r="J4" s="23">
        <f>J2-J3</f>
        <v>7.33</v>
      </c>
      <c r="K4" s="23">
        <f>K2-K3</f>
        <v>21.274</v>
      </c>
      <c r="L4" s="23">
        <f>L2-L3</f>
        <v>17.899</v>
      </c>
    </row>
    <row r="5">
      <c r="A5" s="2" t="inlineStr">
        <is>
          <t>Research &amp; Dev.</t>
        </is>
      </c>
      <c r="B5" s="23" t="n">
        <v>26.333</v>
      </c>
      <c r="C5" s="23" t="n">
        <v>35.923</v>
      </c>
      <c r="D5" s="23" t="n">
        <v>35.057</v>
      </c>
      <c r="E5" s="23" t="n">
        <v>33.212</v>
      </c>
      <c r="F5" s="23" t="n">
        <v>52.316</v>
      </c>
      <c r="G5" s="23" t="n">
        <v>42.913</v>
      </c>
      <c r="H5" s="23" t="n">
        <v>47.51</v>
      </c>
      <c r="I5" s="23" t="n">
        <v>57.241</v>
      </c>
      <c r="J5" s="23" t="n">
        <v>28.299</v>
      </c>
      <c r="K5" s="23" t="n">
        <v>40.911</v>
      </c>
      <c r="L5" s="23" t="n">
        <v>50.338</v>
      </c>
    </row>
    <row r="6">
      <c r="A6" s="19" t="inlineStr">
        <is>
          <t>SG&amp;A &amp; Other</t>
        </is>
      </c>
      <c r="B6" s="23" t="n">
        <v>4.053</v>
      </c>
      <c r="C6" s="23" t="n">
        <v>8.609</v>
      </c>
      <c r="D6" s="23" t="n">
        <v>10.516</v>
      </c>
      <c r="E6" s="23" t="n">
        <v>7.628</v>
      </c>
      <c r="F6" s="23" t="n">
        <v>12.327</v>
      </c>
      <c r="G6" s="23" t="n">
        <v>4.763</v>
      </c>
      <c r="H6" s="23" t="n">
        <v>18.392</v>
      </c>
      <c r="I6" s="23" t="n">
        <v>20.127</v>
      </c>
      <c r="J6" s="23" t="n">
        <v>14.882</v>
      </c>
      <c r="K6" s="23" t="n">
        <v>14.653</v>
      </c>
      <c r="L6" s="23" t="n">
        <v>16.451</v>
      </c>
    </row>
    <row r="7">
      <c r="A7" s="2" t="inlineStr">
        <is>
          <t>Operating Expense</t>
        </is>
      </c>
      <c r="B7" s="23">
        <f>SUM(B5:B6)</f>
        <v>30.386</v>
      </c>
      <c r="C7" s="23">
        <f>SUM(C5:C6)</f>
        <v>44.532000000000004</v>
      </c>
      <c r="D7" s="23">
        <f>SUM(D5:D6)</f>
        <v>45.573</v>
      </c>
      <c r="E7" s="23">
        <f>SUM(E5:E6)</f>
        <v>40.84</v>
      </c>
      <c r="F7" s="23">
        <f>SUM(F5:F6)</f>
        <v>64.643</v>
      </c>
      <c r="G7" s="23">
        <f>SUM(G5:G6)</f>
        <v>47.675999999999995</v>
      </c>
      <c r="H7" s="23">
        <f>SUM(H5:H6)</f>
        <v>65.902</v>
      </c>
      <c r="I7" s="23">
        <f>SUM(I5:I6)</f>
        <v>77.368</v>
      </c>
      <c r="J7" s="23">
        <f>SUM(J5:J6)</f>
        <v>43.181</v>
      </c>
      <c r="K7" s="23">
        <f>SUM(K5:K6)</f>
        <v>55.564</v>
      </c>
      <c r="L7" s="23">
        <f>SUM(L5:L6)</f>
        <v>66.789</v>
      </c>
    </row>
    <row r="8">
      <c r="A8" s="2" t="inlineStr">
        <is>
          <t>Operating Income</t>
        </is>
      </c>
      <c r="B8" s="23">
        <f>B4-B7</f>
        <v>-30.386</v>
      </c>
      <c r="C8" s="23">
        <f>C4-C7</f>
        <v>-44.532000000000004</v>
      </c>
      <c r="D8" s="23">
        <f>D4-D7</f>
        <v>-45.573</v>
      </c>
      <c r="E8" s="23">
        <f>E4-E7</f>
        <v>-40.84</v>
      </c>
      <c r="F8" s="23">
        <f>F4-F7</f>
        <v>-64.643</v>
      </c>
      <c r="G8" s="23">
        <f>G4-G7</f>
        <v>-47.675999999999995</v>
      </c>
      <c r="H8" s="23">
        <f>H4-H7</f>
        <v>-64.378</v>
      </c>
      <c r="I8" s="23">
        <f>I4-I7</f>
        <v>-73.324</v>
      </c>
      <c r="J8" s="23">
        <f>J4-J7</f>
        <v>-35.851</v>
      </c>
      <c r="K8" s="23">
        <f>K4-K7</f>
        <v>-34.29</v>
      </c>
      <c r="L8" s="23">
        <f>L4-L7</f>
        <v>-48.89</v>
      </c>
    </row>
    <row r="9">
      <c r="A9" s="19" t="inlineStr">
        <is>
          <t>Interest &amp; Other</t>
        </is>
      </c>
      <c r="B9" s="23" t="n">
        <v>6.944</v>
      </c>
      <c r="C9" s="23" t="n">
        <v>0.529</v>
      </c>
      <c r="D9" s="23" t="n">
        <v>-3.53</v>
      </c>
      <c r="E9" s="23" t="n">
        <v>-0.675</v>
      </c>
      <c r="F9" s="23" t="n">
        <v>1.234</v>
      </c>
      <c r="G9" s="23" t="n">
        <v>-4.583</v>
      </c>
      <c r="H9" s="23" t="n">
        <v>-3.841</v>
      </c>
      <c r="I9" s="23" t="n">
        <v>0.9350000000000001</v>
      </c>
      <c r="J9" s="23" t="n">
        <v>4.121</v>
      </c>
      <c r="K9" s="23" t="n">
        <v>2.827</v>
      </c>
      <c r="L9" s="23" t="n">
        <v>1.442</v>
      </c>
    </row>
    <row r="10">
      <c r="A10" s="2" t="inlineStr">
        <is>
          <t>Pretax</t>
        </is>
      </c>
      <c r="B10" s="23">
        <f>B8+B9</f>
        <v>-23.442</v>
      </c>
      <c r="C10" s="23">
        <f>C8+C9</f>
        <v>-44.003</v>
      </c>
      <c r="D10" s="23">
        <f>D8+D9</f>
        <v>-49.103</v>
      </c>
      <c r="E10" s="23">
        <f>E8+E9</f>
        <v>-41.515</v>
      </c>
      <c r="F10" s="23">
        <f>F8+F9</f>
        <v>-63.409</v>
      </c>
      <c r="G10" s="23">
        <f>G8+G9</f>
        <v>-52.25899999999999</v>
      </c>
      <c r="H10" s="23">
        <f>H8+H9</f>
        <v>-68.219</v>
      </c>
      <c r="I10" s="23">
        <f>I8+I9</f>
        <v>-72.389</v>
      </c>
      <c r="J10" s="23">
        <f>J8+J9</f>
        <v>-31.729999999999997</v>
      </c>
      <c r="K10" s="23">
        <f>K8+K9</f>
        <v>-31.463</v>
      </c>
      <c r="L10" s="23">
        <f>L8+L9</f>
        <v>-47.448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0.002</v>
      </c>
      <c r="E11" s="23" t="n">
        <v>0.001</v>
      </c>
      <c r="F11" s="23" t="n">
        <v>0.149</v>
      </c>
      <c r="G11" s="23" t="n">
        <v>0.14</v>
      </c>
      <c r="H11" s="23" t="n">
        <v>0.132</v>
      </c>
      <c r="I11" s="23" t="n">
        <v>0.108</v>
      </c>
      <c r="J11" s="23" t="n">
        <v>-0.08799999999999999</v>
      </c>
      <c r="K11" s="23" t="n">
        <v>-0.222</v>
      </c>
      <c r="L11" s="23" t="n">
        <v>0.021</v>
      </c>
    </row>
    <row r="12">
      <c r="A12" s="2" t="inlineStr">
        <is>
          <t>Net Income</t>
        </is>
      </c>
      <c r="B12" s="23" t="n">
        <v>-23.442</v>
      </c>
      <c r="C12" s="23" t="n">
        <v>-44.003</v>
      </c>
      <c r="D12" s="23" t="n">
        <v>-49.105</v>
      </c>
      <c r="E12" s="23" t="n">
        <v>-41.517</v>
      </c>
      <c r="F12" s="23" t="n">
        <v>-63.557</v>
      </c>
      <c r="G12" s="23" t="n">
        <v>-52.4</v>
      </c>
      <c r="H12" s="23" t="n">
        <v>-68.351</v>
      </c>
      <c r="I12" s="23" t="n">
        <v>-72.496</v>
      </c>
      <c r="J12" s="23" t="n">
        <v>-31.642</v>
      </c>
      <c r="K12" s="23" t="n">
        <v>-31.242</v>
      </c>
      <c r="L12" s="23" t="n">
        <v>-47.47</v>
      </c>
    </row>
    <row r="13">
      <c r="A13" s="2" t="inlineStr">
        <is>
          <t>Earnings per Share</t>
        </is>
      </c>
      <c r="B13" s="11">
        <f>IFERROR(B12/B14,0)</f>
        <v>-1.0042411001156664</v>
      </c>
      <c r="C13" s="11">
        <f>IFERROR(C12/C14,0)</f>
        <v>-1.8847389386216644</v>
      </c>
      <c r="D13" s="11">
        <f>IFERROR(D12/D14,0)</f>
        <v>-1.9351724137931032</v>
      </c>
      <c r="E13" s="11">
        <f>IFERROR(E12/E14,0)</f>
        <v>-1.2191877367632808</v>
      </c>
      <c r="F13" s="11">
        <f>IFERROR(F12/F14,0)</f>
        <v>-1.548773058459439</v>
      </c>
      <c r="G13" s="11">
        <f>IFERROR(G12/G14,0)</f>
        <v>-1.0467229979425101</v>
      </c>
      <c r="H13" s="11">
        <f>IFERROR(H12/H14,0)</f>
        <v>-1.064955906640491</v>
      </c>
      <c r="I13" s="11">
        <f>IFERROR(I12/I14,0)</f>
        <v>-1.0119345067768455</v>
      </c>
      <c r="J13" s="11">
        <f>IFERROR(J12/J14,0)</f>
        <v>-0.39058893236720943</v>
      </c>
      <c r="K13" s="11">
        <f>IFERROR(K12/K14,0)</f>
        <v>-0.36291615361382806</v>
      </c>
      <c r="L13" s="11">
        <f>IFERROR(L12/L14,0)</f>
        <v>-0.45066170467275524</v>
      </c>
    </row>
    <row r="14">
      <c r="A14" s="2" t="inlineStr">
        <is>
          <t>Shares</t>
        </is>
      </c>
      <c r="B14" s="23" t="n">
        <v>23.343</v>
      </c>
      <c r="C14" s="23" t="n">
        <v>23.347</v>
      </c>
      <c r="D14" s="23" t="n">
        <v>25.375</v>
      </c>
      <c r="E14" s="23" t="n">
        <v>34.053</v>
      </c>
      <c r="F14" s="23" t="n">
        <v>41.037</v>
      </c>
      <c r="G14" s="23" t="n">
        <v>50.061</v>
      </c>
      <c r="H14" s="23" t="n">
        <v>64.182</v>
      </c>
      <c r="I14" s="23" t="n">
        <v>71.64100000000001</v>
      </c>
      <c r="J14" s="23" t="n">
        <v>81.011</v>
      </c>
      <c r="K14" s="23" t="n">
        <v>86.086</v>
      </c>
      <c r="L14" s="23" t="n">
        <v>105.334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1.653543307086614</v>
      </c>
      <c r="J16" s="15">
        <f>IFERROR(J2/I2-1,"")</f>
        <v>0.8125618199802178</v>
      </c>
      <c r="K16" s="15">
        <f>IFERROR(K2/J2-1,"")</f>
        <v>1.9023192360163712</v>
      </c>
      <c r="L16" s="15">
        <f>IFERROR(L2/K2-1,"")</f>
        <v>-0.15864435461126258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-42.24278215223097</v>
      </c>
      <c r="I18" s="15">
        <f>IFERROR(I8/I2,"")</f>
        <v>-18.13155291790307</v>
      </c>
      <c r="J18" s="15">
        <f>IFERROR(J8/J2,"")</f>
        <v>-4.890995907230559</v>
      </c>
      <c r="K18" s="15">
        <f>IFERROR(K8/K2,"")</f>
        <v>-1.6118266428504275</v>
      </c>
      <c r="L18" s="15">
        <f>IFERROR(L8/L2,"")</f>
        <v>-2.7314375104754456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ProQR Therapeutics NV: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0.37759999999999994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48.89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525.2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46022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44.06539195076236</v>
      </c>
      <c r="C29" s="42">
        <f>NPV!B25</f>
        <v>142.57549154002697</v>
      </c>
      <c r="D29" s="43">
        <f>NPV!B27</f>
        <v>1.35320853954196</v>
      </c>
      <c r="E29" s="44">
        <f>NPV!B29</f>
        <v>-0.01941410178118841</v>
      </c>
    </row>
    <row r="30">
      <c r="A30" s="45" t="n">
        <v>1</v>
      </c>
      <c r="B30" s="46">
        <f t="dataTable" ref="B30:E32" r1="B4"/>
        <v>-79.13434839720338</v>
      </c>
      <c r="C30" s="46">
        <v>19.37575119206123</v>
      </c>
      <c r="D30" s="47">
        <v>0.18389859077411397</v>
      </c>
      <c r="E30" s="48">
        <v>-0.8667401516129609</v>
      </c>
    </row>
    <row r="31">
      <c r="A31" s="45" t="n">
        <v>2</v>
      </c>
      <c r="B31" s="46">
        <v>44.06539195076236</v>
      </c>
      <c r="C31" s="46">
        <v>142.57549154002697</v>
      </c>
      <c r="D31" s="47">
        <v>1.35320853954196</v>
      </c>
      <c r="E31" s="48">
        <v>-0.01941410178118841</v>
      </c>
    </row>
    <row r="32">
      <c r="A32" s="45" t="n">
        <v>3</v>
      </c>
      <c r="B32" s="46">
        <v>223.42624357401286</v>
      </c>
      <c r="C32" s="46">
        <v>321.93634316327746</v>
      </c>
      <c r="D32" s="47">
        <v>3.0555532655144546</v>
      </c>
      <c r="E32" s="48">
        <v>1.2141690329814891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1.35320853954196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-0.054957576426312715</v>
      </c>
      <c r="C37" s="47">
        <v>0.2698265319675203</v>
      </c>
      <c r="D37" s="47">
        <v>0.5946106403613535</v>
      </c>
      <c r="E37" s="47">
        <v>1.2441788571490202</v>
      </c>
      <c r="F37" s="47">
        <v>1.8206517809735485</v>
      </c>
    </row>
    <row r="38">
      <c r="A38" s="50" t="n">
        <v>0.8</v>
      </c>
      <c r="B38" s="47">
        <v>0.11225446714370543</v>
      </c>
      <c r="C38" s="47">
        <v>0.5452999450021494</v>
      </c>
      <c r="D38" s="47">
        <v>0.978345422860594</v>
      </c>
      <c r="E38" s="47">
        <v>1.7770721377360472</v>
      </c>
      <c r="F38" s="47">
        <v>2.5153208023204394</v>
      </c>
    </row>
    <row r="39">
      <c r="A39" s="50" t="n">
        <v>1</v>
      </c>
      <c r="B39" s="47">
        <v>0.2794665107137232</v>
      </c>
      <c r="C39" s="47">
        <v>0.8207733580367785</v>
      </c>
      <c r="D39" s="47">
        <v>1.35320853954196</v>
      </c>
      <c r="E39" s="47">
        <v>2.2895933026081505</v>
      </c>
      <c r="F39" s="47">
        <v>3.1941379546238364</v>
      </c>
    </row>
    <row r="40">
      <c r="A40" s="50" t="n">
        <v>1.2</v>
      </c>
      <c r="B40" s="47">
        <v>0.4466785542837411</v>
      </c>
      <c r="C40" s="47">
        <v>1.0962467710714077</v>
      </c>
      <c r="D40" s="47">
        <v>1.689912851261042</v>
      </c>
      <c r="E40" s="47">
        <v>2.792685451525116</v>
      </c>
      <c r="F40" s="47">
        <v>3.865452779512289</v>
      </c>
    </row>
    <row r="41">
      <c r="A41" s="50" t="n">
        <v>1.4</v>
      </c>
      <c r="B41" s="47">
        <v>0.6138905978537595</v>
      </c>
      <c r="C41" s="47">
        <v>1.3608621280473094</v>
      </c>
      <c r="D41" s="47">
        <v>2.0200454642263175</v>
      </c>
      <c r="E41" s="47">
        <v>3.2894784836190993</v>
      </c>
      <c r="F41" s="47">
        <v>4.529617273766866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ProQR Therapeutics NV: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Inherited retinal disease</t>
        </is>
      </c>
      <c r="C4" s="14" t="inlineStr">
        <is>
          <t>sepofarsen, QR-1123</t>
        </is>
      </c>
      <c r="D4" s="14" t="inlineStr">
        <is>
          <t>Phase 2/3</t>
        </is>
      </c>
      <c r="E4" s="14" t="inlineStr">
        <is>
          <t>Ophthalmology / rare</t>
        </is>
      </c>
      <c r="F4" s="14" t="inlineStr">
        <is>
          <t>Owned</t>
        </is>
      </c>
      <c r="G4" s="40" t="n">
        <v>500</v>
      </c>
      <c r="H4" s="27" t="n">
        <v>0.3776</v>
      </c>
      <c r="I4" s="26" t="n">
        <v>2030</v>
      </c>
      <c r="J4" s="39">
        <f>I4+Assumptions!$B$25</f>
        <v>2042.0</v>
      </c>
      <c r="K4" s="53">
        <f>Assumptions!$E$13</f>
        <v>0.4</v>
      </c>
      <c r="L4" s="23">
        <f>K4*SUMPRODUCT(M4:AF4,NPV!$C$15:$V$15)</f>
        <v>228.1306615377706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18.88</v>
      </c>
      <c r="R4" s="23">
        <f>IF(R$3&lt;$I4,0,$G4*Assumptions!$E$11*INDEX(Assumptions!$B$24:$G$24,MIN(6,R$3-$I4+1))*IF(R$3&gt;$J4,(1-Assumptions!$B$26)^(R$3-$J4),1)*IF($H4&gt;=1,1,MIN(0.97,$H4*Assumptions!$E$12)))</f>
        <v>47.199999999999996</v>
      </c>
      <c r="S4" s="23">
        <f>IF(S$3&lt;$I4,0,$G4*Assumptions!$E$11*INDEX(Assumptions!$B$24:$G$24,MIN(6,S$3-$I4+1))*IF(S$3&gt;$J4,(1-Assumptions!$B$26)^(S$3-$J4),1)*IF($H4&gt;=1,1,MIN(0.97,$H4*Assumptions!$E$12)))</f>
        <v>84.96</v>
      </c>
      <c r="T4" s="23">
        <f>IF(T$3&lt;$I4,0,$G4*Assumptions!$E$11*INDEX(Assumptions!$B$24:$G$24,MIN(6,T$3-$I4+1))*IF(T$3&gt;$J4,(1-Assumptions!$B$26)^(T$3-$J4),1)*IF($H4&gt;=1,1,MIN(0.97,$H4*Assumptions!$E$12)))</f>
        <v>122.72</v>
      </c>
      <c r="U4" s="23">
        <f>IF(U$3&lt;$I4,0,$G4*Assumptions!$E$11*INDEX(Assumptions!$B$24:$G$24,MIN(6,U$3-$I4+1))*IF(U$3&gt;$J4,(1-Assumptions!$B$26)^(U$3-$J4),1)*IF($H4&gt;=1,1,MIN(0.97,$H4*Assumptions!$E$12)))</f>
        <v>160.48</v>
      </c>
      <c r="V4" s="23">
        <f>IF(V$3&lt;$I4,0,$G4*Assumptions!$E$11*INDEX(Assumptions!$B$24:$G$24,MIN(6,V$3-$I4+1))*IF(V$3&gt;$J4,(1-Assumptions!$B$26)^(V$3-$J4),1)*IF($H4&gt;=1,1,MIN(0.97,$H4*Assumptions!$E$12)))</f>
        <v>188.79999999999998</v>
      </c>
      <c r="W4" s="23">
        <f>IF(W$3&lt;$I4,0,$G4*Assumptions!$E$11*INDEX(Assumptions!$B$24:$G$24,MIN(6,W$3-$I4+1))*IF(W$3&gt;$J4,(1-Assumptions!$B$26)^(W$3-$J4),1)*IF($H4&gt;=1,1,MIN(0.97,$H4*Assumptions!$E$12)))</f>
        <v>188.79999999999998</v>
      </c>
      <c r="X4" s="23">
        <f>IF(X$3&lt;$I4,0,$G4*Assumptions!$E$11*INDEX(Assumptions!$B$24:$G$24,MIN(6,X$3-$I4+1))*IF(X$3&gt;$J4,(1-Assumptions!$B$26)^(X$3-$J4),1)*IF($H4&gt;=1,1,MIN(0.97,$H4*Assumptions!$E$12)))</f>
        <v>188.79999999999998</v>
      </c>
      <c r="Y4" s="23">
        <f>IF(Y$3&lt;$I4,0,$G4*Assumptions!$E$11*INDEX(Assumptions!$B$24:$G$24,MIN(6,Y$3-$I4+1))*IF(Y$3&gt;$J4,(1-Assumptions!$B$26)^(Y$3-$J4),1)*IF($H4&gt;=1,1,MIN(0.97,$H4*Assumptions!$E$12)))</f>
        <v>188.79999999999998</v>
      </c>
      <c r="Z4" s="23">
        <f>IF(Z$3&lt;$I4,0,$G4*Assumptions!$E$11*INDEX(Assumptions!$B$24:$G$24,MIN(6,Z$3-$I4+1))*IF(Z$3&gt;$J4,(1-Assumptions!$B$26)^(Z$3-$J4),1)*IF($H4&gt;=1,1,MIN(0.97,$H4*Assumptions!$E$12)))</f>
        <v>188.79999999999998</v>
      </c>
      <c r="AA4" s="23">
        <f>IF(AA$3&lt;$I4,0,$G4*Assumptions!$E$11*INDEX(Assumptions!$B$24:$G$24,MIN(6,AA$3-$I4+1))*IF(AA$3&gt;$J4,(1-Assumptions!$B$26)^(AA$3-$J4),1)*IF($H4&gt;=1,1,MIN(0.97,$H4*Assumptions!$E$12)))</f>
        <v>188.79999999999998</v>
      </c>
      <c r="AB4" s="23">
        <f>IF(AB$3&lt;$I4,0,$G4*Assumptions!$E$11*INDEX(Assumptions!$B$24:$G$24,MIN(6,AB$3-$I4+1))*IF(AB$3&gt;$J4,(1-Assumptions!$B$26)^(AB$3-$J4),1)*IF($H4&gt;=1,1,MIN(0.97,$H4*Assumptions!$E$12)))</f>
        <v>188.79999999999998</v>
      </c>
      <c r="AC4" s="23">
        <f>IF(AC$3&lt;$I4,0,$G4*Assumptions!$E$11*INDEX(Assumptions!$B$24:$G$24,MIN(6,AC$3-$I4+1))*IF(AC$3&gt;$J4,(1-Assumptions!$B$26)^(AC$3-$J4),1)*IF($H4&gt;=1,1,MIN(0.97,$H4*Assumptions!$E$12)))</f>
        <v>188.79999999999998</v>
      </c>
      <c r="AD4" s="23">
        <f>IF(AD$3&lt;$I4,0,$G4*Assumptions!$E$11*INDEX(Assumptions!$B$24:$G$24,MIN(6,AD$3-$I4+1))*IF(AD$3&gt;$J4,(1-Assumptions!$B$26)^(AD$3-$J4),1)*IF($H4&gt;=1,1,MIN(0.97,$H4*Assumptions!$E$12)))</f>
        <v>94.39999999999999</v>
      </c>
      <c r="AE4" s="23">
        <f>IF(AE$3&lt;$I4,0,$G4*Assumptions!$E$11*INDEX(Assumptions!$B$24:$G$24,MIN(6,AE$3-$I4+1))*IF(AE$3&gt;$J4,(1-Assumptions!$B$26)^(AE$3-$J4),1)*IF($H4&gt;=1,1,MIN(0.97,$H4*Assumptions!$E$12)))</f>
        <v>47.199999999999996</v>
      </c>
      <c r="AF4" s="23">
        <f>IF(AF$3&lt;$I4,0,$G4*Assumptions!$E$11*INDEX(Assumptions!$B$24:$G$24,MIN(6,AF$3-$I4+1))*IF(AF$3&gt;$J4,(1-Assumptions!$B$26)^(AF$3-$J4),1)*IF($H4&gt;=1,1,MIN(0.97,$H4*Assumptions!$E$12)))</f>
        <v>23.599999999999998</v>
      </c>
      <c r="AG4" s="35">
        <f>IF(F4="Owned",1-IF(H4&gt;=1,1,MIN(0.97,H4*Assumptions!$E$12)),1)</f>
        <v>0.6224000000000001</v>
      </c>
    </row>
    <row r="5">
      <c r="B5" s="24" t="inlineStr">
        <is>
          <t>Risked revenue</t>
        </is>
      </c>
      <c r="L5" s="54">
        <f>SUM(L4:L4)</f>
        <v>228.1306615377706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18.88</v>
      </c>
      <c r="R5" s="54">
        <f>SUM(R4:R4)</f>
        <v>47.199999999999996</v>
      </c>
      <c r="S5" s="54">
        <f>SUM(S4:S4)</f>
        <v>84.96</v>
      </c>
      <c r="T5" s="54">
        <f>SUM(T4:T4)</f>
        <v>122.72</v>
      </c>
      <c r="U5" s="54">
        <f>SUM(U4:U4)</f>
        <v>160.48</v>
      </c>
      <c r="V5" s="54">
        <f>SUM(V4:V4)</f>
        <v>188.79999999999998</v>
      </c>
      <c r="W5" s="54">
        <f>SUM(W4:W4)</f>
        <v>188.79999999999998</v>
      </c>
      <c r="X5" s="54">
        <f>SUM(X4:X4)</f>
        <v>188.79999999999998</v>
      </c>
      <c r="Y5" s="54">
        <f>SUM(Y4:Y4)</f>
        <v>188.79999999999998</v>
      </c>
      <c r="Z5" s="54">
        <f>SUM(Z4:Z4)</f>
        <v>188.79999999999998</v>
      </c>
      <c r="AA5" s="54">
        <f>SUM(AA4:AA4)</f>
        <v>188.79999999999998</v>
      </c>
      <c r="AB5" s="54">
        <f>SUM(AB4:AB4)</f>
        <v>188.79999999999998</v>
      </c>
      <c r="AC5" s="54">
        <f>SUM(AC4:AC4)</f>
        <v>188.79999999999998</v>
      </c>
      <c r="AD5" s="54">
        <f>SUM(AD4:AD4)</f>
        <v>94.39999999999999</v>
      </c>
      <c r="AE5" s="54">
        <f>SUM(AE4:AE4)</f>
        <v>47.199999999999996</v>
      </c>
      <c r="AF5" s="54">
        <f>SUM(AF4:AF4)</f>
        <v>23.599999999999998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7.552</v>
      </c>
      <c r="R6" s="55">
        <f>SUMPRODUCT(R4:R4,$K$4:$K$4)</f>
        <v>18.88</v>
      </c>
      <c r="S6" s="55">
        <f>SUMPRODUCT(S4:S4,$K$4:$K$4)</f>
        <v>33.984</v>
      </c>
      <c r="T6" s="55">
        <f>SUMPRODUCT(T4:T4,$K$4:$K$4)</f>
        <v>49.088</v>
      </c>
      <c r="U6" s="55">
        <f>SUMPRODUCT(U4:U4,$K$4:$K$4)</f>
        <v>64.192</v>
      </c>
      <c r="V6" s="55">
        <f>SUMPRODUCT(V4:V4,$K$4:$K$4)</f>
        <v>75.52</v>
      </c>
      <c r="W6" s="55">
        <f>SUMPRODUCT(W4:W4,$K$4:$K$4)</f>
        <v>75.52</v>
      </c>
      <c r="X6" s="55">
        <f>SUMPRODUCT(X4:X4,$K$4:$K$4)</f>
        <v>75.52</v>
      </c>
      <c r="Y6" s="55">
        <f>SUMPRODUCT(Y4:Y4,$K$4:$K$4)</f>
        <v>75.52</v>
      </c>
      <c r="Z6" s="55">
        <f>SUMPRODUCT(Z4:Z4,$K$4:$K$4)</f>
        <v>75.52</v>
      </c>
      <c r="AA6" s="55">
        <f>SUMPRODUCT(AA4:AA4,$K$4:$K$4)</f>
        <v>75.52</v>
      </c>
      <c r="AB6" s="55">
        <f>SUMPRODUCT(AB4:AB4,$K$4:$K$4)</f>
        <v>75.52</v>
      </c>
      <c r="AC6" s="55">
        <f>SUMPRODUCT(AC4:AC4,$K$4:$K$4)</f>
        <v>75.52</v>
      </c>
      <c r="AD6" s="55">
        <f>SUMPRODUCT(AD4:AD4,$K$4:$K$4)</f>
        <v>37.76</v>
      </c>
      <c r="AE6" s="55">
        <f>SUMPRODUCT(AE4:AE4,$K$4:$K$4)</f>
        <v>18.88</v>
      </c>
      <c r="AF6" s="55">
        <f>SUMPRODUCT(AF4:AF4,$K$4:$K$4)</f>
        <v>9.44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ProQR Therapeutics NV: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18.88</v>
      </c>
      <c r="H4" s="57">
        <f>Pipeline!R5</f>
        <v>47.199999999999996</v>
      </c>
      <c r="I4" s="57">
        <f>Pipeline!S5</f>
        <v>84.96</v>
      </c>
      <c r="J4" s="57">
        <f>Pipeline!T5</f>
        <v>122.72</v>
      </c>
      <c r="K4" s="57">
        <f>Pipeline!U5</f>
        <v>160.48</v>
      </c>
      <c r="L4" s="57">
        <f>Pipeline!V5</f>
        <v>188.79999999999998</v>
      </c>
      <c r="M4" s="57">
        <f>Pipeline!W5</f>
        <v>188.79999999999998</v>
      </c>
      <c r="N4" s="57">
        <f>Pipeline!X5</f>
        <v>188.79999999999998</v>
      </c>
      <c r="O4" s="57">
        <f>Pipeline!Y5</f>
        <v>188.79999999999998</v>
      </c>
      <c r="P4" s="57">
        <f>Pipeline!Z5</f>
        <v>188.79999999999998</v>
      </c>
      <c r="Q4" s="57">
        <f>Pipeline!AA5</f>
        <v>188.79999999999998</v>
      </c>
      <c r="R4" s="57">
        <f>Pipeline!AB5</f>
        <v>188.79999999999998</v>
      </c>
      <c r="S4" s="57">
        <f>Pipeline!AC5</f>
        <v>188.79999999999998</v>
      </c>
      <c r="T4" s="57">
        <f>Pipeline!AD5</f>
        <v>94.39999999999999</v>
      </c>
      <c r="U4" s="57">
        <f>Pipeline!AE5</f>
        <v>47.199999999999996</v>
      </c>
      <c r="V4" s="57">
        <f>Pipeline!AF5</f>
        <v>23.599999999999998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7.552</v>
      </c>
      <c r="H5" s="57">
        <f>Pipeline!R6</f>
        <v>18.88</v>
      </c>
      <c r="I5" s="57">
        <f>Pipeline!S6</f>
        <v>33.984</v>
      </c>
      <c r="J5" s="57">
        <f>Pipeline!T6</f>
        <v>49.088</v>
      </c>
      <c r="K5" s="57">
        <f>Pipeline!U6</f>
        <v>64.192</v>
      </c>
      <c r="L5" s="57">
        <f>Pipeline!V6</f>
        <v>75.52</v>
      </c>
      <c r="M5" s="57">
        <f>Pipeline!W6</f>
        <v>75.52</v>
      </c>
      <c r="N5" s="57">
        <f>Pipeline!X6</f>
        <v>75.52</v>
      </c>
      <c r="O5" s="57">
        <f>Pipeline!Y6</f>
        <v>75.52</v>
      </c>
      <c r="P5" s="57">
        <f>Pipeline!Z6</f>
        <v>75.52</v>
      </c>
      <c r="Q5" s="57">
        <f>Pipeline!AA6</f>
        <v>75.52</v>
      </c>
      <c r="R5" s="57">
        <f>Pipeline!AB6</f>
        <v>75.52</v>
      </c>
      <c r="S5" s="57">
        <f>Pipeline!AC6</f>
        <v>75.52</v>
      </c>
      <c r="T5" s="57">
        <f>Pipeline!AD6</f>
        <v>37.76</v>
      </c>
      <c r="U5" s="57">
        <f>Pipeline!AE6</f>
        <v>18.88</v>
      </c>
      <c r="V5" s="57">
        <f>Pipeline!AF6</f>
        <v>9.44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-48.89</v>
      </c>
      <c r="D6" s="23">
        <f>-IF(D3-2026&lt;Assumptions!$B$19,Assumptions!$B$18,Assumptions!$B$18*Assumptions!$B$20*Assumptions!$B$16)</f>
        <v>-48.89</v>
      </c>
      <c r="E6" s="23">
        <f>-IF(E3-2026&lt;Assumptions!$B$19,Assumptions!$B$18,Assumptions!$B$18*Assumptions!$B$20*Assumptions!$B$16)</f>
        <v>-48.89</v>
      </c>
      <c r="F6" s="23">
        <f>-IF(F3-2026&lt;Assumptions!$B$19,Assumptions!$B$18,Assumptions!$B$18*Assumptions!$B$20*Assumptions!$B$16)</f>
        <v>-48.89</v>
      </c>
      <c r="G6" s="23">
        <f>-IF(G3-2026&lt;Assumptions!$B$19,Assumptions!$B$18,Assumptions!$B$18*Assumptions!$B$20*Assumptions!$B$16)</f>
        <v>-5.538259199999999</v>
      </c>
      <c r="H6" s="23">
        <f>-IF(H3-2026&lt;Assumptions!$B$19,Assumptions!$B$18,Assumptions!$B$18*Assumptions!$B$20*Assumptions!$B$16)</f>
        <v>-5.538259199999999</v>
      </c>
      <c r="I6" s="23">
        <f>-IF(I3-2026&lt;Assumptions!$B$19,Assumptions!$B$18,Assumptions!$B$18*Assumptions!$B$20*Assumptions!$B$16)</f>
        <v>-5.538259199999999</v>
      </c>
      <c r="J6" s="23">
        <f>-IF(J3-2026&lt;Assumptions!$B$19,Assumptions!$B$18,Assumptions!$B$18*Assumptions!$B$20*Assumptions!$B$16)</f>
        <v>-5.538259199999999</v>
      </c>
      <c r="K6" s="23">
        <f>-IF(K3-2026&lt;Assumptions!$B$19,Assumptions!$B$18,Assumptions!$B$18*Assumptions!$B$20*Assumptions!$B$16)</f>
        <v>-5.538259199999999</v>
      </c>
      <c r="L6" s="23">
        <f>-IF(L3-2026&lt;Assumptions!$B$19,Assumptions!$B$18,Assumptions!$B$18*Assumptions!$B$20*Assumptions!$B$16)</f>
        <v>-5.538259199999999</v>
      </c>
      <c r="M6" s="23">
        <f>-IF(M3-2026&lt;Assumptions!$B$19,Assumptions!$B$18,Assumptions!$B$18*Assumptions!$B$20*Assumptions!$B$16)</f>
        <v>-5.538259199999999</v>
      </c>
      <c r="N6" s="23">
        <f>-IF(N3-2026&lt;Assumptions!$B$19,Assumptions!$B$18,Assumptions!$B$18*Assumptions!$B$20*Assumptions!$B$16)</f>
        <v>-5.538259199999999</v>
      </c>
      <c r="O6" s="23">
        <f>-IF(O3-2026&lt;Assumptions!$B$19,Assumptions!$B$18,Assumptions!$B$18*Assumptions!$B$20*Assumptions!$B$16)</f>
        <v>-5.538259199999999</v>
      </c>
      <c r="P6" s="23">
        <f>-IF(P3-2026&lt;Assumptions!$B$19,Assumptions!$B$18,Assumptions!$B$18*Assumptions!$B$20*Assumptions!$B$16)</f>
        <v>-5.538259199999999</v>
      </c>
      <c r="Q6" s="23">
        <f>-IF(Q3-2026&lt;Assumptions!$B$19,Assumptions!$B$18,Assumptions!$B$18*Assumptions!$B$20*Assumptions!$B$16)</f>
        <v>-5.538259199999999</v>
      </c>
      <c r="R6" s="23">
        <f>-IF(R3-2026&lt;Assumptions!$B$19,Assumptions!$B$18,Assumptions!$B$18*Assumptions!$B$20*Assumptions!$B$16)</f>
        <v>-5.538259199999999</v>
      </c>
      <c r="S6" s="23">
        <f>-IF(S3-2026&lt;Assumptions!$B$19,Assumptions!$B$18,Assumptions!$B$18*Assumptions!$B$20*Assumptions!$B$16)</f>
        <v>-5.538259199999999</v>
      </c>
      <c r="T6" s="23">
        <f>-IF(T3-2026&lt;Assumptions!$B$19,Assumptions!$B$18,Assumptions!$B$18*Assumptions!$B$20*Assumptions!$B$16)</f>
        <v>-5.538259199999999</v>
      </c>
      <c r="U6" s="23">
        <f>-IF(U3-2026&lt;Assumptions!$B$19,Assumptions!$B$18,Assumptions!$B$18*Assumptions!$B$20*Assumptions!$B$16)</f>
        <v>-5.538259199999999</v>
      </c>
      <c r="V6" s="23">
        <f>-IF(V3-2026&lt;Assumptions!$B$19,Assumptions!$B$18,Assumptions!$B$18*Assumptions!$B$20*Assumptions!$B$16)</f>
        <v>-5.538259199999999</v>
      </c>
    </row>
    <row r="7">
      <c r="A7" s="14" t="inlineStr">
        <is>
          <t>Pre-tax cash flow</t>
        </is>
      </c>
      <c r="C7" s="23">
        <f>C5+C6</f>
        <v>-48.89</v>
      </c>
      <c r="D7" s="23">
        <f>D5+D6</f>
        <v>-48.89</v>
      </c>
      <c r="E7" s="23">
        <f>E5+E6</f>
        <v>-48.89</v>
      </c>
      <c r="F7" s="23">
        <f>F5+F6</f>
        <v>-48.89</v>
      </c>
      <c r="G7" s="23">
        <f>G5+G6</f>
        <v>2.0137408000000008</v>
      </c>
      <c r="H7" s="23">
        <f>H5+H6</f>
        <v>13.3417408</v>
      </c>
      <c r="I7" s="23">
        <f>I5+I6</f>
        <v>28.445740800000003</v>
      </c>
      <c r="J7" s="23">
        <f>J5+J6</f>
        <v>43.5497408</v>
      </c>
      <c r="K7" s="23">
        <f>K5+K6</f>
        <v>58.653740799999994</v>
      </c>
      <c r="L7" s="23">
        <f>L5+L6</f>
        <v>69.9817408</v>
      </c>
      <c r="M7" s="23">
        <f>M5+M6</f>
        <v>69.9817408</v>
      </c>
      <c r="N7" s="23">
        <f>N5+N6</f>
        <v>69.9817408</v>
      </c>
      <c r="O7" s="23">
        <f>O5+O6</f>
        <v>69.9817408</v>
      </c>
      <c r="P7" s="23">
        <f>P5+P6</f>
        <v>69.9817408</v>
      </c>
      <c r="Q7" s="23">
        <f>Q5+Q6</f>
        <v>69.9817408</v>
      </c>
      <c r="R7" s="23">
        <f>R5+R6</f>
        <v>69.9817408</v>
      </c>
      <c r="S7" s="23">
        <f>S5+S6</f>
        <v>69.9817408</v>
      </c>
      <c r="T7" s="23">
        <f>T5+T6</f>
        <v>32.2217408</v>
      </c>
      <c r="U7" s="23">
        <f>U5+U6</f>
        <v>13.3417408</v>
      </c>
      <c r="V7" s="23">
        <f>V5+V6</f>
        <v>3.9017408000000007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2.0137408000000008</v>
      </c>
      <c r="H8" s="23">
        <f>MIN(G17,MAX(0,H7))</f>
        <v>13.3417408</v>
      </c>
      <c r="I8" s="23">
        <f>MIN(H17,MAX(0,I7))</f>
        <v>28.445740800000003</v>
      </c>
      <c r="J8" s="23">
        <f>MIN(I17,MAX(0,J7))</f>
        <v>43.5497408</v>
      </c>
      <c r="K8" s="23">
        <f>MIN(J17,MAX(0,K7))</f>
        <v>58.653740799999994</v>
      </c>
      <c r="L8" s="23">
        <f>MIN(K17,MAX(0,L7))</f>
        <v>69.9817408</v>
      </c>
      <c r="M8" s="23">
        <f>MIN(L17,MAX(0,M7))</f>
        <v>69.9817408</v>
      </c>
      <c r="N8" s="23">
        <f>MIN(M17,MAX(0,N7))</f>
        <v>69.9817408</v>
      </c>
      <c r="O8" s="23">
        <f>MIN(N17,MAX(0,O7))</f>
        <v>69.9817408</v>
      </c>
      <c r="P8" s="23">
        <f>MIN(O17,MAX(0,P7))</f>
        <v>69.9817408</v>
      </c>
      <c r="Q8" s="23">
        <f>MIN(P17,MAX(0,Q7))</f>
        <v>69.9817408</v>
      </c>
      <c r="R8" s="23">
        <f>MIN(Q17,MAX(0,R7))</f>
        <v>69.9817408</v>
      </c>
      <c r="S8" s="23">
        <f>MIN(R17,MAX(0,S7))</f>
        <v>69.9817408</v>
      </c>
      <c r="T8" s="23">
        <f>MIN(S17,MAX(0,T7))</f>
        <v>14.901369599999867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17.32037120000013</v>
      </c>
      <c r="U9" s="23">
        <f>MAX(0,U7)-U8</f>
        <v>13.3417408</v>
      </c>
      <c r="V9" s="23">
        <f>MAX(0,V7)-V8</f>
        <v>3.9017408000000007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3.6372779520000273</v>
      </c>
      <c r="U10" s="23">
        <f>U9*Assumptions!$E$15</f>
        <v>2.801765568</v>
      </c>
      <c r="V10" s="23">
        <f>V9*Assumptions!$E$15</f>
        <v>0.8193655680000002</v>
      </c>
    </row>
    <row r="11">
      <c r="A11" s="24" t="inlineStr">
        <is>
          <t>Free cash flow</t>
        </is>
      </c>
      <c r="C11" s="55">
        <f>C7-C10</f>
        <v>-48.89</v>
      </c>
      <c r="D11" s="55">
        <f>D7-D10</f>
        <v>-48.89</v>
      </c>
      <c r="E11" s="55">
        <f>E7-E10</f>
        <v>-48.89</v>
      </c>
      <c r="F11" s="55">
        <f>F7-F10</f>
        <v>-48.89</v>
      </c>
      <c r="G11" s="55">
        <f>G7-G10</f>
        <v>2.0137408000000008</v>
      </c>
      <c r="H11" s="55">
        <f>H7-H10</f>
        <v>13.3417408</v>
      </c>
      <c r="I11" s="55">
        <f>I7-I10</f>
        <v>28.445740800000003</v>
      </c>
      <c r="J11" s="55">
        <f>J7-J10</f>
        <v>43.5497408</v>
      </c>
      <c r="K11" s="55">
        <f>K7-K10</f>
        <v>58.653740799999994</v>
      </c>
      <c r="L11" s="55">
        <f>L7-L10</f>
        <v>69.9817408</v>
      </c>
      <c r="M11" s="55">
        <f>M7-M10</f>
        <v>69.9817408</v>
      </c>
      <c r="N11" s="55">
        <f>N7-N10</f>
        <v>69.9817408</v>
      </c>
      <c r="O11" s="55">
        <f>O7-O10</f>
        <v>69.9817408</v>
      </c>
      <c r="P11" s="55">
        <f>P7-P10</f>
        <v>69.9817408</v>
      </c>
      <c r="Q11" s="55">
        <f>Q7-Q10</f>
        <v>69.9817408</v>
      </c>
      <c r="R11" s="55">
        <f>R7-R10</f>
        <v>69.9817408</v>
      </c>
      <c r="S11" s="55">
        <f>S7-S10</f>
        <v>69.9817408</v>
      </c>
      <c r="T11" s="55">
        <f>T7-T10</f>
        <v>28.584462847999973</v>
      </c>
      <c r="U11" s="55">
        <f>U7-U10</f>
        <v>10.539975232</v>
      </c>
      <c r="V11" s="55">
        <f>V7-V10</f>
        <v>3.0823752320000004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-46.19670771355279</v>
      </c>
      <c r="D16" s="55">
        <f>D11*D15</f>
        <v>-41.247060458529276</v>
      </c>
      <c r="E16" s="55">
        <f>E11*E15</f>
        <v>-36.82773255225828</v>
      </c>
      <c r="F16" s="55">
        <f>F11*F15</f>
        <v>-32.88190406451632</v>
      </c>
      <c r="G16" s="55">
        <f>G11*G15</f>
        <v>1.2092677401966945</v>
      </c>
      <c r="H16" s="55">
        <f>H11*H15</f>
        <v>7.15341423086205</v>
      </c>
      <c r="I16" s="55">
        <f>I11*I15</f>
        <v>13.617585195889585</v>
      </c>
      <c r="J16" s="55">
        <f>J11*J15</f>
        <v>18.614458392801836</v>
      </c>
      <c r="K16" s="55">
        <f>K11*K15</f>
        <v>22.38424872766782</v>
      </c>
      <c r="L16" s="55">
        <f>L11*L15</f>
        <v>23.845889438478604</v>
      </c>
      <c r="M16" s="55">
        <f>M11*M15</f>
        <v>21.29097271292732</v>
      </c>
      <c r="N16" s="55">
        <f>N11*N15</f>
        <v>19.009797065113677</v>
      </c>
      <c r="O16" s="55">
        <f>O11*O15</f>
        <v>16.973033093851498</v>
      </c>
      <c r="P16" s="55">
        <f>P11*P15</f>
        <v>15.154493833795978</v>
      </c>
      <c r="Q16" s="55">
        <f>Q11*Q15</f>
        <v>13.530798065889265</v>
      </c>
      <c r="R16" s="55">
        <f>R11*R15</f>
        <v>12.081069701686843</v>
      </c>
      <c r="S16" s="55">
        <f>S11*S15</f>
        <v>10.786669376506108</v>
      </c>
      <c r="T16" s="55">
        <f>T11*T15</f>
        <v>3.9338214016574424</v>
      </c>
      <c r="U16" s="55">
        <f>U11*U15</f>
        <v>1.295108551286494</v>
      </c>
      <c r="V16" s="55">
        <f>V11*V15</f>
        <v>0.3381692110078029</v>
      </c>
    </row>
    <row r="17">
      <c r="A17" s="14" t="inlineStr">
        <is>
          <t>Tax-loss carryforward, end of year</t>
        </is>
      </c>
      <c r="C17" s="23">
        <f>Assumptions!$B$21-C8+MAX(0,-C7)</f>
        <v>574.09</v>
      </c>
      <c r="D17" s="23">
        <f>C17-D8+MAX(0,-D7)</f>
        <v>622.98</v>
      </c>
      <c r="E17" s="23">
        <f>D17-E8+MAX(0,-E7)</f>
        <v>671.87</v>
      </c>
      <c r="F17" s="23">
        <f>E17-F8+MAX(0,-F7)</f>
        <v>720.76</v>
      </c>
      <c r="G17" s="23">
        <f>F17-G8+MAX(0,-G7)</f>
        <v>718.7462591999999</v>
      </c>
      <c r="H17" s="23">
        <f>G17-H8+MAX(0,-H7)</f>
        <v>705.4045183999999</v>
      </c>
      <c r="I17" s="23">
        <f>H17-I8+MAX(0,-I7)</f>
        <v>676.9587776</v>
      </c>
      <c r="J17" s="23">
        <f>I17-J8+MAX(0,-J7)</f>
        <v>633.4090368</v>
      </c>
      <c r="K17" s="23">
        <f>J17-K8+MAX(0,-K7)</f>
        <v>574.7552959999999</v>
      </c>
      <c r="L17" s="23">
        <f>K17-L8+MAX(0,-L7)</f>
        <v>504.7735551999999</v>
      </c>
      <c r="M17" s="23">
        <f>L17-M8+MAX(0,-M7)</f>
        <v>434.7918143999999</v>
      </c>
      <c r="N17" s="23">
        <f>M17-N8+MAX(0,-N7)</f>
        <v>364.8100735999999</v>
      </c>
      <c r="O17" s="23">
        <f>N17-O8+MAX(0,-O7)</f>
        <v>294.8283327999999</v>
      </c>
      <c r="P17" s="23">
        <f>O17-P8+MAX(0,-P7)</f>
        <v>224.84659199999987</v>
      </c>
      <c r="Q17" s="23">
        <f>P17-Q8+MAX(0,-Q7)</f>
        <v>154.86485119999986</v>
      </c>
      <c r="R17" s="23">
        <f>Q17-R8+MAX(0,-R7)</f>
        <v>84.88311039999986</v>
      </c>
      <c r="S17" s="23">
        <f>R17-S8+MAX(0,-S7)</f>
        <v>14.901369599999867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228.13066153777064</v>
      </c>
    </row>
    <row r="20">
      <c r="A20" s="14" t="inlineStr">
        <is>
          <t>PV of corporate burn</t>
        </is>
      </c>
      <c r="B20" s="23">
        <f>SUMPRODUCT(C6:V6,C15:V15)</f>
        <v>-183.13054143698466</v>
      </c>
    </row>
    <row r="21">
      <c r="A21" s="14" t="inlineStr">
        <is>
          <t>PV of taxes</t>
        </is>
      </c>
      <c r="B21" s="23">
        <f>-SUMPRODUCT(C10:V10,C15:V15)</f>
        <v>-0.93472815002363</v>
      </c>
    </row>
    <row r="22">
      <c r="A22" s="24" t="inlineStr">
        <is>
          <t>Pipeline rNPV (operations)</t>
        </is>
      </c>
      <c r="B22" s="54">
        <f>SUM(C16:V16)</f>
        <v>44.06539195076236</v>
      </c>
    </row>
    <row r="23">
      <c r="A23" s="14" t="inlineStr">
        <is>
          <t>Cash &amp; investments</t>
        </is>
      </c>
      <c r="B23" s="57">
        <f>Main!C7</f>
        <v>103.99257300399482</v>
      </c>
    </row>
    <row r="24">
      <c r="A24" s="14" t="inlineStr">
        <is>
          <t>Debt</t>
        </is>
      </c>
      <c r="B24" s="57">
        <f>Main!C8</f>
        <v>5.482473414730208</v>
      </c>
    </row>
    <row r="25">
      <c r="A25" s="24" t="inlineStr">
        <is>
          <t>Equity value</t>
        </is>
      </c>
      <c r="B25" s="54">
        <f>B22+B23-B24</f>
        <v>142.57549154002697</v>
      </c>
    </row>
    <row r="26">
      <c r="A26" s="14" t="inlineStr">
        <is>
          <t>Shares (mm)</t>
        </is>
      </c>
      <c r="B26" s="57">
        <f>Main!C4</f>
        <v>105.361064</v>
      </c>
    </row>
    <row r="27">
      <c r="A27" s="24" t="inlineStr">
        <is>
          <t>rNPV / share</t>
        </is>
      </c>
      <c r="B27" s="60">
        <f>B25/B26</f>
        <v>1.35320853954196</v>
      </c>
    </row>
    <row r="28">
      <c r="A28" s="14" t="inlineStr">
        <is>
          <t>Price</t>
        </is>
      </c>
      <c r="B28" s="61">
        <f>Main!C3</f>
        <v>1.38</v>
      </c>
    </row>
    <row r="29">
      <c r="A29" s="14" t="inlineStr">
        <is>
          <t>Upside</t>
        </is>
      </c>
      <c r="B29" s="62">
        <f>B27/B28-1</f>
        <v>-0.01941410178118841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2026-10-21T06:27:18Z</dcterms:modified>
  <cp:lastModifiedBy>Wang, Eric</cp:lastModifiedBy>
</cp:coreProperties>
</file>