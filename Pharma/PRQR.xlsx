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ProQR Therapeutics NV</t>
        </is>
      </c>
      <c r="C2" s="10" t="n"/>
    </row>
    <row r="3">
      <c r="B3" t="inlineStr">
        <is>
          <t>Price</t>
        </is>
      </c>
      <c r="C3" s="11">
        <f>INDEX([1]Pharma!$F$1:$F$1000,MATCH("PRQR",[1]Pharma!$B$1:$B$1000,0))</f>
        <v>1.38</v>
      </c>
      <c r="F3" s="1" t="n"/>
    </row>
    <row r="4">
      <c r="B4" t="inlineStr">
        <is>
          <t>Shares</t>
        </is>
      </c>
      <c r="C4" s="21" t="n">
        <v>105.361064</v>
      </c>
      <c r="F4" s="1" t="n"/>
    </row>
    <row r="5">
      <c r="B5" t="inlineStr">
        <is>
          <t>Market Cap.</t>
        </is>
      </c>
      <c r="C5" s="13">
        <f>C3*C4</f>
        <v>145.39826832</v>
      </c>
      <c r="F5" s="1" t="n"/>
    </row>
    <row r="6"/>
    <row r="7">
      <c r="B7" t="inlineStr">
        <is>
          <t>Cash</t>
        </is>
      </c>
      <c r="C7" s="21">
        <f>(92.413)/0.88865</f>
        <v>103.99257300399482</v>
      </c>
    </row>
    <row r="8">
      <c r="B8" t="inlineStr">
        <is>
          <t>Debt</t>
        </is>
      </c>
      <c r="C8" s="21">
        <f>(4.872)/0.88865</f>
        <v>5.482473414730208</v>
      </c>
    </row>
    <row r="9">
      <c r="B9" t="inlineStr">
        <is>
          <t>Enterprise V.</t>
        </is>
      </c>
      <c r="C9" s="13">
        <f>C5-C7+C8</f>
        <v>46.88816873073539</v>
      </c>
    </row>
    <row r="10"/>
    <row r="11">
      <c r="B11" s="14" t="inlineStr">
        <is>
          <t>Net Cash / Share</t>
        </is>
      </c>
      <c r="C11" s="11">
        <f>(C7-C8)/C4</f>
        <v>0.9349763171456261</v>
      </c>
    </row>
    <row r="12">
      <c r="B12" s="14" t="inlineStr">
        <is>
          <t>Upside</t>
        </is>
      </c>
      <c r="C12" s="15">
        <f>IFERROR(C11/C3-1,"")</f>
        <v>-0.3224809296046187</v>
      </c>
    </row>
    <row r="13">
      <c r="B13" s="14" t="inlineStr">
        <is>
          <t>Cash / Share</t>
        </is>
      </c>
      <c r="C13" s="11">
        <f>IFERROR((C7-C8)/C4,"")</f>
        <v>0.9349763171456261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-59.406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1.6582516848342694</v>
      </c>
    </row>
    <row r="19">
      <c r="B19" s="14" t="inlineStr">
        <is>
          <t>Implied Pipeline Value</t>
        </is>
      </c>
      <c r="C19" s="13">
        <f>C9</f>
        <v>46.88816873073539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1.524</v>
      </c>
      <c r="I2" s="23" t="n">
        <v>4.044</v>
      </c>
      <c r="J2" s="23" t="n">
        <v>7.33</v>
      </c>
      <c r="K2" s="23" t="n">
        <v>21.274</v>
      </c>
      <c r="L2" s="23" t="n">
        <v>17.899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1.524</v>
      </c>
      <c r="I4" s="23">
        <f>I2-I3</f>
        <v>4.044</v>
      </c>
      <c r="J4" s="23">
        <f>J2-J3</f>
        <v>7.33</v>
      </c>
      <c r="K4" s="23">
        <f>K2-K3</f>
        <v>21.274</v>
      </c>
      <c r="L4" s="23">
        <f>L2-L3</f>
        <v>17.899</v>
      </c>
    </row>
    <row r="5">
      <c r="A5" s="2" t="inlineStr">
        <is>
          <t>Research &amp; Dev.</t>
        </is>
      </c>
      <c r="B5" s="23" t="n">
        <v>26.333</v>
      </c>
      <c r="C5" s="23" t="n">
        <v>35.923</v>
      </c>
      <c r="D5" s="23" t="n">
        <v>35.057</v>
      </c>
      <c r="E5" s="23" t="n">
        <v>33.212</v>
      </c>
      <c r="F5" s="23" t="n">
        <v>52.316</v>
      </c>
      <c r="G5" s="23" t="n">
        <v>42.913</v>
      </c>
      <c r="H5" s="23" t="n">
        <v>47.51</v>
      </c>
      <c r="I5" s="23" t="n">
        <v>57.241</v>
      </c>
      <c r="J5" s="23" t="n">
        <v>28.299</v>
      </c>
      <c r="K5" s="23" t="n">
        <v>40.911</v>
      </c>
      <c r="L5" s="23" t="n">
        <v>50.338</v>
      </c>
    </row>
    <row r="6">
      <c r="A6" s="19" t="inlineStr">
        <is>
          <t>SG&amp;A &amp; Other</t>
        </is>
      </c>
      <c r="B6" s="23" t="n">
        <v>4.053</v>
      </c>
      <c r="C6" s="23" t="n">
        <v>8.609</v>
      </c>
      <c r="D6" s="23" t="n">
        <v>10.516</v>
      </c>
      <c r="E6" s="23" t="n">
        <v>7.628</v>
      </c>
      <c r="F6" s="23" t="n">
        <v>12.327</v>
      </c>
      <c r="G6" s="23" t="n">
        <v>4.763</v>
      </c>
      <c r="H6" s="23" t="n">
        <v>18.392</v>
      </c>
      <c r="I6" s="23" t="n">
        <v>20.127</v>
      </c>
      <c r="J6" s="23" t="n">
        <v>14.882</v>
      </c>
      <c r="K6" s="23" t="n">
        <v>14.653</v>
      </c>
      <c r="L6" s="23" t="n">
        <v>16.451</v>
      </c>
    </row>
    <row r="7">
      <c r="A7" s="2" t="inlineStr">
        <is>
          <t>Operating Expense</t>
        </is>
      </c>
      <c r="B7" s="23">
        <f>SUM(B5:B6)</f>
        <v>30.386</v>
      </c>
      <c r="C7" s="23">
        <f>SUM(C5:C6)</f>
        <v>44.532000000000004</v>
      </c>
      <c r="D7" s="23">
        <f>SUM(D5:D6)</f>
        <v>45.573</v>
      </c>
      <c r="E7" s="23">
        <f>SUM(E5:E6)</f>
        <v>40.84</v>
      </c>
      <c r="F7" s="23">
        <f>SUM(F5:F6)</f>
        <v>64.643</v>
      </c>
      <c r="G7" s="23">
        <f>SUM(G5:G6)</f>
        <v>47.675999999999995</v>
      </c>
      <c r="H7" s="23">
        <f>SUM(H5:H6)</f>
        <v>65.902</v>
      </c>
      <c r="I7" s="23">
        <f>SUM(I5:I6)</f>
        <v>77.368</v>
      </c>
      <c r="J7" s="23">
        <f>SUM(J5:J6)</f>
        <v>43.181</v>
      </c>
      <c r="K7" s="23">
        <f>SUM(K5:K6)</f>
        <v>55.564</v>
      </c>
      <c r="L7" s="23">
        <f>SUM(L5:L6)</f>
        <v>66.789</v>
      </c>
    </row>
    <row r="8">
      <c r="A8" s="2" t="inlineStr">
        <is>
          <t>Operating Income</t>
        </is>
      </c>
      <c r="B8" s="23">
        <f>B4-B7</f>
        <v>-30.386</v>
      </c>
      <c r="C8" s="23">
        <f>C4-C7</f>
        <v>-44.532000000000004</v>
      </c>
      <c r="D8" s="23">
        <f>D4-D7</f>
        <v>-45.573</v>
      </c>
      <c r="E8" s="23">
        <f>E4-E7</f>
        <v>-40.84</v>
      </c>
      <c r="F8" s="23">
        <f>F4-F7</f>
        <v>-64.643</v>
      </c>
      <c r="G8" s="23">
        <f>G4-G7</f>
        <v>-47.675999999999995</v>
      </c>
      <c r="H8" s="23">
        <f>H4-H7</f>
        <v>-64.378</v>
      </c>
      <c r="I8" s="23">
        <f>I4-I7</f>
        <v>-73.324</v>
      </c>
      <c r="J8" s="23">
        <f>J4-J7</f>
        <v>-35.851</v>
      </c>
      <c r="K8" s="23">
        <f>K4-K7</f>
        <v>-34.29</v>
      </c>
      <c r="L8" s="23">
        <f>L4-L7</f>
        <v>-48.89</v>
      </c>
    </row>
    <row r="9">
      <c r="A9" s="19" t="inlineStr">
        <is>
          <t>Interest &amp; Other</t>
        </is>
      </c>
      <c r="B9" s="23" t="n">
        <v>6.944</v>
      </c>
      <c r="C9" s="23" t="n">
        <v>0.529</v>
      </c>
      <c r="D9" s="23" t="n">
        <v>-3.53</v>
      </c>
      <c r="E9" s="23" t="n">
        <v>-0.675</v>
      </c>
      <c r="F9" s="23" t="n">
        <v>1.234</v>
      </c>
      <c r="G9" s="23" t="n">
        <v>-4.583</v>
      </c>
      <c r="H9" s="23" t="n">
        <v>-3.841</v>
      </c>
      <c r="I9" s="23" t="n">
        <v>0.9350000000000001</v>
      </c>
      <c r="J9" s="23" t="n">
        <v>4.121</v>
      </c>
      <c r="K9" s="23" t="n">
        <v>2.827</v>
      </c>
      <c r="L9" s="23" t="n">
        <v>1.442</v>
      </c>
    </row>
    <row r="10">
      <c r="A10" s="2" t="inlineStr">
        <is>
          <t>Pretax</t>
        </is>
      </c>
      <c r="B10" s="23">
        <f>B8+B9</f>
        <v>-23.442</v>
      </c>
      <c r="C10" s="23">
        <f>C8+C9</f>
        <v>-44.003</v>
      </c>
      <c r="D10" s="23">
        <f>D8+D9</f>
        <v>-49.103</v>
      </c>
      <c r="E10" s="23">
        <f>E8+E9</f>
        <v>-41.515</v>
      </c>
      <c r="F10" s="23">
        <f>F8+F9</f>
        <v>-63.409</v>
      </c>
      <c r="G10" s="23">
        <f>G8+G9</f>
        <v>-52.25899999999999</v>
      </c>
      <c r="H10" s="23">
        <f>H8+H9</f>
        <v>-68.219</v>
      </c>
      <c r="I10" s="23">
        <f>I8+I9</f>
        <v>-72.389</v>
      </c>
      <c r="J10" s="23">
        <f>J8+J9</f>
        <v>-31.729999999999997</v>
      </c>
      <c r="K10" s="23">
        <f>K8+K9</f>
        <v>-31.463</v>
      </c>
      <c r="L10" s="23">
        <f>L8+L9</f>
        <v>-47.448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0.002</v>
      </c>
      <c r="E11" s="23" t="n">
        <v>0.001</v>
      </c>
      <c r="F11" s="23" t="n">
        <v>0.149</v>
      </c>
      <c r="G11" s="23" t="n">
        <v>0.14</v>
      </c>
      <c r="H11" s="23" t="n">
        <v>0.132</v>
      </c>
      <c r="I11" s="23" t="n">
        <v>0.108</v>
      </c>
      <c r="J11" s="23" t="n">
        <v>-0.08799999999999999</v>
      </c>
      <c r="K11" s="23" t="n">
        <v>-0.222</v>
      </c>
      <c r="L11" s="23" t="n">
        <v>0.021</v>
      </c>
    </row>
    <row r="12">
      <c r="A12" s="2" t="inlineStr">
        <is>
          <t>Net Income</t>
        </is>
      </c>
      <c r="B12" s="23" t="n">
        <v>-23.442</v>
      </c>
      <c r="C12" s="23" t="n">
        <v>-44.003</v>
      </c>
      <c r="D12" s="23" t="n">
        <v>-49.105</v>
      </c>
      <c r="E12" s="23" t="n">
        <v>-41.517</v>
      </c>
      <c r="F12" s="23" t="n">
        <v>-63.557</v>
      </c>
      <c r="G12" s="23" t="n">
        <v>-52.4</v>
      </c>
      <c r="H12" s="23" t="n">
        <v>-68.351</v>
      </c>
      <c r="I12" s="23" t="n">
        <v>-72.496</v>
      </c>
      <c r="J12" s="23" t="n">
        <v>-31.642</v>
      </c>
      <c r="K12" s="23" t="n">
        <v>-31.242</v>
      </c>
      <c r="L12" s="23" t="n">
        <v>-47.47</v>
      </c>
    </row>
    <row r="13">
      <c r="A13" s="2" t="inlineStr">
        <is>
          <t>Earnings per Share</t>
        </is>
      </c>
      <c r="B13" s="11">
        <f>IFERROR(B12/B14,0)</f>
        <v>-1.0042411001156664</v>
      </c>
      <c r="C13" s="11">
        <f>IFERROR(C12/C14,0)</f>
        <v>-1.8847389386216644</v>
      </c>
      <c r="D13" s="11">
        <f>IFERROR(D12/D14,0)</f>
        <v>-1.9351724137931032</v>
      </c>
      <c r="E13" s="11">
        <f>IFERROR(E12/E14,0)</f>
        <v>-1.2191877367632808</v>
      </c>
      <c r="F13" s="11">
        <f>IFERROR(F12/F14,0)</f>
        <v>-1.548773058459439</v>
      </c>
      <c r="G13" s="11">
        <f>IFERROR(G12/G14,0)</f>
        <v>-1.0467229979425101</v>
      </c>
      <c r="H13" s="11">
        <f>IFERROR(H12/H14,0)</f>
        <v>-1.064955906640491</v>
      </c>
      <c r="I13" s="11">
        <f>IFERROR(I12/I14,0)</f>
        <v>-1.0119345067768455</v>
      </c>
      <c r="J13" s="11">
        <f>IFERROR(J12/J14,0)</f>
        <v>-0.39058893236720943</v>
      </c>
      <c r="K13" s="11">
        <f>IFERROR(K12/K14,0)</f>
        <v>-0.36291615361382806</v>
      </c>
      <c r="L13" s="11">
        <f>IFERROR(L12/L14,0)</f>
        <v>-0.45066170467275524</v>
      </c>
    </row>
    <row r="14">
      <c r="A14" s="2" t="inlineStr">
        <is>
          <t>Shares</t>
        </is>
      </c>
      <c r="B14" s="23" t="n">
        <v>23.343</v>
      </c>
      <c r="C14" s="23" t="n">
        <v>23.347</v>
      </c>
      <c r="D14" s="23" t="n">
        <v>25.375</v>
      </c>
      <c r="E14" s="23" t="n">
        <v>34.053</v>
      </c>
      <c r="F14" s="23" t="n">
        <v>41.037</v>
      </c>
      <c r="G14" s="23" t="n">
        <v>50.061</v>
      </c>
      <c r="H14" s="23" t="n">
        <v>64.182</v>
      </c>
      <c r="I14" s="23" t="n">
        <v>71.64100000000001</v>
      </c>
      <c r="J14" s="23" t="n">
        <v>81.011</v>
      </c>
      <c r="K14" s="23" t="n">
        <v>86.086</v>
      </c>
      <c r="L14" s="23" t="n">
        <v>105.334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1.653543307086614</v>
      </c>
      <c r="J16" s="15">
        <f>IFERROR(J2/I2-1,"")</f>
        <v>0.8125618199802178</v>
      </c>
      <c r="K16" s="15">
        <f>IFERROR(K2/J2-1,"")</f>
        <v>1.9023192360163712</v>
      </c>
      <c r="L16" s="15">
        <f>IFERROR(L2/K2-1,"")</f>
        <v>-0.15864435461126258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-42.24278215223097</v>
      </c>
      <c r="I18" s="15">
        <f>IFERROR(I8/I2,"")</f>
        <v>-18.13155291790307</v>
      </c>
      <c r="J18" s="15">
        <f>IFERROR(J8/J2,"")</f>
        <v>-4.890995907230559</v>
      </c>
      <c r="K18" s="15">
        <f>IFERROR(K8/K2,"")</f>
        <v>-1.6118266428504275</v>
      </c>
      <c r="L18" s="15">
        <f>IFERROR(L8/L2,"")</f>
        <v>-2.7314375104754456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2026-10-21T01:05:45Z</dcterms:modified>
  <cp:lastModifiedBy>Wang, Eric</cp:lastModifiedBy>
</cp:coreProperties>
</file>