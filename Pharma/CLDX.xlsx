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Celldex Therapeutics, Inc.</t>
        </is>
      </c>
      <c r="C2" s="10" t="n"/>
    </row>
    <row r="3">
      <c r="B3" t="inlineStr">
        <is>
          <t>Price</t>
        </is>
      </c>
      <c r="C3" s="11">
        <f>INDEX([1]Pharma!$F$1:$F$1000,MATCH("CLDX",[1]Pharma!$B$1:$B$1000,0))</f>
        <v>30.29</v>
      </c>
      <c r="F3" s="1" t="n"/>
    </row>
    <row r="4">
      <c r="B4" t="inlineStr">
        <is>
          <t>Shares</t>
        </is>
      </c>
      <c r="C4" s="21" t="n">
        <v>78.529532</v>
      </c>
      <c r="F4" s="1" t="n"/>
    </row>
    <row r="5">
      <c r="B5" t="inlineStr">
        <is>
          <t>Market Cap.</t>
        </is>
      </c>
      <c r="C5" s="13">
        <f>C3*C4</f>
        <v>2378.65952428</v>
      </c>
      <c r="F5" s="1" t="n"/>
    </row>
    <row r="6"/>
    <row r="7">
      <c r="B7" t="inlineStr">
        <is>
          <t>Cash</t>
        </is>
      </c>
      <c r="C7" s="21">
        <f>47.454+670.133</f>
        <v>717.587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1661.07252428</v>
      </c>
    </row>
    <row r="10"/>
    <row r="11">
      <c r="B11" s="14" t="inlineStr">
        <is>
          <t>rNPV / Share</t>
        </is>
      </c>
      <c r="C11" s="11">
        <f>NPV!B27</f>
        <v>21.88935766592821</v>
      </c>
    </row>
    <row r="12">
      <c r="B12" s="14" t="inlineStr">
        <is>
          <t>Upside</t>
        </is>
      </c>
      <c r="C12" s="15">
        <f>IFERROR(C11/C3-1,"")</f>
        <v>-0.27734045341933944</v>
      </c>
    </row>
    <row r="13">
      <c r="B13" s="14" t="inlineStr">
        <is>
          <t>Cash / Share</t>
        </is>
      </c>
      <c r="C13" s="11">
        <f>IFERROR((C7-C8)/C4,"")</f>
        <v>9.137797994262845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-235.566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3.0462248372006147</v>
      </c>
    </row>
    <row r="19">
      <c r="B19" s="14" t="inlineStr">
        <is>
          <t>Implied Pipeline Value</t>
        </is>
      </c>
      <c r="C19" s="13">
        <f>C9</f>
        <v>1661.07252428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15.18</v>
      </c>
      <c r="C2" s="23" t="n">
        <v>46.793</v>
      </c>
      <c r="D2" s="23" t="n">
        <v>9.265000000000001</v>
      </c>
      <c r="E2" s="23" t="n">
        <v>11.202</v>
      </c>
      <c r="F2" s="23" t="n">
        <v>4.111</v>
      </c>
      <c r="G2" s="23" t="n">
        <v>3.586</v>
      </c>
      <c r="H2" s="23" t="n">
        <v>5.48</v>
      </c>
      <c r="I2" s="23" t="n">
        <v>6.786</v>
      </c>
      <c r="J2" s="23" t="n">
        <v>12.743</v>
      </c>
      <c r="K2" s="23" t="n">
        <v>9.538</v>
      </c>
      <c r="L2" s="23" t="n">
        <v>3.573</v>
      </c>
      <c r="M2" s="23" t="n">
        <v>7.418</v>
      </c>
      <c r="N2" s="23" t="n">
        <v>4.651</v>
      </c>
      <c r="O2" s="23" t="n">
        <v>2.357</v>
      </c>
      <c r="P2" s="23" t="n">
        <v>6.883</v>
      </c>
      <c r="Q2" s="23" t="n">
        <v>7.02</v>
      </c>
      <c r="R2" s="23" t="n">
        <v>1.545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1.6</v>
      </c>
      <c r="J3" s="23" t="n">
        <v>0.7</v>
      </c>
      <c r="K3" s="23" t="n">
        <v>0.7</v>
      </c>
      <c r="L3" s="23" t="n">
        <v>0.1</v>
      </c>
      <c r="M3" s="23" t="n">
        <v>0.2</v>
      </c>
      <c r="N3" s="23" t="n">
        <v>0.1</v>
      </c>
      <c r="O3" s="23" t="n">
        <v>0.1</v>
      </c>
      <c r="P3" s="23" t="n">
        <v>0.3</v>
      </c>
      <c r="Q3" s="23" t="n">
        <v>0.2</v>
      </c>
      <c r="R3" s="23" t="n">
        <v>0.2</v>
      </c>
    </row>
    <row r="4" customFormat="1" s="1">
      <c r="A4" s="5" t="inlineStr">
        <is>
          <t>Gross Margin</t>
        </is>
      </c>
      <c r="B4" s="23">
        <f>B2-B3</f>
        <v>15.18</v>
      </c>
      <c r="C4" s="23">
        <f>C2-C3</f>
        <v>46.793</v>
      </c>
      <c r="D4" s="23">
        <f>D2-D3</f>
        <v>9.265</v>
      </c>
      <c r="E4" s="23">
        <f>E2-E3</f>
        <v>11.202</v>
      </c>
      <c r="F4" s="23">
        <f>F2-F3</f>
        <v>4.111</v>
      </c>
      <c r="G4" s="23">
        <f>G2-G3</f>
        <v>3.586</v>
      </c>
      <c r="H4" s="23">
        <f>H2-H3</f>
        <v>5.48</v>
      </c>
      <c r="I4" s="23">
        <f>I2-I3</f>
        <v>5.186</v>
      </c>
      <c r="J4" s="23">
        <f>J2-J3</f>
        <v>12.043000000000001</v>
      </c>
      <c r="K4" s="23">
        <f>K2-K3</f>
        <v>8.838000000000001</v>
      </c>
      <c r="L4" s="23">
        <f>L2-L3</f>
        <v>3.473</v>
      </c>
      <c r="M4" s="23">
        <f>M2-M3</f>
        <v>7.218</v>
      </c>
      <c r="N4" s="23">
        <f>N2-N3</f>
        <v>4.551</v>
      </c>
      <c r="O4" s="23">
        <f>O2-O3</f>
        <v>2.257</v>
      </c>
      <c r="P4" s="23">
        <f>P2-P3</f>
        <v>6.583</v>
      </c>
      <c r="Q4" s="23">
        <f>Q2-Q3</f>
        <v>6.819999999999999</v>
      </c>
      <c r="R4" s="23">
        <f>R2-R3</f>
        <v>1.345</v>
      </c>
    </row>
    <row r="5">
      <c r="A5" s="2" t="inlineStr">
        <is>
          <t>Research &amp; Dev.</t>
        </is>
      </c>
      <c r="B5" s="23" t="n">
        <v>26.169</v>
      </c>
      <c r="C5" s="23" t="n">
        <v>27.65</v>
      </c>
      <c r="D5" s="23" t="n">
        <v>32.439</v>
      </c>
      <c r="E5" s="23" t="n">
        <v>47.398</v>
      </c>
      <c r="F5" s="23" t="n">
        <v>67.401</v>
      </c>
      <c r="G5" s="23" t="n">
        <v>104.381</v>
      </c>
      <c r="H5" s="23" t="n">
        <v>100.171</v>
      </c>
      <c r="I5" s="23" t="n">
        <v>102.726</v>
      </c>
      <c r="J5" s="23" t="n">
        <v>96.17100000000001</v>
      </c>
      <c r="K5" s="23" t="n">
        <v>66.449</v>
      </c>
      <c r="L5" s="23" t="n">
        <v>42.672</v>
      </c>
      <c r="M5" s="23" t="n">
        <v>42.534</v>
      </c>
      <c r="N5" s="23" t="n">
        <v>53.311</v>
      </c>
      <c r="O5" s="23" t="n">
        <v>82.258</v>
      </c>
      <c r="P5" s="23" t="n">
        <v>118.011</v>
      </c>
      <c r="Q5" s="23" t="n">
        <v>163.55</v>
      </c>
      <c r="R5" s="23" t="n">
        <v>245.074</v>
      </c>
    </row>
    <row r="6">
      <c r="A6" s="19" t="inlineStr">
        <is>
          <t>SG&amp;A &amp; Other</t>
        </is>
      </c>
      <c r="B6" s="23" t="n">
        <v>25.861</v>
      </c>
      <c r="C6" s="23" t="n">
        <v>25.598</v>
      </c>
      <c r="D6" s="23" t="n">
        <v>20.225</v>
      </c>
      <c r="E6" s="23" t="n">
        <v>21.881</v>
      </c>
      <c r="F6" s="23" t="n">
        <v>18.152</v>
      </c>
      <c r="G6" s="23" t="n">
        <v>21.635</v>
      </c>
      <c r="H6" s="23" t="n">
        <v>34.85</v>
      </c>
      <c r="I6" s="23" t="n">
        <v>35.376</v>
      </c>
      <c r="J6" s="23" t="n">
        <v>37.399</v>
      </c>
      <c r="K6" s="23" t="n">
        <v>98.825</v>
      </c>
      <c r="L6" s="23" t="n">
        <v>15.832</v>
      </c>
      <c r="M6" s="23" t="n">
        <v>28.038</v>
      </c>
      <c r="N6" s="23" t="n">
        <v>22.483</v>
      </c>
      <c r="O6" s="23" t="n">
        <v>35.233</v>
      </c>
      <c r="P6" s="23" t="n">
        <v>43.114</v>
      </c>
      <c r="Q6" s="23" t="n">
        <v>38.348</v>
      </c>
      <c r="R6" s="23" t="n">
        <v>43.638</v>
      </c>
    </row>
    <row r="7">
      <c r="A7" s="2" t="inlineStr">
        <is>
          <t>Operating Expense</t>
        </is>
      </c>
      <c r="B7" s="23">
        <f>SUM(B5:B6)</f>
        <v>52.03</v>
      </c>
      <c r="C7" s="23">
        <f>SUM(C5:C6)</f>
        <v>53.248</v>
      </c>
      <c r="D7" s="23">
        <f>SUM(D5:D6)</f>
        <v>52.664</v>
      </c>
      <c r="E7" s="23">
        <f>SUM(E5:E6)</f>
        <v>69.279</v>
      </c>
      <c r="F7" s="23">
        <f>SUM(F5:F6)</f>
        <v>85.553</v>
      </c>
      <c r="G7" s="23">
        <f>SUM(G5:G6)</f>
        <v>126.016</v>
      </c>
      <c r="H7" s="23">
        <f>SUM(H5:H6)</f>
        <v>135.02100000000002</v>
      </c>
      <c r="I7" s="23">
        <f>SUM(I5:I6)</f>
        <v>138.102</v>
      </c>
      <c r="J7" s="23">
        <f>SUM(J5:J6)</f>
        <v>133.57</v>
      </c>
      <c r="K7" s="23">
        <f>SUM(K5:K6)</f>
        <v>165.274</v>
      </c>
      <c r="L7" s="23">
        <f>SUM(L5:L6)</f>
        <v>58.504</v>
      </c>
      <c r="M7" s="23">
        <f>SUM(M5:M6)</f>
        <v>70.572</v>
      </c>
      <c r="N7" s="23">
        <f>SUM(N5:N6)</f>
        <v>75.794</v>
      </c>
      <c r="O7" s="23">
        <f>SUM(O5:O6)</f>
        <v>117.49099999999999</v>
      </c>
      <c r="P7" s="23">
        <f>SUM(P5:P6)</f>
        <v>161.125</v>
      </c>
      <c r="Q7" s="23">
        <f>SUM(Q5:Q6)</f>
        <v>201.89800000000002</v>
      </c>
      <c r="R7" s="23">
        <f>SUM(R5:R6)</f>
        <v>288.712</v>
      </c>
    </row>
    <row r="8">
      <c r="A8" s="2" t="inlineStr">
        <is>
          <t>Operating Income</t>
        </is>
      </c>
      <c r="B8" s="23">
        <f>B4-B7</f>
        <v>-36.85</v>
      </c>
      <c r="C8" s="23">
        <f>C4-C7</f>
        <v>-6.454999999999998</v>
      </c>
      <c r="D8" s="23">
        <f>D4-D7</f>
        <v>-43.399</v>
      </c>
      <c r="E8" s="23">
        <f>E4-E7</f>
        <v>-58.077</v>
      </c>
      <c r="F8" s="23">
        <f>F4-F7</f>
        <v>-81.442</v>
      </c>
      <c r="G8" s="23">
        <f>G4-G7</f>
        <v>-122.43</v>
      </c>
      <c r="H8" s="23">
        <f>H4-H7</f>
        <v>-129.54100000000003</v>
      </c>
      <c r="I8" s="23">
        <f>I4-I7</f>
        <v>-132.916</v>
      </c>
      <c r="J8" s="23">
        <f>J4-J7</f>
        <v>-121.52699999999999</v>
      </c>
      <c r="K8" s="23">
        <f>K4-K7</f>
        <v>-156.436</v>
      </c>
      <c r="L8" s="23">
        <f>L4-L7</f>
        <v>-55.031</v>
      </c>
      <c r="M8" s="23">
        <f>M4-M7</f>
        <v>-63.354</v>
      </c>
      <c r="N8" s="23">
        <f>N4-N7</f>
        <v>-71.243</v>
      </c>
      <c r="O8" s="23">
        <f>O4-O7</f>
        <v>-115.23399999999998</v>
      </c>
      <c r="P8" s="23">
        <f>P4-P7</f>
        <v>-154.542</v>
      </c>
      <c r="Q8" s="23">
        <f>Q4-Q7</f>
        <v>-195.07800000000003</v>
      </c>
      <c r="R8" s="23">
        <f>R4-R7</f>
        <v>-287.36699999999996</v>
      </c>
    </row>
    <row r="9">
      <c r="A9" s="19" t="inlineStr">
        <is>
          <t>Interest &amp; Other</t>
        </is>
      </c>
      <c r="B9" s="23" t="n">
        <v>-0.204</v>
      </c>
      <c r="C9" s="23" t="n">
        <v>3.922</v>
      </c>
      <c r="D9" s="23" t="n">
        <v>-1.4</v>
      </c>
      <c r="E9" s="23" t="n">
        <v>-1.046</v>
      </c>
      <c r="F9" s="23" t="n">
        <v>-0.108</v>
      </c>
      <c r="G9" s="23" t="n">
        <v>4.35</v>
      </c>
      <c r="H9" s="23" t="n">
        <v>2.344</v>
      </c>
      <c r="I9" s="23" t="n">
        <v>4.386</v>
      </c>
      <c r="J9" s="23" t="n">
        <v>4.214</v>
      </c>
      <c r="K9" s="23" t="n">
        <v>4.487</v>
      </c>
      <c r="L9" s="23" t="n">
        <v>4.153</v>
      </c>
      <c r="M9" s="23" t="n">
        <v>2.407</v>
      </c>
      <c r="N9" s="23" t="n">
        <v>0.505</v>
      </c>
      <c r="O9" s="23" t="n">
        <v>2.909</v>
      </c>
      <c r="P9" s="23" t="n">
        <v>13.113</v>
      </c>
      <c r="Q9" s="23" t="n">
        <v>37.215</v>
      </c>
      <c r="R9" s="23" t="n">
        <v>28.61</v>
      </c>
    </row>
    <row r="10">
      <c r="A10" s="2" t="inlineStr">
        <is>
          <t>Pretax</t>
        </is>
      </c>
      <c r="B10" s="23">
        <f>B8+B9</f>
        <v>-37.054</v>
      </c>
      <c r="C10" s="23">
        <f>C8+C9</f>
        <v>-2.532999999999998</v>
      </c>
      <c r="D10" s="23">
        <f>D8+D9</f>
        <v>-44.799</v>
      </c>
      <c r="E10" s="23">
        <f>E8+E9</f>
        <v>-59.123</v>
      </c>
      <c r="F10" s="23">
        <f>F8+F9</f>
        <v>-81.55</v>
      </c>
      <c r="G10" s="23">
        <f>G8+G9</f>
        <v>-118.08000000000001</v>
      </c>
      <c r="H10" s="23">
        <f>H8+H9</f>
        <v>-127.19700000000003</v>
      </c>
      <c r="I10" s="23">
        <f>I8+I9</f>
        <v>-128.53</v>
      </c>
      <c r="J10" s="23">
        <f>J8+J9</f>
        <v>-117.31299999999999</v>
      </c>
      <c r="K10" s="23">
        <f>K8+K9</f>
        <v>-151.949</v>
      </c>
      <c r="L10" s="23">
        <f>L8+L9</f>
        <v>-50.878</v>
      </c>
      <c r="M10" s="23">
        <f>M8+M9</f>
        <v>-60.947</v>
      </c>
      <c r="N10" s="23">
        <f>N8+N9</f>
        <v>-70.738</v>
      </c>
      <c r="O10" s="23">
        <f>O8+O9</f>
        <v>-112.32499999999997</v>
      </c>
      <c r="P10" s="23">
        <f>P8+P9</f>
        <v>-141.429</v>
      </c>
      <c r="Q10" s="23">
        <f>Q8+Q9</f>
        <v>-157.86300000000003</v>
      </c>
      <c r="R10" s="23">
        <f>R8+R9</f>
        <v>-258.75699999999995</v>
      </c>
    </row>
    <row r="11">
      <c r="A11" s="2" t="inlineStr">
        <is>
          <t>Taxes</t>
        </is>
      </c>
      <c r="B11" s="23" t="n">
        <v>-0.529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-24.282</v>
      </c>
      <c r="K11" s="23" t="n">
        <v>-0.765</v>
      </c>
      <c r="L11" s="23" t="n">
        <v>0</v>
      </c>
      <c r="M11" s="23" t="n">
        <v>-1.167</v>
      </c>
      <c r="N11" s="23" t="n">
        <v>-0.227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-36.525</v>
      </c>
      <c r="C12" s="23" t="n">
        <v>-2.533</v>
      </c>
      <c r="D12" s="23" t="n">
        <v>-44.799</v>
      </c>
      <c r="E12" s="23" t="n">
        <v>-59.123</v>
      </c>
      <c r="F12" s="23" t="n">
        <v>-81.55</v>
      </c>
      <c r="G12" s="23" t="n">
        <v>-118.08</v>
      </c>
      <c r="H12" s="23" t="n">
        <v>-127.197</v>
      </c>
      <c r="I12" s="23" t="n">
        <v>-128.53</v>
      </c>
      <c r="J12" s="23" t="n">
        <v>-93.03100000000001</v>
      </c>
      <c r="K12" s="23" t="n">
        <v>-151.184</v>
      </c>
      <c r="L12" s="23" t="n">
        <v>-50.878</v>
      </c>
      <c r="M12" s="23" t="n">
        <v>-59.78</v>
      </c>
      <c r="N12" s="23" t="n">
        <v>-70.511</v>
      </c>
      <c r="O12" s="23" t="n">
        <v>-112.325</v>
      </c>
      <c r="P12" s="23" t="n">
        <v>-141.429</v>
      </c>
      <c r="Q12" s="23" t="n">
        <v>-157.863</v>
      </c>
      <c r="R12" s="23" t="n">
        <v>-258.757</v>
      </c>
    </row>
    <row r="13">
      <c r="A13" s="2" t="inlineStr">
        <is>
          <t>Earnings per Share</t>
        </is>
      </c>
      <c r="B13" s="11">
        <f>IFERROR(B12/B14,0)</f>
        <v>-1.0461419487884516</v>
      </c>
      <c r="C13" s="11">
        <f>IFERROR(C12/C14,0)</f>
        <v>-0.04512899087799316</v>
      </c>
      <c r="D13" s="11">
        <f>IFERROR(D12/D14,0)</f>
        <v>-0.643922842522854</v>
      </c>
      <c r="E13" s="11">
        <f>IFERROR(E12/E14,0)</f>
        <v>-0.5816444986620494</v>
      </c>
      <c r="F13" s="11">
        <f>IFERROR(F12/F14,0)</f>
        <v>-0.5803898682646663</v>
      </c>
      <c r="G13" s="11">
        <f>IFERROR(G12/G14,0)</f>
        <v>-0.7499285510145756</v>
      </c>
      <c r="H13" s="11">
        <f>IFERROR(H12/H14,0)</f>
        <v>-0.7441336664073058</v>
      </c>
      <c r="I13" s="11">
        <f>IFERROR(I12/I14,0)</f>
        <v>-10.780909243415534</v>
      </c>
      <c r="J13" s="11">
        <f>IFERROR(J12/J14,0)</f>
        <v>-6.163442427454618</v>
      </c>
      <c r="K13" s="11">
        <f>IFERROR(K12/K14,0)</f>
        <v>-10.01284853301543</v>
      </c>
      <c r="L13" s="11">
        <f>IFERROR(L12/L14,0)</f>
        <v>-2.425418315297707</v>
      </c>
      <c r="M13" s="11">
        <f>IFERROR(M12/M14,0)</f>
        <v>-1.3948062250635807</v>
      </c>
      <c r="N13" s="11">
        <f>IFERROR(N12/N14,0)</f>
        <v>-1.644763237695358</v>
      </c>
      <c r="O13" s="11">
        <f>IFERROR(O12/O14,0)</f>
        <v>-2.3956022862992663</v>
      </c>
      <c r="P13" s="11">
        <f>IFERROR(P12/P14,0)</f>
        <v>-2.919131457821627</v>
      </c>
      <c r="Q13" s="11">
        <f>IFERROR(Q12/Q14,0)</f>
        <v>-2.451479152108083</v>
      </c>
      <c r="R13" s="11">
        <f>IFERROR(R12/R14,0)</f>
        <v>-3.8956520429978023</v>
      </c>
    </row>
    <row r="14">
      <c r="A14" s="2" t="inlineStr">
        <is>
          <t>Shares</t>
        </is>
      </c>
      <c r="B14" s="23" t="n">
        <v>34.914</v>
      </c>
      <c r="C14" s="23" t="n">
        <v>56.128</v>
      </c>
      <c r="D14" s="23" t="n">
        <v>69.572</v>
      </c>
      <c r="E14" s="23" t="n">
        <v>101.648</v>
      </c>
      <c r="F14" s="23" t="n">
        <v>140.509</v>
      </c>
      <c r="G14" s="23" t="n">
        <v>157.455</v>
      </c>
      <c r="H14" s="23" t="n">
        <v>170.933</v>
      </c>
      <c r="I14" s="23" t="n">
        <v>11.922</v>
      </c>
      <c r="J14" s="23" t="n">
        <v>15.094</v>
      </c>
      <c r="K14" s="23" t="n">
        <v>15.099</v>
      </c>
      <c r="L14" s="23" t="n">
        <v>20.977</v>
      </c>
      <c r="M14" s="23" t="n">
        <v>42.859</v>
      </c>
      <c r="N14" s="23" t="n">
        <v>42.87</v>
      </c>
      <c r="O14" s="23" t="n">
        <v>46.888</v>
      </c>
      <c r="P14" s="23" t="n">
        <v>48.449</v>
      </c>
      <c r="Q14" s="23" t="n">
        <v>64.395</v>
      </c>
      <c r="R14" s="23" t="n">
        <v>66.422</v>
      </c>
    </row>
    <row r="15"/>
    <row r="16" customFormat="1" s="4">
      <c r="A16" s="3" t="inlineStr">
        <is>
          <t>Revenue Change</t>
        </is>
      </c>
      <c r="C16" s="15">
        <f>IFERROR(C2/B2-1,"")</f>
        <v>2.0825428194993414</v>
      </c>
      <c r="D16" s="15">
        <f>IFERROR(D2/C2-1,"")</f>
        <v>-0.8020002991900498</v>
      </c>
      <c r="E16" s="15">
        <f>IFERROR(E2/D2-1,"")</f>
        <v>0.20906637884511592</v>
      </c>
      <c r="F16" s="15">
        <f>IFERROR(F2/E2-1,"")</f>
        <v>-0.6330119621496162</v>
      </c>
      <c r="G16" s="15">
        <f>IFERROR(G2/F2-1,"")</f>
        <v>-0.12770615422038434</v>
      </c>
      <c r="H16" s="15">
        <f>IFERROR(H2/G2-1,"")</f>
        <v>0.5281650864472953</v>
      </c>
      <c r="I16" s="15">
        <f>IFERROR(I2/H2-1,"")</f>
        <v>0.23832116788321156</v>
      </c>
      <c r="J16" s="15">
        <f>IFERROR(J2/I2-1,"")</f>
        <v>0.8778367226643091</v>
      </c>
      <c r="K16" s="15">
        <f>IFERROR(K2/J2-1,"")</f>
        <v>-0.25151063328886447</v>
      </c>
      <c r="L16" s="15">
        <f>IFERROR(L2/K2-1,"")</f>
        <v>-0.6253931641853638</v>
      </c>
      <c r="M16" s="15">
        <f>IFERROR(M2/L2-1,"")</f>
        <v>1.0761265043380912</v>
      </c>
      <c r="N16" s="15">
        <f>IFERROR(N2/M2-1,"")</f>
        <v>-0.37301159342140744</v>
      </c>
      <c r="O16" s="15">
        <f>IFERROR(O2/N2-1,"")</f>
        <v>-0.4932272629542034</v>
      </c>
      <c r="P16" s="15">
        <f>IFERROR(P2/O2-1,"")</f>
        <v>1.920237590156979</v>
      </c>
      <c r="Q16" s="15">
        <f>IFERROR(Q2/P2-1,"")</f>
        <v>0.019904111579253092</v>
      </c>
      <c r="R16" s="15">
        <f>IFERROR(R2/Q2-1,"")</f>
        <v>-0.7799145299145299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0.7642204538756263</v>
      </c>
      <c r="J17" s="15">
        <f>IFERROR(J4/J2,"")</f>
        <v>0.9450678804049283</v>
      </c>
      <c r="K17" s="15">
        <f>IFERROR(K4/K2,"")</f>
        <v>0.9266093520654226</v>
      </c>
      <c r="L17" s="15">
        <f>IFERROR(L4/L2,"")</f>
        <v>0.9720123145815841</v>
      </c>
      <c r="M17" s="15">
        <f>IFERROR(M4/M2,"")</f>
        <v>0.9730385548665408</v>
      </c>
      <c r="N17" s="15">
        <f>IFERROR(N4/N2,"")</f>
        <v>0.9784992474736617</v>
      </c>
      <c r="O17" s="15">
        <f>IFERROR(O4/O2,"")</f>
        <v>0.9575731862537123</v>
      </c>
      <c r="P17" s="15">
        <f>IFERROR(P4/P2,"")</f>
        <v>0.9564143542060148</v>
      </c>
      <c r="Q17" s="15">
        <f>IFERROR(Q4/Q2,"")</f>
        <v>0.9715099715099715</v>
      </c>
      <c r="R17" s="15">
        <f>IFERROR(R4/R2,"")</f>
        <v>0.8705501618122977</v>
      </c>
    </row>
    <row r="18">
      <c r="A18" s="14" t="inlineStr">
        <is>
          <t>Operating Margin</t>
        </is>
      </c>
      <c r="B18" s="15">
        <f>IFERROR(B8/B2,"")</f>
        <v>-2.427536231884058</v>
      </c>
      <c r="C18" s="15">
        <f>IFERROR(C8/C2,"")</f>
        <v>-0.13794798367277153</v>
      </c>
      <c r="D18" s="15">
        <f>IFERROR(D8/D2,"")</f>
        <v>-4.684187803561792</v>
      </c>
      <c r="E18" s="15">
        <f>IFERROR(E8/E2,"")</f>
        <v>-5.184520621317621</v>
      </c>
      <c r="F18" s="15">
        <f>IFERROR(F8/F2,"")</f>
        <v>-19.810751641936267</v>
      </c>
      <c r="G18" s="15">
        <f>IFERROR(G8/G2,"")</f>
        <v>-34.14110429447853</v>
      </c>
      <c r="H18" s="15">
        <f>IFERROR(H8/H2,"")</f>
        <v>-23.63886861313869</v>
      </c>
      <c r="I18" s="15">
        <f>IFERROR(I8/I2,"")</f>
        <v>-19.586796345417035</v>
      </c>
      <c r="J18" s="15">
        <f>IFERROR(J8/J2,"")</f>
        <v>-9.536765282900415</v>
      </c>
      <c r="K18" s="15">
        <f>IFERROR(K8/K2,"")</f>
        <v>-16.401342000419376</v>
      </c>
      <c r="L18" s="15">
        <f>IFERROR(L8/L2,"")</f>
        <v>-15.401903162608452</v>
      </c>
      <c r="M18" s="15">
        <f>IFERROR(M8/M2,"")</f>
        <v>-8.540576974925855</v>
      </c>
      <c r="N18" s="15">
        <f>IFERROR(N8/N2,"")</f>
        <v>-15.317781122339282</v>
      </c>
      <c r="O18" s="15">
        <f>IFERROR(O8/O2,"")</f>
        <v>-48.8901145523971</v>
      </c>
      <c r="P18" s="15">
        <f>IFERROR(P8/P2,"")</f>
        <v>-22.452709574313527</v>
      </c>
      <c r="Q18" s="15">
        <f>IFERROR(Q8/Q2,"")</f>
        <v>-27.788888888888895</v>
      </c>
      <c r="R18" s="15">
        <f>IFERROR(R8/R2,"")</f>
        <v>-185.99805825242717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Celldex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1-PRODUCT(Pipeline!AG4:AG8)</f>
        <v>0.7524719356325986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325.828</v>
      </c>
    </row>
    <row r="19">
      <c r="A19" s="14" t="inlineStr">
        <is>
          <t>Years of full burn (until the first launch, max 4)</t>
        </is>
      </c>
      <c r="B19" s="39">
        <f>MIN(4,MAX(1,MIN(Pipeline!I4:I8)-2026))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1694.1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1001.3740132859546</v>
      </c>
      <c r="C29" s="42">
        <f>NPV!B25</f>
        <v>1718.9610132859546</v>
      </c>
      <c r="D29" s="43">
        <f>NPV!B27</f>
        <v>21.88935766592821</v>
      </c>
      <c r="E29" s="44">
        <f>NPV!B29</f>
        <v>-0.27734045341933944</v>
      </c>
    </row>
    <row r="30">
      <c r="A30" s="45" t="n">
        <v>1</v>
      </c>
      <c r="B30" s="46">
        <f t="dataTable" ref="B30:E32" r1="B4"/>
        <v>-80.87193311148276</v>
      </c>
      <c r="C30" s="46">
        <v>636.7150668885172</v>
      </c>
      <c r="D30" s="47">
        <v>8.107969711172062</v>
      </c>
      <c r="E30" s="48">
        <v>-0.7323218979474393</v>
      </c>
    </row>
    <row r="31">
      <c r="A31" s="45" t="n">
        <v>2</v>
      </c>
      <c r="B31" s="46">
        <v>1001.3740132859546</v>
      </c>
      <c r="C31" s="46">
        <v>1718.9610132859546</v>
      </c>
      <c r="D31" s="47">
        <v>21.88935766592821</v>
      </c>
      <c r="E31" s="48">
        <v>-0.27734045341933944</v>
      </c>
    </row>
    <row r="32">
      <c r="A32" s="45" t="n">
        <v>3</v>
      </c>
      <c r="B32" s="46">
        <v>2682.8154206095674</v>
      </c>
      <c r="C32" s="46">
        <v>3400.4024206095673</v>
      </c>
      <c r="D32" s="47">
        <v>43.30093830954662</v>
      </c>
      <c r="E32" s="48">
        <v>0.42954566885264533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21.88935766592821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5.305220281377865</v>
      </c>
      <c r="C37" s="47">
        <v>9.669434710447895</v>
      </c>
      <c r="D37" s="47">
        <v>13.51305334760212</v>
      </c>
      <c r="E37" s="47">
        <v>20.90755960953435</v>
      </c>
      <c r="F37" s="47">
        <v>28.137063521623634</v>
      </c>
    </row>
    <row r="38">
      <c r="A38" s="50" t="n">
        <v>0.8</v>
      </c>
      <c r="B38" s="47">
        <v>7.334987976972023</v>
      </c>
      <c r="C38" s="47">
        <v>12.708625756704514</v>
      </c>
      <c r="D38" s="47">
        <v>17.68395569469403</v>
      </c>
      <c r="E38" s="47">
        <v>27.36970437619693</v>
      </c>
      <c r="F38" s="47">
        <v>36.904968577830445</v>
      </c>
    </row>
    <row r="39">
      <c r="A39" s="50" t="n">
        <v>1</v>
      </c>
      <c r="B39" s="47">
        <v>9.439171568297937</v>
      </c>
      <c r="C39" s="47">
        <v>15.775301588528768</v>
      </c>
      <c r="D39" s="47">
        <v>21.88935766592821</v>
      </c>
      <c r="E39" s="47">
        <v>33.8779573314369</v>
      </c>
      <c r="F39" s="47">
        <v>45.72920600932006</v>
      </c>
    </row>
    <row r="40">
      <c r="A40" s="50" t="n">
        <v>1.2</v>
      </c>
      <c r="B40" s="47">
        <v>11.422239332266463</v>
      </c>
      <c r="C40" s="47">
        <v>18.889924974441623</v>
      </c>
      <c r="D40" s="47">
        <v>26.148204360818607</v>
      </c>
      <c r="E40" s="47">
        <v>40.447788925608165</v>
      </c>
      <c r="F40" s="47">
        <v>54.60368890856888</v>
      </c>
    </row>
    <row r="41">
      <c r="A41" s="50" t="n">
        <v>1.4</v>
      </c>
      <c r="B41" s="47">
        <v>13.457912540489012</v>
      </c>
      <c r="C41" s="47">
        <v>22.056875775938533</v>
      </c>
      <c r="D41" s="47">
        <v>30.473951268252343</v>
      </c>
      <c r="E41" s="47">
        <v>47.07585979478446</v>
      </c>
      <c r="F41" s="47">
        <v>63.565976010073726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Celldex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Hidradenitis / alopecia / vitiligo</t>
        </is>
      </c>
      <c r="C4" s="14" t="inlineStr">
        <is>
          <t>barzolvolimab, CDX-0159</t>
        </is>
      </c>
      <c r="D4" s="14" t="inlineStr">
        <is>
          <t>Phase 3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1500</v>
      </c>
      <c r="H4" s="27" t="n">
        <v>0.6145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1322.2066861616704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92.17500000000001</v>
      </c>
      <c r="Q4" s="23">
        <f>IF(Q$3&lt;$I4,0,$G4*Assumptions!$E$11*INDEX(Assumptions!$B$24:$G$24,MIN(6,Q$3-$I4+1))*IF(Q$3&gt;$J4,(1-Assumptions!$B$26)^(Q$3-$J4),1)*IF($H4&gt;=1,1,MIN(0.97,$H4*Assumptions!$E$12)))</f>
        <v>230.43750000000003</v>
      </c>
      <c r="R4" s="23">
        <f>IF(R$3&lt;$I4,0,$G4*Assumptions!$E$11*INDEX(Assumptions!$B$24:$G$24,MIN(6,R$3-$I4+1))*IF(R$3&gt;$J4,(1-Assumptions!$B$26)^(R$3-$J4),1)*IF($H4&gt;=1,1,MIN(0.97,$H4*Assumptions!$E$12)))</f>
        <v>414.7875</v>
      </c>
      <c r="S4" s="23">
        <f>IF(S$3&lt;$I4,0,$G4*Assumptions!$E$11*INDEX(Assumptions!$B$24:$G$24,MIN(6,S$3-$I4+1))*IF(S$3&gt;$J4,(1-Assumptions!$B$26)^(S$3-$J4),1)*IF($H4&gt;=1,1,MIN(0.97,$H4*Assumptions!$E$12)))</f>
        <v>599.1375</v>
      </c>
      <c r="T4" s="23">
        <f>IF(T$3&lt;$I4,0,$G4*Assumptions!$E$11*INDEX(Assumptions!$B$24:$G$24,MIN(6,T$3-$I4+1))*IF(T$3&gt;$J4,(1-Assumptions!$B$26)^(T$3-$J4),1)*IF($H4&gt;=1,1,MIN(0.97,$H4*Assumptions!$E$12)))</f>
        <v>783.4875000000001</v>
      </c>
      <c r="U4" s="23">
        <f>IF(U$3&lt;$I4,0,$G4*Assumptions!$E$11*INDEX(Assumptions!$B$24:$G$24,MIN(6,U$3-$I4+1))*IF(U$3&gt;$J4,(1-Assumptions!$B$26)^(U$3-$J4),1)*IF($H4&gt;=1,1,MIN(0.97,$H4*Assumptions!$E$12)))</f>
        <v>921.7500000000001</v>
      </c>
      <c r="V4" s="23">
        <f>IF(V$3&lt;$I4,0,$G4*Assumptions!$E$11*INDEX(Assumptions!$B$24:$G$24,MIN(6,V$3-$I4+1))*IF(V$3&gt;$J4,(1-Assumptions!$B$26)^(V$3-$J4),1)*IF($H4&gt;=1,1,MIN(0.97,$H4*Assumptions!$E$12)))</f>
        <v>921.7500000000001</v>
      </c>
      <c r="W4" s="23">
        <f>IF(W$3&lt;$I4,0,$G4*Assumptions!$E$11*INDEX(Assumptions!$B$24:$G$24,MIN(6,W$3-$I4+1))*IF(W$3&gt;$J4,(1-Assumptions!$B$26)^(W$3-$J4),1)*IF($H4&gt;=1,1,MIN(0.97,$H4*Assumptions!$E$12)))</f>
        <v>921.7500000000001</v>
      </c>
      <c r="X4" s="23">
        <f>IF(X$3&lt;$I4,0,$G4*Assumptions!$E$11*INDEX(Assumptions!$B$24:$G$24,MIN(6,X$3-$I4+1))*IF(X$3&gt;$J4,(1-Assumptions!$B$26)^(X$3-$J4),1)*IF($H4&gt;=1,1,MIN(0.97,$H4*Assumptions!$E$12)))</f>
        <v>921.7500000000001</v>
      </c>
      <c r="Y4" s="23">
        <f>IF(Y$3&lt;$I4,0,$G4*Assumptions!$E$11*INDEX(Assumptions!$B$24:$G$24,MIN(6,Y$3-$I4+1))*IF(Y$3&gt;$J4,(1-Assumptions!$B$26)^(Y$3-$J4),1)*IF($H4&gt;=1,1,MIN(0.97,$H4*Assumptions!$E$12)))</f>
        <v>921.7500000000001</v>
      </c>
      <c r="Z4" s="23">
        <f>IF(Z$3&lt;$I4,0,$G4*Assumptions!$E$11*INDEX(Assumptions!$B$24:$G$24,MIN(6,Z$3-$I4+1))*IF(Z$3&gt;$J4,(1-Assumptions!$B$26)^(Z$3-$J4),1)*IF($H4&gt;=1,1,MIN(0.97,$H4*Assumptions!$E$12)))</f>
        <v>921.7500000000001</v>
      </c>
      <c r="AA4" s="23">
        <f>IF(AA$3&lt;$I4,0,$G4*Assumptions!$E$11*INDEX(Assumptions!$B$24:$G$24,MIN(6,AA$3-$I4+1))*IF(AA$3&gt;$J4,(1-Assumptions!$B$26)^(AA$3-$J4),1)*IF($H4&gt;=1,1,MIN(0.97,$H4*Assumptions!$E$12)))</f>
        <v>921.7500000000001</v>
      </c>
      <c r="AB4" s="23">
        <f>IF(AB$3&lt;$I4,0,$G4*Assumptions!$E$11*INDEX(Assumptions!$B$24:$G$24,MIN(6,AB$3-$I4+1))*IF(AB$3&gt;$J4,(1-Assumptions!$B$26)^(AB$3-$J4),1)*IF($H4&gt;=1,1,MIN(0.97,$H4*Assumptions!$E$12)))</f>
        <v>921.7500000000001</v>
      </c>
      <c r="AC4" s="23">
        <f>IF(AC$3&lt;$I4,0,$G4*Assumptions!$E$11*INDEX(Assumptions!$B$24:$G$24,MIN(6,AC$3-$I4+1))*IF(AC$3&gt;$J4,(1-Assumptions!$B$26)^(AC$3-$J4),1)*IF($H4&gt;=1,1,MIN(0.97,$H4*Assumptions!$E$12)))</f>
        <v>460.87500000000006</v>
      </c>
      <c r="AD4" s="23">
        <f>IF(AD$3&lt;$I4,0,$G4*Assumptions!$E$11*INDEX(Assumptions!$B$24:$G$24,MIN(6,AD$3-$I4+1))*IF(AD$3&gt;$J4,(1-Assumptions!$B$26)^(AD$3-$J4),1)*IF($H4&gt;=1,1,MIN(0.97,$H4*Assumptions!$E$12)))</f>
        <v>230.43750000000003</v>
      </c>
      <c r="AE4" s="23">
        <f>IF(AE$3&lt;$I4,0,$G4*Assumptions!$E$11*INDEX(Assumptions!$B$24:$G$24,MIN(6,AE$3-$I4+1))*IF(AE$3&gt;$J4,(1-Assumptions!$B$26)^(AE$3-$J4),1)*IF($H4&gt;=1,1,MIN(0.97,$H4*Assumptions!$E$12)))</f>
        <v>115.21875000000001</v>
      </c>
      <c r="AF4" s="23">
        <f>IF(AF$3&lt;$I4,0,$G4*Assumptions!$E$11*INDEX(Assumptions!$B$24:$G$24,MIN(6,AF$3-$I4+1))*IF(AF$3&gt;$J4,(1-Assumptions!$B$26)^(AF$3-$J4),1)*IF($H4&gt;=1,1,MIN(0.97,$H4*Assumptions!$E$12)))</f>
        <v>57.60937500000001</v>
      </c>
      <c r="AG4" s="35">
        <f>IF(F4="Owned",1-IF(H4&gt;=1,1,MIN(0.97,H4*Assumptions!$E$12)),1)</f>
        <v>0.38549999999999995</v>
      </c>
    </row>
    <row r="5">
      <c r="A5" s="39" t="n">
        <v>2</v>
      </c>
      <c r="B5" s="14" t="inlineStr">
        <is>
          <t>Atopic dermatitis</t>
        </is>
      </c>
      <c r="C5" s="14" t="inlineStr">
        <is>
          <t>Barzolvolimab</t>
        </is>
      </c>
      <c r="D5" s="14" t="inlineStr">
        <is>
          <t>Phase 2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3000</v>
      </c>
      <c r="H5" s="27" t="n">
        <v>0.1929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657.4280762551631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57.87</v>
      </c>
      <c r="S5" s="23">
        <f>IF(S$3&lt;$I5,0,$G5*Assumptions!$E$11*INDEX(Assumptions!$B$24:$G$24,MIN(6,S$3-$I5+1))*IF(S$3&gt;$J5,(1-Assumptions!$B$26)^(S$3-$J5),1)*IF($H5&gt;=1,1,MIN(0.97,$H5*Assumptions!$E$12)))</f>
        <v>144.67499999999998</v>
      </c>
      <c r="T5" s="23">
        <f>IF(T$3&lt;$I5,0,$G5*Assumptions!$E$11*INDEX(Assumptions!$B$24:$G$24,MIN(6,T$3-$I5+1))*IF(T$3&gt;$J5,(1-Assumptions!$B$26)^(T$3-$J5),1)*IF($H5&gt;=1,1,MIN(0.97,$H5*Assumptions!$E$12)))</f>
        <v>260.41499999999996</v>
      </c>
      <c r="U5" s="23">
        <f>IF(U$3&lt;$I5,0,$G5*Assumptions!$E$11*INDEX(Assumptions!$B$24:$G$24,MIN(6,U$3-$I5+1))*IF(U$3&gt;$J5,(1-Assumptions!$B$26)^(U$3-$J5),1)*IF($H5&gt;=1,1,MIN(0.97,$H5*Assumptions!$E$12)))</f>
        <v>376.155</v>
      </c>
      <c r="V5" s="23">
        <f>IF(V$3&lt;$I5,0,$G5*Assumptions!$E$11*INDEX(Assumptions!$B$24:$G$24,MIN(6,V$3-$I5+1))*IF(V$3&gt;$J5,(1-Assumptions!$B$26)^(V$3-$J5),1)*IF($H5&gt;=1,1,MIN(0.97,$H5*Assumptions!$E$12)))</f>
        <v>491.895</v>
      </c>
      <c r="W5" s="23">
        <f>IF(W$3&lt;$I5,0,$G5*Assumptions!$E$11*INDEX(Assumptions!$B$24:$G$24,MIN(6,W$3-$I5+1))*IF(W$3&gt;$J5,(1-Assumptions!$B$26)^(W$3-$J5),1)*IF($H5&gt;=1,1,MIN(0.97,$H5*Assumptions!$E$12)))</f>
        <v>578.6999999999999</v>
      </c>
      <c r="X5" s="23">
        <f>IF(X$3&lt;$I5,0,$G5*Assumptions!$E$11*INDEX(Assumptions!$B$24:$G$24,MIN(6,X$3-$I5+1))*IF(X$3&gt;$J5,(1-Assumptions!$B$26)^(X$3-$J5),1)*IF($H5&gt;=1,1,MIN(0.97,$H5*Assumptions!$E$12)))</f>
        <v>578.6999999999999</v>
      </c>
      <c r="Y5" s="23">
        <f>IF(Y$3&lt;$I5,0,$G5*Assumptions!$E$11*INDEX(Assumptions!$B$24:$G$24,MIN(6,Y$3-$I5+1))*IF(Y$3&gt;$J5,(1-Assumptions!$B$26)^(Y$3-$J5),1)*IF($H5&gt;=1,1,MIN(0.97,$H5*Assumptions!$E$12)))</f>
        <v>578.6999999999999</v>
      </c>
      <c r="Z5" s="23">
        <f>IF(Z$3&lt;$I5,0,$G5*Assumptions!$E$11*INDEX(Assumptions!$B$24:$G$24,MIN(6,Z$3-$I5+1))*IF(Z$3&gt;$J5,(1-Assumptions!$B$26)^(Z$3-$J5),1)*IF($H5&gt;=1,1,MIN(0.97,$H5*Assumptions!$E$12)))</f>
        <v>578.6999999999999</v>
      </c>
      <c r="AA5" s="23">
        <f>IF(AA$3&lt;$I5,0,$G5*Assumptions!$E$11*INDEX(Assumptions!$B$24:$G$24,MIN(6,AA$3-$I5+1))*IF(AA$3&gt;$J5,(1-Assumptions!$B$26)^(AA$3-$J5),1)*IF($H5&gt;=1,1,MIN(0.97,$H5*Assumptions!$E$12)))</f>
        <v>578.6999999999999</v>
      </c>
      <c r="AB5" s="23">
        <f>IF(AB$3&lt;$I5,0,$G5*Assumptions!$E$11*INDEX(Assumptions!$B$24:$G$24,MIN(6,AB$3-$I5+1))*IF(AB$3&gt;$J5,(1-Assumptions!$B$26)^(AB$3-$J5),1)*IF($H5&gt;=1,1,MIN(0.97,$H5*Assumptions!$E$12)))</f>
        <v>578.6999999999999</v>
      </c>
      <c r="AC5" s="23">
        <f>IF(AC$3&lt;$I5,0,$G5*Assumptions!$E$11*INDEX(Assumptions!$B$24:$G$24,MIN(6,AC$3-$I5+1))*IF(AC$3&gt;$J5,(1-Assumptions!$B$26)^(AC$3-$J5),1)*IF($H5&gt;=1,1,MIN(0.97,$H5*Assumptions!$E$12)))</f>
        <v>578.6999999999999</v>
      </c>
      <c r="AD5" s="23">
        <f>IF(AD$3&lt;$I5,0,$G5*Assumptions!$E$11*INDEX(Assumptions!$B$24:$G$24,MIN(6,AD$3-$I5+1))*IF(AD$3&gt;$J5,(1-Assumptions!$B$26)^(AD$3-$J5),1)*IF($H5&gt;=1,1,MIN(0.97,$H5*Assumptions!$E$12)))</f>
        <v>578.6999999999999</v>
      </c>
      <c r="AE5" s="23">
        <f>IF(AE$3&lt;$I5,0,$G5*Assumptions!$E$11*INDEX(Assumptions!$B$24:$G$24,MIN(6,AE$3-$I5+1))*IF(AE$3&gt;$J5,(1-Assumptions!$B$26)^(AE$3-$J5),1)*IF($H5&gt;=1,1,MIN(0.97,$H5*Assumptions!$E$12)))</f>
        <v>289.34999999999997</v>
      </c>
      <c r="AF5" s="23">
        <f>IF(AF$3&lt;$I5,0,$G5*Assumptions!$E$11*INDEX(Assumptions!$B$24:$G$24,MIN(6,AF$3-$I5+1))*IF(AF$3&gt;$J5,(1-Assumptions!$B$26)^(AF$3-$J5),1)*IF($H5&gt;=1,1,MIN(0.97,$H5*Assumptions!$E$12)))</f>
        <v>144.67499999999998</v>
      </c>
      <c r="AG5" s="35">
        <f>IF(F5="Owned",1-IF(H5&gt;=1,1,MIN(0.97,H5*Assumptions!$E$12)),1)</f>
        <v>0.8071</v>
      </c>
    </row>
    <row r="6">
      <c r="A6" s="39" t="n">
        <v>3</v>
      </c>
      <c r="B6" s="14" t="inlineStr">
        <is>
          <t>Gastric / esophageal cancer</t>
        </is>
      </c>
      <c r="C6" s="14" t="inlineStr">
        <is>
          <t>barzolvolimab</t>
        </is>
      </c>
      <c r="D6" s="14" t="inlineStr">
        <is>
          <t>Phase 2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1200</v>
      </c>
      <c r="H6" s="27" t="n">
        <v>0.108</v>
      </c>
      <c r="I6" s="26" t="n">
        <v>2031</v>
      </c>
      <c r="J6" s="39">
        <f>I6+Assumptions!$B$25</f>
        <v>2043.0</v>
      </c>
      <c r="K6" s="53">
        <f>Assumptions!$E$13</f>
        <v>0.4</v>
      </c>
      <c r="L6" s="23">
        <f>K6*SUMPRODUCT(M6:AF6,NPV!$C$15:$V$15)</f>
        <v>147.23117104314696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12.959999999999999</v>
      </c>
      <c r="S6" s="23">
        <f>IF(S$3&lt;$I6,0,$G6*Assumptions!$E$11*INDEX(Assumptions!$B$24:$G$24,MIN(6,S$3-$I6+1))*IF(S$3&gt;$J6,(1-Assumptions!$B$26)^(S$3-$J6),1)*IF($H6&gt;=1,1,MIN(0.97,$H6*Assumptions!$E$12)))</f>
        <v>32.4</v>
      </c>
      <c r="T6" s="23">
        <f>IF(T$3&lt;$I6,0,$G6*Assumptions!$E$11*INDEX(Assumptions!$B$24:$G$24,MIN(6,T$3-$I6+1))*IF(T$3&gt;$J6,(1-Assumptions!$B$26)^(T$3-$J6),1)*IF($H6&gt;=1,1,MIN(0.97,$H6*Assumptions!$E$12)))</f>
        <v>58.32</v>
      </c>
      <c r="U6" s="23">
        <f>IF(U$3&lt;$I6,0,$G6*Assumptions!$E$11*INDEX(Assumptions!$B$24:$G$24,MIN(6,U$3-$I6+1))*IF(U$3&gt;$J6,(1-Assumptions!$B$26)^(U$3-$J6),1)*IF($H6&gt;=1,1,MIN(0.97,$H6*Assumptions!$E$12)))</f>
        <v>84.24</v>
      </c>
      <c r="V6" s="23">
        <f>IF(V$3&lt;$I6,0,$G6*Assumptions!$E$11*INDEX(Assumptions!$B$24:$G$24,MIN(6,V$3-$I6+1))*IF(V$3&gt;$J6,(1-Assumptions!$B$26)^(V$3-$J6),1)*IF($H6&gt;=1,1,MIN(0.97,$H6*Assumptions!$E$12)))</f>
        <v>110.16</v>
      </c>
      <c r="W6" s="23">
        <f>IF(W$3&lt;$I6,0,$G6*Assumptions!$E$11*INDEX(Assumptions!$B$24:$G$24,MIN(6,W$3-$I6+1))*IF(W$3&gt;$J6,(1-Assumptions!$B$26)^(W$3-$J6),1)*IF($H6&gt;=1,1,MIN(0.97,$H6*Assumptions!$E$12)))</f>
        <v>129.6</v>
      </c>
      <c r="X6" s="23">
        <f>IF(X$3&lt;$I6,0,$G6*Assumptions!$E$11*INDEX(Assumptions!$B$24:$G$24,MIN(6,X$3-$I6+1))*IF(X$3&gt;$J6,(1-Assumptions!$B$26)^(X$3-$J6),1)*IF($H6&gt;=1,1,MIN(0.97,$H6*Assumptions!$E$12)))</f>
        <v>129.6</v>
      </c>
      <c r="Y6" s="23">
        <f>IF(Y$3&lt;$I6,0,$G6*Assumptions!$E$11*INDEX(Assumptions!$B$24:$G$24,MIN(6,Y$3-$I6+1))*IF(Y$3&gt;$J6,(1-Assumptions!$B$26)^(Y$3-$J6),1)*IF($H6&gt;=1,1,MIN(0.97,$H6*Assumptions!$E$12)))</f>
        <v>129.6</v>
      </c>
      <c r="Z6" s="23">
        <f>IF(Z$3&lt;$I6,0,$G6*Assumptions!$E$11*INDEX(Assumptions!$B$24:$G$24,MIN(6,Z$3-$I6+1))*IF(Z$3&gt;$J6,(1-Assumptions!$B$26)^(Z$3-$J6),1)*IF($H6&gt;=1,1,MIN(0.97,$H6*Assumptions!$E$12)))</f>
        <v>129.6</v>
      </c>
      <c r="AA6" s="23">
        <f>IF(AA$3&lt;$I6,0,$G6*Assumptions!$E$11*INDEX(Assumptions!$B$24:$G$24,MIN(6,AA$3-$I6+1))*IF(AA$3&gt;$J6,(1-Assumptions!$B$26)^(AA$3-$J6),1)*IF($H6&gt;=1,1,MIN(0.97,$H6*Assumptions!$E$12)))</f>
        <v>129.6</v>
      </c>
      <c r="AB6" s="23">
        <f>IF(AB$3&lt;$I6,0,$G6*Assumptions!$E$11*INDEX(Assumptions!$B$24:$G$24,MIN(6,AB$3-$I6+1))*IF(AB$3&gt;$J6,(1-Assumptions!$B$26)^(AB$3-$J6),1)*IF($H6&gt;=1,1,MIN(0.97,$H6*Assumptions!$E$12)))</f>
        <v>129.6</v>
      </c>
      <c r="AC6" s="23">
        <f>IF(AC$3&lt;$I6,0,$G6*Assumptions!$E$11*INDEX(Assumptions!$B$24:$G$24,MIN(6,AC$3-$I6+1))*IF(AC$3&gt;$J6,(1-Assumptions!$B$26)^(AC$3-$J6),1)*IF($H6&gt;=1,1,MIN(0.97,$H6*Assumptions!$E$12)))</f>
        <v>129.6</v>
      </c>
      <c r="AD6" s="23">
        <f>IF(AD$3&lt;$I6,0,$G6*Assumptions!$E$11*INDEX(Assumptions!$B$24:$G$24,MIN(6,AD$3-$I6+1))*IF(AD$3&gt;$J6,(1-Assumptions!$B$26)^(AD$3-$J6),1)*IF($H6&gt;=1,1,MIN(0.97,$H6*Assumptions!$E$12)))</f>
        <v>129.6</v>
      </c>
      <c r="AE6" s="23">
        <f>IF(AE$3&lt;$I6,0,$G6*Assumptions!$E$11*INDEX(Assumptions!$B$24:$G$24,MIN(6,AE$3-$I6+1))*IF(AE$3&gt;$J6,(1-Assumptions!$B$26)^(AE$3-$J6),1)*IF($H6&gt;=1,1,MIN(0.97,$H6*Assumptions!$E$12)))</f>
        <v>64.8</v>
      </c>
      <c r="AF6" s="23">
        <f>IF(AF$3&lt;$I6,0,$G6*Assumptions!$E$11*INDEX(Assumptions!$B$24:$G$24,MIN(6,AF$3-$I6+1))*IF(AF$3&gt;$J6,(1-Assumptions!$B$26)^(AF$3-$J6),1)*IF($H6&gt;=1,1,MIN(0.97,$H6*Assumptions!$E$12)))</f>
        <v>32.4</v>
      </c>
      <c r="AG6" s="35">
        <f>IF(F6="Owned",1-IF(H6&gt;=1,1,MIN(0.97,H6*Assumptions!$E$12)),1)</f>
        <v>0.892</v>
      </c>
    </row>
    <row r="7">
      <c r="A7" s="39" t="n">
        <v>4</v>
      </c>
      <c r="B7" s="14" t="inlineStr">
        <is>
          <t>Asthma / COPD</t>
        </is>
      </c>
      <c r="C7" s="14" t="inlineStr">
        <is>
          <t>CDX-622</t>
        </is>
      </c>
      <c r="D7" s="14" t="inlineStr">
        <is>
          <t>Phase 1</t>
        </is>
      </c>
      <c r="E7" s="14" t="inlineStr">
        <is>
          <t>Respiratory / chronic</t>
        </is>
      </c>
      <c r="F7" s="14" t="inlineStr">
        <is>
          <t>Owned</t>
        </is>
      </c>
      <c r="G7" s="40" t="n">
        <v>2500</v>
      </c>
      <c r="H7" s="27" t="n">
        <v>0.0585</v>
      </c>
      <c r="I7" s="26" t="n">
        <v>2033</v>
      </c>
      <c r="J7" s="39">
        <f>I7+Assumptions!$B$25</f>
        <v>2045.0</v>
      </c>
      <c r="K7" s="53">
        <f>Assumptions!$E$13</f>
        <v>0.4</v>
      </c>
      <c r="L7" s="23">
        <f>K7*SUMPRODUCT(M7:AF7,NPV!$C$15:$V$15)</f>
        <v>128.06690283127455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0</v>
      </c>
      <c r="T7" s="23">
        <f>IF(T$3&lt;$I7,0,$G7*Assumptions!$E$11*INDEX(Assumptions!$B$24:$G$24,MIN(6,T$3-$I7+1))*IF(T$3&gt;$J7,(1-Assumptions!$B$26)^(T$3-$J7),1)*IF($H7&gt;=1,1,MIN(0.97,$H7*Assumptions!$E$12)))</f>
        <v>14.625</v>
      </c>
      <c r="U7" s="23">
        <f>IF(U$3&lt;$I7,0,$G7*Assumptions!$E$11*INDEX(Assumptions!$B$24:$G$24,MIN(6,U$3-$I7+1))*IF(U$3&gt;$J7,(1-Assumptions!$B$26)^(U$3-$J7),1)*IF($H7&gt;=1,1,MIN(0.97,$H7*Assumptions!$E$12)))</f>
        <v>36.5625</v>
      </c>
      <c r="V7" s="23">
        <f>IF(V$3&lt;$I7,0,$G7*Assumptions!$E$11*INDEX(Assumptions!$B$24:$G$24,MIN(6,V$3-$I7+1))*IF(V$3&gt;$J7,(1-Assumptions!$B$26)^(V$3-$J7),1)*IF($H7&gt;=1,1,MIN(0.97,$H7*Assumptions!$E$12)))</f>
        <v>65.8125</v>
      </c>
      <c r="W7" s="23">
        <f>IF(W$3&lt;$I7,0,$G7*Assumptions!$E$11*INDEX(Assumptions!$B$24:$G$24,MIN(6,W$3-$I7+1))*IF(W$3&gt;$J7,(1-Assumptions!$B$26)^(W$3-$J7),1)*IF($H7&gt;=1,1,MIN(0.97,$H7*Assumptions!$E$12)))</f>
        <v>95.0625</v>
      </c>
      <c r="X7" s="23">
        <f>IF(X$3&lt;$I7,0,$G7*Assumptions!$E$11*INDEX(Assumptions!$B$24:$G$24,MIN(6,X$3-$I7+1))*IF(X$3&gt;$J7,(1-Assumptions!$B$26)^(X$3-$J7),1)*IF($H7&gt;=1,1,MIN(0.97,$H7*Assumptions!$E$12)))</f>
        <v>124.31250000000001</v>
      </c>
      <c r="Y7" s="23">
        <f>IF(Y$3&lt;$I7,0,$G7*Assumptions!$E$11*INDEX(Assumptions!$B$24:$G$24,MIN(6,Y$3-$I7+1))*IF(Y$3&gt;$J7,(1-Assumptions!$B$26)^(Y$3-$J7),1)*IF($H7&gt;=1,1,MIN(0.97,$H7*Assumptions!$E$12)))</f>
        <v>146.25</v>
      </c>
      <c r="Z7" s="23">
        <f>IF(Z$3&lt;$I7,0,$G7*Assumptions!$E$11*INDEX(Assumptions!$B$24:$G$24,MIN(6,Z$3-$I7+1))*IF(Z$3&gt;$J7,(1-Assumptions!$B$26)^(Z$3-$J7),1)*IF($H7&gt;=1,1,MIN(0.97,$H7*Assumptions!$E$12)))</f>
        <v>146.25</v>
      </c>
      <c r="AA7" s="23">
        <f>IF(AA$3&lt;$I7,0,$G7*Assumptions!$E$11*INDEX(Assumptions!$B$24:$G$24,MIN(6,AA$3-$I7+1))*IF(AA$3&gt;$J7,(1-Assumptions!$B$26)^(AA$3-$J7),1)*IF($H7&gt;=1,1,MIN(0.97,$H7*Assumptions!$E$12)))</f>
        <v>146.25</v>
      </c>
      <c r="AB7" s="23">
        <f>IF(AB$3&lt;$I7,0,$G7*Assumptions!$E$11*INDEX(Assumptions!$B$24:$G$24,MIN(6,AB$3-$I7+1))*IF(AB$3&gt;$J7,(1-Assumptions!$B$26)^(AB$3-$J7),1)*IF($H7&gt;=1,1,MIN(0.97,$H7*Assumptions!$E$12)))</f>
        <v>146.25</v>
      </c>
      <c r="AC7" s="23">
        <f>IF(AC$3&lt;$I7,0,$G7*Assumptions!$E$11*INDEX(Assumptions!$B$24:$G$24,MIN(6,AC$3-$I7+1))*IF(AC$3&gt;$J7,(1-Assumptions!$B$26)^(AC$3-$J7),1)*IF($H7&gt;=1,1,MIN(0.97,$H7*Assumptions!$E$12)))</f>
        <v>146.25</v>
      </c>
      <c r="AD7" s="23">
        <f>IF(AD$3&lt;$I7,0,$G7*Assumptions!$E$11*INDEX(Assumptions!$B$24:$G$24,MIN(6,AD$3-$I7+1))*IF(AD$3&gt;$J7,(1-Assumptions!$B$26)^(AD$3-$J7),1)*IF($H7&gt;=1,1,MIN(0.97,$H7*Assumptions!$E$12)))</f>
        <v>146.25</v>
      </c>
      <c r="AE7" s="23">
        <f>IF(AE$3&lt;$I7,0,$G7*Assumptions!$E$11*INDEX(Assumptions!$B$24:$G$24,MIN(6,AE$3-$I7+1))*IF(AE$3&gt;$J7,(1-Assumptions!$B$26)^(AE$3-$J7),1)*IF($H7&gt;=1,1,MIN(0.97,$H7*Assumptions!$E$12)))</f>
        <v>146.25</v>
      </c>
      <c r="AF7" s="23">
        <f>IF(AF$3&lt;$I7,0,$G7*Assumptions!$E$11*INDEX(Assumptions!$B$24:$G$24,MIN(6,AF$3-$I7+1))*IF(AF$3&gt;$J7,(1-Assumptions!$B$26)^(AF$3-$J7),1)*IF($H7&gt;=1,1,MIN(0.97,$H7*Assumptions!$E$12)))</f>
        <v>146.25</v>
      </c>
      <c r="AG7" s="35">
        <f>IF(F7="Owned",1-IF(H7&gt;=1,1,MIN(0.97,H7*Assumptions!$E$12)),1)</f>
        <v>0.9415</v>
      </c>
    </row>
    <row r="8">
      <c r="A8" s="39" t="n">
        <v>5</v>
      </c>
      <c r="B8" s="14" t="inlineStr">
        <is>
          <t>Ovarian cancer</t>
        </is>
      </c>
      <c r="C8" s="14" t="inlineStr">
        <is>
          <t>CDX-585, CDX-527</t>
        </is>
      </c>
      <c r="D8" s="14" t="inlineStr">
        <is>
          <t>Phase 1</t>
        </is>
      </c>
      <c r="E8" s="14" t="inlineStr">
        <is>
          <t>Oncology / area</t>
        </is>
      </c>
      <c r="F8" s="14" t="inlineStr">
        <is>
          <t>Owned</t>
        </is>
      </c>
      <c r="G8" s="40" t="n">
        <v>1200</v>
      </c>
      <c r="H8" s="27" t="n">
        <v>0.0527</v>
      </c>
      <c r="I8" s="26" t="n">
        <v>2033</v>
      </c>
      <c r="J8" s="39">
        <f>I8+Assumptions!$B$25</f>
        <v>2045.0</v>
      </c>
      <c r="K8" s="53">
        <f>Assumptions!$E$13</f>
        <v>0.4</v>
      </c>
      <c r="L8" s="23">
        <f>K8*SUMPRODUCT(M8:AF8,NPV!$C$15:$V$15)</f>
        <v>55.3774422909388</v>
      </c>
      <c r="M8" s="23">
        <f>IF(M$3&lt;$I8,0,$G8*Assumptions!$E$11*INDEX(Assumptions!$B$24:$G$24,MIN(6,M$3-$I8+1))*IF(M$3&gt;$J8,(1-Assumptions!$B$26)^(M$3-$J8),1)*IF($H8&gt;=1,1,MIN(0.97,$H8*Assumptions!$E$12)))</f>
        <v>0</v>
      </c>
      <c r="N8" s="23">
        <f>IF(N$3&lt;$I8,0,$G8*Assumptions!$E$11*INDEX(Assumptions!$B$24:$G$24,MIN(6,N$3-$I8+1))*IF(N$3&gt;$J8,(1-Assumptions!$B$26)^(N$3-$J8),1)*IF($H8&gt;=1,1,MIN(0.97,$H8*Assumptions!$E$12)))</f>
        <v>0</v>
      </c>
      <c r="O8" s="23">
        <f>IF(O$3&lt;$I8,0,$G8*Assumptions!$E$11*INDEX(Assumptions!$B$24:$G$24,MIN(6,O$3-$I8+1))*IF(O$3&gt;$J8,(1-Assumptions!$B$26)^(O$3-$J8),1)*IF($H8&gt;=1,1,MIN(0.97,$H8*Assumptions!$E$12)))</f>
        <v>0</v>
      </c>
      <c r="P8" s="23">
        <f>IF(P$3&lt;$I8,0,$G8*Assumptions!$E$11*INDEX(Assumptions!$B$24:$G$24,MIN(6,P$3-$I8+1))*IF(P$3&gt;$J8,(1-Assumptions!$B$26)^(P$3-$J8),1)*IF($H8&gt;=1,1,MIN(0.97,$H8*Assumptions!$E$12)))</f>
        <v>0</v>
      </c>
      <c r="Q8" s="23">
        <f>IF(Q$3&lt;$I8,0,$G8*Assumptions!$E$11*INDEX(Assumptions!$B$24:$G$24,MIN(6,Q$3-$I8+1))*IF(Q$3&gt;$J8,(1-Assumptions!$B$26)^(Q$3-$J8),1)*IF($H8&gt;=1,1,MIN(0.97,$H8*Assumptions!$E$12)))</f>
        <v>0</v>
      </c>
      <c r="R8" s="23">
        <f>IF(R$3&lt;$I8,0,$G8*Assumptions!$E$11*INDEX(Assumptions!$B$24:$G$24,MIN(6,R$3-$I8+1))*IF(R$3&gt;$J8,(1-Assumptions!$B$26)^(R$3-$J8),1)*IF($H8&gt;=1,1,MIN(0.97,$H8*Assumptions!$E$12)))</f>
        <v>0</v>
      </c>
      <c r="S8" s="23">
        <f>IF(S$3&lt;$I8,0,$G8*Assumptions!$E$11*INDEX(Assumptions!$B$24:$G$24,MIN(6,S$3-$I8+1))*IF(S$3&gt;$J8,(1-Assumptions!$B$26)^(S$3-$J8),1)*IF($H8&gt;=1,1,MIN(0.97,$H8*Assumptions!$E$12)))</f>
        <v>0</v>
      </c>
      <c r="T8" s="23">
        <f>IF(T$3&lt;$I8,0,$G8*Assumptions!$E$11*INDEX(Assumptions!$B$24:$G$24,MIN(6,T$3-$I8+1))*IF(T$3&gt;$J8,(1-Assumptions!$B$26)^(T$3-$J8),1)*IF($H8&gt;=1,1,MIN(0.97,$H8*Assumptions!$E$12)))</f>
        <v>6.324</v>
      </c>
      <c r="U8" s="23">
        <f>IF(U$3&lt;$I8,0,$G8*Assumptions!$E$11*INDEX(Assumptions!$B$24:$G$24,MIN(6,U$3-$I8+1))*IF(U$3&gt;$J8,(1-Assumptions!$B$26)^(U$3-$J8),1)*IF($H8&gt;=1,1,MIN(0.97,$H8*Assumptions!$E$12)))</f>
        <v>15.809999999999999</v>
      </c>
      <c r="V8" s="23">
        <f>IF(V$3&lt;$I8,0,$G8*Assumptions!$E$11*INDEX(Assumptions!$B$24:$G$24,MIN(6,V$3-$I8+1))*IF(V$3&gt;$J8,(1-Assumptions!$B$26)^(V$3-$J8),1)*IF($H8&gt;=1,1,MIN(0.97,$H8*Assumptions!$E$12)))</f>
        <v>28.458</v>
      </c>
      <c r="W8" s="23">
        <f>IF(W$3&lt;$I8,0,$G8*Assumptions!$E$11*INDEX(Assumptions!$B$24:$G$24,MIN(6,W$3-$I8+1))*IF(W$3&gt;$J8,(1-Assumptions!$B$26)^(W$3-$J8),1)*IF($H8&gt;=1,1,MIN(0.97,$H8*Assumptions!$E$12)))</f>
        <v>41.105999999999995</v>
      </c>
      <c r="X8" s="23">
        <f>IF(X$3&lt;$I8,0,$G8*Assumptions!$E$11*INDEX(Assumptions!$B$24:$G$24,MIN(6,X$3-$I8+1))*IF(X$3&gt;$J8,(1-Assumptions!$B$26)^(X$3-$J8),1)*IF($H8&gt;=1,1,MIN(0.97,$H8*Assumptions!$E$12)))</f>
        <v>53.754</v>
      </c>
      <c r="Y8" s="23">
        <f>IF(Y$3&lt;$I8,0,$G8*Assumptions!$E$11*INDEX(Assumptions!$B$24:$G$24,MIN(6,Y$3-$I8+1))*IF(Y$3&gt;$J8,(1-Assumptions!$B$26)^(Y$3-$J8),1)*IF($H8&gt;=1,1,MIN(0.97,$H8*Assumptions!$E$12)))</f>
        <v>63.239999999999995</v>
      </c>
      <c r="Z8" s="23">
        <f>IF(Z$3&lt;$I8,0,$G8*Assumptions!$E$11*INDEX(Assumptions!$B$24:$G$24,MIN(6,Z$3-$I8+1))*IF(Z$3&gt;$J8,(1-Assumptions!$B$26)^(Z$3-$J8),1)*IF($H8&gt;=1,1,MIN(0.97,$H8*Assumptions!$E$12)))</f>
        <v>63.239999999999995</v>
      </c>
      <c r="AA8" s="23">
        <f>IF(AA$3&lt;$I8,0,$G8*Assumptions!$E$11*INDEX(Assumptions!$B$24:$G$24,MIN(6,AA$3-$I8+1))*IF(AA$3&gt;$J8,(1-Assumptions!$B$26)^(AA$3-$J8),1)*IF($H8&gt;=1,1,MIN(0.97,$H8*Assumptions!$E$12)))</f>
        <v>63.239999999999995</v>
      </c>
      <c r="AB8" s="23">
        <f>IF(AB$3&lt;$I8,0,$G8*Assumptions!$E$11*INDEX(Assumptions!$B$24:$G$24,MIN(6,AB$3-$I8+1))*IF(AB$3&gt;$J8,(1-Assumptions!$B$26)^(AB$3-$J8),1)*IF($H8&gt;=1,1,MIN(0.97,$H8*Assumptions!$E$12)))</f>
        <v>63.239999999999995</v>
      </c>
      <c r="AC8" s="23">
        <f>IF(AC$3&lt;$I8,0,$G8*Assumptions!$E$11*INDEX(Assumptions!$B$24:$G$24,MIN(6,AC$3-$I8+1))*IF(AC$3&gt;$J8,(1-Assumptions!$B$26)^(AC$3-$J8),1)*IF($H8&gt;=1,1,MIN(0.97,$H8*Assumptions!$E$12)))</f>
        <v>63.239999999999995</v>
      </c>
      <c r="AD8" s="23">
        <f>IF(AD$3&lt;$I8,0,$G8*Assumptions!$E$11*INDEX(Assumptions!$B$24:$G$24,MIN(6,AD$3-$I8+1))*IF(AD$3&gt;$J8,(1-Assumptions!$B$26)^(AD$3-$J8),1)*IF($H8&gt;=1,1,MIN(0.97,$H8*Assumptions!$E$12)))</f>
        <v>63.239999999999995</v>
      </c>
      <c r="AE8" s="23">
        <f>IF(AE$3&lt;$I8,0,$G8*Assumptions!$E$11*INDEX(Assumptions!$B$24:$G$24,MIN(6,AE$3-$I8+1))*IF(AE$3&gt;$J8,(1-Assumptions!$B$26)^(AE$3-$J8),1)*IF($H8&gt;=1,1,MIN(0.97,$H8*Assumptions!$E$12)))</f>
        <v>63.239999999999995</v>
      </c>
      <c r="AF8" s="23">
        <f>IF(AF$3&lt;$I8,0,$G8*Assumptions!$E$11*INDEX(Assumptions!$B$24:$G$24,MIN(6,AF$3-$I8+1))*IF(AF$3&gt;$J8,(1-Assumptions!$B$26)^(AF$3-$J8),1)*IF($H8&gt;=1,1,MIN(0.97,$H8*Assumptions!$E$12)))</f>
        <v>63.239999999999995</v>
      </c>
      <c r="AG8" s="35">
        <f>IF(F8="Owned",1-IF(H8&gt;=1,1,MIN(0.97,H8*Assumptions!$E$12)),1)</f>
        <v>0.9473</v>
      </c>
    </row>
    <row r="9">
      <c r="B9" s="24" t="inlineStr">
        <is>
          <t>Risked revenue</t>
        </is>
      </c>
      <c r="L9" s="54">
        <f>SUM(L4:L8)</f>
        <v>2310.3102785821934</v>
      </c>
      <c r="M9" s="54">
        <f>SUM(M4:M8)</f>
        <v>0.0</v>
      </c>
      <c r="N9" s="54">
        <f>SUM(N4:N8)</f>
        <v>0.0</v>
      </c>
      <c r="O9" s="54">
        <f>SUM(O4:O8)</f>
        <v>0.0</v>
      </c>
      <c r="P9" s="54">
        <f>SUM(P4:P8)</f>
        <v>92.17500000000001</v>
      </c>
      <c r="Q9" s="54">
        <f>SUM(Q4:Q8)</f>
        <v>230.43750000000003</v>
      </c>
      <c r="R9" s="54">
        <f>SUM(R4:R8)</f>
        <v>485.6175</v>
      </c>
      <c r="S9" s="54">
        <f>SUM(S4:S8)</f>
        <v>776.2125</v>
      </c>
      <c r="T9" s="54">
        <f>SUM(T4:T8)</f>
        <v>1123.1715000000002</v>
      </c>
      <c r="U9" s="54">
        <f>SUM(U4:U8)</f>
        <v>1434.5175000000002</v>
      </c>
      <c r="V9" s="54">
        <f>SUM(V4:V8)</f>
        <v>1618.0755000000001</v>
      </c>
      <c r="W9" s="54">
        <f>SUM(W4:W8)</f>
        <v>1766.2185</v>
      </c>
      <c r="X9" s="54">
        <f>SUM(X4:X8)</f>
        <v>1808.1164999999999</v>
      </c>
      <c r="Y9" s="54">
        <f>SUM(Y4:Y8)</f>
        <v>1839.54</v>
      </c>
      <c r="Z9" s="54">
        <f>SUM(Z4:Z8)</f>
        <v>1839.54</v>
      </c>
      <c r="AA9" s="54">
        <f>SUM(AA4:AA8)</f>
        <v>1839.54</v>
      </c>
      <c r="AB9" s="54">
        <f>SUM(AB4:AB8)</f>
        <v>1839.54</v>
      </c>
      <c r="AC9" s="54">
        <f>SUM(AC4:AC8)</f>
        <v>1378.665</v>
      </c>
      <c r="AD9" s="54">
        <f>SUM(AD4:AD8)</f>
        <v>1148.2275</v>
      </c>
      <c r="AE9" s="54">
        <f>SUM(AE4:AE8)</f>
        <v>678.85875</v>
      </c>
      <c r="AF9" s="54">
        <f>SUM(AF4:AF8)</f>
        <v>444.174375</v>
      </c>
    </row>
    <row r="10">
      <c r="B10" s="24" t="inlineStr">
        <is>
          <t>Risked contribution (revenue x share)</t>
        </is>
      </c>
      <c r="M10" s="55">
        <f>SUMPRODUCT(M4:M8,$K$4:$K$8)</f>
        <v>0.0</v>
      </c>
      <c r="N10" s="55">
        <f>SUMPRODUCT(N4:N8,$K$4:$K$8)</f>
        <v>0.0</v>
      </c>
      <c r="O10" s="55">
        <f>SUMPRODUCT(O4:O8,$K$4:$K$8)</f>
        <v>0.0</v>
      </c>
      <c r="P10" s="55">
        <f>SUMPRODUCT(P4:P8,$K$4:$K$8)</f>
        <v>36.870000000000005</v>
      </c>
      <c r="Q10" s="55">
        <f>SUMPRODUCT(Q4:Q8,$K$4:$K$8)</f>
        <v>92.17500000000001</v>
      </c>
      <c r="R10" s="55">
        <f>SUMPRODUCT(R4:R8,$K$4:$K$8)</f>
        <v>194.247</v>
      </c>
      <c r="S10" s="55">
        <f>SUMPRODUCT(S4:S8,$K$4:$K$8)</f>
        <v>310.485</v>
      </c>
      <c r="T10" s="55">
        <f>SUMPRODUCT(T4:T8,$K$4:$K$8)</f>
        <v>449.26860000000005</v>
      </c>
      <c r="U10" s="55">
        <f>SUMPRODUCT(U4:U8,$K$4:$K$8)</f>
        <v>573.807</v>
      </c>
      <c r="V10" s="55">
        <f>SUMPRODUCT(V4:V8,$K$4:$K$8)</f>
        <v>647.2302000000001</v>
      </c>
      <c r="W10" s="55">
        <f>SUMPRODUCT(W4:W8,$K$4:$K$8)</f>
        <v>706.4874000000001</v>
      </c>
      <c r="X10" s="55">
        <f>SUMPRODUCT(X4:X8,$K$4:$K$8)</f>
        <v>723.2466000000002</v>
      </c>
      <c r="Y10" s="55">
        <f>SUMPRODUCT(Y4:Y8,$K$4:$K$8)</f>
        <v>735.8160000000001</v>
      </c>
      <c r="Z10" s="55">
        <f>SUMPRODUCT(Z4:Z8,$K$4:$K$8)</f>
        <v>735.8160000000001</v>
      </c>
      <c r="AA10" s="55">
        <f>SUMPRODUCT(AA4:AA8,$K$4:$K$8)</f>
        <v>735.8160000000001</v>
      </c>
      <c r="AB10" s="55">
        <f>SUMPRODUCT(AB4:AB8,$K$4:$K$8)</f>
        <v>735.8160000000001</v>
      </c>
      <c r="AC10" s="55">
        <f>SUMPRODUCT(AC4:AC8,$K$4:$K$8)</f>
        <v>551.4660000000001</v>
      </c>
      <c r="AD10" s="55">
        <f>SUMPRODUCT(AD4:AD8,$K$4:$K$8)</f>
        <v>459.291</v>
      </c>
      <c r="AE10" s="55">
        <f>SUMPRODUCT(AE4:AE8,$K$4:$K$8)</f>
        <v>271.5435</v>
      </c>
      <c r="AF10" s="55">
        <f>SUMPRODUCT(AF4:AF8,$K$4:$K$8)</f>
        <v>177.66975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Celldex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Pipeline!M9</f>
        <v>0.0</v>
      </c>
      <c r="D4" s="57">
        <f>Pipeline!N9</f>
        <v>0.0</v>
      </c>
      <c r="E4" s="57">
        <f>Pipeline!O9</f>
        <v>0.0</v>
      </c>
      <c r="F4" s="57">
        <f>Pipeline!P9</f>
        <v>92.17500000000001</v>
      </c>
      <c r="G4" s="57">
        <f>Pipeline!Q9</f>
        <v>230.43750000000003</v>
      </c>
      <c r="H4" s="57">
        <f>Pipeline!R9</f>
        <v>485.6175</v>
      </c>
      <c r="I4" s="57">
        <f>Pipeline!S9</f>
        <v>776.2125</v>
      </c>
      <c r="J4" s="57">
        <f>Pipeline!T9</f>
        <v>1123.1715000000002</v>
      </c>
      <c r="K4" s="57">
        <f>Pipeline!U9</f>
        <v>1434.5175000000002</v>
      </c>
      <c r="L4" s="57">
        <f>Pipeline!V9</f>
        <v>1618.0755000000001</v>
      </c>
      <c r="M4" s="57">
        <f>Pipeline!W9</f>
        <v>1766.2185</v>
      </c>
      <c r="N4" s="57">
        <f>Pipeline!X9</f>
        <v>1808.1164999999999</v>
      </c>
      <c r="O4" s="57">
        <f>Pipeline!Y9</f>
        <v>1839.54</v>
      </c>
      <c r="P4" s="57">
        <f>Pipeline!Z9</f>
        <v>1839.54</v>
      </c>
      <c r="Q4" s="57">
        <f>Pipeline!AA9</f>
        <v>1839.54</v>
      </c>
      <c r="R4" s="57">
        <f>Pipeline!AB9</f>
        <v>1839.54</v>
      </c>
      <c r="S4" s="57">
        <f>Pipeline!AC9</f>
        <v>1378.665</v>
      </c>
      <c r="T4" s="57">
        <f>Pipeline!AD9</f>
        <v>1148.2275</v>
      </c>
      <c r="U4" s="57">
        <f>Pipeline!AE9</f>
        <v>678.85875</v>
      </c>
      <c r="V4" s="57">
        <f>Pipeline!AF9</f>
        <v>444.174375</v>
      </c>
    </row>
    <row r="5">
      <c r="A5" s="14" t="inlineStr">
        <is>
          <t>Risked contribution</t>
        </is>
      </c>
      <c r="C5" s="57">
        <f>Pipeline!M10</f>
        <v>0.0</v>
      </c>
      <c r="D5" s="57">
        <f>Pipeline!N10</f>
        <v>0.0</v>
      </c>
      <c r="E5" s="57">
        <f>Pipeline!O10</f>
        <v>0.0</v>
      </c>
      <c r="F5" s="57">
        <f>Pipeline!P10</f>
        <v>36.870000000000005</v>
      </c>
      <c r="G5" s="57">
        <f>Pipeline!Q10</f>
        <v>92.17500000000001</v>
      </c>
      <c r="H5" s="57">
        <f>Pipeline!R10</f>
        <v>194.247</v>
      </c>
      <c r="I5" s="57">
        <f>Pipeline!S10</f>
        <v>310.485</v>
      </c>
      <c r="J5" s="57">
        <f>Pipeline!T10</f>
        <v>449.26860000000005</v>
      </c>
      <c r="K5" s="57">
        <f>Pipeline!U10</f>
        <v>573.807</v>
      </c>
      <c r="L5" s="57">
        <f>Pipeline!V10</f>
        <v>647.2302000000001</v>
      </c>
      <c r="M5" s="57">
        <f>Pipeline!W10</f>
        <v>706.4874000000001</v>
      </c>
      <c r="N5" s="57">
        <f>Pipeline!X10</f>
        <v>723.2466000000002</v>
      </c>
      <c r="O5" s="57">
        <f>Pipeline!Y10</f>
        <v>735.8160000000001</v>
      </c>
      <c r="P5" s="57">
        <f>Pipeline!Z10</f>
        <v>735.8160000000001</v>
      </c>
      <c r="Q5" s="57">
        <f>Pipeline!AA10</f>
        <v>735.8160000000001</v>
      </c>
      <c r="R5" s="57">
        <f>Pipeline!AB10</f>
        <v>735.8160000000001</v>
      </c>
      <c r="S5" s="57">
        <f>Pipeline!AC10</f>
        <v>551.4660000000001</v>
      </c>
      <c r="T5" s="57">
        <f>Pipeline!AD10</f>
        <v>459.291</v>
      </c>
      <c r="U5" s="57">
        <f>Pipeline!AE10</f>
        <v>271.5435</v>
      </c>
      <c r="V5" s="57">
        <f>Pipeline!AF10</f>
        <v>177.66975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-325.828</v>
      </c>
      <c r="D6" s="23">
        <f>-IF(D3-2026&lt;Assumptions!$B$19,Assumptions!$B$18,Assumptions!$B$18*Assumptions!$B$20*Assumptions!$B$16)</f>
        <v>-325.828</v>
      </c>
      <c r="E6" s="23">
        <f>-IF(E3-2026&lt;Assumptions!$B$19,Assumptions!$B$18,Assumptions!$B$18*Assumptions!$B$20*Assumptions!$B$16)</f>
        <v>-325.828</v>
      </c>
      <c r="F6" s="23">
        <f>-IF(F3-2026&lt;Assumptions!$B$19,Assumptions!$B$18,Assumptions!$B$18*Assumptions!$B$20*Assumptions!$B$16)</f>
        <v>-73.55292775298949</v>
      </c>
      <c r="G6" s="23">
        <f>-IF(G3-2026&lt;Assumptions!$B$19,Assumptions!$B$18,Assumptions!$B$18*Assumptions!$B$20*Assumptions!$B$16)</f>
        <v>-73.55292775298949</v>
      </c>
      <c r="H6" s="23">
        <f>-IF(H3-2026&lt;Assumptions!$B$19,Assumptions!$B$18,Assumptions!$B$18*Assumptions!$B$20*Assumptions!$B$16)</f>
        <v>-73.55292775298949</v>
      </c>
      <c r="I6" s="23">
        <f>-IF(I3-2026&lt;Assumptions!$B$19,Assumptions!$B$18,Assumptions!$B$18*Assumptions!$B$20*Assumptions!$B$16)</f>
        <v>-73.55292775298949</v>
      </c>
      <c r="J6" s="23">
        <f>-IF(J3-2026&lt;Assumptions!$B$19,Assumptions!$B$18,Assumptions!$B$18*Assumptions!$B$20*Assumptions!$B$16)</f>
        <v>-73.55292775298949</v>
      </c>
      <c r="K6" s="23">
        <f>-IF(K3-2026&lt;Assumptions!$B$19,Assumptions!$B$18,Assumptions!$B$18*Assumptions!$B$20*Assumptions!$B$16)</f>
        <v>-73.55292775298949</v>
      </c>
      <c r="L6" s="23">
        <f>-IF(L3-2026&lt;Assumptions!$B$19,Assumptions!$B$18,Assumptions!$B$18*Assumptions!$B$20*Assumptions!$B$16)</f>
        <v>-73.55292775298949</v>
      </c>
      <c r="M6" s="23">
        <f>-IF(M3-2026&lt;Assumptions!$B$19,Assumptions!$B$18,Assumptions!$B$18*Assumptions!$B$20*Assumptions!$B$16)</f>
        <v>-73.55292775298949</v>
      </c>
      <c r="N6" s="23">
        <f>-IF(N3-2026&lt;Assumptions!$B$19,Assumptions!$B$18,Assumptions!$B$18*Assumptions!$B$20*Assumptions!$B$16)</f>
        <v>-73.55292775298949</v>
      </c>
      <c r="O6" s="23">
        <f>-IF(O3-2026&lt;Assumptions!$B$19,Assumptions!$B$18,Assumptions!$B$18*Assumptions!$B$20*Assumptions!$B$16)</f>
        <v>-73.55292775298949</v>
      </c>
      <c r="P6" s="23">
        <f>-IF(P3-2026&lt;Assumptions!$B$19,Assumptions!$B$18,Assumptions!$B$18*Assumptions!$B$20*Assumptions!$B$16)</f>
        <v>-73.55292775298949</v>
      </c>
      <c r="Q6" s="23">
        <f>-IF(Q3-2026&lt;Assumptions!$B$19,Assumptions!$B$18,Assumptions!$B$18*Assumptions!$B$20*Assumptions!$B$16)</f>
        <v>-73.55292775298949</v>
      </c>
      <c r="R6" s="23">
        <f>-IF(R3-2026&lt;Assumptions!$B$19,Assumptions!$B$18,Assumptions!$B$18*Assumptions!$B$20*Assumptions!$B$16)</f>
        <v>-73.55292775298949</v>
      </c>
      <c r="S6" s="23">
        <f>-IF(S3-2026&lt;Assumptions!$B$19,Assumptions!$B$18,Assumptions!$B$18*Assumptions!$B$20*Assumptions!$B$16)</f>
        <v>-73.55292775298949</v>
      </c>
      <c r="T6" s="23">
        <f>-IF(T3-2026&lt;Assumptions!$B$19,Assumptions!$B$18,Assumptions!$B$18*Assumptions!$B$20*Assumptions!$B$16)</f>
        <v>-73.55292775298949</v>
      </c>
      <c r="U6" s="23">
        <f>-IF(U3-2026&lt;Assumptions!$B$19,Assumptions!$B$18,Assumptions!$B$18*Assumptions!$B$20*Assumptions!$B$16)</f>
        <v>-73.55292775298949</v>
      </c>
      <c r="V6" s="23">
        <f>-IF(V3-2026&lt;Assumptions!$B$19,Assumptions!$B$18,Assumptions!$B$18*Assumptions!$B$20*Assumptions!$B$16)</f>
        <v>-73.55292775298949</v>
      </c>
    </row>
    <row r="7">
      <c r="A7" s="14" t="inlineStr">
        <is>
          <t>Pre-tax cash flow</t>
        </is>
      </c>
      <c r="C7" s="23">
        <f>C5+C6</f>
        <v>-325.828</v>
      </c>
      <c r="D7" s="23">
        <f>D5+D6</f>
        <v>-325.828</v>
      </c>
      <c r="E7" s="23">
        <f>E5+E6</f>
        <v>-325.828</v>
      </c>
      <c r="F7" s="23">
        <f>F5+F6</f>
        <v>-36.682927752989485</v>
      </c>
      <c r="G7" s="23">
        <f>G5+G6</f>
        <v>18.62207224701052</v>
      </c>
      <c r="H7" s="23">
        <f>H5+H6</f>
        <v>120.69407224701052</v>
      </c>
      <c r="I7" s="23">
        <f>I5+I6</f>
        <v>236.93207224701052</v>
      </c>
      <c r="J7" s="23">
        <f>J5+J6</f>
        <v>375.71567224701056</v>
      </c>
      <c r="K7" s="23">
        <f>K5+K6</f>
        <v>500.2540722470105</v>
      </c>
      <c r="L7" s="23">
        <f>L5+L6</f>
        <v>573.6772722470106</v>
      </c>
      <c r="M7" s="23">
        <f>M5+M6</f>
        <v>632.9344722470106</v>
      </c>
      <c r="N7" s="23">
        <f>N5+N6</f>
        <v>649.6936722470107</v>
      </c>
      <c r="O7" s="23">
        <f>O5+O6</f>
        <v>662.2630722470107</v>
      </c>
      <c r="P7" s="23">
        <f>P5+P6</f>
        <v>662.2630722470107</v>
      </c>
      <c r="Q7" s="23">
        <f>Q5+Q6</f>
        <v>662.2630722470107</v>
      </c>
      <c r="R7" s="23">
        <f>R5+R6</f>
        <v>662.2630722470107</v>
      </c>
      <c r="S7" s="23">
        <f>S5+S6</f>
        <v>477.91307224701063</v>
      </c>
      <c r="T7" s="23">
        <f>T5+T6</f>
        <v>385.7380722470105</v>
      </c>
      <c r="U7" s="23">
        <f>U5+U6</f>
        <v>197.9905722470105</v>
      </c>
      <c r="V7" s="23">
        <f>V5+V6</f>
        <v>104.1168222470105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18.62207224701052</v>
      </c>
      <c r="H8" s="23">
        <f>MIN(G17,MAX(0,H7))</f>
        <v>120.69407224701052</v>
      </c>
      <c r="I8" s="23">
        <f>MIN(H17,MAX(0,I7))</f>
        <v>236.93207224701052</v>
      </c>
      <c r="J8" s="23">
        <f>MIN(I17,MAX(0,J7))</f>
        <v>375.71567224701056</v>
      </c>
      <c r="K8" s="23">
        <f>MIN(J17,MAX(0,K7))</f>
        <v>500.2540722470105</v>
      </c>
      <c r="L8" s="23">
        <f>MIN(K17,MAX(0,L7))</f>
        <v>573.6772722470106</v>
      </c>
      <c r="M8" s="23">
        <f>MIN(L17,MAX(0,M7))</f>
        <v>632.9344722470106</v>
      </c>
      <c r="N8" s="23">
        <f>MIN(M17,MAX(0,N7))</f>
        <v>249.4372220239154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400.25645022309527</v>
      </c>
      <c r="O9" s="23">
        <f>MAX(0,O7)-O8</f>
        <v>662.2630722470107</v>
      </c>
      <c r="P9" s="23">
        <f>MAX(0,P7)-P8</f>
        <v>662.2630722470107</v>
      </c>
      <c r="Q9" s="23">
        <f>MAX(0,Q7)-Q8</f>
        <v>662.2630722470107</v>
      </c>
      <c r="R9" s="23">
        <f>MAX(0,R7)-R8</f>
        <v>662.2630722470107</v>
      </c>
      <c r="S9" s="23">
        <f>MAX(0,S7)-S8</f>
        <v>477.91307224701063</v>
      </c>
      <c r="T9" s="23">
        <f>MAX(0,T7)-T8</f>
        <v>385.7380722470105</v>
      </c>
      <c r="U9" s="23">
        <f>MAX(0,U7)-U8</f>
        <v>197.9905722470105</v>
      </c>
      <c r="V9" s="23">
        <f>MAX(0,V7)-V8</f>
        <v>104.1168222470105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84.05385454685</v>
      </c>
      <c r="O10" s="23">
        <f>O9*Assumptions!$E$15</f>
        <v>139.07524517187224</v>
      </c>
      <c r="P10" s="23">
        <f>P9*Assumptions!$E$15</f>
        <v>139.07524517187224</v>
      </c>
      <c r="Q10" s="23">
        <f>Q9*Assumptions!$E$15</f>
        <v>139.07524517187224</v>
      </c>
      <c r="R10" s="23">
        <f>R9*Assumptions!$E$15</f>
        <v>139.07524517187224</v>
      </c>
      <c r="S10" s="23">
        <f>S9*Assumptions!$E$15</f>
        <v>100.36174517187223</v>
      </c>
      <c r="T10" s="23">
        <f>T9*Assumptions!$E$15</f>
        <v>81.00499517187221</v>
      </c>
      <c r="U10" s="23">
        <f>U9*Assumptions!$E$15</f>
        <v>41.578020171872204</v>
      </c>
      <c r="V10" s="23">
        <f>V9*Assumptions!$E$15</f>
        <v>21.864532671872205</v>
      </c>
    </row>
    <row r="11">
      <c r="A11" s="24" t="inlineStr">
        <is>
          <t>Free cash flow</t>
        </is>
      </c>
      <c r="C11" s="55">
        <f>C7-C10</f>
        <v>-325.828</v>
      </c>
      <c r="D11" s="55">
        <f>D7-D10</f>
        <v>-325.828</v>
      </c>
      <c r="E11" s="55">
        <f>E7-E10</f>
        <v>-325.828</v>
      </c>
      <c r="F11" s="55">
        <f>F7-F10</f>
        <v>-36.682927752989485</v>
      </c>
      <c r="G11" s="55">
        <f>G7-G10</f>
        <v>18.62207224701052</v>
      </c>
      <c r="H11" s="55">
        <f>H7-H10</f>
        <v>120.69407224701052</v>
      </c>
      <c r="I11" s="55">
        <f>I7-I10</f>
        <v>236.93207224701052</v>
      </c>
      <c r="J11" s="55">
        <f>J7-J10</f>
        <v>375.71567224701056</v>
      </c>
      <c r="K11" s="55">
        <f>K7-K10</f>
        <v>500.2540722470105</v>
      </c>
      <c r="L11" s="55">
        <f>L7-L10</f>
        <v>573.6772722470106</v>
      </c>
      <c r="M11" s="55">
        <f>M7-M10</f>
        <v>632.9344722470106</v>
      </c>
      <c r="N11" s="55">
        <f>N7-N10</f>
        <v>565.6398177001606</v>
      </c>
      <c r="O11" s="55">
        <f>O7-O10</f>
        <v>523.1878270751384</v>
      </c>
      <c r="P11" s="55">
        <f>P7-P10</f>
        <v>523.1878270751384</v>
      </c>
      <c r="Q11" s="55">
        <f>Q7-Q10</f>
        <v>523.1878270751384</v>
      </c>
      <c r="R11" s="55">
        <f>R7-R10</f>
        <v>523.1878270751384</v>
      </c>
      <c r="S11" s="55">
        <f>S7-S10</f>
        <v>377.5513270751384</v>
      </c>
      <c r="T11" s="55">
        <f>T7-T10</f>
        <v>304.7330770751383</v>
      </c>
      <c r="U11" s="55">
        <f>U7-U10</f>
        <v>156.4125520751383</v>
      </c>
      <c r="V11" s="55">
        <f>V7-V10</f>
        <v>82.25228957513829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-159.62455423074903</v>
      </c>
      <c r="D16" s="55">
        <f>D11*D15</f>
        <v>-290.7827142552408</v>
      </c>
      <c r="E16" s="55">
        <f>E11*E15</f>
        <v>-259.62742344217924</v>
      </c>
      <c r="F16" s="55">
        <f>F11*F15</f>
        <v>-26.098054190357967</v>
      </c>
      <c r="G16" s="55">
        <f>G11*G15</f>
        <v>11.829165899534516</v>
      </c>
      <c r="H16" s="55">
        <f>H11*H15</f>
        <v>68.4532438922565</v>
      </c>
      <c r="I16" s="55">
        <f>I11*I15</f>
        <v>119.98139938108852</v>
      </c>
      <c r="J16" s="55">
        <f>J11*J15</f>
        <v>169.8757388339976</v>
      </c>
      <c r="K16" s="55">
        <f>K11*K15</f>
        <v>201.95037194767457</v>
      </c>
      <c r="L16" s="55">
        <f>L11*L15</f>
        <v>206.77767439935883</v>
      </c>
      <c r="M16" s="55">
        <f>M11*M15</f>
        <v>203.693292985652</v>
      </c>
      <c r="N16" s="55">
        <f>N11*N15</f>
        <v>162.53239327969354</v>
      </c>
      <c r="O16" s="55">
        <f>O11*O15</f>
        <v>134.22690144162297</v>
      </c>
      <c r="P16" s="55">
        <f>P11*P15</f>
        <v>119.84544771573478</v>
      </c>
      <c r="Q16" s="55">
        <f>Q11*Q15</f>
        <v>107.00486403190605</v>
      </c>
      <c r="R16" s="55">
        <f>R11*R15</f>
        <v>95.54005717134469</v>
      </c>
      <c r="S16" s="55">
        <f>S11*S15</f>
        <v>61.55819039135739</v>
      </c>
      <c r="T16" s="55">
        <f>T11*T15</f>
        <v>44.36203066948985</v>
      </c>
      <c r="U16" s="55">
        <f>U11*U15</f>
        <v>20.330375505676805</v>
      </c>
      <c r="V16" s="55">
        <f>V11*V15</f>
        <v>9.545611858093196</v>
      </c>
    </row>
    <row r="17">
      <c r="A17" s="14" t="inlineStr">
        <is>
          <t>Tax-loss carryforward, end of year</t>
        </is>
      </c>
      <c r="C17" s="23">
        <f>Assumptions!$B$21-C8+MAX(0,-C7)</f>
        <v>2019.9279999999999</v>
      </c>
      <c r="D17" s="23">
        <f>C17-D8+MAX(0,-D7)</f>
        <v>2345.756</v>
      </c>
      <c r="E17" s="23">
        <f>D17-E8+MAX(0,-E7)</f>
        <v>2671.584</v>
      </c>
      <c r="F17" s="23">
        <f>E17-F8+MAX(0,-F7)</f>
        <v>2708.2669277529894</v>
      </c>
      <c r="G17" s="23">
        <f>F17-G8+MAX(0,-G7)</f>
        <v>2689.6448555059787</v>
      </c>
      <c r="H17" s="23">
        <f>G17-H8+MAX(0,-H7)</f>
        <v>2568.9507832589684</v>
      </c>
      <c r="I17" s="23">
        <f>H17-I8+MAX(0,-I7)</f>
        <v>2332.0187110119577</v>
      </c>
      <c r="J17" s="23">
        <f>I17-J8+MAX(0,-J7)</f>
        <v>1956.3030387649471</v>
      </c>
      <c r="K17" s="23">
        <f>J17-K8+MAX(0,-K7)</f>
        <v>1456.0489665179366</v>
      </c>
      <c r="L17" s="23">
        <f>K17-L8+MAX(0,-L7)</f>
        <v>882.371694270926</v>
      </c>
      <c r="M17" s="23">
        <f>L17-M8+MAX(0,-M7)</f>
        <v>249.4372220239154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2310.3102785821934</v>
      </c>
    </row>
    <row r="20">
      <c r="A20" s="14" t="inlineStr">
        <is>
          <t>PV of corporate burn</t>
        </is>
      </c>
      <c r="B20" s="23">
        <f>SUMPRODUCT(C6:V6,C15:V15)</f>
        <v>-1127.3070148595996</v>
      </c>
    </row>
    <row r="21">
      <c r="A21" s="14" t="inlineStr">
        <is>
          <t>PV of taxes</t>
        </is>
      </c>
      <c r="B21" s="23">
        <f>-SUMPRODUCT(C10:V10,C15:V15)</f>
        <v>-181.62925043663913</v>
      </c>
    </row>
    <row r="22">
      <c r="A22" s="24" t="inlineStr">
        <is>
          <t>Pipeline rNPV (operations)</t>
        </is>
      </c>
      <c r="B22" s="54">
        <f>SUM(C16:V16)</f>
        <v>1001.3740132859546</v>
      </c>
    </row>
    <row r="23">
      <c r="A23" s="14" t="inlineStr">
        <is>
          <t>Cash &amp; investments</t>
        </is>
      </c>
      <c r="B23" s="57">
        <f>Main!C7</f>
        <v>717.587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1718.9610132859546</v>
      </c>
    </row>
    <row r="26">
      <c r="A26" s="14" t="inlineStr">
        <is>
          <t>Shares (mm)</t>
        </is>
      </c>
      <c r="B26" s="57">
        <f>Main!C4</f>
        <v>78.529532</v>
      </c>
    </row>
    <row r="27">
      <c r="A27" s="24" t="inlineStr">
        <is>
          <t>rNPV / share</t>
        </is>
      </c>
      <c r="B27" s="60">
        <f>B25/B26</f>
        <v>21.88935766592821</v>
      </c>
    </row>
    <row r="28">
      <c r="A28" s="14" t="inlineStr">
        <is>
          <t>Price</t>
        </is>
      </c>
      <c r="B28" s="61">
        <f>Main!C3</f>
        <v>30.29</v>
      </c>
    </row>
    <row r="29">
      <c r="A29" s="14" t="inlineStr">
        <is>
          <t>Upside</t>
        </is>
      </c>
      <c r="B29" s="62">
        <f>B27/B28-1</f>
        <v>-0.27734045341933944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2026-10-21T06:22:34Z</dcterms:modified>
  <cp:lastModifiedBy>Wang, Eric</cp:lastModifiedBy>
</cp:coreProperties>
</file>