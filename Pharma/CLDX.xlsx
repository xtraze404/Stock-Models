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Celldex Therapeutics, Inc.</t>
        </is>
      </c>
      <c r="C2" s="10" t="n"/>
    </row>
    <row r="3">
      <c r="B3" t="inlineStr">
        <is>
          <t>Price</t>
        </is>
      </c>
      <c r="C3" s="11">
        <f>INDEX([1]Pharma!$F$1:$F$1000,MATCH("CLDX",[1]Pharma!$B$1:$B$1000,0))</f>
        <v>30.29</v>
      </c>
      <c r="F3" s="1" t="n"/>
    </row>
    <row r="4">
      <c r="B4" t="inlineStr">
        <is>
          <t>Shares</t>
        </is>
      </c>
      <c r="C4" s="21" t="n">
        <v>78.529532</v>
      </c>
      <c r="F4" s="1" t="n"/>
    </row>
    <row r="5">
      <c r="B5" t="inlineStr">
        <is>
          <t>Market Cap.</t>
        </is>
      </c>
      <c r="C5" s="13">
        <f>C3*C4</f>
        <v>2378.65952428</v>
      </c>
      <c r="F5" s="1" t="n"/>
    </row>
    <row r="6"/>
    <row r="7">
      <c r="B7" t="inlineStr">
        <is>
          <t>Cash</t>
        </is>
      </c>
      <c r="C7" s="21">
        <f>47.454+670.133</f>
        <v>717.587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1661.07252428</v>
      </c>
    </row>
    <row r="10"/>
    <row r="11">
      <c r="B11" s="14" t="inlineStr">
        <is>
          <t>Net Cash / Share</t>
        </is>
      </c>
      <c r="C11" s="11">
        <f>(C7-C8)/C4</f>
        <v>9.137797994262845</v>
      </c>
    </row>
    <row r="12">
      <c r="B12" s="14" t="inlineStr">
        <is>
          <t>Upside</t>
        </is>
      </c>
      <c r="C12" s="15">
        <f>IFERROR(C11/C3-1,"")</f>
        <v>-0.6983229450557</v>
      </c>
    </row>
    <row r="13">
      <c r="B13" s="14" t="inlineStr">
        <is>
          <t>Cash / Share</t>
        </is>
      </c>
      <c r="C13" s="11">
        <f>IFERROR((C7-C8)/C4,"")</f>
        <v>9.137797994262845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-235.566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3.0462248372006147</v>
      </c>
    </row>
    <row r="19">
      <c r="B19" s="14" t="inlineStr">
        <is>
          <t>Implied Pipeline Value</t>
        </is>
      </c>
      <c r="C19" s="13">
        <f>C9</f>
        <v>1661.07252428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15.18</v>
      </c>
      <c r="C2" s="23" t="n">
        <v>46.793</v>
      </c>
      <c r="D2" s="23" t="n">
        <v>9.265000000000001</v>
      </c>
      <c r="E2" s="23" t="n">
        <v>11.202</v>
      </c>
      <c r="F2" s="23" t="n">
        <v>4.111</v>
      </c>
      <c r="G2" s="23" t="n">
        <v>3.586</v>
      </c>
      <c r="H2" s="23" t="n">
        <v>5.48</v>
      </c>
      <c r="I2" s="23" t="n">
        <v>6.786</v>
      </c>
      <c r="J2" s="23" t="n">
        <v>12.743</v>
      </c>
      <c r="K2" s="23" t="n">
        <v>9.538</v>
      </c>
      <c r="L2" s="23" t="n">
        <v>3.573</v>
      </c>
      <c r="M2" s="23" t="n">
        <v>7.418</v>
      </c>
      <c r="N2" s="23" t="n">
        <v>4.651</v>
      </c>
      <c r="O2" s="23" t="n">
        <v>2.357</v>
      </c>
      <c r="P2" s="23" t="n">
        <v>6.883</v>
      </c>
      <c r="Q2" s="23" t="n">
        <v>7.02</v>
      </c>
      <c r="R2" s="23" t="n">
        <v>1.545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1.6</v>
      </c>
      <c r="J3" s="23" t="n">
        <v>0.7</v>
      </c>
      <c r="K3" s="23" t="n">
        <v>0.7</v>
      </c>
      <c r="L3" s="23" t="n">
        <v>0.1</v>
      </c>
      <c r="M3" s="23" t="n">
        <v>0.2</v>
      </c>
      <c r="N3" s="23" t="n">
        <v>0.1</v>
      </c>
      <c r="O3" s="23" t="n">
        <v>0.1</v>
      </c>
      <c r="P3" s="23" t="n">
        <v>0.3</v>
      </c>
      <c r="Q3" s="23" t="n">
        <v>0.2</v>
      </c>
      <c r="R3" s="23" t="n">
        <v>0.2</v>
      </c>
    </row>
    <row r="4" customFormat="1" s="1">
      <c r="A4" s="5" t="inlineStr">
        <is>
          <t>Gross Margin</t>
        </is>
      </c>
      <c r="B4" s="23">
        <f>B2-B3</f>
        <v>15.18</v>
      </c>
      <c r="C4" s="23">
        <f>C2-C3</f>
        <v>46.793</v>
      </c>
      <c r="D4" s="23">
        <f>D2-D3</f>
        <v>9.265</v>
      </c>
      <c r="E4" s="23">
        <f>E2-E3</f>
        <v>11.202</v>
      </c>
      <c r="F4" s="23">
        <f>F2-F3</f>
        <v>4.111</v>
      </c>
      <c r="G4" s="23">
        <f>G2-G3</f>
        <v>3.586</v>
      </c>
      <c r="H4" s="23">
        <f>H2-H3</f>
        <v>5.48</v>
      </c>
      <c r="I4" s="23">
        <f>I2-I3</f>
        <v>5.186</v>
      </c>
      <c r="J4" s="23">
        <f>J2-J3</f>
        <v>12.043000000000001</v>
      </c>
      <c r="K4" s="23">
        <f>K2-K3</f>
        <v>8.838000000000001</v>
      </c>
      <c r="L4" s="23">
        <f>L2-L3</f>
        <v>3.473</v>
      </c>
      <c r="M4" s="23">
        <f>M2-M3</f>
        <v>7.218</v>
      </c>
      <c r="N4" s="23">
        <f>N2-N3</f>
        <v>4.551</v>
      </c>
      <c r="O4" s="23">
        <f>O2-O3</f>
        <v>2.257</v>
      </c>
      <c r="P4" s="23">
        <f>P2-P3</f>
        <v>6.583</v>
      </c>
      <c r="Q4" s="23">
        <f>Q2-Q3</f>
        <v>6.819999999999999</v>
      </c>
      <c r="R4" s="23">
        <f>R2-R3</f>
        <v>1.345</v>
      </c>
    </row>
    <row r="5">
      <c r="A5" s="2" t="inlineStr">
        <is>
          <t>Research &amp; Dev.</t>
        </is>
      </c>
      <c r="B5" s="23" t="n">
        <v>26.169</v>
      </c>
      <c r="C5" s="23" t="n">
        <v>27.65</v>
      </c>
      <c r="D5" s="23" t="n">
        <v>32.439</v>
      </c>
      <c r="E5" s="23" t="n">
        <v>47.398</v>
      </c>
      <c r="F5" s="23" t="n">
        <v>67.401</v>
      </c>
      <c r="G5" s="23" t="n">
        <v>104.381</v>
      </c>
      <c r="H5" s="23" t="n">
        <v>100.171</v>
      </c>
      <c r="I5" s="23" t="n">
        <v>102.726</v>
      </c>
      <c r="J5" s="23" t="n">
        <v>96.17100000000001</v>
      </c>
      <c r="K5" s="23" t="n">
        <v>66.449</v>
      </c>
      <c r="L5" s="23" t="n">
        <v>42.672</v>
      </c>
      <c r="M5" s="23" t="n">
        <v>42.534</v>
      </c>
      <c r="N5" s="23" t="n">
        <v>53.311</v>
      </c>
      <c r="O5" s="23" t="n">
        <v>82.258</v>
      </c>
      <c r="P5" s="23" t="n">
        <v>118.011</v>
      </c>
      <c r="Q5" s="23" t="n">
        <v>163.55</v>
      </c>
      <c r="R5" s="23" t="n">
        <v>245.074</v>
      </c>
    </row>
    <row r="6">
      <c r="A6" s="19" t="inlineStr">
        <is>
          <t>SG&amp;A &amp; Other</t>
        </is>
      </c>
      <c r="B6" s="23" t="n">
        <v>25.861</v>
      </c>
      <c r="C6" s="23" t="n">
        <v>25.598</v>
      </c>
      <c r="D6" s="23" t="n">
        <v>20.225</v>
      </c>
      <c r="E6" s="23" t="n">
        <v>21.881</v>
      </c>
      <c r="F6" s="23" t="n">
        <v>18.152</v>
      </c>
      <c r="G6" s="23" t="n">
        <v>21.635</v>
      </c>
      <c r="H6" s="23" t="n">
        <v>34.85</v>
      </c>
      <c r="I6" s="23" t="n">
        <v>35.376</v>
      </c>
      <c r="J6" s="23" t="n">
        <v>37.399</v>
      </c>
      <c r="K6" s="23" t="n">
        <v>98.825</v>
      </c>
      <c r="L6" s="23" t="n">
        <v>15.832</v>
      </c>
      <c r="M6" s="23" t="n">
        <v>28.038</v>
      </c>
      <c r="N6" s="23" t="n">
        <v>22.483</v>
      </c>
      <c r="O6" s="23" t="n">
        <v>35.233</v>
      </c>
      <c r="P6" s="23" t="n">
        <v>43.114</v>
      </c>
      <c r="Q6" s="23" t="n">
        <v>38.348</v>
      </c>
      <c r="R6" s="23" t="n">
        <v>43.638</v>
      </c>
    </row>
    <row r="7">
      <c r="A7" s="2" t="inlineStr">
        <is>
          <t>Operating Expense</t>
        </is>
      </c>
      <c r="B7" s="23">
        <f>SUM(B5:B6)</f>
        <v>52.03</v>
      </c>
      <c r="C7" s="23">
        <f>SUM(C5:C6)</f>
        <v>53.248</v>
      </c>
      <c r="D7" s="23">
        <f>SUM(D5:D6)</f>
        <v>52.664</v>
      </c>
      <c r="E7" s="23">
        <f>SUM(E5:E6)</f>
        <v>69.279</v>
      </c>
      <c r="F7" s="23">
        <f>SUM(F5:F6)</f>
        <v>85.553</v>
      </c>
      <c r="G7" s="23">
        <f>SUM(G5:G6)</f>
        <v>126.016</v>
      </c>
      <c r="H7" s="23">
        <f>SUM(H5:H6)</f>
        <v>135.02100000000002</v>
      </c>
      <c r="I7" s="23">
        <f>SUM(I5:I6)</f>
        <v>138.102</v>
      </c>
      <c r="J7" s="23">
        <f>SUM(J5:J6)</f>
        <v>133.57</v>
      </c>
      <c r="K7" s="23">
        <f>SUM(K5:K6)</f>
        <v>165.274</v>
      </c>
      <c r="L7" s="23">
        <f>SUM(L5:L6)</f>
        <v>58.504</v>
      </c>
      <c r="M7" s="23">
        <f>SUM(M5:M6)</f>
        <v>70.572</v>
      </c>
      <c r="N7" s="23">
        <f>SUM(N5:N6)</f>
        <v>75.794</v>
      </c>
      <c r="O7" s="23">
        <f>SUM(O5:O6)</f>
        <v>117.49099999999999</v>
      </c>
      <c r="P7" s="23">
        <f>SUM(P5:P6)</f>
        <v>161.125</v>
      </c>
      <c r="Q7" s="23">
        <f>SUM(Q5:Q6)</f>
        <v>201.89800000000002</v>
      </c>
      <c r="R7" s="23">
        <f>SUM(R5:R6)</f>
        <v>288.712</v>
      </c>
    </row>
    <row r="8">
      <c r="A8" s="2" t="inlineStr">
        <is>
          <t>Operating Income</t>
        </is>
      </c>
      <c r="B8" s="23">
        <f>B4-B7</f>
        <v>-36.85</v>
      </c>
      <c r="C8" s="23">
        <f>C4-C7</f>
        <v>-6.454999999999998</v>
      </c>
      <c r="D8" s="23">
        <f>D4-D7</f>
        <v>-43.399</v>
      </c>
      <c r="E8" s="23">
        <f>E4-E7</f>
        <v>-58.077</v>
      </c>
      <c r="F8" s="23">
        <f>F4-F7</f>
        <v>-81.442</v>
      </c>
      <c r="G8" s="23">
        <f>G4-G7</f>
        <v>-122.43</v>
      </c>
      <c r="H8" s="23">
        <f>H4-H7</f>
        <v>-129.54100000000003</v>
      </c>
      <c r="I8" s="23">
        <f>I4-I7</f>
        <v>-132.916</v>
      </c>
      <c r="J8" s="23">
        <f>J4-J7</f>
        <v>-121.52699999999999</v>
      </c>
      <c r="K8" s="23">
        <f>K4-K7</f>
        <v>-156.436</v>
      </c>
      <c r="L8" s="23">
        <f>L4-L7</f>
        <v>-55.031</v>
      </c>
      <c r="M8" s="23">
        <f>M4-M7</f>
        <v>-63.354</v>
      </c>
      <c r="N8" s="23">
        <f>N4-N7</f>
        <v>-71.243</v>
      </c>
      <c r="O8" s="23">
        <f>O4-O7</f>
        <v>-115.23399999999998</v>
      </c>
      <c r="P8" s="23">
        <f>P4-P7</f>
        <v>-154.542</v>
      </c>
      <c r="Q8" s="23">
        <f>Q4-Q7</f>
        <v>-195.07800000000003</v>
      </c>
      <c r="R8" s="23">
        <f>R4-R7</f>
        <v>-287.36699999999996</v>
      </c>
    </row>
    <row r="9">
      <c r="A9" s="19" t="inlineStr">
        <is>
          <t>Interest &amp; Other</t>
        </is>
      </c>
      <c r="B9" s="23" t="n">
        <v>-0.204</v>
      </c>
      <c r="C9" s="23" t="n">
        <v>3.922</v>
      </c>
      <c r="D9" s="23" t="n">
        <v>-1.4</v>
      </c>
      <c r="E9" s="23" t="n">
        <v>-1.046</v>
      </c>
      <c r="F9" s="23" t="n">
        <v>-0.108</v>
      </c>
      <c r="G9" s="23" t="n">
        <v>4.35</v>
      </c>
      <c r="H9" s="23" t="n">
        <v>2.344</v>
      </c>
      <c r="I9" s="23" t="n">
        <v>4.386</v>
      </c>
      <c r="J9" s="23" t="n">
        <v>4.214</v>
      </c>
      <c r="K9" s="23" t="n">
        <v>4.487</v>
      </c>
      <c r="L9" s="23" t="n">
        <v>4.153</v>
      </c>
      <c r="M9" s="23" t="n">
        <v>2.407</v>
      </c>
      <c r="N9" s="23" t="n">
        <v>0.505</v>
      </c>
      <c r="O9" s="23" t="n">
        <v>2.909</v>
      </c>
      <c r="P9" s="23" t="n">
        <v>13.113</v>
      </c>
      <c r="Q9" s="23" t="n">
        <v>37.215</v>
      </c>
      <c r="R9" s="23" t="n">
        <v>28.61</v>
      </c>
    </row>
    <row r="10">
      <c r="A10" s="2" t="inlineStr">
        <is>
          <t>Pretax</t>
        </is>
      </c>
      <c r="B10" s="23">
        <f>B8+B9</f>
        <v>-37.054</v>
      </c>
      <c r="C10" s="23">
        <f>C8+C9</f>
        <v>-2.532999999999998</v>
      </c>
      <c r="D10" s="23">
        <f>D8+D9</f>
        <v>-44.799</v>
      </c>
      <c r="E10" s="23">
        <f>E8+E9</f>
        <v>-59.123</v>
      </c>
      <c r="F10" s="23">
        <f>F8+F9</f>
        <v>-81.55</v>
      </c>
      <c r="G10" s="23">
        <f>G8+G9</f>
        <v>-118.08000000000001</v>
      </c>
      <c r="H10" s="23">
        <f>H8+H9</f>
        <v>-127.19700000000003</v>
      </c>
      <c r="I10" s="23">
        <f>I8+I9</f>
        <v>-128.53</v>
      </c>
      <c r="J10" s="23">
        <f>J8+J9</f>
        <v>-117.31299999999999</v>
      </c>
      <c r="K10" s="23">
        <f>K8+K9</f>
        <v>-151.949</v>
      </c>
      <c r="L10" s="23">
        <f>L8+L9</f>
        <v>-50.878</v>
      </c>
      <c r="M10" s="23">
        <f>M8+M9</f>
        <v>-60.947</v>
      </c>
      <c r="N10" s="23">
        <f>N8+N9</f>
        <v>-70.738</v>
      </c>
      <c r="O10" s="23">
        <f>O8+O9</f>
        <v>-112.32499999999997</v>
      </c>
      <c r="P10" s="23">
        <f>P8+P9</f>
        <v>-141.429</v>
      </c>
      <c r="Q10" s="23">
        <f>Q8+Q9</f>
        <v>-157.86300000000003</v>
      </c>
      <c r="R10" s="23">
        <f>R8+R9</f>
        <v>-258.75699999999995</v>
      </c>
    </row>
    <row r="11">
      <c r="A11" s="2" t="inlineStr">
        <is>
          <t>Taxes</t>
        </is>
      </c>
      <c r="B11" s="23" t="n">
        <v>-0.529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-24.282</v>
      </c>
      <c r="K11" s="23" t="n">
        <v>-0.765</v>
      </c>
      <c r="L11" s="23" t="n">
        <v>0</v>
      </c>
      <c r="M11" s="23" t="n">
        <v>-1.167</v>
      </c>
      <c r="N11" s="23" t="n">
        <v>-0.227</v>
      </c>
      <c r="O11" s="23" t="n">
        <v>0</v>
      </c>
      <c r="P11" s="23" t="n">
        <v>0</v>
      </c>
      <c r="Q11" s="23" t="n">
        <v>0</v>
      </c>
      <c r="R11" s="23" t="n">
        <v>0</v>
      </c>
    </row>
    <row r="12">
      <c r="A12" s="2" t="inlineStr">
        <is>
          <t>Net Income</t>
        </is>
      </c>
      <c r="B12" s="23" t="n">
        <v>-36.525</v>
      </c>
      <c r="C12" s="23" t="n">
        <v>-2.533</v>
      </c>
      <c r="D12" s="23" t="n">
        <v>-44.799</v>
      </c>
      <c r="E12" s="23" t="n">
        <v>-59.123</v>
      </c>
      <c r="F12" s="23" t="n">
        <v>-81.55</v>
      </c>
      <c r="G12" s="23" t="n">
        <v>-118.08</v>
      </c>
      <c r="H12" s="23" t="n">
        <v>-127.197</v>
      </c>
      <c r="I12" s="23" t="n">
        <v>-128.53</v>
      </c>
      <c r="J12" s="23" t="n">
        <v>-93.03100000000001</v>
      </c>
      <c r="K12" s="23" t="n">
        <v>-151.184</v>
      </c>
      <c r="L12" s="23" t="n">
        <v>-50.878</v>
      </c>
      <c r="M12" s="23" t="n">
        <v>-59.78</v>
      </c>
      <c r="N12" s="23" t="n">
        <v>-70.511</v>
      </c>
      <c r="O12" s="23" t="n">
        <v>-112.325</v>
      </c>
      <c r="P12" s="23" t="n">
        <v>-141.429</v>
      </c>
      <c r="Q12" s="23" t="n">
        <v>-157.863</v>
      </c>
      <c r="R12" s="23" t="n">
        <v>-258.757</v>
      </c>
    </row>
    <row r="13">
      <c r="A13" s="2" t="inlineStr">
        <is>
          <t>Earnings per Share</t>
        </is>
      </c>
      <c r="B13" s="11">
        <f>IFERROR(B12/B14,0)</f>
        <v>-1.0461419487884516</v>
      </c>
      <c r="C13" s="11">
        <f>IFERROR(C12/C14,0)</f>
        <v>-0.04512899087799316</v>
      </c>
      <c r="D13" s="11">
        <f>IFERROR(D12/D14,0)</f>
        <v>-0.643922842522854</v>
      </c>
      <c r="E13" s="11">
        <f>IFERROR(E12/E14,0)</f>
        <v>-0.5816444986620494</v>
      </c>
      <c r="F13" s="11">
        <f>IFERROR(F12/F14,0)</f>
        <v>-0.5803898682646663</v>
      </c>
      <c r="G13" s="11">
        <f>IFERROR(G12/G14,0)</f>
        <v>-0.7499285510145756</v>
      </c>
      <c r="H13" s="11">
        <f>IFERROR(H12/H14,0)</f>
        <v>-0.7441336664073058</v>
      </c>
      <c r="I13" s="11">
        <f>IFERROR(I12/I14,0)</f>
        <v>-10.780909243415534</v>
      </c>
      <c r="J13" s="11">
        <f>IFERROR(J12/J14,0)</f>
        <v>-6.163442427454618</v>
      </c>
      <c r="K13" s="11">
        <f>IFERROR(K12/K14,0)</f>
        <v>-10.01284853301543</v>
      </c>
      <c r="L13" s="11">
        <f>IFERROR(L12/L14,0)</f>
        <v>-2.425418315297707</v>
      </c>
      <c r="M13" s="11">
        <f>IFERROR(M12/M14,0)</f>
        <v>-1.3948062250635807</v>
      </c>
      <c r="N13" s="11">
        <f>IFERROR(N12/N14,0)</f>
        <v>-1.644763237695358</v>
      </c>
      <c r="O13" s="11">
        <f>IFERROR(O12/O14,0)</f>
        <v>-2.3956022862992663</v>
      </c>
      <c r="P13" s="11">
        <f>IFERROR(P12/P14,0)</f>
        <v>-2.919131457821627</v>
      </c>
      <c r="Q13" s="11">
        <f>IFERROR(Q12/Q14,0)</f>
        <v>-2.451479152108083</v>
      </c>
      <c r="R13" s="11">
        <f>IFERROR(R12/R14,0)</f>
        <v>-3.8956520429978023</v>
      </c>
    </row>
    <row r="14">
      <c r="A14" s="2" t="inlineStr">
        <is>
          <t>Shares</t>
        </is>
      </c>
      <c r="B14" s="23" t="n">
        <v>34.914</v>
      </c>
      <c r="C14" s="23" t="n">
        <v>56.128</v>
      </c>
      <c r="D14" s="23" t="n">
        <v>69.572</v>
      </c>
      <c r="E14" s="23" t="n">
        <v>101.648</v>
      </c>
      <c r="F14" s="23" t="n">
        <v>140.509</v>
      </c>
      <c r="G14" s="23" t="n">
        <v>157.455</v>
      </c>
      <c r="H14" s="23" t="n">
        <v>170.933</v>
      </c>
      <c r="I14" s="23" t="n">
        <v>11.922</v>
      </c>
      <c r="J14" s="23" t="n">
        <v>15.094</v>
      </c>
      <c r="K14" s="23" t="n">
        <v>15.099</v>
      </c>
      <c r="L14" s="23" t="n">
        <v>20.977</v>
      </c>
      <c r="M14" s="23" t="n">
        <v>42.859</v>
      </c>
      <c r="N14" s="23" t="n">
        <v>42.87</v>
      </c>
      <c r="O14" s="23" t="n">
        <v>46.888</v>
      </c>
      <c r="P14" s="23" t="n">
        <v>48.449</v>
      </c>
      <c r="Q14" s="23" t="n">
        <v>64.395</v>
      </c>
      <c r="R14" s="23" t="n">
        <v>66.422</v>
      </c>
    </row>
    <row r="15"/>
    <row r="16" customFormat="1" s="4">
      <c r="A16" s="3" t="inlineStr">
        <is>
          <t>Revenue Change</t>
        </is>
      </c>
      <c r="C16" s="15">
        <f>IFERROR(C2/B2-1,"")</f>
        <v>2.0825428194993414</v>
      </c>
      <c r="D16" s="15">
        <f>IFERROR(D2/C2-1,"")</f>
        <v>-0.8020002991900498</v>
      </c>
      <c r="E16" s="15">
        <f>IFERROR(E2/D2-1,"")</f>
        <v>0.20906637884511592</v>
      </c>
      <c r="F16" s="15">
        <f>IFERROR(F2/E2-1,"")</f>
        <v>-0.6330119621496162</v>
      </c>
      <c r="G16" s="15">
        <f>IFERROR(G2/F2-1,"")</f>
        <v>-0.12770615422038434</v>
      </c>
      <c r="H16" s="15">
        <f>IFERROR(H2/G2-1,"")</f>
        <v>0.5281650864472953</v>
      </c>
      <c r="I16" s="15">
        <f>IFERROR(I2/H2-1,"")</f>
        <v>0.23832116788321156</v>
      </c>
      <c r="J16" s="15">
        <f>IFERROR(J2/I2-1,"")</f>
        <v>0.8778367226643091</v>
      </c>
      <c r="K16" s="15">
        <f>IFERROR(K2/J2-1,"")</f>
        <v>-0.25151063328886447</v>
      </c>
      <c r="L16" s="15">
        <f>IFERROR(L2/K2-1,"")</f>
        <v>-0.6253931641853638</v>
      </c>
      <c r="M16" s="15">
        <f>IFERROR(M2/L2-1,"")</f>
        <v>1.0761265043380912</v>
      </c>
      <c r="N16" s="15">
        <f>IFERROR(N2/M2-1,"")</f>
        <v>-0.37301159342140744</v>
      </c>
      <c r="O16" s="15">
        <f>IFERROR(O2/N2-1,"")</f>
        <v>-0.4932272629542034</v>
      </c>
      <c r="P16" s="15">
        <f>IFERROR(P2/O2-1,"")</f>
        <v>1.920237590156979</v>
      </c>
      <c r="Q16" s="15">
        <f>IFERROR(Q2/P2-1,"")</f>
        <v>0.019904111579253092</v>
      </c>
      <c r="R16" s="15">
        <f>IFERROR(R2/Q2-1,"")</f>
        <v>-0.7799145299145299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0.7642204538756263</v>
      </c>
      <c r="J17" s="15">
        <f>IFERROR(J4/J2,"")</f>
        <v>0.9450678804049283</v>
      </c>
      <c r="K17" s="15">
        <f>IFERROR(K4/K2,"")</f>
        <v>0.9266093520654226</v>
      </c>
      <c r="L17" s="15">
        <f>IFERROR(L4/L2,"")</f>
        <v>0.9720123145815841</v>
      </c>
      <c r="M17" s="15">
        <f>IFERROR(M4/M2,"")</f>
        <v>0.9730385548665408</v>
      </c>
      <c r="N17" s="15">
        <f>IFERROR(N4/N2,"")</f>
        <v>0.9784992474736617</v>
      </c>
      <c r="O17" s="15">
        <f>IFERROR(O4/O2,"")</f>
        <v>0.9575731862537123</v>
      </c>
      <c r="P17" s="15">
        <f>IFERROR(P4/P2,"")</f>
        <v>0.9564143542060148</v>
      </c>
      <c r="Q17" s="15">
        <f>IFERROR(Q4/Q2,"")</f>
        <v>0.9715099715099715</v>
      </c>
      <c r="R17" s="15">
        <f>IFERROR(R4/R2,"")</f>
        <v>0.8705501618122977</v>
      </c>
    </row>
    <row r="18">
      <c r="A18" s="14" t="inlineStr">
        <is>
          <t>Operating Margin</t>
        </is>
      </c>
      <c r="B18" s="15">
        <f>IFERROR(B8/B2,"")</f>
        <v>-2.427536231884058</v>
      </c>
      <c r="C18" s="15">
        <f>IFERROR(C8/C2,"")</f>
        <v>-0.13794798367277153</v>
      </c>
      <c r="D18" s="15">
        <f>IFERROR(D8/D2,"")</f>
        <v>-4.684187803561792</v>
      </c>
      <c r="E18" s="15">
        <f>IFERROR(E8/E2,"")</f>
        <v>-5.184520621317621</v>
      </c>
      <c r="F18" s="15">
        <f>IFERROR(F8/F2,"")</f>
        <v>-19.810751641936267</v>
      </c>
      <c r="G18" s="15">
        <f>IFERROR(G8/G2,"")</f>
        <v>-34.14110429447853</v>
      </c>
      <c r="H18" s="15">
        <f>IFERROR(H8/H2,"")</f>
        <v>-23.63886861313869</v>
      </c>
      <c r="I18" s="15">
        <f>IFERROR(I8/I2,"")</f>
        <v>-19.586796345417035</v>
      </c>
      <c r="J18" s="15">
        <f>IFERROR(J8/J2,"")</f>
        <v>-9.536765282900415</v>
      </c>
      <c r="K18" s="15">
        <f>IFERROR(K8/K2,"")</f>
        <v>-16.401342000419376</v>
      </c>
      <c r="L18" s="15">
        <f>IFERROR(L8/L2,"")</f>
        <v>-15.401903162608452</v>
      </c>
      <c r="M18" s="15">
        <f>IFERROR(M8/M2,"")</f>
        <v>-8.540576974925855</v>
      </c>
      <c r="N18" s="15">
        <f>IFERROR(N8/N2,"")</f>
        <v>-15.317781122339282</v>
      </c>
      <c r="O18" s="15">
        <f>IFERROR(O8/O2,"")</f>
        <v>-48.8901145523971</v>
      </c>
      <c r="P18" s="15">
        <f>IFERROR(P8/P2,"")</f>
        <v>-22.452709574313527</v>
      </c>
      <c r="Q18" s="15">
        <f>IFERROR(Q8/Q2,"")</f>
        <v>-27.788888888888895</v>
      </c>
      <c r="R18" s="15">
        <f>IFERROR(R8/R2,"")</f>
        <v>-185.99805825242717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2026-10-21T01:04:25Z</dcterms:modified>
  <cp:lastModifiedBy>Wang, Eric</cp:lastModifiedBy>
</cp:coreProperties>
</file>