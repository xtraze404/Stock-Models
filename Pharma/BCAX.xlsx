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Bicara Therapeutics Inc</t>
        </is>
      </c>
      <c r="C2" s="10" t="n"/>
    </row>
    <row r="3">
      <c r="B3" t="inlineStr">
        <is>
          <t>Price</t>
        </is>
      </c>
      <c r="C3" s="11">
        <f>INDEX([1]Pharma!$F$1:$F$1000,MATCH("BCAX",[1]Pharma!$B$1:$B$1000,0))</f>
        <v>18.35</v>
      </c>
      <c r="F3" s="1" t="n"/>
    </row>
    <row r="4">
      <c r="B4" t="inlineStr">
        <is>
          <t>Shares</t>
        </is>
      </c>
      <c r="C4" s="21" t="n">
        <v>66.172934</v>
      </c>
      <c r="F4" s="1" t="n"/>
    </row>
    <row r="5">
      <c r="B5" t="inlineStr">
        <is>
          <t>Market Cap.</t>
        </is>
      </c>
      <c r="C5" s="13">
        <f>C3*C4</f>
        <v>1214.2733389</v>
      </c>
      <c r="F5" s="1" t="n"/>
    </row>
    <row r="6"/>
    <row r="7">
      <c r="B7" t="inlineStr">
        <is>
          <t>Cash</t>
        </is>
      </c>
      <c r="C7" s="21">
        <f>96.599+400.66</f>
        <v>497.259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717.0143389</v>
      </c>
    </row>
    <row r="10"/>
    <row r="11">
      <c r="B11" s="14" t="inlineStr">
        <is>
          <t>rNPV / Share</t>
        </is>
      </c>
      <c r="C11" s="11">
        <f>NPV!B27</f>
        <v>2.765728550424769</v>
      </c>
    </row>
    <row r="12">
      <c r="B12" s="14" t="inlineStr">
        <is>
          <t>Upside</t>
        </is>
      </c>
      <c r="C12" s="15">
        <f>IFERROR(C11/C3-1,"")</f>
        <v>-0.8492790980694949</v>
      </c>
    </row>
    <row r="13">
      <c r="B13" s="14" t="inlineStr">
        <is>
          <t>Cash / Share</t>
        </is>
      </c>
      <c r="C13" s="11">
        <f>IFERROR((C7-C8)/C4,"")</f>
        <v>7.514537590248001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-134.848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3.687551910299003</v>
      </c>
    </row>
    <row r="19">
      <c r="B19" s="14" t="inlineStr">
        <is>
          <t>Implied Pipeline Value</t>
        </is>
      </c>
      <c r="C19" s="13">
        <f>C9</f>
        <v>717.0143389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30.6</v>
      </c>
      <c r="C5" s="23" t="n">
        <v>63.6</v>
      </c>
      <c r="D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9.289</v>
      </c>
      <c r="C6" s="23" t="n">
        <v>18.789</v>
      </c>
      <c r="D6" s="23" t="n">
        <v>155.604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39.889</v>
      </c>
      <c r="C7" s="23">
        <f>SUM(C5:C6)</f>
        <v>82.38900000000001</v>
      </c>
      <c r="D7" s="23">
        <f>SUM(D5:D6)</f>
        <v>155.604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-39.889</v>
      </c>
      <c r="C8" s="23">
        <f>C4-C7</f>
        <v>-82.38900000000001</v>
      </c>
      <c r="D8" s="23">
        <f>D4-D7</f>
        <v>-155.604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-12.091</v>
      </c>
      <c r="C9" s="23" t="n">
        <v>14.581</v>
      </c>
      <c r="D9" s="23" t="n">
        <v>17.871</v>
      </c>
    </row>
    <row r="10">
      <c r="A10" s="2" t="inlineStr">
        <is>
          <t>Pretax</t>
        </is>
      </c>
      <c r="B10" s="23">
        <f>B8+B9</f>
        <v>-51.980000000000004</v>
      </c>
      <c r="C10" s="23">
        <f>C8+C9</f>
        <v>-67.808</v>
      </c>
      <c r="D10" s="23">
        <f>D8+D9</f>
        <v>-137.733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0.005</v>
      </c>
      <c r="C11" s="23" t="n">
        <v>0.187</v>
      </c>
      <c r="D11" s="23" t="n">
        <v>0.217</v>
      </c>
    </row>
    <row r="12">
      <c r="A12" s="2" t="inlineStr">
        <is>
          <t>Net Income</t>
        </is>
      </c>
      <c r="B12" s="23" t="n">
        <v>-51.985</v>
      </c>
      <c r="C12" s="23" t="n">
        <v>-67.995</v>
      </c>
      <c r="D12" s="23" t="n">
        <v>-137.95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-0.948648697968941</v>
      </c>
      <c r="C13" s="11">
        <f>IFERROR(C12/C14,0)</f>
        <v>-1.2421219926563272</v>
      </c>
      <c r="D13" s="11">
        <f>IFERROR(D12/D14,0)</f>
        <v>-2.522998701464967</v>
      </c>
    </row>
    <row r="14">
      <c r="A14" s="2" t="inlineStr">
        <is>
          <t>Shares</t>
        </is>
      </c>
      <c r="B14" s="23" t="n">
        <v>54.799</v>
      </c>
      <c r="C14" s="23" t="n">
        <v>54.741</v>
      </c>
      <c r="D14" s="23" t="n">
        <v>54.677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Bicara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0.25892720999999996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201.989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257.9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-314.2426271708261</v>
      </c>
      <c r="C29" s="42">
        <f>NPV!B25</f>
        <v>183.01637282917392</v>
      </c>
      <c r="D29" s="43">
        <f>NPV!B27</f>
        <v>2.765728550424769</v>
      </c>
      <c r="E29" s="44">
        <f>NPV!B29</f>
        <v>-0.8492790980694949</v>
      </c>
    </row>
    <row r="30">
      <c r="A30" s="45" t="n">
        <v>1</v>
      </c>
      <c r="B30" s="46">
        <f t="dataTable" ref="B30:E32" r1="B4"/>
        <v>-482.96143091395817</v>
      </c>
      <c r="C30" s="46">
        <v>14.297569086041847</v>
      </c>
      <c r="D30" s="47">
        <v>0.2160637019063088</v>
      </c>
      <c r="E30" s="48">
        <v>-0.9882254113402557</v>
      </c>
    </row>
    <row r="31">
      <c r="A31" s="45" t="n">
        <v>2</v>
      </c>
      <c r="B31" s="46">
        <v>-314.2426271708261</v>
      </c>
      <c r="C31" s="46">
        <v>183.01637282917392</v>
      </c>
      <c r="D31" s="47">
        <v>2.765728550424769</v>
      </c>
      <c r="E31" s="48">
        <v>-0.8492790980694949</v>
      </c>
    </row>
    <row r="32">
      <c r="A32" s="45" t="n">
        <v>3</v>
      </c>
      <c r="B32" s="46">
        <v>-59.0774392121265</v>
      </c>
      <c r="C32" s="46">
        <v>438.18156078787354</v>
      </c>
      <c r="D32" s="47">
        <v>6.621764130752817</v>
      </c>
      <c r="E32" s="48">
        <v>-0.6391409193050236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2.765728550424769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-0.45196233117448853</v>
      </c>
      <c r="C37" s="47">
        <v>0.33570015140774095</v>
      </c>
      <c r="D37" s="47">
        <v>1.1233626339899705</v>
      </c>
      <c r="E37" s="47">
        <v>2.698687599154433</v>
      </c>
      <c r="F37" s="47">
        <v>4.112889909661564</v>
      </c>
    </row>
    <row r="38">
      <c r="A38" s="50" t="n">
        <v>0.8</v>
      </c>
      <c r="B38" s="47">
        <v>-0.15797277522872358</v>
      </c>
      <c r="C38" s="47">
        <v>0.8922438682142514</v>
      </c>
      <c r="D38" s="47">
        <v>1.9424605116572238</v>
      </c>
      <c r="E38" s="47">
        <v>3.9082006187736966</v>
      </c>
      <c r="F38" s="47">
        <v>5.703092331078813</v>
      </c>
    </row>
    <row r="39">
      <c r="A39" s="50" t="n">
        <v>1</v>
      </c>
      <c r="B39" s="47">
        <v>0.14018694181733185</v>
      </c>
      <c r="C39" s="47">
        <v>1.4529577461210497</v>
      </c>
      <c r="D39" s="47">
        <v>2.765728550424769</v>
      </c>
      <c r="E39" s="47">
        <v>5.06106029476055</v>
      </c>
      <c r="F39" s="47">
        <v>7.262765210550528</v>
      </c>
    </row>
    <row r="40">
      <c r="A40" s="50" t="n">
        <v>1.2</v>
      </c>
      <c r="B40" s="47">
        <v>0.4425168199636838</v>
      </c>
      <c r="C40" s="47">
        <v>2.0178417851281454</v>
      </c>
      <c r="D40" s="47">
        <v>3.5062732835287775</v>
      </c>
      <c r="E40" s="47">
        <v>6.196990645036507</v>
      </c>
      <c r="F40" s="47">
        <v>8.807657013787544</v>
      </c>
    </row>
    <row r="41">
      <c r="A41" s="50" t="n">
        <v>1.4</v>
      </c>
      <c r="B41" s="47">
        <v>0.7490168592103297</v>
      </c>
      <c r="C41" s="47">
        <v>2.5868959852355333</v>
      </c>
      <c r="D41" s="47">
        <v>4.224473762477251</v>
      </c>
      <c r="E41" s="47">
        <v>7.321740189899472</v>
      </c>
      <c r="F41" s="47">
        <v>10.34405601029292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Bicara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Head and neck cancer</t>
        </is>
      </c>
      <c r="C4" s="14" t="inlineStr">
        <is>
          <t>Ficerafusp alfa</t>
        </is>
      </c>
      <c r="D4" s="14" t="inlineStr">
        <is>
          <t>Phase 2/3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0.2177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278.2577802975938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21.77</v>
      </c>
      <c r="R4" s="23">
        <f>IF(R$3&lt;$I4,0,$G4*Assumptions!$E$11*INDEX(Assumptions!$B$24:$G$24,MIN(6,R$3-$I4+1))*IF(R$3&gt;$J4,(1-Assumptions!$B$26)^(R$3-$J4),1)*IF($H4&gt;=1,1,MIN(0.97,$H4*Assumptions!$E$12)))</f>
        <v>54.425000000000004</v>
      </c>
      <c r="S4" s="23">
        <f>IF(S$3&lt;$I4,0,$G4*Assumptions!$E$11*INDEX(Assumptions!$B$24:$G$24,MIN(6,S$3-$I4+1))*IF(S$3&gt;$J4,(1-Assumptions!$B$26)^(S$3-$J4),1)*IF($H4&gt;=1,1,MIN(0.97,$H4*Assumptions!$E$12)))</f>
        <v>97.965</v>
      </c>
      <c r="T4" s="23">
        <f>IF(T$3&lt;$I4,0,$G4*Assumptions!$E$11*INDEX(Assumptions!$B$24:$G$24,MIN(6,T$3-$I4+1))*IF(T$3&gt;$J4,(1-Assumptions!$B$26)^(T$3-$J4),1)*IF($H4&gt;=1,1,MIN(0.97,$H4*Assumptions!$E$12)))</f>
        <v>141.505</v>
      </c>
      <c r="U4" s="23">
        <f>IF(U$3&lt;$I4,0,$G4*Assumptions!$E$11*INDEX(Assumptions!$B$24:$G$24,MIN(6,U$3-$I4+1))*IF(U$3&gt;$J4,(1-Assumptions!$B$26)^(U$3-$J4),1)*IF($H4&gt;=1,1,MIN(0.97,$H4*Assumptions!$E$12)))</f>
        <v>185.04500000000002</v>
      </c>
      <c r="V4" s="23">
        <f>IF(V$3&lt;$I4,0,$G4*Assumptions!$E$11*INDEX(Assumptions!$B$24:$G$24,MIN(6,V$3-$I4+1))*IF(V$3&gt;$J4,(1-Assumptions!$B$26)^(V$3-$J4),1)*IF($H4&gt;=1,1,MIN(0.97,$H4*Assumptions!$E$12)))</f>
        <v>217.70000000000002</v>
      </c>
      <c r="W4" s="23">
        <f>IF(W$3&lt;$I4,0,$G4*Assumptions!$E$11*INDEX(Assumptions!$B$24:$G$24,MIN(6,W$3-$I4+1))*IF(W$3&gt;$J4,(1-Assumptions!$B$26)^(W$3-$J4),1)*IF($H4&gt;=1,1,MIN(0.97,$H4*Assumptions!$E$12)))</f>
        <v>217.70000000000002</v>
      </c>
      <c r="X4" s="23">
        <f>IF(X$3&lt;$I4,0,$G4*Assumptions!$E$11*INDEX(Assumptions!$B$24:$G$24,MIN(6,X$3-$I4+1))*IF(X$3&gt;$J4,(1-Assumptions!$B$26)^(X$3-$J4),1)*IF($H4&gt;=1,1,MIN(0.97,$H4*Assumptions!$E$12)))</f>
        <v>217.70000000000002</v>
      </c>
      <c r="Y4" s="23">
        <f>IF(Y$3&lt;$I4,0,$G4*Assumptions!$E$11*INDEX(Assumptions!$B$24:$G$24,MIN(6,Y$3-$I4+1))*IF(Y$3&gt;$J4,(1-Assumptions!$B$26)^(Y$3-$J4),1)*IF($H4&gt;=1,1,MIN(0.97,$H4*Assumptions!$E$12)))</f>
        <v>217.70000000000002</v>
      </c>
      <c r="Z4" s="23">
        <f>IF(Z$3&lt;$I4,0,$G4*Assumptions!$E$11*INDEX(Assumptions!$B$24:$G$24,MIN(6,Z$3-$I4+1))*IF(Z$3&gt;$J4,(1-Assumptions!$B$26)^(Z$3-$J4),1)*IF($H4&gt;=1,1,MIN(0.97,$H4*Assumptions!$E$12)))</f>
        <v>217.70000000000002</v>
      </c>
      <c r="AA4" s="23">
        <f>IF(AA$3&lt;$I4,0,$G4*Assumptions!$E$11*INDEX(Assumptions!$B$24:$G$24,MIN(6,AA$3-$I4+1))*IF(AA$3&gt;$J4,(1-Assumptions!$B$26)^(AA$3-$J4),1)*IF($H4&gt;=1,1,MIN(0.97,$H4*Assumptions!$E$12)))</f>
        <v>217.70000000000002</v>
      </c>
      <c r="AB4" s="23">
        <f>IF(AB$3&lt;$I4,0,$G4*Assumptions!$E$11*INDEX(Assumptions!$B$24:$G$24,MIN(6,AB$3-$I4+1))*IF(AB$3&gt;$J4,(1-Assumptions!$B$26)^(AB$3-$J4),1)*IF($H4&gt;=1,1,MIN(0.97,$H4*Assumptions!$E$12)))</f>
        <v>217.70000000000002</v>
      </c>
      <c r="AC4" s="23">
        <f>IF(AC$3&lt;$I4,0,$G4*Assumptions!$E$11*INDEX(Assumptions!$B$24:$G$24,MIN(6,AC$3-$I4+1))*IF(AC$3&gt;$J4,(1-Assumptions!$B$26)^(AC$3-$J4),1)*IF($H4&gt;=1,1,MIN(0.97,$H4*Assumptions!$E$12)))</f>
        <v>217.70000000000002</v>
      </c>
      <c r="AD4" s="23">
        <f>IF(AD$3&lt;$I4,0,$G4*Assumptions!$E$11*INDEX(Assumptions!$B$24:$G$24,MIN(6,AD$3-$I4+1))*IF(AD$3&gt;$J4,(1-Assumptions!$B$26)^(AD$3-$J4),1)*IF($H4&gt;=1,1,MIN(0.97,$H4*Assumptions!$E$12)))</f>
        <v>108.85000000000001</v>
      </c>
      <c r="AE4" s="23">
        <f>IF(AE$3&lt;$I4,0,$G4*Assumptions!$E$11*INDEX(Assumptions!$B$24:$G$24,MIN(6,AE$3-$I4+1))*IF(AE$3&gt;$J4,(1-Assumptions!$B$26)^(AE$3-$J4),1)*IF($H4&gt;=1,1,MIN(0.97,$H4*Assumptions!$E$12)))</f>
        <v>54.425000000000004</v>
      </c>
      <c r="AF4" s="23">
        <f>IF(AF$3&lt;$I4,0,$G4*Assumptions!$E$11*INDEX(Assumptions!$B$24:$G$24,MIN(6,AF$3-$I4+1))*IF(AF$3&gt;$J4,(1-Assumptions!$B$26)^(AF$3-$J4),1)*IF($H4&gt;=1,1,MIN(0.97,$H4*Assumptions!$E$12)))</f>
        <v>27.212500000000002</v>
      </c>
      <c r="AG4" s="35">
        <f>IF(F4="Owned",1-IF(H4&gt;=1,1,MIN(0.97,H4*Assumptions!$E$12)),1)</f>
        <v>0.7823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BCA101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B6" s="24" t="inlineStr">
        <is>
          <t>Risked revenue</t>
        </is>
      </c>
      <c r="L6" s="54">
        <f>SUM(L4:L5)</f>
        <v>347.4795831612673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21.77</v>
      </c>
      <c r="R6" s="54">
        <f>SUM(R4:R5)</f>
        <v>54.425000000000004</v>
      </c>
      <c r="S6" s="54">
        <f>SUM(S4:S5)</f>
        <v>97.965</v>
      </c>
      <c r="T6" s="54">
        <f>SUM(T4:T5)</f>
        <v>149.41</v>
      </c>
      <c r="U6" s="54">
        <f>SUM(U4:U5)</f>
        <v>204.8075</v>
      </c>
      <c r="V6" s="54">
        <f>SUM(V4:V5)</f>
        <v>253.2725</v>
      </c>
      <c r="W6" s="54">
        <f>SUM(W4:W5)</f>
        <v>269.08250000000004</v>
      </c>
      <c r="X6" s="54">
        <f>SUM(X4:X5)</f>
        <v>284.89250000000004</v>
      </c>
      <c r="Y6" s="54">
        <f>SUM(Y4:Y5)</f>
        <v>296.75</v>
      </c>
      <c r="Z6" s="54">
        <f>SUM(Z4:Z5)</f>
        <v>296.75</v>
      </c>
      <c r="AA6" s="54">
        <f>SUM(AA4:AA5)</f>
        <v>296.75</v>
      </c>
      <c r="AB6" s="54">
        <f>SUM(AB4:AB5)</f>
        <v>296.75</v>
      </c>
      <c r="AC6" s="54">
        <f>SUM(AC4:AC5)</f>
        <v>296.75</v>
      </c>
      <c r="AD6" s="54">
        <f>SUM(AD4:AD5)</f>
        <v>187.9</v>
      </c>
      <c r="AE6" s="54">
        <f>SUM(AE4:AE5)</f>
        <v>133.475</v>
      </c>
      <c r="AF6" s="54">
        <f>SUM(AF4:AF5)</f>
        <v>106.2625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8.708</v>
      </c>
      <c r="R7" s="55">
        <f>SUMPRODUCT(R4:R5,$K$4:$K$5)</f>
        <v>21.770000000000003</v>
      </c>
      <c r="S7" s="55">
        <f>SUMPRODUCT(S4:S5,$K$4:$K$5)</f>
        <v>39.18600000000001</v>
      </c>
      <c r="T7" s="55">
        <f>SUMPRODUCT(T4:T5,$K$4:$K$5)</f>
        <v>59.764</v>
      </c>
      <c r="U7" s="55">
        <f>SUMPRODUCT(U4:U5,$K$4:$K$5)</f>
        <v>81.92300000000002</v>
      </c>
      <c r="V7" s="55">
        <f>SUMPRODUCT(V4:V5,$K$4:$K$5)</f>
        <v>101.30900000000001</v>
      </c>
      <c r="W7" s="55">
        <f>SUMPRODUCT(W4:W5,$K$4:$K$5)</f>
        <v>107.63300000000001</v>
      </c>
      <c r="X7" s="55">
        <f>SUMPRODUCT(X4:X5,$K$4:$K$5)</f>
        <v>113.95700000000001</v>
      </c>
      <c r="Y7" s="55">
        <f>SUMPRODUCT(Y4:Y5,$K$4:$K$5)</f>
        <v>118.70000000000002</v>
      </c>
      <c r="Z7" s="55">
        <f>SUMPRODUCT(Z4:Z5,$K$4:$K$5)</f>
        <v>118.70000000000002</v>
      </c>
      <c r="AA7" s="55">
        <f>SUMPRODUCT(AA4:AA5,$K$4:$K$5)</f>
        <v>118.70000000000002</v>
      </c>
      <c r="AB7" s="55">
        <f>SUMPRODUCT(AB4:AB5,$K$4:$K$5)</f>
        <v>118.70000000000002</v>
      </c>
      <c r="AC7" s="55">
        <f>SUMPRODUCT(AC4:AC5,$K$4:$K$5)</f>
        <v>118.70000000000002</v>
      </c>
      <c r="AD7" s="55">
        <f>SUMPRODUCT(AD4:AD5,$K$4:$K$5)</f>
        <v>75.16000000000001</v>
      </c>
      <c r="AE7" s="55">
        <f>SUMPRODUCT(AE4:AE5,$K$4:$K$5)</f>
        <v>53.39</v>
      </c>
      <c r="AF7" s="55">
        <f>SUMPRODUCT(AF4:AF5,$K$4:$K$5)</f>
        <v>42.505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Bicara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21.77</v>
      </c>
      <c r="H4" s="57">
        <f>Pipeline!R6</f>
        <v>54.425000000000004</v>
      </c>
      <c r="I4" s="57">
        <f>Pipeline!S6</f>
        <v>97.965</v>
      </c>
      <c r="J4" s="57">
        <f>Pipeline!T6</f>
        <v>149.41</v>
      </c>
      <c r="K4" s="57">
        <f>Pipeline!U6</f>
        <v>204.8075</v>
      </c>
      <c r="L4" s="57">
        <f>Pipeline!V6</f>
        <v>253.2725</v>
      </c>
      <c r="M4" s="57">
        <f>Pipeline!W6</f>
        <v>269.08250000000004</v>
      </c>
      <c r="N4" s="57">
        <f>Pipeline!X6</f>
        <v>284.89250000000004</v>
      </c>
      <c r="O4" s="57">
        <f>Pipeline!Y6</f>
        <v>296.75</v>
      </c>
      <c r="P4" s="57">
        <f>Pipeline!Z6</f>
        <v>296.75</v>
      </c>
      <c r="Q4" s="57">
        <f>Pipeline!AA6</f>
        <v>296.75</v>
      </c>
      <c r="R4" s="57">
        <f>Pipeline!AB6</f>
        <v>296.75</v>
      </c>
      <c r="S4" s="57">
        <f>Pipeline!AC6</f>
        <v>296.75</v>
      </c>
      <c r="T4" s="57">
        <f>Pipeline!AD6</f>
        <v>187.9</v>
      </c>
      <c r="U4" s="57">
        <f>Pipeline!AE6</f>
        <v>133.475</v>
      </c>
      <c r="V4" s="57">
        <f>Pipeline!AF6</f>
        <v>106.2625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8.708</v>
      </c>
      <c r="H5" s="57">
        <f>Pipeline!R7</f>
        <v>21.770000000000003</v>
      </c>
      <c r="I5" s="57">
        <f>Pipeline!S7</f>
        <v>39.18600000000001</v>
      </c>
      <c r="J5" s="57">
        <f>Pipeline!T7</f>
        <v>59.764</v>
      </c>
      <c r="K5" s="57">
        <f>Pipeline!U7</f>
        <v>81.92300000000002</v>
      </c>
      <c r="L5" s="57">
        <f>Pipeline!V7</f>
        <v>101.30900000000001</v>
      </c>
      <c r="M5" s="57">
        <f>Pipeline!W7</f>
        <v>107.63300000000001</v>
      </c>
      <c r="N5" s="57">
        <f>Pipeline!X7</f>
        <v>113.95700000000001</v>
      </c>
      <c r="O5" s="57">
        <f>Pipeline!Y7</f>
        <v>118.70000000000002</v>
      </c>
      <c r="P5" s="57">
        <f>Pipeline!Z7</f>
        <v>118.70000000000002</v>
      </c>
      <c r="Q5" s="57">
        <f>Pipeline!AA7</f>
        <v>118.70000000000002</v>
      </c>
      <c r="R5" s="57">
        <f>Pipeline!AB7</f>
        <v>118.70000000000002</v>
      </c>
      <c r="S5" s="57">
        <f>Pipeline!AC7</f>
        <v>118.70000000000002</v>
      </c>
      <c r="T5" s="57">
        <f>Pipeline!AD7</f>
        <v>75.16000000000001</v>
      </c>
      <c r="U5" s="57">
        <f>Pipeline!AE7</f>
        <v>53.39</v>
      </c>
      <c r="V5" s="57">
        <f>Pipeline!AF7</f>
        <v>42.505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-201.989</v>
      </c>
      <c r="D6" s="23">
        <f>-IF(D3-2026&lt;Assumptions!$B$19,Assumptions!$B$18,Assumptions!$B$18*Assumptions!$B$20*Assumptions!$B$16)</f>
        <v>-201.989</v>
      </c>
      <c r="E6" s="23">
        <f>-IF(E3-2026&lt;Assumptions!$B$19,Assumptions!$B$18,Assumptions!$B$18*Assumptions!$B$20*Assumptions!$B$16)</f>
        <v>-201.989</v>
      </c>
      <c r="F6" s="23">
        <f>-IF(F3-2026&lt;Assumptions!$B$19,Assumptions!$B$18,Assumptions!$B$18*Assumptions!$B$20*Assumptions!$B$16)</f>
        <v>-201.989</v>
      </c>
      <c r="G6" s="23">
        <f>-IF(G3-2026&lt;Assumptions!$B$19,Assumptions!$B$18,Assumptions!$B$18*Assumptions!$B$20*Assumptions!$B$16)</f>
        <v>-15.690134466206997</v>
      </c>
      <c r="H6" s="23">
        <f>-IF(H3-2026&lt;Assumptions!$B$19,Assumptions!$B$18,Assumptions!$B$18*Assumptions!$B$20*Assumptions!$B$16)</f>
        <v>-15.690134466206997</v>
      </c>
      <c r="I6" s="23">
        <f>-IF(I3-2026&lt;Assumptions!$B$19,Assumptions!$B$18,Assumptions!$B$18*Assumptions!$B$20*Assumptions!$B$16)</f>
        <v>-15.690134466206997</v>
      </c>
      <c r="J6" s="23">
        <f>-IF(J3-2026&lt;Assumptions!$B$19,Assumptions!$B$18,Assumptions!$B$18*Assumptions!$B$20*Assumptions!$B$16)</f>
        <v>-15.690134466206997</v>
      </c>
      <c r="K6" s="23">
        <f>-IF(K3-2026&lt;Assumptions!$B$19,Assumptions!$B$18,Assumptions!$B$18*Assumptions!$B$20*Assumptions!$B$16)</f>
        <v>-15.690134466206997</v>
      </c>
      <c r="L6" s="23">
        <f>-IF(L3-2026&lt;Assumptions!$B$19,Assumptions!$B$18,Assumptions!$B$18*Assumptions!$B$20*Assumptions!$B$16)</f>
        <v>-15.690134466206997</v>
      </c>
      <c r="M6" s="23">
        <f>-IF(M3-2026&lt;Assumptions!$B$19,Assumptions!$B$18,Assumptions!$B$18*Assumptions!$B$20*Assumptions!$B$16)</f>
        <v>-15.690134466206997</v>
      </c>
      <c r="N6" s="23">
        <f>-IF(N3-2026&lt;Assumptions!$B$19,Assumptions!$B$18,Assumptions!$B$18*Assumptions!$B$20*Assumptions!$B$16)</f>
        <v>-15.690134466206997</v>
      </c>
      <c r="O6" s="23">
        <f>-IF(O3-2026&lt;Assumptions!$B$19,Assumptions!$B$18,Assumptions!$B$18*Assumptions!$B$20*Assumptions!$B$16)</f>
        <v>-15.690134466206997</v>
      </c>
      <c r="P6" s="23">
        <f>-IF(P3-2026&lt;Assumptions!$B$19,Assumptions!$B$18,Assumptions!$B$18*Assumptions!$B$20*Assumptions!$B$16)</f>
        <v>-15.690134466206997</v>
      </c>
      <c r="Q6" s="23">
        <f>-IF(Q3-2026&lt;Assumptions!$B$19,Assumptions!$B$18,Assumptions!$B$18*Assumptions!$B$20*Assumptions!$B$16)</f>
        <v>-15.690134466206997</v>
      </c>
      <c r="R6" s="23">
        <f>-IF(R3-2026&lt;Assumptions!$B$19,Assumptions!$B$18,Assumptions!$B$18*Assumptions!$B$20*Assumptions!$B$16)</f>
        <v>-15.690134466206997</v>
      </c>
      <c r="S6" s="23">
        <f>-IF(S3-2026&lt;Assumptions!$B$19,Assumptions!$B$18,Assumptions!$B$18*Assumptions!$B$20*Assumptions!$B$16)</f>
        <v>-15.690134466206997</v>
      </c>
      <c r="T6" s="23">
        <f>-IF(T3-2026&lt;Assumptions!$B$19,Assumptions!$B$18,Assumptions!$B$18*Assumptions!$B$20*Assumptions!$B$16)</f>
        <v>-15.690134466206997</v>
      </c>
      <c r="U6" s="23">
        <f>-IF(U3-2026&lt;Assumptions!$B$19,Assumptions!$B$18,Assumptions!$B$18*Assumptions!$B$20*Assumptions!$B$16)</f>
        <v>-15.690134466206997</v>
      </c>
      <c r="V6" s="23">
        <f>-IF(V3-2026&lt;Assumptions!$B$19,Assumptions!$B$18,Assumptions!$B$18*Assumptions!$B$20*Assumptions!$B$16)</f>
        <v>-15.690134466206997</v>
      </c>
    </row>
    <row r="7">
      <c r="A7" s="14" t="inlineStr">
        <is>
          <t>Pre-tax cash flow</t>
        </is>
      </c>
      <c r="C7" s="23">
        <f>C5+C6</f>
        <v>-201.989</v>
      </c>
      <c r="D7" s="23">
        <f>D5+D6</f>
        <v>-201.989</v>
      </c>
      <c r="E7" s="23">
        <f>E5+E6</f>
        <v>-201.989</v>
      </c>
      <c r="F7" s="23">
        <f>F5+F6</f>
        <v>-201.989</v>
      </c>
      <c r="G7" s="23">
        <f>G5+G6</f>
        <v>-6.982134466206997</v>
      </c>
      <c r="H7" s="23">
        <f>H5+H6</f>
        <v>6.079865533793006</v>
      </c>
      <c r="I7" s="23">
        <f>I5+I6</f>
        <v>23.49586553379301</v>
      </c>
      <c r="J7" s="23">
        <f>J5+J6</f>
        <v>44.073865533793004</v>
      </c>
      <c r="K7" s="23">
        <f>K5+K6</f>
        <v>66.23286553379302</v>
      </c>
      <c r="L7" s="23">
        <f>L5+L6</f>
        <v>85.61886553379301</v>
      </c>
      <c r="M7" s="23">
        <f>M5+M6</f>
        <v>91.94286553379301</v>
      </c>
      <c r="N7" s="23">
        <f>N5+N6</f>
        <v>98.26686553379301</v>
      </c>
      <c r="O7" s="23">
        <f>O5+O6</f>
        <v>103.00986553379302</v>
      </c>
      <c r="P7" s="23">
        <f>P5+P6</f>
        <v>103.00986553379302</v>
      </c>
      <c r="Q7" s="23">
        <f>Q5+Q6</f>
        <v>103.00986553379302</v>
      </c>
      <c r="R7" s="23">
        <f>R5+R6</f>
        <v>103.00986553379302</v>
      </c>
      <c r="S7" s="23">
        <f>S5+S6</f>
        <v>103.00986553379302</v>
      </c>
      <c r="T7" s="23">
        <f>T5+T6</f>
        <v>59.46986553379301</v>
      </c>
      <c r="U7" s="23">
        <f>U5+U6</f>
        <v>37.699865533793</v>
      </c>
      <c r="V7" s="23">
        <f>V5+V6</f>
        <v>26.814865533793004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6.079865533793006</v>
      </c>
      <c r="I8" s="23">
        <f>MIN(H17,MAX(0,I7))</f>
        <v>23.49586553379301</v>
      </c>
      <c r="J8" s="23">
        <f>MIN(I17,MAX(0,J7))</f>
        <v>44.073865533793004</v>
      </c>
      <c r="K8" s="23">
        <f>MIN(J17,MAX(0,K7))</f>
        <v>66.23286553379302</v>
      </c>
      <c r="L8" s="23">
        <f>MIN(K17,MAX(0,L7))</f>
        <v>85.61886553379301</v>
      </c>
      <c r="M8" s="23">
        <f>MIN(L17,MAX(0,M7))</f>
        <v>91.94286553379301</v>
      </c>
      <c r="N8" s="23">
        <f>MIN(M17,MAX(0,N7))</f>
        <v>98.26686553379301</v>
      </c>
      <c r="O8" s="23">
        <f>MIN(N17,MAX(0,O7))</f>
        <v>103.00986553379302</v>
      </c>
      <c r="P8" s="23">
        <f>MIN(O17,MAX(0,P7))</f>
        <v>103.00986553379302</v>
      </c>
      <c r="Q8" s="23">
        <f>MIN(P17,MAX(0,Q7))</f>
        <v>103.00986553379302</v>
      </c>
      <c r="R8" s="23">
        <f>MIN(Q17,MAX(0,R7))</f>
        <v>103.00986553379302</v>
      </c>
      <c r="S8" s="23">
        <f>MIN(R17,MAX(0,S7))</f>
        <v>103.00986553379302</v>
      </c>
      <c r="T8" s="23">
        <f>MIN(S17,MAX(0,T7))</f>
        <v>59.46986553379301</v>
      </c>
      <c r="U8" s="23">
        <f>MIN(T17,MAX(0,U7))</f>
        <v>37.699865533793</v>
      </c>
      <c r="V8" s="23">
        <f>MIN(U17,MAX(0,V7))</f>
        <v>26.814865533793004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-201.989</v>
      </c>
      <c r="D11" s="55">
        <f>D7-D10</f>
        <v>-201.989</v>
      </c>
      <c r="E11" s="55">
        <f>E7-E10</f>
        <v>-201.989</v>
      </c>
      <c r="F11" s="55">
        <f>F7-F10</f>
        <v>-201.989</v>
      </c>
      <c r="G11" s="55">
        <f>G7-G10</f>
        <v>-6.982134466206997</v>
      </c>
      <c r="H11" s="55">
        <f>H7-H10</f>
        <v>6.079865533793006</v>
      </c>
      <c r="I11" s="55">
        <f>I7-I10</f>
        <v>23.49586553379301</v>
      </c>
      <c r="J11" s="55">
        <f>J7-J10</f>
        <v>44.073865533793004</v>
      </c>
      <c r="K11" s="55">
        <f>K7-K10</f>
        <v>66.23286553379302</v>
      </c>
      <c r="L11" s="55">
        <f>L7-L10</f>
        <v>85.61886553379301</v>
      </c>
      <c r="M11" s="55">
        <f>M7-M10</f>
        <v>91.94286553379301</v>
      </c>
      <c r="N11" s="55">
        <f>N7-N10</f>
        <v>98.26686553379301</v>
      </c>
      <c r="O11" s="55">
        <f>O7-O10</f>
        <v>103.00986553379302</v>
      </c>
      <c r="P11" s="55">
        <f>P7-P10</f>
        <v>103.00986553379302</v>
      </c>
      <c r="Q11" s="55">
        <f>Q7-Q10</f>
        <v>103.00986553379302</v>
      </c>
      <c r="R11" s="55">
        <f>R7-R10</f>
        <v>103.00986553379302</v>
      </c>
      <c r="S11" s="55">
        <f>S7-S10</f>
        <v>103.00986553379302</v>
      </c>
      <c r="T11" s="55">
        <f>T7-T10</f>
        <v>59.46986553379301</v>
      </c>
      <c r="U11" s="55">
        <f>U7-U10</f>
        <v>37.699865533793</v>
      </c>
      <c r="V11" s="55">
        <f>V7-V10</f>
        <v>26.814865533793004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-98.95528955312241</v>
      </c>
      <c r="D16" s="55">
        <f>D11*D15</f>
        <v>-180.26354294198734</v>
      </c>
      <c r="E16" s="55">
        <f>E11*E15</f>
        <v>-160.94959191248864</v>
      </c>
      <c r="F16" s="55">
        <f>F11*F15</f>
        <v>-143.7049927790077</v>
      </c>
      <c r="G16" s="55">
        <f>G11*G15</f>
        <v>-4.4352113899074475</v>
      </c>
      <c r="H16" s="55">
        <f>H11*H15</f>
        <v>3.4482763773609055</v>
      </c>
      <c r="I16" s="55">
        <f>I11*I15</f>
        <v>11.898206940406908</v>
      </c>
      <c r="J16" s="55">
        <f>J11*J15</f>
        <v>19.92751706641889</v>
      </c>
      <c r="K16" s="55">
        <f>K11*K15</f>
        <v>26.737916934147954</v>
      </c>
      <c r="L16" s="55">
        <f>L11*L15</f>
        <v>30.860678566617892</v>
      </c>
      <c r="M16" s="55">
        <f>M11*M15</f>
        <v>29.58939016329389</v>
      </c>
      <c r="N16" s="55">
        <f>N11*N15</f>
        <v>28.23625270978987</v>
      </c>
      <c r="O16" s="55">
        <f>O11*O15</f>
        <v>26.42778435006197</v>
      </c>
      <c r="P16" s="55">
        <f>P11*P15</f>
        <v>23.59623602684104</v>
      </c>
      <c r="Q16" s="55">
        <f>Q11*Q15</f>
        <v>21.06806788110807</v>
      </c>
      <c r="R16" s="55">
        <f>R11*R15</f>
        <v>18.810774893846492</v>
      </c>
      <c r="S16" s="55">
        <f>S11*S15</f>
        <v>16.79533472664865</v>
      </c>
      <c r="T16" s="55">
        <f>T11*T15</f>
        <v>8.657425784041353</v>
      </c>
      <c r="U16" s="55">
        <f>U11*U15</f>
        <v>4.9001976673032095</v>
      </c>
      <c r="V16" s="55">
        <f>V11*V15</f>
        <v>3.1119413178003157</v>
      </c>
    </row>
    <row r="17">
      <c r="A17" s="14" t="inlineStr">
        <is>
          <t>Tax-loss carryforward, end of year</t>
        </is>
      </c>
      <c r="C17" s="23">
        <f>Assumptions!$B$21-C8+MAX(0,-C7)</f>
        <v>459.889</v>
      </c>
      <c r="D17" s="23">
        <f>C17-D8+MAX(0,-D7)</f>
        <v>661.878</v>
      </c>
      <c r="E17" s="23">
        <f>D17-E8+MAX(0,-E7)</f>
        <v>863.8670000000001</v>
      </c>
      <c r="F17" s="23">
        <f>E17-F8+MAX(0,-F7)</f>
        <v>1065.856</v>
      </c>
      <c r="G17" s="23">
        <f>F17-G8+MAX(0,-G7)</f>
        <v>1072.838134466207</v>
      </c>
      <c r="H17" s="23">
        <f>G17-H8+MAX(0,-H7)</f>
        <v>1066.758268932414</v>
      </c>
      <c r="I17" s="23">
        <f>H17-I8+MAX(0,-I7)</f>
        <v>1043.262403398621</v>
      </c>
      <c r="J17" s="23">
        <f>I17-J8+MAX(0,-J7)</f>
        <v>999.188537864828</v>
      </c>
      <c r="K17" s="23">
        <f>J17-K8+MAX(0,-K7)</f>
        <v>932.955672331035</v>
      </c>
      <c r="L17" s="23">
        <f>K17-L8+MAX(0,-L7)</f>
        <v>847.3368067972419</v>
      </c>
      <c r="M17" s="23">
        <f>L17-M8+MAX(0,-M7)</f>
        <v>755.3939412634489</v>
      </c>
      <c r="N17" s="23">
        <f>M17-N8+MAX(0,-N7)</f>
        <v>657.1270757296559</v>
      </c>
      <c r="O17" s="23">
        <f>N17-O8+MAX(0,-O7)</f>
        <v>554.1172101958629</v>
      </c>
      <c r="P17" s="23">
        <f>O17-P8+MAX(0,-P7)</f>
        <v>451.10734466206986</v>
      </c>
      <c r="Q17" s="23">
        <f>P17-Q8+MAX(0,-Q7)</f>
        <v>348.09747912827686</v>
      </c>
      <c r="R17" s="23">
        <f>Q17-R8+MAX(0,-R7)</f>
        <v>245.08761359448386</v>
      </c>
      <c r="S17" s="23">
        <f>R17-S8+MAX(0,-S7)</f>
        <v>142.07774806069085</v>
      </c>
      <c r="T17" s="23">
        <f>S17-T8+MAX(0,-T7)</f>
        <v>82.60788252689784</v>
      </c>
      <c r="U17" s="23">
        <f>T17-U8+MAX(0,-U7)</f>
        <v>44.90801699310484</v>
      </c>
      <c r="V17" s="23">
        <f>U17-V8+MAX(0,-V7)</f>
        <v>18.093151459311834</v>
      </c>
    </row>
    <row r="19">
      <c r="A19" s="14" t="inlineStr">
        <is>
          <t>PV of risked pipeline contribution</t>
        </is>
      </c>
      <c r="B19" s="23">
        <f>SUMPRODUCT(C5:V5,C15:V15)</f>
        <v>347.47958316126727</v>
      </c>
    </row>
    <row r="20">
      <c r="A20" s="14" t="inlineStr">
        <is>
          <t>PV of corporate burn</t>
        </is>
      </c>
      <c r="B20" s="23">
        <f>SUMPRODUCT(C6:V6,C15:V15)</f>
        <v>-661.7222103320934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-314.2426271708261</v>
      </c>
    </row>
    <row r="23">
      <c r="A23" s="14" t="inlineStr">
        <is>
          <t>Cash &amp; investments</t>
        </is>
      </c>
      <c r="B23" s="57">
        <f>Main!C7</f>
        <v>497.259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183.01637282917392</v>
      </c>
    </row>
    <row r="26">
      <c r="A26" s="14" t="inlineStr">
        <is>
          <t>Shares (mm)</t>
        </is>
      </c>
      <c r="B26" s="57">
        <f>Main!C4</f>
        <v>66.172934</v>
      </c>
    </row>
    <row r="27">
      <c r="A27" s="24" t="inlineStr">
        <is>
          <t>rNPV / share</t>
        </is>
      </c>
      <c r="B27" s="60">
        <f>B25/B26</f>
        <v>2.765728550424769</v>
      </c>
    </row>
    <row r="28">
      <c r="A28" s="14" t="inlineStr">
        <is>
          <t>Price</t>
        </is>
      </c>
      <c r="B28" s="61">
        <f>Main!C3</f>
        <v>18.35</v>
      </c>
    </row>
    <row r="29">
      <c r="A29" s="14" t="inlineStr">
        <is>
          <t>Upside</t>
        </is>
      </c>
      <c r="B29" s="62">
        <f>B27/B28-1</f>
        <v>-0.8492790980694949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2026-10-21T06:23:40Z</dcterms:modified>
  <cp:lastModifiedBy>Wang, Eric</cp:lastModifiedBy>
</cp:coreProperties>
</file>