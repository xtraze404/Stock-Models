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Ocugen, Inc.</t>
        </is>
      </c>
      <c r="C2" s="10" t="n"/>
    </row>
    <row r="3">
      <c r="B3" t="inlineStr">
        <is>
          <t>Price</t>
        </is>
      </c>
      <c r="C3" s="11">
        <f>INDEX([1]Pharma!$F$1:$F$1000,MATCH("OCGN",[1]Pharma!$B$1:$B$1000,0))</f>
        <v>0.8125</v>
      </c>
      <c r="F3" s="1" t="n"/>
    </row>
    <row r="4">
      <c r="B4" t="inlineStr">
        <is>
          <t>Shares</t>
        </is>
      </c>
      <c r="C4" s="21" t="n">
        <v>339.110401</v>
      </c>
      <c r="F4" s="1" t="n"/>
    </row>
    <row r="5">
      <c r="B5" t="inlineStr">
        <is>
          <t>Market Cap.</t>
        </is>
      </c>
      <c r="C5" s="13">
        <f>C3*C4</f>
        <v>275.52720081250004</v>
      </c>
      <c r="F5" s="1" t="n"/>
    </row>
    <row r="6"/>
    <row r="7">
      <c r="B7" t="inlineStr">
        <is>
          <t>Cash</t>
        </is>
      </c>
      <c r="C7" s="21" t="n">
        <v>100.051</v>
      </c>
    </row>
    <row r="8">
      <c r="B8" t="inlineStr">
        <is>
          <t>Debt</t>
        </is>
      </c>
      <c r="C8" s="21">
        <f>0.02+1.729</f>
        <v>1.749</v>
      </c>
    </row>
    <row r="9">
      <c r="B9" t="inlineStr">
        <is>
          <t>Enterprise V.</t>
        </is>
      </c>
      <c r="C9" s="13">
        <f>C5-C7+C8</f>
        <v>177.22520081250005</v>
      </c>
    </row>
    <row r="10"/>
    <row r="11">
      <c r="B11" s="14" t="inlineStr">
        <is>
          <t>Net Cash / Share</t>
        </is>
      </c>
      <c r="C11" s="11">
        <f>(C7-C8)/C4</f>
        <v>0.289881996276487</v>
      </c>
    </row>
    <row r="12">
      <c r="B12" s="14" t="inlineStr">
        <is>
          <t>Upside</t>
        </is>
      </c>
      <c r="C12" s="15">
        <f>IFERROR(C11/C3-1,"")</f>
        <v>-0.643222158428939</v>
      </c>
    </row>
    <row r="13">
      <c r="B13" s="14" t="inlineStr">
        <is>
          <t>Cash / Share</t>
        </is>
      </c>
      <c r="C13" s="11">
        <f>IFERROR((C7-C8)/C4,"")</f>
        <v>0.289881996276487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-60.869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1.6149764247810874</v>
      </c>
    </row>
    <row r="19">
      <c r="B19" s="14" t="inlineStr">
        <is>
          <t>Implied Pipeline Value</t>
        </is>
      </c>
      <c r="C19" s="13">
        <f>C9</f>
        <v>177.22520081250005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2014</v>
      </c>
      <c r="C1" s="17" t="n">
        <v>2015</v>
      </c>
      <c r="D1" s="17" t="n">
        <v>2016</v>
      </c>
      <c r="E1" s="17" t="n">
        <v>2017</v>
      </c>
      <c r="F1" s="17" t="n">
        <v>2018</v>
      </c>
      <c r="G1" s="17" t="n">
        <v>2019</v>
      </c>
      <c r="H1" s="17" t="n">
        <v>2020</v>
      </c>
      <c r="I1" s="17" t="n">
        <v>2021</v>
      </c>
      <c r="J1" s="17" t="n">
        <v>2022</v>
      </c>
      <c r="K1" s="17" t="n">
        <v>2023</v>
      </c>
      <c r="L1" s="17" t="n">
        <v>2024</v>
      </c>
      <c r="M1" s="17" t="n">
        <v>2025</v>
      </c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0.043</v>
      </c>
      <c r="I2" s="23" t="n">
        <v>0</v>
      </c>
      <c r="J2" s="23" t="n">
        <v>2.488</v>
      </c>
      <c r="K2" s="23" t="n">
        <v>6.036</v>
      </c>
      <c r="L2" s="23" t="n">
        <v>4.055</v>
      </c>
      <c r="M2" s="23" t="n">
        <v>4.413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0.043</v>
      </c>
      <c r="I4" s="23">
        <f>I2-I3</f>
        <v>0.0</v>
      </c>
      <c r="J4" s="23">
        <f>J2-J3</f>
        <v>2.488</v>
      </c>
      <c r="K4" s="23">
        <f>K2-K3</f>
        <v>6.036</v>
      </c>
      <c r="L4" s="23">
        <f>L2-L3</f>
        <v>4.055</v>
      </c>
      <c r="M4" s="23">
        <f>M2-M3</f>
        <v>4.413</v>
      </c>
    </row>
    <row r="5">
      <c r="A5" s="2" t="inlineStr">
        <is>
          <t>Research &amp; Dev.</t>
        </is>
      </c>
      <c r="B5" s="23" t="n">
        <v>26.037</v>
      </c>
      <c r="C5" s="23" t="n">
        <v>23.243</v>
      </c>
      <c r="D5" s="23" t="n">
        <v>21.577</v>
      </c>
      <c r="E5" s="23" t="n">
        <v>15.566</v>
      </c>
      <c r="F5" s="23" t="n">
        <v>10.321</v>
      </c>
      <c r="G5" s="23" t="n">
        <v>8.086</v>
      </c>
      <c r="H5" s="23" t="n">
        <v>6.354</v>
      </c>
      <c r="I5" s="23" t="n">
        <v>35.108</v>
      </c>
      <c r="J5" s="23" t="n">
        <v>56.159</v>
      </c>
      <c r="K5" s="23" t="n">
        <v>39.573</v>
      </c>
      <c r="L5" s="23" t="n">
        <v>32.126</v>
      </c>
      <c r="M5" s="23" t="n">
        <v>39.75</v>
      </c>
    </row>
    <row r="6">
      <c r="A6" s="19" t="inlineStr">
        <is>
          <t>SG&amp;A &amp; Other</t>
        </is>
      </c>
      <c r="B6" s="23" t="n">
        <v>6.625</v>
      </c>
      <c r="C6" s="23" t="n">
        <v>8.576000000000001</v>
      </c>
      <c r="D6" s="23" t="n">
        <v>8.73</v>
      </c>
      <c r="E6" s="23" t="n">
        <v>9.384</v>
      </c>
      <c r="F6" s="23" t="n">
        <v>5.819</v>
      </c>
      <c r="G6" s="23" t="n">
        <v>6.077</v>
      </c>
      <c r="H6" s="23" t="n">
        <v>14.974</v>
      </c>
      <c r="I6" s="23" t="n">
        <v>22.92</v>
      </c>
      <c r="J6" s="23" t="n">
        <v>35.4</v>
      </c>
      <c r="K6" s="23" t="n">
        <v>31.994</v>
      </c>
      <c r="L6" s="23" t="n">
        <v>26.686</v>
      </c>
      <c r="M6" s="23" t="n">
        <v>27.579</v>
      </c>
    </row>
    <row r="7">
      <c r="A7" s="2" t="inlineStr">
        <is>
          <t>Operating Expense</t>
        </is>
      </c>
      <c r="B7" s="23">
        <f>SUM(B5:B6)</f>
        <v>32.662</v>
      </c>
      <c r="C7" s="23">
        <f>SUM(C5:C6)</f>
        <v>31.819</v>
      </c>
      <c r="D7" s="23">
        <f>SUM(D5:D6)</f>
        <v>30.307000000000002</v>
      </c>
      <c r="E7" s="23">
        <f>SUM(E5:E6)</f>
        <v>24.950000000000003</v>
      </c>
      <c r="F7" s="23">
        <f>SUM(F5:F6)</f>
        <v>16.14</v>
      </c>
      <c r="G7" s="23">
        <f>SUM(G5:G6)</f>
        <v>14.163</v>
      </c>
      <c r="H7" s="23">
        <f>SUM(H5:H6)</f>
        <v>21.328</v>
      </c>
      <c r="I7" s="23">
        <f>SUM(I5:I6)</f>
        <v>58.028</v>
      </c>
      <c r="J7" s="23">
        <f>SUM(J5:J6)</f>
        <v>91.559</v>
      </c>
      <c r="K7" s="23">
        <f>SUM(K5:K6)</f>
        <v>71.56700000000001</v>
      </c>
      <c r="L7" s="23">
        <f>SUM(L5:L6)</f>
        <v>58.812</v>
      </c>
      <c r="M7" s="23">
        <f>SUM(M5:M6)</f>
        <v>67.32900000000001</v>
      </c>
    </row>
    <row r="8">
      <c r="A8" s="2" t="inlineStr">
        <is>
          <t>Operating Income</t>
        </is>
      </c>
      <c r="B8" s="23">
        <f>B4-B7</f>
        <v>-32.662</v>
      </c>
      <c r="C8" s="23">
        <f>C4-C7</f>
        <v>-31.819</v>
      </c>
      <c r="D8" s="23">
        <f>D4-D7</f>
        <v>-30.307000000000002</v>
      </c>
      <c r="E8" s="23">
        <f>E4-E7</f>
        <v>-24.950000000000003</v>
      </c>
      <c r="F8" s="23">
        <f>F4-F7</f>
        <v>-16.14</v>
      </c>
      <c r="G8" s="23">
        <f>G4-G7</f>
        <v>-14.163</v>
      </c>
      <c r="H8" s="23">
        <f>H4-H7</f>
        <v>-21.285</v>
      </c>
      <c r="I8" s="23">
        <f>I4-I7</f>
        <v>-58.028</v>
      </c>
      <c r="J8" s="23">
        <f>J4-J7</f>
        <v>-89.071</v>
      </c>
      <c r="K8" s="23">
        <f>K4-K7</f>
        <v>-65.531</v>
      </c>
      <c r="L8" s="23">
        <f>L4-L7</f>
        <v>-54.757</v>
      </c>
      <c r="M8" s="23">
        <f>M4-M7</f>
        <v>-62.91600000000001</v>
      </c>
    </row>
    <row r="9">
      <c r="A9" s="19" t="inlineStr">
        <is>
          <t>Interest &amp; Other</t>
        </is>
      </c>
      <c r="B9" s="23" t="n">
        <v>9.869</v>
      </c>
      <c r="C9" s="23" t="n">
        <v>-0.205</v>
      </c>
      <c r="D9" s="23" t="n">
        <v>14.099</v>
      </c>
      <c r="E9" s="23" t="n">
        <v>-1.464</v>
      </c>
      <c r="F9" s="23" t="n">
        <v>-2.079</v>
      </c>
      <c r="G9" s="23" t="n">
        <v>-6.08</v>
      </c>
      <c r="H9" s="23" t="n">
        <v>-0.537</v>
      </c>
      <c r="I9" s="23" t="n">
        <v>-0.389</v>
      </c>
      <c r="J9" s="23" t="n">
        <v>2.267</v>
      </c>
      <c r="K9" s="23" t="n">
        <v>2.531</v>
      </c>
      <c r="L9" s="23" t="n">
        <v>0.757</v>
      </c>
      <c r="M9" s="23" t="n">
        <v>-5.084</v>
      </c>
    </row>
    <row r="10">
      <c r="A10" s="2" t="inlineStr">
        <is>
          <t>Pretax</t>
        </is>
      </c>
      <c r="B10" s="23">
        <f>B8+B9</f>
        <v>-22.793</v>
      </c>
      <c r="C10" s="23">
        <f>C8+C9</f>
        <v>-32.024</v>
      </c>
      <c r="D10" s="23">
        <f>D8+D9</f>
        <v>-16.208000000000002</v>
      </c>
      <c r="E10" s="23">
        <f>E8+E9</f>
        <v>-26.414</v>
      </c>
      <c r="F10" s="23">
        <f>F8+F9</f>
        <v>-18.219</v>
      </c>
      <c r="G10" s="23">
        <f>G8+G9</f>
        <v>-20.243000000000002</v>
      </c>
      <c r="H10" s="23">
        <f>H8+H9</f>
        <v>-21.822</v>
      </c>
      <c r="I10" s="23">
        <f>I8+I9</f>
        <v>-58.417</v>
      </c>
      <c r="J10" s="23">
        <f>J8+J9</f>
        <v>-86.804</v>
      </c>
      <c r="K10" s="23">
        <f>K8+K9</f>
        <v>-63.00000000000001</v>
      </c>
      <c r="L10" s="23">
        <f>L8+L9</f>
        <v>-54.0</v>
      </c>
      <c r="M10" s="23">
        <f>M8+M9</f>
        <v>-68.00000000000001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-0.052</v>
      </c>
      <c r="J11" s="23" t="n">
        <v>0</v>
      </c>
      <c r="K11" s="23" t="n">
        <v>0</v>
      </c>
      <c r="L11" s="23" t="n">
        <v>0</v>
      </c>
      <c r="M11" s="23" t="n">
        <v>0</v>
      </c>
    </row>
    <row r="12">
      <c r="A12" s="2" t="inlineStr">
        <is>
          <t>Net Income</t>
        </is>
      </c>
      <c r="B12" s="23" t="n">
        <v>-22.793</v>
      </c>
      <c r="C12" s="23" t="n">
        <v>-32.024</v>
      </c>
      <c r="D12" s="23" t="n">
        <v>-16.208</v>
      </c>
      <c r="E12" s="23" t="n">
        <v>-26.414</v>
      </c>
      <c r="F12" s="23" t="n">
        <v>-18.22</v>
      </c>
      <c r="G12" s="23" t="n">
        <v>-20.243</v>
      </c>
      <c r="H12" s="23" t="n">
        <v>-21.822</v>
      </c>
      <c r="I12" s="23" t="n">
        <v>-58.365</v>
      </c>
      <c r="J12" s="23" t="n">
        <v>-86.804</v>
      </c>
      <c r="K12" s="23" t="n">
        <v>-63</v>
      </c>
      <c r="L12" s="23" t="n">
        <v>-54</v>
      </c>
      <c r="M12" s="23" t="n">
        <v>-68</v>
      </c>
    </row>
    <row r="13">
      <c r="A13" s="2" t="inlineStr">
        <is>
          <t>Earnings per Share</t>
        </is>
      </c>
      <c r="B13" s="11">
        <f>IFERROR(B12/B14,0)</f>
        <v>-1.8571661370488064</v>
      </c>
      <c r="C13" s="11">
        <f>IFERROR(C12/C14,0)</f>
        <v>-0.30254419030883617</v>
      </c>
      <c r="D13" s="11">
        <f>IFERROR(D12/D14,0)</f>
        <v>-0.14079955522351753</v>
      </c>
      <c r="E13" s="11">
        <f>IFERROR(E12/E14,0)</f>
        <v>-0.14564482600808343</v>
      </c>
      <c r="F13" s="11">
        <f>IFERROR(F12/F14,0)</f>
        <v>-0.06140427740443917</v>
      </c>
      <c r="G13" s="11">
        <f>IFERROR(G12/G14,0)</f>
        <v>-0.18212161833901627</v>
      </c>
      <c r="H13" s="11">
        <f>IFERROR(H12/H14,0)</f>
        <v>-0.19442959478242275</v>
      </c>
      <c r="I13" s="11">
        <f>IFERROR(I12/I14,0)</f>
        <v>-0.2992877397917062</v>
      </c>
      <c r="J13" s="11">
        <f>IFERROR(J12/J14,0)</f>
        <v>-0.40449207828518174</v>
      </c>
      <c r="K13" s="11">
        <f>IFERROR(K12/K14,0)</f>
        <v>-0.2578511584884192</v>
      </c>
      <c r="L13" s="11">
        <f>IFERROR(L12/L14,0)</f>
        <v>0</v>
      </c>
      <c r="M13" s="11">
        <f>IFERROR(M12/M14,0)</f>
        <v>0</v>
      </c>
    </row>
    <row r="14">
      <c r="A14" s="2" t="inlineStr">
        <is>
          <t>Shares</t>
        </is>
      </c>
      <c r="B14" s="23" t="n">
        <v>12.273</v>
      </c>
      <c r="C14" s="23" t="n">
        <v>105.849</v>
      </c>
      <c r="D14" s="23" t="n">
        <v>115.114</v>
      </c>
      <c r="E14" s="23" t="n">
        <v>181.359</v>
      </c>
      <c r="F14" s="23" t="n">
        <v>296.722</v>
      </c>
      <c r="G14" s="23" t="n">
        <v>111.151</v>
      </c>
      <c r="H14" s="23" t="n">
        <v>112.236</v>
      </c>
      <c r="I14" s="23" t="n">
        <v>195.013</v>
      </c>
      <c r="J14" s="23" t="n">
        <v>214.6</v>
      </c>
      <c r="K14" s="23" t="n">
        <v>244.327</v>
      </c>
      <c r="L14" s="23" t="n"/>
      <c r="M14" s="23" t="n"/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>-1.0</v>
      </c>
      <c r="J16" s="15">
        <f>IFERROR(J2/I2-1,"")</f>
        <v/>
      </c>
      <c r="K16" s="15">
        <f>IFERROR(K2/J2-1,"")</f>
        <v>1.42604501607717</v>
      </c>
      <c r="L16" s="15">
        <f>IFERROR(L2/K2-1,"")</f>
        <v>-0.3281974817760106</v>
      </c>
      <c r="M16" s="15">
        <f>IFERROR(M2/L2-1,"")</f>
        <v>0.08828606658446381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>1.0</v>
      </c>
      <c r="I17" s="15">
        <f>IFERROR(I4/I2,"")</f>
        <v/>
      </c>
      <c r="J17" s="15">
        <f>IFERROR(J4/J2,"")</f>
        <v>1.0</v>
      </c>
      <c r="K17" s="15">
        <f>IFERROR(K4/K2,"")</f>
        <v>1.0</v>
      </c>
      <c r="L17" s="15">
        <f>IFERROR(L4/L2,"")</f>
        <v>1.0</v>
      </c>
      <c r="M17" s="15">
        <f>IFERROR(M4/M2,"")</f>
        <v>1.0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>-495.00000000000006</v>
      </c>
      <c r="I18" s="15">
        <f>IFERROR(I8/I2,"")</f>
        <v/>
      </c>
      <c r="J18" s="15">
        <f>IFERROR(J8/J2,"")</f>
        <v>-35.80024115755627</v>
      </c>
      <c r="K18" s="15">
        <f>IFERROR(K8/K2,"")</f>
        <v>-10.85669317428761</v>
      </c>
      <c r="L18" s="15">
        <f>IFERROR(L8/L2,"")</f>
        <v>-13.503575832305796</v>
      </c>
      <c r="M18" s="15">
        <f>IFERROR(M8/M2,"")</f>
        <v>-14.256968048946296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2026-10-21T01:05:27Z</dcterms:modified>
  <cp:lastModifiedBy>Wang, Eric</cp:lastModifiedBy>
</cp:coreProperties>
</file>