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Ocugen, Inc.</t>
        </is>
      </c>
      <c r="C2" s="10" t="n"/>
    </row>
    <row r="3">
      <c r="B3" t="inlineStr">
        <is>
          <t>Price</t>
        </is>
      </c>
      <c r="C3" s="11">
        <f>INDEX([1]Pharma!$F$1:$F$1000,MATCH("OCGN",[1]Pharma!$B$1:$B$1000,0))</f>
        <v>0.8125</v>
      </c>
      <c r="F3" s="1" t="n"/>
    </row>
    <row r="4">
      <c r="B4" t="inlineStr">
        <is>
          <t>Shares</t>
        </is>
      </c>
      <c r="C4" s="21" t="n">
        <v>339.110401</v>
      </c>
      <c r="F4" s="1" t="n"/>
    </row>
    <row r="5">
      <c r="B5" t="inlineStr">
        <is>
          <t>Market Cap.</t>
        </is>
      </c>
      <c r="C5" s="13">
        <f>C3*C4</f>
        <v>275.52720081250004</v>
      </c>
      <c r="F5" s="1" t="n"/>
    </row>
    <row r="6"/>
    <row r="7">
      <c r="B7" t="inlineStr">
        <is>
          <t>Cash</t>
        </is>
      </c>
      <c r="C7" s="21" t="n">
        <v>100.051</v>
      </c>
    </row>
    <row r="8">
      <c r="B8" t="inlineStr">
        <is>
          <t>Debt</t>
        </is>
      </c>
      <c r="C8" s="21">
        <f>0.02+1.729</f>
        <v>1.749</v>
      </c>
    </row>
    <row r="9">
      <c r="B9" t="inlineStr">
        <is>
          <t>Enterprise V.</t>
        </is>
      </c>
      <c r="C9" s="13">
        <f>C5-C7+C8</f>
        <v>177.22520081250005</v>
      </c>
    </row>
    <row r="10"/>
    <row r="11">
      <c r="B11" s="14" t="inlineStr">
        <is>
          <t>rNPV / Share</t>
        </is>
      </c>
      <c r="C11" s="11">
        <f>NPV!B27</f>
        <v>5.203436596079667</v>
      </c>
    </row>
    <row r="12">
      <c r="B12" s="14" t="inlineStr">
        <is>
          <t>Upside</t>
        </is>
      </c>
      <c r="C12" s="15">
        <f>IFERROR(C11/C3-1,"")</f>
        <v>5.4042296567134365</v>
      </c>
    </row>
    <row r="13">
      <c r="B13" s="14" t="inlineStr">
        <is>
          <t>Cash / Share</t>
        </is>
      </c>
      <c r="C13" s="11">
        <f>IFERROR((C7-C8)/C4,"")</f>
        <v>0.289881996276487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-60.869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1.6149764247810874</v>
      </c>
    </row>
    <row r="19">
      <c r="B19" s="14" t="inlineStr">
        <is>
          <t>Implied Pipeline Value</t>
        </is>
      </c>
      <c r="C19" s="13">
        <f>C9</f>
        <v>177.22520081250005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2014</v>
      </c>
      <c r="C1" s="17" t="n">
        <v>2015</v>
      </c>
      <c r="D1" s="17" t="n">
        <v>2016</v>
      </c>
      <c r="E1" s="17" t="n">
        <v>2017</v>
      </c>
      <c r="F1" s="17" t="n">
        <v>2018</v>
      </c>
      <c r="G1" s="17" t="n">
        <v>2019</v>
      </c>
      <c r="H1" s="17" t="n">
        <v>2020</v>
      </c>
      <c r="I1" s="17" t="n">
        <v>2021</v>
      </c>
      <c r="J1" s="17" t="n">
        <v>2022</v>
      </c>
      <c r="K1" s="17" t="n">
        <v>2023</v>
      </c>
      <c r="L1" s="17" t="n">
        <v>2024</v>
      </c>
      <c r="M1" s="17" t="n">
        <v>2025</v>
      </c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0.043</v>
      </c>
      <c r="I2" s="23" t="n">
        <v>0</v>
      </c>
      <c r="J2" s="23" t="n">
        <v>2.488</v>
      </c>
      <c r="K2" s="23" t="n">
        <v>6.036</v>
      </c>
      <c r="L2" s="23" t="n">
        <v>4.055</v>
      </c>
      <c r="M2" s="23" t="n">
        <v>4.413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  <c r="M3" s="23" t="n">
        <v>0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0.043</v>
      </c>
      <c r="I4" s="23">
        <f>I2-I3</f>
        <v>0.0</v>
      </c>
      <c r="J4" s="23">
        <f>J2-J3</f>
        <v>2.488</v>
      </c>
      <c r="K4" s="23">
        <f>K2-K3</f>
        <v>6.036</v>
      </c>
      <c r="L4" s="23">
        <f>L2-L3</f>
        <v>4.055</v>
      </c>
      <c r="M4" s="23">
        <f>M2-M3</f>
        <v>4.413</v>
      </c>
    </row>
    <row r="5">
      <c r="A5" s="2" t="inlineStr">
        <is>
          <t>Research &amp; Dev.</t>
        </is>
      </c>
      <c r="B5" s="23" t="n">
        <v>26.037</v>
      </c>
      <c r="C5" s="23" t="n">
        <v>23.243</v>
      </c>
      <c r="D5" s="23" t="n">
        <v>21.577</v>
      </c>
      <c r="E5" s="23" t="n">
        <v>15.566</v>
      </c>
      <c r="F5" s="23" t="n">
        <v>10.321</v>
      </c>
      <c r="G5" s="23" t="n">
        <v>8.086</v>
      </c>
      <c r="H5" s="23" t="n">
        <v>6.354</v>
      </c>
      <c r="I5" s="23" t="n">
        <v>35.108</v>
      </c>
      <c r="J5" s="23" t="n">
        <v>56.159</v>
      </c>
      <c r="K5" s="23" t="n">
        <v>39.573</v>
      </c>
      <c r="L5" s="23" t="n">
        <v>32.126</v>
      </c>
      <c r="M5" s="23" t="n">
        <v>39.75</v>
      </c>
    </row>
    <row r="6">
      <c r="A6" s="19" t="inlineStr">
        <is>
          <t>SG&amp;A &amp; Other</t>
        </is>
      </c>
      <c r="B6" s="23" t="n">
        <v>6.625</v>
      </c>
      <c r="C6" s="23" t="n">
        <v>8.576000000000001</v>
      </c>
      <c r="D6" s="23" t="n">
        <v>8.73</v>
      </c>
      <c r="E6" s="23" t="n">
        <v>9.384</v>
      </c>
      <c r="F6" s="23" t="n">
        <v>5.819</v>
      </c>
      <c r="G6" s="23" t="n">
        <v>6.077</v>
      </c>
      <c r="H6" s="23" t="n">
        <v>14.974</v>
      </c>
      <c r="I6" s="23" t="n">
        <v>22.92</v>
      </c>
      <c r="J6" s="23" t="n">
        <v>35.4</v>
      </c>
      <c r="K6" s="23" t="n">
        <v>31.994</v>
      </c>
      <c r="L6" s="23" t="n">
        <v>26.686</v>
      </c>
      <c r="M6" s="23" t="n">
        <v>27.579</v>
      </c>
    </row>
    <row r="7">
      <c r="A7" s="2" t="inlineStr">
        <is>
          <t>Operating Expense</t>
        </is>
      </c>
      <c r="B7" s="23">
        <f>SUM(B5:B6)</f>
        <v>32.662</v>
      </c>
      <c r="C7" s="23">
        <f>SUM(C5:C6)</f>
        <v>31.819</v>
      </c>
      <c r="D7" s="23">
        <f>SUM(D5:D6)</f>
        <v>30.307000000000002</v>
      </c>
      <c r="E7" s="23">
        <f>SUM(E5:E6)</f>
        <v>24.950000000000003</v>
      </c>
      <c r="F7" s="23">
        <f>SUM(F5:F6)</f>
        <v>16.14</v>
      </c>
      <c r="G7" s="23">
        <f>SUM(G5:G6)</f>
        <v>14.163</v>
      </c>
      <c r="H7" s="23">
        <f>SUM(H5:H6)</f>
        <v>21.328</v>
      </c>
      <c r="I7" s="23">
        <f>SUM(I5:I6)</f>
        <v>58.028</v>
      </c>
      <c r="J7" s="23">
        <f>SUM(J5:J6)</f>
        <v>91.559</v>
      </c>
      <c r="K7" s="23">
        <f>SUM(K5:K6)</f>
        <v>71.56700000000001</v>
      </c>
      <c r="L7" s="23">
        <f>SUM(L5:L6)</f>
        <v>58.812</v>
      </c>
      <c r="M7" s="23">
        <f>SUM(M5:M6)</f>
        <v>67.32900000000001</v>
      </c>
    </row>
    <row r="8">
      <c r="A8" s="2" t="inlineStr">
        <is>
          <t>Operating Income</t>
        </is>
      </c>
      <c r="B8" s="23">
        <f>B4-B7</f>
        <v>-32.662</v>
      </c>
      <c r="C8" s="23">
        <f>C4-C7</f>
        <v>-31.819</v>
      </c>
      <c r="D8" s="23">
        <f>D4-D7</f>
        <v>-30.307000000000002</v>
      </c>
      <c r="E8" s="23">
        <f>E4-E7</f>
        <v>-24.950000000000003</v>
      </c>
      <c r="F8" s="23">
        <f>F4-F7</f>
        <v>-16.14</v>
      </c>
      <c r="G8" s="23">
        <f>G4-G7</f>
        <v>-14.163</v>
      </c>
      <c r="H8" s="23">
        <f>H4-H7</f>
        <v>-21.285</v>
      </c>
      <c r="I8" s="23">
        <f>I4-I7</f>
        <v>-58.028</v>
      </c>
      <c r="J8" s="23">
        <f>J4-J7</f>
        <v>-89.071</v>
      </c>
      <c r="K8" s="23">
        <f>K4-K7</f>
        <v>-65.531</v>
      </c>
      <c r="L8" s="23">
        <f>L4-L7</f>
        <v>-54.757</v>
      </c>
      <c r="M8" s="23">
        <f>M4-M7</f>
        <v>-62.91600000000001</v>
      </c>
    </row>
    <row r="9">
      <c r="A9" s="19" t="inlineStr">
        <is>
          <t>Interest &amp; Other</t>
        </is>
      </c>
      <c r="B9" s="23" t="n">
        <v>9.869</v>
      </c>
      <c r="C9" s="23" t="n">
        <v>-0.205</v>
      </c>
      <c r="D9" s="23" t="n">
        <v>14.099</v>
      </c>
      <c r="E9" s="23" t="n">
        <v>-1.464</v>
      </c>
      <c r="F9" s="23" t="n">
        <v>-2.079</v>
      </c>
      <c r="G9" s="23" t="n">
        <v>-6.08</v>
      </c>
      <c r="H9" s="23" t="n">
        <v>-0.537</v>
      </c>
      <c r="I9" s="23" t="n">
        <v>-0.389</v>
      </c>
      <c r="J9" s="23" t="n">
        <v>2.267</v>
      </c>
      <c r="K9" s="23" t="n">
        <v>2.531</v>
      </c>
      <c r="L9" s="23" t="n">
        <v>0.757</v>
      </c>
      <c r="M9" s="23" t="n">
        <v>-5.084</v>
      </c>
    </row>
    <row r="10">
      <c r="A10" s="2" t="inlineStr">
        <is>
          <t>Pretax</t>
        </is>
      </c>
      <c r="B10" s="23">
        <f>B8+B9</f>
        <v>-22.793</v>
      </c>
      <c r="C10" s="23">
        <f>C8+C9</f>
        <v>-32.024</v>
      </c>
      <c r="D10" s="23">
        <f>D8+D9</f>
        <v>-16.208000000000002</v>
      </c>
      <c r="E10" s="23">
        <f>E8+E9</f>
        <v>-26.414</v>
      </c>
      <c r="F10" s="23">
        <f>F8+F9</f>
        <v>-18.219</v>
      </c>
      <c r="G10" s="23">
        <f>G8+G9</f>
        <v>-20.243000000000002</v>
      </c>
      <c r="H10" s="23">
        <f>H8+H9</f>
        <v>-21.822</v>
      </c>
      <c r="I10" s="23">
        <f>I8+I9</f>
        <v>-58.417</v>
      </c>
      <c r="J10" s="23">
        <f>J8+J9</f>
        <v>-86.804</v>
      </c>
      <c r="K10" s="23">
        <f>K8+K9</f>
        <v>-63.00000000000001</v>
      </c>
      <c r="L10" s="23">
        <f>L8+L9</f>
        <v>-54.0</v>
      </c>
      <c r="M10" s="23">
        <f>M8+M9</f>
        <v>-68.00000000000001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-0.052</v>
      </c>
      <c r="J11" s="23" t="n">
        <v>0</v>
      </c>
      <c r="K11" s="23" t="n">
        <v>0</v>
      </c>
      <c r="L11" s="23" t="n">
        <v>0</v>
      </c>
      <c r="M11" s="23" t="n">
        <v>0</v>
      </c>
    </row>
    <row r="12">
      <c r="A12" s="2" t="inlineStr">
        <is>
          <t>Net Income</t>
        </is>
      </c>
      <c r="B12" s="23" t="n">
        <v>-22.793</v>
      </c>
      <c r="C12" s="23" t="n">
        <v>-32.024</v>
      </c>
      <c r="D12" s="23" t="n">
        <v>-16.208</v>
      </c>
      <c r="E12" s="23" t="n">
        <v>-26.414</v>
      </c>
      <c r="F12" s="23" t="n">
        <v>-18.22</v>
      </c>
      <c r="G12" s="23" t="n">
        <v>-20.243</v>
      </c>
      <c r="H12" s="23" t="n">
        <v>-21.822</v>
      </c>
      <c r="I12" s="23" t="n">
        <v>-58.365</v>
      </c>
      <c r="J12" s="23" t="n">
        <v>-86.804</v>
      </c>
      <c r="K12" s="23" t="n">
        <v>-63</v>
      </c>
      <c r="L12" s="23" t="n">
        <v>-54</v>
      </c>
      <c r="M12" s="23" t="n">
        <v>-68</v>
      </c>
    </row>
    <row r="13">
      <c r="A13" s="2" t="inlineStr">
        <is>
          <t>Earnings per Share</t>
        </is>
      </c>
      <c r="B13" s="11">
        <f>IFERROR(B12/B14,0)</f>
        <v>-1.8571661370488064</v>
      </c>
      <c r="C13" s="11">
        <f>IFERROR(C12/C14,0)</f>
        <v>-0.30254419030883617</v>
      </c>
      <c r="D13" s="11">
        <f>IFERROR(D12/D14,0)</f>
        <v>-0.14079955522351753</v>
      </c>
      <c r="E13" s="11">
        <f>IFERROR(E12/E14,0)</f>
        <v>-0.14564482600808343</v>
      </c>
      <c r="F13" s="11">
        <f>IFERROR(F12/F14,0)</f>
        <v>-0.06140427740443917</v>
      </c>
      <c r="G13" s="11">
        <f>IFERROR(G12/G14,0)</f>
        <v>-0.18212161833901627</v>
      </c>
      <c r="H13" s="11">
        <f>IFERROR(H12/H14,0)</f>
        <v>-0.19442959478242275</v>
      </c>
      <c r="I13" s="11">
        <f>IFERROR(I12/I14,0)</f>
        <v>-0.2992877397917062</v>
      </c>
      <c r="J13" s="11">
        <f>IFERROR(J12/J14,0)</f>
        <v>-0.40449207828518174</v>
      </c>
      <c r="K13" s="11">
        <f>IFERROR(K12/K14,0)</f>
        <v>-0.2578511584884192</v>
      </c>
      <c r="L13" s="11">
        <f>IFERROR(L12/L14,0)</f>
        <v>0</v>
      </c>
      <c r="M13" s="11">
        <f>IFERROR(M12/M14,0)</f>
        <v>0</v>
      </c>
    </row>
    <row r="14">
      <c r="A14" s="2" t="inlineStr">
        <is>
          <t>Shares</t>
        </is>
      </c>
      <c r="B14" s="23" t="n">
        <v>12.273</v>
      </c>
      <c r="C14" s="23" t="n">
        <v>105.849</v>
      </c>
      <c r="D14" s="23" t="n">
        <v>115.114</v>
      </c>
      <c r="E14" s="23" t="n">
        <v>181.359</v>
      </c>
      <c r="F14" s="23" t="n">
        <v>296.722</v>
      </c>
      <c r="G14" s="23" t="n">
        <v>111.151</v>
      </c>
      <c r="H14" s="23" t="n">
        <v>112.236</v>
      </c>
      <c r="I14" s="23" t="n">
        <v>195.013</v>
      </c>
      <c r="J14" s="23" t="n">
        <v>214.6</v>
      </c>
      <c r="K14" s="23" t="n">
        <v>244.327</v>
      </c>
      <c r="L14" s="23" t="n"/>
      <c r="M14" s="23" t="n"/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>-1.0</v>
      </c>
      <c r="J16" s="15">
        <f>IFERROR(J2/I2-1,"")</f>
        <v/>
      </c>
      <c r="K16" s="15">
        <f>IFERROR(K2/J2-1,"")</f>
        <v>1.42604501607717</v>
      </c>
      <c r="L16" s="15">
        <f>IFERROR(L2/K2-1,"")</f>
        <v>-0.3281974817760106</v>
      </c>
      <c r="M16" s="15">
        <f>IFERROR(M2/L2-1,"")</f>
        <v>0.08828606658446381</v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>1.0</v>
      </c>
      <c r="I17" s="15">
        <f>IFERROR(I4/I2,"")</f>
        <v/>
      </c>
      <c r="J17" s="15">
        <f>IFERROR(J4/J2,"")</f>
        <v>1.0</v>
      </c>
      <c r="K17" s="15">
        <f>IFERROR(K4/K2,"")</f>
        <v>1.0</v>
      </c>
      <c r="L17" s="15">
        <f>IFERROR(L4/L2,"")</f>
        <v>1.0</v>
      </c>
      <c r="M17" s="15">
        <f>IFERROR(M4/M2,"")</f>
        <v>1.0</v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>-495.00000000000006</v>
      </c>
      <c r="I18" s="15">
        <f>IFERROR(I8/I2,"")</f>
        <v/>
      </c>
      <c r="J18" s="15">
        <f>IFERROR(J8/J2,"")</f>
        <v>-35.80024115755627</v>
      </c>
      <c r="K18" s="15">
        <f>IFERROR(K8/K2,"")</f>
        <v>-10.85669317428761</v>
      </c>
      <c r="L18" s="15">
        <f>IFERROR(L8/L2,"")</f>
        <v>-13.503575832305796</v>
      </c>
      <c r="M18" s="15">
        <f>IFERROR(M8/M2,"")</f>
        <v>-14.256968048946296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Ocugen, Inc.: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1-PRODUCT(Pipeline!AG4:AG6)</f>
        <v>0.800541104392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68.902</v>
      </c>
    </row>
    <row r="19">
      <c r="A19" s="14" t="inlineStr">
        <is>
          <t>Years of full burn (until the first launch, max 4)</t>
        </is>
      </c>
      <c r="B19" s="39">
        <f>MIN(4,MAX(1,MIN(Pipeline!I4:I6)-2026))</f>
        <v>3.0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487.9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1666.2374706746514</v>
      </c>
      <c r="C29" s="42">
        <f>NPV!B25</f>
        <v>1764.5394706746513</v>
      </c>
      <c r="D29" s="43">
        <f>NPV!B27</f>
        <v>5.203436596079667</v>
      </c>
      <c r="E29" s="44">
        <f>NPV!B29</f>
        <v>5.4042296567134365</v>
      </c>
    </row>
    <row r="30">
      <c r="A30" s="45" t="n">
        <v>1</v>
      </c>
      <c r="B30" s="46">
        <f t="dataTable" ref="B30:E32" r1="B4"/>
        <v>595.3511661299102</v>
      </c>
      <c r="C30" s="46">
        <v>693.6531661299102</v>
      </c>
      <c r="D30" s="47">
        <v>2.0455083774617404</v>
      </c>
      <c r="E30" s="48">
        <v>1.5175487722606036</v>
      </c>
    </row>
    <row r="31">
      <c r="A31" s="45" t="n">
        <v>2</v>
      </c>
      <c r="B31" s="46">
        <v>1666.2374706746514</v>
      </c>
      <c r="C31" s="46">
        <v>1764.5394706746513</v>
      </c>
      <c r="D31" s="47">
        <v>5.203436596079667</v>
      </c>
      <c r="E31" s="48">
        <v>5.4042296567134365</v>
      </c>
    </row>
    <row r="32">
      <c r="A32" s="45" t="n">
        <v>3</v>
      </c>
      <c r="B32" s="46">
        <v>3319.9513006596453</v>
      </c>
      <c r="C32" s="46">
        <v>3418.2533006596454</v>
      </c>
      <c r="D32" s="47">
        <v>10.080060330144947</v>
      </c>
      <c r="E32" s="48">
        <v>11.406228098639936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5.203436596079667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1.4850980565599836</v>
      </c>
      <c r="C37" s="47">
        <v>2.304264454562946</v>
      </c>
      <c r="D37" s="47">
        <v>3.1169258994135096</v>
      </c>
      <c r="E37" s="47">
        <v>4.733096858936571</v>
      </c>
      <c r="F37" s="47">
        <v>6.341470272828305</v>
      </c>
    </row>
    <row r="38">
      <c r="A38" s="50" t="n">
        <v>0.8</v>
      </c>
      <c r="B38" s="47">
        <v>1.9955144835044996</v>
      </c>
      <c r="C38" s="47">
        <v>3.080113222252073</v>
      </c>
      <c r="D38" s="47">
        <v>4.158064808990387</v>
      </c>
      <c r="E38" s="47">
        <v>6.305021519872155</v>
      </c>
      <c r="F38" s="47">
        <v>8.449368954566708</v>
      </c>
    </row>
    <row r="39">
      <c r="A39" s="50" t="n">
        <v>1</v>
      </c>
      <c r="B39" s="47">
        <v>2.5086209483842326</v>
      </c>
      <c r="C39" s="47">
        <v>3.858948024690501</v>
      </c>
      <c r="D39" s="47">
        <v>5.203436596079667</v>
      </c>
      <c r="E39" s="47">
        <v>7.884058952565891</v>
      </c>
      <c r="F39" s="47">
        <v>10.557799028876335</v>
      </c>
    </row>
    <row r="40">
      <c r="A40" s="50" t="n">
        <v>1.2</v>
      </c>
      <c r="B40" s="47">
        <v>3.027540985874115</v>
      </c>
      <c r="C40" s="47">
        <v>4.644468365981584</v>
      </c>
      <c r="D40" s="47">
        <v>6.252969004167053</v>
      </c>
      <c r="E40" s="47">
        <v>9.46651301128535</v>
      </c>
      <c r="F40" s="47">
        <v>12.672793032460982</v>
      </c>
    </row>
    <row r="41">
      <c r="A41" s="50" t="n">
        <v>1.4</v>
      </c>
      <c r="B41" s="47">
        <v>3.5497607186398006</v>
      </c>
      <c r="C41" s="47">
        <v>5.432191884337714</v>
      </c>
      <c r="D41" s="47">
        <v>7.308627533878071</v>
      </c>
      <c r="E41" s="47">
        <v>11.05320175307449</v>
      </c>
      <c r="F41" s="47">
        <v>14.7938617777794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Ocugen, Inc.: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Retinal disease (AMD / DME)</t>
        </is>
      </c>
      <c r="C4" s="14" t="inlineStr">
        <is>
          <t>OCU410, OCU200</t>
        </is>
      </c>
      <c r="D4" s="14" t="inlineStr">
        <is>
          <t>Phase 3</t>
        </is>
      </c>
      <c r="E4" s="14" t="inlineStr">
        <is>
          <t>Ophthalmology / area</t>
        </is>
      </c>
      <c r="F4" s="14" t="inlineStr">
        <is>
          <t>Owned</t>
        </is>
      </c>
      <c r="G4" s="40" t="n">
        <v>2500</v>
      </c>
      <c r="H4" s="27" t="n">
        <v>0.4664</v>
      </c>
      <c r="I4" s="26" t="n">
        <v>2029</v>
      </c>
      <c r="J4" s="39">
        <f>I4+Assumptions!$B$25</f>
        <v>2041.0</v>
      </c>
      <c r="K4" s="53">
        <f>Assumptions!$E$13</f>
        <v>0.4</v>
      </c>
      <c r="L4" s="23">
        <f>K4*SUMPRODUCT(M4:AF4,NPV!$C$15:$V$15)</f>
        <v>1672.571734271231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116.6</v>
      </c>
      <c r="Q4" s="23">
        <f>IF(Q$3&lt;$I4,0,$G4*Assumptions!$E$11*INDEX(Assumptions!$B$24:$G$24,MIN(6,Q$3-$I4+1))*IF(Q$3&gt;$J4,(1-Assumptions!$B$26)^(Q$3-$J4),1)*IF($H4&gt;=1,1,MIN(0.97,$H4*Assumptions!$E$12)))</f>
        <v>291.5</v>
      </c>
      <c r="R4" s="23">
        <f>IF(R$3&lt;$I4,0,$G4*Assumptions!$E$11*INDEX(Assumptions!$B$24:$G$24,MIN(6,R$3-$I4+1))*IF(R$3&gt;$J4,(1-Assumptions!$B$26)^(R$3-$J4),1)*IF($H4&gt;=1,1,MIN(0.97,$H4*Assumptions!$E$12)))</f>
        <v>524.6999999999999</v>
      </c>
      <c r="S4" s="23">
        <f>IF(S$3&lt;$I4,0,$G4*Assumptions!$E$11*INDEX(Assumptions!$B$24:$G$24,MIN(6,S$3-$I4+1))*IF(S$3&gt;$J4,(1-Assumptions!$B$26)^(S$3-$J4),1)*IF($H4&gt;=1,1,MIN(0.97,$H4*Assumptions!$E$12)))</f>
        <v>757.9</v>
      </c>
      <c r="T4" s="23">
        <f>IF(T$3&lt;$I4,0,$G4*Assumptions!$E$11*INDEX(Assumptions!$B$24:$G$24,MIN(6,T$3-$I4+1))*IF(T$3&gt;$J4,(1-Assumptions!$B$26)^(T$3-$J4),1)*IF($H4&gt;=1,1,MIN(0.97,$H4*Assumptions!$E$12)))</f>
        <v>991.0999999999999</v>
      </c>
      <c r="U4" s="23">
        <f>IF(U$3&lt;$I4,0,$G4*Assumptions!$E$11*INDEX(Assumptions!$B$24:$G$24,MIN(6,U$3-$I4+1))*IF(U$3&gt;$J4,(1-Assumptions!$B$26)^(U$3-$J4),1)*IF($H4&gt;=1,1,MIN(0.97,$H4*Assumptions!$E$12)))</f>
        <v>1166.0</v>
      </c>
      <c r="V4" s="23">
        <f>IF(V$3&lt;$I4,0,$G4*Assumptions!$E$11*INDEX(Assumptions!$B$24:$G$24,MIN(6,V$3-$I4+1))*IF(V$3&gt;$J4,(1-Assumptions!$B$26)^(V$3-$J4),1)*IF($H4&gt;=1,1,MIN(0.97,$H4*Assumptions!$E$12)))</f>
        <v>1166.0</v>
      </c>
      <c r="W4" s="23">
        <f>IF(W$3&lt;$I4,0,$G4*Assumptions!$E$11*INDEX(Assumptions!$B$24:$G$24,MIN(6,W$3-$I4+1))*IF(W$3&gt;$J4,(1-Assumptions!$B$26)^(W$3-$J4),1)*IF($H4&gt;=1,1,MIN(0.97,$H4*Assumptions!$E$12)))</f>
        <v>1166.0</v>
      </c>
      <c r="X4" s="23">
        <f>IF(X$3&lt;$I4,0,$G4*Assumptions!$E$11*INDEX(Assumptions!$B$24:$G$24,MIN(6,X$3-$I4+1))*IF(X$3&gt;$J4,(1-Assumptions!$B$26)^(X$3-$J4),1)*IF($H4&gt;=1,1,MIN(0.97,$H4*Assumptions!$E$12)))</f>
        <v>1166.0</v>
      </c>
      <c r="Y4" s="23">
        <f>IF(Y$3&lt;$I4,0,$G4*Assumptions!$E$11*INDEX(Assumptions!$B$24:$G$24,MIN(6,Y$3-$I4+1))*IF(Y$3&gt;$J4,(1-Assumptions!$B$26)^(Y$3-$J4),1)*IF($H4&gt;=1,1,MIN(0.97,$H4*Assumptions!$E$12)))</f>
        <v>1166.0</v>
      </c>
      <c r="Z4" s="23">
        <f>IF(Z$3&lt;$I4,0,$G4*Assumptions!$E$11*INDEX(Assumptions!$B$24:$G$24,MIN(6,Z$3-$I4+1))*IF(Z$3&gt;$J4,(1-Assumptions!$B$26)^(Z$3-$J4),1)*IF($H4&gt;=1,1,MIN(0.97,$H4*Assumptions!$E$12)))</f>
        <v>1166.0</v>
      </c>
      <c r="AA4" s="23">
        <f>IF(AA$3&lt;$I4,0,$G4*Assumptions!$E$11*INDEX(Assumptions!$B$24:$G$24,MIN(6,AA$3-$I4+1))*IF(AA$3&gt;$J4,(1-Assumptions!$B$26)^(AA$3-$J4),1)*IF($H4&gt;=1,1,MIN(0.97,$H4*Assumptions!$E$12)))</f>
        <v>1166.0</v>
      </c>
      <c r="AB4" s="23">
        <f>IF(AB$3&lt;$I4,0,$G4*Assumptions!$E$11*INDEX(Assumptions!$B$24:$G$24,MIN(6,AB$3-$I4+1))*IF(AB$3&gt;$J4,(1-Assumptions!$B$26)^(AB$3-$J4),1)*IF($H4&gt;=1,1,MIN(0.97,$H4*Assumptions!$E$12)))</f>
        <v>1166.0</v>
      </c>
      <c r="AC4" s="23">
        <f>IF(AC$3&lt;$I4,0,$G4*Assumptions!$E$11*INDEX(Assumptions!$B$24:$G$24,MIN(6,AC$3-$I4+1))*IF(AC$3&gt;$J4,(1-Assumptions!$B$26)^(AC$3-$J4),1)*IF($H4&gt;=1,1,MIN(0.97,$H4*Assumptions!$E$12)))</f>
        <v>583.0</v>
      </c>
      <c r="AD4" s="23">
        <f>IF(AD$3&lt;$I4,0,$G4*Assumptions!$E$11*INDEX(Assumptions!$B$24:$G$24,MIN(6,AD$3-$I4+1))*IF(AD$3&gt;$J4,(1-Assumptions!$B$26)^(AD$3-$J4),1)*IF($H4&gt;=1,1,MIN(0.97,$H4*Assumptions!$E$12)))</f>
        <v>291.5</v>
      </c>
      <c r="AE4" s="23">
        <f>IF(AE$3&lt;$I4,0,$G4*Assumptions!$E$11*INDEX(Assumptions!$B$24:$G$24,MIN(6,AE$3-$I4+1))*IF(AE$3&gt;$J4,(1-Assumptions!$B$26)^(AE$3-$J4),1)*IF($H4&gt;=1,1,MIN(0.97,$H4*Assumptions!$E$12)))</f>
        <v>145.75</v>
      </c>
      <c r="AF4" s="23">
        <f>IF(AF$3&lt;$I4,0,$G4*Assumptions!$E$11*INDEX(Assumptions!$B$24:$G$24,MIN(6,AF$3-$I4+1))*IF(AF$3&gt;$J4,(1-Assumptions!$B$26)^(AF$3-$J4),1)*IF($H4&gt;=1,1,MIN(0.97,$H4*Assumptions!$E$12)))</f>
        <v>72.875</v>
      </c>
      <c r="AG4" s="35">
        <f>IF(F4="Owned",1-IF(H4&gt;=1,1,MIN(0.97,H4*Assumptions!$E$12)),1)</f>
        <v>0.5336000000000001</v>
      </c>
    </row>
    <row r="5">
      <c r="A5" s="39" t="n">
        <v>2</v>
      </c>
      <c r="B5" s="14" t="inlineStr">
        <is>
          <t>Inherited retinal disease</t>
        </is>
      </c>
      <c r="C5" s="14" t="inlineStr">
        <is>
          <t>OCU400 Low Dose, OCU400 Med Dose</t>
        </is>
      </c>
      <c r="D5" s="14" t="inlineStr">
        <is>
          <t>Phase 3</t>
        </is>
      </c>
      <c r="E5" s="14" t="inlineStr">
        <is>
          <t>Ophthalmology / rare</t>
        </is>
      </c>
      <c r="F5" s="14" t="inlineStr">
        <is>
          <t>Owned</t>
        </is>
      </c>
      <c r="G5" s="40" t="n">
        <v>500</v>
      </c>
      <c r="H5" s="27" t="n">
        <v>0.5653</v>
      </c>
      <c r="I5" s="26" t="n">
        <v>2029</v>
      </c>
      <c r="J5" s="39">
        <f>I5+Assumptions!$B$25</f>
        <v>2041.0</v>
      </c>
      <c r="K5" s="53">
        <f>Assumptions!$E$13</f>
        <v>0.4</v>
      </c>
      <c r="L5" s="23">
        <f>K5*SUMPRODUCT(M5:AF5,NPV!$C$15:$V$15)</f>
        <v>405.44802803753305</v>
      </c>
      <c r="M5" s="23">
        <f>IF(M$3&lt;$I5,0,$G5*Assumptions!$E$11*INDEX(Assumptions!$B$24:$G$24,MIN(6,M$3-$I5+1))*IF(M$3&gt;$J5,(1-Assumptions!$B$26)^(M$3-$J5),1)*IF($H5&gt;=1,1,MIN(0.97,$H5*Assumptions!$E$12)))</f>
        <v>0</v>
      </c>
      <c r="N5" s="23">
        <f>IF(N$3&lt;$I5,0,$G5*Assumptions!$E$11*INDEX(Assumptions!$B$24:$G$24,MIN(6,N$3-$I5+1))*IF(N$3&gt;$J5,(1-Assumptions!$B$26)^(N$3-$J5),1)*IF($H5&gt;=1,1,MIN(0.97,$H5*Assumptions!$E$12)))</f>
        <v>0</v>
      </c>
      <c r="O5" s="23">
        <f>IF(O$3&lt;$I5,0,$G5*Assumptions!$E$11*INDEX(Assumptions!$B$24:$G$24,MIN(6,O$3-$I5+1))*IF(O$3&gt;$J5,(1-Assumptions!$B$26)^(O$3-$J5),1)*IF($H5&gt;=1,1,MIN(0.97,$H5*Assumptions!$E$12)))</f>
        <v>0</v>
      </c>
      <c r="P5" s="23">
        <f>IF(P$3&lt;$I5,0,$G5*Assumptions!$E$11*INDEX(Assumptions!$B$24:$G$24,MIN(6,P$3-$I5+1))*IF(P$3&gt;$J5,(1-Assumptions!$B$26)^(P$3-$J5),1)*IF($H5&gt;=1,1,MIN(0.97,$H5*Assumptions!$E$12)))</f>
        <v>28.265</v>
      </c>
      <c r="Q5" s="23">
        <f>IF(Q$3&lt;$I5,0,$G5*Assumptions!$E$11*INDEX(Assumptions!$B$24:$G$24,MIN(6,Q$3-$I5+1))*IF(Q$3&gt;$J5,(1-Assumptions!$B$26)^(Q$3-$J5),1)*IF($H5&gt;=1,1,MIN(0.97,$H5*Assumptions!$E$12)))</f>
        <v>70.66250000000001</v>
      </c>
      <c r="R5" s="23">
        <f>IF(R$3&lt;$I5,0,$G5*Assumptions!$E$11*INDEX(Assumptions!$B$24:$G$24,MIN(6,R$3-$I5+1))*IF(R$3&gt;$J5,(1-Assumptions!$B$26)^(R$3-$J5),1)*IF($H5&gt;=1,1,MIN(0.97,$H5*Assumptions!$E$12)))</f>
        <v>127.19250000000001</v>
      </c>
      <c r="S5" s="23">
        <f>IF(S$3&lt;$I5,0,$G5*Assumptions!$E$11*INDEX(Assumptions!$B$24:$G$24,MIN(6,S$3-$I5+1))*IF(S$3&gt;$J5,(1-Assumptions!$B$26)^(S$3-$J5),1)*IF($H5&gt;=1,1,MIN(0.97,$H5*Assumptions!$E$12)))</f>
        <v>183.7225</v>
      </c>
      <c r="T5" s="23">
        <f>IF(T$3&lt;$I5,0,$G5*Assumptions!$E$11*INDEX(Assumptions!$B$24:$G$24,MIN(6,T$3-$I5+1))*IF(T$3&gt;$J5,(1-Assumptions!$B$26)^(T$3-$J5),1)*IF($H5&gt;=1,1,MIN(0.97,$H5*Assumptions!$E$12)))</f>
        <v>240.2525</v>
      </c>
      <c r="U5" s="23">
        <f>IF(U$3&lt;$I5,0,$G5*Assumptions!$E$11*INDEX(Assumptions!$B$24:$G$24,MIN(6,U$3-$I5+1))*IF(U$3&gt;$J5,(1-Assumptions!$B$26)^(U$3-$J5),1)*IF($H5&gt;=1,1,MIN(0.97,$H5*Assumptions!$E$12)))</f>
        <v>282.65000000000003</v>
      </c>
      <c r="V5" s="23">
        <f>IF(V$3&lt;$I5,0,$G5*Assumptions!$E$11*INDEX(Assumptions!$B$24:$G$24,MIN(6,V$3-$I5+1))*IF(V$3&gt;$J5,(1-Assumptions!$B$26)^(V$3-$J5),1)*IF($H5&gt;=1,1,MIN(0.97,$H5*Assumptions!$E$12)))</f>
        <v>282.65000000000003</v>
      </c>
      <c r="W5" s="23">
        <f>IF(W$3&lt;$I5,0,$G5*Assumptions!$E$11*INDEX(Assumptions!$B$24:$G$24,MIN(6,W$3-$I5+1))*IF(W$3&gt;$J5,(1-Assumptions!$B$26)^(W$3-$J5),1)*IF($H5&gt;=1,1,MIN(0.97,$H5*Assumptions!$E$12)))</f>
        <v>282.65000000000003</v>
      </c>
      <c r="X5" s="23">
        <f>IF(X$3&lt;$I5,0,$G5*Assumptions!$E$11*INDEX(Assumptions!$B$24:$G$24,MIN(6,X$3-$I5+1))*IF(X$3&gt;$J5,(1-Assumptions!$B$26)^(X$3-$J5),1)*IF($H5&gt;=1,1,MIN(0.97,$H5*Assumptions!$E$12)))</f>
        <v>282.65000000000003</v>
      </c>
      <c r="Y5" s="23">
        <f>IF(Y$3&lt;$I5,0,$G5*Assumptions!$E$11*INDEX(Assumptions!$B$24:$G$24,MIN(6,Y$3-$I5+1))*IF(Y$3&gt;$J5,(1-Assumptions!$B$26)^(Y$3-$J5),1)*IF($H5&gt;=1,1,MIN(0.97,$H5*Assumptions!$E$12)))</f>
        <v>282.65000000000003</v>
      </c>
      <c r="Z5" s="23">
        <f>IF(Z$3&lt;$I5,0,$G5*Assumptions!$E$11*INDEX(Assumptions!$B$24:$G$24,MIN(6,Z$3-$I5+1))*IF(Z$3&gt;$J5,(1-Assumptions!$B$26)^(Z$3-$J5),1)*IF($H5&gt;=1,1,MIN(0.97,$H5*Assumptions!$E$12)))</f>
        <v>282.65000000000003</v>
      </c>
      <c r="AA5" s="23">
        <f>IF(AA$3&lt;$I5,0,$G5*Assumptions!$E$11*INDEX(Assumptions!$B$24:$G$24,MIN(6,AA$3-$I5+1))*IF(AA$3&gt;$J5,(1-Assumptions!$B$26)^(AA$3-$J5),1)*IF($H5&gt;=1,1,MIN(0.97,$H5*Assumptions!$E$12)))</f>
        <v>282.65000000000003</v>
      </c>
      <c r="AB5" s="23">
        <f>IF(AB$3&lt;$I5,0,$G5*Assumptions!$E$11*INDEX(Assumptions!$B$24:$G$24,MIN(6,AB$3-$I5+1))*IF(AB$3&gt;$J5,(1-Assumptions!$B$26)^(AB$3-$J5),1)*IF($H5&gt;=1,1,MIN(0.97,$H5*Assumptions!$E$12)))</f>
        <v>282.65000000000003</v>
      </c>
      <c r="AC5" s="23">
        <f>IF(AC$3&lt;$I5,0,$G5*Assumptions!$E$11*INDEX(Assumptions!$B$24:$G$24,MIN(6,AC$3-$I5+1))*IF(AC$3&gt;$J5,(1-Assumptions!$B$26)^(AC$3-$J5),1)*IF($H5&gt;=1,1,MIN(0.97,$H5*Assumptions!$E$12)))</f>
        <v>141.32500000000002</v>
      </c>
      <c r="AD5" s="23">
        <f>IF(AD$3&lt;$I5,0,$G5*Assumptions!$E$11*INDEX(Assumptions!$B$24:$G$24,MIN(6,AD$3-$I5+1))*IF(AD$3&gt;$J5,(1-Assumptions!$B$26)^(AD$3-$J5),1)*IF($H5&gt;=1,1,MIN(0.97,$H5*Assumptions!$E$12)))</f>
        <v>70.66250000000001</v>
      </c>
      <c r="AE5" s="23">
        <f>IF(AE$3&lt;$I5,0,$G5*Assumptions!$E$11*INDEX(Assumptions!$B$24:$G$24,MIN(6,AE$3-$I5+1))*IF(AE$3&gt;$J5,(1-Assumptions!$B$26)^(AE$3-$J5),1)*IF($H5&gt;=1,1,MIN(0.97,$H5*Assumptions!$E$12)))</f>
        <v>35.331250000000004</v>
      </c>
      <c r="AF5" s="23">
        <f>IF(AF$3&lt;$I5,0,$G5*Assumptions!$E$11*INDEX(Assumptions!$B$24:$G$24,MIN(6,AF$3-$I5+1))*IF(AF$3&gt;$J5,(1-Assumptions!$B$26)^(AF$3-$J5),1)*IF($H5&gt;=1,1,MIN(0.97,$H5*Assumptions!$E$12)))</f>
        <v>17.665625000000002</v>
      </c>
      <c r="AG5" s="35">
        <f>IF(F5="Owned",1-IF(H5&gt;=1,1,MIN(0.97,H5*Assumptions!$E$12)),1)</f>
        <v>0.4347</v>
      </c>
    </row>
    <row r="6">
      <c r="A6" s="39" t="n">
        <v>3</v>
      </c>
      <c r="B6" s="14" t="inlineStr">
        <is>
          <t>Geographic atrophy</t>
        </is>
      </c>
      <c r="C6" s="14" t="inlineStr">
        <is>
          <t>OCU410</t>
        </is>
      </c>
      <c r="D6" s="14" t="inlineStr">
        <is>
          <t>Phase 1/2</t>
        </is>
      </c>
      <c r="E6" s="14" t="inlineStr">
        <is>
          <t>Ophthalmology / area</t>
        </is>
      </c>
      <c r="F6" s="14" t="inlineStr">
        <is>
          <t>Owned</t>
        </is>
      </c>
      <c r="G6" s="40" t="n">
        <v>1500</v>
      </c>
      <c r="H6" s="27" t="n">
        <v>0.1401</v>
      </c>
      <c r="I6" s="26" t="n">
        <v>2032</v>
      </c>
      <c r="J6" s="39">
        <f>I6+Assumptions!$B$25</f>
        <v>2044.0</v>
      </c>
      <c r="K6" s="53">
        <f>Assumptions!$E$13</f>
        <v>0.4</v>
      </c>
      <c r="L6" s="23">
        <f>K6*SUMPRODUCT(M6:AF6,NPV!$C$15:$V$15)</f>
        <v>210.98266353054032</v>
      </c>
      <c r="M6" s="23">
        <f>IF(M$3&lt;$I6,0,$G6*Assumptions!$E$11*INDEX(Assumptions!$B$24:$G$24,MIN(6,M$3-$I6+1))*IF(M$3&gt;$J6,(1-Assumptions!$B$26)^(M$3-$J6),1)*IF($H6&gt;=1,1,MIN(0.97,$H6*Assumptions!$E$12)))</f>
        <v>0</v>
      </c>
      <c r="N6" s="23">
        <f>IF(N$3&lt;$I6,0,$G6*Assumptions!$E$11*INDEX(Assumptions!$B$24:$G$24,MIN(6,N$3-$I6+1))*IF(N$3&gt;$J6,(1-Assumptions!$B$26)^(N$3-$J6),1)*IF($H6&gt;=1,1,MIN(0.97,$H6*Assumptions!$E$12)))</f>
        <v>0</v>
      </c>
      <c r="O6" s="23">
        <f>IF(O$3&lt;$I6,0,$G6*Assumptions!$E$11*INDEX(Assumptions!$B$24:$G$24,MIN(6,O$3-$I6+1))*IF(O$3&gt;$J6,(1-Assumptions!$B$26)^(O$3-$J6),1)*IF($H6&gt;=1,1,MIN(0.97,$H6*Assumptions!$E$12)))</f>
        <v>0</v>
      </c>
      <c r="P6" s="23">
        <f>IF(P$3&lt;$I6,0,$G6*Assumptions!$E$11*INDEX(Assumptions!$B$24:$G$24,MIN(6,P$3-$I6+1))*IF(P$3&gt;$J6,(1-Assumptions!$B$26)^(P$3-$J6),1)*IF($H6&gt;=1,1,MIN(0.97,$H6*Assumptions!$E$12)))</f>
        <v>0</v>
      </c>
      <c r="Q6" s="23">
        <f>IF(Q$3&lt;$I6,0,$G6*Assumptions!$E$11*INDEX(Assumptions!$B$24:$G$24,MIN(6,Q$3-$I6+1))*IF(Q$3&gt;$J6,(1-Assumptions!$B$26)^(Q$3-$J6),1)*IF($H6&gt;=1,1,MIN(0.97,$H6*Assumptions!$E$12)))</f>
        <v>0</v>
      </c>
      <c r="R6" s="23">
        <f>IF(R$3&lt;$I6,0,$G6*Assumptions!$E$11*INDEX(Assumptions!$B$24:$G$24,MIN(6,R$3-$I6+1))*IF(R$3&gt;$J6,(1-Assumptions!$B$26)^(R$3-$J6),1)*IF($H6&gt;=1,1,MIN(0.97,$H6*Assumptions!$E$12)))</f>
        <v>0</v>
      </c>
      <c r="S6" s="23">
        <f>IF(S$3&lt;$I6,0,$G6*Assumptions!$E$11*INDEX(Assumptions!$B$24:$G$24,MIN(6,S$3-$I6+1))*IF(S$3&gt;$J6,(1-Assumptions!$B$26)^(S$3-$J6),1)*IF($H6&gt;=1,1,MIN(0.97,$H6*Assumptions!$E$12)))</f>
        <v>21.015</v>
      </c>
      <c r="T6" s="23">
        <f>IF(T$3&lt;$I6,0,$G6*Assumptions!$E$11*INDEX(Assumptions!$B$24:$G$24,MIN(6,T$3-$I6+1))*IF(T$3&gt;$J6,(1-Assumptions!$B$26)^(T$3-$J6),1)*IF($H6&gt;=1,1,MIN(0.97,$H6*Assumptions!$E$12)))</f>
        <v>52.5375</v>
      </c>
      <c r="U6" s="23">
        <f>IF(U$3&lt;$I6,0,$G6*Assumptions!$E$11*INDEX(Assumptions!$B$24:$G$24,MIN(6,U$3-$I6+1))*IF(U$3&gt;$J6,(1-Assumptions!$B$26)^(U$3-$J6),1)*IF($H6&gt;=1,1,MIN(0.97,$H6*Assumptions!$E$12)))</f>
        <v>94.5675</v>
      </c>
      <c r="V6" s="23">
        <f>IF(V$3&lt;$I6,0,$G6*Assumptions!$E$11*INDEX(Assumptions!$B$24:$G$24,MIN(6,V$3-$I6+1))*IF(V$3&gt;$J6,(1-Assumptions!$B$26)^(V$3-$J6),1)*IF($H6&gt;=1,1,MIN(0.97,$H6*Assumptions!$E$12)))</f>
        <v>136.5975</v>
      </c>
      <c r="W6" s="23">
        <f>IF(W$3&lt;$I6,0,$G6*Assumptions!$E$11*INDEX(Assumptions!$B$24:$G$24,MIN(6,W$3-$I6+1))*IF(W$3&gt;$J6,(1-Assumptions!$B$26)^(W$3-$J6),1)*IF($H6&gt;=1,1,MIN(0.97,$H6*Assumptions!$E$12)))</f>
        <v>178.6275</v>
      </c>
      <c r="X6" s="23">
        <f>IF(X$3&lt;$I6,0,$G6*Assumptions!$E$11*INDEX(Assumptions!$B$24:$G$24,MIN(6,X$3-$I6+1))*IF(X$3&gt;$J6,(1-Assumptions!$B$26)^(X$3-$J6),1)*IF($H6&gt;=1,1,MIN(0.97,$H6*Assumptions!$E$12)))</f>
        <v>210.15</v>
      </c>
      <c r="Y6" s="23">
        <f>IF(Y$3&lt;$I6,0,$G6*Assumptions!$E$11*INDEX(Assumptions!$B$24:$G$24,MIN(6,Y$3-$I6+1))*IF(Y$3&gt;$J6,(1-Assumptions!$B$26)^(Y$3-$J6),1)*IF($H6&gt;=1,1,MIN(0.97,$H6*Assumptions!$E$12)))</f>
        <v>210.15</v>
      </c>
      <c r="Z6" s="23">
        <f>IF(Z$3&lt;$I6,0,$G6*Assumptions!$E$11*INDEX(Assumptions!$B$24:$G$24,MIN(6,Z$3-$I6+1))*IF(Z$3&gt;$J6,(1-Assumptions!$B$26)^(Z$3-$J6),1)*IF($H6&gt;=1,1,MIN(0.97,$H6*Assumptions!$E$12)))</f>
        <v>210.15</v>
      </c>
      <c r="AA6" s="23">
        <f>IF(AA$3&lt;$I6,0,$G6*Assumptions!$E$11*INDEX(Assumptions!$B$24:$G$24,MIN(6,AA$3-$I6+1))*IF(AA$3&gt;$J6,(1-Assumptions!$B$26)^(AA$3-$J6),1)*IF($H6&gt;=1,1,MIN(0.97,$H6*Assumptions!$E$12)))</f>
        <v>210.15</v>
      </c>
      <c r="AB6" s="23">
        <f>IF(AB$3&lt;$I6,0,$G6*Assumptions!$E$11*INDEX(Assumptions!$B$24:$G$24,MIN(6,AB$3-$I6+1))*IF(AB$3&gt;$J6,(1-Assumptions!$B$26)^(AB$3-$J6),1)*IF($H6&gt;=1,1,MIN(0.97,$H6*Assumptions!$E$12)))</f>
        <v>210.15</v>
      </c>
      <c r="AC6" s="23">
        <f>IF(AC$3&lt;$I6,0,$G6*Assumptions!$E$11*INDEX(Assumptions!$B$24:$G$24,MIN(6,AC$3-$I6+1))*IF(AC$3&gt;$J6,(1-Assumptions!$B$26)^(AC$3-$J6),1)*IF($H6&gt;=1,1,MIN(0.97,$H6*Assumptions!$E$12)))</f>
        <v>210.15</v>
      </c>
      <c r="AD6" s="23">
        <f>IF(AD$3&lt;$I6,0,$G6*Assumptions!$E$11*INDEX(Assumptions!$B$24:$G$24,MIN(6,AD$3-$I6+1))*IF(AD$3&gt;$J6,(1-Assumptions!$B$26)^(AD$3-$J6),1)*IF($H6&gt;=1,1,MIN(0.97,$H6*Assumptions!$E$12)))</f>
        <v>210.15</v>
      </c>
      <c r="AE6" s="23">
        <f>IF(AE$3&lt;$I6,0,$G6*Assumptions!$E$11*INDEX(Assumptions!$B$24:$G$24,MIN(6,AE$3-$I6+1))*IF(AE$3&gt;$J6,(1-Assumptions!$B$26)^(AE$3-$J6),1)*IF($H6&gt;=1,1,MIN(0.97,$H6*Assumptions!$E$12)))</f>
        <v>210.15</v>
      </c>
      <c r="AF6" s="23">
        <f>IF(AF$3&lt;$I6,0,$G6*Assumptions!$E$11*INDEX(Assumptions!$B$24:$G$24,MIN(6,AF$3-$I6+1))*IF(AF$3&gt;$J6,(1-Assumptions!$B$26)^(AF$3-$J6),1)*IF($H6&gt;=1,1,MIN(0.97,$H6*Assumptions!$E$12)))</f>
        <v>105.075</v>
      </c>
      <c r="AG6" s="35">
        <f>IF(F6="Owned",1-IF(H6&gt;=1,1,MIN(0.97,H6*Assumptions!$E$12)),1)</f>
        <v>0.8599</v>
      </c>
    </row>
    <row r="7">
      <c r="B7" s="24" t="inlineStr">
        <is>
          <t>Risked revenue</t>
        </is>
      </c>
      <c r="L7" s="54">
        <f>SUM(L4:L6)</f>
        <v>2289.0024258393046</v>
      </c>
      <c r="M7" s="54">
        <f>SUM(M4:M6)</f>
        <v>0.0</v>
      </c>
      <c r="N7" s="54">
        <f>SUM(N4:N6)</f>
        <v>0.0</v>
      </c>
      <c r="O7" s="54">
        <f>SUM(O4:O6)</f>
        <v>0.0</v>
      </c>
      <c r="P7" s="54">
        <f>SUM(P4:P6)</f>
        <v>144.865</v>
      </c>
      <c r="Q7" s="54">
        <f>SUM(Q4:Q6)</f>
        <v>362.1625</v>
      </c>
      <c r="R7" s="54">
        <f>SUM(R4:R6)</f>
        <v>651.8924999999999</v>
      </c>
      <c r="S7" s="54">
        <f>SUM(S4:S6)</f>
        <v>962.6374999999999</v>
      </c>
      <c r="T7" s="54">
        <f>SUM(T4:T6)</f>
        <v>1283.8899999999999</v>
      </c>
      <c r="U7" s="54">
        <f>SUM(U4:U6)</f>
        <v>1543.2175000000002</v>
      </c>
      <c r="V7" s="54">
        <f>SUM(V4:V6)</f>
        <v>1585.2475000000002</v>
      </c>
      <c r="W7" s="54">
        <f>SUM(W4:W6)</f>
        <v>1627.2775000000001</v>
      </c>
      <c r="X7" s="54">
        <f>SUM(X4:X6)</f>
        <v>1658.8000000000002</v>
      </c>
      <c r="Y7" s="54">
        <f>SUM(Y4:Y6)</f>
        <v>1658.8000000000002</v>
      </c>
      <c r="Z7" s="54">
        <f>SUM(Z4:Z6)</f>
        <v>1658.8000000000002</v>
      </c>
      <c r="AA7" s="54">
        <f>SUM(AA4:AA6)</f>
        <v>1658.8000000000002</v>
      </c>
      <c r="AB7" s="54">
        <f>SUM(AB4:AB6)</f>
        <v>1658.8000000000002</v>
      </c>
      <c r="AC7" s="54">
        <f>SUM(AC4:AC6)</f>
        <v>934.475</v>
      </c>
      <c r="AD7" s="54">
        <f>SUM(AD4:AD6)</f>
        <v>572.3125</v>
      </c>
      <c r="AE7" s="54">
        <f>SUM(AE4:AE6)</f>
        <v>391.23125000000005</v>
      </c>
      <c r="AF7" s="54">
        <f>SUM(AF4:AF6)</f>
        <v>195.61562500000002</v>
      </c>
    </row>
    <row r="8">
      <c r="B8" s="24" t="inlineStr">
        <is>
          <t>Risked contribution (revenue x share)</t>
        </is>
      </c>
      <c r="M8" s="55">
        <f>SUMPRODUCT(M4:M6,$K$4:$K$6)</f>
        <v>0.0</v>
      </c>
      <c r="N8" s="55">
        <f>SUMPRODUCT(N4:N6,$K$4:$K$6)</f>
        <v>0.0</v>
      </c>
      <c r="O8" s="55">
        <f>SUMPRODUCT(O4:O6,$K$4:$K$6)</f>
        <v>0.0</v>
      </c>
      <c r="P8" s="55">
        <f>SUMPRODUCT(P4:P6,$K$4:$K$6)</f>
        <v>57.946</v>
      </c>
      <c r="Q8" s="55">
        <f>SUMPRODUCT(Q4:Q6,$K$4:$K$6)</f>
        <v>144.865</v>
      </c>
      <c r="R8" s="55">
        <f>SUMPRODUCT(R4:R6,$K$4:$K$6)</f>
        <v>260.757</v>
      </c>
      <c r="S8" s="55">
        <f>SUMPRODUCT(S4:S6,$K$4:$K$6)</f>
        <v>385.055</v>
      </c>
      <c r="T8" s="55">
        <f>SUMPRODUCT(T4:T6,$K$4:$K$6)</f>
        <v>513.556</v>
      </c>
      <c r="U8" s="55">
        <f>SUMPRODUCT(U4:U6,$K$4:$K$6)</f>
        <v>617.287</v>
      </c>
      <c r="V8" s="55">
        <f>SUMPRODUCT(V4:V6,$K$4:$K$6)</f>
        <v>634.099</v>
      </c>
      <c r="W8" s="55">
        <f>SUMPRODUCT(W4:W6,$K$4:$K$6)</f>
        <v>650.9110000000001</v>
      </c>
      <c r="X8" s="55">
        <f>SUMPRODUCT(X4:X6,$K$4:$K$6)</f>
        <v>663.52</v>
      </c>
      <c r="Y8" s="55">
        <f>SUMPRODUCT(Y4:Y6,$K$4:$K$6)</f>
        <v>663.52</v>
      </c>
      <c r="Z8" s="55">
        <f>SUMPRODUCT(Z4:Z6,$K$4:$K$6)</f>
        <v>663.52</v>
      </c>
      <c r="AA8" s="55">
        <f>SUMPRODUCT(AA4:AA6,$K$4:$K$6)</f>
        <v>663.52</v>
      </c>
      <c r="AB8" s="55">
        <f>SUMPRODUCT(AB4:AB6,$K$4:$K$6)</f>
        <v>663.52</v>
      </c>
      <c r="AC8" s="55">
        <f>SUMPRODUCT(AC4:AC6,$K$4:$K$6)</f>
        <v>373.79</v>
      </c>
      <c r="AD8" s="55">
        <f>SUMPRODUCT(AD4:AD6,$K$4:$K$6)</f>
        <v>228.925</v>
      </c>
      <c r="AE8" s="55">
        <f>SUMPRODUCT(AE4:AE6,$K$4:$K$6)</f>
        <v>156.4925</v>
      </c>
      <c r="AF8" s="55">
        <f>SUMPRODUCT(AF4:AF6,$K$4:$K$6)</f>
        <v>78.24625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Ocugen, Inc.: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Pipeline!M7</f>
        <v>0.0</v>
      </c>
      <c r="D4" s="57">
        <f>Pipeline!N7</f>
        <v>0.0</v>
      </c>
      <c r="E4" s="57">
        <f>Pipeline!O7</f>
        <v>0.0</v>
      </c>
      <c r="F4" s="57">
        <f>Pipeline!P7</f>
        <v>144.865</v>
      </c>
      <c r="G4" s="57">
        <f>Pipeline!Q7</f>
        <v>362.1625</v>
      </c>
      <c r="H4" s="57">
        <f>Pipeline!R7</f>
        <v>651.8924999999999</v>
      </c>
      <c r="I4" s="57">
        <f>Pipeline!S7</f>
        <v>962.6374999999999</v>
      </c>
      <c r="J4" s="57">
        <f>Pipeline!T7</f>
        <v>1283.8899999999999</v>
      </c>
      <c r="K4" s="57">
        <f>Pipeline!U7</f>
        <v>1543.2175000000002</v>
      </c>
      <c r="L4" s="57">
        <f>Pipeline!V7</f>
        <v>1585.2475000000002</v>
      </c>
      <c r="M4" s="57">
        <f>Pipeline!W7</f>
        <v>1627.2775000000001</v>
      </c>
      <c r="N4" s="57">
        <f>Pipeline!X7</f>
        <v>1658.8000000000002</v>
      </c>
      <c r="O4" s="57">
        <f>Pipeline!Y7</f>
        <v>1658.8000000000002</v>
      </c>
      <c r="P4" s="57">
        <f>Pipeline!Z7</f>
        <v>1658.8000000000002</v>
      </c>
      <c r="Q4" s="57">
        <f>Pipeline!AA7</f>
        <v>1658.8000000000002</v>
      </c>
      <c r="R4" s="57">
        <f>Pipeline!AB7</f>
        <v>1658.8000000000002</v>
      </c>
      <c r="S4" s="57">
        <f>Pipeline!AC7</f>
        <v>934.475</v>
      </c>
      <c r="T4" s="57">
        <f>Pipeline!AD7</f>
        <v>572.3125</v>
      </c>
      <c r="U4" s="57">
        <f>Pipeline!AE7</f>
        <v>391.23125000000005</v>
      </c>
      <c r="V4" s="57">
        <f>Pipeline!AF7</f>
        <v>195.61562500000002</v>
      </c>
    </row>
    <row r="5">
      <c r="A5" s="14" t="inlineStr">
        <is>
          <t>Risked contribution</t>
        </is>
      </c>
      <c r="C5" s="57">
        <f>Pipeline!M8</f>
        <v>0.0</v>
      </c>
      <c r="D5" s="57">
        <f>Pipeline!N8</f>
        <v>0.0</v>
      </c>
      <c r="E5" s="57">
        <f>Pipeline!O8</f>
        <v>0.0</v>
      </c>
      <c r="F5" s="57">
        <f>Pipeline!P8</f>
        <v>57.946</v>
      </c>
      <c r="G5" s="57">
        <f>Pipeline!Q8</f>
        <v>144.865</v>
      </c>
      <c r="H5" s="57">
        <f>Pipeline!R8</f>
        <v>260.757</v>
      </c>
      <c r="I5" s="57">
        <f>Pipeline!S8</f>
        <v>385.055</v>
      </c>
      <c r="J5" s="57">
        <f>Pipeline!T8</f>
        <v>513.556</v>
      </c>
      <c r="K5" s="57">
        <f>Pipeline!U8</f>
        <v>617.287</v>
      </c>
      <c r="L5" s="57">
        <f>Pipeline!V8</f>
        <v>634.099</v>
      </c>
      <c r="M5" s="57">
        <f>Pipeline!W8</f>
        <v>650.9110000000001</v>
      </c>
      <c r="N5" s="57">
        <f>Pipeline!X8</f>
        <v>663.52</v>
      </c>
      <c r="O5" s="57">
        <f>Pipeline!Y8</f>
        <v>663.52</v>
      </c>
      <c r="P5" s="57">
        <f>Pipeline!Z8</f>
        <v>663.52</v>
      </c>
      <c r="Q5" s="57">
        <f>Pipeline!AA8</f>
        <v>663.52</v>
      </c>
      <c r="R5" s="57">
        <f>Pipeline!AB8</f>
        <v>663.52</v>
      </c>
      <c r="S5" s="57">
        <f>Pipeline!AC8</f>
        <v>373.79</v>
      </c>
      <c r="T5" s="57">
        <f>Pipeline!AD8</f>
        <v>228.925</v>
      </c>
      <c r="U5" s="57">
        <f>Pipeline!AE8</f>
        <v>156.4925</v>
      </c>
      <c r="V5" s="57">
        <f>Pipeline!AF8</f>
        <v>78.24625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-68.902</v>
      </c>
      <c r="D6" s="23">
        <f>-IF(D3-2026&lt;Assumptions!$B$19,Assumptions!$B$18,Assumptions!$B$18*Assumptions!$B$20*Assumptions!$B$16)</f>
        <v>-68.902</v>
      </c>
      <c r="E6" s="23">
        <f>-IF(E3-2026&lt;Assumptions!$B$19,Assumptions!$B$18,Assumptions!$B$18*Assumptions!$B$20*Assumptions!$B$16)</f>
        <v>-68.902</v>
      </c>
      <c r="F6" s="23">
        <f>-IF(F3-2026&lt;Assumptions!$B$19,Assumptions!$B$18,Assumptions!$B$18*Assumptions!$B$20*Assumptions!$B$16)</f>
        <v>-16.547664952445274</v>
      </c>
      <c r="G6" s="23">
        <f>-IF(G3-2026&lt;Assumptions!$B$19,Assumptions!$B$18,Assumptions!$B$18*Assumptions!$B$20*Assumptions!$B$16)</f>
        <v>-16.547664952445274</v>
      </c>
      <c r="H6" s="23">
        <f>-IF(H3-2026&lt;Assumptions!$B$19,Assumptions!$B$18,Assumptions!$B$18*Assumptions!$B$20*Assumptions!$B$16)</f>
        <v>-16.547664952445274</v>
      </c>
      <c r="I6" s="23">
        <f>-IF(I3-2026&lt;Assumptions!$B$19,Assumptions!$B$18,Assumptions!$B$18*Assumptions!$B$20*Assumptions!$B$16)</f>
        <v>-16.547664952445274</v>
      </c>
      <c r="J6" s="23">
        <f>-IF(J3-2026&lt;Assumptions!$B$19,Assumptions!$B$18,Assumptions!$B$18*Assumptions!$B$20*Assumptions!$B$16)</f>
        <v>-16.547664952445274</v>
      </c>
      <c r="K6" s="23">
        <f>-IF(K3-2026&lt;Assumptions!$B$19,Assumptions!$B$18,Assumptions!$B$18*Assumptions!$B$20*Assumptions!$B$16)</f>
        <v>-16.547664952445274</v>
      </c>
      <c r="L6" s="23">
        <f>-IF(L3-2026&lt;Assumptions!$B$19,Assumptions!$B$18,Assumptions!$B$18*Assumptions!$B$20*Assumptions!$B$16)</f>
        <v>-16.547664952445274</v>
      </c>
      <c r="M6" s="23">
        <f>-IF(M3-2026&lt;Assumptions!$B$19,Assumptions!$B$18,Assumptions!$B$18*Assumptions!$B$20*Assumptions!$B$16)</f>
        <v>-16.547664952445274</v>
      </c>
      <c r="N6" s="23">
        <f>-IF(N3-2026&lt;Assumptions!$B$19,Assumptions!$B$18,Assumptions!$B$18*Assumptions!$B$20*Assumptions!$B$16)</f>
        <v>-16.547664952445274</v>
      </c>
      <c r="O6" s="23">
        <f>-IF(O3-2026&lt;Assumptions!$B$19,Assumptions!$B$18,Assumptions!$B$18*Assumptions!$B$20*Assumptions!$B$16)</f>
        <v>-16.547664952445274</v>
      </c>
      <c r="P6" s="23">
        <f>-IF(P3-2026&lt;Assumptions!$B$19,Assumptions!$B$18,Assumptions!$B$18*Assumptions!$B$20*Assumptions!$B$16)</f>
        <v>-16.547664952445274</v>
      </c>
      <c r="Q6" s="23">
        <f>-IF(Q3-2026&lt;Assumptions!$B$19,Assumptions!$B$18,Assumptions!$B$18*Assumptions!$B$20*Assumptions!$B$16)</f>
        <v>-16.547664952445274</v>
      </c>
      <c r="R6" s="23">
        <f>-IF(R3-2026&lt;Assumptions!$B$19,Assumptions!$B$18,Assumptions!$B$18*Assumptions!$B$20*Assumptions!$B$16)</f>
        <v>-16.547664952445274</v>
      </c>
      <c r="S6" s="23">
        <f>-IF(S3-2026&lt;Assumptions!$B$19,Assumptions!$B$18,Assumptions!$B$18*Assumptions!$B$20*Assumptions!$B$16)</f>
        <v>-16.547664952445274</v>
      </c>
      <c r="T6" s="23">
        <f>-IF(T3-2026&lt;Assumptions!$B$19,Assumptions!$B$18,Assumptions!$B$18*Assumptions!$B$20*Assumptions!$B$16)</f>
        <v>-16.547664952445274</v>
      </c>
      <c r="U6" s="23">
        <f>-IF(U3-2026&lt;Assumptions!$B$19,Assumptions!$B$18,Assumptions!$B$18*Assumptions!$B$20*Assumptions!$B$16)</f>
        <v>-16.547664952445274</v>
      </c>
      <c r="V6" s="23">
        <f>-IF(V3-2026&lt;Assumptions!$B$19,Assumptions!$B$18,Assumptions!$B$18*Assumptions!$B$20*Assumptions!$B$16)</f>
        <v>-16.547664952445274</v>
      </c>
    </row>
    <row r="7">
      <c r="A7" s="14" t="inlineStr">
        <is>
          <t>Pre-tax cash flow</t>
        </is>
      </c>
      <c r="C7" s="23">
        <f>C5+C6</f>
        <v>-68.902</v>
      </c>
      <c r="D7" s="23">
        <f>D5+D6</f>
        <v>-68.902</v>
      </c>
      <c r="E7" s="23">
        <f>E5+E6</f>
        <v>-68.902</v>
      </c>
      <c r="F7" s="23">
        <f>F5+F6</f>
        <v>41.398335047554724</v>
      </c>
      <c r="G7" s="23">
        <f>G5+G6</f>
        <v>128.31733504755474</v>
      </c>
      <c r="H7" s="23">
        <f>H5+H6</f>
        <v>244.20933504755473</v>
      </c>
      <c r="I7" s="23">
        <f>I5+I6</f>
        <v>368.50733504755476</v>
      </c>
      <c r="J7" s="23">
        <f>J5+J6</f>
        <v>497.00833504755474</v>
      </c>
      <c r="K7" s="23">
        <f>K5+K6</f>
        <v>600.7393350475547</v>
      </c>
      <c r="L7" s="23">
        <f>L5+L6</f>
        <v>617.5513350475547</v>
      </c>
      <c r="M7" s="23">
        <f>M5+M6</f>
        <v>634.3633350475548</v>
      </c>
      <c r="N7" s="23">
        <f>N5+N6</f>
        <v>646.9723350475547</v>
      </c>
      <c r="O7" s="23">
        <f>O5+O6</f>
        <v>646.9723350475547</v>
      </c>
      <c r="P7" s="23">
        <f>P5+P6</f>
        <v>646.9723350475547</v>
      </c>
      <c r="Q7" s="23">
        <f>Q5+Q6</f>
        <v>646.9723350475547</v>
      </c>
      <c r="R7" s="23">
        <f>R5+R6</f>
        <v>646.9723350475547</v>
      </c>
      <c r="S7" s="23">
        <f>S5+S6</f>
        <v>357.2423350475548</v>
      </c>
      <c r="T7" s="23">
        <f>T5+T6</f>
        <v>212.37733504755474</v>
      </c>
      <c r="U7" s="23">
        <f>U5+U6</f>
        <v>139.94483504755473</v>
      </c>
      <c r="V7" s="23">
        <f>V5+V6</f>
        <v>61.69858504755473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41.398335047554724</v>
      </c>
      <c r="G8" s="23">
        <f>MIN(F17,MAX(0,G7))</f>
        <v>128.31733504755474</v>
      </c>
      <c r="H8" s="23">
        <f>MIN(G17,MAX(0,H7))</f>
        <v>244.20933504755473</v>
      </c>
      <c r="I8" s="23">
        <f>MIN(H17,MAX(0,I7))</f>
        <v>280.6809948573359</v>
      </c>
      <c r="J8" s="23">
        <f>MIN(I17,MAX(0,J7))</f>
        <v>0.0</v>
      </c>
      <c r="K8" s="23">
        <f>MIN(J17,MAX(0,K7))</f>
        <v>0.0</v>
      </c>
      <c r="L8" s="23">
        <f>MIN(K17,MAX(0,L7))</f>
        <v>0.0</v>
      </c>
      <c r="M8" s="23">
        <f>MIN(L17,MAX(0,M7))</f>
        <v>0.0</v>
      </c>
      <c r="N8" s="23">
        <f>MIN(M17,MAX(0,N7))</f>
        <v>0.0</v>
      </c>
      <c r="O8" s="23">
        <f>MIN(N17,MAX(0,O7))</f>
        <v>0.0</v>
      </c>
      <c r="P8" s="23">
        <f>MIN(O17,MAX(0,P7))</f>
        <v>0.0</v>
      </c>
      <c r="Q8" s="23">
        <f>MIN(P17,MAX(0,Q7))</f>
        <v>0.0</v>
      </c>
      <c r="R8" s="23">
        <f>MIN(Q17,MAX(0,R7))</f>
        <v>0.0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87.82634019021884</v>
      </c>
      <c r="J9" s="23">
        <f>MAX(0,J7)-J8</f>
        <v>497.00833504755474</v>
      </c>
      <c r="K9" s="23">
        <f>MAX(0,K7)-K8</f>
        <v>600.7393350475547</v>
      </c>
      <c r="L9" s="23">
        <f>MAX(0,L7)-L8</f>
        <v>617.5513350475547</v>
      </c>
      <c r="M9" s="23">
        <f>MAX(0,M7)-M8</f>
        <v>634.3633350475548</v>
      </c>
      <c r="N9" s="23">
        <f>MAX(0,N7)-N8</f>
        <v>646.9723350475547</v>
      </c>
      <c r="O9" s="23">
        <f>MAX(0,O7)-O8</f>
        <v>646.9723350475547</v>
      </c>
      <c r="P9" s="23">
        <f>MAX(0,P7)-P8</f>
        <v>646.9723350475547</v>
      </c>
      <c r="Q9" s="23">
        <f>MAX(0,Q7)-Q8</f>
        <v>646.9723350475547</v>
      </c>
      <c r="R9" s="23">
        <f>MAX(0,R7)-R8</f>
        <v>646.9723350475547</v>
      </c>
      <c r="S9" s="23">
        <f>MAX(0,S7)-S8</f>
        <v>357.2423350475548</v>
      </c>
      <c r="T9" s="23">
        <f>MAX(0,T7)-T8</f>
        <v>212.37733504755474</v>
      </c>
      <c r="U9" s="23">
        <f>MAX(0,U7)-U8</f>
        <v>139.94483504755473</v>
      </c>
      <c r="V9" s="23">
        <f>MAX(0,V7)-V8</f>
        <v>61.69858504755473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18.443531439945957</v>
      </c>
      <c r="J10" s="23">
        <f>J9*Assumptions!$E$15</f>
        <v>104.37175035998649</v>
      </c>
      <c r="K10" s="23">
        <f>K9*Assumptions!$E$15</f>
        <v>126.15526035998649</v>
      </c>
      <c r="L10" s="23">
        <f>L9*Assumptions!$E$15</f>
        <v>129.6857803599865</v>
      </c>
      <c r="M10" s="23">
        <f>M9*Assumptions!$E$15</f>
        <v>133.2163003599865</v>
      </c>
      <c r="N10" s="23">
        <f>N9*Assumptions!$E$15</f>
        <v>135.86419035998648</v>
      </c>
      <c r="O10" s="23">
        <f>O9*Assumptions!$E$15</f>
        <v>135.86419035998648</v>
      </c>
      <c r="P10" s="23">
        <f>P9*Assumptions!$E$15</f>
        <v>135.86419035998648</v>
      </c>
      <c r="Q10" s="23">
        <f>Q9*Assumptions!$E$15</f>
        <v>135.86419035998648</v>
      </c>
      <c r="R10" s="23">
        <f>R9*Assumptions!$E$15</f>
        <v>135.86419035998648</v>
      </c>
      <c r="S10" s="23">
        <f>S9*Assumptions!$E$15</f>
        <v>75.0208903599865</v>
      </c>
      <c r="T10" s="23">
        <f>T9*Assumptions!$E$15</f>
        <v>44.599240359986496</v>
      </c>
      <c r="U10" s="23">
        <f>U9*Assumptions!$E$15</f>
        <v>29.388415359986492</v>
      </c>
      <c r="V10" s="23">
        <f>V9*Assumptions!$E$15</f>
        <v>12.956702859986493</v>
      </c>
    </row>
    <row r="11">
      <c r="A11" s="24" t="inlineStr">
        <is>
          <t>Free cash flow</t>
        </is>
      </c>
      <c r="C11" s="55">
        <f>C7-C10</f>
        <v>-68.902</v>
      </c>
      <c r="D11" s="55">
        <f>D7-D10</f>
        <v>-68.902</v>
      </c>
      <c r="E11" s="55">
        <f>E7-E10</f>
        <v>-68.902</v>
      </c>
      <c r="F11" s="55">
        <f>F7-F10</f>
        <v>41.398335047554724</v>
      </c>
      <c r="G11" s="55">
        <f>G7-G10</f>
        <v>128.31733504755474</v>
      </c>
      <c r="H11" s="55">
        <f>H7-H10</f>
        <v>244.20933504755473</v>
      </c>
      <c r="I11" s="55">
        <f>I7-I10</f>
        <v>350.0638036076088</v>
      </c>
      <c r="J11" s="55">
        <f>J7-J10</f>
        <v>392.63658468756825</v>
      </c>
      <c r="K11" s="55">
        <f>K7-K10</f>
        <v>474.58407468756826</v>
      </c>
      <c r="L11" s="55">
        <f>L7-L10</f>
        <v>487.86555468756825</v>
      </c>
      <c r="M11" s="55">
        <f>M7-M10</f>
        <v>501.1470346875683</v>
      </c>
      <c r="N11" s="55">
        <f>N7-N10</f>
        <v>511.1081446875682</v>
      </c>
      <c r="O11" s="55">
        <f>O7-O10</f>
        <v>511.1081446875682</v>
      </c>
      <c r="P11" s="55">
        <f>P7-P10</f>
        <v>511.1081446875682</v>
      </c>
      <c r="Q11" s="55">
        <f>Q7-Q10</f>
        <v>511.1081446875682</v>
      </c>
      <c r="R11" s="55">
        <f>R7-R10</f>
        <v>511.1081446875682</v>
      </c>
      <c r="S11" s="55">
        <f>S7-S10</f>
        <v>282.2214446875683</v>
      </c>
      <c r="T11" s="55">
        <f>T7-T10</f>
        <v>167.77809468756823</v>
      </c>
      <c r="U11" s="55">
        <f>U7-U10</f>
        <v>110.55641968756824</v>
      </c>
      <c r="V11" s="55">
        <f>V7-V10</f>
        <v>48.74188218756824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-33.75538945580819</v>
      </c>
      <c r="D16" s="55">
        <f>D11*D15</f>
        <v>-61.49106454207313</v>
      </c>
      <c r="E16" s="55">
        <f>E11*E15</f>
        <v>-54.90273619827957</v>
      </c>
      <c r="F16" s="55">
        <f>F11*F15</f>
        <v>29.45282881281552</v>
      </c>
      <c r="G16" s="55">
        <f>G11*G15</f>
        <v>81.51010392022039</v>
      </c>
      <c r="H16" s="55">
        <f>H11*H15</f>
        <v>138.5065634256127</v>
      </c>
      <c r="I16" s="55">
        <f>I11*I15</f>
        <v>177.27082969890074</v>
      </c>
      <c r="J16" s="55">
        <f>J11*J15</f>
        <v>177.52634463756743</v>
      </c>
      <c r="K16" s="55">
        <f>K11*K15</f>
        <v>191.5875066705569</v>
      </c>
      <c r="L16" s="55">
        <f>L11*L15</f>
        <v>175.84748376507477</v>
      </c>
      <c r="M16" s="55">
        <f>M11*M15</f>
        <v>161.28097653317172</v>
      </c>
      <c r="N16" s="55">
        <f>N11*N15</f>
        <v>146.8631227528782</v>
      </c>
      <c r="O16" s="55">
        <f>O11*O15</f>
        <v>131.1277881722127</v>
      </c>
      <c r="P16" s="55">
        <f>P11*P15</f>
        <v>117.07838229661844</v>
      </c>
      <c r="Q16" s="55">
        <f>Q11*Q15</f>
        <v>104.53426990769505</v>
      </c>
      <c r="R16" s="55">
        <f>R11*R15</f>
        <v>93.334169560442</v>
      </c>
      <c r="S16" s="55">
        <f>S11*S15</f>
        <v>46.015045316325356</v>
      </c>
      <c r="T16" s="55">
        <f>T11*T15</f>
        <v>24.424578564417715</v>
      </c>
      <c r="U16" s="55">
        <f>U11*U15</f>
        <v>14.370032948070065</v>
      </c>
      <c r="V16" s="55">
        <f>V11*V15</f>
        <v>5.656633888232413</v>
      </c>
    </row>
    <row r="17">
      <c r="A17" s="14" t="inlineStr">
        <is>
          <t>Tax-loss carryforward, end of year</t>
        </is>
      </c>
      <c r="C17" s="23">
        <f>Assumptions!$B$21-C8+MAX(0,-C7)</f>
        <v>556.802</v>
      </c>
      <c r="D17" s="23">
        <f>C17-D8+MAX(0,-D7)</f>
        <v>625.7040000000001</v>
      </c>
      <c r="E17" s="23">
        <f>D17-E8+MAX(0,-E7)</f>
        <v>694.6060000000001</v>
      </c>
      <c r="F17" s="23">
        <f>E17-F8+MAX(0,-F7)</f>
        <v>653.2076649524454</v>
      </c>
      <c r="G17" s="23">
        <f>F17-G8+MAX(0,-G7)</f>
        <v>524.8903299048907</v>
      </c>
      <c r="H17" s="23">
        <f>G17-H8+MAX(0,-H7)</f>
        <v>280.6809948573359</v>
      </c>
      <c r="I17" s="23">
        <f>H17-I8+MAX(0,-I7)</f>
        <v>0.0</v>
      </c>
      <c r="J17" s="23">
        <f>I17-J8+MAX(0,-J7)</f>
        <v>0.0</v>
      </c>
      <c r="K17" s="23">
        <f>J17-K8+MAX(0,-K7)</f>
        <v>0.0</v>
      </c>
      <c r="L17" s="23">
        <f>K17-L8+MAX(0,-L7)</f>
        <v>0.0</v>
      </c>
      <c r="M17" s="23">
        <f>L17-M8+MAX(0,-M7)</f>
        <v>0.0</v>
      </c>
      <c r="N17" s="23">
        <f>M17-N8+MAX(0,-N7)</f>
        <v>0.0</v>
      </c>
      <c r="O17" s="23">
        <f>N17-O8+MAX(0,-O7)</f>
        <v>0.0</v>
      </c>
      <c r="P17" s="23">
        <f>O17-P8+MAX(0,-P7)</f>
        <v>0.0</v>
      </c>
      <c r="Q17" s="23">
        <f>P17-Q8+MAX(0,-Q7)</f>
        <v>0.0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0.0</v>
      </c>
    </row>
    <row r="19">
      <c r="A19" s="14" t="inlineStr">
        <is>
          <t>PV of risked pipeline contribution</t>
        </is>
      </c>
      <c r="B19" s="23">
        <f>SUMPRODUCT(C5:V5,C15:V15)</f>
        <v>2289.0024258393037</v>
      </c>
    </row>
    <row r="20">
      <c r="A20" s="14" t="inlineStr">
        <is>
          <t>PV of corporate burn</t>
        </is>
      </c>
      <c r="B20" s="23">
        <f>SUMPRODUCT(C6:V6,C15:V15)</f>
        <v>-244.02557016823098</v>
      </c>
    </row>
    <row r="21">
      <c r="A21" s="14" t="inlineStr">
        <is>
          <t>PV of taxes</t>
        </is>
      </c>
      <c r="B21" s="23">
        <f>-SUMPRODUCT(C10:V10,C15:V15)</f>
        <v>-378.7393849964218</v>
      </c>
    </row>
    <row r="22">
      <c r="A22" s="24" t="inlineStr">
        <is>
          <t>Pipeline rNPV (operations)</t>
        </is>
      </c>
      <c r="B22" s="54">
        <f>SUM(C16:V16)</f>
        <v>1666.2374706746514</v>
      </c>
    </row>
    <row r="23">
      <c r="A23" s="14" t="inlineStr">
        <is>
          <t>Cash &amp; investments</t>
        </is>
      </c>
      <c r="B23" s="57">
        <f>Main!C7</f>
        <v>100.051</v>
      </c>
    </row>
    <row r="24">
      <c r="A24" s="14" t="inlineStr">
        <is>
          <t>Debt</t>
        </is>
      </c>
      <c r="B24" s="57">
        <f>Main!C8</f>
        <v>1.749</v>
      </c>
    </row>
    <row r="25">
      <c r="A25" s="24" t="inlineStr">
        <is>
          <t>Equity value</t>
        </is>
      </c>
      <c r="B25" s="54">
        <f>B22+B23-B24</f>
        <v>1764.5394706746513</v>
      </c>
    </row>
    <row r="26">
      <c r="A26" s="14" t="inlineStr">
        <is>
          <t>Shares (mm)</t>
        </is>
      </c>
      <c r="B26" s="57">
        <f>Main!C4</f>
        <v>339.110401</v>
      </c>
    </row>
    <row r="27">
      <c r="A27" s="24" t="inlineStr">
        <is>
          <t>rNPV / share</t>
        </is>
      </c>
      <c r="B27" s="60">
        <f>B25/B26</f>
        <v>5.203436596079667</v>
      </c>
    </row>
    <row r="28">
      <c r="A28" s="14" t="inlineStr">
        <is>
          <t>Price</t>
        </is>
      </c>
      <c r="B28" s="61">
        <f>Main!C3</f>
        <v>0.8125</v>
      </c>
    </row>
    <row r="29">
      <c r="A29" s="14" t="inlineStr">
        <is>
          <t>Upside</t>
        </is>
      </c>
      <c r="B29" s="62">
        <f>B27/B28-1</f>
        <v>5.4042296567134365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2026-10-21T06:26:13Z</dcterms:modified>
  <cp:lastModifiedBy>Wang, Eric</cp:lastModifiedBy>
</cp:coreProperties>
</file>