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Anbio Biotechnology</t>
        </is>
      </c>
      <c r="C2" s="10" t="n"/>
    </row>
    <row r="3">
      <c r="B3" t="inlineStr">
        <is>
          <t>Price</t>
        </is>
      </c>
      <c r="C3" s="11">
        <f>INDEX([1]Pharma!$F$1:$F$1000,MATCH("NNNN",[1]Pharma!$B$1:$B$1000,0))</f>
        <v>3.73</v>
      </c>
      <c r="F3" s="1" t="n"/>
    </row>
    <row r="4">
      <c r="B4" t="inlineStr">
        <is>
          <t>Shares</t>
        </is>
      </c>
      <c r="C4" s="21" t="n">
        <v>143.8912</v>
      </c>
      <c r="F4" s="1" t="n"/>
    </row>
    <row r="5">
      <c r="B5" t="inlineStr">
        <is>
          <t>Market Cap.</t>
        </is>
      </c>
      <c r="C5" s="13">
        <f>C3*C4</f>
        <v>536.714176</v>
      </c>
      <c r="F5" s="1" t="n"/>
    </row>
    <row r="6"/>
    <row r="7">
      <c r="B7" t="inlineStr">
        <is>
          <t>Cash</t>
        </is>
      </c>
      <c r="C7" s="21">
        <f>7.766738+4.134493</f>
        <v>11.901231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524.8129449999999</v>
      </c>
    </row>
    <row r="10"/>
    <row r="11">
      <c r="B11" s="14" t="inlineStr">
        <is>
          <t>Net Cash / Share</t>
        </is>
      </c>
      <c r="C11" s="11">
        <f>(C7-C8)/C4</f>
        <v>0.08270992944669306</v>
      </c>
    </row>
    <row r="12">
      <c r="B12" s="14" t="inlineStr">
        <is>
          <t>Upside</t>
        </is>
      </c>
      <c r="C12" s="15">
        <f>IFERROR(C11/C3-1,"")</f>
        <v>-0.9778257561805113</v>
      </c>
    </row>
    <row r="13">
      <c r="B13" s="14" t="inlineStr">
        <is>
          <t>Cash / Share</t>
        </is>
      </c>
      <c r="C13" s="11">
        <f>IFERROR((C7-C8)/C4,"")</f>
        <v>0.08270992944669306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-6.739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1.7660232972251075</v>
      </c>
    </row>
    <row r="19">
      <c r="B19" s="14" t="inlineStr">
        <is>
          <t>Implied Pipeline Value</t>
        </is>
      </c>
      <c r="C19" s="13">
        <f>C9</f>
        <v>524.8129449999999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23.545</v>
      </c>
      <c r="C2" s="23" t="n">
        <v>6.712</v>
      </c>
      <c r="D2" s="23" t="n">
        <v>8.185</v>
      </c>
      <c r="E2" s="23" t="n">
        <v>8.647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10.981</v>
      </c>
      <c r="C3" s="23" t="n">
        <v>3.351</v>
      </c>
      <c r="D3" s="23" t="n">
        <v>2.3</v>
      </c>
      <c r="E3" s="23" t="n">
        <v>1.104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12.564000000000002</v>
      </c>
      <c r="C4" s="23">
        <f>C2-C3</f>
        <v>3.3609999999999998</v>
      </c>
      <c r="D4" s="23">
        <f>D2-D3</f>
        <v>5.885000000000001</v>
      </c>
      <c r="E4" s="23">
        <f>E2-E3</f>
        <v>7.543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0.2</v>
      </c>
      <c r="C5" s="23" t="n">
        <v>0.135</v>
      </c>
      <c r="D5" s="23" t="n">
        <v>0.454</v>
      </c>
      <c r="E5" s="23" t="n">
        <v>0.201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2.168</v>
      </c>
      <c r="C6" s="23" t="n">
        <v>1.265</v>
      </c>
      <c r="D6" s="23" t="n">
        <v>3.436</v>
      </c>
      <c r="E6" s="23" t="n">
        <v>1.574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2.3680000000000003</v>
      </c>
      <c r="C7" s="23">
        <f>SUM(C5:C6)</f>
        <v>1.4</v>
      </c>
      <c r="D7" s="23">
        <f>SUM(D5:D6)</f>
        <v>3.89</v>
      </c>
      <c r="E7" s="23">
        <f>SUM(E5:E6)</f>
        <v>1.7750000000000001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10.196000000000002</v>
      </c>
      <c r="C8" s="23">
        <f>C4-C7</f>
        <v>1.9609999999999999</v>
      </c>
      <c r="D8" s="23">
        <f>D4-D7</f>
        <v>1.9950000000000006</v>
      </c>
      <c r="E8" s="23">
        <f>E4-E7</f>
        <v>5.768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-0.184</v>
      </c>
      <c r="C9" s="23" t="n">
        <v>0.293</v>
      </c>
      <c r="D9" s="23" t="n">
        <v>0.377</v>
      </c>
      <c r="E9" s="23" t="n">
        <v>0.636</v>
      </c>
    </row>
    <row r="10">
      <c r="A10" s="2" t="inlineStr">
        <is>
          <t>Pretax</t>
        </is>
      </c>
      <c r="B10" s="23">
        <f>B8+B9</f>
        <v>10.012000000000002</v>
      </c>
      <c r="C10" s="23">
        <f>C8+C9</f>
        <v>2.254</v>
      </c>
      <c r="D10" s="23">
        <f>D8+D9</f>
        <v>2.3720000000000008</v>
      </c>
      <c r="E10" s="23">
        <f>E8+E9</f>
        <v>6.404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</row>
    <row r="12">
      <c r="A12" s="2" t="inlineStr">
        <is>
          <t>Net Income</t>
        </is>
      </c>
      <c r="B12" s="23" t="n">
        <v>10.011</v>
      </c>
      <c r="C12" s="23" t="n">
        <v>2.254</v>
      </c>
      <c r="D12" s="23" t="n">
        <v>2.373</v>
      </c>
      <c r="E12" s="23" t="n">
        <v>6.403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0.23351449697930998</v>
      </c>
      <c r="C13" s="11">
        <f>IFERROR(C12/C14,0)</f>
        <v>0.052576333652119146</v>
      </c>
      <c r="D13" s="11">
        <f>IFERROR(D12/D14,0)</f>
        <v>0.056111229339575804</v>
      </c>
      <c r="E13" s="11">
        <f>IFERROR(E12/E14,0)</f>
        <v>0.14661568052756915</v>
      </c>
    </row>
    <row r="14">
      <c r="A14" s="2" t="inlineStr">
        <is>
          <t>Shares</t>
        </is>
      </c>
      <c r="B14" s="23" t="n">
        <v>42.871</v>
      </c>
      <c r="C14" s="23" t="n">
        <v>42.871</v>
      </c>
      <c r="D14" s="23" t="n">
        <v>42.291</v>
      </c>
      <c r="E14" s="23" t="n">
        <v>43.672</v>
      </c>
    </row>
    <row r="15"/>
    <row r="16" customFormat="1" s="4">
      <c r="A16" s="3" t="inlineStr">
        <is>
          <t>Revenue Change</t>
        </is>
      </c>
      <c r="C16" s="15">
        <f>IFERROR(C2/B2-1,"")</f>
        <v>-0.7149288596304948</v>
      </c>
      <c r="D16" s="15">
        <f>IFERROR(D2/C2-1,"")</f>
        <v>0.2194576877234804</v>
      </c>
      <c r="E16" s="15">
        <f>IFERROR(E2/D2-1,"")</f>
        <v>0.05644471594379952</v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0.5336164790826078</v>
      </c>
      <c r="C17" s="15">
        <f>IFERROR(C4/C2,"")</f>
        <v>0.5007449344457687</v>
      </c>
      <c r="D17" s="15">
        <f>IFERROR(D4/D2,"")</f>
        <v>0.7189981673793525</v>
      </c>
      <c r="E17" s="15">
        <f>IFERROR(E4/E2,"")</f>
        <v>0.8723256620793338</v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0.43304310894032705</v>
      </c>
      <c r="C18" s="15">
        <f>IFERROR(C8/C2,"")</f>
        <v>0.2921632896305125</v>
      </c>
      <c r="D18" s="15">
        <f>IFERROR(D8/D2,"")</f>
        <v>0.24373854612095303</v>
      </c>
      <c r="E18" s="15">
        <f>IFERROR(E8/E2,"")</f>
        <v>0.6670521568173933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2026-10-21T06:25:21Z</dcterms:modified>
  <cp:lastModifiedBy>Wang, Eric</cp:lastModifiedBy>
</cp:coreProperties>
</file>