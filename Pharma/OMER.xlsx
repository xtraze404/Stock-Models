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Omeros Corporation</t>
        </is>
      </c>
      <c r="C2" s="10" t="n"/>
    </row>
    <row r="3">
      <c r="B3" t="inlineStr">
        <is>
          <t>Price</t>
        </is>
      </c>
      <c r="C3" s="11">
        <f>INDEX([1]Pharma!$F$1:$F$1000,MATCH("OMER",[1]Pharma!$B$1:$B$1000,0))</f>
        <v>16.35</v>
      </c>
      <c r="F3" s="1" t="n"/>
    </row>
    <row r="4">
      <c r="B4" t="inlineStr">
        <is>
          <t>Shares</t>
        </is>
      </c>
      <c r="C4" s="21" t="n">
        <v>72.388316</v>
      </c>
      <c r="F4" s="1" t="n"/>
    </row>
    <row r="5">
      <c r="B5" t="inlineStr">
        <is>
          <t>Market Cap.</t>
        </is>
      </c>
      <c r="C5" s="13">
        <f>C3*C4</f>
        <v>1183.5489666</v>
      </c>
      <c r="F5" s="1" t="n"/>
    </row>
    <row r="6"/>
    <row r="7">
      <c r="B7" t="inlineStr">
        <is>
          <t>Cash</t>
        </is>
      </c>
      <c r="C7" s="21">
        <f>1.988+129.965</f>
        <v>131.953</v>
      </c>
    </row>
    <row r="8">
      <c r="B8" t="inlineStr">
        <is>
          <t>Debt</t>
        </is>
      </c>
      <c r="C8" s="21" t="n">
        <v>73.291</v>
      </c>
    </row>
    <row r="9">
      <c r="B9" t="inlineStr">
        <is>
          <t>Enterprise V.</t>
        </is>
      </c>
      <c r="C9" s="13">
        <f>C5-C7+C8</f>
        <v>1124.8869666</v>
      </c>
    </row>
    <row r="10"/>
    <row r="11">
      <c r="B11" s="14" t="inlineStr">
        <is>
          <t>Net Cash / Share</t>
        </is>
      </c>
      <c r="C11" s="11">
        <f>(C7-C8)/C4</f>
        <v>0.8103793987968998</v>
      </c>
    </row>
    <row r="12">
      <c r="B12" s="14" t="inlineStr">
        <is>
          <t>Upside</t>
        </is>
      </c>
      <c r="C12" s="15">
        <f>IFERROR(C11/C3-1,"")</f>
        <v>-0.950435510776948</v>
      </c>
    </row>
    <row r="13">
      <c r="B13" s="14" t="inlineStr">
        <is>
          <t>Cash / Share</t>
        </is>
      </c>
      <c r="C13" s="11">
        <f>IFERROR((C7-C8)/C4,"")</f>
        <v>0.8103793987968998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-68.672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0.8542346225535882</v>
      </c>
    </row>
    <row r="19">
      <c r="B19" s="14" t="inlineStr">
        <is>
          <t>Implied Pipeline Value</t>
        </is>
      </c>
      <c r="C19" s="13">
        <f>C9</f>
        <v>1124.8869666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2009</v>
      </c>
      <c r="C1" s="17" t="n">
        <v>2010</v>
      </c>
      <c r="D1" s="17" t="n">
        <v>2011</v>
      </c>
      <c r="E1" s="17" t="n">
        <v>2012</v>
      </c>
      <c r="F1" s="17" t="n">
        <v>2013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1.444</v>
      </c>
      <c r="C2" s="23" t="n">
        <v>2.105</v>
      </c>
      <c r="D2" s="23" t="n">
        <v>4.524</v>
      </c>
      <c r="E2" s="23" t="n">
        <v>6.022</v>
      </c>
      <c r="F2" s="23" t="n">
        <v>1.6</v>
      </c>
      <c r="G2" s="23" t="n">
        <v>0.539</v>
      </c>
      <c r="H2" s="23" t="n">
        <v>13.509</v>
      </c>
      <c r="I2" s="23" t="n">
        <v>41.617</v>
      </c>
      <c r="J2" s="23" t="n">
        <v>64.82599999999999</v>
      </c>
      <c r="K2" s="23" t="n">
        <v>29.868</v>
      </c>
      <c r="L2" s="23" t="n">
        <v>111.805</v>
      </c>
      <c r="M2" s="23" t="n">
        <v>73.813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1.041</v>
      </c>
      <c r="I3" s="23" t="n">
        <v>1.412</v>
      </c>
      <c r="J3" s="23" t="n">
        <v>1.078</v>
      </c>
      <c r="K3" s="23" t="n">
        <v>0.512</v>
      </c>
      <c r="L3" s="23" t="n">
        <v>0.865</v>
      </c>
      <c r="M3" s="23" t="n">
        <v>0.902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</row>
    <row r="4" customFormat="1" s="1">
      <c r="A4" s="5" t="inlineStr">
        <is>
          <t>Gross Margin</t>
        </is>
      </c>
      <c r="B4" s="23">
        <f>B2-B3</f>
        <v>1.444</v>
      </c>
      <c r="C4" s="23">
        <f>C2-C3</f>
        <v>2.105</v>
      </c>
      <c r="D4" s="23">
        <f>D2-D3</f>
        <v>4.524</v>
      </c>
      <c r="E4" s="23">
        <f>E2-E3</f>
        <v>6.022</v>
      </c>
      <c r="F4" s="23">
        <f>F2-F3</f>
        <v>1.6</v>
      </c>
      <c r="G4" s="23">
        <f>G2-G3</f>
        <v>0.539</v>
      </c>
      <c r="H4" s="23">
        <f>H2-H3</f>
        <v>12.468</v>
      </c>
      <c r="I4" s="23">
        <f>I2-I3</f>
        <v>40.205</v>
      </c>
      <c r="J4" s="23">
        <f>J2-J3</f>
        <v>63.74799999999999</v>
      </c>
      <c r="K4" s="23">
        <f>K2-K3</f>
        <v>29.355999999999998</v>
      </c>
      <c r="L4" s="23">
        <f>L2-L3</f>
        <v>110.94000000000001</v>
      </c>
      <c r="M4" s="23">
        <f>M2-M3</f>
        <v>72.911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  <c r="R4" s="23">
        <f>R2-R3</f>
        <v>0.0</v>
      </c>
    </row>
    <row r="5">
      <c r="A5" s="2" t="inlineStr">
        <is>
          <t>Research &amp; Dev.</t>
        </is>
      </c>
      <c r="B5" s="23" t="n">
        <v>16.929</v>
      </c>
      <c r="C5" s="23" t="n">
        <v>23.465</v>
      </c>
      <c r="D5" s="23" t="n">
        <v>23.718</v>
      </c>
      <c r="E5" s="23" t="n">
        <v>31.922</v>
      </c>
      <c r="F5" s="23" t="n">
        <v>36.297</v>
      </c>
      <c r="G5" s="23" t="n">
        <v>47.946</v>
      </c>
      <c r="H5" s="23" t="n">
        <v>48.379</v>
      </c>
      <c r="I5" s="23" t="n">
        <v>50.699</v>
      </c>
      <c r="J5" s="23" t="n">
        <v>55.599</v>
      </c>
      <c r="K5" s="23" t="n">
        <v>89.86</v>
      </c>
      <c r="L5" s="23" t="n">
        <v>106.324</v>
      </c>
      <c r="M5" s="23" t="n">
        <v>107.612</v>
      </c>
      <c r="N5" s="23" t="n">
        <v>118.775</v>
      </c>
      <c r="O5" s="23" t="n">
        <v>112.721</v>
      </c>
      <c r="P5" s="23" t="n">
        <v>114.87</v>
      </c>
      <c r="Q5" s="23" t="n">
        <v>119.523</v>
      </c>
      <c r="R5" s="23" t="n">
        <v>81.29600000000001</v>
      </c>
    </row>
    <row r="6">
      <c r="A6" s="19" t="inlineStr">
        <is>
          <t>SG&amp;A &amp; Other</t>
        </is>
      </c>
      <c r="B6" s="23" t="n">
        <v>5.273</v>
      </c>
      <c r="C6" s="23" t="n">
        <v>8.746</v>
      </c>
      <c r="D6" s="23" t="n">
        <v>8.215999999999999</v>
      </c>
      <c r="E6" s="23" t="n">
        <v>10.985</v>
      </c>
      <c r="F6" s="23" t="n">
        <v>15.819</v>
      </c>
      <c r="G6" s="23" t="n">
        <v>22.601</v>
      </c>
      <c r="H6" s="23" t="n">
        <v>35.327</v>
      </c>
      <c r="I6" s="23" t="n">
        <v>43.782</v>
      </c>
      <c r="J6" s="23" t="n">
        <v>52.044</v>
      </c>
      <c r="K6" s="23" t="n">
        <v>51.718</v>
      </c>
      <c r="L6" s="23" t="n">
        <v>150.654</v>
      </c>
      <c r="M6" s="23" t="n">
        <v>122.217</v>
      </c>
      <c r="N6" s="23" t="n">
        <v>54.842</v>
      </c>
      <c r="O6" s="23" t="n">
        <v>50.668</v>
      </c>
      <c r="P6" s="23" t="n">
        <v>49.66</v>
      </c>
      <c r="Q6" s="23" t="n">
        <v>47.43</v>
      </c>
      <c r="R6" s="23" t="n">
        <v>41.5</v>
      </c>
    </row>
    <row r="7">
      <c r="A7" s="2" t="inlineStr">
        <is>
          <t>Operating Expense</t>
        </is>
      </c>
      <c r="B7" s="23">
        <f>SUM(B5:B6)</f>
        <v>22.201999999999998</v>
      </c>
      <c r="C7" s="23">
        <f>SUM(C5:C6)</f>
        <v>32.211</v>
      </c>
      <c r="D7" s="23">
        <f>SUM(D5:D6)</f>
        <v>31.933999999999997</v>
      </c>
      <c r="E7" s="23">
        <f>SUM(E5:E6)</f>
        <v>42.907</v>
      </c>
      <c r="F7" s="23">
        <f>SUM(F5:F6)</f>
        <v>52.116</v>
      </c>
      <c r="G7" s="23">
        <f>SUM(G5:G6)</f>
        <v>70.547</v>
      </c>
      <c r="H7" s="23">
        <f>SUM(H5:H6)</f>
        <v>83.70599999999999</v>
      </c>
      <c r="I7" s="23">
        <f>SUM(I5:I6)</f>
        <v>94.481</v>
      </c>
      <c r="J7" s="23">
        <f>SUM(J5:J6)</f>
        <v>107.643</v>
      </c>
      <c r="K7" s="23">
        <f>SUM(K5:K6)</f>
        <v>141.578</v>
      </c>
      <c r="L7" s="23">
        <f>SUM(L5:L6)</f>
        <v>256.978</v>
      </c>
      <c r="M7" s="23">
        <f>SUM(M5:M6)</f>
        <v>229.829</v>
      </c>
      <c r="N7" s="23">
        <f>SUM(N5:N6)</f>
        <v>173.61700000000002</v>
      </c>
      <c r="O7" s="23">
        <f>SUM(O5:O6)</f>
        <v>163.389</v>
      </c>
      <c r="P7" s="23">
        <f>SUM(P5:P6)</f>
        <v>164.53</v>
      </c>
      <c r="Q7" s="23">
        <f>SUM(Q5:Q6)</f>
        <v>166.953</v>
      </c>
      <c r="R7" s="23">
        <f>SUM(R5:R6)</f>
        <v>122.796</v>
      </c>
    </row>
    <row r="8">
      <c r="A8" s="2" t="inlineStr">
        <is>
          <t>Operating Income</t>
        </is>
      </c>
      <c r="B8" s="23">
        <f>B4-B7</f>
        <v>-20.758</v>
      </c>
      <c r="C8" s="23">
        <f>C4-C7</f>
        <v>-30.105999999999998</v>
      </c>
      <c r="D8" s="23">
        <f>D4-D7</f>
        <v>-27.409999999999997</v>
      </c>
      <c r="E8" s="23">
        <f>E4-E7</f>
        <v>-36.885</v>
      </c>
      <c r="F8" s="23">
        <f>F4-F7</f>
        <v>-50.516</v>
      </c>
      <c r="G8" s="23">
        <f>G4-G7</f>
        <v>-70.008</v>
      </c>
      <c r="H8" s="23">
        <f>H4-H7</f>
        <v>-71.23799999999999</v>
      </c>
      <c r="I8" s="23">
        <f>I4-I7</f>
        <v>-54.275999999999996</v>
      </c>
      <c r="J8" s="23">
        <f>J4-J7</f>
        <v>-43.89500000000001</v>
      </c>
      <c r="K8" s="23">
        <f>K4-K7</f>
        <v>-112.22200000000001</v>
      </c>
      <c r="L8" s="23">
        <f>L4-L7</f>
        <v>-146.038</v>
      </c>
      <c r="M8" s="23">
        <f>M4-M7</f>
        <v>-156.918</v>
      </c>
      <c r="N8" s="23">
        <f>N4-N7</f>
        <v>-173.61700000000002</v>
      </c>
      <c r="O8" s="23">
        <f>O4-O7</f>
        <v>-163.389</v>
      </c>
      <c r="P8" s="23">
        <f>P4-P7</f>
        <v>-164.53</v>
      </c>
      <c r="Q8" s="23">
        <f>Q4-Q7</f>
        <v>-166.953</v>
      </c>
      <c r="R8" s="23">
        <f>R4-R7</f>
        <v>-122.796</v>
      </c>
    </row>
    <row r="9">
      <c r="A9" s="19" t="inlineStr">
        <is>
          <t>Interest &amp; Other</t>
        </is>
      </c>
      <c r="B9" s="23" t="n">
        <v>-0.331</v>
      </c>
      <c r="C9" s="23" t="n">
        <v>0.855</v>
      </c>
      <c r="D9" s="23" t="n">
        <v>-1.136</v>
      </c>
      <c r="E9" s="23" t="n">
        <v>-1.559</v>
      </c>
      <c r="F9" s="23" t="n">
        <v>10.72</v>
      </c>
      <c r="G9" s="23" t="n">
        <v>-3.665</v>
      </c>
      <c r="H9" s="23" t="n">
        <v>-3.858</v>
      </c>
      <c r="I9" s="23" t="n">
        <v>-12.469</v>
      </c>
      <c r="J9" s="23" t="n">
        <v>-9.586</v>
      </c>
      <c r="K9" s="23" t="n">
        <v>-27.464</v>
      </c>
      <c r="L9" s="23" t="n">
        <v>41.778</v>
      </c>
      <c r="M9" s="23" t="n">
        <v>-4.399</v>
      </c>
      <c r="N9" s="23" t="n">
        <v>367.852</v>
      </c>
      <c r="O9" s="23" t="n">
        <v>210.806</v>
      </c>
      <c r="P9" s="23" t="n">
        <v>46.717</v>
      </c>
      <c r="Q9" s="23" t="n">
        <v>12.443</v>
      </c>
      <c r="R9" s="23" t="n">
        <v>121.458</v>
      </c>
    </row>
    <row r="10">
      <c r="A10" s="2" t="inlineStr">
        <is>
          <t>Pretax</t>
        </is>
      </c>
      <c r="B10" s="23">
        <f>B8+B9</f>
        <v>-21.089</v>
      </c>
      <c r="C10" s="23">
        <f>C8+C9</f>
        <v>-29.250999999999998</v>
      </c>
      <c r="D10" s="23">
        <f>D8+D9</f>
        <v>-28.545999999999996</v>
      </c>
      <c r="E10" s="23">
        <f>E8+E9</f>
        <v>-38.443999999999996</v>
      </c>
      <c r="F10" s="23">
        <f>F8+F9</f>
        <v>-39.796</v>
      </c>
      <c r="G10" s="23">
        <f>G8+G9</f>
        <v>-73.673</v>
      </c>
      <c r="H10" s="23">
        <f>H8+H9</f>
        <v>-75.09599999999999</v>
      </c>
      <c r="I10" s="23">
        <f>I8+I9</f>
        <v>-66.74499999999999</v>
      </c>
      <c r="J10" s="23">
        <f>J8+J9</f>
        <v>-53.48100000000001</v>
      </c>
      <c r="K10" s="23">
        <f>K8+K9</f>
        <v>-139.686</v>
      </c>
      <c r="L10" s="23">
        <f>L8+L9</f>
        <v>-104.26000000000002</v>
      </c>
      <c r="M10" s="23">
        <f>M8+M9</f>
        <v>-161.317</v>
      </c>
      <c r="N10" s="23">
        <f>N8+N9</f>
        <v>194.23499999999996</v>
      </c>
      <c r="O10" s="23">
        <f>O8+O9</f>
        <v>47.417</v>
      </c>
      <c r="P10" s="23">
        <f>P8+P9</f>
        <v>-117.813</v>
      </c>
      <c r="Q10" s="23">
        <f>Q8+Q9</f>
        <v>-154.51</v>
      </c>
      <c r="R10" s="23">
        <f>R8+R9</f>
        <v>-1.338000000000008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-12.929</v>
      </c>
      <c r="L11" s="23" t="n">
        <v>-19.774</v>
      </c>
      <c r="M11" s="23" t="n">
        <v>-23.256</v>
      </c>
      <c r="N11" s="23" t="n">
        <v>0</v>
      </c>
      <c r="O11" s="23" t="n">
        <v>0</v>
      </c>
      <c r="P11" s="23" t="n">
        <v>0</v>
      </c>
      <c r="Q11" s="23" t="n">
        <v>2.305</v>
      </c>
      <c r="R11" s="23" t="n">
        <v>2.012</v>
      </c>
    </row>
    <row r="12">
      <c r="A12" s="2" t="inlineStr">
        <is>
          <t>Net Income</t>
        </is>
      </c>
      <c r="B12" s="23" t="n">
        <v>-21.089</v>
      </c>
      <c r="C12" s="23" t="n">
        <v>-29.251</v>
      </c>
      <c r="D12" s="23" t="n">
        <v>-28.546</v>
      </c>
      <c r="E12" s="23" t="n">
        <v>-38.444</v>
      </c>
      <c r="F12" s="23" t="n">
        <v>-39.796</v>
      </c>
      <c r="G12" s="23" t="n">
        <v>-73.673</v>
      </c>
      <c r="H12" s="23" t="n">
        <v>-75.096</v>
      </c>
      <c r="I12" s="23" t="n">
        <v>-66.745</v>
      </c>
      <c r="J12" s="23" t="n">
        <v>-53.481</v>
      </c>
      <c r="K12" s="23" t="n">
        <v>-126.757</v>
      </c>
      <c r="L12" s="23" t="n">
        <v>-84.486</v>
      </c>
      <c r="M12" s="23" t="n">
        <v>-138.061</v>
      </c>
      <c r="N12" s="23" t="n">
        <v>194.235</v>
      </c>
      <c r="O12" s="23" t="n">
        <v>47.417</v>
      </c>
      <c r="P12" s="23" t="n">
        <v>-117.813</v>
      </c>
      <c r="Q12" s="23" t="n">
        <v>-156.815</v>
      </c>
      <c r="R12" s="23" t="n">
        <v>-3.35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-1.3655291536342842</v>
      </c>
      <c r="D13" s="11">
        <f>IFERROR(D12/D14,0)</f>
        <v>-1.2851611741401043</v>
      </c>
      <c r="E13" s="11">
        <f>IFERROR(E12/E14,0)</f>
        <v>-1.5914886570624278</v>
      </c>
      <c r="F13" s="11">
        <f>IFERROR(F12/F14,0)</f>
        <v>-1.3934173669467786</v>
      </c>
      <c r="G13" s="11">
        <f>IFERROR(G12/G14,0)</f>
        <v>-2.216796052235662</v>
      </c>
      <c r="H13" s="11">
        <f>IFERROR(H12/H14,0)</f>
        <v>-1.9993610223642173</v>
      </c>
      <c r="I13" s="11">
        <f>IFERROR(I12/I14,0)</f>
        <v>-1.6502249913464868</v>
      </c>
      <c r="J13" s="11">
        <f>IFERROR(J12/J14,0)</f>
        <v>-1.1743999648652803</v>
      </c>
      <c r="K13" s="11">
        <f>IFERROR(K12/K14,0)</f>
        <v>-2.609081365909886</v>
      </c>
      <c r="L13" s="11">
        <f>IFERROR(L12/L14,0)</f>
        <v>-1.705995194152212</v>
      </c>
      <c r="M13" s="11">
        <f>IFERROR(M12/M14,0)</f>
        <v>-2.4146247617048813</v>
      </c>
      <c r="N13" s="11">
        <f>IFERROR(N12/N14,0)</f>
        <v>3.1155363788014885</v>
      </c>
      <c r="O13" s="11">
        <f>IFERROR(O12/O14,0)</f>
        <v>0.7558059837097726</v>
      </c>
      <c r="P13" s="11">
        <f>IFERROR(P12/P14,0)</f>
        <v>-1.8778271888299145</v>
      </c>
      <c r="Q13" s="11">
        <f>IFERROR(Q12/Q14,0)</f>
        <v>-2.6957590551993262</v>
      </c>
      <c r="R13" s="11">
        <f>IFERROR(R12/R14,0)</f>
        <v>-0.05274759880333806</v>
      </c>
    </row>
    <row r="14">
      <c r="A14" s="2" t="inlineStr">
        <is>
          <t>Shares</t>
        </is>
      </c>
      <c r="B14" s="23" t="n"/>
      <c r="C14" s="23" t="n">
        <v>21.421</v>
      </c>
      <c r="D14" s="23" t="n">
        <v>22.212</v>
      </c>
      <c r="E14" s="23" t="n">
        <v>24.156</v>
      </c>
      <c r="F14" s="23" t="n">
        <v>28.56</v>
      </c>
      <c r="G14" s="23" t="n">
        <v>33.234</v>
      </c>
      <c r="H14" s="23" t="n">
        <v>37.56</v>
      </c>
      <c r="I14" s="23" t="n">
        <v>40.446</v>
      </c>
      <c r="J14" s="23" t="n">
        <v>45.539</v>
      </c>
      <c r="K14" s="23" t="n">
        <v>48.583</v>
      </c>
      <c r="L14" s="23" t="n">
        <v>49.523</v>
      </c>
      <c r="M14" s="23" t="n">
        <v>57.177</v>
      </c>
      <c r="N14" s="23" t="n">
        <v>62.344</v>
      </c>
      <c r="O14" s="23" t="n">
        <v>62.737</v>
      </c>
      <c r="P14" s="23" t="n">
        <v>62.739</v>
      </c>
      <c r="Q14" s="23" t="n">
        <v>58.171</v>
      </c>
      <c r="R14" s="23" t="n">
        <v>63.51</v>
      </c>
    </row>
    <row r="15"/>
    <row r="16" customFormat="1" s="4">
      <c r="A16" s="3" t="inlineStr">
        <is>
          <t>Revenue Change</t>
        </is>
      </c>
      <c r="C16" s="15">
        <f>IFERROR(C2/B2-1,"")</f>
        <v>0.4577562326869806</v>
      </c>
      <c r="D16" s="15">
        <f>IFERROR(D2/C2-1,"")</f>
        <v>1.14916864608076</v>
      </c>
      <c r="E16" s="15">
        <f>IFERROR(E2/D2-1,"")</f>
        <v>0.33112290008841727</v>
      </c>
      <c r="F16" s="15">
        <f>IFERROR(F2/E2-1,"")</f>
        <v>-0.7343075390235803</v>
      </c>
      <c r="G16" s="15">
        <f>IFERROR(G2/F2-1,"")</f>
        <v>-0.663125</v>
      </c>
      <c r="H16" s="15">
        <f>IFERROR(H2/G2-1,"")</f>
        <v>24.06307977736549</v>
      </c>
      <c r="I16" s="15">
        <f>IFERROR(I2/H2-1,"")</f>
        <v>2.080686949441113</v>
      </c>
      <c r="J16" s="15">
        <f>IFERROR(J2/I2-1,"")</f>
        <v>0.5576807554605088</v>
      </c>
      <c r="K16" s="15">
        <f>IFERROR(K2/J2-1,"")</f>
        <v>-0.5392589393144726</v>
      </c>
      <c r="L16" s="15">
        <f>IFERROR(L2/K2-1,"")</f>
        <v>2.7433038703629307</v>
      </c>
      <c r="M16" s="15">
        <f>IFERROR(M2/L2-1,"")</f>
        <v>-0.3398059120790663</v>
      </c>
      <c r="N16" s="15">
        <f>IFERROR(N2/M2-1,"")</f>
        <v>-1.0</v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/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0.9229402620475239</v>
      </c>
      <c r="I17" s="15">
        <f>IFERROR(I4/I2,"")</f>
        <v>0.9660715572962972</v>
      </c>
      <c r="J17" s="15">
        <f>IFERROR(J4/J2,"")</f>
        <v>0.9833708697127695</v>
      </c>
      <c r="K17" s="15">
        <f>IFERROR(K4/K2,"")</f>
        <v>0.9828579081291013</v>
      </c>
      <c r="L17" s="15">
        <f>IFERROR(L4/L2,"")</f>
        <v>0.9922633155941148</v>
      </c>
      <c r="M17" s="15">
        <f>IFERROR(M4/M2,"")</f>
        <v>0.9877799303645699</v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  <c r="R17" s="15">
        <f>IFERROR(R4/R2,"")</f>
        <v/>
      </c>
    </row>
    <row r="18">
      <c r="A18" s="14" t="inlineStr">
        <is>
          <t>Operating Margin</t>
        </is>
      </c>
      <c r="B18" s="15">
        <f>IFERROR(B8/B2,"")</f>
        <v>-14.375346260387811</v>
      </c>
      <c r="C18" s="15">
        <f>IFERROR(C8/C2,"")</f>
        <v>-14.302137767220902</v>
      </c>
      <c r="D18" s="15">
        <f>IFERROR(D8/D2,"")</f>
        <v>-6.058797524314765</v>
      </c>
      <c r="E18" s="15">
        <f>IFERROR(E8/E2,"")</f>
        <v>-6.125041514447027</v>
      </c>
      <c r="F18" s="15">
        <f>IFERROR(F8/F2,"")</f>
        <v>-31.572499999999998</v>
      </c>
      <c r="G18" s="15">
        <f>IFERROR(G8/G2,"")</f>
        <v>-129.88497217068644</v>
      </c>
      <c r="H18" s="15">
        <f>IFERROR(H8/H2,"")</f>
        <v>-5.273373306684431</v>
      </c>
      <c r="I18" s="15">
        <f>IFERROR(I8/I2,"")</f>
        <v>-1.3041785808683952</v>
      </c>
      <c r="J18" s="15">
        <f>IFERROR(J8/J2,"")</f>
        <v>-0.6771202912411689</v>
      </c>
      <c r="K18" s="15">
        <f>IFERROR(K8/K2,"")</f>
        <v>-3.757265300656221</v>
      </c>
      <c r="L18" s="15">
        <f>IFERROR(L8/L2,"")</f>
        <v>-1.3061848754527974</v>
      </c>
      <c r="M18" s="15">
        <f>IFERROR(M8/M2,"")</f>
        <v>-2.125885684093588</v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  <c r="R18" s="15">
        <f>IFERROR(R8/R2,"")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2026-10-21T01:04:47Z</dcterms:modified>
  <cp:lastModifiedBy>Wang, Eric</cp:lastModifiedBy>
</cp:coreProperties>
</file>