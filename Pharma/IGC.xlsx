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IGC Pharma Inc</t>
        </is>
      </c>
      <c r="C2" s="10" t="n"/>
    </row>
    <row r="3">
      <c r="B3" t="inlineStr">
        <is>
          <t>Price</t>
        </is>
      </c>
      <c r="C3" s="11">
        <f>INDEX([1]Pharma!$F$1:$F$1000,MATCH("IGC",[1]Pharma!$B$1:$B$1000,0))</f>
        <v>0.245</v>
      </c>
      <c r="F3" s="1" t="n"/>
    </row>
    <row r="4">
      <c r="B4" t="inlineStr">
        <is>
          <t>Shares</t>
        </is>
      </c>
      <c r="C4" s="21" t="n">
        <v>103.384008</v>
      </c>
      <c r="F4" s="1" t="n"/>
    </row>
    <row r="5">
      <c r="B5" t="inlineStr">
        <is>
          <t>Market Cap.</t>
        </is>
      </c>
      <c r="C5" s="13">
        <f>C3*C4</f>
        <v>25.32908196</v>
      </c>
      <c r="F5" s="1" t="n"/>
    </row>
    <row r="6"/>
    <row r="7">
      <c r="B7" t="inlineStr">
        <is>
          <t>Cash</t>
        </is>
      </c>
      <c r="C7" s="21">
        <f>0.331+0.023</f>
        <v>0.35400000000000004</v>
      </c>
    </row>
    <row r="8">
      <c r="B8" t="inlineStr">
        <is>
          <t>Debt</t>
        </is>
      </c>
      <c r="C8" s="21">
        <f>0.933+0.149</f>
        <v>1.082</v>
      </c>
    </row>
    <row r="9">
      <c r="B9" t="inlineStr">
        <is>
          <t>Enterprise V.</t>
        </is>
      </c>
      <c r="C9" s="13">
        <f>C5-C7+C8</f>
        <v>26.05708196</v>
      </c>
    </row>
    <row r="10"/>
    <row r="11">
      <c r="B11" s="14" t="inlineStr">
        <is>
          <t>Net Cash / Share</t>
        </is>
      </c>
      <c r="C11" s="11">
        <f>(C7-C8)/C4</f>
        <v>-0.007041708036701382</v>
      </c>
    </row>
    <row r="12">
      <c r="B12" s="14" t="inlineStr">
        <is>
          <t>Upside</t>
        </is>
      </c>
      <c r="C12" s="15">
        <f>IFERROR(C11/C3-1,"")</f>
        <v>-1.028741665455924</v>
      </c>
    </row>
    <row r="13">
      <c r="B13" s="14" t="inlineStr">
        <is>
          <t>Cash / Share</t>
        </is>
      </c>
      <c r="C13" s="11">
        <f>IFERROR((C7-C8)/C4,"")</f>
        <v>-0.007041708036701382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-5.45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26.05708196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2014</v>
      </c>
      <c r="F1" s="17" t="n">
        <v>2015</v>
      </c>
      <c r="G1" s="17" t="n">
        <v>2016</v>
      </c>
      <c r="H1" s="17" t="n">
        <v>2017</v>
      </c>
      <c r="I1" s="17" t="n">
        <v>2018</v>
      </c>
      <c r="J1" s="17" t="n">
        <v>2019</v>
      </c>
      <c r="K1" s="17" t="n">
        <v>2020</v>
      </c>
      <c r="L1" s="17" t="n">
        <v>2021</v>
      </c>
      <c r="M1" s="17" t="n">
        <v>2022</v>
      </c>
      <c r="N1" s="17" t="n">
        <v>2023</v>
      </c>
      <c r="O1" s="17" t="n">
        <v>2024</v>
      </c>
      <c r="P1" s="17" t="n">
        <v>2025</v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4.074</v>
      </c>
      <c r="C2" s="23" t="n">
        <v>4.2</v>
      </c>
      <c r="D2" s="23" t="n">
        <v>8.029999999999999</v>
      </c>
      <c r="E2" s="23" t="n">
        <v>2.273</v>
      </c>
      <c r="F2" s="23" t="n">
        <v>7.68</v>
      </c>
      <c r="G2" s="23" t="n">
        <v>6.367</v>
      </c>
      <c r="H2" s="23" t="n">
        <v>0.58</v>
      </c>
      <c r="I2" s="23" t="n">
        <v>2.193</v>
      </c>
      <c r="J2" s="23" t="n">
        <v>5.116</v>
      </c>
      <c r="K2" s="23" t="n">
        <v>4.072</v>
      </c>
      <c r="L2" s="23" t="n">
        <v>0.898</v>
      </c>
      <c r="M2" s="23" t="n">
        <v>0.397</v>
      </c>
      <c r="N2" s="23" t="n">
        <v>0.911</v>
      </c>
      <c r="O2" s="23" t="n">
        <v>1.345</v>
      </c>
      <c r="P2" s="23" t="n">
        <v>1.271</v>
      </c>
    </row>
    <row r="3" customFormat="1" s="1">
      <c r="A3" s="5" t="inlineStr">
        <is>
          <t>Cost of Sales</t>
        </is>
      </c>
      <c r="B3" s="23" t="n">
        <v>3.915</v>
      </c>
      <c r="C3" s="23" t="n">
        <v>4.818</v>
      </c>
      <c r="D3" s="23" t="n">
        <v>6.497</v>
      </c>
      <c r="E3" s="23" t="n">
        <v>1.892</v>
      </c>
      <c r="F3" s="23" t="n">
        <v>7.101</v>
      </c>
      <c r="G3" s="23" t="n">
        <v>5.523</v>
      </c>
      <c r="H3" s="23" t="n">
        <v>0.362</v>
      </c>
      <c r="I3" s="23" t="n">
        <v>2.111</v>
      </c>
      <c r="J3" s="23" t="n">
        <v>4.984</v>
      </c>
      <c r="K3" s="23" t="n">
        <v>3.957</v>
      </c>
      <c r="L3" s="23" t="n">
        <v>0.785</v>
      </c>
      <c r="M3" s="23" t="n">
        <v>0.203</v>
      </c>
      <c r="N3" s="23" t="n">
        <v>0.469</v>
      </c>
      <c r="O3" s="23" t="n">
        <v>0.612</v>
      </c>
      <c r="P3" s="23" t="n">
        <v>0.652</v>
      </c>
    </row>
    <row r="4" customFormat="1" s="1">
      <c r="A4" s="5" t="inlineStr">
        <is>
          <t>Gross Margin</t>
        </is>
      </c>
      <c r="B4" s="23">
        <f>B2-B3</f>
        <v>0.1589999999999998</v>
      </c>
      <c r="C4" s="23">
        <f>C2-C3</f>
        <v>-0.6179999999999994</v>
      </c>
      <c r="D4" s="23">
        <f>D2-D3</f>
        <v>1.5329999999999995</v>
      </c>
      <c r="E4" s="23">
        <f>E2-E3</f>
        <v>0.3810000000000002</v>
      </c>
      <c r="F4" s="23">
        <f>F2-F3</f>
        <v>0.5789999999999997</v>
      </c>
      <c r="G4" s="23">
        <f>G2-G3</f>
        <v>0.8440000000000003</v>
      </c>
      <c r="H4" s="23">
        <f>H2-H3</f>
        <v>0.21799999999999997</v>
      </c>
      <c r="I4" s="23">
        <f>I2-I3</f>
        <v>0.08199999999999985</v>
      </c>
      <c r="J4" s="23">
        <f>J2-J3</f>
        <v>0.13199999999999967</v>
      </c>
      <c r="K4" s="23">
        <f>K2-K3</f>
        <v>0.11500000000000021</v>
      </c>
      <c r="L4" s="23">
        <f>L2-L3</f>
        <v>0.11299999999999999</v>
      </c>
      <c r="M4" s="23">
        <f>M2-M3</f>
        <v>0.194</v>
      </c>
      <c r="N4" s="23">
        <f>N2-N3</f>
        <v>0.44200000000000006</v>
      </c>
      <c r="O4" s="23">
        <f>O2-O3</f>
        <v>0.733</v>
      </c>
      <c r="P4" s="23">
        <f>P2-P3</f>
        <v>0.6189999999999999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0.137</v>
      </c>
      <c r="J5" s="23" t="n">
        <v>1.256</v>
      </c>
      <c r="K5" s="23" t="n">
        <v>1.011</v>
      </c>
      <c r="L5" s="23" t="n">
        <v>0.929</v>
      </c>
      <c r="M5" s="23" t="n">
        <v>2.33</v>
      </c>
      <c r="N5" s="23" t="n">
        <v>3.461</v>
      </c>
      <c r="O5" s="23" t="n">
        <v>3.773</v>
      </c>
      <c r="P5" s="23" t="n">
        <v>3.655</v>
      </c>
    </row>
    <row r="6">
      <c r="A6" s="19" t="inlineStr">
        <is>
          <t>SG&amp;A &amp; Other</t>
        </is>
      </c>
      <c r="B6" s="23" t="n">
        <v>16.046</v>
      </c>
      <c r="C6" s="23" t="n">
        <v>6.893</v>
      </c>
      <c r="D6" s="23" t="n">
        <v>4.017</v>
      </c>
      <c r="E6" s="23" t="n">
        <v>2.909</v>
      </c>
      <c r="F6" s="23" t="n">
        <v>4.922</v>
      </c>
      <c r="G6" s="23" t="n">
        <v>3.749</v>
      </c>
      <c r="H6" s="23" t="n">
        <v>2.273</v>
      </c>
      <c r="I6" s="23" t="n">
        <v>1.734</v>
      </c>
      <c r="J6" s="23" t="n">
        <v>3.519</v>
      </c>
      <c r="K6" s="23" t="n">
        <v>5.968</v>
      </c>
      <c r="L6" s="23" t="n">
        <v>7.908</v>
      </c>
      <c r="M6" s="23" t="n">
        <v>13.292</v>
      </c>
      <c r="N6" s="23" t="n">
        <v>8.552</v>
      </c>
      <c r="O6" s="23" t="n">
        <v>6.758</v>
      </c>
      <c r="P6" s="23" t="n">
        <v>4.41</v>
      </c>
    </row>
    <row r="7">
      <c r="A7" s="2" t="inlineStr">
        <is>
          <t>Operating Expense</t>
        </is>
      </c>
      <c r="B7" s="23">
        <f>SUM(B5:B6)</f>
        <v>16.046</v>
      </c>
      <c r="C7" s="23">
        <f>SUM(C5:C6)</f>
        <v>6.893</v>
      </c>
      <c r="D7" s="23">
        <f>SUM(D5:D6)</f>
        <v>4.017</v>
      </c>
      <c r="E7" s="23">
        <f>SUM(E5:E6)</f>
        <v>2.909</v>
      </c>
      <c r="F7" s="23">
        <f>SUM(F5:F6)</f>
        <v>4.922</v>
      </c>
      <c r="G7" s="23">
        <f>SUM(G5:G6)</f>
        <v>3.749</v>
      </c>
      <c r="H7" s="23">
        <f>SUM(H5:H6)</f>
        <v>2.273</v>
      </c>
      <c r="I7" s="23">
        <f>SUM(I5:I6)</f>
        <v>1.871</v>
      </c>
      <c r="J7" s="23">
        <f>SUM(J5:J6)</f>
        <v>4.775</v>
      </c>
      <c r="K7" s="23">
        <f>SUM(K5:K6)</f>
        <v>6.979</v>
      </c>
      <c r="L7" s="23">
        <f>SUM(L5:L6)</f>
        <v>8.837</v>
      </c>
      <c r="M7" s="23">
        <f>SUM(M5:M6)</f>
        <v>15.622</v>
      </c>
      <c r="N7" s="23">
        <f>SUM(N5:N6)</f>
        <v>12.013</v>
      </c>
      <c r="O7" s="23">
        <f>SUM(O5:O6)</f>
        <v>10.531</v>
      </c>
      <c r="P7" s="23">
        <f>SUM(P5:P6)</f>
        <v>8.065</v>
      </c>
    </row>
    <row r="8">
      <c r="A8" s="2" t="inlineStr">
        <is>
          <t>Operating Income</t>
        </is>
      </c>
      <c r="B8" s="23">
        <f>B4-B7</f>
        <v>-15.887</v>
      </c>
      <c r="C8" s="23">
        <f>C4-C7</f>
        <v>-7.510999999999999</v>
      </c>
      <c r="D8" s="23">
        <f>D4-D7</f>
        <v>-2.484000000000001</v>
      </c>
      <c r="E8" s="23">
        <f>E4-E7</f>
        <v>-2.5279999999999996</v>
      </c>
      <c r="F8" s="23">
        <f>F4-F7</f>
        <v>-4.343</v>
      </c>
      <c r="G8" s="23">
        <f>G4-G7</f>
        <v>-2.905</v>
      </c>
      <c r="H8" s="23">
        <f>H4-H7</f>
        <v>-2.055</v>
      </c>
      <c r="I8" s="23">
        <f>I4-I7</f>
        <v>-1.7890000000000001</v>
      </c>
      <c r="J8" s="23">
        <f>J4-J7</f>
        <v>-4.643000000000001</v>
      </c>
      <c r="K8" s="23">
        <f>K4-K7</f>
        <v>-6.864</v>
      </c>
      <c r="L8" s="23">
        <f>L4-L7</f>
        <v>-8.724</v>
      </c>
      <c r="M8" s="23">
        <f>M4-M7</f>
        <v>-15.427999999999999</v>
      </c>
      <c r="N8" s="23">
        <f>N4-N7</f>
        <v>-11.571</v>
      </c>
      <c r="O8" s="23">
        <f>O4-O7</f>
        <v>-9.798</v>
      </c>
      <c r="P8" s="23">
        <f>P4-P7</f>
        <v>-7.446</v>
      </c>
    </row>
    <row r="9">
      <c r="A9" s="19" t="inlineStr">
        <is>
          <t>Interest &amp; Other</t>
        </is>
      </c>
      <c r="B9" s="23" t="n">
        <v>-0.254</v>
      </c>
      <c r="C9" s="23" t="n">
        <v>-0.068</v>
      </c>
      <c r="D9" s="23" t="n">
        <v>-0.134</v>
      </c>
      <c r="E9" s="23" t="n">
        <v>-0.495</v>
      </c>
      <c r="F9" s="23" t="n">
        <v>-0.267</v>
      </c>
      <c r="G9" s="23" t="n">
        <v>0.098</v>
      </c>
      <c r="H9" s="23" t="n">
        <v>0.202</v>
      </c>
      <c r="I9" s="23" t="n">
        <v>0.003</v>
      </c>
      <c r="J9" s="23" t="n">
        <v>0.548</v>
      </c>
      <c r="K9" s="23" t="n">
        <v>-0.451</v>
      </c>
      <c r="L9" s="23" t="n">
        <v>-0.08699999999999999</v>
      </c>
      <c r="M9" s="23" t="n">
        <v>0.412</v>
      </c>
      <c r="N9" s="23" t="n">
        <v>0.065</v>
      </c>
      <c r="O9" s="23" t="n">
        <v>-3.202</v>
      </c>
      <c r="P9" s="23" t="n">
        <v>0.324</v>
      </c>
    </row>
    <row r="10">
      <c r="A10" s="2" t="inlineStr">
        <is>
          <t>Pretax</t>
        </is>
      </c>
      <c r="B10" s="23">
        <f>B8+B9</f>
        <v>-16.141000000000002</v>
      </c>
      <c r="C10" s="23">
        <f>C8+C9</f>
        <v>-7.578999999999999</v>
      </c>
      <c r="D10" s="23">
        <f>D8+D9</f>
        <v>-2.6180000000000008</v>
      </c>
      <c r="E10" s="23">
        <f>E8+E9</f>
        <v>-3.0229999999999997</v>
      </c>
      <c r="F10" s="23">
        <f>F8+F9</f>
        <v>-4.61</v>
      </c>
      <c r="G10" s="23">
        <f>G8+G9</f>
        <v>-2.807</v>
      </c>
      <c r="H10" s="23">
        <f>H8+H9</f>
        <v>-1.8530000000000002</v>
      </c>
      <c r="I10" s="23">
        <f>I8+I9</f>
        <v>-1.7860000000000003</v>
      </c>
      <c r="J10" s="23">
        <f>J8+J9</f>
        <v>-4.095000000000001</v>
      </c>
      <c r="K10" s="23">
        <f>K8+K9</f>
        <v>-7.3149999999999995</v>
      </c>
      <c r="L10" s="23">
        <f>L8+L9</f>
        <v>-8.811</v>
      </c>
      <c r="M10" s="23">
        <f>M8+M9</f>
        <v>-15.015999999999998</v>
      </c>
      <c r="N10" s="23">
        <f>N8+N9</f>
        <v>-11.506</v>
      </c>
      <c r="O10" s="23">
        <f>O8+O9</f>
        <v>-13.0</v>
      </c>
      <c r="P10" s="23">
        <f>P8+P9</f>
        <v>-7.122</v>
      </c>
    </row>
    <row r="11">
      <c r="A11" s="2" t="inlineStr">
        <is>
          <t>Taxes</t>
        </is>
      </c>
      <c r="B11" s="23" t="n">
        <v>4.1</v>
      </c>
      <c r="C11" s="23" t="n">
        <v>0.173</v>
      </c>
      <c r="D11" s="23" t="n">
        <v>-0.365</v>
      </c>
      <c r="E11" s="23" t="n">
        <v>0</v>
      </c>
      <c r="F11" s="23" t="n">
        <v>0.005</v>
      </c>
      <c r="G11" s="23" t="n">
        <v>0.001</v>
      </c>
      <c r="H11" s="23" t="n">
        <v>0.014</v>
      </c>
      <c r="I11" s="23" t="n">
        <v>0</v>
      </c>
      <c r="J11" s="23" t="n">
        <v>0.002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</row>
    <row r="12">
      <c r="A12" s="2" t="inlineStr">
        <is>
          <t>Net Income</t>
        </is>
      </c>
      <c r="B12" s="23" t="n">
        <v>-20.241</v>
      </c>
      <c r="C12" s="23" t="n">
        <v>-7.752</v>
      </c>
      <c r="D12" s="23" t="n">
        <v>-2.252</v>
      </c>
      <c r="E12" s="23" t="n">
        <v>-3.023</v>
      </c>
      <c r="F12" s="23" t="n">
        <v>-4.614</v>
      </c>
      <c r="G12" s="23" t="n">
        <v>-2.808</v>
      </c>
      <c r="H12" s="23" t="n">
        <v>-1.867</v>
      </c>
      <c r="I12" s="23" t="n">
        <v>-1.786</v>
      </c>
      <c r="J12" s="23" t="n">
        <v>-4.097</v>
      </c>
      <c r="K12" s="23" t="n">
        <v>-7.315</v>
      </c>
      <c r="L12" s="23" t="n">
        <v>-8.811</v>
      </c>
      <c r="M12" s="23" t="n">
        <v>-15.016</v>
      </c>
      <c r="N12" s="23" t="n">
        <v>-11.506</v>
      </c>
      <c r="O12" s="23" t="n">
        <v>-13</v>
      </c>
      <c r="P12" s="23" t="n">
        <v>-7.122</v>
      </c>
    </row>
    <row r="13">
      <c r="A13" s="2" t="inlineStr">
        <is>
          <t>Earnings per Share</t>
        </is>
      </c>
      <c r="B13" s="11">
        <f>IFERROR(B12/B14,0)</f>
        <v>-1.101970818815331</v>
      </c>
      <c r="C13" s="11">
        <f>IFERROR(C12/C14,0)</f>
        <v>-2.192307692307692</v>
      </c>
      <c r="D13" s="11">
        <f>IFERROR(D12/D14,0)</f>
        <v>-0.26591096941787695</v>
      </c>
      <c r="E13" s="11">
        <f>IFERROR(E12/E14,0)</f>
        <v>-0.3030272654370489</v>
      </c>
      <c r="F13" s="11">
        <f>IFERROR(F12/F14,0)</f>
        <v>-0.25720497240648865</v>
      </c>
      <c r="G13" s="11">
        <f>IFERROR(G12/G14,0)</f>
        <v>-0.14094970384499547</v>
      </c>
      <c r="H13" s="11">
        <f>IFERROR(H12/H14,0)</f>
        <v>-0.05985317218606739</v>
      </c>
      <c r="I13" s="11">
        <f>IFERROR(I12/I14,0)</f>
        <v>-0.05728398229520816</v>
      </c>
      <c r="J13" s="11">
        <f>IFERROR(J12/J14,0)</f>
        <v>-0.10372414491506114</v>
      </c>
      <c r="K13" s="11">
        <f>IFERROR(K12/K14,0)</f>
        <v>-0.18523676880222842</v>
      </c>
      <c r="L13" s="11">
        <f>IFERROR(L12/L14,0)</f>
        <v>-0.20997068846364653</v>
      </c>
      <c r="M13" s="11">
        <f>IFERROR(M12/M14,0)</f>
        <v>-0.3003680588894223</v>
      </c>
      <c r="N13" s="11">
        <f>IFERROR(N12/N14,0)</f>
        <v>-0.2188451004260499</v>
      </c>
      <c r="O13" s="11">
        <f>IFERROR(O12/O14,0)</f>
        <v>-0.22093813732154996</v>
      </c>
      <c r="P13" s="11">
        <f>IFERROR(P12/P14,0)</f>
        <v>-0.09307735535893985</v>
      </c>
    </row>
    <row r="14">
      <c r="A14" s="2" t="inlineStr">
        <is>
          <t>Shares</t>
        </is>
      </c>
      <c r="B14" s="23" t="n">
        <v>18.368</v>
      </c>
      <c r="C14" s="23" t="n">
        <v>3.536</v>
      </c>
      <c r="D14" s="23" t="n">
        <v>8.468999999999999</v>
      </c>
      <c r="E14" s="23" t="n">
        <v>9.976000000000001</v>
      </c>
      <c r="F14" s="23" t="n">
        <v>17.939</v>
      </c>
      <c r="G14" s="23" t="n">
        <v>19.922</v>
      </c>
      <c r="H14" s="23" t="n">
        <v>31.193</v>
      </c>
      <c r="I14" s="23" t="n">
        <v>31.178</v>
      </c>
      <c r="J14" s="23" t="n">
        <v>39.499</v>
      </c>
      <c r="K14" s="23" t="n">
        <v>39.49</v>
      </c>
      <c r="L14" s="23" t="n">
        <v>41.963</v>
      </c>
      <c r="M14" s="23" t="n">
        <v>49.992</v>
      </c>
      <c r="N14" s="23" t="n">
        <v>52.576</v>
      </c>
      <c r="O14" s="23" t="n">
        <v>58.84</v>
      </c>
      <c r="P14" s="23" t="n">
        <v>76.517</v>
      </c>
    </row>
    <row r="15"/>
    <row r="16" customFormat="1" s="4">
      <c r="A16" s="3" t="inlineStr">
        <is>
          <t>Revenue Change</t>
        </is>
      </c>
      <c r="C16" s="15">
        <f>IFERROR(C2/B2-1,"")</f>
        <v>0.030927835051546504</v>
      </c>
      <c r="D16" s="15">
        <f>IFERROR(D2/C2-1,"")</f>
        <v>0.9119047619047618</v>
      </c>
      <c r="E16" s="15">
        <f>IFERROR(E2/D2-1,"")</f>
        <v>-0.7169364881693648</v>
      </c>
      <c r="F16" s="15">
        <f>IFERROR(F2/E2-1,"")</f>
        <v>2.378794544654641</v>
      </c>
      <c r="G16" s="15">
        <f>IFERROR(G2/F2-1,"")</f>
        <v>-0.1709635416666666</v>
      </c>
      <c r="H16" s="15">
        <f>IFERROR(H2/G2-1,"")</f>
        <v>-0.9089052929166013</v>
      </c>
      <c r="I16" s="15">
        <f>IFERROR(I2/H2-1,"")</f>
        <v>2.781034482758621</v>
      </c>
      <c r="J16" s="15">
        <f>IFERROR(J2/I2-1,"")</f>
        <v>1.332877336981304</v>
      </c>
      <c r="K16" s="15">
        <f>IFERROR(K2/J2-1,"")</f>
        <v>-0.2040656763096168</v>
      </c>
      <c r="L16" s="15">
        <f>IFERROR(L2/K2-1,"")</f>
        <v>-0.7794695481335953</v>
      </c>
      <c r="M16" s="15">
        <f>IFERROR(M2/L2-1,"")</f>
        <v>-0.5579064587973274</v>
      </c>
      <c r="N16" s="15">
        <f>IFERROR(N2/M2-1,"")</f>
        <v>1.2947103274559195</v>
      </c>
      <c r="O16" s="15">
        <f>IFERROR(O2/N2-1,"")</f>
        <v>0.4763995609220635</v>
      </c>
      <c r="P16" s="15">
        <f>IFERROR(P2/O2-1,"")</f>
        <v>-0.05501858736059484</v>
      </c>
    </row>
    <row r="17" customFormat="1" s="4">
      <c r="A17" s="3" t="inlineStr">
        <is>
          <t>Gross Margin</t>
        </is>
      </c>
      <c r="B17" s="15">
        <f>IFERROR(B4/B2,"")</f>
        <v>0.03902798232695135</v>
      </c>
      <c r="C17" s="15">
        <f>IFERROR(C4/C2,"")</f>
        <v>-0.147142857142857</v>
      </c>
      <c r="D17" s="15">
        <f>IFERROR(D4/D2,"")</f>
        <v>0.19090909090909086</v>
      </c>
      <c r="E17" s="15">
        <f>IFERROR(E4/E2,"")</f>
        <v>0.16761988561372645</v>
      </c>
      <c r="F17" s="15">
        <f>IFERROR(F4/F2,"")</f>
        <v>0.07539062499999998</v>
      </c>
      <c r="G17" s="15">
        <f>IFERROR(G4/G2,"")</f>
        <v>0.13255850479032516</v>
      </c>
      <c r="H17" s="15">
        <f>IFERROR(H4/H2,"")</f>
        <v>0.3758620689655172</v>
      </c>
      <c r="I17" s="15">
        <f>IFERROR(I4/I2,"")</f>
        <v>0.037391700866393</v>
      </c>
      <c r="J17" s="15">
        <f>IFERROR(J4/J2,"")</f>
        <v>0.02580140734949173</v>
      </c>
      <c r="K17" s="15">
        <f>IFERROR(K4/K2,"")</f>
        <v>0.028241650294695532</v>
      </c>
      <c r="L17" s="15">
        <f>IFERROR(L4/L2,"")</f>
        <v>0.12583518930957682</v>
      </c>
      <c r="M17" s="15">
        <f>IFERROR(M4/M2,"")</f>
        <v>0.48866498740554154</v>
      </c>
      <c r="N17" s="15">
        <f>IFERROR(N4/N2,"")</f>
        <v>0.4851811196487377</v>
      </c>
      <c r="O17" s="15">
        <f>IFERROR(O4/O2,"")</f>
        <v>0.5449814126394052</v>
      </c>
      <c r="P17" s="15">
        <f>IFERROR(P4/P2,"")</f>
        <v>0.4870180959874114</v>
      </c>
    </row>
    <row r="18">
      <c r="A18" s="14" t="inlineStr">
        <is>
          <t>Operating Margin</t>
        </is>
      </c>
      <c r="B18" s="15">
        <f>IFERROR(B8/B2,"")</f>
        <v>-3.8996072655866474</v>
      </c>
      <c r="C18" s="15">
        <f>IFERROR(C8/C2,"")</f>
        <v>-1.788333333333333</v>
      </c>
      <c r="D18" s="15">
        <f>IFERROR(D8/D2,"")</f>
        <v>-0.3093399750933999</v>
      </c>
      <c r="E18" s="15">
        <f>IFERROR(E8/E2,"")</f>
        <v>-1.1121865376154858</v>
      </c>
      <c r="F18" s="15">
        <f>IFERROR(F8/F2,"")</f>
        <v>-0.5654947916666667</v>
      </c>
      <c r="G18" s="15">
        <f>IFERROR(G8/G2,"")</f>
        <v>-0.45625883461598865</v>
      </c>
      <c r="H18" s="15">
        <f>IFERROR(H8/H2,"")</f>
        <v>-3.5431034482758625</v>
      </c>
      <c r="I18" s="15">
        <f>IFERROR(I8/I2,"")</f>
        <v>-0.8157774737802098</v>
      </c>
      <c r="J18" s="15">
        <f>IFERROR(J8/J2,"")</f>
        <v>-0.9075449569976546</v>
      </c>
      <c r="K18" s="15">
        <f>IFERROR(K8/K2,"")</f>
        <v>-1.6856581532416501</v>
      </c>
      <c r="L18" s="15">
        <f>IFERROR(L8/L2,"")</f>
        <v>-9.714922048997773</v>
      </c>
      <c r="M18" s="15">
        <f>IFERROR(M8/M2,"")</f>
        <v>-38.861460957178835</v>
      </c>
      <c r="N18" s="15">
        <f>IFERROR(N8/N2,"")</f>
        <v>-12.701427003293084</v>
      </c>
      <c r="O18" s="15">
        <f>IFERROR(O8/O2,"")</f>
        <v>-7.2847583643122675</v>
      </c>
      <c r="P18" s="15">
        <f>IFERROR(P8/P2,"")</f>
        <v>-5.85837922895358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2026-10-21T01:06:24Z</dcterms:modified>
  <cp:lastModifiedBy>Wang, Eric</cp:lastModifiedBy>
</cp:coreProperties>
</file>