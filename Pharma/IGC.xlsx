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IGC Pharma Inc</t>
        </is>
      </c>
      <c r="C2" s="10" t="n"/>
    </row>
    <row r="3">
      <c r="B3" t="inlineStr">
        <is>
          <t>Price</t>
        </is>
      </c>
      <c r="C3" s="11">
        <f>INDEX([1]Pharma!$F$1:$F$1000,MATCH("IGC",[1]Pharma!$B$1:$B$1000,0))</f>
        <v>0.245</v>
      </c>
      <c r="F3" s="1" t="n"/>
    </row>
    <row r="4">
      <c r="B4" t="inlineStr">
        <is>
          <t>Shares</t>
        </is>
      </c>
      <c r="C4" s="21" t="n">
        <v>103.384008</v>
      </c>
      <c r="F4" s="1" t="n"/>
    </row>
    <row r="5">
      <c r="B5" t="inlineStr">
        <is>
          <t>Market Cap.</t>
        </is>
      </c>
      <c r="C5" s="13">
        <f>C3*C4</f>
        <v>25.32908196</v>
      </c>
      <c r="F5" s="1" t="n"/>
    </row>
    <row r="6"/>
    <row r="7">
      <c r="B7" t="inlineStr">
        <is>
          <t>Cash</t>
        </is>
      </c>
      <c r="C7" s="21">
        <f>0.331+0.023</f>
        <v>0.35400000000000004</v>
      </c>
    </row>
    <row r="8">
      <c r="B8" t="inlineStr">
        <is>
          <t>Debt</t>
        </is>
      </c>
      <c r="C8" s="21">
        <f>0.933+0.149</f>
        <v>1.082</v>
      </c>
    </row>
    <row r="9">
      <c r="B9" t="inlineStr">
        <is>
          <t>Enterprise V.</t>
        </is>
      </c>
      <c r="C9" s="13">
        <f>C5-C7+C8</f>
        <v>26.05708196</v>
      </c>
    </row>
    <row r="10"/>
    <row r="11">
      <c r="B11" s="14" t="inlineStr">
        <is>
          <t>rNPV / Share</t>
        </is>
      </c>
      <c r="C11" s="11">
        <f>NPV!B27</f>
        <v>4.289909482129092</v>
      </c>
    </row>
    <row r="12">
      <c r="B12" s="14" t="inlineStr">
        <is>
          <t>Upside</t>
        </is>
      </c>
      <c r="C12" s="15">
        <f>IFERROR(C11/C3-1,"")</f>
        <v>16.50983462093507</v>
      </c>
    </row>
    <row r="13">
      <c r="B13" s="14" t="inlineStr">
        <is>
          <t>Cash / Share</t>
        </is>
      </c>
      <c r="C13" s="11">
        <f>IFERROR((C7-C8)/C4,"")</f>
        <v>-0.007041708036701382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-5.45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26.05708196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4.074</v>
      </c>
      <c r="C2" s="23" t="n">
        <v>4.2</v>
      </c>
      <c r="D2" s="23" t="n">
        <v>8.029999999999999</v>
      </c>
      <c r="E2" s="23" t="n">
        <v>2.273</v>
      </c>
      <c r="F2" s="23" t="n">
        <v>7.68</v>
      </c>
      <c r="G2" s="23" t="n">
        <v>6.367</v>
      </c>
      <c r="H2" s="23" t="n">
        <v>0.58</v>
      </c>
      <c r="I2" s="23" t="n">
        <v>2.193</v>
      </c>
      <c r="J2" s="23" t="n">
        <v>5.116</v>
      </c>
      <c r="K2" s="23" t="n">
        <v>4.072</v>
      </c>
      <c r="L2" s="23" t="n">
        <v>0.898</v>
      </c>
      <c r="M2" s="23" t="n">
        <v>0.397</v>
      </c>
      <c r="N2" s="23" t="n">
        <v>0.911</v>
      </c>
      <c r="O2" s="23" t="n">
        <v>1.345</v>
      </c>
      <c r="P2" s="23" t="n">
        <v>1.271</v>
      </c>
    </row>
    <row r="3" customFormat="1" s="1">
      <c r="A3" s="5" t="inlineStr">
        <is>
          <t>Cost of Sales</t>
        </is>
      </c>
      <c r="B3" s="23" t="n">
        <v>3.915</v>
      </c>
      <c r="C3" s="23" t="n">
        <v>4.818</v>
      </c>
      <c r="D3" s="23" t="n">
        <v>6.497</v>
      </c>
      <c r="E3" s="23" t="n">
        <v>1.892</v>
      </c>
      <c r="F3" s="23" t="n">
        <v>7.101</v>
      </c>
      <c r="G3" s="23" t="n">
        <v>5.523</v>
      </c>
      <c r="H3" s="23" t="n">
        <v>0.362</v>
      </c>
      <c r="I3" s="23" t="n">
        <v>2.111</v>
      </c>
      <c r="J3" s="23" t="n">
        <v>4.984</v>
      </c>
      <c r="K3" s="23" t="n">
        <v>3.957</v>
      </c>
      <c r="L3" s="23" t="n">
        <v>0.785</v>
      </c>
      <c r="M3" s="23" t="n">
        <v>0.203</v>
      </c>
      <c r="N3" s="23" t="n">
        <v>0.469</v>
      </c>
      <c r="O3" s="23" t="n">
        <v>0.612</v>
      </c>
      <c r="P3" s="23" t="n">
        <v>0.652</v>
      </c>
    </row>
    <row r="4" customFormat="1" s="1">
      <c r="A4" s="5" t="inlineStr">
        <is>
          <t>Gross Margin</t>
        </is>
      </c>
      <c r="B4" s="23">
        <f>B2-B3</f>
        <v>0.1589999999999998</v>
      </c>
      <c r="C4" s="23">
        <f>C2-C3</f>
        <v>-0.6179999999999994</v>
      </c>
      <c r="D4" s="23">
        <f>D2-D3</f>
        <v>1.5329999999999995</v>
      </c>
      <c r="E4" s="23">
        <f>E2-E3</f>
        <v>0.3810000000000002</v>
      </c>
      <c r="F4" s="23">
        <f>F2-F3</f>
        <v>0.5789999999999997</v>
      </c>
      <c r="G4" s="23">
        <f>G2-G3</f>
        <v>0.8440000000000003</v>
      </c>
      <c r="H4" s="23">
        <f>H2-H3</f>
        <v>0.21799999999999997</v>
      </c>
      <c r="I4" s="23">
        <f>I2-I3</f>
        <v>0.08199999999999985</v>
      </c>
      <c r="J4" s="23">
        <f>J2-J3</f>
        <v>0.13199999999999967</v>
      </c>
      <c r="K4" s="23">
        <f>K2-K3</f>
        <v>0.11500000000000021</v>
      </c>
      <c r="L4" s="23">
        <f>L2-L3</f>
        <v>0.11299999999999999</v>
      </c>
      <c r="M4" s="23">
        <f>M2-M3</f>
        <v>0.194</v>
      </c>
      <c r="N4" s="23">
        <f>N2-N3</f>
        <v>0.44200000000000006</v>
      </c>
      <c r="O4" s="23">
        <f>O2-O3</f>
        <v>0.733</v>
      </c>
      <c r="P4" s="23">
        <f>P2-P3</f>
        <v>0.6189999999999999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0.137</v>
      </c>
      <c r="J5" s="23" t="n">
        <v>1.256</v>
      </c>
      <c r="K5" s="23" t="n">
        <v>1.011</v>
      </c>
      <c r="L5" s="23" t="n">
        <v>0.929</v>
      </c>
      <c r="M5" s="23" t="n">
        <v>2.33</v>
      </c>
      <c r="N5" s="23" t="n">
        <v>3.461</v>
      </c>
      <c r="O5" s="23" t="n">
        <v>3.773</v>
      </c>
      <c r="P5" s="23" t="n">
        <v>3.655</v>
      </c>
    </row>
    <row r="6">
      <c r="A6" s="19" t="inlineStr">
        <is>
          <t>SG&amp;A &amp; Other</t>
        </is>
      </c>
      <c r="B6" s="23" t="n">
        <v>16.046</v>
      </c>
      <c r="C6" s="23" t="n">
        <v>6.893</v>
      </c>
      <c r="D6" s="23" t="n">
        <v>4.017</v>
      </c>
      <c r="E6" s="23" t="n">
        <v>2.909</v>
      </c>
      <c r="F6" s="23" t="n">
        <v>4.922</v>
      </c>
      <c r="G6" s="23" t="n">
        <v>3.749</v>
      </c>
      <c r="H6" s="23" t="n">
        <v>2.273</v>
      </c>
      <c r="I6" s="23" t="n">
        <v>1.734</v>
      </c>
      <c r="J6" s="23" t="n">
        <v>3.519</v>
      </c>
      <c r="K6" s="23" t="n">
        <v>5.968</v>
      </c>
      <c r="L6" s="23" t="n">
        <v>7.908</v>
      </c>
      <c r="M6" s="23" t="n">
        <v>13.292</v>
      </c>
      <c r="N6" s="23" t="n">
        <v>8.552</v>
      </c>
      <c r="O6" s="23" t="n">
        <v>6.758</v>
      </c>
      <c r="P6" s="23" t="n">
        <v>4.41</v>
      </c>
    </row>
    <row r="7">
      <c r="A7" s="2" t="inlineStr">
        <is>
          <t>Operating Expense</t>
        </is>
      </c>
      <c r="B7" s="23">
        <f>SUM(B5:B6)</f>
        <v>16.046</v>
      </c>
      <c r="C7" s="23">
        <f>SUM(C5:C6)</f>
        <v>6.893</v>
      </c>
      <c r="D7" s="23">
        <f>SUM(D5:D6)</f>
        <v>4.017</v>
      </c>
      <c r="E7" s="23">
        <f>SUM(E5:E6)</f>
        <v>2.909</v>
      </c>
      <c r="F7" s="23">
        <f>SUM(F5:F6)</f>
        <v>4.922</v>
      </c>
      <c r="G7" s="23">
        <f>SUM(G5:G6)</f>
        <v>3.749</v>
      </c>
      <c r="H7" s="23">
        <f>SUM(H5:H6)</f>
        <v>2.273</v>
      </c>
      <c r="I7" s="23">
        <f>SUM(I5:I6)</f>
        <v>1.871</v>
      </c>
      <c r="J7" s="23">
        <f>SUM(J5:J6)</f>
        <v>4.775</v>
      </c>
      <c r="K7" s="23">
        <f>SUM(K5:K6)</f>
        <v>6.979</v>
      </c>
      <c r="L7" s="23">
        <f>SUM(L5:L6)</f>
        <v>8.837</v>
      </c>
      <c r="M7" s="23">
        <f>SUM(M5:M6)</f>
        <v>15.622</v>
      </c>
      <c r="N7" s="23">
        <f>SUM(N5:N6)</f>
        <v>12.013</v>
      </c>
      <c r="O7" s="23">
        <f>SUM(O5:O6)</f>
        <v>10.531</v>
      </c>
      <c r="P7" s="23">
        <f>SUM(P5:P6)</f>
        <v>8.065</v>
      </c>
    </row>
    <row r="8">
      <c r="A8" s="2" t="inlineStr">
        <is>
          <t>Operating Income</t>
        </is>
      </c>
      <c r="B8" s="23">
        <f>B4-B7</f>
        <v>-15.887</v>
      </c>
      <c r="C8" s="23">
        <f>C4-C7</f>
        <v>-7.510999999999999</v>
      </c>
      <c r="D8" s="23">
        <f>D4-D7</f>
        <v>-2.484000000000001</v>
      </c>
      <c r="E8" s="23">
        <f>E4-E7</f>
        <v>-2.5279999999999996</v>
      </c>
      <c r="F8" s="23">
        <f>F4-F7</f>
        <v>-4.343</v>
      </c>
      <c r="G8" s="23">
        <f>G4-G7</f>
        <v>-2.905</v>
      </c>
      <c r="H8" s="23">
        <f>H4-H7</f>
        <v>-2.055</v>
      </c>
      <c r="I8" s="23">
        <f>I4-I7</f>
        <v>-1.7890000000000001</v>
      </c>
      <c r="J8" s="23">
        <f>J4-J7</f>
        <v>-4.643000000000001</v>
      </c>
      <c r="K8" s="23">
        <f>K4-K7</f>
        <v>-6.864</v>
      </c>
      <c r="L8" s="23">
        <f>L4-L7</f>
        <v>-8.724</v>
      </c>
      <c r="M8" s="23">
        <f>M4-M7</f>
        <v>-15.427999999999999</v>
      </c>
      <c r="N8" s="23">
        <f>N4-N7</f>
        <v>-11.571</v>
      </c>
      <c r="O8" s="23">
        <f>O4-O7</f>
        <v>-9.798</v>
      </c>
      <c r="P8" s="23">
        <f>P4-P7</f>
        <v>-7.446</v>
      </c>
    </row>
    <row r="9">
      <c r="A9" s="19" t="inlineStr">
        <is>
          <t>Interest &amp; Other</t>
        </is>
      </c>
      <c r="B9" s="23" t="n">
        <v>-0.254</v>
      </c>
      <c r="C9" s="23" t="n">
        <v>-0.068</v>
      </c>
      <c r="D9" s="23" t="n">
        <v>-0.134</v>
      </c>
      <c r="E9" s="23" t="n">
        <v>-0.495</v>
      </c>
      <c r="F9" s="23" t="n">
        <v>-0.267</v>
      </c>
      <c r="G9" s="23" t="n">
        <v>0.098</v>
      </c>
      <c r="H9" s="23" t="n">
        <v>0.202</v>
      </c>
      <c r="I9" s="23" t="n">
        <v>0.003</v>
      </c>
      <c r="J9" s="23" t="n">
        <v>0.548</v>
      </c>
      <c r="K9" s="23" t="n">
        <v>-0.451</v>
      </c>
      <c r="L9" s="23" t="n">
        <v>-0.08699999999999999</v>
      </c>
      <c r="M9" s="23" t="n">
        <v>0.412</v>
      </c>
      <c r="N9" s="23" t="n">
        <v>0.065</v>
      </c>
      <c r="O9" s="23" t="n">
        <v>-3.202</v>
      </c>
      <c r="P9" s="23" t="n">
        <v>0.324</v>
      </c>
    </row>
    <row r="10">
      <c r="A10" s="2" t="inlineStr">
        <is>
          <t>Pretax</t>
        </is>
      </c>
      <c r="B10" s="23">
        <f>B8+B9</f>
        <v>-16.141000000000002</v>
      </c>
      <c r="C10" s="23">
        <f>C8+C9</f>
        <v>-7.578999999999999</v>
      </c>
      <c r="D10" s="23">
        <f>D8+D9</f>
        <v>-2.6180000000000008</v>
      </c>
      <c r="E10" s="23">
        <f>E8+E9</f>
        <v>-3.0229999999999997</v>
      </c>
      <c r="F10" s="23">
        <f>F8+F9</f>
        <v>-4.61</v>
      </c>
      <c r="G10" s="23">
        <f>G8+G9</f>
        <v>-2.807</v>
      </c>
      <c r="H10" s="23">
        <f>H8+H9</f>
        <v>-1.8530000000000002</v>
      </c>
      <c r="I10" s="23">
        <f>I8+I9</f>
        <v>-1.7860000000000003</v>
      </c>
      <c r="J10" s="23">
        <f>J8+J9</f>
        <v>-4.095000000000001</v>
      </c>
      <c r="K10" s="23">
        <f>K8+K9</f>
        <v>-7.3149999999999995</v>
      </c>
      <c r="L10" s="23">
        <f>L8+L9</f>
        <v>-8.811</v>
      </c>
      <c r="M10" s="23">
        <f>M8+M9</f>
        <v>-15.015999999999998</v>
      </c>
      <c r="N10" s="23">
        <f>N8+N9</f>
        <v>-11.506</v>
      </c>
      <c r="O10" s="23">
        <f>O8+O9</f>
        <v>-13.0</v>
      </c>
      <c r="P10" s="23">
        <f>P8+P9</f>
        <v>-7.122</v>
      </c>
    </row>
    <row r="11">
      <c r="A11" s="2" t="inlineStr">
        <is>
          <t>Taxes</t>
        </is>
      </c>
      <c r="B11" s="23" t="n">
        <v>4.1</v>
      </c>
      <c r="C11" s="23" t="n">
        <v>0.173</v>
      </c>
      <c r="D11" s="23" t="n">
        <v>-0.365</v>
      </c>
      <c r="E11" s="23" t="n">
        <v>0</v>
      </c>
      <c r="F11" s="23" t="n">
        <v>0.005</v>
      </c>
      <c r="G11" s="23" t="n">
        <v>0.001</v>
      </c>
      <c r="H11" s="23" t="n">
        <v>0.014</v>
      </c>
      <c r="I11" s="23" t="n">
        <v>0</v>
      </c>
      <c r="J11" s="23" t="n">
        <v>0.002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</row>
    <row r="12">
      <c r="A12" s="2" t="inlineStr">
        <is>
          <t>Net Income</t>
        </is>
      </c>
      <c r="B12" s="23" t="n">
        <v>-20.241</v>
      </c>
      <c r="C12" s="23" t="n">
        <v>-7.752</v>
      </c>
      <c r="D12" s="23" t="n">
        <v>-2.252</v>
      </c>
      <c r="E12" s="23" t="n">
        <v>-3.023</v>
      </c>
      <c r="F12" s="23" t="n">
        <v>-4.614</v>
      </c>
      <c r="G12" s="23" t="n">
        <v>-2.808</v>
      </c>
      <c r="H12" s="23" t="n">
        <v>-1.867</v>
      </c>
      <c r="I12" s="23" t="n">
        <v>-1.786</v>
      </c>
      <c r="J12" s="23" t="n">
        <v>-4.097</v>
      </c>
      <c r="K12" s="23" t="n">
        <v>-7.315</v>
      </c>
      <c r="L12" s="23" t="n">
        <v>-8.811</v>
      </c>
      <c r="M12" s="23" t="n">
        <v>-15.016</v>
      </c>
      <c r="N12" s="23" t="n">
        <v>-11.506</v>
      </c>
      <c r="O12" s="23" t="n">
        <v>-13</v>
      </c>
      <c r="P12" s="23" t="n">
        <v>-7.122</v>
      </c>
    </row>
    <row r="13">
      <c r="A13" s="2" t="inlineStr">
        <is>
          <t>Earnings per Share</t>
        </is>
      </c>
      <c r="B13" s="11">
        <f>IFERROR(B12/B14,0)</f>
        <v>-1.101970818815331</v>
      </c>
      <c r="C13" s="11">
        <f>IFERROR(C12/C14,0)</f>
        <v>-2.192307692307692</v>
      </c>
      <c r="D13" s="11">
        <f>IFERROR(D12/D14,0)</f>
        <v>-0.26591096941787695</v>
      </c>
      <c r="E13" s="11">
        <f>IFERROR(E12/E14,0)</f>
        <v>-0.3030272654370489</v>
      </c>
      <c r="F13" s="11">
        <f>IFERROR(F12/F14,0)</f>
        <v>-0.25720497240648865</v>
      </c>
      <c r="G13" s="11">
        <f>IFERROR(G12/G14,0)</f>
        <v>-0.14094970384499547</v>
      </c>
      <c r="H13" s="11">
        <f>IFERROR(H12/H14,0)</f>
        <v>-0.05985317218606739</v>
      </c>
      <c r="I13" s="11">
        <f>IFERROR(I12/I14,0)</f>
        <v>-0.05728398229520816</v>
      </c>
      <c r="J13" s="11">
        <f>IFERROR(J12/J14,0)</f>
        <v>-0.10372414491506114</v>
      </c>
      <c r="K13" s="11">
        <f>IFERROR(K12/K14,0)</f>
        <v>-0.18523676880222842</v>
      </c>
      <c r="L13" s="11">
        <f>IFERROR(L12/L14,0)</f>
        <v>-0.20997068846364653</v>
      </c>
      <c r="M13" s="11">
        <f>IFERROR(M12/M14,0)</f>
        <v>-0.3003680588894223</v>
      </c>
      <c r="N13" s="11">
        <f>IFERROR(N12/N14,0)</f>
        <v>-0.2188451004260499</v>
      </c>
      <c r="O13" s="11">
        <f>IFERROR(O12/O14,0)</f>
        <v>-0.22093813732154996</v>
      </c>
      <c r="P13" s="11">
        <f>IFERROR(P12/P14,0)</f>
        <v>-0.09307735535893985</v>
      </c>
    </row>
    <row r="14">
      <c r="A14" s="2" t="inlineStr">
        <is>
          <t>Shares</t>
        </is>
      </c>
      <c r="B14" s="23" t="n">
        <v>18.368</v>
      </c>
      <c r="C14" s="23" t="n">
        <v>3.536</v>
      </c>
      <c r="D14" s="23" t="n">
        <v>8.468999999999999</v>
      </c>
      <c r="E14" s="23" t="n">
        <v>9.976000000000001</v>
      </c>
      <c r="F14" s="23" t="n">
        <v>17.939</v>
      </c>
      <c r="G14" s="23" t="n">
        <v>19.922</v>
      </c>
      <c r="H14" s="23" t="n">
        <v>31.193</v>
      </c>
      <c r="I14" s="23" t="n">
        <v>31.178</v>
      </c>
      <c r="J14" s="23" t="n">
        <v>39.499</v>
      </c>
      <c r="K14" s="23" t="n">
        <v>39.49</v>
      </c>
      <c r="L14" s="23" t="n">
        <v>41.963</v>
      </c>
      <c r="M14" s="23" t="n">
        <v>49.992</v>
      </c>
      <c r="N14" s="23" t="n">
        <v>52.576</v>
      </c>
      <c r="O14" s="23" t="n">
        <v>58.84</v>
      </c>
      <c r="P14" s="23" t="n">
        <v>76.517</v>
      </c>
    </row>
    <row r="15"/>
    <row r="16" customFormat="1" s="4">
      <c r="A16" s="3" t="inlineStr">
        <is>
          <t>Revenue Change</t>
        </is>
      </c>
      <c r="C16" s="15">
        <f>IFERROR(C2/B2-1,"")</f>
        <v>0.030927835051546504</v>
      </c>
      <c r="D16" s="15">
        <f>IFERROR(D2/C2-1,"")</f>
        <v>0.9119047619047618</v>
      </c>
      <c r="E16" s="15">
        <f>IFERROR(E2/D2-1,"")</f>
        <v>-0.7169364881693648</v>
      </c>
      <c r="F16" s="15">
        <f>IFERROR(F2/E2-1,"")</f>
        <v>2.378794544654641</v>
      </c>
      <c r="G16" s="15">
        <f>IFERROR(G2/F2-1,"")</f>
        <v>-0.1709635416666666</v>
      </c>
      <c r="H16" s="15">
        <f>IFERROR(H2/G2-1,"")</f>
        <v>-0.9089052929166013</v>
      </c>
      <c r="I16" s="15">
        <f>IFERROR(I2/H2-1,"")</f>
        <v>2.781034482758621</v>
      </c>
      <c r="J16" s="15">
        <f>IFERROR(J2/I2-1,"")</f>
        <v>1.332877336981304</v>
      </c>
      <c r="K16" s="15">
        <f>IFERROR(K2/J2-1,"")</f>
        <v>-0.2040656763096168</v>
      </c>
      <c r="L16" s="15">
        <f>IFERROR(L2/K2-1,"")</f>
        <v>-0.7794695481335953</v>
      </c>
      <c r="M16" s="15">
        <f>IFERROR(M2/L2-1,"")</f>
        <v>-0.5579064587973274</v>
      </c>
      <c r="N16" s="15">
        <f>IFERROR(N2/M2-1,"")</f>
        <v>1.2947103274559195</v>
      </c>
      <c r="O16" s="15">
        <f>IFERROR(O2/N2-1,"")</f>
        <v>0.4763995609220635</v>
      </c>
      <c r="P16" s="15">
        <f>IFERROR(P2/O2-1,"")</f>
        <v>-0.05501858736059484</v>
      </c>
    </row>
    <row r="17" customFormat="1" s="4">
      <c r="A17" s="3" t="inlineStr">
        <is>
          <t>Gross Margin</t>
        </is>
      </c>
      <c r="B17" s="15">
        <f>IFERROR(B4/B2,"")</f>
        <v>0.03902798232695135</v>
      </c>
      <c r="C17" s="15">
        <f>IFERROR(C4/C2,"")</f>
        <v>-0.147142857142857</v>
      </c>
      <c r="D17" s="15">
        <f>IFERROR(D4/D2,"")</f>
        <v>0.19090909090909086</v>
      </c>
      <c r="E17" s="15">
        <f>IFERROR(E4/E2,"")</f>
        <v>0.16761988561372645</v>
      </c>
      <c r="F17" s="15">
        <f>IFERROR(F4/F2,"")</f>
        <v>0.07539062499999998</v>
      </c>
      <c r="G17" s="15">
        <f>IFERROR(G4/G2,"")</f>
        <v>0.13255850479032516</v>
      </c>
      <c r="H17" s="15">
        <f>IFERROR(H4/H2,"")</f>
        <v>0.3758620689655172</v>
      </c>
      <c r="I17" s="15">
        <f>IFERROR(I4/I2,"")</f>
        <v>0.037391700866393</v>
      </c>
      <c r="J17" s="15">
        <f>IFERROR(J4/J2,"")</f>
        <v>0.02580140734949173</v>
      </c>
      <c r="K17" s="15">
        <f>IFERROR(K4/K2,"")</f>
        <v>0.028241650294695532</v>
      </c>
      <c r="L17" s="15">
        <f>IFERROR(L4/L2,"")</f>
        <v>0.12583518930957682</v>
      </c>
      <c r="M17" s="15">
        <f>IFERROR(M4/M2,"")</f>
        <v>0.48866498740554154</v>
      </c>
      <c r="N17" s="15">
        <f>IFERROR(N4/N2,"")</f>
        <v>0.4851811196487377</v>
      </c>
      <c r="O17" s="15">
        <f>IFERROR(O4/O2,"")</f>
        <v>0.5449814126394052</v>
      </c>
      <c r="P17" s="15">
        <f>IFERROR(P4/P2,"")</f>
        <v>0.4870180959874114</v>
      </c>
    </row>
    <row r="18">
      <c r="A18" s="14" t="inlineStr">
        <is>
          <t>Operating Margin</t>
        </is>
      </c>
      <c r="B18" s="15">
        <f>IFERROR(B8/B2,"")</f>
        <v>-3.8996072655866474</v>
      </c>
      <c r="C18" s="15">
        <f>IFERROR(C8/C2,"")</f>
        <v>-1.788333333333333</v>
      </c>
      <c r="D18" s="15">
        <f>IFERROR(D8/D2,"")</f>
        <v>-0.3093399750933999</v>
      </c>
      <c r="E18" s="15">
        <f>IFERROR(E8/E2,"")</f>
        <v>-1.1121865376154858</v>
      </c>
      <c r="F18" s="15">
        <f>IFERROR(F8/F2,"")</f>
        <v>-0.5654947916666667</v>
      </c>
      <c r="G18" s="15">
        <f>IFERROR(G8/G2,"")</f>
        <v>-0.45625883461598865</v>
      </c>
      <c r="H18" s="15">
        <f>IFERROR(H8/H2,"")</f>
        <v>-3.5431034482758625</v>
      </c>
      <c r="I18" s="15">
        <f>IFERROR(I8/I2,"")</f>
        <v>-0.8157774737802098</v>
      </c>
      <c r="J18" s="15">
        <f>IFERROR(J8/J2,"")</f>
        <v>-0.9075449569976546</v>
      </c>
      <c r="K18" s="15">
        <f>IFERROR(K8/K2,"")</f>
        <v>-1.6856581532416501</v>
      </c>
      <c r="L18" s="15">
        <f>IFERROR(L8/L2,"")</f>
        <v>-9.714922048997773</v>
      </c>
      <c r="M18" s="15">
        <f>IFERROR(M8/M2,"")</f>
        <v>-38.861460957178835</v>
      </c>
      <c r="N18" s="15">
        <f>IFERROR(N8/N2,"")</f>
        <v>-12.701427003293084</v>
      </c>
      <c r="O18" s="15">
        <f>IFERROR(O8/O2,"")</f>
        <v>-7.2847583643122675</v>
      </c>
      <c r="P18" s="15">
        <f>IFERROR(P8/P2,"")</f>
        <v>-5.85837922895358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IGC Pharma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0.12729999999999997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9.157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111.2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444.2360362197099</v>
      </c>
      <c r="C29" s="42">
        <f>NPV!B25</f>
        <v>443.5080362197099</v>
      </c>
      <c r="D29" s="43">
        <f>NPV!B27</f>
        <v>4.289909482129092</v>
      </c>
      <c r="E29" s="44">
        <f>NPV!B29</f>
        <v>16.50983462093507</v>
      </c>
    </row>
    <row r="30">
      <c r="A30" s="45" t="n">
        <v>1</v>
      </c>
      <c r="B30" s="46">
        <f t="dataTable" ref="B30:E32" r1="B4"/>
        <v>165.28391304794707</v>
      </c>
      <c r="C30" s="46">
        <v>164.5559130479471</v>
      </c>
      <c r="D30" s="47">
        <v>1.5916960101599766</v>
      </c>
      <c r="E30" s="48">
        <v>5.496718408816231</v>
      </c>
    </row>
    <row r="31">
      <c r="A31" s="45" t="n">
        <v>2</v>
      </c>
      <c r="B31" s="46">
        <v>444.2360362197099</v>
      </c>
      <c r="C31" s="46">
        <v>443.5080362197099</v>
      </c>
      <c r="D31" s="47">
        <v>4.289909482129092</v>
      </c>
      <c r="E31" s="48">
        <v>16.50983462093507</v>
      </c>
    </row>
    <row r="32">
      <c r="A32" s="45" t="n">
        <v>3</v>
      </c>
      <c r="B32" s="46">
        <v>892.4588034069258</v>
      </c>
      <c r="C32" s="46">
        <v>891.7308034069258</v>
      </c>
      <c r="D32" s="47">
        <v>8.62542302874276</v>
      </c>
      <c r="E32" s="48">
        <v>34.205808280582694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4.289909482129092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1.1780217508361301</v>
      </c>
      <c r="C37" s="47">
        <v>1.8495979857825706</v>
      </c>
      <c r="D37" s="47">
        <v>2.518015150288309</v>
      </c>
      <c r="E37" s="47">
        <v>3.852042242925844</v>
      </c>
      <c r="F37" s="47">
        <v>5.1814577049756805</v>
      </c>
    </row>
    <row r="38">
      <c r="A38" s="50" t="n">
        <v>0.8</v>
      </c>
      <c r="B38" s="47">
        <v>1.6232026907406583</v>
      </c>
      <c r="C38" s="47">
        <v>2.5152858156923887</v>
      </c>
      <c r="D38" s="47">
        <v>3.4046372107840797</v>
      </c>
      <c r="E38" s="47">
        <v>5.178755899609501</v>
      </c>
      <c r="F38" s="47">
        <v>6.951045123837966</v>
      </c>
    </row>
    <row r="39">
      <c r="A39" s="50" t="n">
        <v>1</v>
      </c>
      <c r="B39" s="47">
        <v>2.067713103276426</v>
      </c>
      <c r="C39" s="47">
        <v>3.1795700274152363</v>
      </c>
      <c r="D39" s="47">
        <v>4.289909482129092</v>
      </c>
      <c r="E39" s="47">
        <v>6.5052710124146715</v>
      </c>
      <c r="F39" s="47">
        <v>8.720632542700253</v>
      </c>
    </row>
    <row r="40">
      <c r="A40" s="50" t="n">
        <v>1.2</v>
      </c>
      <c r="B40" s="47">
        <v>2.509827146500549</v>
      </c>
      <c r="C40" s="47">
        <v>3.843854239138085</v>
      </c>
      <c r="D40" s="47">
        <v>5.173352288877146</v>
      </c>
      <c r="E40" s="47">
        <v>7.831786125219843</v>
      </c>
      <c r="F40" s="47">
        <v>10.487794882111345</v>
      </c>
    </row>
    <row r="41">
      <c r="A41" s="50" t="n">
        <v>1.4</v>
      </c>
      <c r="B41" s="47">
        <v>2.951773509450474</v>
      </c>
      <c r="C41" s="47">
        <v>4.506042024425293</v>
      </c>
      <c r="D41" s="47">
        <v>6.0567950956251995</v>
      </c>
      <c r="E41" s="47">
        <v>9.158256268615235</v>
      </c>
      <c r="F41" s="47">
        <v>12.254262778208707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IGC Pharma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IGC AD1, IGC-AD1-Active</t>
        </is>
      </c>
      <c r="D4" s="14" t="inlineStr">
        <is>
          <t>Phase 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578.4730886973028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50.92</v>
      </c>
      <c r="S4" s="23">
        <f>IF(S$3&lt;$I4,0,$G4*Assumptions!$E$11*INDEX(Assumptions!$B$24:$G$24,MIN(6,S$3-$I4+1))*IF(S$3&gt;$J4,(1-Assumptions!$B$26)^(S$3-$J4),1)*IF($H4&gt;=1,1,MIN(0.97,$H4*Assumptions!$E$12)))</f>
        <v>127.3</v>
      </c>
      <c r="T4" s="23">
        <f>IF(T$3&lt;$I4,0,$G4*Assumptions!$E$11*INDEX(Assumptions!$B$24:$G$24,MIN(6,T$3-$I4+1))*IF(T$3&gt;$J4,(1-Assumptions!$B$26)^(T$3-$J4),1)*IF($H4&gt;=1,1,MIN(0.97,$H4*Assumptions!$E$12)))</f>
        <v>229.14</v>
      </c>
      <c r="U4" s="23">
        <f>IF(U$3&lt;$I4,0,$G4*Assumptions!$E$11*INDEX(Assumptions!$B$24:$G$24,MIN(6,U$3-$I4+1))*IF(U$3&gt;$J4,(1-Assumptions!$B$26)^(U$3-$J4),1)*IF($H4&gt;=1,1,MIN(0.97,$H4*Assumptions!$E$12)))</f>
        <v>330.98</v>
      </c>
      <c r="V4" s="23">
        <f>IF(V$3&lt;$I4,0,$G4*Assumptions!$E$11*INDEX(Assumptions!$B$24:$G$24,MIN(6,V$3-$I4+1))*IF(V$3&gt;$J4,(1-Assumptions!$B$26)^(V$3-$J4),1)*IF($H4&gt;=1,1,MIN(0.97,$H4*Assumptions!$E$12)))</f>
        <v>432.82</v>
      </c>
      <c r="W4" s="23">
        <f>IF(W$3&lt;$I4,0,$G4*Assumptions!$E$11*INDEX(Assumptions!$B$24:$G$24,MIN(6,W$3-$I4+1))*IF(W$3&gt;$J4,(1-Assumptions!$B$26)^(W$3-$J4),1)*IF($H4&gt;=1,1,MIN(0.97,$H4*Assumptions!$E$12)))</f>
        <v>509.2</v>
      </c>
      <c r="X4" s="23">
        <f>IF(X$3&lt;$I4,0,$G4*Assumptions!$E$11*INDEX(Assumptions!$B$24:$G$24,MIN(6,X$3-$I4+1))*IF(X$3&gt;$J4,(1-Assumptions!$B$26)^(X$3-$J4),1)*IF($H4&gt;=1,1,MIN(0.97,$H4*Assumptions!$E$12)))</f>
        <v>509.2</v>
      </c>
      <c r="Y4" s="23">
        <f>IF(Y$3&lt;$I4,0,$G4*Assumptions!$E$11*INDEX(Assumptions!$B$24:$G$24,MIN(6,Y$3-$I4+1))*IF(Y$3&gt;$J4,(1-Assumptions!$B$26)^(Y$3-$J4),1)*IF($H4&gt;=1,1,MIN(0.97,$H4*Assumptions!$E$12)))</f>
        <v>509.2</v>
      </c>
      <c r="Z4" s="23">
        <f>IF(Z$3&lt;$I4,0,$G4*Assumptions!$E$11*INDEX(Assumptions!$B$24:$G$24,MIN(6,Z$3-$I4+1))*IF(Z$3&gt;$J4,(1-Assumptions!$B$26)^(Z$3-$J4),1)*IF($H4&gt;=1,1,MIN(0.97,$H4*Assumptions!$E$12)))</f>
        <v>509.2</v>
      </c>
      <c r="AA4" s="23">
        <f>IF(AA$3&lt;$I4,0,$G4*Assumptions!$E$11*INDEX(Assumptions!$B$24:$G$24,MIN(6,AA$3-$I4+1))*IF(AA$3&gt;$J4,(1-Assumptions!$B$26)^(AA$3-$J4),1)*IF($H4&gt;=1,1,MIN(0.97,$H4*Assumptions!$E$12)))</f>
        <v>509.2</v>
      </c>
      <c r="AB4" s="23">
        <f>IF(AB$3&lt;$I4,0,$G4*Assumptions!$E$11*INDEX(Assumptions!$B$24:$G$24,MIN(6,AB$3-$I4+1))*IF(AB$3&gt;$J4,(1-Assumptions!$B$26)^(AB$3-$J4),1)*IF($H4&gt;=1,1,MIN(0.97,$H4*Assumptions!$E$12)))</f>
        <v>509.2</v>
      </c>
      <c r="AC4" s="23">
        <f>IF(AC$3&lt;$I4,0,$G4*Assumptions!$E$11*INDEX(Assumptions!$B$24:$G$24,MIN(6,AC$3-$I4+1))*IF(AC$3&gt;$J4,(1-Assumptions!$B$26)^(AC$3-$J4),1)*IF($H4&gt;=1,1,MIN(0.97,$H4*Assumptions!$E$12)))</f>
        <v>509.2</v>
      </c>
      <c r="AD4" s="23">
        <f>IF(AD$3&lt;$I4,0,$G4*Assumptions!$E$11*INDEX(Assumptions!$B$24:$G$24,MIN(6,AD$3-$I4+1))*IF(AD$3&gt;$J4,(1-Assumptions!$B$26)^(AD$3-$J4),1)*IF($H4&gt;=1,1,MIN(0.97,$H4*Assumptions!$E$12)))</f>
        <v>509.2</v>
      </c>
      <c r="AE4" s="23">
        <f>IF(AE$3&lt;$I4,0,$G4*Assumptions!$E$11*INDEX(Assumptions!$B$24:$G$24,MIN(6,AE$3-$I4+1))*IF(AE$3&gt;$J4,(1-Assumptions!$B$26)^(AE$3-$J4),1)*IF($H4&gt;=1,1,MIN(0.97,$H4*Assumptions!$E$12)))</f>
        <v>254.6</v>
      </c>
      <c r="AF4" s="23">
        <f>IF(AF$3&lt;$I4,0,$G4*Assumptions!$E$11*INDEX(Assumptions!$B$24:$G$24,MIN(6,AF$3-$I4+1))*IF(AF$3&gt;$J4,(1-Assumptions!$B$26)^(AF$3-$J4),1)*IF($H4&gt;=1,1,MIN(0.97,$H4*Assumptions!$E$12)))</f>
        <v>127.3</v>
      </c>
      <c r="AG4" s="35">
        <f>IF(F4="Owned",1-IF(H4&gt;=1,1,MIN(0.97,H4*Assumptions!$E$12)),1)</f>
        <v>0.8727</v>
      </c>
    </row>
    <row r="5">
      <c r="B5" s="24" t="inlineStr">
        <is>
          <t>Risked revenue</t>
        </is>
      </c>
      <c r="L5" s="54">
        <f>SUM(L4:L4)</f>
        <v>578.4730886973028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50.92</v>
      </c>
      <c r="S5" s="54">
        <f>SUM(S4:S4)</f>
        <v>127.3</v>
      </c>
      <c r="T5" s="54">
        <f>SUM(T4:T4)</f>
        <v>229.14</v>
      </c>
      <c r="U5" s="54">
        <f>SUM(U4:U4)</f>
        <v>330.98</v>
      </c>
      <c r="V5" s="54">
        <f>SUM(V4:V4)</f>
        <v>432.82</v>
      </c>
      <c r="W5" s="54">
        <f>SUM(W4:W4)</f>
        <v>509.2</v>
      </c>
      <c r="X5" s="54">
        <f>SUM(X4:X4)</f>
        <v>509.2</v>
      </c>
      <c r="Y5" s="54">
        <f>SUM(Y4:Y4)</f>
        <v>509.2</v>
      </c>
      <c r="Z5" s="54">
        <f>SUM(Z4:Z4)</f>
        <v>509.2</v>
      </c>
      <c r="AA5" s="54">
        <f>SUM(AA4:AA4)</f>
        <v>509.2</v>
      </c>
      <c r="AB5" s="54">
        <f>SUM(AB4:AB4)</f>
        <v>509.2</v>
      </c>
      <c r="AC5" s="54">
        <f>SUM(AC4:AC4)</f>
        <v>509.2</v>
      </c>
      <c r="AD5" s="54">
        <f>SUM(AD4:AD4)</f>
        <v>509.2</v>
      </c>
      <c r="AE5" s="54">
        <f>SUM(AE4:AE4)</f>
        <v>254.6</v>
      </c>
      <c r="AF5" s="54">
        <f>SUM(AF4:AF4)</f>
        <v>127.3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20.368000000000002</v>
      </c>
      <c r="S6" s="55">
        <f>SUMPRODUCT(S4:S4,$K$4:$K$4)</f>
        <v>50.92</v>
      </c>
      <c r="T6" s="55">
        <f>SUMPRODUCT(T4:T4,$K$4:$K$4)</f>
        <v>91.656</v>
      </c>
      <c r="U6" s="55">
        <f>SUMPRODUCT(U4:U4,$K$4:$K$4)</f>
        <v>132.39200000000002</v>
      </c>
      <c r="V6" s="55">
        <f>SUMPRODUCT(V4:V4,$K$4:$K$4)</f>
        <v>173.12800000000001</v>
      </c>
      <c r="W6" s="55">
        <f>SUMPRODUCT(W4:W4,$K$4:$K$4)</f>
        <v>203.68</v>
      </c>
      <c r="X6" s="55">
        <f>SUMPRODUCT(X4:X4,$K$4:$K$4)</f>
        <v>203.68</v>
      </c>
      <c r="Y6" s="55">
        <f>SUMPRODUCT(Y4:Y4,$K$4:$K$4)</f>
        <v>203.68</v>
      </c>
      <c r="Z6" s="55">
        <f>SUMPRODUCT(Z4:Z4,$K$4:$K$4)</f>
        <v>203.68</v>
      </c>
      <c r="AA6" s="55">
        <f>SUMPRODUCT(AA4:AA4,$K$4:$K$4)</f>
        <v>203.68</v>
      </c>
      <c r="AB6" s="55">
        <f>SUMPRODUCT(AB4:AB4,$K$4:$K$4)</f>
        <v>203.68</v>
      </c>
      <c r="AC6" s="55">
        <f>SUMPRODUCT(AC4:AC4,$K$4:$K$4)</f>
        <v>203.68</v>
      </c>
      <c r="AD6" s="55">
        <f>SUMPRODUCT(AD4:AD4,$K$4:$K$4)</f>
        <v>203.68</v>
      </c>
      <c r="AE6" s="55">
        <f>SUMPRODUCT(AE4:AE4,$K$4:$K$4)</f>
        <v>101.84</v>
      </c>
      <c r="AF6" s="55">
        <f>SUMPRODUCT(AF4:AF4,$K$4:$K$4)</f>
        <v>50.92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IGC Pharma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50.92</v>
      </c>
      <c r="I4" s="57">
        <f>Pipeline!S5</f>
        <v>127.3</v>
      </c>
      <c r="J4" s="57">
        <f>Pipeline!T5</f>
        <v>229.14</v>
      </c>
      <c r="K4" s="57">
        <f>Pipeline!U5</f>
        <v>330.98</v>
      </c>
      <c r="L4" s="57">
        <f>Pipeline!V5</f>
        <v>432.82</v>
      </c>
      <c r="M4" s="57">
        <f>Pipeline!W5</f>
        <v>509.2</v>
      </c>
      <c r="N4" s="57">
        <f>Pipeline!X5</f>
        <v>509.2</v>
      </c>
      <c r="O4" s="57">
        <f>Pipeline!Y5</f>
        <v>509.2</v>
      </c>
      <c r="P4" s="57">
        <f>Pipeline!Z5</f>
        <v>509.2</v>
      </c>
      <c r="Q4" s="57">
        <f>Pipeline!AA5</f>
        <v>509.2</v>
      </c>
      <c r="R4" s="57">
        <f>Pipeline!AB5</f>
        <v>509.2</v>
      </c>
      <c r="S4" s="57">
        <f>Pipeline!AC5</f>
        <v>509.2</v>
      </c>
      <c r="T4" s="57">
        <f>Pipeline!AD5</f>
        <v>509.2</v>
      </c>
      <c r="U4" s="57">
        <f>Pipeline!AE5</f>
        <v>254.6</v>
      </c>
      <c r="V4" s="57">
        <f>Pipeline!AF5</f>
        <v>127.3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20.368000000000002</v>
      </c>
      <c r="I5" s="57">
        <f>Pipeline!S6</f>
        <v>50.92</v>
      </c>
      <c r="J5" s="57">
        <f>Pipeline!T6</f>
        <v>91.656</v>
      </c>
      <c r="K5" s="57">
        <f>Pipeline!U6</f>
        <v>132.39200000000002</v>
      </c>
      <c r="L5" s="57">
        <f>Pipeline!V6</f>
        <v>173.12800000000001</v>
      </c>
      <c r="M5" s="57">
        <f>Pipeline!W6</f>
        <v>203.68</v>
      </c>
      <c r="N5" s="57">
        <f>Pipeline!X6</f>
        <v>203.68</v>
      </c>
      <c r="O5" s="57">
        <f>Pipeline!Y6</f>
        <v>203.68</v>
      </c>
      <c r="P5" s="57">
        <f>Pipeline!Z6</f>
        <v>203.68</v>
      </c>
      <c r="Q5" s="57">
        <f>Pipeline!AA6</f>
        <v>203.68</v>
      </c>
      <c r="R5" s="57">
        <f>Pipeline!AB6</f>
        <v>203.68</v>
      </c>
      <c r="S5" s="57">
        <f>Pipeline!AC6</f>
        <v>203.68</v>
      </c>
      <c r="T5" s="57">
        <f>Pipeline!AD6</f>
        <v>203.68</v>
      </c>
      <c r="U5" s="57">
        <f>Pipeline!AE6</f>
        <v>101.84</v>
      </c>
      <c r="V5" s="57">
        <f>Pipeline!AF6</f>
        <v>50.92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-9.157</v>
      </c>
      <c r="D6" s="23">
        <f>-IF(D3-2026&lt;Assumptions!$B$19,Assumptions!$B$18,Assumptions!$B$18*Assumptions!$B$20*Assumptions!$B$16)</f>
        <v>-9.157</v>
      </c>
      <c r="E6" s="23">
        <f>-IF(E3-2026&lt;Assumptions!$B$19,Assumptions!$B$18,Assumptions!$B$18*Assumptions!$B$20*Assumptions!$B$16)</f>
        <v>-9.157</v>
      </c>
      <c r="F6" s="23">
        <f>-IF(F3-2026&lt;Assumptions!$B$19,Assumptions!$B$18,Assumptions!$B$18*Assumptions!$B$20*Assumptions!$B$16)</f>
        <v>-9.157</v>
      </c>
      <c r="G6" s="23">
        <f>-IF(G3-2026&lt;Assumptions!$B$19,Assumptions!$B$18,Assumptions!$B$18*Assumptions!$B$20*Assumptions!$B$16)</f>
        <v>-0.34970582999999994</v>
      </c>
      <c r="H6" s="23">
        <f>-IF(H3-2026&lt;Assumptions!$B$19,Assumptions!$B$18,Assumptions!$B$18*Assumptions!$B$20*Assumptions!$B$16)</f>
        <v>-0.34970582999999994</v>
      </c>
      <c r="I6" s="23">
        <f>-IF(I3-2026&lt;Assumptions!$B$19,Assumptions!$B$18,Assumptions!$B$18*Assumptions!$B$20*Assumptions!$B$16)</f>
        <v>-0.34970582999999994</v>
      </c>
      <c r="J6" s="23">
        <f>-IF(J3-2026&lt;Assumptions!$B$19,Assumptions!$B$18,Assumptions!$B$18*Assumptions!$B$20*Assumptions!$B$16)</f>
        <v>-0.34970582999999994</v>
      </c>
      <c r="K6" s="23">
        <f>-IF(K3-2026&lt;Assumptions!$B$19,Assumptions!$B$18,Assumptions!$B$18*Assumptions!$B$20*Assumptions!$B$16)</f>
        <v>-0.34970582999999994</v>
      </c>
      <c r="L6" s="23">
        <f>-IF(L3-2026&lt;Assumptions!$B$19,Assumptions!$B$18,Assumptions!$B$18*Assumptions!$B$20*Assumptions!$B$16)</f>
        <v>-0.34970582999999994</v>
      </c>
      <c r="M6" s="23">
        <f>-IF(M3-2026&lt;Assumptions!$B$19,Assumptions!$B$18,Assumptions!$B$18*Assumptions!$B$20*Assumptions!$B$16)</f>
        <v>-0.34970582999999994</v>
      </c>
      <c r="N6" s="23">
        <f>-IF(N3-2026&lt;Assumptions!$B$19,Assumptions!$B$18,Assumptions!$B$18*Assumptions!$B$20*Assumptions!$B$16)</f>
        <v>-0.34970582999999994</v>
      </c>
      <c r="O6" s="23">
        <f>-IF(O3-2026&lt;Assumptions!$B$19,Assumptions!$B$18,Assumptions!$B$18*Assumptions!$B$20*Assumptions!$B$16)</f>
        <v>-0.34970582999999994</v>
      </c>
      <c r="P6" s="23">
        <f>-IF(P3-2026&lt;Assumptions!$B$19,Assumptions!$B$18,Assumptions!$B$18*Assumptions!$B$20*Assumptions!$B$16)</f>
        <v>-0.34970582999999994</v>
      </c>
      <c r="Q6" s="23">
        <f>-IF(Q3-2026&lt;Assumptions!$B$19,Assumptions!$B$18,Assumptions!$B$18*Assumptions!$B$20*Assumptions!$B$16)</f>
        <v>-0.34970582999999994</v>
      </c>
      <c r="R6" s="23">
        <f>-IF(R3-2026&lt;Assumptions!$B$19,Assumptions!$B$18,Assumptions!$B$18*Assumptions!$B$20*Assumptions!$B$16)</f>
        <v>-0.34970582999999994</v>
      </c>
      <c r="S6" s="23">
        <f>-IF(S3-2026&lt;Assumptions!$B$19,Assumptions!$B$18,Assumptions!$B$18*Assumptions!$B$20*Assumptions!$B$16)</f>
        <v>-0.34970582999999994</v>
      </c>
      <c r="T6" s="23">
        <f>-IF(T3-2026&lt;Assumptions!$B$19,Assumptions!$B$18,Assumptions!$B$18*Assumptions!$B$20*Assumptions!$B$16)</f>
        <v>-0.34970582999999994</v>
      </c>
      <c r="U6" s="23">
        <f>-IF(U3-2026&lt;Assumptions!$B$19,Assumptions!$B$18,Assumptions!$B$18*Assumptions!$B$20*Assumptions!$B$16)</f>
        <v>-0.34970582999999994</v>
      </c>
      <c r="V6" s="23">
        <f>-IF(V3-2026&lt;Assumptions!$B$19,Assumptions!$B$18,Assumptions!$B$18*Assumptions!$B$20*Assumptions!$B$16)</f>
        <v>-0.34970582999999994</v>
      </c>
    </row>
    <row r="7">
      <c r="A7" s="14" t="inlineStr">
        <is>
          <t>Pre-tax cash flow</t>
        </is>
      </c>
      <c r="C7" s="23">
        <f>C5+C6</f>
        <v>-9.157</v>
      </c>
      <c r="D7" s="23">
        <f>D5+D6</f>
        <v>-9.157</v>
      </c>
      <c r="E7" s="23">
        <f>E5+E6</f>
        <v>-9.157</v>
      </c>
      <c r="F7" s="23">
        <f>F5+F6</f>
        <v>-9.157</v>
      </c>
      <c r="G7" s="23">
        <f>G5+G6</f>
        <v>-0.34970582999999994</v>
      </c>
      <c r="H7" s="23">
        <f>H5+H6</f>
        <v>20.01829417</v>
      </c>
      <c r="I7" s="23">
        <f>I5+I6</f>
        <v>50.570294170000004</v>
      </c>
      <c r="J7" s="23">
        <f>J5+J6</f>
        <v>91.30629417</v>
      </c>
      <c r="K7" s="23">
        <f>K5+K6</f>
        <v>132.04229417000002</v>
      </c>
      <c r="L7" s="23">
        <f>L5+L6</f>
        <v>172.77829417</v>
      </c>
      <c r="M7" s="23">
        <f>M5+M6</f>
        <v>203.33029417</v>
      </c>
      <c r="N7" s="23">
        <f>N5+N6</f>
        <v>203.33029417</v>
      </c>
      <c r="O7" s="23">
        <f>O5+O6</f>
        <v>203.33029417</v>
      </c>
      <c r="P7" s="23">
        <f>P5+P6</f>
        <v>203.33029417</v>
      </c>
      <c r="Q7" s="23">
        <f>Q5+Q6</f>
        <v>203.33029417</v>
      </c>
      <c r="R7" s="23">
        <f>R5+R6</f>
        <v>203.33029417</v>
      </c>
      <c r="S7" s="23">
        <f>S5+S6</f>
        <v>203.33029417</v>
      </c>
      <c r="T7" s="23">
        <f>T5+T6</f>
        <v>203.33029417</v>
      </c>
      <c r="U7" s="23">
        <f>U5+U6</f>
        <v>101.49029417</v>
      </c>
      <c r="V7" s="23">
        <f>V5+V6</f>
        <v>50.570294170000004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20.01829417</v>
      </c>
      <c r="I8" s="23">
        <f>MIN(H17,MAX(0,I7))</f>
        <v>50.570294170000004</v>
      </c>
      <c r="J8" s="23">
        <f>MIN(I17,MAX(0,J7))</f>
        <v>77.58911749000004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13.717176679999966</v>
      </c>
      <c r="K9" s="23">
        <f>MAX(0,K7)-K8</f>
        <v>132.04229417000002</v>
      </c>
      <c r="L9" s="23">
        <f>MAX(0,L7)-L8</f>
        <v>172.77829417</v>
      </c>
      <c r="M9" s="23">
        <f>MAX(0,M7)-M8</f>
        <v>203.33029417</v>
      </c>
      <c r="N9" s="23">
        <f>MAX(0,N7)-N8</f>
        <v>203.33029417</v>
      </c>
      <c r="O9" s="23">
        <f>MAX(0,O7)-O8</f>
        <v>203.33029417</v>
      </c>
      <c r="P9" s="23">
        <f>MAX(0,P7)-P8</f>
        <v>203.33029417</v>
      </c>
      <c r="Q9" s="23">
        <f>MAX(0,Q7)-Q8</f>
        <v>203.33029417</v>
      </c>
      <c r="R9" s="23">
        <f>MAX(0,R7)-R8</f>
        <v>203.33029417</v>
      </c>
      <c r="S9" s="23">
        <f>MAX(0,S7)-S8</f>
        <v>203.33029417</v>
      </c>
      <c r="T9" s="23">
        <f>MAX(0,T7)-T8</f>
        <v>203.33029417</v>
      </c>
      <c r="U9" s="23">
        <f>MAX(0,U7)-U8</f>
        <v>101.49029417</v>
      </c>
      <c r="V9" s="23">
        <f>MAX(0,V7)-V8</f>
        <v>50.570294170000004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2.880607102799993</v>
      </c>
      <c r="K10" s="23">
        <f>K9*Assumptions!$E$15</f>
        <v>27.728881775700003</v>
      </c>
      <c r="L10" s="23">
        <f>L9*Assumptions!$E$15</f>
        <v>36.2834417757</v>
      </c>
      <c r="M10" s="23">
        <f>M9*Assumptions!$E$15</f>
        <v>42.6993617757</v>
      </c>
      <c r="N10" s="23">
        <f>N9*Assumptions!$E$15</f>
        <v>42.6993617757</v>
      </c>
      <c r="O10" s="23">
        <f>O9*Assumptions!$E$15</f>
        <v>42.6993617757</v>
      </c>
      <c r="P10" s="23">
        <f>P9*Assumptions!$E$15</f>
        <v>42.6993617757</v>
      </c>
      <c r="Q10" s="23">
        <f>Q9*Assumptions!$E$15</f>
        <v>42.6993617757</v>
      </c>
      <c r="R10" s="23">
        <f>R9*Assumptions!$E$15</f>
        <v>42.6993617757</v>
      </c>
      <c r="S10" s="23">
        <f>S9*Assumptions!$E$15</f>
        <v>42.6993617757</v>
      </c>
      <c r="T10" s="23">
        <f>T9*Assumptions!$E$15</f>
        <v>42.6993617757</v>
      </c>
      <c r="U10" s="23">
        <f>U9*Assumptions!$E$15</f>
        <v>21.3129617757</v>
      </c>
      <c r="V10" s="23">
        <f>V9*Assumptions!$E$15</f>
        <v>10.6197617757</v>
      </c>
    </row>
    <row r="11">
      <c r="A11" s="24" t="inlineStr">
        <is>
          <t>Free cash flow</t>
        </is>
      </c>
      <c r="C11" s="55">
        <f>C7-C10</f>
        <v>-9.157</v>
      </c>
      <c r="D11" s="55">
        <f>D7-D10</f>
        <v>-9.157</v>
      </c>
      <c r="E11" s="55">
        <f>E7-E10</f>
        <v>-9.157</v>
      </c>
      <c r="F11" s="55">
        <f>F7-F10</f>
        <v>-9.157</v>
      </c>
      <c r="G11" s="55">
        <f>G7-G10</f>
        <v>-0.34970582999999994</v>
      </c>
      <c r="H11" s="55">
        <f>H7-H10</f>
        <v>20.01829417</v>
      </c>
      <c r="I11" s="55">
        <f>I7-I10</f>
        <v>50.570294170000004</v>
      </c>
      <c r="J11" s="55">
        <f>J7-J10</f>
        <v>88.4256870672</v>
      </c>
      <c r="K11" s="55">
        <f>K7-K10</f>
        <v>104.31341239430002</v>
      </c>
      <c r="L11" s="55">
        <f>L7-L10</f>
        <v>136.4948523943</v>
      </c>
      <c r="M11" s="55">
        <f>M7-M10</f>
        <v>160.6309323943</v>
      </c>
      <c r="N11" s="55">
        <f>N7-N10</f>
        <v>160.6309323943</v>
      </c>
      <c r="O11" s="55">
        <f>O7-O10</f>
        <v>160.6309323943</v>
      </c>
      <c r="P11" s="55">
        <f>P7-P10</f>
        <v>160.6309323943</v>
      </c>
      <c r="Q11" s="55">
        <f>Q7-Q10</f>
        <v>160.6309323943</v>
      </c>
      <c r="R11" s="55">
        <f>R7-R10</f>
        <v>160.6309323943</v>
      </c>
      <c r="S11" s="55">
        <f>S7-S10</f>
        <v>160.6309323943</v>
      </c>
      <c r="T11" s="55">
        <f>T7-T10</f>
        <v>160.6309323943</v>
      </c>
      <c r="U11" s="55">
        <f>U7-U10</f>
        <v>80.1773323943</v>
      </c>
      <c r="V11" s="55">
        <f>V7-V10</f>
        <v>39.950532394300005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-4.486054123927253</v>
      </c>
      <c r="D16" s="55">
        <f>D11*D15</f>
        <v>-8.172094830509472</v>
      </c>
      <c r="E16" s="55">
        <f>E11*E15</f>
        <v>-7.296513241526313</v>
      </c>
      <c r="F16" s="55">
        <f>F11*F15</f>
        <v>-6.514743965648494</v>
      </c>
      <c r="G16" s="55">
        <f>G11*G15</f>
        <v>-0.22214113575724634</v>
      </c>
      <c r="H16" s="55">
        <f>H11*H15</f>
        <v>11.35364104975659</v>
      </c>
      <c r="I16" s="55">
        <f>I11*I15</f>
        <v>25.60858310184496</v>
      </c>
      <c r="J16" s="55">
        <f>J11*J15</f>
        <v>39.98070890311121</v>
      </c>
      <c r="K16" s="55">
        <f>K11*K15</f>
        <v>42.110866459390316</v>
      </c>
      <c r="L16" s="55">
        <f>L11*L15</f>
        <v>49.198546832834175</v>
      </c>
      <c r="M16" s="55">
        <f>M11*M15</f>
        <v>51.69483573645746</v>
      </c>
      <c r="N16" s="55">
        <f>N11*N15</f>
        <v>46.156103336122726</v>
      </c>
      <c r="O16" s="55">
        <f>O11*O15</f>
        <v>41.210806550109574</v>
      </c>
      <c r="P16" s="55">
        <f>P11*P15</f>
        <v>36.795362991169256</v>
      </c>
      <c r="Q16" s="55">
        <f>Q11*Q15</f>
        <v>32.853002670686834</v>
      </c>
      <c r="R16" s="55">
        <f>R11*R15</f>
        <v>29.333038098827533</v>
      </c>
      <c r="S16" s="55">
        <f>S11*S15</f>
        <v>26.190212588238865</v>
      </c>
      <c r="T16" s="55">
        <f>T11*T15</f>
        <v>23.384118382356128</v>
      </c>
      <c r="U16" s="55">
        <f>U11*U15</f>
        <v>10.421384044910532</v>
      </c>
      <c r="V16" s="55">
        <f>V11*V15</f>
        <v>4.6363727712624625</v>
      </c>
    </row>
    <row r="17">
      <c r="A17" s="14" t="inlineStr">
        <is>
          <t>Tax-loss carryforward, end of year</t>
        </is>
      </c>
      <c r="C17" s="23">
        <f>Assumptions!$B$21-C8+MAX(0,-C7)</f>
        <v>120.357</v>
      </c>
      <c r="D17" s="23">
        <f>C17-D8+MAX(0,-D7)</f>
        <v>129.514</v>
      </c>
      <c r="E17" s="23">
        <f>D17-E8+MAX(0,-E7)</f>
        <v>138.67100000000002</v>
      </c>
      <c r="F17" s="23">
        <f>E17-F8+MAX(0,-F7)</f>
        <v>147.82800000000003</v>
      </c>
      <c r="G17" s="23">
        <f>F17-G8+MAX(0,-G7)</f>
        <v>148.17770583000004</v>
      </c>
      <c r="H17" s="23">
        <f>G17-H8+MAX(0,-H7)</f>
        <v>128.15941166000005</v>
      </c>
      <c r="I17" s="23">
        <f>H17-I8+MAX(0,-I7)</f>
        <v>77.58911749000004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578.4730886973027</v>
      </c>
    </row>
    <row r="20">
      <c r="A20" s="14" t="inlineStr">
        <is>
          <t>PV of corporate burn</t>
        </is>
      </c>
      <c r="B20" s="23">
        <f>SUMPRODUCT(C6:V6,C15:V15)</f>
        <v>-28.204520470547227</v>
      </c>
    </row>
    <row r="21">
      <c r="A21" s="14" t="inlineStr">
        <is>
          <t>PV of taxes</t>
        </is>
      </c>
      <c r="B21" s="23">
        <f>-SUMPRODUCT(C10:V10,C15:V15)</f>
        <v>-106.03253200704567</v>
      </c>
    </row>
    <row r="22">
      <c r="A22" s="24" t="inlineStr">
        <is>
          <t>Pipeline rNPV (operations)</t>
        </is>
      </c>
      <c r="B22" s="54">
        <f>SUM(C16:V16)</f>
        <v>444.2360362197099</v>
      </c>
    </row>
    <row r="23">
      <c r="A23" s="14" t="inlineStr">
        <is>
          <t>Cash &amp; investments</t>
        </is>
      </c>
      <c r="B23" s="57">
        <f>Main!C7</f>
        <v>0.35400000000000004</v>
      </c>
    </row>
    <row r="24">
      <c r="A24" s="14" t="inlineStr">
        <is>
          <t>Debt</t>
        </is>
      </c>
      <c r="B24" s="57">
        <f>Main!C8</f>
        <v>1.082</v>
      </c>
    </row>
    <row r="25">
      <c r="A25" s="24" t="inlineStr">
        <is>
          <t>Equity value</t>
        </is>
      </c>
      <c r="B25" s="54">
        <f>B22+B23-B24</f>
        <v>443.5080362197099</v>
      </c>
    </row>
    <row r="26">
      <c r="A26" s="14" t="inlineStr">
        <is>
          <t>Shares (mm)</t>
        </is>
      </c>
      <c r="B26" s="57">
        <f>Main!C4</f>
        <v>103.384008</v>
      </c>
    </row>
    <row r="27">
      <c r="A27" s="24" t="inlineStr">
        <is>
          <t>rNPV / share</t>
        </is>
      </c>
      <c r="B27" s="60">
        <f>B25/B26</f>
        <v>4.289909482129092</v>
      </c>
    </row>
    <row r="28">
      <c r="A28" s="14" t="inlineStr">
        <is>
          <t>Price</t>
        </is>
      </c>
      <c r="B28" s="61">
        <f>Main!C3</f>
        <v>0.245</v>
      </c>
    </row>
    <row r="29">
      <c r="A29" s="14" t="inlineStr">
        <is>
          <t>Upside</t>
        </is>
      </c>
      <c r="B29" s="62">
        <f>B27/B28-1</f>
        <v>16.50983462093507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2026-10-21T06:30:00Z</dcterms:modified>
  <cp:lastModifiedBy>Wang, Eric</cp:lastModifiedBy>
</cp:coreProperties>
</file>