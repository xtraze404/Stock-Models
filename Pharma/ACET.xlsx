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ADICET Bio, Inc.</t>
        </is>
      </c>
      <c r="C2" s="10" t="n"/>
    </row>
    <row r="3">
      <c r="B3" t="inlineStr">
        <is>
          <t>Price</t>
        </is>
      </c>
      <c r="C3" s="11">
        <f>INDEX([1]Pharma!$F$1:$F$1000,MATCH("ACET",[1]Pharma!$B$1:$B$1000,0))</f>
        <v>4.52</v>
      </c>
      <c r="F3" s="1" t="n"/>
    </row>
    <row r="4">
      <c r="B4" t="inlineStr">
        <is>
          <t>Shares</t>
        </is>
      </c>
      <c r="C4" s="21" t="n">
        <v>9.36149</v>
      </c>
      <c r="F4" s="1" t="n"/>
    </row>
    <row r="5">
      <c r="B5" t="inlineStr">
        <is>
          <t>Market Cap.</t>
        </is>
      </c>
      <c r="C5" s="13">
        <f>C3*C4</f>
        <v>42.3139348</v>
      </c>
      <c r="F5" s="1" t="n"/>
    </row>
    <row r="6"/>
    <row r="7">
      <c r="B7" t="inlineStr">
        <is>
          <t>Cash</t>
        </is>
      </c>
      <c r="C7" s="21">
        <f>33.131+85.059</f>
        <v>118.19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-75.8760652</v>
      </c>
    </row>
    <row r="10"/>
    <row r="11">
      <c r="B11" s="14" t="inlineStr">
        <is>
          <t>rNPV / Share</t>
        </is>
      </c>
      <c r="C11" s="11">
        <f>NPV!B27</f>
        <v>36.47160227900287</v>
      </c>
    </row>
    <row r="12">
      <c r="B12" s="14" t="inlineStr">
        <is>
          <t>Upside</t>
        </is>
      </c>
      <c r="C12" s="15">
        <f>IFERROR(C11/C3-1,"")</f>
        <v>7.0689385573015215</v>
      </c>
    </row>
    <row r="13">
      <c r="B13" s="14" t="inlineStr">
        <is>
          <t>Cash / Share</t>
        </is>
      </c>
      <c r="C13" s="11">
        <f>IFERROR((C7-C8)/C4,"")</f>
        <v>12.625126982990956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-84.529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1.398218362928699</v>
      </c>
    </row>
    <row r="19">
      <c r="B19" s="14" t="inlineStr">
        <is>
          <t>Implied Pipeline Value</t>
        </is>
      </c>
      <c r="C19" s="13">
        <f>C9</f>
        <v>-75.8760652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2017</v>
      </c>
      <c r="C1" s="17" t="n">
        <v>2018</v>
      </c>
      <c r="D1" s="17" t="n">
        <v>2019</v>
      </c>
      <c r="E1" s="17" t="n">
        <v>2020</v>
      </c>
      <c r="F1" s="17" t="n">
        <v>2021</v>
      </c>
      <c r="G1" s="17" t="n">
        <v>2022</v>
      </c>
      <c r="H1" s="17" t="n">
        <v>2023</v>
      </c>
      <c r="I1" s="17" t="n">
        <v>2024</v>
      </c>
      <c r="J1" s="17" t="n">
        <v>2025</v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1" t="n"/>
    </row>
    <row r="5">
      <c r="A5" s="2" t="inlineStr">
        <is>
          <t>Research &amp; Dev.</t>
        </is>
      </c>
      <c r="B5" s="23" t="n">
        <v>16.839</v>
      </c>
      <c r="C5" s="23" t="n">
        <v>14.717</v>
      </c>
      <c r="D5" s="23" t="n">
        <v>23.691</v>
      </c>
      <c r="E5" s="23" t="n">
        <v>34.334</v>
      </c>
      <c r="F5" s="23" t="n">
        <v>48.943</v>
      </c>
      <c r="G5" s="23" t="n">
        <v>71.246</v>
      </c>
      <c r="H5" s="23" t="n">
        <v>106.043</v>
      </c>
      <c r="I5" s="23" t="n">
        <v>99.32299999999999</v>
      </c>
      <c r="J5" s="23" t="n">
        <v>99.127</v>
      </c>
      <c r="K5" s="1" t="n"/>
    </row>
    <row r="6">
      <c r="A6" s="19" t="inlineStr">
        <is>
          <t>SG&amp;A &amp; Other</t>
        </is>
      </c>
      <c r="B6" s="23" t="n">
        <v>2.043</v>
      </c>
      <c r="C6" s="23" t="n">
        <v>0.247</v>
      </c>
      <c r="D6" s="23" t="n">
        <v>7.697</v>
      </c>
      <c r="E6" s="23" t="n">
        <v>4.857</v>
      </c>
      <c r="F6" s="23" t="n">
        <v>12.49</v>
      </c>
      <c r="G6" s="23" t="n">
        <v>1.305</v>
      </c>
      <c r="H6" s="23" t="n">
        <v>45.995</v>
      </c>
      <c r="I6" s="23" t="n">
        <v>28.292</v>
      </c>
      <c r="J6" s="23" t="n">
        <v>22.987</v>
      </c>
      <c r="K6" s="1" t="n"/>
    </row>
    <row r="7">
      <c r="A7" s="2" t="inlineStr">
        <is>
          <t>Operating Expense</t>
        </is>
      </c>
      <c r="B7" s="23">
        <f>SUM(B5:B6)</f>
        <v>18.881999999999998</v>
      </c>
      <c r="C7" s="23">
        <f>SUM(C5:C6)</f>
        <v>14.964</v>
      </c>
      <c r="D7" s="23">
        <f>SUM(D5:D6)</f>
        <v>31.387999999999998</v>
      </c>
      <c r="E7" s="23">
        <f>SUM(E5:E6)</f>
        <v>39.191</v>
      </c>
      <c r="F7" s="23">
        <f>SUM(F5:F6)</f>
        <v>61.433</v>
      </c>
      <c r="G7" s="23">
        <f>SUM(G5:G6)</f>
        <v>72.551</v>
      </c>
      <c r="H7" s="23">
        <f>SUM(H5:H6)</f>
        <v>152.038</v>
      </c>
      <c r="I7" s="23">
        <f>SUM(I5:I6)</f>
        <v>127.615</v>
      </c>
      <c r="J7" s="23">
        <f>SUM(J5:J6)</f>
        <v>122.11399999999999</v>
      </c>
      <c r="K7" s="1" t="n"/>
    </row>
    <row r="8">
      <c r="A8" s="2" t="inlineStr">
        <is>
          <t>Operating Income</t>
        </is>
      </c>
      <c r="B8" s="23">
        <f>B4-B7</f>
        <v>-18.881999999999998</v>
      </c>
      <c r="C8" s="23">
        <f>C4-C7</f>
        <v>-14.964</v>
      </c>
      <c r="D8" s="23">
        <f>D4-D7</f>
        <v>-31.387999999999998</v>
      </c>
      <c r="E8" s="23">
        <f>E4-E7</f>
        <v>-39.191</v>
      </c>
      <c r="F8" s="23">
        <f>F4-F7</f>
        <v>-61.433</v>
      </c>
      <c r="G8" s="23">
        <f>G4-G7</f>
        <v>-72.551</v>
      </c>
      <c r="H8" s="23">
        <f>H4-H7</f>
        <v>-152.038</v>
      </c>
      <c r="I8" s="23">
        <f>I4-I7</f>
        <v>-127.615</v>
      </c>
      <c r="J8" s="23">
        <f>J4-J7</f>
        <v>-122.11399999999999</v>
      </c>
      <c r="K8" s="1" t="n"/>
    </row>
    <row r="9">
      <c r="A9" s="19" t="inlineStr">
        <is>
          <t>Interest &amp; Other</t>
        </is>
      </c>
      <c r="B9" s="23" t="n">
        <v>-14.896</v>
      </c>
      <c r="C9" s="23" t="n">
        <v>5.076</v>
      </c>
      <c r="D9" s="23" t="n">
        <v>3.269</v>
      </c>
      <c r="E9" s="23" t="n">
        <v>-0.302</v>
      </c>
      <c r="F9" s="23" t="n">
        <v>-0.6909999999999999</v>
      </c>
      <c r="G9" s="23" t="n">
        <v>2.761</v>
      </c>
      <c r="H9" s="23" t="n">
        <v>9.380000000000001</v>
      </c>
      <c r="I9" s="23" t="n">
        <v>10.493</v>
      </c>
      <c r="J9" s="23" t="n">
        <v>5.311</v>
      </c>
    </row>
    <row r="10">
      <c r="A10" s="2" t="inlineStr">
        <is>
          <t>Pretax</t>
        </is>
      </c>
      <c r="B10" s="23">
        <f>B8+B9</f>
        <v>-33.778</v>
      </c>
      <c r="C10" s="23">
        <f>C8+C9</f>
        <v>-9.888000000000002</v>
      </c>
      <c r="D10" s="23">
        <f>D8+D9</f>
        <v>-28.119</v>
      </c>
      <c r="E10" s="23">
        <f>E8+E9</f>
        <v>-39.493</v>
      </c>
      <c r="F10" s="23">
        <f>F8+F9</f>
        <v>-62.124</v>
      </c>
      <c r="G10" s="23">
        <f>G8+G9</f>
        <v>-69.79</v>
      </c>
      <c r="H10" s="23">
        <f>H8+H9</f>
        <v>-142.65800000000002</v>
      </c>
      <c r="I10" s="23">
        <f>I8+I9</f>
        <v>-117.122</v>
      </c>
      <c r="J10" s="23">
        <f>J8+J9</f>
        <v>-116.803</v>
      </c>
      <c r="K10" s="1" t="n"/>
    </row>
    <row r="11">
      <c r="A11" s="2" t="inlineStr">
        <is>
          <t>Taxes</t>
        </is>
      </c>
      <c r="B11" s="23" t="n">
        <v>0</v>
      </c>
      <c r="C11" s="23" t="n">
        <v>-0.589</v>
      </c>
      <c r="D11" s="23" t="n">
        <v>0.019</v>
      </c>
      <c r="E11" s="23" t="n">
        <v>-2.815</v>
      </c>
      <c r="F11" s="23" t="n">
        <v>-0.125</v>
      </c>
      <c r="G11" s="23" t="n">
        <v>0</v>
      </c>
      <c r="H11" s="23" t="n">
        <v>0</v>
      </c>
      <c r="I11" s="23" t="n">
        <v>0</v>
      </c>
      <c r="J11" s="23" t="n">
        <v>0</v>
      </c>
    </row>
    <row r="12">
      <c r="A12" s="2" t="inlineStr">
        <is>
          <t>Net Income</t>
        </is>
      </c>
      <c r="B12" s="23" t="n">
        <v>-33.778</v>
      </c>
      <c r="C12" s="23" t="n">
        <v>-9.298999999999999</v>
      </c>
      <c r="D12" s="23" t="n">
        <v>-28.138</v>
      </c>
      <c r="E12" s="23" t="n">
        <v>-36.678</v>
      </c>
      <c r="F12" s="23" t="n">
        <v>-61.999</v>
      </c>
      <c r="G12" s="23" t="n">
        <v>-69.79000000000001</v>
      </c>
      <c r="H12" s="23" t="n">
        <v>-142.658</v>
      </c>
      <c r="I12" s="23" t="n">
        <v>-117.122</v>
      </c>
      <c r="J12" s="23" t="n">
        <v>-116.803</v>
      </c>
      <c r="K12" s="1" t="n"/>
    </row>
    <row r="13">
      <c r="A13" s="2" t="inlineStr">
        <is>
          <t>Earnings per Share</t>
        </is>
      </c>
      <c r="B13" s="11">
        <f>IFERROR(B12/B14,0)</f>
        <v>-8.423441396508728</v>
      </c>
      <c r="C13" s="11">
        <f>IFERROR(C12/C14,0)</f>
        <v>-4.776065742167437</v>
      </c>
      <c r="D13" s="11">
        <f>IFERROR(D12/D14,0)</f>
        <v>-13.154745208041144</v>
      </c>
      <c r="E13" s="11">
        <f>IFERROR(E12/E14,0)</f>
        <v>-5.0106557377049175</v>
      </c>
      <c r="F13" s="11">
        <f>IFERROR(F12/F14,0)</f>
        <v>-2.0030692685448437</v>
      </c>
      <c r="G13" s="11">
        <f>IFERROR(G12/G14,0)</f>
        <v>-1.6988802336903606</v>
      </c>
      <c r="H13" s="11">
        <f>IFERROR(H12/H14,0)</f>
        <v>-3.314390595232563</v>
      </c>
      <c r="I13" s="11">
        <f>IFERROR(I12/I14,0)</f>
        <v>-21.325928623452295</v>
      </c>
      <c r="J13" s="11">
        <f>IFERROR(J12/J14,0)</f>
        <v>-16.950079814250472</v>
      </c>
    </row>
    <row r="14">
      <c r="A14" s="2" t="inlineStr">
        <is>
          <t>Shares</t>
        </is>
      </c>
      <c r="B14" s="23" t="n">
        <v>4.01</v>
      </c>
      <c r="C14" s="23" t="n">
        <v>1.947</v>
      </c>
      <c r="D14" s="23" t="n">
        <v>2.139</v>
      </c>
      <c r="E14" s="23" t="n">
        <v>7.32</v>
      </c>
      <c r="F14" s="23" t="n">
        <v>30.952</v>
      </c>
      <c r="G14" s="23" t="n">
        <v>41.08</v>
      </c>
      <c r="H14" s="23" t="n">
        <v>43.042</v>
      </c>
      <c r="I14" s="23" t="n">
        <v>5.492</v>
      </c>
      <c r="J14" s="23" t="n">
        <v>6.891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ADICET Bio,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1-PRODUCT(Pipeline!AG4:AG7)</f>
        <v>0.3175090578739901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103.708</v>
      </c>
    </row>
    <row r="19">
      <c r="A19" s="14" t="inlineStr">
        <is>
          <t>Years of full burn (until the first launch, max 4)</t>
        </is>
      </c>
      <c r="B19" s="39">
        <f>MIN(4,MAX(1,MIN(Pipeline!I4:I7)-2026))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616.3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223.2385400188626</v>
      </c>
      <c r="C29" s="42">
        <f>NPV!B25</f>
        <v>341.4285400188626</v>
      </c>
      <c r="D29" s="43">
        <f>NPV!B27</f>
        <v>36.47160227900287</v>
      </c>
      <c r="E29" s="44">
        <f>NPV!B29</f>
        <v>7.0689385573015215</v>
      </c>
    </row>
    <row r="30">
      <c r="A30" s="45" t="n">
        <v>1</v>
      </c>
      <c r="B30" s="46">
        <f t="dataTable" ref="B30:E32" r1="B4"/>
        <v>-87.64883463215496</v>
      </c>
      <c r="C30" s="46">
        <v>30.54116536784504</v>
      </c>
      <c r="D30" s="47">
        <v>3.2624256788016694</v>
      </c>
      <c r="E30" s="48">
        <v>-0.2782244073447633</v>
      </c>
    </row>
    <row r="31">
      <c r="A31" s="45" t="n">
        <v>2</v>
      </c>
      <c r="B31" s="46">
        <v>223.2385400188626</v>
      </c>
      <c r="C31" s="46">
        <v>341.4285400188626</v>
      </c>
      <c r="D31" s="47">
        <v>36.47160227900287</v>
      </c>
      <c r="E31" s="48">
        <v>7.0689385573015215</v>
      </c>
    </row>
    <row r="32">
      <c r="A32" s="45" t="n">
        <v>3</v>
      </c>
      <c r="B32" s="46">
        <v>733.0332536859055</v>
      </c>
      <c r="C32" s="46">
        <v>851.2232536859055</v>
      </c>
      <c r="D32" s="47">
        <v>90.92818062999646</v>
      </c>
      <c r="E32" s="48">
        <v>19.116854121680635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36.47160227900287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-2.551984980392805</v>
      </c>
      <c r="C37" s="47">
        <v>7.131276062153025</v>
      </c>
      <c r="D37" s="47">
        <v>15.822059705651673</v>
      </c>
      <c r="E37" s="47">
        <v>32.61797472106038</v>
      </c>
      <c r="F37" s="47">
        <v>49.06762191093532</v>
      </c>
    </row>
    <row r="38">
      <c r="A38" s="50" t="n">
        <v>0.8</v>
      </c>
      <c r="B38" s="47">
        <v>3.1823495729703155</v>
      </c>
      <c r="C38" s="47">
        <v>14.940113334890519</v>
      </c>
      <c r="D38" s="47">
        <v>26.208736618295397</v>
      </c>
      <c r="E38" s="47">
        <v>48.226133807312166</v>
      </c>
      <c r="F38" s="47">
        <v>69.95099046695607</v>
      </c>
    </row>
    <row r="39">
      <c r="A39" s="50" t="n">
        <v>1</v>
      </c>
      <c r="B39" s="47">
        <v>8.327609346156166</v>
      </c>
      <c r="C39" s="47">
        <v>22.60575917071888</v>
      </c>
      <c r="D39" s="47">
        <v>36.47160227900287</v>
      </c>
      <c r="E39" s="47">
        <v>63.771387510005596</v>
      </c>
      <c r="F39" s="47">
        <v>90.7488837513709</v>
      </c>
    </row>
    <row r="40">
      <c r="A40" s="50" t="n">
        <v>1.2</v>
      </c>
      <c r="B40" s="47">
        <v>13.324236289215106</v>
      </c>
      <c r="C40" s="47">
        <v>30.20547129940558</v>
      </c>
      <c r="D40" s="47">
        <v>46.68438324749067</v>
      </c>
      <c r="E40" s="47">
        <v>79.21908604548138</v>
      </c>
      <c r="F40" s="47">
        <v>111.53566701427359</v>
      </c>
    </row>
    <row r="41">
      <c r="A41" s="50" t="n">
        <v>1.4</v>
      </c>
      <c r="B41" s="47">
        <v>18.284478493639597</v>
      </c>
      <c r="C41" s="47">
        <v>37.75647664371468</v>
      </c>
      <c r="D41" s="47">
        <v>56.873879333671994</v>
      </c>
      <c r="E41" s="47">
        <v>94.71033062685522</v>
      </c>
      <c r="F41" s="47">
        <v>132.2781044131027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ADICET Bio,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Rheumatoid / spondyloarthritis</t>
        </is>
      </c>
      <c r="C4" s="14" t="inlineStr">
        <is>
          <t>ADI-001, Fludarabine</t>
        </is>
      </c>
      <c r="D4" s="14" t="inlineStr">
        <is>
          <t>Phase 1</t>
        </is>
      </c>
      <c r="E4" s="14" t="inlineStr">
        <is>
          <t>Autoimmune / area</t>
        </is>
      </c>
      <c r="F4" s="14" t="inlineStr">
        <is>
          <t>Owned</t>
        </is>
      </c>
      <c r="G4" s="40" t="n">
        <v>2000</v>
      </c>
      <c r="H4" s="27" t="n">
        <v>0.1065</v>
      </c>
      <c r="I4" s="26" t="n">
        <v>2033</v>
      </c>
      <c r="J4" s="39">
        <f>I4+Assumptions!$B$25</f>
        <v>2045.0</v>
      </c>
      <c r="K4" s="53">
        <f>Assumptions!$E$13</f>
        <v>0.4</v>
      </c>
      <c r="L4" s="23">
        <f>K4*SUMPRODUCT(M4:AF4,NPV!$C$15:$V$15)</f>
        <v>186.5179507901639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0</v>
      </c>
      <c r="T4" s="23">
        <f>IF(T$3&lt;$I4,0,$G4*Assumptions!$E$11*INDEX(Assumptions!$B$24:$G$24,MIN(6,T$3-$I4+1))*IF(T$3&gt;$J4,(1-Assumptions!$B$26)^(T$3-$J4),1)*IF($H4&gt;=1,1,MIN(0.97,$H4*Assumptions!$E$12)))</f>
        <v>21.3</v>
      </c>
      <c r="U4" s="23">
        <f>IF(U$3&lt;$I4,0,$G4*Assumptions!$E$11*INDEX(Assumptions!$B$24:$G$24,MIN(6,U$3-$I4+1))*IF(U$3&gt;$J4,(1-Assumptions!$B$26)^(U$3-$J4),1)*IF($H4&gt;=1,1,MIN(0.97,$H4*Assumptions!$E$12)))</f>
        <v>53.25</v>
      </c>
      <c r="V4" s="23">
        <f>IF(V$3&lt;$I4,0,$G4*Assumptions!$E$11*INDEX(Assumptions!$B$24:$G$24,MIN(6,V$3-$I4+1))*IF(V$3&gt;$J4,(1-Assumptions!$B$26)^(V$3-$J4),1)*IF($H4&gt;=1,1,MIN(0.97,$H4*Assumptions!$E$12)))</f>
        <v>95.85</v>
      </c>
      <c r="W4" s="23">
        <f>IF(W$3&lt;$I4,0,$G4*Assumptions!$E$11*INDEX(Assumptions!$B$24:$G$24,MIN(6,W$3-$I4+1))*IF(W$3&gt;$J4,(1-Assumptions!$B$26)^(W$3-$J4),1)*IF($H4&gt;=1,1,MIN(0.97,$H4*Assumptions!$E$12)))</f>
        <v>138.45</v>
      </c>
      <c r="X4" s="23">
        <f>IF(X$3&lt;$I4,0,$G4*Assumptions!$E$11*INDEX(Assumptions!$B$24:$G$24,MIN(6,X$3-$I4+1))*IF(X$3&gt;$J4,(1-Assumptions!$B$26)^(X$3-$J4),1)*IF($H4&gt;=1,1,MIN(0.97,$H4*Assumptions!$E$12)))</f>
        <v>181.04999999999998</v>
      </c>
      <c r="Y4" s="23">
        <f>IF(Y$3&lt;$I4,0,$G4*Assumptions!$E$11*INDEX(Assumptions!$B$24:$G$24,MIN(6,Y$3-$I4+1))*IF(Y$3&gt;$J4,(1-Assumptions!$B$26)^(Y$3-$J4),1)*IF($H4&gt;=1,1,MIN(0.97,$H4*Assumptions!$E$12)))</f>
        <v>213.0</v>
      </c>
      <c r="Z4" s="23">
        <f>IF(Z$3&lt;$I4,0,$G4*Assumptions!$E$11*INDEX(Assumptions!$B$24:$G$24,MIN(6,Z$3-$I4+1))*IF(Z$3&gt;$J4,(1-Assumptions!$B$26)^(Z$3-$J4),1)*IF($H4&gt;=1,1,MIN(0.97,$H4*Assumptions!$E$12)))</f>
        <v>213.0</v>
      </c>
      <c r="AA4" s="23">
        <f>IF(AA$3&lt;$I4,0,$G4*Assumptions!$E$11*INDEX(Assumptions!$B$24:$G$24,MIN(6,AA$3-$I4+1))*IF(AA$3&gt;$J4,(1-Assumptions!$B$26)^(AA$3-$J4),1)*IF($H4&gt;=1,1,MIN(0.97,$H4*Assumptions!$E$12)))</f>
        <v>213.0</v>
      </c>
      <c r="AB4" s="23">
        <f>IF(AB$3&lt;$I4,0,$G4*Assumptions!$E$11*INDEX(Assumptions!$B$24:$G$24,MIN(6,AB$3-$I4+1))*IF(AB$3&gt;$J4,(1-Assumptions!$B$26)^(AB$3-$J4),1)*IF($H4&gt;=1,1,MIN(0.97,$H4*Assumptions!$E$12)))</f>
        <v>213.0</v>
      </c>
      <c r="AC4" s="23">
        <f>IF(AC$3&lt;$I4,0,$G4*Assumptions!$E$11*INDEX(Assumptions!$B$24:$G$24,MIN(6,AC$3-$I4+1))*IF(AC$3&gt;$J4,(1-Assumptions!$B$26)^(AC$3-$J4),1)*IF($H4&gt;=1,1,MIN(0.97,$H4*Assumptions!$E$12)))</f>
        <v>213.0</v>
      </c>
      <c r="AD4" s="23">
        <f>IF(AD$3&lt;$I4,0,$G4*Assumptions!$E$11*INDEX(Assumptions!$B$24:$G$24,MIN(6,AD$3-$I4+1))*IF(AD$3&gt;$J4,(1-Assumptions!$B$26)^(AD$3-$J4),1)*IF($H4&gt;=1,1,MIN(0.97,$H4*Assumptions!$E$12)))</f>
        <v>213.0</v>
      </c>
      <c r="AE4" s="23">
        <f>IF(AE$3&lt;$I4,0,$G4*Assumptions!$E$11*INDEX(Assumptions!$B$24:$G$24,MIN(6,AE$3-$I4+1))*IF(AE$3&gt;$J4,(1-Assumptions!$B$26)^(AE$3-$J4),1)*IF($H4&gt;=1,1,MIN(0.97,$H4*Assumptions!$E$12)))</f>
        <v>213.0</v>
      </c>
      <c r="AF4" s="23">
        <f>IF(AF$3&lt;$I4,0,$G4*Assumptions!$E$11*INDEX(Assumptions!$B$24:$G$24,MIN(6,AF$3-$I4+1))*IF(AF$3&gt;$J4,(1-Assumptions!$B$26)^(AF$3-$J4),1)*IF($H4&gt;=1,1,MIN(0.97,$H4*Assumptions!$E$12)))</f>
        <v>213.0</v>
      </c>
      <c r="AG4" s="35">
        <f>IF(F4="Owned",1-IF(H4&gt;=1,1,MIN(0.97,H4*Assumptions!$E$12)),1)</f>
        <v>0.8935</v>
      </c>
    </row>
    <row r="5">
      <c r="A5" s="39" t="n">
        <v>2</v>
      </c>
      <c r="B5" s="14" t="inlineStr">
        <is>
          <t>Prostate cancer</t>
        </is>
      </c>
      <c r="C5" s="14" t="inlineStr">
        <is>
          <t>ADI-212, Fludarabine</t>
        </is>
      </c>
      <c r="D5" s="14" t="inlineStr">
        <is>
          <t>Phase 1/2</t>
        </is>
      </c>
      <c r="E5" s="14" t="inlineStr">
        <is>
          <t>Oncology / area</t>
        </is>
      </c>
      <c r="F5" s="14" t="inlineStr">
        <is>
          <t>Owned</t>
        </is>
      </c>
      <c r="G5" s="40" t="n">
        <v>2500</v>
      </c>
      <c r="H5" s="27" t="n">
        <v>0.07539999999999999</v>
      </c>
      <c r="I5" s="26" t="n">
        <v>2032</v>
      </c>
      <c r="J5" s="39">
        <f>I5+Assumptions!$B$25</f>
        <v>2044.0</v>
      </c>
      <c r="K5" s="53">
        <f>Assumptions!$E$13</f>
        <v>0.4</v>
      </c>
      <c r="L5" s="23">
        <f>K5*SUMPRODUCT(M5:AF5,NPV!$C$15:$V$15)</f>
        <v>189.24688115872877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18.849999999999998</v>
      </c>
      <c r="T5" s="23">
        <f>IF(T$3&lt;$I5,0,$G5*Assumptions!$E$11*INDEX(Assumptions!$B$24:$G$24,MIN(6,T$3-$I5+1))*IF(T$3&gt;$J5,(1-Assumptions!$B$26)^(T$3-$J5),1)*IF($H5&gt;=1,1,MIN(0.97,$H5*Assumptions!$E$12)))</f>
        <v>47.125</v>
      </c>
      <c r="U5" s="23">
        <f>IF(U$3&lt;$I5,0,$G5*Assumptions!$E$11*INDEX(Assumptions!$B$24:$G$24,MIN(6,U$3-$I5+1))*IF(U$3&gt;$J5,(1-Assumptions!$B$26)^(U$3-$J5),1)*IF($H5&gt;=1,1,MIN(0.97,$H5*Assumptions!$E$12)))</f>
        <v>84.82499999999999</v>
      </c>
      <c r="V5" s="23">
        <f>IF(V$3&lt;$I5,0,$G5*Assumptions!$E$11*INDEX(Assumptions!$B$24:$G$24,MIN(6,V$3-$I5+1))*IF(V$3&gt;$J5,(1-Assumptions!$B$26)^(V$3-$J5),1)*IF($H5&gt;=1,1,MIN(0.97,$H5*Assumptions!$E$12)))</f>
        <v>122.52499999999999</v>
      </c>
      <c r="W5" s="23">
        <f>IF(W$3&lt;$I5,0,$G5*Assumptions!$E$11*INDEX(Assumptions!$B$24:$G$24,MIN(6,W$3-$I5+1))*IF(W$3&gt;$J5,(1-Assumptions!$B$26)^(W$3-$J5),1)*IF($H5&gt;=1,1,MIN(0.97,$H5*Assumptions!$E$12)))</f>
        <v>160.225</v>
      </c>
      <c r="X5" s="23">
        <f>IF(X$3&lt;$I5,0,$G5*Assumptions!$E$11*INDEX(Assumptions!$B$24:$G$24,MIN(6,X$3-$I5+1))*IF(X$3&gt;$J5,(1-Assumptions!$B$26)^(X$3-$J5),1)*IF($H5&gt;=1,1,MIN(0.97,$H5*Assumptions!$E$12)))</f>
        <v>188.5</v>
      </c>
      <c r="Y5" s="23">
        <f>IF(Y$3&lt;$I5,0,$G5*Assumptions!$E$11*INDEX(Assumptions!$B$24:$G$24,MIN(6,Y$3-$I5+1))*IF(Y$3&gt;$J5,(1-Assumptions!$B$26)^(Y$3-$J5),1)*IF($H5&gt;=1,1,MIN(0.97,$H5*Assumptions!$E$12)))</f>
        <v>188.5</v>
      </c>
      <c r="Z5" s="23">
        <f>IF(Z$3&lt;$I5,0,$G5*Assumptions!$E$11*INDEX(Assumptions!$B$24:$G$24,MIN(6,Z$3-$I5+1))*IF(Z$3&gt;$J5,(1-Assumptions!$B$26)^(Z$3-$J5),1)*IF($H5&gt;=1,1,MIN(0.97,$H5*Assumptions!$E$12)))</f>
        <v>188.5</v>
      </c>
      <c r="AA5" s="23">
        <f>IF(AA$3&lt;$I5,0,$G5*Assumptions!$E$11*INDEX(Assumptions!$B$24:$G$24,MIN(6,AA$3-$I5+1))*IF(AA$3&gt;$J5,(1-Assumptions!$B$26)^(AA$3-$J5),1)*IF($H5&gt;=1,1,MIN(0.97,$H5*Assumptions!$E$12)))</f>
        <v>188.5</v>
      </c>
      <c r="AB5" s="23">
        <f>IF(AB$3&lt;$I5,0,$G5*Assumptions!$E$11*INDEX(Assumptions!$B$24:$G$24,MIN(6,AB$3-$I5+1))*IF(AB$3&gt;$J5,(1-Assumptions!$B$26)^(AB$3-$J5),1)*IF($H5&gt;=1,1,MIN(0.97,$H5*Assumptions!$E$12)))</f>
        <v>188.5</v>
      </c>
      <c r="AC5" s="23">
        <f>IF(AC$3&lt;$I5,0,$G5*Assumptions!$E$11*INDEX(Assumptions!$B$24:$G$24,MIN(6,AC$3-$I5+1))*IF(AC$3&gt;$J5,(1-Assumptions!$B$26)^(AC$3-$J5),1)*IF($H5&gt;=1,1,MIN(0.97,$H5*Assumptions!$E$12)))</f>
        <v>188.5</v>
      </c>
      <c r="AD5" s="23">
        <f>IF(AD$3&lt;$I5,0,$G5*Assumptions!$E$11*INDEX(Assumptions!$B$24:$G$24,MIN(6,AD$3-$I5+1))*IF(AD$3&gt;$J5,(1-Assumptions!$B$26)^(AD$3-$J5),1)*IF($H5&gt;=1,1,MIN(0.97,$H5*Assumptions!$E$12)))</f>
        <v>188.5</v>
      </c>
      <c r="AE5" s="23">
        <f>IF(AE$3&lt;$I5,0,$G5*Assumptions!$E$11*INDEX(Assumptions!$B$24:$G$24,MIN(6,AE$3-$I5+1))*IF(AE$3&gt;$J5,(1-Assumptions!$B$26)^(AE$3-$J5),1)*IF($H5&gt;=1,1,MIN(0.97,$H5*Assumptions!$E$12)))</f>
        <v>188.5</v>
      </c>
      <c r="AF5" s="23">
        <f>IF(AF$3&lt;$I5,0,$G5*Assumptions!$E$11*INDEX(Assumptions!$B$24:$G$24,MIN(6,AF$3-$I5+1))*IF(AF$3&gt;$J5,(1-Assumptions!$B$26)^(AF$3-$J5),1)*IF($H5&gt;=1,1,MIN(0.97,$H5*Assumptions!$E$12)))</f>
        <v>94.25</v>
      </c>
      <c r="AG5" s="35">
        <f>IF(F5="Owned",1-IF(H5&gt;=1,1,MIN(0.97,H5*Assumptions!$E$12)),1)</f>
        <v>0.9246</v>
      </c>
    </row>
    <row r="6">
      <c r="A6" s="39" t="n">
        <v>3</v>
      </c>
      <c r="B6" s="14" t="inlineStr">
        <is>
          <t>Lupus / Sjogren's</t>
        </is>
      </c>
      <c r="C6" s="14" t="inlineStr">
        <is>
          <t>ADI-001, Fludarabine</t>
        </is>
      </c>
      <c r="D6" s="14" t="inlineStr">
        <is>
          <t>Phase 1</t>
        </is>
      </c>
      <c r="E6" s="14" t="inlineStr">
        <is>
          <t>Autoimmune / area</t>
        </is>
      </c>
      <c r="F6" s="14" t="inlineStr">
        <is>
          <t>Owned</t>
        </is>
      </c>
      <c r="G6" s="40" t="n">
        <v>1500</v>
      </c>
      <c r="H6" s="27" t="n">
        <v>0.1065</v>
      </c>
      <c r="I6" s="26" t="n">
        <v>2033</v>
      </c>
      <c r="J6" s="39">
        <f>I6+Assumptions!$B$25</f>
        <v>2045.0</v>
      </c>
      <c r="K6" s="53">
        <f>Assumptions!$E$13</f>
        <v>0.4</v>
      </c>
      <c r="L6" s="23">
        <f>K6*SUMPRODUCT(M6:AF6,NPV!$C$15:$V$15)</f>
        <v>139.88846309262294</v>
      </c>
      <c r="M6" s="23">
        <f>IF(M$3&lt;$I6,0,$G6*Assumptions!$E$11*INDEX(Assumptions!$B$24:$G$24,MIN(6,M$3-$I6+1))*IF(M$3&gt;$J6,(1-Assumptions!$B$26)^(M$3-$J6),1)*IF($H6&gt;=1,1,MIN(0.97,$H6*Assumptions!$E$12)))</f>
        <v>0</v>
      </c>
      <c r="N6" s="23">
        <f>IF(N$3&lt;$I6,0,$G6*Assumptions!$E$11*INDEX(Assumptions!$B$24:$G$24,MIN(6,N$3-$I6+1))*IF(N$3&gt;$J6,(1-Assumptions!$B$26)^(N$3-$J6),1)*IF($H6&gt;=1,1,MIN(0.97,$H6*Assumptions!$E$12)))</f>
        <v>0</v>
      </c>
      <c r="O6" s="23">
        <f>IF(O$3&lt;$I6,0,$G6*Assumptions!$E$11*INDEX(Assumptions!$B$24:$G$24,MIN(6,O$3-$I6+1))*IF(O$3&gt;$J6,(1-Assumptions!$B$26)^(O$3-$J6),1)*IF($H6&gt;=1,1,MIN(0.97,$H6*Assumptions!$E$12)))</f>
        <v>0</v>
      </c>
      <c r="P6" s="23">
        <f>IF(P$3&lt;$I6,0,$G6*Assumptions!$E$11*INDEX(Assumptions!$B$24:$G$24,MIN(6,P$3-$I6+1))*IF(P$3&gt;$J6,(1-Assumptions!$B$26)^(P$3-$J6),1)*IF($H6&gt;=1,1,MIN(0.97,$H6*Assumptions!$E$12)))</f>
        <v>0</v>
      </c>
      <c r="Q6" s="23">
        <f>IF(Q$3&lt;$I6,0,$G6*Assumptions!$E$11*INDEX(Assumptions!$B$24:$G$24,MIN(6,Q$3-$I6+1))*IF(Q$3&gt;$J6,(1-Assumptions!$B$26)^(Q$3-$J6),1)*IF($H6&gt;=1,1,MIN(0.97,$H6*Assumptions!$E$12)))</f>
        <v>0</v>
      </c>
      <c r="R6" s="23">
        <f>IF(R$3&lt;$I6,0,$G6*Assumptions!$E$11*INDEX(Assumptions!$B$24:$G$24,MIN(6,R$3-$I6+1))*IF(R$3&gt;$J6,(1-Assumptions!$B$26)^(R$3-$J6),1)*IF($H6&gt;=1,1,MIN(0.97,$H6*Assumptions!$E$12)))</f>
        <v>0</v>
      </c>
      <c r="S6" s="23">
        <f>IF(S$3&lt;$I6,0,$G6*Assumptions!$E$11*INDEX(Assumptions!$B$24:$G$24,MIN(6,S$3-$I6+1))*IF(S$3&gt;$J6,(1-Assumptions!$B$26)^(S$3-$J6),1)*IF($H6&gt;=1,1,MIN(0.97,$H6*Assumptions!$E$12)))</f>
        <v>0</v>
      </c>
      <c r="T6" s="23">
        <f>IF(T$3&lt;$I6,0,$G6*Assumptions!$E$11*INDEX(Assumptions!$B$24:$G$24,MIN(6,T$3-$I6+1))*IF(T$3&gt;$J6,(1-Assumptions!$B$26)^(T$3-$J6),1)*IF($H6&gt;=1,1,MIN(0.97,$H6*Assumptions!$E$12)))</f>
        <v>15.975</v>
      </c>
      <c r="U6" s="23">
        <f>IF(U$3&lt;$I6,0,$G6*Assumptions!$E$11*INDEX(Assumptions!$B$24:$G$24,MIN(6,U$3-$I6+1))*IF(U$3&gt;$J6,(1-Assumptions!$B$26)^(U$3-$J6),1)*IF($H6&gt;=1,1,MIN(0.97,$H6*Assumptions!$E$12)))</f>
        <v>39.9375</v>
      </c>
      <c r="V6" s="23">
        <f>IF(V$3&lt;$I6,0,$G6*Assumptions!$E$11*INDEX(Assumptions!$B$24:$G$24,MIN(6,V$3-$I6+1))*IF(V$3&gt;$J6,(1-Assumptions!$B$26)^(V$3-$J6),1)*IF($H6&gt;=1,1,MIN(0.97,$H6*Assumptions!$E$12)))</f>
        <v>71.8875</v>
      </c>
      <c r="W6" s="23">
        <f>IF(W$3&lt;$I6,0,$G6*Assumptions!$E$11*INDEX(Assumptions!$B$24:$G$24,MIN(6,W$3-$I6+1))*IF(W$3&gt;$J6,(1-Assumptions!$B$26)^(W$3-$J6),1)*IF($H6&gt;=1,1,MIN(0.97,$H6*Assumptions!$E$12)))</f>
        <v>103.83749999999999</v>
      </c>
      <c r="X6" s="23">
        <f>IF(X$3&lt;$I6,0,$G6*Assumptions!$E$11*INDEX(Assumptions!$B$24:$G$24,MIN(6,X$3-$I6+1))*IF(X$3&gt;$J6,(1-Assumptions!$B$26)^(X$3-$J6),1)*IF($H6&gt;=1,1,MIN(0.97,$H6*Assumptions!$E$12)))</f>
        <v>135.7875</v>
      </c>
      <c r="Y6" s="23">
        <f>IF(Y$3&lt;$I6,0,$G6*Assumptions!$E$11*INDEX(Assumptions!$B$24:$G$24,MIN(6,Y$3-$I6+1))*IF(Y$3&gt;$J6,(1-Assumptions!$B$26)^(Y$3-$J6),1)*IF($H6&gt;=1,1,MIN(0.97,$H6*Assumptions!$E$12)))</f>
        <v>159.75</v>
      </c>
      <c r="Z6" s="23">
        <f>IF(Z$3&lt;$I6,0,$G6*Assumptions!$E$11*INDEX(Assumptions!$B$24:$G$24,MIN(6,Z$3-$I6+1))*IF(Z$3&gt;$J6,(1-Assumptions!$B$26)^(Z$3-$J6),1)*IF($H6&gt;=1,1,MIN(0.97,$H6*Assumptions!$E$12)))</f>
        <v>159.75</v>
      </c>
      <c r="AA6" s="23">
        <f>IF(AA$3&lt;$I6,0,$G6*Assumptions!$E$11*INDEX(Assumptions!$B$24:$G$24,MIN(6,AA$3-$I6+1))*IF(AA$3&gt;$J6,(1-Assumptions!$B$26)^(AA$3-$J6),1)*IF($H6&gt;=1,1,MIN(0.97,$H6*Assumptions!$E$12)))</f>
        <v>159.75</v>
      </c>
      <c r="AB6" s="23">
        <f>IF(AB$3&lt;$I6,0,$G6*Assumptions!$E$11*INDEX(Assumptions!$B$24:$G$24,MIN(6,AB$3-$I6+1))*IF(AB$3&gt;$J6,(1-Assumptions!$B$26)^(AB$3-$J6),1)*IF($H6&gt;=1,1,MIN(0.97,$H6*Assumptions!$E$12)))</f>
        <v>159.75</v>
      </c>
      <c r="AC6" s="23">
        <f>IF(AC$3&lt;$I6,0,$G6*Assumptions!$E$11*INDEX(Assumptions!$B$24:$G$24,MIN(6,AC$3-$I6+1))*IF(AC$3&gt;$J6,(1-Assumptions!$B$26)^(AC$3-$J6),1)*IF($H6&gt;=1,1,MIN(0.97,$H6*Assumptions!$E$12)))</f>
        <v>159.75</v>
      </c>
      <c r="AD6" s="23">
        <f>IF(AD$3&lt;$I6,0,$G6*Assumptions!$E$11*INDEX(Assumptions!$B$24:$G$24,MIN(6,AD$3-$I6+1))*IF(AD$3&gt;$J6,(1-Assumptions!$B$26)^(AD$3-$J6),1)*IF($H6&gt;=1,1,MIN(0.97,$H6*Assumptions!$E$12)))</f>
        <v>159.75</v>
      </c>
      <c r="AE6" s="23">
        <f>IF(AE$3&lt;$I6,0,$G6*Assumptions!$E$11*INDEX(Assumptions!$B$24:$G$24,MIN(6,AE$3-$I6+1))*IF(AE$3&gt;$J6,(1-Assumptions!$B$26)^(AE$3-$J6),1)*IF($H6&gt;=1,1,MIN(0.97,$H6*Assumptions!$E$12)))</f>
        <v>159.75</v>
      </c>
      <c r="AF6" s="23">
        <f>IF(AF$3&lt;$I6,0,$G6*Assumptions!$E$11*INDEX(Assumptions!$B$24:$G$24,MIN(6,AF$3-$I6+1))*IF(AF$3&gt;$J6,(1-Assumptions!$B$26)^(AF$3-$J6),1)*IF($H6&gt;=1,1,MIN(0.97,$H6*Assumptions!$E$12)))</f>
        <v>159.75</v>
      </c>
      <c r="AG6" s="35">
        <f>IF(F6="Owned",1-IF(H6&gt;=1,1,MIN(0.97,H6*Assumptions!$E$12)),1)</f>
        <v>0.8935</v>
      </c>
    </row>
    <row r="7">
      <c r="A7" s="39" t="n">
        <v>4</v>
      </c>
      <c r="B7" s="14" t="inlineStr">
        <is>
          <t>Kidney cancer</t>
        </is>
      </c>
      <c r="C7" s="14" t="inlineStr">
        <is>
          <t>ADI-270, Fludarabine</t>
        </is>
      </c>
      <c r="D7" s="14" t="inlineStr">
        <is>
          <t>Phase 1/2</t>
        </is>
      </c>
      <c r="E7" s="14" t="inlineStr">
        <is>
          <t>Oncology / area</t>
        </is>
      </c>
      <c r="F7" s="14" t="inlineStr">
        <is>
          <t>Owned</t>
        </is>
      </c>
      <c r="G7" s="40" t="n">
        <v>1500</v>
      </c>
      <c r="H7" s="27" t="n">
        <v>0.07539999999999999</v>
      </c>
      <c r="I7" s="26" t="n">
        <v>2032</v>
      </c>
      <c r="J7" s="39">
        <f>I7+Assumptions!$B$25</f>
        <v>2044.0</v>
      </c>
      <c r="K7" s="53">
        <f>Assumptions!$E$13</f>
        <v>0.4</v>
      </c>
      <c r="L7" s="23">
        <f>K7*SUMPRODUCT(M7:AF7,NPV!$C$15:$V$15)</f>
        <v>113.54812869523724</v>
      </c>
      <c r="M7" s="23">
        <f>IF(M$3&lt;$I7,0,$G7*Assumptions!$E$11*INDEX(Assumptions!$B$24:$G$24,MIN(6,M$3-$I7+1))*IF(M$3&gt;$J7,(1-Assumptions!$B$26)^(M$3-$J7),1)*IF($H7&gt;=1,1,MIN(0.97,$H7*Assumptions!$E$12)))</f>
        <v>0</v>
      </c>
      <c r="N7" s="23">
        <f>IF(N$3&lt;$I7,0,$G7*Assumptions!$E$11*INDEX(Assumptions!$B$24:$G$24,MIN(6,N$3-$I7+1))*IF(N$3&gt;$J7,(1-Assumptions!$B$26)^(N$3-$J7),1)*IF($H7&gt;=1,1,MIN(0.97,$H7*Assumptions!$E$12)))</f>
        <v>0</v>
      </c>
      <c r="O7" s="23">
        <f>IF(O$3&lt;$I7,0,$G7*Assumptions!$E$11*INDEX(Assumptions!$B$24:$G$24,MIN(6,O$3-$I7+1))*IF(O$3&gt;$J7,(1-Assumptions!$B$26)^(O$3-$J7),1)*IF($H7&gt;=1,1,MIN(0.97,$H7*Assumptions!$E$12)))</f>
        <v>0</v>
      </c>
      <c r="P7" s="23">
        <f>IF(P$3&lt;$I7,0,$G7*Assumptions!$E$11*INDEX(Assumptions!$B$24:$G$24,MIN(6,P$3-$I7+1))*IF(P$3&gt;$J7,(1-Assumptions!$B$26)^(P$3-$J7),1)*IF($H7&gt;=1,1,MIN(0.97,$H7*Assumptions!$E$12)))</f>
        <v>0</v>
      </c>
      <c r="Q7" s="23">
        <f>IF(Q$3&lt;$I7,0,$G7*Assumptions!$E$11*INDEX(Assumptions!$B$24:$G$24,MIN(6,Q$3-$I7+1))*IF(Q$3&gt;$J7,(1-Assumptions!$B$26)^(Q$3-$J7),1)*IF($H7&gt;=1,1,MIN(0.97,$H7*Assumptions!$E$12)))</f>
        <v>0</v>
      </c>
      <c r="R7" s="23">
        <f>IF(R$3&lt;$I7,0,$G7*Assumptions!$E$11*INDEX(Assumptions!$B$24:$G$24,MIN(6,R$3-$I7+1))*IF(R$3&gt;$J7,(1-Assumptions!$B$26)^(R$3-$J7),1)*IF($H7&gt;=1,1,MIN(0.97,$H7*Assumptions!$E$12)))</f>
        <v>0</v>
      </c>
      <c r="S7" s="23">
        <f>IF(S$3&lt;$I7,0,$G7*Assumptions!$E$11*INDEX(Assumptions!$B$24:$G$24,MIN(6,S$3-$I7+1))*IF(S$3&gt;$J7,(1-Assumptions!$B$26)^(S$3-$J7),1)*IF($H7&gt;=1,1,MIN(0.97,$H7*Assumptions!$E$12)))</f>
        <v>11.309999999999999</v>
      </c>
      <c r="T7" s="23">
        <f>IF(T$3&lt;$I7,0,$G7*Assumptions!$E$11*INDEX(Assumptions!$B$24:$G$24,MIN(6,T$3-$I7+1))*IF(T$3&gt;$J7,(1-Assumptions!$B$26)^(T$3-$J7),1)*IF($H7&gt;=1,1,MIN(0.97,$H7*Assumptions!$E$12)))</f>
        <v>28.275</v>
      </c>
      <c r="U7" s="23">
        <f>IF(U$3&lt;$I7,0,$G7*Assumptions!$E$11*INDEX(Assumptions!$B$24:$G$24,MIN(6,U$3-$I7+1))*IF(U$3&gt;$J7,(1-Assumptions!$B$26)^(U$3-$J7),1)*IF($H7&gt;=1,1,MIN(0.97,$H7*Assumptions!$E$12)))</f>
        <v>50.894999999999996</v>
      </c>
      <c r="V7" s="23">
        <f>IF(V$3&lt;$I7,0,$G7*Assumptions!$E$11*INDEX(Assumptions!$B$24:$G$24,MIN(6,V$3-$I7+1))*IF(V$3&gt;$J7,(1-Assumptions!$B$26)^(V$3-$J7),1)*IF($H7&gt;=1,1,MIN(0.97,$H7*Assumptions!$E$12)))</f>
        <v>73.515</v>
      </c>
      <c r="W7" s="23">
        <f>IF(W$3&lt;$I7,0,$G7*Assumptions!$E$11*INDEX(Assumptions!$B$24:$G$24,MIN(6,W$3-$I7+1))*IF(W$3&gt;$J7,(1-Assumptions!$B$26)^(W$3-$J7),1)*IF($H7&gt;=1,1,MIN(0.97,$H7*Assumptions!$E$12)))</f>
        <v>96.13499999999999</v>
      </c>
      <c r="X7" s="23">
        <f>IF(X$3&lt;$I7,0,$G7*Assumptions!$E$11*INDEX(Assumptions!$B$24:$G$24,MIN(6,X$3-$I7+1))*IF(X$3&gt;$J7,(1-Assumptions!$B$26)^(X$3-$J7),1)*IF($H7&gt;=1,1,MIN(0.97,$H7*Assumptions!$E$12)))</f>
        <v>113.1</v>
      </c>
      <c r="Y7" s="23">
        <f>IF(Y$3&lt;$I7,0,$G7*Assumptions!$E$11*INDEX(Assumptions!$B$24:$G$24,MIN(6,Y$3-$I7+1))*IF(Y$3&gt;$J7,(1-Assumptions!$B$26)^(Y$3-$J7),1)*IF($H7&gt;=1,1,MIN(0.97,$H7*Assumptions!$E$12)))</f>
        <v>113.1</v>
      </c>
      <c r="Z7" s="23">
        <f>IF(Z$3&lt;$I7,0,$G7*Assumptions!$E$11*INDEX(Assumptions!$B$24:$G$24,MIN(6,Z$3-$I7+1))*IF(Z$3&gt;$J7,(1-Assumptions!$B$26)^(Z$3-$J7),1)*IF($H7&gt;=1,1,MIN(0.97,$H7*Assumptions!$E$12)))</f>
        <v>113.1</v>
      </c>
      <c r="AA7" s="23">
        <f>IF(AA$3&lt;$I7,0,$G7*Assumptions!$E$11*INDEX(Assumptions!$B$24:$G$24,MIN(6,AA$3-$I7+1))*IF(AA$3&gt;$J7,(1-Assumptions!$B$26)^(AA$3-$J7),1)*IF($H7&gt;=1,1,MIN(0.97,$H7*Assumptions!$E$12)))</f>
        <v>113.1</v>
      </c>
      <c r="AB7" s="23">
        <f>IF(AB$3&lt;$I7,0,$G7*Assumptions!$E$11*INDEX(Assumptions!$B$24:$G$24,MIN(6,AB$3-$I7+1))*IF(AB$3&gt;$J7,(1-Assumptions!$B$26)^(AB$3-$J7),1)*IF($H7&gt;=1,1,MIN(0.97,$H7*Assumptions!$E$12)))</f>
        <v>113.1</v>
      </c>
      <c r="AC7" s="23">
        <f>IF(AC$3&lt;$I7,0,$G7*Assumptions!$E$11*INDEX(Assumptions!$B$24:$G$24,MIN(6,AC$3-$I7+1))*IF(AC$3&gt;$J7,(1-Assumptions!$B$26)^(AC$3-$J7),1)*IF($H7&gt;=1,1,MIN(0.97,$H7*Assumptions!$E$12)))</f>
        <v>113.1</v>
      </c>
      <c r="AD7" s="23">
        <f>IF(AD$3&lt;$I7,0,$G7*Assumptions!$E$11*INDEX(Assumptions!$B$24:$G$24,MIN(6,AD$3-$I7+1))*IF(AD$3&gt;$J7,(1-Assumptions!$B$26)^(AD$3-$J7),1)*IF($H7&gt;=1,1,MIN(0.97,$H7*Assumptions!$E$12)))</f>
        <v>113.1</v>
      </c>
      <c r="AE7" s="23">
        <f>IF(AE$3&lt;$I7,0,$G7*Assumptions!$E$11*INDEX(Assumptions!$B$24:$G$24,MIN(6,AE$3-$I7+1))*IF(AE$3&gt;$J7,(1-Assumptions!$B$26)^(AE$3-$J7),1)*IF($H7&gt;=1,1,MIN(0.97,$H7*Assumptions!$E$12)))</f>
        <v>113.1</v>
      </c>
      <c r="AF7" s="23">
        <f>IF(AF$3&lt;$I7,0,$G7*Assumptions!$E$11*INDEX(Assumptions!$B$24:$G$24,MIN(6,AF$3-$I7+1))*IF(AF$3&gt;$J7,(1-Assumptions!$B$26)^(AF$3-$J7),1)*IF($H7&gt;=1,1,MIN(0.97,$H7*Assumptions!$E$12)))</f>
        <v>56.55</v>
      </c>
      <c r="AG7" s="35">
        <f>IF(F7="Owned",1-IF(H7&gt;=1,1,MIN(0.97,H7*Assumptions!$E$12)),1)</f>
        <v>0.9246</v>
      </c>
    </row>
    <row r="8">
      <c r="B8" s="24" t="inlineStr">
        <is>
          <t>Risked revenue</t>
        </is>
      </c>
      <c r="L8" s="54">
        <f>SUM(L4:L7)</f>
        <v>629.2014237367528</v>
      </c>
      <c r="M8" s="54">
        <f>SUM(M4:M7)</f>
        <v>0.0</v>
      </c>
      <c r="N8" s="54">
        <f>SUM(N4:N7)</f>
        <v>0.0</v>
      </c>
      <c r="O8" s="54">
        <f>SUM(O4:O7)</f>
        <v>0.0</v>
      </c>
      <c r="P8" s="54">
        <f>SUM(P4:P7)</f>
        <v>0.0</v>
      </c>
      <c r="Q8" s="54">
        <f>SUM(Q4:Q7)</f>
        <v>0.0</v>
      </c>
      <c r="R8" s="54">
        <f>SUM(R4:R7)</f>
        <v>0.0</v>
      </c>
      <c r="S8" s="54">
        <f>SUM(S4:S7)</f>
        <v>30.159999999999997</v>
      </c>
      <c r="T8" s="54">
        <f>SUM(T4:T7)</f>
        <v>112.67499999999998</v>
      </c>
      <c r="U8" s="54">
        <f>SUM(U4:U7)</f>
        <v>228.90749999999997</v>
      </c>
      <c r="V8" s="54">
        <f>SUM(V4:V7)</f>
        <v>363.7775</v>
      </c>
      <c r="W8" s="54">
        <f>SUM(W4:W7)</f>
        <v>498.6474999999999</v>
      </c>
      <c r="X8" s="54">
        <f>SUM(X4:X7)</f>
        <v>618.4375</v>
      </c>
      <c r="Y8" s="54">
        <f>SUM(Y4:Y7)</f>
        <v>674.35</v>
      </c>
      <c r="Z8" s="54">
        <f>SUM(Z4:Z7)</f>
        <v>674.35</v>
      </c>
      <c r="AA8" s="54">
        <f>SUM(AA4:AA7)</f>
        <v>674.35</v>
      </c>
      <c r="AB8" s="54">
        <f>SUM(AB4:AB7)</f>
        <v>674.35</v>
      </c>
      <c r="AC8" s="54">
        <f>SUM(AC4:AC7)</f>
        <v>674.35</v>
      </c>
      <c r="AD8" s="54">
        <f>SUM(AD4:AD7)</f>
        <v>674.35</v>
      </c>
      <c r="AE8" s="54">
        <f>SUM(AE4:AE7)</f>
        <v>674.35</v>
      </c>
      <c r="AF8" s="54">
        <f>SUM(AF4:AF7)</f>
        <v>523.55</v>
      </c>
    </row>
    <row r="9">
      <c r="B9" s="24" t="inlineStr">
        <is>
          <t>Risked contribution (revenue x share)</t>
        </is>
      </c>
      <c r="M9" s="55">
        <f>SUMPRODUCT(M4:M7,$K$4:$K$7)</f>
        <v>0.0</v>
      </c>
      <c r="N9" s="55">
        <f>SUMPRODUCT(N4:N7,$K$4:$K$7)</f>
        <v>0.0</v>
      </c>
      <c r="O9" s="55">
        <f>SUMPRODUCT(O4:O7,$K$4:$K$7)</f>
        <v>0.0</v>
      </c>
      <c r="P9" s="55">
        <f>SUMPRODUCT(P4:P7,$K$4:$K$7)</f>
        <v>0.0</v>
      </c>
      <c r="Q9" s="55">
        <f>SUMPRODUCT(Q4:Q7,$K$4:$K$7)</f>
        <v>0.0</v>
      </c>
      <c r="R9" s="55">
        <f>SUMPRODUCT(R4:R7,$K$4:$K$7)</f>
        <v>0.0</v>
      </c>
      <c r="S9" s="55">
        <f>SUMPRODUCT(S4:S7,$K$4:$K$7)</f>
        <v>12.064</v>
      </c>
      <c r="T9" s="55">
        <f>SUMPRODUCT(T4:T7,$K$4:$K$7)</f>
        <v>45.07000000000001</v>
      </c>
      <c r="U9" s="55">
        <f>SUMPRODUCT(U4:U7,$K$4:$K$7)</f>
        <v>91.56300000000002</v>
      </c>
      <c r="V9" s="55">
        <f>SUMPRODUCT(V4:V7,$K$4:$K$7)</f>
        <v>145.511</v>
      </c>
      <c r="W9" s="55">
        <f>SUMPRODUCT(W4:W7,$K$4:$K$7)</f>
        <v>199.459</v>
      </c>
      <c r="X9" s="55">
        <f>SUMPRODUCT(X4:X7,$K$4:$K$7)</f>
        <v>247.375</v>
      </c>
      <c r="Y9" s="55">
        <f>SUMPRODUCT(Y4:Y7,$K$4:$K$7)</f>
        <v>269.74</v>
      </c>
      <c r="Z9" s="55">
        <f>SUMPRODUCT(Z4:Z7,$K$4:$K$7)</f>
        <v>269.74</v>
      </c>
      <c r="AA9" s="55">
        <f>SUMPRODUCT(AA4:AA7,$K$4:$K$7)</f>
        <v>269.74</v>
      </c>
      <c r="AB9" s="55">
        <f>SUMPRODUCT(AB4:AB7,$K$4:$K$7)</f>
        <v>269.74</v>
      </c>
      <c r="AC9" s="55">
        <f>SUMPRODUCT(AC4:AC7,$K$4:$K$7)</f>
        <v>269.74</v>
      </c>
      <c r="AD9" s="55">
        <f>SUMPRODUCT(AD4:AD7,$K$4:$K$7)</f>
        <v>269.74</v>
      </c>
      <c r="AE9" s="55">
        <f>SUMPRODUCT(AE4:AE7,$K$4:$K$7)</f>
        <v>269.74</v>
      </c>
      <c r="AF9" s="55">
        <f>SUMPRODUCT(AF4:AF7,$K$4:$K$7)</f>
        <v>209.42000000000002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ADICET Bio,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Pipeline!M8</f>
        <v>0.0</v>
      </c>
      <c r="D4" s="57">
        <f>Pipeline!N8</f>
        <v>0.0</v>
      </c>
      <c r="E4" s="57">
        <f>Pipeline!O8</f>
        <v>0.0</v>
      </c>
      <c r="F4" s="57">
        <f>Pipeline!P8</f>
        <v>0.0</v>
      </c>
      <c r="G4" s="57">
        <f>Pipeline!Q8</f>
        <v>0.0</v>
      </c>
      <c r="H4" s="57">
        <f>Pipeline!R8</f>
        <v>0.0</v>
      </c>
      <c r="I4" s="57">
        <f>Pipeline!S8</f>
        <v>30.159999999999997</v>
      </c>
      <c r="J4" s="57">
        <f>Pipeline!T8</f>
        <v>112.67499999999998</v>
      </c>
      <c r="K4" s="57">
        <f>Pipeline!U8</f>
        <v>228.90749999999997</v>
      </c>
      <c r="L4" s="57">
        <f>Pipeline!V8</f>
        <v>363.7775</v>
      </c>
      <c r="M4" s="57">
        <f>Pipeline!W8</f>
        <v>498.6474999999999</v>
      </c>
      <c r="N4" s="57">
        <f>Pipeline!X8</f>
        <v>618.4375</v>
      </c>
      <c r="O4" s="57">
        <f>Pipeline!Y8</f>
        <v>674.35</v>
      </c>
      <c r="P4" s="57">
        <f>Pipeline!Z8</f>
        <v>674.35</v>
      </c>
      <c r="Q4" s="57">
        <f>Pipeline!AA8</f>
        <v>674.35</v>
      </c>
      <c r="R4" s="57">
        <f>Pipeline!AB8</f>
        <v>674.35</v>
      </c>
      <c r="S4" s="57">
        <f>Pipeline!AC8</f>
        <v>674.35</v>
      </c>
      <c r="T4" s="57">
        <f>Pipeline!AD8</f>
        <v>674.35</v>
      </c>
      <c r="U4" s="57">
        <f>Pipeline!AE8</f>
        <v>674.35</v>
      </c>
      <c r="V4" s="57">
        <f>Pipeline!AF8</f>
        <v>523.55</v>
      </c>
    </row>
    <row r="5">
      <c r="A5" s="14" t="inlineStr">
        <is>
          <t>Risked contribution</t>
        </is>
      </c>
      <c r="C5" s="57">
        <f>Pipeline!M9</f>
        <v>0.0</v>
      </c>
      <c r="D5" s="57">
        <f>Pipeline!N9</f>
        <v>0.0</v>
      </c>
      <c r="E5" s="57">
        <f>Pipeline!O9</f>
        <v>0.0</v>
      </c>
      <c r="F5" s="57">
        <f>Pipeline!P9</f>
        <v>0.0</v>
      </c>
      <c r="G5" s="57">
        <f>Pipeline!Q9</f>
        <v>0.0</v>
      </c>
      <c r="H5" s="57">
        <f>Pipeline!R9</f>
        <v>0.0</v>
      </c>
      <c r="I5" s="57">
        <f>Pipeline!S9</f>
        <v>12.064</v>
      </c>
      <c r="J5" s="57">
        <f>Pipeline!T9</f>
        <v>45.07000000000001</v>
      </c>
      <c r="K5" s="57">
        <f>Pipeline!U9</f>
        <v>91.56300000000002</v>
      </c>
      <c r="L5" s="57">
        <f>Pipeline!V9</f>
        <v>145.511</v>
      </c>
      <c r="M5" s="57">
        <f>Pipeline!W9</f>
        <v>199.459</v>
      </c>
      <c r="N5" s="57">
        <f>Pipeline!X9</f>
        <v>247.375</v>
      </c>
      <c r="O5" s="57">
        <f>Pipeline!Y9</f>
        <v>269.74</v>
      </c>
      <c r="P5" s="57">
        <f>Pipeline!Z9</f>
        <v>269.74</v>
      </c>
      <c r="Q5" s="57">
        <f>Pipeline!AA9</f>
        <v>269.74</v>
      </c>
      <c r="R5" s="57">
        <f>Pipeline!AB9</f>
        <v>269.74</v>
      </c>
      <c r="S5" s="57">
        <f>Pipeline!AC9</f>
        <v>269.74</v>
      </c>
      <c r="T5" s="57">
        <f>Pipeline!AD9</f>
        <v>269.74</v>
      </c>
      <c r="U5" s="57">
        <f>Pipeline!AE9</f>
        <v>269.74</v>
      </c>
      <c r="V5" s="57">
        <f>Pipeline!AF9</f>
        <v>209.42000000000002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-103.708</v>
      </c>
      <c r="D6" s="23">
        <f>-IF(D3-2026&lt;Assumptions!$B$19,Assumptions!$B$18,Assumptions!$B$18*Assumptions!$B$20*Assumptions!$B$16)</f>
        <v>-103.708</v>
      </c>
      <c r="E6" s="23">
        <f>-IF(E3-2026&lt;Assumptions!$B$19,Assumptions!$B$18,Assumptions!$B$18*Assumptions!$B$20*Assumptions!$B$16)</f>
        <v>-103.708</v>
      </c>
      <c r="F6" s="23">
        <f>-IF(F3-2026&lt;Assumptions!$B$19,Assumptions!$B$18,Assumptions!$B$18*Assumptions!$B$20*Assumptions!$B$16)</f>
        <v>-103.708</v>
      </c>
      <c r="G6" s="23">
        <f>-IF(G3-2026&lt;Assumptions!$B$19,Assumptions!$B$18,Assumptions!$B$18*Assumptions!$B$20*Assumptions!$B$16)</f>
        <v>-9.878468812198728</v>
      </c>
      <c r="H6" s="23">
        <f>-IF(H3-2026&lt;Assumptions!$B$19,Assumptions!$B$18,Assumptions!$B$18*Assumptions!$B$20*Assumptions!$B$16)</f>
        <v>-9.878468812198728</v>
      </c>
      <c r="I6" s="23">
        <f>-IF(I3-2026&lt;Assumptions!$B$19,Assumptions!$B$18,Assumptions!$B$18*Assumptions!$B$20*Assumptions!$B$16)</f>
        <v>-9.878468812198728</v>
      </c>
      <c r="J6" s="23">
        <f>-IF(J3-2026&lt;Assumptions!$B$19,Assumptions!$B$18,Assumptions!$B$18*Assumptions!$B$20*Assumptions!$B$16)</f>
        <v>-9.878468812198728</v>
      </c>
      <c r="K6" s="23">
        <f>-IF(K3-2026&lt;Assumptions!$B$19,Assumptions!$B$18,Assumptions!$B$18*Assumptions!$B$20*Assumptions!$B$16)</f>
        <v>-9.878468812198728</v>
      </c>
      <c r="L6" s="23">
        <f>-IF(L3-2026&lt;Assumptions!$B$19,Assumptions!$B$18,Assumptions!$B$18*Assumptions!$B$20*Assumptions!$B$16)</f>
        <v>-9.878468812198728</v>
      </c>
      <c r="M6" s="23">
        <f>-IF(M3-2026&lt;Assumptions!$B$19,Assumptions!$B$18,Assumptions!$B$18*Assumptions!$B$20*Assumptions!$B$16)</f>
        <v>-9.878468812198728</v>
      </c>
      <c r="N6" s="23">
        <f>-IF(N3-2026&lt;Assumptions!$B$19,Assumptions!$B$18,Assumptions!$B$18*Assumptions!$B$20*Assumptions!$B$16)</f>
        <v>-9.878468812198728</v>
      </c>
      <c r="O6" s="23">
        <f>-IF(O3-2026&lt;Assumptions!$B$19,Assumptions!$B$18,Assumptions!$B$18*Assumptions!$B$20*Assumptions!$B$16)</f>
        <v>-9.878468812198728</v>
      </c>
      <c r="P6" s="23">
        <f>-IF(P3-2026&lt;Assumptions!$B$19,Assumptions!$B$18,Assumptions!$B$18*Assumptions!$B$20*Assumptions!$B$16)</f>
        <v>-9.878468812198728</v>
      </c>
      <c r="Q6" s="23">
        <f>-IF(Q3-2026&lt;Assumptions!$B$19,Assumptions!$B$18,Assumptions!$B$18*Assumptions!$B$20*Assumptions!$B$16)</f>
        <v>-9.878468812198728</v>
      </c>
      <c r="R6" s="23">
        <f>-IF(R3-2026&lt;Assumptions!$B$19,Assumptions!$B$18,Assumptions!$B$18*Assumptions!$B$20*Assumptions!$B$16)</f>
        <v>-9.878468812198728</v>
      </c>
      <c r="S6" s="23">
        <f>-IF(S3-2026&lt;Assumptions!$B$19,Assumptions!$B$18,Assumptions!$B$18*Assumptions!$B$20*Assumptions!$B$16)</f>
        <v>-9.878468812198728</v>
      </c>
      <c r="T6" s="23">
        <f>-IF(T3-2026&lt;Assumptions!$B$19,Assumptions!$B$18,Assumptions!$B$18*Assumptions!$B$20*Assumptions!$B$16)</f>
        <v>-9.878468812198728</v>
      </c>
      <c r="U6" s="23">
        <f>-IF(U3-2026&lt;Assumptions!$B$19,Assumptions!$B$18,Assumptions!$B$18*Assumptions!$B$20*Assumptions!$B$16)</f>
        <v>-9.878468812198728</v>
      </c>
      <c r="V6" s="23">
        <f>-IF(V3-2026&lt;Assumptions!$B$19,Assumptions!$B$18,Assumptions!$B$18*Assumptions!$B$20*Assumptions!$B$16)</f>
        <v>-9.878468812198728</v>
      </c>
    </row>
    <row r="7">
      <c r="A7" s="14" t="inlineStr">
        <is>
          <t>Pre-tax cash flow</t>
        </is>
      </c>
      <c r="C7" s="23">
        <f>C5+C6</f>
        <v>-103.708</v>
      </c>
      <c r="D7" s="23">
        <f>D5+D6</f>
        <v>-103.708</v>
      </c>
      <c r="E7" s="23">
        <f>E5+E6</f>
        <v>-103.708</v>
      </c>
      <c r="F7" s="23">
        <f>F5+F6</f>
        <v>-103.708</v>
      </c>
      <c r="G7" s="23">
        <f>G5+G6</f>
        <v>-9.878468812198728</v>
      </c>
      <c r="H7" s="23">
        <f>H5+H6</f>
        <v>-9.878468812198728</v>
      </c>
      <c r="I7" s="23">
        <f>I5+I6</f>
        <v>2.1855311878012724</v>
      </c>
      <c r="J7" s="23">
        <f>J5+J6</f>
        <v>35.19153118780128</v>
      </c>
      <c r="K7" s="23">
        <f>K5+K6</f>
        <v>81.68453118780128</v>
      </c>
      <c r="L7" s="23">
        <f>L5+L6</f>
        <v>135.63253118780128</v>
      </c>
      <c r="M7" s="23">
        <f>M5+M6</f>
        <v>189.58053118780128</v>
      </c>
      <c r="N7" s="23">
        <f>N5+N6</f>
        <v>237.49653118780128</v>
      </c>
      <c r="O7" s="23">
        <f>O5+O6</f>
        <v>259.8615311878013</v>
      </c>
      <c r="P7" s="23">
        <f>P5+P6</f>
        <v>259.8615311878013</v>
      </c>
      <c r="Q7" s="23">
        <f>Q5+Q6</f>
        <v>259.8615311878013</v>
      </c>
      <c r="R7" s="23">
        <f>R5+R6</f>
        <v>259.8615311878013</v>
      </c>
      <c r="S7" s="23">
        <f>S5+S6</f>
        <v>259.8615311878013</v>
      </c>
      <c r="T7" s="23">
        <f>T5+T6</f>
        <v>259.8615311878013</v>
      </c>
      <c r="U7" s="23">
        <f>U5+U6</f>
        <v>259.8615311878013</v>
      </c>
      <c r="V7" s="23">
        <f>V5+V6</f>
        <v>199.5415311878013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2.1855311878012724</v>
      </c>
      <c r="J8" s="23">
        <f>MIN(I17,MAX(0,J7))</f>
        <v>35.19153118780128</v>
      </c>
      <c r="K8" s="23">
        <f>MIN(J17,MAX(0,K7))</f>
        <v>81.68453118780128</v>
      </c>
      <c r="L8" s="23">
        <f>MIN(K17,MAX(0,L7))</f>
        <v>135.63253118780128</v>
      </c>
      <c r="M8" s="23">
        <f>MIN(L17,MAX(0,M7))</f>
        <v>189.58053118780128</v>
      </c>
      <c r="N8" s="23">
        <f>MIN(M17,MAX(0,N7))</f>
        <v>237.49653118780128</v>
      </c>
      <c r="O8" s="23">
        <f>MIN(N17,MAX(0,O7))</f>
        <v>259.8615311878013</v>
      </c>
      <c r="P8" s="23">
        <f>MIN(O17,MAX(0,P7))</f>
        <v>109.25621930978821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150.60531187801308</v>
      </c>
      <c r="Q9" s="23">
        <f>MAX(0,Q7)-Q8</f>
        <v>259.8615311878013</v>
      </c>
      <c r="R9" s="23">
        <f>MAX(0,R7)-R8</f>
        <v>259.8615311878013</v>
      </c>
      <c r="S9" s="23">
        <f>MAX(0,S7)-S8</f>
        <v>259.8615311878013</v>
      </c>
      <c r="T9" s="23">
        <f>MAX(0,T7)-T8</f>
        <v>259.8615311878013</v>
      </c>
      <c r="U9" s="23">
        <f>MAX(0,U7)-U8</f>
        <v>259.8615311878013</v>
      </c>
      <c r="V9" s="23">
        <f>MAX(0,V7)-V8</f>
        <v>199.5415311878013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31.627115494382746</v>
      </c>
      <c r="Q10" s="23">
        <f>Q9*Assumptions!$E$15</f>
        <v>54.57092154943827</v>
      </c>
      <c r="R10" s="23">
        <f>R9*Assumptions!$E$15</f>
        <v>54.57092154943827</v>
      </c>
      <c r="S10" s="23">
        <f>S9*Assumptions!$E$15</f>
        <v>54.57092154943827</v>
      </c>
      <c r="T10" s="23">
        <f>T9*Assumptions!$E$15</f>
        <v>54.57092154943827</v>
      </c>
      <c r="U10" s="23">
        <f>U9*Assumptions!$E$15</f>
        <v>54.57092154943827</v>
      </c>
      <c r="V10" s="23">
        <f>V9*Assumptions!$E$15</f>
        <v>41.90372154943827</v>
      </c>
    </row>
    <row r="11">
      <c r="A11" s="24" t="inlineStr">
        <is>
          <t>Free cash flow</t>
        </is>
      </c>
      <c r="C11" s="55">
        <f>C7-C10</f>
        <v>-103.708</v>
      </c>
      <c r="D11" s="55">
        <f>D7-D10</f>
        <v>-103.708</v>
      </c>
      <c r="E11" s="55">
        <f>E7-E10</f>
        <v>-103.708</v>
      </c>
      <c r="F11" s="55">
        <f>F7-F10</f>
        <v>-103.708</v>
      </c>
      <c r="G11" s="55">
        <f>G7-G10</f>
        <v>-9.878468812198728</v>
      </c>
      <c r="H11" s="55">
        <f>H7-H10</f>
        <v>-9.878468812198728</v>
      </c>
      <c r="I11" s="55">
        <f>I7-I10</f>
        <v>2.1855311878012724</v>
      </c>
      <c r="J11" s="55">
        <f>J7-J10</f>
        <v>35.19153118780128</v>
      </c>
      <c r="K11" s="55">
        <f>K7-K10</f>
        <v>81.68453118780128</v>
      </c>
      <c r="L11" s="55">
        <f>L7-L10</f>
        <v>135.63253118780128</v>
      </c>
      <c r="M11" s="55">
        <f>M7-M10</f>
        <v>189.58053118780128</v>
      </c>
      <c r="N11" s="55">
        <f>N7-N10</f>
        <v>237.49653118780128</v>
      </c>
      <c r="O11" s="55">
        <f>O7-O10</f>
        <v>259.8615311878013</v>
      </c>
      <c r="P11" s="55">
        <f>P7-P10</f>
        <v>228.23441569341855</v>
      </c>
      <c r="Q11" s="55">
        <f>Q7-Q10</f>
        <v>205.29060963836304</v>
      </c>
      <c r="R11" s="55">
        <f>R7-R10</f>
        <v>205.29060963836304</v>
      </c>
      <c r="S11" s="55">
        <f>S7-S10</f>
        <v>205.29060963836304</v>
      </c>
      <c r="T11" s="55">
        <f>T7-T10</f>
        <v>205.29060963836304</v>
      </c>
      <c r="U11" s="55">
        <f>U7-U10</f>
        <v>205.29060963836304</v>
      </c>
      <c r="V11" s="55">
        <f>V7-V10</f>
        <v>157.63780963836302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-50.807000227612484</v>
      </c>
      <c r="D16" s="55">
        <f>D11*D15</f>
        <v>-92.55341385633683</v>
      </c>
      <c r="E16" s="55">
        <f>E11*E15</f>
        <v>-82.63697665744358</v>
      </c>
      <c r="F16" s="55">
        <f>F11*F15</f>
        <v>-73.78301487271749</v>
      </c>
      <c r="G16" s="55">
        <f>G11*G15</f>
        <v>-6.275029162322978</v>
      </c>
      <c r="H16" s="55">
        <f>H11*H15</f>
        <v>-5.602704609216945</v>
      </c>
      <c r="I16" s="55">
        <f>I11*I15</f>
        <v>1.1067437507153186</v>
      </c>
      <c r="J16" s="55">
        <f>J11*J15</f>
        <v>15.91146657650499</v>
      </c>
      <c r="K16" s="55">
        <f>K11*K15</f>
        <v>32.975686497965285</v>
      </c>
      <c r="L16" s="55">
        <f>L11*L15</f>
        <v>48.88772961505135</v>
      </c>
      <c r="M16" s="55">
        <f>M11*M15</f>
        <v>61.01150178551478</v>
      </c>
      <c r="N16" s="55">
        <f>N11*N15</f>
        <v>68.24286127261398</v>
      </c>
      <c r="O16" s="55">
        <f>O11*O15</f>
        <v>66.66899788210254</v>
      </c>
      <c r="P16" s="55">
        <f>P11*P15</f>
        <v>52.28113942526524</v>
      </c>
      <c r="Q16" s="55">
        <f>Q11*Q15</f>
        <v>41.98701237791853</v>
      </c>
      <c r="R16" s="55">
        <f>R11*R15</f>
        <v>37.48840390885584</v>
      </c>
      <c r="S16" s="55">
        <f>S11*S15</f>
        <v>33.47178920433556</v>
      </c>
      <c r="T16" s="55">
        <f>T11*T15</f>
        <v>29.885526075299605</v>
      </c>
      <c r="U16" s="55">
        <f>U11*U15</f>
        <v>26.683505424374648</v>
      </c>
      <c r="V16" s="55">
        <f>V11*V15</f>
        <v>18.294315607995234</v>
      </c>
    </row>
    <row r="17">
      <c r="A17" s="14" t="inlineStr">
        <is>
          <t>Tax-loss carryforward, end of year</t>
        </is>
      </c>
      <c r="C17" s="23">
        <f>Assumptions!$B$21-C8+MAX(0,-C7)</f>
        <v>720.0079999999999</v>
      </c>
      <c r="D17" s="23">
        <f>C17-D8+MAX(0,-D7)</f>
        <v>823.7159999999999</v>
      </c>
      <c r="E17" s="23">
        <f>D17-E8+MAX(0,-E7)</f>
        <v>927.4239999999999</v>
      </c>
      <c r="F17" s="23">
        <f>E17-F8+MAX(0,-F7)</f>
        <v>1031.1319999999998</v>
      </c>
      <c r="G17" s="23">
        <f>F17-G8+MAX(0,-G7)</f>
        <v>1041.0104688121985</v>
      </c>
      <c r="H17" s="23">
        <f>G17-H8+MAX(0,-H7)</f>
        <v>1050.8889376243972</v>
      </c>
      <c r="I17" s="23">
        <f>H17-I8+MAX(0,-I7)</f>
        <v>1048.703406436596</v>
      </c>
      <c r="J17" s="23">
        <f>I17-J8+MAX(0,-J7)</f>
        <v>1013.5118752487947</v>
      </c>
      <c r="K17" s="23">
        <f>J17-K8+MAX(0,-K7)</f>
        <v>931.8273440609934</v>
      </c>
      <c r="L17" s="23">
        <f>K17-L8+MAX(0,-L7)</f>
        <v>796.1948128731921</v>
      </c>
      <c r="M17" s="23">
        <f>L17-M8+MAX(0,-M7)</f>
        <v>606.6142816853908</v>
      </c>
      <c r="N17" s="23">
        <f>M17-N8+MAX(0,-N7)</f>
        <v>369.1177504975895</v>
      </c>
      <c r="O17" s="23">
        <f>N17-O8+MAX(0,-O7)</f>
        <v>109.25621930978821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629.2014237367528</v>
      </c>
    </row>
    <row r="20">
      <c r="A20" s="14" t="inlineStr">
        <is>
          <t>PV of corporate burn</t>
        </is>
      </c>
      <c r="B20" s="23">
        <f>SUMPRODUCT(C6:V6,C15:V15)</f>
        <v>-348.79380806845626</v>
      </c>
    </row>
    <row r="21">
      <c r="A21" s="14" t="inlineStr">
        <is>
          <t>PV of taxes</t>
        </is>
      </c>
      <c r="B21" s="23">
        <f>-SUMPRODUCT(C10:V10,C15:V15)</f>
        <v>-57.16907564943404</v>
      </c>
    </row>
    <row r="22">
      <c r="A22" s="24" t="inlineStr">
        <is>
          <t>Pipeline rNPV (operations)</t>
        </is>
      </c>
      <c r="B22" s="54">
        <f>SUM(C16:V16)</f>
        <v>223.2385400188626</v>
      </c>
    </row>
    <row r="23">
      <c r="A23" s="14" t="inlineStr">
        <is>
          <t>Cash &amp; investments</t>
        </is>
      </c>
      <c r="B23" s="57">
        <f>Main!C7</f>
        <v>118.19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341.4285400188626</v>
      </c>
    </row>
    <row r="26">
      <c r="A26" s="14" t="inlineStr">
        <is>
          <t>Shares (mm)</t>
        </is>
      </c>
      <c r="B26" s="57">
        <f>Main!C4</f>
        <v>9.36149</v>
      </c>
    </row>
    <row r="27">
      <c r="A27" s="24" t="inlineStr">
        <is>
          <t>rNPV / share</t>
        </is>
      </c>
      <c r="B27" s="60">
        <f>B25/B26</f>
        <v>36.47160227900287</v>
      </c>
    </row>
    <row r="28">
      <c r="A28" s="14" t="inlineStr">
        <is>
          <t>Price</t>
        </is>
      </c>
      <c r="B28" s="61">
        <f>Main!C3</f>
        <v>4.52</v>
      </c>
    </row>
    <row r="29">
      <c r="A29" s="14" t="inlineStr">
        <is>
          <t>Upside</t>
        </is>
      </c>
      <c r="B29" s="62">
        <f>B27/B28-1</f>
        <v>7.0689385573015215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2026-10-21T06:29:29Z</dcterms:modified>
  <cp:lastModifiedBy>Wang, Eric</cp:lastModifiedBy>
</cp:coreProperties>
</file>