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ADICET Bio, Inc.</t>
        </is>
      </c>
      <c r="C2" s="10" t="n"/>
    </row>
    <row r="3">
      <c r="B3" t="inlineStr">
        <is>
          <t>Price</t>
        </is>
      </c>
      <c r="C3" s="11">
        <f>INDEX([1]Pharma!$F$1:$F$1000,MATCH("ACET",[1]Pharma!$B$1:$B$1000,0))</f>
        <v>4.52</v>
      </c>
      <c r="F3" s="1" t="n"/>
    </row>
    <row r="4">
      <c r="B4" t="inlineStr">
        <is>
          <t>Shares</t>
        </is>
      </c>
      <c r="C4" s="21" t="n">
        <v>9.36149</v>
      </c>
      <c r="F4" s="1" t="n"/>
    </row>
    <row r="5">
      <c r="B5" t="inlineStr">
        <is>
          <t>Market Cap.</t>
        </is>
      </c>
      <c r="C5" s="13">
        <f>C3*C4</f>
        <v>42.3139348</v>
      </c>
      <c r="F5" s="1" t="n"/>
    </row>
    <row r="6"/>
    <row r="7">
      <c r="B7" t="inlineStr">
        <is>
          <t>Cash</t>
        </is>
      </c>
      <c r="C7" s="21">
        <f>33.131+85.059</f>
        <v>118.19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-75.8760652</v>
      </c>
    </row>
    <row r="10"/>
    <row r="11">
      <c r="B11" s="14" t="inlineStr">
        <is>
          <t>Net Cash / Share</t>
        </is>
      </c>
      <c r="C11" s="11">
        <f>(C7-C8)/C4</f>
        <v>12.625126982990956</v>
      </c>
    </row>
    <row r="12">
      <c r="B12" s="14" t="inlineStr">
        <is>
          <t>Upside</t>
        </is>
      </c>
      <c r="C12" s="15">
        <f>IFERROR(C11/C3-1,"")</f>
        <v>1.793169686502424</v>
      </c>
    </row>
    <row r="13">
      <c r="B13" s="14" t="inlineStr">
        <is>
          <t>Cash / Share</t>
        </is>
      </c>
      <c r="C13" s="11">
        <f>IFERROR((C7-C8)/C4,"")</f>
        <v>12.625126982990956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-84.529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1.398218362928699</v>
      </c>
    </row>
    <row r="19">
      <c r="B19" s="14" t="inlineStr">
        <is>
          <t>Implied Pipeline Value</t>
        </is>
      </c>
      <c r="C19" s="13">
        <f>C9</f>
        <v>-75.8760652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1" t="n"/>
    </row>
    <row r="5">
      <c r="A5" s="2" t="inlineStr">
        <is>
          <t>Research &amp; Dev.</t>
        </is>
      </c>
      <c r="B5" s="23" t="n">
        <v>16.839</v>
      </c>
      <c r="C5" s="23" t="n">
        <v>14.717</v>
      </c>
      <c r="D5" s="23" t="n">
        <v>23.691</v>
      </c>
      <c r="E5" s="23" t="n">
        <v>34.334</v>
      </c>
      <c r="F5" s="23" t="n">
        <v>48.943</v>
      </c>
      <c r="G5" s="23" t="n">
        <v>71.246</v>
      </c>
      <c r="H5" s="23" t="n">
        <v>106.043</v>
      </c>
      <c r="I5" s="23" t="n">
        <v>99.32299999999999</v>
      </c>
      <c r="J5" s="23" t="n">
        <v>99.127</v>
      </c>
      <c r="K5" s="1" t="n"/>
    </row>
    <row r="6">
      <c r="A6" s="19" t="inlineStr">
        <is>
          <t>SG&amp;A &amp; Other</t>
        </is>
      </c>
      <c r="B6" s="23" t="n">
        <v>2.043</v>
      </c>
      <c r="C6" s="23" t="n">
        <v>0.247</v>
      </c>
      <c r="D6" s="23" t="n">
        <v>7.697</v>
      </c>
      <c r="E6" s="23" t="n">
        <v>4.857</v>
      </c>
      <c r="F6" s="23" t="n">
        <v>12.49</v>
      </c>
      <c r="G6" s="23" t="n">
        <v>1.305</v>
      </c>
      <c r="H6" s="23" t="n">
        <v>45.995</v>
      </c>
      <c r="I6" s="23" t="n">
        <v>28.292</v>
      </c>
      <c r="J6" s="23" t="n">
        <v>22.987</v>
      </c>
      <c r="K6" s="1" t="n"/>
    </row>
    <row r="7">
      <c r="A7" s="2" t="inlineStr">
        <is>
          <t>Operating Expense</t>
        </is>
      </c>
      <c r="B7" s="23">
        <f>SUM(B5:B6)</f>
        <v>18.881999999999998</v>
      </c>
      <c r="C7" s="23">
        <f>SUM(C5:C6)</f>
        <v>14.964</v>
      </c>
      <c r="D7" s="23">
        <f>SUM(D5:D6)</f>
        <v>31.387999999999998</v>
      </c>
      <c r="E7" s="23">
        <f>SUM(E5:E6)</f>
        <v>39.191</v>
      </c>
      <c r="F7" s="23">
        <f>SUM(F5:F6)</f>
        <v>61.433</v>
      </c>
      <c r="G7" s="23">
        <f>SUM(G5:G6)</f>
        <v>72.551</v>
      </c>
      <c r="H7" s="23">
        <f>SUM(H5:H6)</f>
        <v>152.038</v>
      </c>
      <c r="I7" s="23">
        <f>SUM(I5:I6)</f>
        <v>127.615</v>
      </c>
      <c r="J7" s="23">
        <f>SUM(J5:J6)</f>
        <v>122.11399999999999</v>
      </c>
      <c r="K7" s="1" t="n"/>
    </row>
    <row r="8">
      <c r="A8" s="2" t="inlineStr">
        <is>
          <t>Operating Income</t>
        </is>
      </c>
      <c r="B8" s="23">
        <f>B4-B7</f>
        <v>-18.881999999999998</v>
      </c>
      <c r="C8" s="23">
        <f>C4-C7</f>
        <v>-14.964</v>
      </c>
      <c r="D8" s="23">
        <f>D4-D7</f>
        <v>-31.387999999999998</v>
      </c>
      <c r="E8" s="23">
        <f>E4-E7</f>
        <v>-39.191</v>
      </c>
      <c r="F8" s="23">
        <f>F4-F7</f>
        <v>-61.433</v>
      </c>
      <c r="G8" s="23">
        <f>G4-G7</f>
        <v>-72.551</v>
      </c>
      <c r="H8" s="23">
        <f>H4-H7</f>
        <v>-152.038</v>
      </c>
      <c r="I8" s="23">
        <f>I4-I7</f>
        <v>-127.615</v>
      </c>
      <c r="J8" s="23">
        <f>J4-J7</f>
        <v>-122.11399999999999</v>
      </c>
      <c r="K8" s="1" t="n"/>
    </row>
    <row r="9">
      <c r="A9" s="19" t="inlineStr">
        <is>
          <t>Interest &amp; Other</t>
        </is>
      </c>
      <c r="B9" s="23" t="n">
        <v>-14.896</v>
      </c>
      <c r="C9" s="23" t="n">
        <v>5.076</v>
      </c>
      <c r="D9" s="23" t="n">
        <v>3.269</v>
      </c>
      <c r="E9" s="23" t="n">
        <v>-0.302</v>
      </c>
      <c r="F9" s="23" t="n">
        <v>-0.6909999999999999</v>
      </c>
      <c r="G9" s="23" t="n">
        <v>2.761</v>
      </c>
      <c r="H9" s="23" t="n">
        <v>9.380000000000001</v>
      </c>
      <c r="I9" s="23" t="n">
        <v>10.493</v>
      </c>
      <c r="J9" s="23" t="n">
        <v>5.311</v>
      </c>
    </row>
    <row r="10">
      <c r="A10" s="2" t="inlineStr">
        <is>
          <t>Pretax</t>
        </is>
      </c>
      <c r="B10" s="23">
        <f>B8+B9</f>
        <v>-33.778</v>
      </c>
      <c r="C10" s="23">
        <f>C8+C9</f>
        <v>-9.888000000000002</v>
      </c>
      <c r="D10" s="23">
        <f>D8+D9</f>
        <v>-28.119</v>
      </c>
      <c r="E10" s="23">
        <f>E8+E9</f>
        <v>-39.493</v>
      </c>
      <c r="F10" s="23">
        <f>F8+F9</f>
        <v>-62.124</v>
      </c>
      <c r="G10" s="23">
        <f>G8+G9</f>
        <v>-69.79</v>
      </c>
      <c r="H10" s="23">
        <f>H8+H9</f>
        <v>-142.65800000000002</v>
      </c>
      <c r="I10" s="23">
        <f>I8+I9</f>
        <v>-117.122</v>
      </c>
      <c r="J10" s="23">
        <f>J8+J9</f>
        <v>-116.803</v>
      </c>
      <c r="K10" s="1" t="n"/>
    </row>
    <row r="11">
      <c r="A11" s="2" t="inlineStr">
        <is>
          <t>Taxes</t>
        </is>
      </c>
      <c r="B11" s="23" t="n">
        <v>0</v>
      </c>
      <c r="C11" s="23" t="n">
        <v>-0.589</v>
      </c>
      <c r="D11" s="23" t="n">
        <v>0.019</v>
      </c>
      <c r="E11" s="23" t="n">
        <v>-2.815</v>
      </c>
      <c r="F11" s="23" t="n">
        <v>-0.125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-33.778</v>
      </c>
      <c r="C12" s="23" t="n">
        <v>-9.298999999999999</v>
      </c>
      <c r="D12" s="23" t="n">
        <v>-28.138</v>
      </c>
      <c r="E12" s="23" t="n">
        <v>-36.678</v>
      </c>
      <c r="F12" s="23" t="n">
        <v>-61.999</v>
      </c>
      <c r="G12" s="23" t="n">
        <v>-69.79000000000001</v>
      </c>
      <c r="H12" s="23" t="n">
        <v>-142.658</v>
      </c>
      <c r="I12" s="23" t="n">
        <v>-117.122</v>
      </c>
      <c r="J12" s="23" t="n">
        <v>-116.803</v>
      </c>
      <c r="K12" s="1" t="n"/>
    </row>
    <row r="13">
      <c r="A13" s="2" t="inlineStr">
        <is>
          <t>Earnings per Share</t>
        </is>
      </c>
      <c r="B13" s="11">
        <f>IFERROR(B12/B14,0)</f>
        <v>-8.423441396508728</v>
      </c>
      <c r="C13" s="11">
        <f>IFERROR(C12/C14,0)</f>
        <v>-4.776065742167437</v>
      </c>
      <c r="D13" s="11">
        <f>IFERROR(D12/D14,0)</f>
        <v>-13.154745208041144</v>
      </c>
      <c r="E13" s="11">
        <f>IFERROR(E12/E14,0)</f>
        <v>-5.0106557377049175</v>
      </c>
      <c r="F13" s="11">
        <f>IFERROR(F12/F14,0)</f>
        <v>-2.0030692685448437</v>
      </c>
      <c r="G13" s="11">
        <f>IFERROR(G12/G14,0)</f>
        <v>-1.6988802336903606</v>
      </c>
      <c r="H13" s="11">
        <f>IFERROR(H12/H14,0)</f>
        <v>-3.314390595232563</v>
      </c>
      <c r="I13" s="11">
        <f>IFERROR(I12/I14,0)</f>
        <v>-21.325928623452295</v>
      </c>
      <c r="J13" s="11">
        <f>IFERROR(J12/J14,0)</f>
        <v>-16.950079814250472</v>
      </c>
    </row>
    <row r="14">
      <c r="A14" s="2" t="inlineStr">
        <is>
          <t>Shares</t>
        </is>
      </c>
      <c r="B14" s="23" t="n">
        <v>4.01</v>
      </c>
      <c r="C14" s="23" t="n">
        <v>1.947</v>
      </c>
      <c r="D14" s="23" t="n">
        <v>2.139</v>
      </c>
      <c r="E14" s="23" t="n">
        <v>7.32</v>
      </c>
      <c r="F14" s="23" t="n">
        <v>30.952</v>
      </c>
      <c r="G14" s="23" t="n">
        <v>41.08</v>
      </c>
      <c r="H14" s="23" t="n">
        <v>43.042</v>
      </c>
      <c r="I14" s="23" t="n">
        <v>5.492</v>
      </c>
      <c r="J14" s="23" t="n">
        <v>6.891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2026-10-21T01:06:15Z</dcterms:modified>
  <cp:lastModifiedBy>Wang, Eric</cp:lastModifiedBy>
</cp:coreProperties>
</file>