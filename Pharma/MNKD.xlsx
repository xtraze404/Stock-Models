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MannKind Corporation</t>
        </is>
      </c>
      <c r="C2" s="10" t="n"/>
    </row>
    <row r="3">
      <c r="B3" t="inlineStr">
        <is>
          <t>Price</t>
        </is>
      </c>
      <c r="C3" s="11">
        <f>INDEX([1]Pharma!$F$1:$F$1000,MATCH("MNKD",[1]Pharma!$B$1:$B$1000,0))</f>
        <v>3.1</v>
      </c>
      <c r="F3" s="1" t="n"/>
    </row>
    <row r="4">
      <c r="B4" t="inlineStr">
        <is>
          <t>Shares</t>
        </is>
      </c>
      <c r="C4" s="51" t="n">
        <v>321.540637</v>
      </c>
      <c r="F4" s="1" t="n"/>
    </row>
    <row r="5">
      <c r="B5" t="inlineStr">
        <is>
          <t>Market Cap.</t>
        </is>
      </c>
      <c r="C5" s="13">
        <f>C3*C4</f>
        <v>996.7759747</v>
      </c>
      <c r="F5" s="1" t="n"/>
    </row>
    <row r="6"/>
    <row r="7">
      <c r="B7" t="inlineStr">
        <is>
          <t>Cash</t>
        </is>
      </c>
      <c r="C7" s="51">
        <f>52.929+58.201</f>
        <v>111.13</v>
      </c>
    </row>
    <row r="8">
      <c r="B8" t="inlineStr">
        <is>
          <t>Debt</t>
        </is>
      </c>
      <c r="C8" s="51" t="n">
        <v>319.085</v>
      </c>
    </row>
    <row r="9">
      <c r="B9" t="inlineStr">
        <is>
          <t>Enterprise V.</t>
        </is>
      </c>
      <c r="C9" s="13">
        <f>C5-C7+C8</f>
        <v>1204.7309747</v>
      </c>
    </row>
    <row r="10"/>
    <row r="11">
      <c r="B11" s="14" t="inlineStr">
        <is>
          <t>NPV / Share</t>
        </is>
      </c>
      <c r="C11" s="11">
        <f>NPV!B28</f>
        <v>2.9962755255740356</v>
      </c>
    </row>
    <row r="12">
      <c r="B12" s="14" t="inlineStr">
        <is>
          <t>Upside</t>
        </is>
      </c>
      <c r="C12" s="15">
        <f>IFERROR(C11/C3-1,"")</f>
        <v>-0.033459507879343375</v>
      </c>
    </row>
    <row r="13">
      <c r="B13" s="14" t="inlineStr">
        <is>
          <t>Cash / Share</t>
        </is>
      </c>
      <c r="C13" s="11">
        <f>IFERROR((C7-C8)/C4,"")</f>
        <v>-0.6467456242552632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  <col width="11" customWidth="1" style="9" min="40" max="40"/>
    <col width="11" customWidth="1" style="9" min="41" max="41"/>
    <col width="11" customWidth="1" style="9" min="42" max="42"/>
    <col width="11" customWidth="1" style="9" min="43" max="43"/>
    <col width="11" customWidth="1" style="9" min="44" max="44"/>
    <col width="11" customWidth="1" style="9" min="45" max="45"/>
  </cols>
  <sheetData>
    <row r="1" customFormat="1" s="6">
      <c r="A1" s="7" t="n"/>
      <c r="B1" s="16" t="n">
        <v>1992</v>
      </c>
      <c r="C1" s="16" t="n">
        <v>1993</v>
      </c>
      <c r="D1" s="16" t="n">
        <v>1994</v>
      </c>
      <c r="E1" s="16" t="n">
        <v>1995</v>
      </c>
      <c r="F1" s="16" t="n">
        <v>1996</v>
      </c>
      <c r="G1" s="16" t="n">
        <v>1997</v>
      </c>
      <c r="H1" s="16" t="n">
        <v>1998</v>
      </c>
      <c r="I1" s="16" t="n">
        <v>1999</v>
      </c>
      <c r="J1" s="16" t="n">
        <v>2000</v>
      </c>
      <c r="K1" s="16" t="n">
        <v>2001</v>
      </c>
      <c r="L1" s="16" t="n">
        <v>2002</v>
      </c>
      <c r="M1" s="16" t="n">
        <v>2003</v>
      </c>
      <c r="N1" s="16" t="n">
        <v>2004</v>
      </c>
      <c r="O1" s="16" t="n">
        <v>2005</v>
      </c>
      <c r="P1" s="16" t="n">
        <v>2006</v>
      </c>
      <c r="Q1" s="16" t="n">
        <v>2007</v>
      </c>
      <c r="R1" s="16" t="n">
        <v>2008</v>
      </c>
      <c r="S1" s="16" t="n">
        <v>2009</v>
      </c>
      <c r="T1" s="16" t="n">
        <v>2010</v>
      </c>
      <c r="U1" s="16" t="n">
        <v>2011</v>
      </c>
      <c r="V1" s="16" t="n">
        <v>2012</v>
      </c>
      <c r="W1" s="16" t="n">
        <v>2013</v>
      </c>
      <c r="X1" s="16" t="n">
        <v>2014</v>
      </c>
      <c r="Y1" s="16" t="n">
        <v>2015</v>
      </c>
      <c r="Z1" s="16" t="n">
        <v>2016</v>
      </c>
      <c r="AA1" s="16" t="n">
        <v>2017</v>
      </c>
      <c r="AB1" s="16" t="n">
        <v>2018</v>
      </c>
      <c r="AC1" s="16" t="n">
        <v>2019</v>
      </c>
      <c r="AD1" s="16" t="n">
        <v>2020</v>
      </c>
      <c r="AE1" s="16" t="n">
        <v>2021</v>
      </c>
      <c r="AF1" s="16" t="n">
        <v>2022</v>
      </c>
      <c r="AG1" s="16" t="n">
        <v>2023</v>
      </c>
      <c r="AH1" s="16" t="n">
        <v>2024</v>
      </c>
      <c r="AI1" s="16" t="n">
        <v>2025</v>
      </c>
      <c r="AJ1" s="16" t="n">
        <v>2026</v>
      </c>
      <c r="AK1" s="17" t="n">
        <v>2027</v>
      </c>
      <c r="AL1" s="17" t="n">
        <v>2028</v>
      </c>
      <c r="AM1" s="17" t="n">
        <v>2029</v>
      </c>
      <c r="AN1" s="17" t="n">
        <v>2030</v>
      </c>
      <c r="AO1" s="17" t="n">
        <v>2031</v>
      </c>
      <c r="AP1" s="17" t="n">
        <v>2032</v>
      </c>
      <c r="AQ1" s="17" t="n">
        <v>2033</v>
      </c>
      <c r="AR1" s="17" t="n">
        <v>2034</v>
      </c>
      <c r="AS1" s="17" t="n">
        <v>2035</v>
      </c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</v>
      </c>
      <c r="K2" s="52" t="n">
        <v>0</v>
      </c>
      <c r="L2" s="52" t="n">
        <v>0</v>
      </c>
      <c r="M2" s="52" t="n">
        <v>0</v>
      </c>
      <c r="N2" s="52" t="n">
        <v>0</v>
      </c>
      <c r="O2" s="52" t="n">
        <v>0</v>
      </c>
      <c r="P2" s="52" t="n">
        <v>0</v>
      </c>
      <c r="Q2" s="52" t="n">
        <v>0</v>
      </c>
      <c r="R2" s="52" t="n">
        <v>0</v>
      </c>
      <c r="S2" s="52" t="n">
        <v>0</v>
      </c>
      <c r="T2" s="52" t="n">
        <v>0.093</v>
      </c>
      <c r="U2" s="52" t="n">
        <v>0.05</v>
      </c>
      <c r="V2" s="52" t="n">
        <v>0.035</v>
      </c>
      <c r="W2" s="52" t="n">
        <v>0</v>
      </c>
      <c r="X2" s="52" t="n">
        <v>0</v>
      </c>
      <c r="Y2" s="52" t="n">
        <v>0</v>
      </c>
      <c r="Z2" s="52" t="n">
        <v>174.758</v>
      </c>
      <c r="AA2" s="52" t="n">
        <v>11.745</v>
      </c>
      <c r="AB2" s="52" t="n">
        <v>27.859</v>
      </c>
      <c r="AC2" s="52" t="n">
        <v>63.038</v>
      </c>
      <c r="AD2" s="52" t="n">
        <v>65.14400000000001</v>
      </c>
      <c r="AE2" s="52" t="n">
        <v>75.44199999999999</v>
      </c>
      <c r="AF2" s="52" t="n">
        <v>99.77</v>
      </c>
      <c r="AG2" s="52" t="n">
        <v>198.962</v>
      </c>
      <c r="AH2" s="52" t="n">
        <v>285.504</v>
      </c>
      <c r="AI2" s="52" t="n">
        <v>348.966</v>
      </c>
      <c r="AJ2" s="52">
        <f>AI2*(1+NPV!C5)</f>
        <v>449.6077944</v>
      </c>
      <c r="AK2" s="52">
        <f>AJ2*(1+NPV!D5)</f>
        <v>566.11616085552</v>
      </c>
      <c r="AL2" s="52">
        <f>AK2*(1+NPV!E5)</f>
        <v>696.2473956975089</v>
      </c>
      <c r="AM2" s="52">
        <f>AL2*(1+NPV!F5)</f>
        <v>835.9146232744292</v>
      </c>
      <c r="AN2" s="52">
        <f>AM2*(1+NPV!G5)</f>
        <v>979.1346620621148</v>
      </c>
      <c r="AO2" s="52">
        <f>AN2*(1+NPV!H5)</f>
        <v>1118.2370597190725</v>
      </c>
      <c r="AP2" s="52">
        <f>AO2*(1+NPV!I5)</f>
        <v>1244.3742000553839</v>
      </c>
      <c r="AQ2" s="52">
        <f>AP2*(1+NPV!J5)</f>
        <v>1348.3209249000104</v>
      </c>
      <c r="AR2" s="52">
        <f>AQ2*(1+NPV!K5)</f>
        <v>1421.489807091251</v>
      </c>
      <c r="AS2" s="52">
        <f>AR2*(1+NPV!L5)</f>
        <v>1457.027052268532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 t="n">
        <v>0</v>
      </c>
      <c r="T3" s="52" t="n">
        <v>0</v>
      </c>
      <c r="U3" s="52" t="n">
        <v>0</v>
      </c>
      <c r="V3" s="52" t="n">
        <v>0</v>
      </c>
      <c r="W3" s="52" t="n">
        <v>0</v>
      </c>
      <c r="X3" s="52" t="n">
        <v>0</v>
      </c>
      <c r="Y3" s="52" t="n">
        <v>64.745</v>
      </c>
      <c r="Z3" s="52" t="n">
        <v>17.121</v>
      </c>
      <c r="AA3" s="52" t="n">
        <v>17.228</v>
      </c>
      <c r="AB3" s="52" t="n">
        <v>19.392</v>
      </c>
      <c r="AC3" s="52" t="n">
        <v>20.078</v>
      </c>
      <c r="AD3" s="52" t="n">
        <v>15.084</v>
      </c>
      <c r="AE3" s="52" t="n">
        <v>16.833</v>
      </c>
      <c r="AF3" s="52" t="n">
        <v>16.003</v>
      </c>
      <c r="AG3" s="52" t="n">
        <v>20.863</v>
      </c>
      <c r="AH3" s="52" t="n">
        <v>17.429</v>
      </c>
      <c r="AI3" s="52" t="n">
        <v>26.8</v>
      </c>
      <c r="AJ3" s="52">
        <f>AJ2*(1-Assumptions!$B$19)</f>
        <v>34.52987860991999</v>
      </c>
      <c r="AK3" s="52">
        <f>AK2*(1-Assumptions!$B$19)</f>
        <v>43.477721153703925</v>
      </c>
      <c r="AL3" s="52">
        <f>AL2*(1-Assumptions!$B$19)</f>
        <v>53.471799989568666</v>
      </c>
      <c r="AM3" s="52">
        <f>AM2*(1-Assumptions!$B$19)</f>
        <v>64.19824306747614</v>
      </c>
      <c r="AN3" s="52">
        <f>AN2*(1-Assumptions!$B$19)</f>
        <v>75.1975420463704</v>
      </c>
      <c r="AO3" s="52">
        <f>AO2*(1-Assumptions!$B$19)</f>
        <v>85.88060618642474</v>
      </c>
      <c r="AP3" s="52">
        <f>AP2*(1-Assumptions!$B$19)</f>
        <v>95.56793856425345</v>
      </c>
      <c r="AQ3" s="52">
        <f>AQ2*(1-Assumptions!$B$19)</f>
        <v>103.55104703232077</v>
      </c>
      <c r="AR3" s="52">
        <f>AR2*(1-Assumptions!$B$19)</f>
        <v>109.17041718460804</v>
      </c>
      <c r="AS3" s="52">
        <f>AS2*(1-Assumptions!$B$19)</f>
        <v>111.89967761422324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0.0</v>
      </c>
      <c r="L4" s="52">
        <f>L2-L3</f>
        <v>0.0</v>
      </c>
      <c r="M4" s="52">
        <f>M2-M3</f>
        <v>0.0</v>
      </c>
      <c r="N4" s="52">
        <f>N2-N3</f>
        <v>0.0</v>
      </c>
      <c r="O4" s="52">
        <f>O2-O3</f>
        <v>0.0</v>
      </c>
      <c r="P4" s="52">
        <f>P2-P3</f>
        <v>0.0</v>
      </c>
      <c r="Q4" s="52">
        <f>Q2-Q3</f>
        <v>0.0</v>
      </c>
      <c r="R4" s="52">
        <f>R2-R3</f>
        <v>0.0</v>
      </c>
      <c r="S4" s="52">
        <f>S2-S3</f>
        <v>0.0</v>
      </c>
      <c r="T4" s="52">
        <f>T2-T3</f>
        <v>0.093</v>
      </c>
      <c r="U4" s="52">
        <f>U2-U3</f>
        <v>0.05</v>
      </c>
      <c r="V4" s="52">
        <f>V2-V3</f>
        <v>0.035</v>
      </c>
      <c r="W4" s="52">
        <f>W2-W3</f>
        <v>0.0</v>
      </c>
      <c r="X4" s="52">
        <f>X2-X3</f>
        <v>0.0</v>
      </c>
      <c r="Y4" s="52">
        <f>Y2-Y3</f>
        <v>-64.745</v>
      </c>
      <c r="Z4" s="52">
        <f>Z2-Z3</f>
        <v>157.637</v>
      </c>
      <c r="AA4" s="52">
        <f>AA2-AA3</f>
        <v>-5.483000000000002</v>
      </c>
      <c r="AB4" s="52">
        <f>AB2-AB3</f>
        <v>8.467000000000002</v>
      </c>
      <c r="AC4" s="52">
        <f>AC2-AC3</f>
        <v>42.959999999999994</v>
      </c>
      <c r="AD4" s="52">
        <f>AD2-AD3</f>
        <v>50.06</v>
      </c>
      <c r="AE4" s="52">
        <f>AE2-AE3</f>
        <v>58.608999999999995</v>
      </c>
      <c r="AF4" s="52">
        <f>AF2-AF3</f>
        <v>83.767</v>
      </c>
      <c r="AG4" s="52">
        <f>AG2-AG3</f>
        <v>178.099</v>
      </c>
      <c r="AH4" s="52">
        <f>AH2-AH3</f>
        <v>268.07500000000005</v>
      </c>
      <c r="AI4" s="52">
        <f>AI2-AI3</f>
        <v>322.166</v>
      </c>
      <c r="AJ4" s="52">
        <f>AJ2-AJ3</f>
        <v>415.07791579008</v>
      </c>
      <c r="AK4" s="52">
        <f>AK2-AK3</f>
        <v>522.6384397018161</v>
      </c>
      <c r="AL4" s="52">
        <f>AL2-AL3</f>
        <v>642.7755957079402</v>
      </c>
      <c r="AM4" s="52">
        <f>AM2-AM3</f>
        <v>771.7163802069531</v>
      </c>
      <c r="AN4" s="52">
        <f>AN2-AN3</f>
        <v>903.9371200157444</v>
      </c>
      <c r="AO4" s="52">
        <f>AO2-AO3</f>
        <v>1032.3564535326477</v>
      </c>
      <c r="AP4" s="52">
        <f>AP2-AP3</f>
        <v>1148.8062614911305</v>
      </c>
      <c r="AQ4" s="52">
        <f>AQ2-AQ3</f>
        <v>1244.7698778676895</v>
      </c>
      <c r="AR4" s="52">
        <f>AR2-AR3</f>
        <v>1312.3193899066428</v>
      </c>
      <c r="AS4" s="52">
        <f>AS2-AS3</f>
        <v>1345.1273746543088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156.331</v>
      </c>
      <c r="T5" s="52" t="n">
        <v>112.279</v>
      </c>
      <c r="U5" s="52" t="n">
        <v>99.959</v>
      </c>
      <c r="V5" s="52" t="n">
        <v>101.522</v>
      </c>
      <c r="W5" s="52" t="n">
        <v>109.719</v>
      </c>
      <c r="X5" s="52" t="n">
        <v>100.244</v>
      </c>
      <c r="Y5" s="52" t="n">
        <v>29.674</v>
      </c>
      <c r="Z5" s="52" t="n">
        <v>14.917</v>
      </c>
      <c r="AA5" s="52" t="n">
        <v>14.118</v>
      </c>
      <c r="AB5" s="52" t="n">
        <v>8.737</v>
      </c>
      <c r="AC5" s="52" t="n">
        <v>6.9</v>
      </c>
      <c r="AD5" s="52" t="n">
        <v>6.248</v>
      </c>
      <c r="AE5" s="52" t="n">
        <v>12.312</v>
      </c>
      <c r="AF5" s="52" t="n">
        <v>19.721</v>
      </c>
      <c r="AG5" s="52" t="n">
        <v>31.283</v>
      </c>
      <c r="AH5" s="52" t="n">
        <v>45.893</v>
      </c>
      <c r="AI5" s="52" t="n">
        <v>66.348</v>
      </c>
      <c r="AJ5" s="52">
        <f>AJ7*Assumptions!$B$20</f>
        <v>92.85751711056716</v>
      </c>
      <c r="AK5" s="52">
        <f>AK7*Assumptions!$B$20</f>
        <v>114.57822893764705</v>
      </c>
      <c r="AL5" s="52">
        <f>AL7*Assumptions!$B$20</f>
        <v>138.0358844201838</v>
      </c>
      <c r="AM5" s="52">
        <f>AM7*Assumptions!$B$20</f>
        <v>162.26808270771076</v>
      </c>
      <c r="AN5" s="52">
        <f>AN7*Assumptions!$B$20</f>
        <v>186.01977766268283</v>
      </c>
      <c r="AO5" s="52">
        <f>AO7*Assumptions!$B$20</f>
        <v>207.82134725462487</v>
      </c>
      <c r="AP5" s="52">
        <f>AP7*Assumptions!$B$20</f>
        <v>226.11618286083007</v>
      </c>
      <c r="AQ5" s="52">
        <f>AQ7*Assumptions!$B$20</f>
        <v>239.42702845887234</v>
      </c>
      <c r="AR5" s="52">
        <f>AR7*Assumptions!$B$20</f>
        <v>246.53987580618661</v>
      </c>
      <c r="AS5" s="52">
        <f>AS7*Assumptions!$B$20</f>
        <v>246.67631181936102</v>
      </c>
    </row>
    <row r="6">
      <c r="A6" s="19" t="inlineStr">
        <is>
          <t>SG&amp;A &amp; Other</t>
        </is>
      </c>
      <c r="B6" s="52" t="n">
        <v>0.911</v>
      </c>
      <c r="C6" s="52" t="n">
        <v>1.175</v>
      </c>
      <c r="D6" s="52" t="n">
        <v>1.156</v>
      </c>
      <c r="E6" s="52" t="n">
        <v>2.815</v>
      </c>
      <c r="F6" s="52" t="n">
        <v>2.57</v>
      </c>
      <c r="G6" s="52" t="n">
        <v>2.28</v>
      </c>
      <c r="H6" s="52" t="n">
        <v>3.331</v>
      </c>
      <c r="I6" s="52" t="n">
        <v>5.679</v>
      </c>
      <c r="J6" s="52" t="n">
        <v>24.661</v>
      </c>
      <c r="K6" s="52" t="n">
        <v>48.245</v>
      </c>
      <c r="L6" s="52" t="n">
        <v>206.265</v>
      </c>
      <c r="M6" s="52" t="n">
        <v>65.879</v>
      </c>
      <c r="N6" s="52" t="n">
        <v>75.992</v>
      </c>
      <c r="O6" s="52" t="n">
        <v>114.338</v>
      </c>
      <c r="P6" s="52" t="n">
        <v>230.548</v>
      </c>
      <c r="Q6" s="52" t="n">
        <v>293.19</v>
      </c>
      <c r="R6" s="52" t="n">
        <v>303.039</v>
      </c>
      <c r="S6" s="52" t="n">
        <v>53.447</v>
      </c>
      <c r="T6" s="52" t="n">
        <v>40.312</v>
      </c>
      <c r="U6" s="52" t="n">
        <v>40.63</v>
      </c>
      <c r="V6" s="52" t="n">
        <v>45.473</v>
      </c>
      <c r="W6" s="52" t="n">
        <v>59.682</v>
      </c>
      <c r="X6" s="52" t="n">
        <v>79.383</v>
      </c>
      <c r="Y6" s="52" t="n">
        <v>250.236</v>
      </c>
      <c r="Z6" s="52" t="n">
        <v>75.45999999999999</v>
      </c>
      <c r="AA6" s="52" t="n">
        <v>88.58799999999999</v>
      </c>
      <c r="AB6" s="52" t="n">
        <v>76.325</v>
      </c>
      <c r="AC6" s="52" t="n">
        <v>80.657</v>
      </c>
      <c r="AD6" s="52" t="n">
        <v>91.72499999999999</v>
      </c>
      <c r="AE6" s="52" t="n">
        <v>93.319</v>
      </c>
      <c r="AF6" s="52" t="n">
        <v>128.156</v>
      </c>
      <c r="AG6" s="52" t="n">
        <v>138.138</v>
      </c>
      <c r="AH6" s="52" t="n">
        <v>149.595</v>
      </c>
      <c r="AI6" s="52" t="n">
        <v>217.017</v>
      </c>
      <c r="AJ6" s="52">
        <f>AJ7-AJ5</f>
        <v>303.7999673429448</v>
      </c>
      <c r="AK6" s="52">
        <f>AK7-AK5</f>
        <v>374.86315909160135</v>
      </c>
      <c r="AL6" s="52">
        <f>AL7-AL5</f>
        <v>451.6090725220794</v>
      </c>
      <c r="AM6" s="52">
        <f>AM7-AM5</f>
        <v>530.8890412039115</v>
      </c>
      <c r="AN6" s="52">
        <f>AN7-AN5</f>
        <v>608.5969573338265</v>
      </c>
      <c r="AO6" s="52">
        <f>AO7-AO5</f>
        <v>679.9246897151525</v>
      </c>
      <c r="AP6" s="52">
        <f>AP7-AP5</f>
        <v>739.7795149641595</v>
      </c>
      <c r="AQ6" s="52">
        <f>AQ7-AQ5</f>
        <v>783.3283259147814</v>
      </c>
      <c r="AR6" s="52">
        <f>AR7-AR5</f>
        <v>806.5992775735084</v>
      </c>
      <c r="AS6" s="52">
        <f>AS7-AS5</f>
        <v>807.0456523812413</v>
      </c>
    </row>
    <row r="7">
      <c r="A7" s="2" t="inlineStr">
        <is>
          <t>Operating Expense</t>
        </is>
      </c>
      <c r="B7" s="52">
        <f>SUM(B5:B6)</f>
        <v>0.911</v>
      </c>
      <c r="C7" s="52">
        <f>SUM(C5:C6)</f>
        <v>1.175</v>
      </c>
      <c r="D7" s="52">
        <f>SUM(D5:D6)</f>
        <v>1.156</v>
      </c>
      <c r="E7" s="52">
        <f>SUM(E5:E6)</f>
        <v>2.815</v>
      </c>
      <c r="F7" s="52">
        <f>SUM(F5:F6)</f>
        <v>2.57</v>
      </c>
      <c r="G7" s="52">
        <f>SUM(G5:G6)</f>
        <v>2.28</v>
      </c>
      <c r="H7" s="52">
        <f>SUM(H5:H6)</f>
        <v>3.331</v>
      </c>
      <c r="I7" s="52">
        <f>SUM(I5:I6)</f>
        <v>5.679</v>
      </c>
      <c r="J7" s="52">
        <f>SUM(J5:J6)</f>
        <v>24.661</v>
      </c>
      <c r="K7" s="52">
        <f>SUM(K5:K6)</f>
        <v>48.245</v>
      </c>
      <c r="L7" s="52">
        <f>SUM(L5:L6)</f>
        <v>206.265</v>
      </c>
      <c r="M7" s="52">
        <f>SUM(M5:M6)</f>
        <v>65.879</v>
      </c>
      <c r="N7" s="52">
        <f>SUM(N5:N6)</f>
        <v>75.992</v>
      </c>
      <c r="O7" s="52">
        <f>SUM(O5:O6)</f>
        <v>114.338</v>
      </c>
      <c r="P7" s="52">
        <f>SUM(P5:P6)</f>
        <v>230.548</v>
      </c>
      <c r="Q7" s="52">
        <f>SUM(Q5:Q6)</f>
        <v>293.19</v>
      </c>
      <c r="R7" s="52">
        <f>SUM(R5:R6)</f>
        <v>303.039</v>
      </c>
      <c r="S7" s="52">
        <f>SUM(S5:S6)</f>
        <v>209.778</v>
      </c>
      <c r="T7" s="52">
        <f>SUM(T5:T6)</f>
        <v>152.591</v>
      </c>
      <c r="U7" s="52">
        <f>SUM(U5:U6)</f>
        <v>140.589</v>
      </c>
      <c r="V7" s="52">
        <f>SUM(V5:V6)</f>
        <v>146.995</v>
      </c>
      <c r="W7" s="52">
        <f>SUM(W5:W6)</f>
        <v>169.401</v>
      </c>
      <c r="X7" s="52">
        <f>SUM(X5:X6)</f>
        <v>179.627</v>
      </c>
      <c r="Y7" s="52">
        <f>SUM(Y5:Y6)</f>
        <v>279.90999999999997</v>
      </c>
      <c r="Z7" s="52">
        <f>SUM(Z5:Z6)</f>
        <v>90.377</v>
      </c>
      <c r="AA7" s="52">
        <f>SUM(AA5:AA6)</f>
        <v>102.70599999999999</v>
      </c>
      <c r="AB7" s="52">
        <f>SUM(AB5:AB6)</f>
        <v>85.062</v>
      </c>
      <c r="AC7" s="52">
        <f>SUM(AC5:AC6)</f>
        <v>87.557</v>
      </c>
      <c r="AD7" s="52">
        <f>SUM(AD5:AD6)</f>
        <v>97.973</v>
      </c>
      <c r="AE7" s="52">
        <f>SUM(AE5:AE6)</f>
        <v>105.631</v>
      </c>
      <c r="AF7" s="52">
        <f>SUM(AF5:AF6)</f>
        <v>147.877</v>
      </c>
      <c r="AG7" s="52">
        <f>SUM(AG5:AG6)</f>
        <v>169.421</v>
      </c>
      <c r="AH7" s="52">
        <f>SUM(AH5:AH6)</f>
        <v>195.488</v>
      </c>
      <c r="AI7" s="52">
        <f>SUM(AI5:AI6)</f>
        <v>283.365</v>
      </c>
      <c r="AJ7" s="52">
        <f>AJ4-AJ2*NPV!C6</f>
        <v>396.657484453512</v>
      </c>
      <c r="AK7" s="52">
        <f>AK4-AK2*NPV!D6</f>
        <v>489.4413880292484</v>
      </c>
      <c r="AL7" s="52">
        <f>AL4-AL2*NPV!E6</f>
        <v>589.6449569422632</v>
      </c>
      <c r="AM7" s="52">
        <f>AM4-AM2*NPV!F6</f>
        <v>693.1571239116222</v>
      </c>
      <c r="AN7" s="52">
        <f>AN4-AN2*NPV!G6</f>
        <v>794.6167349965093</v>
      </c>
      <c r="AO7" s="52">
        <f>AO4-AO2*NPV!H6</f>
        <v>887.7460369697773</v>
      </c>
      <c r="AP7" s="52">
        <f>AP4-AP2*NPV!I6</f>
        <v>965.8956978249896</v>
      </c>
      <c r="AQ7" s="52">
        <f>AQ4-AQ2*NPV!J6</f>
        <v>1022.7553543736537</v>
      </c>
      <c r="AR7" s="52">
        <f>AR4-AR2*NPV!K6</f>
        <v>1053.139153379695</v>
      </c>
      <c r="AS7" s="52">
        <f>AS4-AS2*NPV!L6</f>
        <v>1053.7219642006023</v>
      </c>
    </row>
    <row r="8">
      <c r="A8" s="2" t="inlineStr">
        <is>
          <t>Operating Income</t>
        </is>
      </c>
      <c r="B8" s="52">
        <f>B4-B7</f>
        <v>-0.911</v>
      </c>
      <c r="C8" s="52">
        <f>C4-C7</f>
        <v>-1.175</v>
      </c>
      <c r="D8" s="52">
        <f>D4-D7</f>
        <v>-1.156</v>
      </c>
      <c r="E8" s="52">
        <f>E4-E7</f>
        <v>-2.815</v>
      </c>
      <c r="F8" s="52">
        <f>F4-F7</f>
        <v>-2.57</v>
      </c>
      <c r="G8" s="52">
        <f>G4-G7</f>
        <v>-2.28</v>
      </c>
      <c r="H8" s="52">
        <f>H4-H7</f>
        <v>-3.331</v>
      </c>
      <c r="I8" s="52">
        <f>I4-I7</f>
        <v>-5.679</v>
      </c>
      <c r="J8" s="52">
        <f>J4-J7</f>
        <v>-24.661</v>
      </c>
      <c r="K8" s="52">
        <f>K4-K7</f>
        <v>-48.245</v>
      </c>
      <c r="L8" s="52">
        <f>L4-L7</f>
        <v>-206.265</v>
      </c>
      <c r="M8" s="52">
        <f>M4-M7</f>
        <v>-65.879</v>
      </c>
      <c r="N8" s="52">
        <f>N4-N7</f>
        <v>-75.992</v>
      </c>
      <c r="O8" s="52">
        <f>O4-O7</f>
        <v>-114.338</v>
      </c>
      <c r="P8" s="52">
        <f>P4-P7</f>
        <v>-230.548</v>
      </c>
      <c r="Q8" s="52">
        <f>Q4-Q7</f>
        <v>-293.19</v>
      </c>
      <c r="R8" s="52">
        <f>R4-R7</f>
        <v>-303.039</v>
      </c>
      <c r="S8" s="52">
        <f>S4-S7</f>
        <v>-209.778</v>
      </c>
      <c r="T8" s="52">
        <f>T4-T7</f>
        <v>-152.49800000000002</v>
      </c>
      <c r="U8" s="52">
        <f>U4-U7</f>
        <v>-140.539</v>
      </c>
      <c r="V8" s="52">
        <f>V4-V7</f>
        <v>-146.96</v>
      </c>
      <c r="W8" s="52">
        <f>W4-W7</f>
        <v>-169.401</v>
      </c>
      <c r="X8" s="52">
        <f>X4-X7</f>
        <v>-179.627</v>
      </c>
      <c r="Y8" s="52">
        <f>Y4-Y7</f>
        <v>-344.655</v>
      </c>
      <c r="Z8" s="52">
        <f>Z4-Z7</f>
        <v>67.26</v>
      </c>
      <c r="AA8" s="52">
        <f>AA4-AA7</f>
        <v>-108.189</v>
      </c>
      <c r="AB8" s="52">
        <f>AB4-AB7</f>
        <v>-76.595</v>
      </c>
      <c r="AC8" s="52">
        <f>AC4-AC7</f>
        <v>-44.59700000000001</v>
      </c>
      <c r="AD8" s="52">
        <f>AD4-AD7</f>
        <v>-47.913</v>
      </c>
      <c r="AE8" s="52">
        <f>AE4-AE7</f>
        <v>-47.022000000000006</v>
      </c>
      <c r="AF8" s="52">
        <f>AF4-AF7</f>
        <v>-64.11000000000001</v>
      </c>
      <c r="AG8" s="52">
        <f>AG4-AG7</f>
        <v>8.677999999999997</v>
      </c>
      <c r="AH8" s="52">
        <f>AH4-AH7</f>
        <v>72.58700000000005</v>
      </c>
      <c r="AI8" s="52">
        <f>AI4-AI7</f>
        <v>38.80099999999999</v>
      </c>
      <c r="AJ8" s="52">
        <f>AJ4-AJ7</f>
        <v>18.420431336568015</v>
      </c>
      <c r="AK8" s="52">
        <f>AK4-AK7</f>
        <v>33.19705167256768</v>
      </c>
      <c r="AL8" s="52">
        <f>AL4-AL7</f>
        <v>53.13063876567696</v>
      </c>
      <c r="AM8" s="52">
        <f>AM4-AM7</f>
        <v>78.5592562953309</v>
      </c>
      <c r="AN8" s="52">
        <f>AN4-AN7</f>
        <v>109.32038501923512</v>
      </c>
      <c r="AO8" s="52">
        <f>AO4-AO7</f>
        <v>144.61041656287045</v>
      </c>
      <c r="AP8" s="52">
        <f>AP4-AP7</f>
        <v>182.9105636661409</v>
      </c>
      <c r="AQ8" s="52">
        <f>AQ4-AQ7</f>
        <v>222.01452349403576</v>
      </c>
      <c r="AR8" s="52">
        <f>AR4-AR7</f>
        <v>259.18023652694774</v>
      </c>
      <c r="AS8" s="52">
        <f>AS4-AS7</f>
        <v>291.4054104537065</v>
      </c>
    </row>
    <row r="9">
      <c r="A9" s="19" t="inlineStr">
        <is>
          <t>Interest &amp; Other</t>
        </is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-10.326</v>
      </c>
      <c r="T9" s="52" t="n">
        <v>-18.062</v>
      </c>
      <c r="U9" s="52" t="n">
        <v>-20.265</v>
      </c>
      <c r="V9" s="52" t="n">
        <v>-22.814</v>
      </c>
      <c r="W9" s="52" t="n">
        <v>-22.089</v>
      </c>
      <c r="X9" s="52" t="n">
        <v>-18.755</v>
      </c>
      <c r="Y9" s="52" t="n">
        <v>-23.79</v>
      </c>
      <c r="Z9" s="52" t="n">
        <v>58.404</v>
      </c>
      <c r="AA9" s="52" t="n">
        <v>-9.093</v>
      </c>
      <c r="AB9" s="52" t="n">
        <v>-10.14</v>
      </c>
      <c r="AC9" s="52" t="n">
        <v>-7.306</v>
      </c>
      <c r="AD9" s="52" t="n">
        <v>-9.545</v>
      </c>
      <c r="AE9" s="52" t="n">
        <v>-33.904</v>
      </c>
      <c r="AF9" s="52" t="n">
        <v>-23.29</v>
      </c>
      <c r="AG9" s="52" t="n">
        <v>-19.055</v>
      </c>
      <c r="AH9" s="52" t="n">
        <v>-42.069</v>
      </c>
      <c r="AI9" s="52" t="n">
        <v>-37.394</v>
      </c>
      <c r="AJ9" s="52" t="n">
        <v>0</v>
      </c>
      <c r="AK9" s="52" t="n">
        <v>0</v>
      </c>
      <c r="AL9" s="52" t="n">
        <v>0</v>
      </c>
      <c r="AM9" s="52" t="n">
        <v>0</v>
      </c>
      <c r="AN9" s="52" t="n">
        <v>0</v>
      </c>
      <c r="AO9" s="52" t="n">
        <v>0</v>
      </c>
      <c r="AP9" s="52" t="n">
        <v>0</v>
      </c>
      <c r="AQ9" s="52" t="n">
        <v>0</v>
      </c>
      <c r="AR9" s="52" t="n">
        <v>0</v>
      </c>
      <c r="AS9" s="52" t="n">
        <v>0</v>
      </c>
    </row>
    <row r="10">
      <c r="A10" s="2" t="inlineStr">
        <is>
          <t>Pretax</t>
        </is>
      </c>
      <c r="B10" s="52">
        <f>B8+B9</f>
        <v>-0.911</v>
      </c>
      <c r="C10" s="52">
        <f>C8+C9</f>
        <v>-1.175</v>
      </c>
      <c r="D10" s="52">
        <f>D8+D9</f>
        <v>-1.156</v>
      </c>
      <c r="E10" s="52">
        <f>E8+E9</f>
        <v>-2.815</v>
      </c>
      <c r="F10" s="52">
        <f>F8+F9</f>
        <v>-2.57</v>
      </c>
      <c r="G10" s="52">
        <f>G8+G9</f>
        <v>-2.28</v>
      </c>
      <c r="H10" s="52">
        <f>H8+H9</f>
        <v>-3.331</v>
      </c>
      <c r="I10" s="52">
        <f>I8+I9</f>
        <v>-5.679</v>
      </c>
      <c r="J10" s="52">
        <f>J8+J9</f>
        <v>-24.661</v>
      </c>
      <c r="K10" s="52">
        <f>K8+K9</f>
        <v>-48.245</v>
      </c>
      <c r="L10" s="52">
        <f>L8+L9</f>
        <v>-206.265</v>
      </c>
      <c r="M10" s="52">
        <f>M8+M9</f>
        <v>-65.879</v>
      </c>
      <c r="N10" s="52">
        <f>N8+N9</f>
        <v>-75.992</v>
      </c>
      <c r="O10" s="52">
        <f>O8+O9</f>
        <v>-114.338</v>
      </c>
      <c r="P10" s="52">
        <f>P8+P9</f>
        <v>-230.548</v>
      </c>
      <c r="Q10" s="52">
        <f>Q8+Q9</f>
        <v>-293.19</v>
      </c>
      <c r="R10" s="52">
        <f>R8+R9</f>
        <v>-303.039</v>
      </c>
      <c r="S10" s="52">
        <f>S8+S9</f>
        <v>-220.10399999999998</v>
      </c>
      <c r="T10" s="52">
        <f>T8+T9</f>
        <v>-170.56000000000003</v>
      </c>
      <c r="U10" s="52">
        <f>U8+U9</f>
        <v>-160.80399999999997</v>
      </c>
      <c r="V10" s="52">
        <f>V8+V9</f>
        <v>-169.774</v>
      </c>
      <c r="W10" s="52">
        <f>W8+W9</f>
        <v>-191.49</v>
      </c>
      <c r="X10" s="52">
        <f>X8+X9</f>
        <v>-198.382</v>
      </c>
      <c r="Y10" s="52">
        <f>Y8+Y9</f>
        <v>-368.445</v>
      </c>
      <c r="Z10" s="52">
        <f>Z8+Z9</f>
        <v>125.66400000000002</v>
      </c>
      <c r="AA10" s="52">
        <f>AA8+AA9</f>
        <v>-117.282</v>
      </c>
      <c r="AB10" s="52">
        <f>AB8+AB9</f>
        <v>-86.735</v>
      </c>
      <c r="AC10" s="52">
        <f>AC8+AC9</f>
        <v>-51.903000000000006</v>
      </c>
      <c r="AD10" s="52">
        <f>AD8+AD9</f>
        <v>-57.458</v>
      </c>
      <c r="AE10" s="52">
        <f>AE8+AE9</f>
        <v>-80.92600000000002</v>
      </c>
      <c r="AF10" s="52">
        <f>AF8+AF9</f>
        <v>-87.4</v>
      </c>
      <c r="AG10" s="52">
        <f>AG8+AG9</f>
        <v>-10.377000000000002</v>
      </c>
      <c r="AH10" s="52">
        <f>AH8+AH9</f>
        <v>30.518000000000043</v>
      </c>
      <c r="AI10" s="52">
        <f>AI8+AI9</f>
        <v>1.4069999999999894</v>
      </c>
      <c r="AJ10" s="52">
        <f>AJ8+AJ9</f>
        <v>18.420431336568015</v>
      </c>
      <c r="AK10" s="52">
        <f>AK8+AK9</f>
        <v>33.19705167256768</v>
      </c>
      <c r="AL10" s="52">
        <f>AL8+AL9</f>
        <v>53.13063876567696</v>
      </c>
      <c r="AM10" s="52">
        <f>AM8+AM9</f>
        <v>78.5592562953309</v>
      </c>
      <c r="AN10" s="52">
        <f>AN8+AN9</f>
        <v>109.32038501923512</v>
      </c>
      <c r="AO10" s="52">
        <f>AO8+AO9</f>
        <v>144.61041656287045</v>
      </c>
      <c r="AP10" s="52">
        <f>AP8+AP9</f>
        <v>182.9105636661409</v>
      </c>
      <c r="AQ10" s="52">
        <f>AQ8+AQ9</f>
        <v>222.01452349403576</v>
      </c>
      <c r="AR10" s="52">
        <f>AR8+AR9</f>
        <v>259.18023652694774</v>
      </c>
      <c r="AS10" s="52">
        <f>AS8+AS9</f>
        <v>291.4054104537065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-0.408</v>
      </c>
      <c r="W11" s="52" t="n">
        <v>0</v>
      </c>
      <c r="X11" s="52" t="n">
        <v>0</v>
      </c>
      <c r="Y11" s="52" t="n">
        <v>0</v>
      </c>
      <c r="Z11" s="52" t="n">
        <v>0</v>
      </c>
      <c r="AA11" s="52" t="n">
        <v>0.051</v>
      </c>
      <c r="AB11" s="52" t="n">
        <v>0.24</v>
      </c>
      <c r="AC11" s="52" t="n">
        <v>0</v>
      </c>
      <c r="AD11" s="52" t="n">
        <v>-0.218</v>
      </c>
      <c r="AE11" s="52" t="n">
        <v>0</v>
      </c>
      <c r="AF11" s="52" t="n">
        <v>0</v>
      </c>
      <c r="AG11" s="52" t="n">
        <v>1.561</v>
      </c>
      <c r="AH11" s="52" t="n">
        <v>2.93</v>
      </c>
      <c r="AI11" s="52" t="n">
        <v>-4.456</v>
      </c>
      <c r="AJ11" s="52">
        <f>MAX(0,AJ10)*Assumptions!$E$14</f>
        <v>3.131473327216563</v>
      </c>
      <c r="AK11" s="52">
        <f>MAX(0,AK10)*Assumptions!$E$14</f>
        <v>5.643498784336506</v>
      </c>
      <c r="AL11" s="52">
        <f>MAX(0,AL10)*Assumptions!$E$14</f>
        <v>9.032208590165084</v>
      </c>
      <c r="AM11" s="52">
        <f>MAX(0,AM10)*Assumptions!$E$14</f>
        <v>13.355073570206253</v>
      </c>
      <c r="AN11" s="52">
        <f>MAX(0,AN10)*Assumptions!$E$14</f>
        <v>18.58446545326997</v>
      </c>
      <c r="AO11" s="52">
        <f>MAX(0,AO10)*Assumptions!$E$14</f>
        <v>24.58377081568798</v>
      </c>
      <c r="AP11" s="52">
        <f>MAX(0,AP10)*Assumptions!$E$14</f>
        <v>31.094795823243953</v>
      </c>
      <c r="AQ11" s="52">
        <f>MAX(0,AQ10)*Assumptions!$E$14</f>
        <v>37.74246899398608</v>
      </c>
      <c r="AR11" s="52">
        <f>MAX(0,AR10)*Assumptions!$E$14</f>
        <v>44.060640209581116</v>
      </c>
      <c r="AS11" s="52">
        <f>MAX(0,AS10)*Assumptions!$E$14</f>
        <v>49.53891977713011</v>
      </c>
    </row>
    <row r="12">
      <c r="A12" s="2" t="inlineStr">
        <is>
          <t>Net Income</t>
        </is>
      </c>
      <c r="B12" s="52" t="n">
        <v>-0.911</v>
      </c>
      <c r="C12" s="52" t="n">
        <v>-1.175</v>
      </c>
      <c r="D12" s="52" t="n">
        <v>-1.156</v>
      </c>
      <c r="E12" s="52" t="n">
        <v>-2.815</v>
      </c>
      <c r="F12" s="52" t="n">
        <v>-2.57</v>
      </c>
      <c r="G12" s="52" t="n">
        <v>-2.28</v>
      </c>
      <c r="H12" s="52" t="n">
        <v>-3.331</v>
      </c>
      <c r="I12" s="52" t="n">
        <v>-5.679</v>
      </c>
      <c r="J12" s="52" t="n">
        <v>-24.661</v>
      </c>
      <c r="K12" s="52" t="n">
        <v>-48.245</v>
      </c>
      <c r="L12" s="52" t="n">
        <v>-206.265</v>
      </c>
      <c r="M12" s="52" t="n">
        <v>-65.879</v>
      </c>
      <c r="N12" s="52" t="n">
        <v>-75.992</v>
      </c>
      <c r="O12" s="52" t="n">
        <v>-114.338</v>
      </c>
      <c r="P12" s="52" t="n">
        <v>-230.548</v>
      </c>
      <c r="Q12" s="52" t="n">
        <v>-293.19</v>
      </c>
      <c r="R12" s="52" t="n">
        <v>-303.039</v>
      </c>
      <c r="S12" s="52" t="n">
        <v>-220.104</v>
      </c>
      <c r="T12" s="52" t="n">
        <v>-170.56</v>
      </c>
      <c r="U12" s="52" t="n">
        <v>-160.804</v>
      </c>
      <c r="V12" s="52" t="n">
        <v>-169.366</v>
      </c>
      <c r="W12" s="52" t="n">
        <v>-191.49</v>
      </c>
      <c r="X12" s="52" t="n">
        <v>-198.382</v>
      </c>
      <c r="Y12" s="52" t="n">
        <v>-368.445</v>
      </c>
      <c r="Z12" s="52" t="n">
        <v>125.664</v>
      </c>
      <c r="AA12" s="52" t="n">
        <v>-117.333</v>
      </c>
      <c r="AB12" s="52" t="n">
        <v>-86.97499999999999</v>
      </c>
      <c r="AC12" s="52" t="n">
        <v>-51.903</v>
      </c>
      <c r="AD12" s="52" t="n">
        <v>-57.24</v>
      </c>
      <c r="AE12" s="52" t="n">
        <v>-80.926</v>
      </c>
      <c r="AF12" s="52" t="n">
        <v>-87.40000000000001</v>
      </c>
      <c r="AG12" s="52" t="n">
        <v>-11.938</v>
      </c>
      <c r="AH12" s="52" t="n">
        <v>27.588</v>
      </c>
      <c r="AI12" s="52" t="n">
        <v>5.863</v>
      </c>
      <c r="AJ12" s="52">
        <f>AJ10-AJ11</f>
        <v>15.288958009351452</v>
      </c>
      <c r="AK12" s="52">
        <f>AK10-AK11</f>
        <v>27.553552888231174</v>
      </c>
      <c r="AL12" s="52">
        <f>AL10-AL11</f>
        <v>44.09843017551188</v>
      </c>
      <c r="AM12" s="52">
        <f>AM10-AM11</f>
        <v>65.20418272512464</v>
      </c>
      <c r="AN12" s="52">
        <f>AN10-AN11</f>
        <v>90.73591956596515</v>
      </c>
      <c r="AO12" s="52">
        <f>AO10-AO11</f>
        <v>120.02664574718247</v>
      </c>
      <c r="AP12" s="52">
        <f>AP10-AP11</f>
        <v>151.81576784289695</v>
      </c>
      <c r="AQ12" s="52">
        <f>AQ10-AQ11</f>
        <v>184.27205450004968</v>
      </c>
      <c r="AR12" s="52">
        <f>AR10-AR11</f>
        <v>215.11959631736661</v>
      </c>
      <c r="AS12" s="52">
        <f>AS10-AS11</f>
        <v>241.8664906765764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0</v>
      </c>
      <c r="M13" s="11">
        <f>IFERROR(M12/M14,0)</f>
        <v>0</v>
      </c>
      <c r="N13" s="11">
        <f>IFERROR(N12/N14,0)</f>
        <v>0</v>
      </c>
      <c r="O13" s="11">
        <f>IFERROR(O12/O14,0)</f>
        <v>0</v>
      </c>
      <c r="P13" s="11">
        <f>IFERROR(P12/P14,0)</f>
        <v>0</v>
      </c>
      <c r="Q13" s="11">
        <f>IFERROR(Q12/Q14,0)</f>
        <v>0</v>
      </c>
      <c r="R13" s="11">
        <f>IFERROR(R12/R14,0)</f>
        <v>0</v>
      </c>
      <c r="S13" s="11">
        <f>IFERROR(S12/S14,0)</f>
        <v>0</v>
      </c>
      <c r="T13" s="11">
        <f>IFERROR(T12/T14,0)</f>
        <v>0</v>
      </c>
      <c r="U13" s="11">
        <f>IFERROR(U12/U14,0)</f>
        <v>0</v>
      </c>
      <c r="V13" s="11">
        <f>IFERROR(V12/V14,0)</f>
        <v>-0.9364739708606343</v>
      </c>
      <c r="W13" s="11">
        <f>IFERROR(W12/W14,0)</f>
        <v>-0.6391714036803509</v>
      </c>
      <c r="X13" s="11">
        <f>IFERROR(X12/X14,0)</f>
        <v>-2.574884807579986</v>
      </c>
      <c r="Y13" s="11">
        <f>IFERROR(Y12/Y14,0)</f>
        <v>-4.535656691246168</v>
      </c>
      <c r="Z13" s="11">
        <f>IFERROR(Z12/Z14,0)</f>
        <v>1.3646522234891678</v>
      </c>
      <c r="AA13" s="11">
        <f>IFERROR(AA12/AA14,0)</f>
        <v>-1.1255503861096454</v>
      </c>
      <c r="AB13" s="11">
        <f>IFERROR(AB12/AB14,0)</f>
        <v>-0.6034231559083088</v>
      </c>
      <c r="AC13" s="11">
        <f>IFERROR(AC12/AC14,0)</f>
        <v>-0.2653744682591623</v>
      </c>
      <c r="AD13" s="11">
        <f>IFERROR(AD12/AD14,0)</f>
        <v>-0.2571601859963609</v>
      </c>
      <c r="AE13" s="11">
        <f>IFERROR(AE12/AE14,0)</f>
        <v>-0.32468585001043154</v>
      </c>
      <c r="AF13" s="11">
        <f>IFERROR(AF12/AF14,0)</f>
        <v>-0.3399561246557653</v>
      </c>
      <c r="AG13" s="11">
        <f>IFERROR(AG12/AG14,0)</f>
        <v>-0.04470926618079951</v>
      </c>
      <c r="AH13" s="11">
        <f>IFERROR(AH12/AH14,0)</f>
        <v>0.09719423345217797</v>
      </c>
      <c r="AI13" s="11">
        <f>IFERROR(AI12/AI14,0)</f>
        <v>0.01866531682966585</v>
      </c>
      <c r="AJ13" s="11">
        <f>IFERROR(AJ12/AJ14,0)</f>
        <v>0.04754906923118228</v>
      </c>
      <c r="AK13" s="11">
        <f>IFERROR(AK12/AK14,0)</f>
        <v>0.08569228805823126</v>
      </c>
      <c r="AL13" s="11">
        <f>IFERROR(AL12/AL14,0)</f>
        <v>0.13714729990881955</v>
      </c>
      <c r="AM13" s="11">
        <f>IFERROR(AM12/AM14,0)</f>
        <v>0.2027867560799932</v>
      </c>
      <c r="AN13" s="11">
        <f>IFERROR(AN12/AN14,0)</f>
        <v>0.28219114203585144</v>
      </c>
      <c r="AO13" s="11">
        <f>IFERROR(AO12/AO14,0)</f>
        <v>0.37328608560037924</v>
      </c>
      <c r="AP13" s="11">
        <f>IFERROR(AP12/AP14,0)</f>
        <v>0.4721511074287538</v>
      </c>
      <c r="AQ13" s="11">
        <f>IFERROR(AQ12/AQ14,0)</f>
        <v>0.5730910289266165</v>
      </c>
      <c r="AR13" s="11">
        <f>IFERROR(AR12/AR14,0)</f>
        <v>0.669027710850018</v>
      </c>
      <c r="AS13" s="11">
        <f>IFERROR(AS12/AS14,0)</f>
        <v>0.7522112692604276</v>
      </c>
    </row>
    <row r="14">
      <c r="A14" s="2" t="inlineStr">
        <is>
          <t>Shares</t>
        </is>
      </c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>
        <v>180.855</v>
      </c>
      <c r="W14" s="52" t="n">
        <v>299.591</v>
      </c>
      <c r="X14" s="52" t="n">
        <v>77.045</v>
      </c>
      <c r="Y14" s="52" t="n">
        <v>81.233</v>
      </c>
      <c r="Z14" s="52" t="n">
        <v>92.08499999999999</v>
      </c>
      <c r="AA14" s="52" t="n">
        <v>104.245</v>
      </c>
      <c r="AB14" s="52" t="n">
        <v>144.136</v>
      </c>
      <c r="AC14" s="52" t="n">
        <v>195.584</v>
      </c>
      <c r="AD14" s="52" t="n">
        <v>222.585</v>
      </c>
      <c r="AE14" s="52" t="n">
        <v>249.244</v>
      </c>
      <c r="AF14" s="52" t="n">
        <v>257.092</v>
      </c>
      <c r="AG14" s="52" t="n">
        <v>267.014</v>
      </c>
      <c r="AH14" s="52" t="n">
        <v>283.844</v>
      </c>
      <c r="AI14" s="52" t="n">
        <v>314.112</v>
      </c>
      <c r="AJ14" s="52">
        <f>Main!$C$4</f>
        <v>321.540637</v>
      </c>
      <c r="AK14" s="52">
        <f>Main!$C$4</f>
        <v>321.540637</v>
      </c>
      <c r="AL14" s="52">
        <f>Main!$C$4</f>
        <v>321.540637</v>
      </c>
      <c r="AM14" s="52">
        <f>Main!$C$4</f>
        <v>321.540637</v>
      </c>
      <c r="AN14" s="52">
        <f>Main!$C$4</f>
        <v>321.540637</v>
      </c>
      <c r="AO14" s="52">
        <f>Main!$C$4</f>
        <v>321.540637</v>
      </c>
      <c r="AP14" s="52">
        <f>Main!$C$4</f>
        <v>321.540637</v>
      </c>
      <c r="AQ14" s="52">
        <f>Main!$C$4</f>
        <v>321.540637</v>
      </c>
      <c r="AR14" s="52">
        <f>Main!$C$4</f>
        <v>321.540637</v>
      </c>
      <c r="AS14" s="52">
        <f>Main!$C$4</f>
        <v>321.540637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>-0.4623655913978494</v>
      </c>
      <c r="V16" s="15">
        <f>IFERROR(V2/U2-1,"")</f>
        <v>-0.29999999999999993</v>
      </c>
      <c r="W16" s="15">
        <f>IFERROR(W2/V2-1,"")</f>
        <v>-1.0</v>
      </c>
      <c r="X16" s="15">
        <f>IFERROR(X2/W2-1,"")</f>
        <v/>
      </c>
      <c r="Y16" s="15">
        <f>IFERROR(Y2/X2-1,"")</f>
        <v/>
      </c>
      <c r="Z16" s="15">
        <f>IFERROR(Z2/Y2-1,"")</f>
        <v/>
      </c>
      <c r="AA16" s="15">
        <f>IFERROR(AA2/Z2-1,"")</f>
        <v>-0.9327927762963641</v>
      </c>
      <c r="AB16" s="15">
        <f>IFERROR(AB2/AA2-1,"")</f>
        <v>1.3719880800340571</v>
      </c>
      <c r="AC16" s="15">
        <f>IFERROR(AC2/AB2-1,"")</f>
        <v>1.262751713988298</v>
      </c>
      <c r="AD16" s="15">
        <f>IFERROR(AD2/AC2-1,"")</f>
        <v>0.0334084203179037</v>
      </c>
      <c r="AE16" s="15">
        <f>IFERROR(AE2/AD2-1,"")</f>
        <v>0.15808055999017534</v>
      </c>
      <c r="AF16" s="15">
        <f>IFERROR(AF2/AE2-1,"")</f>
        <v>0.3224728930834284</v>
      </c>
      <c r="AG16" s="15">
        <f>IFERROR(AG2/AF2-1,"")</f>
        <v>0.9942066753533125</v>
      </c>
      <c r="AH16" s="15">
        <f>IFERROR(AH2/AG2-1,"")</f>
        <v>0.43496748122757123</v>
      </c>
      <c r="AI16" s="15">
        <f>IFERROR(AI2/AH2-1,"")</f>
        <v>0.22228059852051096</v>
      </c>
      <c r="AJ16" s="15">
        <f>IFERROR(AJ2/AI2-1,"")</f>
        <v>0.2884</v>
      </c>
      <c r="AK16" s="15">
        <f>IFERROR(AK2/AJ2-1,"")</f>
        <v>0.2591333333333332</v>
      </c>
      <c r="AL16" s="15">
        <f>IFERROR(AL2/AK2-1,"")</f>
        <v>0.22986666666666666</v>
      </c>
      <c r="AM16" s="15">
        <f>IFERROR(AM2/AL2-1,"")</f>
        <v>0.2006000000000001</v>
      </c>
      <c r="AN16" s="15">
        <f>IFERROR(AN2/AM2-1,"")</f>
        <v>0.17133333333333334</v>
      </c>
      <c r="AO16" s="15">
        <f>IFERROR(AO2/AN2-1,"")</f>
        <v>0.14206666666666656</v>
      </c>
      <c r="AP16" s="15">
        <f>IFERROR(AP2/AO2-1,"")</f>
        <v>0.11280000000000001</v>
      </c>
      <c r="AQ16" s="15">
        <f>IFERROR(AQ2/AP2-1,"")</f>
        <v>0.08353333333333346</v>
      </c>
      <c r="AR16" s="15">
        <f>IFERROR(AR2/AQ2-1,"")</f>
        <v>0.054266666666666685</v>
      </c>
      <c r="AS16" s="15">
        <f>IFERROR(AS2/AR2-1,"")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/>
      </c>
      <c r="X17" s="15">
        <f>IFERROR(X4/X2,"")</f>
        <v/>
      </c>
      <c r="Y17" s="15">
        <f>IFERROR(Y4/Y2,"")</f>
        <v/>
      </c>
      <c r="Z17" s="15">
        <f>IFERROR(Z4/Z2,"")</f>
        <v>0.9020302360979182</v>
      </c>
      <c r="AA17" s="15">
        <f>IFERROR(AA4/AA2,"")</f>
        <v>-0.46683695189442337</v>
      </c>
      <c r="AB17" s="15">
        <f>IFERROR(AB4/AB2,"")</f>
        <v>0.30392332818837725</v>
      </c>
      <c r="AC17" s="15">
        <f>IFERROR(AC4/AC2,"")</f>
        <v>0.6814937022113645</v>
      </c>
      <c r="AD17" s="15">
        <f>IFERROR(AD4/AD2,"")</f>
        <v>0.7684514306766548</v>
      </c>
      <c r="AE17" s="15">
        <f>IFERROR(AE4/AE2,"")</f>
        <v>0.7768749502929403</v>
      </c>
      <c r="AF17" s="15">
        <f>IFERROR(AF4/AF2,"")</f>
        <v>0.8396010824897263</v>
      </c>
      <c r="AG17" s="15">
        <f>IFERROR(AG4/AG2,"")</f>
        <v>0.8951407806515818</v>
      </c>
      <c r="AH17" s="15">
        <f>IFERROR(AH4/AH2,"")</f>
        <v>0.9389535698273931</v>
      </c>
      <c r="AI17" s="15">
        <f>IFERROR(AI4/AI2,"")</f>
        <v>0.9232016872703931</v>
      </c>
      <c r="AJ17" s="15">
        <f>IFERROR(AJ4/AJ2,"")</f>
        <v>0.9232</v>
      </c>
      <c r="AK17" s="15">
        <f>IFERROR(AK4/AK2,"")</f>
        <v>0.9232</v>
      </c>
      <c r="AL17" s="15">
        <f>IFERROR(AL4/AL2,"")</f>
        <v>0.9232</v>
      </c>
      <c r="AM17" s="15">
        <f>IFERROR(AM4/AM2,"")</f>
        <v>0.9232</v>
      </c>
      <c r="AN17" s="15">
        <f>IFERROR(AN4/AN2,"")</f>
        <v>0.9232</v>
      </c>
      <c r="AO17" s="15">
        <f>IFERROR(AO4/AO2,"")</f>
        <v>0.9232</v>
      </c>
      <c r="AP17" s="15">
        <f>IFERROR(AP4/AP2,"")</f>
        <v>0.9232000000000001</v>
      </c>
      <c r="AQ17" s="15">
        <f>IFERROR(AQ4/AQ2,"")</f>
        <v>0.9231999999999999</v>
      </c>
      <c r="AR17" s="15">
        <f>IFERROR(AR4/AR2,"")</f>
        <v>0.9231999999999999</v>
      </c>
      <c r="AS17" s="15">
        <f>IFERROR(AS4/AS2,"")</f>
        <v>0.9232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>-1639.7634408602153</v>
      </c>
      <c r="U18" s="15">
        <f>IFERROR(U8/U2,"")</f>
        <v>-2810.7799999999997</v>
      </c>
      <c r="V18" s="15">
        <f>IFERROR(V8/V2,"")</f>
        <v>-4198.857142857143</v>
      </c>
      <c r="W18" s="15">
        <f>IFERROR(W8/W2,"")</f>
        <v/>
      </c>
      <c r="X18" s="15">
        <f>IFERROR(X8/X2,"")</f>
        <v/>
      </c>
      <c r="Y18" s="15">
        <f>IFERROR(Y8/Y2,"")</f>
        <v/>
      </c>
      <c r="Z18" s="15">
        <f>IFERROR(Z8/Z2,"")</f>
        <v>0.3848750844024308</v>
      </c>
      <c r="AA18" s="15">
        <f>IFERROR(AA8/AA2,"")</f>
        <v>-9.211494252873564</v>
      </c>
      <c r="AB18" s="15">
        <f>IFERROR(AB8/AB2,"")</f>
        <v>-2.7493808105100683</v>
      </c>
      <c r="AC18" s="15">
        <f>IFERROR(AC8/AC2,"")</f>
        <v>-0.7074621656778453</v>
      </c>
      <c r="AD18" s="15">
        <f>IFERROR(AD8/AD2,"")</f>
        <v>-0.7354936755495517</v>
      </c>
      <c r="AE18" s="15">
        <f>IFERROR(AE8/AE2,"")</f>
        <v>-0.623286763341375</v>
      </c>
      <c r="AF18" s="15">
        <f>IFERROR(AF8/AF2,"")</f>
        <v>-0.6425779292372459</v>
      </c>
      <c r="AG18" s="15">
        <f>IFERROR(AG8/AG2,"")</f>
        <v>0.04361636895487579</v>
      </c>
      <c r="AH18" s="15">
        <f>IFERROR(AH8/AH2,"")</f>
        <v>0.2542416218336697</v>
      </c>
      <c r="AI18" s="15">
        <f>IFERROR(AI8/AI2,"")</f>
        <v>0.11118848254557746</v>
      </c>
      <c r="AJ18" s="15">
        <f>IFERROR(AJ8/AJ2,"")</f>
        <v>0.040970000000000034</v>
      </c>
      <c r="AK18" s="15">
        <f>IFERROR(AK8/AK2,"")</f>
        <v>0.058639999999999984</v>
      </c>
      <c r="AL18" s="15">
        <f>IFERROR(AL8/AL2,"")</f>
        <v>0.07631000000000009</v>
      </c>
      <c r="AM18" s="15">
        <f>IFERROR(AM8/AM2,"")</f>
        <v>0.09398000000000005</v>
      </c>
      <c r="AN18" s="15">
        <f>IFERROR(AN8/AN2,"")</f>
        <v>0.11165</v>
      </c>
      <c r="AO18" s="15">
        <f>IFERROR(AO8/AO2,"")</f>
        <v>0.12932</v>
      </c>
      <c r="AP18" s="15">
        <f>IFERROR(AP8/AP2,"")</f>
        <v>0.14699</v>
      </c>
      <c r="AQ18" s="15">
        <f>IFERROR(AQ8/AQ2,"")</f>
        <v>0.16466000000000003</v>
      </c>
      <c r="AR18" s="15">
        <f>IFERROR(AR8/AR2,"")</f>
        <v>0.18232999999999996</v>
      </c>
      <c r="AS18" s="15">
        <f>IFERROR(AS8/AS2,"")</f>
        <v>0.20000000000000007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  <c r="Z19" s="20" t="inlineStr">
        <is>
          <t>A</t>
        </is>
      </c>
      <c r="AA19" s="20" t="inlineStr">
        <is>
          <t>A</t>
        </is>
      </c>
      <c r="AB19" s="20" t="inlineStr">
        <is>
          <t>A</t>
        </is>
      </c>
      <c r="AC19" s="20" t="inlineStr">
        <is>
          <t>A</t>
        </is>
      </c>
      <c r="AD19" s="20" t="inlineStr">
        <is>
          <t>A</t>
        </is>
      </c>
      <c r="AE19" s="20" t="inlineStr">
        <is>
          <t>A</t>
        </is>
      </c>
      <c r="AF19" s="20" t="inlineStr">
        <is>
          <t>A</t>
        </is>
      </c>
      <c r="AG19" s="20" t="inlineStr">
        <is>
          <t>A</t>
        </is>
      </c>
      <c r="AH19" s="20" t="inlineStr">
        <is>
          <t>A</t>
        </is>
      </c>
      <c r="AI19" s="20" t="inlineStr">
        <is>
          <t>A</t>
        </is>
      </c>
      <c r="AJ19" s="20" t="inlineStr">
        <is>
          <t>E</t>
        </is>
      </c>
      <c r="AK19" s="20" t="inlineStr">
        <is>
          <t>E</t>
        </is>
      </c>
      <c r="AL19" s="20" t="inlineStr">
        <is>
          <t>E</t>
        </is>
      </c>
      <c r="AM19" s="20" t="inlineStr">
        <is>
          <t>E</t>
        </is>
      </c>
      <c r="AN19" s="20" t="inlineStr">
        <is>
          <t>E</t>
        </is>
      </c>
      <c r="AO19" s="20" t="inlineStr">
        <is>
          <t>E</t>
        </is>
      </c>
      <c r="AP19" s="20" t="inlineStr">
        <is>
          <t>E</t>
        </is>
      </c>
      <c r="AQ19" s="20" t="inlineStr">
        <is>
          <t>E</t>
        </is>
      </c>
      <c r="AR19" s="20" t="inlineStr">
        <is>
          <t>E</t>
        </is>
      </c>
      <c r="AS19" s="20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17" t="inlineStr">
        <is>
          <t>MannKind Corporation: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17" t="inlineStr">
        <is>
          <t>Scenario (1 Bear, 2 Base, 3 Bull)</t>
        </is>
      </c>
      <c r="B4" s="22" t="n">
        <v>2</v>
      </c>
      <c r="C4" s="17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0.2384</v>
      </c>
      <c r="C12" s="53" t="n">
        <v>0.2884</v>
      </c>
      <c r="D12" s="53" t="n">
        <v>0.3384</v>
      </c>
      <c r="E12" s="54">
        <f>CHOOSE($B$4,B12,C12,D12)</f>
        <v>0.2884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0.0233</v>
      </c>
    </row>
    <row r="19">
      <c r="A19" s="14" t="inlineStr">
        <is>
          <t>Gross margin (forecast)</t>
        </is>
      </c>
      <c r="B19" s="53" t="n">
        <v>0.9232</v>
      </c>
    </row>
    <row r="20">
      <c r="A20" s="14" t="inlineStr">
        <is>
          <t>R&amp;D share of operating expense (forecast)</t>
        </is>
      </c>
      <c r="B20" s="53" t="n">
        <v>0.2341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Model'!AI2</f>
        <v>348.966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1171.3793411205852</v>
      </c>
      <c r="C29" s="56">
        <f>NPV!B26</f>
        <v>963.4243411205853</v>
      </c>
      <c r="D29" s="35">
        <f>NPV!B28</f>
        <v>2.9962755255740356</v>
      </c>
      <c r="E29" s="57">
        <f>NPV!B30</f>
        <v>-0.033459507879343375</v>
      </c>
    </row>
    <row r="30">
      <c r="A30" s="58" t="n">
        <v>1</v>
      </c>
      <c r="B30" s="59">
        <f t="dataTable" ref="B30:E32" r1="B4"/>
        <v>587.7882177084192</v>
      </c>
      <c r="C30" s="59">
        <v>379.8332177084192</v>
      </c>
      <c r="D30" s="39">
        <v>1.181291488541833</v>
      </c>
      <c r="E30" s="60">
        <v>-0.6189382295026344</v>
      </c>
    </row>
    <row r="31">
      <c r="A31" s="58" t="n">
        <v>2</v>
      </c>
      <c r="B31" s="59">
        <v>1171.3793411205852</v>
      </c>
      <c r="C31" s="59">
        <v>963.4243411205853</v>
      </c>
      <c r="D31" s="39">
        <v>2.9962755255740356</v>
      </c>
      <c r="E31" s="60">
        <v>-0.033459507879343375</v>
      </c>
    </row>
    <row r="32">
      <c r="A32" s="58" t="n">
        <v>3</v>
      </c>
      <c r="B32" s="59">
        <v>2221.0889696943605</v>
      </c>
      <c r="C32" s="59">
        <v>2013.1339696943605</v>
      </c>
      <c r="D32" s="39">
        <v>6.2609006080135385</v>
      </c>
      <c r="E32" s="60">
        <v>1.0196453574237219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2.9962755255740356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3.779423965004143</v>
      </c>
      <c r="C37" s="39">
        <v>4.035038715432289</v>
      </c>
      <c r="D37" s="39">
        <v>4.322754505144248</v>
      </c>
      <c r="E37" s="39">
        <v>4.648993945613608</v>
      </c>
      <c r="F37" s="39">
        <v>5.022014718008652</v>
      </c>
    </row>
    <row r="38">
      <c r="A38" s="62" t="n">
        <v>0.115</v>
      </c>
      <c r="B38" s="39">
        <v>3.1659918122943043</v>
      </c>
      <c r="C38" s="39">
        <v>3.3619786438880643</v>
      </c>
      <c r="D38" s="39">
        <v>3.5798647030394277</v>
      </c>
      <c r="E38" s="39">
        <v>3.823516516419395</v>
      </c>
      <c r="F38" s="39">
        <v>4.097767273161058</v>
      </c>
    </row>
    <row r="39">
      <c r="A39" s="62" t="n">
        <v>0.125</v>
      </c>
      <c r="B39" s="39">
        <v>2.6737320152349935</v>
      </c>
      <c r="C39" s="39">
        <v>2.827275208392297</v>
      </c>
      <c r="D39" s="39">
        <v>2.9962755255740356</v>
      </c>
      <c r="E39" s="39">
        <v>3.1831751839667177</v>
      </c>
      <c r="F39" s="39">
        <v>3.3909591411687985</v>
      </c>
    </row>
    <row r="40">
      <c r="A40" s="62" t="n">
        <v>0.135</v>
      </c>
      <c r="B40" s="39">
        <v>2.271649809886424</v>
      </c>
      <c r="C40" s="39">
        <v>2.3940969902491833</v>
      </c>
      <c r="D40" s="39">
        <v>2.527762823249573</v>
      </c>
      <c r="E40" s="39">
        <v>2.6742513295833663</v>
      </c>
      <c r="F40" s="39">
        <v>2.8354873554564475</v>
      </c>
    </row>
    <row r="41">
      <c r="A41" s="62" t="n">
        <v>0.145</v>
      </c>
      <c r="B41" s="39">
        <v>1.9383480933736468</v>
      </c>
      <c r="C41" s="39">
        <v>2.0374625565626774</v>
      </c>
      <c r="D41" s="39">
        <v>2.1449111535221066</v>
      </c>
      <c r="E41" s="39">
        <v>2.261782093526084</v>
      </c>
      <c r="F41" s="39">
        <v>2.38936146020313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17" t="inlineStr">
        <is>
          <t>MannKind Corporation: free-cash-flow DCF ($mm)</t>
        </is>
      </c>
    </row>
    <row r="3">
      <c r="A3" s="17" t="inlineStr">
        <is>
          <t>Fiscal year</t>
        </is>
      </c>
      <c r="B3" s="43">
        <f>'Yearly Model'!AI1</f>
        <v>2025</v>
      </c>
      <c r="C3" s="43">
        <f>'Yearly Model'!AJ1</f>
        <v>2026</v>
      </c>
      <c r="D3" s="43">
        <f>'Yearly Model'!AK1</f>
        <v>2027</v>
      </c>
      <c r="E3" s="43">
        <f>'Yearly Model'!AL1</f>
        <v>2028</v>
      </c>
      <c r="F3" s="43">
        <f>'Yearly Model'!AM1</f>
        <v>2029</v>
      </c>
      <c r="G3" s="43">
        <f>'Yearly Model'!AN1</f>
        <v>2030</v>
      </c>
      <c r="H3" s="43">
        <f>'Yearly Model'!AO1</f>
        <v>2031</v>
      </c>
      <c r="I3" s="43">
        <f>'Yearly Model'!AP1</f>
        <v>2032</v>
      </c>
      <c r="J3" s="43">
        <f>'Yearly Model'!AQ1</f>
        <v>2033</v>
      </c>
      <c r="K3" s="43">
        <f>'Yearly Model'!AR1</f>
        <v>2034</v>
      </c>
      <c r="L3" s="43">
        <f>'Yearly Model'!AS1</f>
        <v>2035</v>
      </c>
    </row>
    <row r="4">
      <c r="A4" s="14" t="inlineStr">
        <is>
          <t>Period</t>
        </is>
      </c>
      <c r="B4" s="20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0.2884</v>
      </c>
      <c r="D5" s="63">
        <f>Assumptions!$E$12+(Assumptions!$E$11-Assumptions!$E$12)*(D4-1)/(Assumptions!$B$21-1)</f>
        <v>0.2591333333333333</v>
      </c>
      <c r="E5" s="63">
        <f>Assumptions!$E$12+(Assumptions!$E$11-Assumptions!$E$12)*(E4-1)/(Assumptions!$B$21-1)</f>
        <v>0.22986666666666666</v>
      </c>
      <c r="F5" s="63">
        <f>Assumptions!$E$12+(Assumptions!$E$11-Assumptions!$E$12)*(F4-1)/(Assumptions!$B$21-1)</f>
        <v>0.2006</v>
      </c>
      <c r="G5" s="63">
        <f>Assumptions!$E$12+(Assumptions!$E$11-Assumptions!$E$12)*(G4-1)/(Assumptions!$B$21-1)</f>
        <v>0.17133333333333334</v>
      </c>
      <c r="H5" s="63">
        <f>Assumptions!$E$12+(Assumptions!$E$11-Assumptions!$E$12)*(H4-1)/(Assumptions!$B$21-1)</f>
        <v>0.14206666666666667</v>
      </c>
      <c r="I5" s="63">
        <f>Assumptions!$E$12+(Assumptions!$E$11-Assumptions!$E$12)*(I4-1)/(Assumptions!$B$21-1)</f>
        <v>0.11280000000000001</v>
      </c>
      <c r="J5" s="63">
        <f>Assumptions!$E$12+(Assumptions!$E$11-Assumptions!$E$12)*(J4-1)/(Assumptions!$B$21-1)</f>
        <v>0.08353333333333335</v>
      </c>
      <c r="K5" s="63">
        <f>Assumptions!$E$12+(Assumptions!$E$11-Assumptions!$E$12)*(K4-1)/(Assumptions!$B$21-1)</f>
        <v>0.054266666666666685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0.11118848254557746</v>
      </c>
      <c r="C6" s="63">
        <f>Assumptions!$B$18+(Assumptions!$E$13-Assumptions!$B$18)*C4/Assumptions!$B$21</f>
        <v>0.040970000000000006</v>
      </c>
      <c r="D6" s="63">
        <f>Assumptions!$B$18+(Assumptions!$E$13-Assumptions!$B$18)*D4/Assumptions!$B$21</f>
        <v>0.058640000000000005</v>
      </c>
      <c r="E6" s="63">
        <f>Assumptions!$B$18+(Assumptions!$E$13-Assumptions!$B$18)*E4/Assumptions!$B$21</f>
        <v>0.07631</v>
      </c>
      <c r="F6" s="63">
        <f>Assumptions!$B$18+(Assumptions!$E$13-Assumptions!$B$18)*F4/Assumptions!$B$21</f>
        <v>0.09398000000000001</v>
      </c>
      <c r="G6" s="63">
        <f>Assumptions!$B$18+(Assumptions!$E$13-Assumptions!$B$18)*G4/Assumptions!$B$21</f>
        <v>0.11165000000000001</v>
      </c>
      <c r="H6" s="63">
        <f>Assumptions!$B$18+(Assumptions!$E$13-Assumptions!$B$18)*H4/Assumptions!$B$21</f>
        <v>0.12932</v>
      </c>
      <c r="I6" s="63">
        <f>Assumptions!$B$18+(Assumptions!$E$13-Assumptions!$B$18)*I4/Assumptions!$B$21</f>
        <v>0.14699</v>
      </c>
      <c r="J6" s="63">
        <f>Assumptions!$B$18+(Assumptions!$E$13-Assumptions!$B$18)*J4/Assumptions!$B$21</f>
        <v>0.16466000000000003</v>
      </c>
      <c r="K6" s="63">
        <f>Assumptions!$B$18+(Assumptions!$E$13-Assumptions!$B$18)*K4/Assumptions!$B$21</f>
        <v>0.18233000000000005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Model'!AI2</f>
        <v>348.966</v>
      </c>
      <c r="C7" s="55">
        <f>'Yearly Model'!AJ2</f>
        <v>449.6077944</v>
      </c>
      <c r="D7" s="55">
        <f>'Yearly Model'!AK2</f>
        <v>566.11616085552</v>
      </c>
      <c r="E7" s="55">
        <f>'Yearly Model'!AL2</f>
        <v>696.2473956975089</v>
      </c>
      <c r="F7" s="55">
        <f>'Yearly Model'!AM2</f>
        <v>835.9146232744292</v>
      </c>
      <c r="G7" s="55">
        <f>'Yearly Model'!AN2</f>
        <v>979.1346620621148</v>
      </c>
      <c r="H7" s="55">
        <f>'Yearly Model'!AO2</f>
        <v>1118.2370597190725</v>
      </c>
      <c r="I7" s="55">
        <f>'Yearly Model'!AP2</f>
        <v>1244.3742000553839</v>
      </c>
      <c r="J7" s="55">
        <f>'Yearly Model'!AQ2</f>
        <v>1348.3209249000104</v>
      </c>
      <c r="K7" s="55">
        <f>'Yearly Model'!AR2</f>
        <v>1421.489807091251</v>
      </c>
      <c r="L7" s="55">
        <f>'Yearly Model'!AS2</f>
        <v>1457.027052268532</v>
      </c>
    </row>
    <row r="8">
      <c r="A8" s="14" t="inlineStr">
        <is>
          <t>Operating income</t>
        </is>
      </c>
      <c r="B8" s="55">
        <f>'Yearly Model'!AI8</f>
        <v>38.80099999999999</v>
      </c>
      <c r="C8" s="55">
        <f>'Yearly Model'!AJ8</f>
        <v>18.420431336568015</v>
      </c>
      <c r="D8" s="55">
        <f>'Yearly Model'!AK8</f>
        <v>33.19705167256768</v>
      </c>
      <c r="E8" s="55">
        <f>'Yearly Model'!AL8</f>
        <v>53.13063876567696</v>
      </c>
      <c r="F8" s="55">
        <f>'Yearly Model'!AM8</f>
        <v>78.5592562953309</v>
      </c>
      <c r="G8" s="55">
        <f>'Yearly Model'!AN8</f>
        <v>109.32038501923512</v>
      </c>
      <c r="H8" s="55">
        <f>'Yearly Model'!AO8</f>
        <v>144.61041656287045</v>
      </c>
      <c r="I8" s="55">
        <f>'Yearly Model'!AP8</f>
        <v>182.9105636661409</v>
      </c>
      <c r="J8" s="55">
        <f>'Yearly Model'!AQ8</f>
        <v>222.01452349403576</v>
      </c>
      <c r="K8" s="55">
        <f>'Yearly Model'!AR8</f>
        <v>259.18023652694774</v>
      </c>
      <c r="L8" s="55">
        <f>'Yearly Model'!AS8</f>
        <v>291.4054104537065</v>
      </c>
    </row>
    <row r="9">
      <c r="A9" s="14" t="inlineStr">
        <is>
          <t>Tax on operating income</t>
        </is>
      </c>
      <c r="C9" s="52">
        <f>MAX(0,C8)*Assumptions!$E$14</f>
        <v>3.131473327216563</v>
      </c>
      <c r="D9" s="52">
        <f>MAX(0,D8)*Assumptions!$E$14</f>
        <v>5.643498784336506</v>
      </c>
      <c r="E9" s="52">
        <f>MAX(0,E8)*Assumptions!$E$14</f>
        <v>9.032208590165084</v>
      </c>
      <c r="F9" s="52">
        <f>MAX(0,F8)*Assumptions!$E$14</f>
        <v>13.355073570206253</v>
      </c>
      <c r="G9" s="52">
        <f>MAX(0,G8)*Assumptions!$E$14</f>
        <v>18.58446545326997</v>
      </c>
      <c r="H9" s="52">
        <f>MAX(0,H8)*Assumptions!$E$14</f>
        <v>24.58377081568798</v>
      </c>
      <c r="I9" s="52">
        <f>MAX(0,I8)*Assumptions!$E$14</f>
        <v>31.094795823243953</v>
      </c>
      <c r="J9" s="52">
        <f>MAX(0,J8)*Assumptions!$E$14</f>
        <v>37.74246899398608</v>
      </c>
      <c r="K9" s="52">
        <f>MAX(0,K8)*Assumptions!$E$14</f>
        <v>44.060640209581116</v>
      </c>
      <c r="L9" s="52">
        <f>MAX(0,L8)*Assumptions!$E$14</f>
        <v>49.53891977713011</v>
      </c>
    </row>
    <row r="10">
      <c r="A10" s="14" t="inlineStr">
        <is>
          <t>NOPAT</t>
        </is>
      </c>
      <c r="C10" s="52">
        <f>C8-C9</f>
        <v>15.288958009351452</v>
      </c>
      <c r="D10" s="52">
        <f>D8-D9</f>
        <v>27.553552888231174</v>
      </c>
      <c r="E10" s="52">
        <f>E8-E9</f>
        <v>44.09843017551188</v>
      </c>
      <c r="F10" s="52">
        <f>F8-F9</f>
        <v>65.20418272512464</v>
      </c>
      <c r="G10" s="52">
        <f>G8-G9</f>
        <v>90.73591956596515</v>
      </c>
      <c r="H10" s="52">
        <f>H8-H9</f>
        <v>120.02664574718247</v>
      </c>
      <c r="I10" s="52">
        <f>I8-I9</f>
        <v>151.81576784289695</v>
      </c>
      <c r="J10" s="52">
        <f>J8-J9</f>
        <v>184.27205450004968</v>
      </c>
      <c r="K10" s="52">
        <f>K8-K9</f>
        <v>215.11959631736661</v>
      </c>
      <c r="L10" s="52">
        <f>L8-L9</f>
        <v>241.8664906765764</v>
      </c>
    </row>
    <row r="11">
      <c r="A11" s="14" t="inlineStr">
        <is>
          <t>Reinvestment</t>
        </is>
      </c>
      <c r="C11" s="52">
        <f>(C7-B7)*Assumptions!$E$15</f>
        <v>25.160448599999995</v>
      </c>
      <c r="D11" s="52">
        <f>(D7-C7)*Assumptions!$E$15</f>
        <v>29.127091613879998</v>
      </c>
      <c r="E11" s="52">
        <f>(E7-D7)*Assumptions!$E$15</f>
        <v>32.53280871049722</v>
      </c>
      <c r="F11" s="52">
        <f>(F7-E7)*Assumptions!$E$15</f>
        <v>34.91680689423009</v>
      </c>
      <c r="G11" s="52">
        <f>(G7-F7)*Assumptions!$E$15</f>
        <v>35.80500969692139</v>
      </c>
      <c r="H11" s="52">
        <f>(H7-G7)*Assumptions!$E$15</f>
        <v>34.77559941423942</v>
      </c>
      <c r="I11" s="52">
        <f>(I7-H7)*Assumptions!$E$15</f>
        <v>31.53428508407785</v>
      </c>
      <c r="J11" s="52">
        <f>(J7-I7)*Assumptions!$E$15</f>
        <v>25.986681211156622</v>
      </c>
      <c r="K11" s="52">
        <f>(K7-J7)*Assumptions!$E$15</f>
        <v>18.292220547810132</v>
      </c>
      <c r="L11" s="52">
        <f>(L7-K7)*Assumptions!$E$15</f>
        <v>8.884311294320298</v>
      </c>
    </row>
    <row r="12">
      <c r="A12" s="17" t="inlineStr">
        <is>
          <t>Free cash flow</t>
        </is>
      </c>
      <c r="C12" s="64">
        <f>C10-C11</f>
        <v>-9.871490590648543</v>
      </c>
      <c r="D12" s="64">
        <f>D10-D11</f>
        <v>-1.5735387256488238</v>
      </c>
      <c r="E12" s="64">
        <f>E10-E11</f>
        <v>11.565621465014658</v>
      </c>
      <c r="F12" s="64">
        <f>F10-F11</f>
        <v>30.287375830894547</v>
      </c>
      <c r="G12" s="64">
        <f>G10-G11</f>
        <v>54.93090986904376</v>
      </c>
      <c r="H12" s="64">
        <f>H10-H11</f>
        <v>85.25104633294305</v>
      </c>
      <c r="I12" s="64">
        <f>I10-I11</f>
        <v>120.2814827588191</v>
      </c>
      <c r="J12" s="64">
        <f>J10-J11</f>
        <v>158.28537328889306</v>
      </c>
      <c r="K12" s="64">
        <f>K10-K11</f>
        <v>196.82737576955648</v>
      </c>
      <c r="L12" s="64">
        <f>L10-L11</f>
        <v>232.9821793822561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17" t="inlineStr">
        <is>
          <t>PV of free cash flow</t>
        </is>
      </c>
      <c r="C16" s="64">
        <f>C12*C13*C15</f>
        <v>-4.8306596525566725</v>
      </c>
      <c r="D16" s="64">
        <f>D12*D13*D15</f>
        <v>-1.3980258051624646</v>
      </c>
      <c r="E16" s="64">
        <f>E12*E13*E15</f>
        <v>9.133856911756144</v>
      </c>
      <c r="F16" s="64">
        <f>F12*F13*F15</f>
        <v>21.261522188076988</v>
      </c>
      <c r="G16" s="64">
        <f>G12*G13*G15</f>
        <v>34.276540108117054</v>
      </c>
      <c r="H16" s="64">
        <f>H12*H13*H15</f>
        <v>47.2854341063295</v>
      </c>
      <c r="I16" s="64">
        <f>I12*I13*I15</f>
        <v>59.302624392341976</v>
      </c>
      <c r="J16" s="64">
        <f>J12*J13*J15</f>
        <v>69.36867549651247</v>
      </c>
      <c r="K16" s="64">
        <f>K12*K13*K15</f>
        <v>76.6753200242178</v>
      </c>
      <c r="L16" s="64">
        <f>L12*L13*L15</f>
        <v>80.67524186490614</v>
      </c>
    </row>
    <row r="19">
      <c r="A19" s="14" t="inlineStr">
        <is>
          <t>PV of forecast free cash flow</t>
        </is>
      </c>
      <c r="B19" s="52">
        <f>SUM(C16:L16)</f>
        <v>391.75052963453885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238.80673386681246</v>
      </c>
    </row>
    <row r="21">
      <c r="A21" s="14" t="inlineStr">
        <is>
          <t>Terminal value</t>
        </is>
      </c>
      <c r="B21" s="52">
        <f>B20/(Assumptions!$E$10-Assumptions!$E$11)</f>
        <v>2388.0673386681246</v>
      </c>
    </row>
    <row r="22">
      <c r="A22" s="14" t="inlineStr">
        <is>
          <t>PV of terminal value</t>
        </is>
      </c>
      <c r="B22" s="52">
        <f>B21/(1+Assumptions!$E$10)^(L14+0.5)</f>
        <v>779.6288114860463</v>
      </c>
    </row>
    <row r="23">
      <c r="A23" s="17" t="inlineStr">
        <is>
          <t>Enterprise value</t>
        </is>
      </c>
      <c r="B23" s="66">
        <f>B19+B22</f>
        <v>1171.3793411205852</v>
      </c>
    </row>
    <row r="24">
      <c r="A24" s="14" t="inlineStr">
        <is>
          <t>Cash &amp; investments</t>
        </is>
      </c>
      <c r="B24" s="55">
        <f>Main!C7</f>
        <v>111.13</v>
      </c>
    </row>
    <row r="25">
      <c r="A25" s="14" t="inlineStr">
        <is>
          <t>Debt</t>
        </is>
      </c>
      <c r="B25" s="55">
        <f>Main!C8</f>
        <v>319.085</v>
      </c>
    </row>
    <row r="26">
      <c r="A26" s="17" t="inlineStr">
        <is>
          <t>Equity value</t>
        </is>
      </c>
      <c r="B26" s="66">
        <f>B23+B24-B25</f>
        <v>963.4243411205853</v>
      </c>
    </row>
    <row r="27">
      <c r="A27" s="14" t="inlineStr">
        <is>
          <t>Shares (mm)</t>
        </is>
      </c>
      <c r="B27" s="55">
        <f>Main!C4</f>
        <v>321.540637</v>
      </c>
    </row>
    <row r="28">
      <c r="A28" s="17" t="inlineStr">
        <is>
          <t>NPV / share</t>
        </is>
      </c>
      <c r="B28" s="49">
        <f>B26/B27</f>
        <v>2.9962755255740356</v>
      </c>
    </row>
    <row r="29">
      <c r="A29" s="14" t="inlineStr">
        <is>
          <t>Price</t>
        </is>
      </c>
      <c r="B29" s="50">
        <f>Main!C3</f>
        <v>3.1</v>
      </c>
    </row>
    <row r="30">
      <c r="A30" s="14" t="inlineStr">
        <is>
          <t>Upside</t>
        </is>
      </c>
      <c r="B30" s="63">
        <f>B28/B29-1</f>
        <v>-0.033459507879343375</v>
      </c>
    </row>
    <row r="31">
      <c r="A31" s="14" t="inlineStr">
        <is>
          <t>Terminal value, % of EV</t>
        </is>
      </c>
      <c r="B31" s="63">
        <f>IFERROR(B22/B23,0)</f>
        <v>0.6655647612328763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2026-10-21T06:23:56Z</dcterms:modified>
  <cp:lastModifiedBy>Wang, Eric</cp:lastModifiedBy>
</cp:coreProperties>
</file>