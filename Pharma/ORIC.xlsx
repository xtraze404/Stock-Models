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ORIC Pharmaceuticals, Inc.</t>
        </is>
      </c>
      <c r="C2" s="10" t="n"/>
    </row>
    <row r="3">
      <c r="B3" t="inlineStr">
        <is>
          <t>Price</t>
        </is>
      </c>
      <c r="C3" s="11">
        <f>INDEX([1]Pharma!$F$1:$F$1000,MATCH("ORIC",[1]Pharma!$B$1:$B$1000,0))</f>
        <v>13.78</v>
      </c>
      <c r="F3" s="1" t="n"/>
    </row>
    <row r="4">
      <c r="B4" t="inlineStr">
        <is>
          <t>Shares</t>
        </is>
      </c>
      <c r="C4" s="21" t="n">
        <v>103.652656</v>
      </c>
      <c r="F4" s="1" t="n"/>
    </row>
    <row r="5">
      <c r="B5" t="inlineStr">
        <is>
          <t>Market Cap.</t>
        </is>
      </c>
      <c r="C5" s="13">
        <f>C3*C4</f>
        <v>1428.33359968</v>
      </c>
      <c r="F5" s="1" t="n"/>
    </row>
    <row r="6"/>
    <row r="7">
      <c r="B7" t="inlineStr">
        <is>
          <t>Cash</t>
        </is>
      </c>
      <c r="C7" s="21">
        <f>37.483+227.278</f>
        <v>264.76099999999997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1163.57259968</v>
      </c>
    </row>
    <row r="10"/>
    <row r="11">
      <c r="B11" s="14" t="inlineStr">
        <is>
          <t>Net Cash / Share</t>
        </is>
      </c>
      <c r="C11" s="11">
        <f>(C7-C8)/C4</f>
        <v>2.5543098480756727</v>
      </c>
    </row>
    <row r="12">
      <c r="B12" s="14" t="inlineStr">
        <is>
          <t>Upside</t>
        </is>
      </c>
      <c r="C12" s="15">
        <f>IFERROR(C11/C3-1,"")</f>
        <v>-0.8146364406331152</v>
      </c>
    </row>
    <row r="13">
      <c r="B13" s="14" t="inlineStr">
        <is>
          <t>Cash / Share</t>
        </is>
      </c>
      <c r="C13" s="11">
        <f>IFERROR((C7-C8)/C4,"")</f>
        <v>2.5543098480756727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-111.638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2.3716028592414764</v>
      </c>
    </row>
    <row r="19">
      <c r="B19" s="14" t="inlineStr">
        <is>
          <t>Implied Pipeline Value</t>
        </is>
      </c>
      <c r="C19" s="13">
        <f>C9</f>
        <v>1163.57259968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19.026</v>
      </c>
      <c r="C5" s="23" t="n">
        <v>22.844</v>
      </c>
      <c r="D5" s="23" t="n">
        <v>35.921</v>
      </c>
      <c r="E5" s="23" t="n">
        <v>56.858</v>
      </c>
      <c r="F5" s="23" t="n">
        <v>61.68</v>
      </c>
      <c r="G5" s="23" t="n">
        <v>85.172</v>
      </c>
      <c r="H5" s="23" t="n">
        <v>114.072</v>
      </c>
      <c r="I5" s="23" t="n">
        <v>109.818</v>
      </c>
      <c r="J5" s="1" t="n"/>
      <c r="K5" s="1" t="n"/>
    </row>
    <row r="6">
      <c r="A6" s="19" t="inlineStr">
        <is>
          <t>SG&amp;A &amp; Other</t>
        </is>
      </c>
      <c r="B6" s="23" t="n">
        <v>3.345</v>
      </c>
      <c r="C6" s="23" t="n">
        <v>5.725</v>
      </c>
      <c r="D6" s="23" t="n">
        <v>38.265</v>
      </c>
      <c r="E6" s="23" t="n">
        <v>22.013</v>
      </c>
      <c r="F6" s="23" t="n">
        <v>30.087</v>
      </c>
      <c r="G6" s="23" t="n">
        <v>25.608</v>
      </c>
      <c r="H6" s="23" t="n">
        <v>28.823</v>
      </c>
      <c r="I6" s="23" t="n">
        <v>33.186</v>
      </c>
      <c r="J6" s="1" t="n"/>
      <c r="K6" s="1" t="n"/>
    </row>
    <row r="7">
      <c r="A7" s="2" t="inlineStr">
        <is>
          <t>Operating Expense</t>
        </is>
      </c>
      <c r="B7" s="23">
        <f>SUM(B5:B6)</f>
        <v>22.371</v>
      </c>
      <c r="C7" s="23">
        <f>SUM(C5:C6)</f>
        <v>28.569000000000003</v>
      </c>
      <c r="D7" s="23">
        <f>SUM(D5:D6)</f>
        <v>74.186</v>
      </c>
      <c r="E7" s="23">
        <f>SUM(E5:E6)</f>
        <v>78.871</v>
      </c>
      <c r="F7" s="23">
        <f>SUM(F5:F6)</f>
        <v>91.767</v>
      </c>
      <c r="G7" s="23">
        <f>SUM(G5:G6)</f>
        <v>110.78</v>
      </c>
      <c r="H7" s="23">
        <f>SUM(H5:H6)</f>
        <v>142.895</v>
      </c>
      <c r="I7" s="23">
        <f>SUM(I5:I6)</f>
        <v>143.004</v>
      </c>
      <c r="J7" s="1" t="n"/>
      <c r="K7" s="1" t="n"/>
    </row>
    <row r="8">
      <c r="A8" s="2" t="inlineStr">
        <is>
          <t>Operating Income</t>
        </is>
      </c>
      <c r="B8" s="23">
        <f>B4-B7</f>
        <v>-22.371</v>
      </c>
      <c r="C8" s="23">
        <f>C4-C7</f>
        <v>-28.569000000000003</v>
      </c>
      <c r="D8" s="23">
        <f>D4-D7</f>
        <v>-74.186</v>
      </c>
      <c r="E8" s="23">
        <f>E4-E7</f>
        <v>-78.871</v>
      </c>
      <c r="F8" s="23">
        <f>F4-F7</f>
        <v>-91.767</v>
      </c>
      <c r="G8" s="23">
        <f>G4-G7</f>
        <v>-110.78</v>
      </c>
      <c r="H8" s="23">
        <f>H4-H7</f>
        <v>-142.895</v>
      </c>
      <c r="I8" s="23">
        <f>I4-I7</f>
        <v>-143.004</v>
      </c>
      <c r="J8" s="1" t="n"/>
      <c r="K8" s="1" t="n"/>
    </row>
    <row r="9">
      <c r="A9" s="19" t="inlineStr">
        <is>
          <t>Interest &amp; Other</t>
        </is>
      </c>
      <c r="B9" s="23" t="n">
        <v>1.008</v>
      </c>
      <c r="C9" s="23" t="n">
        <v>1.686</v>
      </c>
      <c r="D9" s="23" t="n">
        <v>0.483</v>
      </c>
      <c r="E9" s="23" t="n">
        <v>0.156</v>
      </c>
      <c r="F9" s="23" t="n">
        <v>2.645</v>
      </c>
      <c r="G9" s="23" t="n">
        <v>10.083</v>
      </c>
      <c r="H9" s="23" t="n">
        <v>15.048</v>
      </c>
      <c r="I9" s="23" t="n">
        <v>13.536</v>
      </c>
    </row>
    <row r="10">
      <c r="A10" s="2" t="inlineStr">
        <is>
          <t>Pretax</t>
        </is>
      </c>
      <c r="B10" s="23">
        <f>B8+B9</f>
        <v>-21.363</v>
      </c>
      <c r="C10" s="23">
        <f>C8+C9</f>
        <v>-26.883000000000003</v>
      </c>
      <c r="D10" s="23">
        <f>D8+D9</f>
        <v>-73.703</v>
      </c>
      <c r="E10" s="23">
        <f>E8+E9</f>
        <v>-78.71499999999999</v>
      </c>
      <c r="F10" s="23">
        <f>F8+F9</f>
        <v>-89.122</v>
      </c>
      <c r="G10" s="23">
        <f>G8+G9</f>
        <v>-100.697</v>
      </c>
      <c r="H10" s="23">
        <f>H8+H9</f>
        <v>-127.84700000000001</v>
      </c>
      <c r="I10" s="23">
        <f>I8+I9</f>
        <v>-129.468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-21.363</v>
      </c>
      <c r="C12" s="23" t="n">
        <v>-26.883</v>
      </c>
      <c r="D12" s="23" t="n">
        <v>-73.703</v>
      </c>
      <c r="E12" s="23" t="n">
        <v>-78.715</v>
      </c>
      <c r="F12" s="23" t="n">
        <v>-89.122</v>
      </c>
      <c r="G12" s="23" t="n">
        <v>-100.697</v>
      </c>
      <c r="H12" s="23" t="n">
        <v>-127.847</v>
      </c>
      <c r="I12" s="23" t="n">
        <v>-129.468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-12.320069204152249</v>
      </c>
      <c r="C13" s="11">
        <f>IFERROR(C12/C14,0)</f>
        <v>-14.156398104265403</v>
      </c>
      <c r="D13" s="11">
        <f>IFERROR(D12/D14,0)</f>
        <v>-3.358991887703947</v>
      </c>
      <c r="E13" s="11">
        <f>IFERROR(E12/E14,0)</f>
        <v>-2.0739579490962745</v>
      </c>
      <c r="F13" s="11">
        <f>IFERROR(F12/F14,0)</f>
        <v>-2.2474341192787795</v>
      </c>
      <c r="G13" s="11">
        <f>IFERROR(G12/G14,0)</f>
        <v>-1.957143690112923</v>
      </c>
      <c r="H13" s="11">
        <f>IFERROR(H12/H14,0)</f>
        <v>-1.833510211106012</v>
      </c>
      <c r="I13" s="11">
        <f>IFERROR(I12/I14,0)</f>
        <v>-1.4746793630544228</v>
      </c>
    </row>
    <row r="14">
      <c r="A14" s="2" t="inlineStr">
        <is>
          <t>Shares</t>
        </is>
      </c>
      <c r="B14" s="23" t="n">
        <v>1.734</v>
      </c>
      <c r="C14" s="23" t="n">
        <v>1.899</v>
      </c>
      <c r="D14" s="23" t="n">
        <v>21.942</v>
      </c>
      <c r="E14" s="23" t="n">
        <v>37.954</v>
      </c>
      <c r="F14" s="23" t="n">
        <v>39.655</v>
      </c>
      <c r="G14" s="23" t="n">
        <v>51.451</v>
      </c>
      <c r="H14" s="23" t="n">
        <v>69.72799999999999</v>
      </c>
      <c r="I14" s="23" t="n">
        <v>87.794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2026-10-21T01:04:45Z</dcterms:modified>
  <cp:lastModifiedBy>Wang, Eric</cp:lastModifiedBy>
</cp:coreProperties>
</file>