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AstraZeneca PLC</t>
        </is>
      </c>
      <c r="C2" s="10" t="n"/>
    </row>
    <row r="3">
      <c r="B3" t="inlineStr">
        <is>
          <t>Price</t>
        </is>
      </c>
      <c r="C3" s="11">
        <f>INDEX([1]Pharma!$F$1:$F$1000,MATCH("AZN",[1]Pharma!$B$1:$B$1000,0))</f>
        <v>168.82</v>
      </c>
      <c r="F3" s="1" t="n"/>
    </row>
    <row r="4">
      <c r="B4" t="inlineStr">
        <is>
          <t>Shares</t>
        </is>
      </c>
      <c r="C4" s="51" t="n">
        <v>1550.957927</v>
      </c>
      <c r="F4" s="1" t="n"/>
    </row>
    <row r="5">
      <c r="B5" t="inlineStr">
        <is>
          <t>Market Cap.</t>
        </is>
      </c>
      <c r="C5" s="13">
        <f>C3*C4</f>
        <v>261832.71723614</v>
      </c>
      <c r="F5" s="1" t="n"/>
    </row>
    <row r="6"/>
    <row r="7">
      <c r="B7" t="inlineStr">
        <is>
          <t>Cash</t>
        </is>
      </c>
      <c r="C7" s="51">
        <f>5711+30</f>
        <v>5741.0</v>
      </c>
    </row>
    <row r="8">
      <c r="B8" t="inlineStr">
        <is>
          <t>Debt</t>
        </is>
      </c>
      <c r="C8" s="51">
        <f>3104+24715</f>
        <v>27819.0</v>
      </c>
    </row>
    <row r="9">
      <c r="B9" t="inlineStr">
        <is>
          <t>Enterprise V.</t>
        </is>
      </c>
      <c r="C9" s="13">
        <f>C5-C7+C8</f>
        <v>283910.71723614</v>
      </c>
    </row>
    <row r="10"/>
    <row r="11">
      <c r="B11" s="14" t="inlineStr">
        <is>
          <t>NPV / Share</t>
        </is>
      </c>
      <c r="C11" s="11">
        <f>NPV!B28</f>
        <v>142.276648139986</v>
      </c>
    </row>
    <row r="12">
      <c r="B12" s="14" t="inlineStr">
        <is>
          <t>Upside</t>
        </is>
      </c>
      <c r="C12" s="15">
        <f>IFERROR(C11/C3-1,"")</f>
        <v>-0.1572287161474587</v>
      </c>
    </row>
    <row r="13">
      <c r="B13" s="14" t="inlineStr">
        <is>
          <t>Cash / Share</t>
        </is>
      </c>
      <c r="C13" s="11">
        <f>IFERROR((C7-C8)/C4,"")</f>
        <v>-14.23507344438751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24708</v>
      </c>
      <c r="C2" s="52" t="n">
        <v>23002</v>
      </c>
      <c r="D2" s="52" t="n">
        <v>22465</v>
      </c>
      <c r="E2" s="52" t="n">
        <v>22090</v>
      </c>
      <c r="F2" s="52" t="n">
        <v>24384</v>
      </c>
      <c r="G2" s="52" t="n">
        <v>26617</v>
      </c>
      <c r="H2" s="52" t="n">
        <v>37417</v>
      </c>
      <c r="I2" s="52" t="n">
        <v>44351</v>
      </c>
      <c r="J2" s="52" t="n">
        <v>45811</v>
      </c>
      <c r="K2" s="52" t="n">
        <v>54073</v>
      </c>
      <c r="L2" s="52" t="n">
        <v>58739</v>
      </c>
      <c r="M2" s="52">
        <f>L2*(1+NPV!C5)</f>
        <v>63808.1757</v>
      </c>
      <c r="N2" s="52">
        <f>M2*(1+NPV!D5)</f>
        <v>68880.21668842</v>
      </c>
      <c r="O2" s="52">
        <f>N2*(1+NPV!E5)</f>
        <v>73886.27777018618</v>
      </c>
      <c r="P2" s="52">
        <f>O2*(1+NPV!F5)</f>
        <v>78752.92059931578</v>
      </c>
      <c r="Q2" s="52">
        <f>P2*(1+NPV!G5)</f>
        <v>83403.71807693093</v>
      </c>
      <c r="R2" s="52">
        <f>Q2*(1+NPV!H5)</f>
        <v>87761.09899246127</v>
      </c>
      <c r="S2" s="52">
        <f>R2*(1+NPV!I5)</f>
        <v>91748.37825668544</v>
      </c>
      <c r="T2" s="52">
        <f>S2*(1+NPV!J5)</f>
        <v>95291.90451024364</v>
      </c>
      <c r="U2" s="52">
        <f>T2*(1+NPV!K5)</f>
        <v>98323.24587260837</v>
      </c>
      <c r="V2" s="52">
        <f>U2*(1+NPV!L5)</f>
        <v>100781.32701942357</v>
      </c>
    </row>
    <row r="3" customFormat="1" s="1">
      <c r="A3" s="5" t="inlineStr">
        <is>
          <t>Cost of Sales</t>
        </is>
      </c>
      <c r="B3" s="52" t="n">
        <v>4646</v>
      </c>
      <c r="C3" s="52" t="n">
        <v>4126</v>
      </c>
      <c r="D3" s="52" t="n">
        <v>4318</v>
      </c>
      <c r="E3" s="52" t="n">
        <v>4936</v>
      </c>
      <c r="F3" s="52" t="n">
        <v>4921</v>
      </c>
      <c r="G3" s="52" t="n">
        <v>5299</v>
      </c>
      <c r="H3" s="52" t="n">
        <v>12437</v>
      </c>
      <c r="I3" s="52" t="n">
        <v>12391</v>
      </c>
      <c r="J3" s="52" t="n">
        <v>8268</v>
      </c>
      <c r="K3" s="52" t="n">
        <v>10207</v>
      </c>
      <c r="L3" s="52" t="n">
        <v>10633</v>
      </c>
      <c r="M3" s="52">
        <f>M2*(1-Assumptions!$B$19)</f>
        <v>11549.279801700002</v>
      </c>
      <c r="N3" s="52">
        <f>N2*(1-Assumptions!$B$19)</f>
        <v>12467.319220604022</v>
      </c>
      <c r="O3" s="52">
        <f>O2*(1-Assumptions!$B$19)</f>
        <v>13373.416276403701</v>
      </c>
      <c r="P3" s="52">
        <f>P2*(1-Assumptions!$B$19)</f>
        <v>14254.27862847616</v>
      </c>
      <c r="Q3" s="52">
        <f>Q2*(1-Assumptions!$B$19)</f>
        <v>15096.072971924503</v>
      </c>
      <c r="R3" s="52">
        <f>R2*(1-Assumptions!$B$19)</f>
        <v>15884.758917635494</v>
      </c>
      <c r="S3" s="52">
        <f>S2*(1-Assumptions!$B$19)</f>
        <v>16606.45646446007</v>
      </c>
      <c r="T3" s="52">
        <f>T2*(1-Assumptions!$B$19)</f>
        <v>17247.834716354104</v>
      </c>
      <c r="U3" s="52">
        <f>U2*(1-Assumptions!$B$19)</f>
        <v>17796.50750294212</v>
      </c>
      <c r="V3" s="52">
        <f>V2*(1-Assumptions!$B$19)</f>
        <v>18241.42019051567</v>
      </c>
    </row>
    <row r="4" customFormat="1" s="1">
      <c r="A4" s="5" t="inlineStr">
        <is>
          <t>Gross Margin</t>
        </is>
      </c>
      <c r="B4" s="52">
        <f>B2-B3</f>
        <v>20062.0</v>
      </c>
      <c r="C4" s="52">
        <f>C2-C3</f>
        <v>18876.0</v>
      </c>
      <c r="D4" s="52">
        <f>D2-D3</f>
        <v>18147.0</v>
      </c>
      <c r="E4" s="52">
        <f>E2-E3</f>
        <v>17154.0</v>
      </c>
      <c r="F4" s="52">
        <f>F2-F3</f>
        <v>19463.0</v>
      </c>
      <c r="G4" s="52">
        <f>G2-G3</f>
        <v>21318.0</v>
      </c>
      <c r="H4" s="52">
        <f>H2-H3</f>
        <v>24980.0</v>
      </c>
      <c r="I4" s="52">
        <f>I2-I3</f>
        <v>31960.0</v>
      </c>
      <c r="J4" s="52">
        <f>J2-J3</f>
        <v>37543.0</v>
      </c>
      <c r="K4" s="52">
        <f>K2-K3</f>
        <v>43866.0</v>
      </c>
      <c r="L4" s="52">
        <f>L2-L3</f>
        <v>48106.0</v>
      </c>
      <c r="M4" s="52">
        <f>M2-M3</f>
        <v>52258.8958983</v>
      </c>
      <c r="N4" s="52">
        <f>N2-N3</f>
        <v>56412.89746781597</v>
      </c>
      <c r="O4" s="52">
        <f>O2-O3</f>
        <v>60512.861493782475</v>
      </c>
      <c r="P4" s="52">
        <f>P2-P3</f>
        <v>64498.64197083962</v>
      </c>
      <c r="Q4" s="52">
        <f>Q2-Q3</f>
        <v>68307.64510500644</v>
      </c>
      <c r="R4" s="52">
        <f>R2-R3</f>
        <v>71876.34007482577</v>
      </c>
      <c r="S4" s="52">
        <f>S2-S3</f>
        <v>75141.92179222536</v>
      </c>
      <c r="T4" s="52">
        <f>T2-T3</f>
        <v>78044.06979388953</v>
      </c>
      <c r="U4" s="52">
        <f>U2-U3</f>
        <v>80526.73836966624</v>
      </c>
      <c r="V4" s="52">
        <f>V2-V3</f>
        <v>82539.9068289079</v>
      </c>
    </row>
    <row r="5">
      <c r="A5" s="2" t="inlineStr">
        <is>
          <t>Research &amp; Dev.</t>
        </is>
      </c>
      <c r="B5" s="52" t="n">
        <v>5997</v>
      </c>
      <c r="C5" s="52" t="n">
        <v>5890</v>
      </c>
      <c r="D5" s="52" t="n">
        <v>5757</v>
      </c>
      <c r="E5" s="52" t="n">
        <v>5932</v>
      </c>
      <c r="F5" s="52" t="n">
        <v>6059</v>
      </c>
      <c r="G5" s="52" t="n">
        <v>5991</v>
      </c>
      <c r="H5" s="52" t="n">
        <v>9736</v>
      </c>
      <c r="I5" s="52" t="n">
        <v>9762</v>
      </c>
      <c r="J5" s="52" t="n">
        <v>10935</v>
      </c>
      <c r="K5" s="52" t="n">
        <v>13583</v>
      </c>
      <c r="L5" s="52" t="n">
        <v>14232</v>
      </c>
      <c r="M5" s="52">
        <f>M7*Assumptions!$B$20</f>
        <v>15525.919527958502</v>
      </c>
      <c r="N5" s="52">
        <f>N7*Assumptions!$B$20</f>
        <v>16829.956575307464</v>
      </c>
      <c r="O5" s="52">
        <f>O7*Assumptions!$B$20</f>
        <v>18128.09947511572</v>
      </c>
      <c r="P5" s="52">
        <f>P7*Assumptions!$B$20</f>
        <v>19402.054636838326</v>
      </c>
      <c r="Q5" s="52">
        <f>Q7*Assumptions!$B$20</f>
        <v>20632.49101140335</v>
      </c>
      <c r="R5" s="52">
        <f>R7*Assumptions!$B$20</f>
        <v>21799.483127445666</v>
      </c>
      <c r="S5" s="52">
        <f>S7*Assumptions!$B$20</f>
        <v>22883.011647640385</v>
      </c>
      <c r="T5" s="52">
        <f>T7*Assumptions!$B$20</f>
        <v>23863.505680387203</v>
      </c>
      <c r="U5" s="52">
        <f>U7*Assumptions!$B$20</f>
        <v>24722.40775776569</v>
      </c>
      <c r="V5" s="52">
        <f>V7*Assumptions!$B$20</f>
        <v>25442.739834555872</v>
      </c>
    </row>
    <row r="6">
      <c r="A6" s="18" t="inlineStr">
        <is>
          <t>SG&amp;A &amp; Other</t>
        </is>
      </c>
      <c r="B6" s="52" t="n">
        <v>9951</v>
      </c>
      <c r="C6" s="52" t="n">
        <v>8084</v>
      </c>
      <c r="D6" s="52" t="n">
        <v>8713</v>
      </c>
      <c r="E6" s="52" t="n">
        <v>7835</v>
      </c>
      <c r="F6" s="52" t="n">
        <v>10480</v>
      </c>
      <c r="G6" s="52" t="n">
        <v>10165</v>
      </c>
      <c r="H6" s="52" t="n">
        <v>14188</v>
      </c>
      <c r="I6" s="52" t="n">
        <v>18441</v>
      </c>
      <c r="J6" s="52" t="n">
        <v>18415</v>
      </c>
      <c r="K6" s="52" t="n">
        <v>20280</v>
      </c>
      <c r="L6" s="52" t="n">
        <v>20131</v>
      </c>
      <c r="M6" s="52">
        <f>M7-M5</f>
        <v>21958.193287006492</v>
      </c>
      <c r="N6" s="52">
        <f>N7-N5</f>
        <v>23802.483249191486</v>
      </c>
      <c r="O6" s="52">
        <f>O7-O5</f>
        <v>25638.437162054055</v>
      </c>
      <c r="P6" s="52">
        <f>P7-P5</f>
        <v>27440.182535634693</v>
      </c>
      <c r="Q6" s="52">
        <f>Q7-Q5</f>
        <v>29180.379610043652</v>
      </c>
      <c r="R6" s="52">
        <f>R7-R5</f>
        <v>30830.847938333347</v>
      </c>
      <c r="S6" s="52">
        <f>S7-S5</f>
        <v>32363.27431962274</v>
      </c>
      <c r="T6" s="52">
        <f>T7-T5</f>
        <v>33749.9797865061</v>
      </c>
      <c r="U6" s="52">
        <f>U7-U5</f>
        <v>34964.71864920121</v>
      </c>
      <c r="V6" s="52">
        <f>V7-V5</f>
        <v>35983.478983782785</v>
      </c>
    </row>
    <row r="7">
      <c r="A7" s="2" t="inlineStr">
        <is>
          <t>Operating Expense</t>
        </is>
      </c>
      <c r="B7" s="52">
        <f>SUM(B5:B6)</f>
        <v>15948.0</v>
      </c>
      <c r="C7" s="52">
        <f>SUM(C5:C6)</f>
        <v>13974.0</v>
      </c>
      <c r="D7" s="52">
        <f>SUM(D5:D6)</f>
        <v>14470.0</v>
      </c>
      <c r="E7" s="52">
        <f>SUM(E5:E6)</f>
        <v>13767.0</v>
      </c>
      <c r="F7" s="52">
        <f>SUM(F5:F6)</f>
        <v>16539.0</v>
      </c>
      <c r="G7" s="52">
        <f>SUM(G5:G6)</f>
        <v>16156.0</v>
      </c>
      <c r="H7" s="52">
        <f>SUM(H5:H6)</f>
        <v>23924.0</v>
      </c>
      <c r="I7" s="52">
        <f>SUM(I5:I6)</f>
        <v>28203.0</v>
      </c>
      <c r="J7" s="52">
        <f>SUM(J5:J6)</f>
        <v>29350.0</v>
      </c>
      <c r="K7" s="52">
        <f>SUM(K5:K6)</f>
        <v>33863.0</v>
      </c>
      <c r="L7" s="52">
        <f>SUM(L5:L6)</f>
        <v>34363.0</v>
      </c>
      <c r="M7" s="52">
        <f>M4-M2*NPV!C6</f>
        <v>37484.112814964996</v>
      </c>
      <c r="N7" s="52">
        <f>N4-N2*NPV!D6</f>
        <v>40632.43982449895</v>
      </c>
      <c r="O7" s="52">
        <f>O4-O2*NPV!E6</f>
        <v>43766.536637169775</v>
      </c>
      <c r="P7" s="52">
        <f>P4-P2*NPV!F6</f>
        <v>46842.23717247302</v>
      </c>
      <c r="Q7" s="52">
        <f>Q4-Q2*NPV!G6</f>
        <v>49812.870621447</v>
      </c>
      <c r="R7" s="52">
        <f>R4-R2*NPV!H6</f>
        <v>52630.33106577901</v>
      </c>
      <c r="S7" s="52">
        <f>S4-S2*NPV!I6</f>
        <v>55246.285967263124</v>
      </c>
      <c r="T7" s="52">
        <f>T4-T2*NPV!J6</f>
        <v>57613.4854668933</v>
      </c>
      <c r="U7" s="52">
        <f>U4-U2*NPV!K6</f>
        <v>59687.1264069669</v>
      </c>
      <c r="V7" s="52">
        <f>V4-V2*NPV!L6</f>
        <v>61426.21881833866</v>
      </c>
    </row>
    <row r="8">
      <c r="A8" s="2" t="inlineStr">
        <is>
          <t>Operating Income</t>
        </is>
      </c>
      <c r="B8" s="52">
        <f>B4-B7</f>
        <v>4114.0</v>
      </c>
      <c r="C8" s="52">
        <f>C4-C7</f>
        <v>4902.0</v>
      </c>
      <c r="D8" s="52">
        <f>D4-D7</f>
        <v>3677.0</v>
      </c>
      <c r="E8" s="52">
        <f>E4-E7</f>
        <v>3387.0</v>
      </c>
      <c r="F8" s="52">
        <f>F4-F7</f>
        <v>2924.0</v>
      </c>
      <c r="G8" s="52">
        <f>G4-G7</f>
        <v>5162.0</v>
      </c>
      <c r="H8" s="52">
        <f>H4-H7</f>
        <v>1056.0</v>
      </c>
      <c r="I8" s="52">
        <f>I4-I7</f>
        <v>3757.0</v>
      </c>
      <c r="J8" s="52">
        <f>J4-J7</f>
        <v>8193.0</v>
      </c>
      <c r="K8" s="52">
        <f>K4-K7</f>
        <v>10003.0</v>
      </c>
      <c r="L8" s="52">
        <f>L4-L7</f>
        <v>13743.0</v>
      </c>
      <c r="M8" s="52">
        <f>M4-M7</f>
        <v>14774.783083335002</v>
      </c>
      <c r="N8" s="52">
        <f>N4-N7</f>
        <v>15780.457643317022</v>
      </c>
      <c r="O8" s="52">
        <f>O4-O7</f>
        <v>16746.3248566127</v>
      </c>
      <c r="P8" s="52">
        <f>P4-P7</f>
        <v>17656.404798366602</v>
      </c>
      <c r="Q8" s="52">
        <f>Q4-Q7</f>
        <v>18494.774483559435</v>
      </c>
      <c r="R8" s="52">
        <f>R4-R7</f>
        <v>19246.009009046757</v>
      </c>
      <c r="S8" s="52">
        <f>S4-S7</f>
        <v>19895.635824962235</v>
      </c>
      <c r="T8" s="52">
        <f>T4-T7</f>
        <v>20430.584326996235</v>
      </c>
      <c r="U8" s="52">
        <f>U4-U7</f>
        <v>20839.611962699346</v>
      </c>
      <c r="V8" s="52">
        <f>V4-V7</f>
        <v>21113.68801056924</v>
      </c>
    </row>
    <row r="9">
      <c r="A9" s="18" t="inlineStr">
        <is>
          <t>Interest &amp; Other</t>
        </is>
      </c>
      <c r="B9" s="52" t="n">
        <v>-1046</v>
      </c>
      <c r="C9" s="52" t="n">
        <v>-1257</v>
      </c>
      <c r="D9" s="52" t="n">
        <v>-1317</v>
      </c>
      <c r="E9" s="52" t="n">
        <v>-1289</v>
      </c>
      <c r="F9" s="52" t="n">
        <v>-1268</v>
      </c>
      <c r="G9" s="52" t="n">
        <v>-1194</v>
      </c>
      <c r="H9" s="52" t="n">
        <v>-1324</v>
      </c>
      <c r="I9" s="52" t="n">
        <v>-1261</v>
      </c>
      <c r="J9" s="52" t="n">
        <v>-1300</v>
      </c>
      <c r="K9" s="52" t="n">
        <v>-1318</v>
      </c>
      <c r="L9" s="52" t="n">
        <v>-1349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3068.0</v>
      </c>
      <c r="C10" s="52">
        <f>C8+C9</f>
        <v>3645.0</v>
      </c>
      <c r="D10" s="52">
        <f>D8+D9</f>
        <v>2360.0</v>
      </c>
      <c r="E10" s="52">
        <f>E8+E9</f>
        <v>2098.0</v>
      </c>
      <c r="F10" s="52">
        <f>F8+F9</f>
        <v>1656.0</v>
      </c>
      <c r="G10" s="52">
        <f>G8+G9</f>
        <v>3968.0</v>
      </c>
      <c r="H10" s="52">
        <f>H8+H9</f>
        <v>-268.0</v>
      </c>
      <c r="I10" s="52">
        <f>I8+I9</f>
        <v>2496.0</v>
      </c>
      <c r="J10" s="52">
        <f>J8+J9</f>
        <v>6893.0</v>
      </c>
      <c r="K10" s="52">
        <f>K8+K9</f>
        <v>8685.0</v>
      </c>
      <c r="L10" s="52">
        <f>L8+L9</f>
        <v>12394.0</v>
      </c>
      <c r="M10" s="52">
        <f>M8+M9</f>
        <v>14774.783083335002</v>
      </c>
      <c r="N10" s="52">
        <f>N8+N9</f>
        <v>15780.457643317022</v>
      </c>
      <c r="O10" s="52">
        <f>O8+O9</f>
        <v>16746.3248566127</v>
      </c>
      <c r="P10" s="52">
        <f>P8+P9</f>
        <v>17656.404798366602</v>
      </c>
      <c r="Q10" s="52">
        <f>Q8+Q9</f>
        <v>18494.774483559435</v>
      </c>
      <c r="R10" s="52">
        <f>R8+R9</f>
        <v>19246.009009046757</v>
      </c>
      <c r="S10" s="52">
        <f>S8+S9</f>
        <v>19895.635824962235</v>
      </c>
      <c r="T10" s="52">
        <f>T8+T9</f>
        <v>20430.584326996235</v>
      </c>
      <c r="U10" s="52">
        <f>U8+U9</f>
        <v>20839.611962699346</v>
      </c>
      <c r="V10" s="52">
        <f>V8+V9</f>
        <v>21113.68801056924</v>
      </c>
    </row>
    <row r="11">
      <c r="A11" s="2" t="inlineStr">
        <is>
          <t>Taxes</t>
        </is>
      </c>
      <c r="B11" s="52" t="n">
        <v>243</v>
      </c>
      <c r="C11" s="52" t="n">
        <v>146</v>
      </c>
      <c r="D11" s="52" t="n">
        <v>-641</v>
      </c>
      <c r="E11" s="52" t="n">
        <v>-57</v>
      </c>
      <c r="F11" s="52" t="n">
        <v>321</v>
      </c>
      <c r="G11" s="52" t="n">
        <v>772</v>
      </c>
      <c r="H11" s="52" t="n">
        <v>-380</v>
      </c>
      <c r="I11" s="52" t="n">
        <v>-792</v>
      </c>
      <c r="J11" s="52" t="n">
        <v>938</v>
      </c>
      <c r="K11" s="52" t="n">
        <v>1650</v>
      </c>
      <c r="L11" s="52" t="n">
        <v>2169</v>
      </c>
      <c r="M11" s="52">
        <f>MAX(0,M10)*Assumptions!$E$14</f>
        <v>2511.7131241669504</v>
      </c>
      <c r="N11" s="52">
        <f>MAX(0,N10)*Assumptions!$E$14</f>
        <v>2682.677799363894</v>
      </c>
      <c r="O11" s="52">
        <f>MAX(0,O10)*Assumptions!$E$14</f>
        <v>2846.875225624159</v>
      </c>
      <c r="P11" s="52">
        <f>MAX(0,P10)*Assumptions!$E$14</f>
        <v>3001.5888157223226</v>
      </c>
      <c r="Q11" s="52">
        <f>MAX(0,Q10)*Assumptions!$E$14</f>
        <v>3144.111662205104</v>
      </c>
      <c r="R11" s="52">
        <f>MAX(0,R10)*Assumptions!$E$14</f>
        <v>3271.821531537949</v>
      </c>
      <c r="S11" s="52">
        <f>MAX(0,S10)*Assumptions!$E$14</f>
        <v>3382.25809024358</v>
      </c>
      <c r="T11" s="52">
        <f>MAX(0,T10)*Assumptions!$E$14</f>
        <v>3473.19933558936</v>
      </c>
      <c r="U11" s="52">
        <f>MAX(0,U10)*Assumptions!$E$14</f>
        <v>3542.734033658889</v>
      </c>
      <c r="V11" s="52">
        <f>MAX(0,V10)*Assumptions!$E$14</f>
        <v>3589.3269617967712</v>
      </c>
    </row>
    <row r="12">
      <c r="A12" s="2" t="inlineStr">
        <is>
          <t>Net Income</t>
        </is>
      </c>
      <c r="B12" s="52" t="n">
        <v>2825</v>
      </c>
      <c r="C12" s="52" t="n">
        <v>3499</v>
      </c>
      <c r="D12" s="52" t="n">
        <v>3001</v>
      </c>
      <c r="E12" s="52" t="n">
        <v>2155</v>
      </c>
      <c r="F12" s="52" t="n">
        <v>1335</v>
      </c>
      <c r="G12" s="52" t="n">
        <v>3196</v>
      </c>
      <c r="H12" s="52" t="n">
        <v>112</v>
      </c>
      <c r="I12" s="52" t="n">
        <v>3288</v>
      </c>
      <c r="J12" s="52" t="n">
        <v>5955</v>
      </c>
      <c r="K12" s="52" t="n">
        <v>7035</v>
      </c>
      <c r="L12" s="52" t="n">
        <v>10225</v>
      </c>
      <c r="M12" s="52">
        <f>M10-M11</f>
        <v>12263.069959168051</v>
      </c>
      <c r="N12" s="52">
        <f>N10-N11</f>
        <v>13097.779843953129</v>
      </c>
      <c r="O12" s="52">
        <f>O10-O11</f>
        <v>13899.449630988542</v>
      </c>
      <c r="P12" s="52">
        <f>P10-P11</f>
        <v>14654.815982644279</v>
      </c>
      <c r="Q12" s="52">
        <f>Q10-Q11</f>
        <v>15350.66282135433</v>
      </c>
      <c r="R12" s="52">
        <f>R10-R11</f>
        <v>15974.187477508807</v>
      </c>
      <c r="S12" s="52">
        <f>S10-S11</f>
        <v>16513.377734718655</v>
      </c>
      <c r="T12" s="52">
        <f>T10-T11</f>
        <v>16957.384991406874</v>
      </c>
      <c r="U12" s="52">
        <f>U10-U11</f>
        <v>17296.877929040456</v>
      </c>
      <c r="V12" s="52">
        <f>V10-V11</f>
        <v>17524.36104877247</v>
      </c>
    </row>
    <row r="13">
      <c r="A13" s="2" t="inlineStr">
        <is>
          <t>Earnings per Share</t>
        </is>
      </c>
      <c r="B13" s="11">
        <f>IFERROR(B12/B14,0)</f>
        <v>2.233201581027668</v>
      </c>
      <c r="C13" s="11">
        <f>IFERROR(C12/C14,0)</f>
        <v>2.763823064770932</v>
      </c>
      <c r="D13" s="11">
        <f>IFERROR(D12/D14,0)</f>
        <v>2.3685872138910815</v>
      </c>
      <c r="E13" s="11">
        <f>IFERROR(E12/E14,0)</f>
        <v>1.7008681925808997</v>
      </c>
      <c r="F13" s="11">
        <f>IFERROR(F12/F14,0)</f>
        <v>1.0261337432744042</v>
      </c>
      <c r="G13" s="11">
        <f>IFERROR(G12/G14,0)</f>
        <v>2.434120335110434</v>
      </c>
      <c r="H13" s="11">
        <f>IFERROR(H12/H14,0)</f>
        <v>0.07848633496846531</v>
      </c>
      <c r="I13" s="11">
        <f>IFERROR(I12/I14,0)</f>
        <v>2.1076923076923078</v>
      </c>
      <c r="J13" s="11">
        <f>IFERROR(J12/J14,0)</f>
        <v>3.8124199743918052</v>
      </c>
      <c r="K13" s="11">
        <f>IFERROR(K12/K14,0)</f>
        <v>4.500959692898273</v>
      </c>
      <c r="L13" s="11">
        <f>IFERROR(L12/L14,0)</f>
        <v>6.546094750320102</v>
      </c>
      <c r="M13" s="11">
        <f>IFERROR(M12/M14,0)</f>
        <v>7.906771515645409</v>
      </c>
      <c r="N13" s="11">
        <f>IFERROR(N12/N14,0)</f>
        <v>8.444961411227972</v>
      </c>
      <c r="O13" s="11">
        <f>IFERROR(O12/O14,0)</f>
        <v>8.96184828035541</v>
      </c>
      <c r="P13" s="11">
        <f>IFERROR(P12/P14,0)</f>
        <v>9.448880416112203</v>
      </c>
      <c r="Q13" s="11">
        <f>IFERROR(Q12/Q14,0)</f>
        <v>9.897536583114759</v>
      </c>
      <c r="R13" s="11">
        <f>IFERROR(R12/R14,0)</f>
        <v>10.299562096057302</v>
      </c>
      <c r="S13" s="11">
        <f>IFERROR(S12/S14,0)</f>
        <v>10.647211924478372</v>
      </c>
      <c r="T13" s="11">
        <f>IFERROR(T12/T14,0)</f>
        <v>10.933491293479088</v>
      </c>
      <c r="U13" s="11">
        <f>IFERROR(U12/U14,0)</f>
        <v>11.152383715848185</v>
      </c>
      <c r="V13" s="11">
        <f>IFERROR(V12/V14,0)</f>
        <v>11.299056372644253</v>
      </c>
    </row>
    <row r="14">
      <c r="A14" s="2" t="inlineStr">
        <is>
          <t>Shares</t>
        </is>
      </c>
      <c r="B14" s="52" t="n">
        <v>1265</v>
      </c>
      <c r="C14" s="52" t="n">
        <v>1266</v>
      </c>
      <c r="D14" s="52" t="n">
        <v>1267</v>
      </c>
      <c r="E14" s="52" t="n">
        <v>1267</v>
      </c>
      <c r="F14" s="52" t="n">
        <v>1301</v>
      </c>
      <c r="G14" s="52" t="n">
        <v>1313</v>
      </c>
      <c r="H14" s="52" t="n">
        <v>1427</v>
      </c>
      <c r="I14" s="52" t="n">
        <v>1560</v>
      </c>
      <c r="J14" s="52" t="n">
        <v>1562</v>
      </c>
      <c r="K14" s="52" t="n">
        <v>1563</v>
      </c>
      <c r="L14" s="52" t="n">
        <v>1562</v>
      </c>
      <c r="M14" s="52">
        <f>Main!$C$4</f>
        <v>1550.957927</v>
      </c>
      <c r="N14" s="52">
        <f>Main!$C$4</f>
        <v>1550.957927</v>
      </c>
      <c r="O14" s="52">
        <f>Main!$C$4</f>
        <v>1550.957927</v>
      </c>
      <c r="P14" s="52">
        <f>Main!$C$4</f>
        <v>1550.957927</v>
      </c>
      <c r="Q14" s="52">
        <f>Main!$C$4</f>
        <v>1550.957927</v>
      </c>
      <c r="R14" s="52">
        <f>Main!$C$4</f>
        <v>1550.957927</v>
      </c>
      <c r="S14" s="52">
        <f>Main!$C$4</f>
        <v>1550.957927</v>
      </c>
      <c r="T14" s="52">
        <f>Main!$C$4</f>
        <v>1550.957927</v>
      </c>
      <c r="U14" s="52">
        <f>Main!$C$4</f>
        <v>1550.957927</v>
      </c>
      <c r="V14" s="52">
        <f>Main!$C$4</f>
        <v>1550.957927</v>
      </c>
    </row>
    <row r="15"/>
    <row r="16" customFormat="1" s="4">
      <c r="A16" s="3" t="inlineStr">
        <is>
          <t>Revenue Change</t>
        </is>
      </c>
      <c r="C16" s="15">
        <f>IFERROR(C2/B2-1,"")</f>
        <v>-0.06904646268415093</v>
      </c>
      <c r="D16" s="15">
        <f>IFERROR(D2/C2-1,"")</f>
        <v>-0.023345796017737563</v>
      </c>
      <c r="E16" s="15">
        <f>IFERROR(E2/D2-1,"")</f>
        <v>-0.01669263298464274</v>
      </c>
      <c r="F16" s="15">
        <f>IFERROR(F2/E2-1,"")</f>
        <v>0.10384789497510183</v>
      </c>
      <c r="G16" s="15">
        <f>IFERROR(G2/F2-1,"")</f>
        <v>0.09157644356955386</v>
      </c>
      <c r="H16" s="15">
        <f>IFERROR(H2/G2-1,"")</f>
        <v>0.4057557200285531</v>
      </c>
      <c r="I16" s="15">
        <f>IFERROR(I2/H2-1,"")</f>
        <v>0.18531683459390114</v>
      </c>
      <c r="J16" s="15">
        <f>IFERROR(J2/I2-1,"")</f>
        <v>0.032919212644585194</v>
      </c>
      <c r="K16" s="15">
        <f>IFERROR(K2/J2-1,"")</f>
        <v>0.18034969767086517</v>
      </c>
      <c r="L16" s="15">
        <f>IFERROR(L2/K2-1,"")</f>
        <v>0.0862907550903409</v>
      </c>
      <c r="M16" s="15">
        <f>IFERROR(M2/L2-1,"")</f>
        <v>0.08630000000000004</v>
      </c>
      <c r="N16" s="15">
        <f>IFERROR(N2/M2-1,"")</f>
        <v>0.07948888888888894</v>
      </c>
      <c r="O16" s="15">
        <f>IFERROR(O2/N2-1,"")</f>
        <v>0.07267777777777784</v>
      </c>
      <c r="P16" s="15">
        <f>IFERROR(P2/O2-1,"")</f>
        <v>0.06586666666666674</v>
      </c>
      <c r="Q16" s="15">
        <f>IFERROR(Q2/P2-1,"")</f>
        <v>0.05905555555555564</v>
      </c>
      <c r="R16" s="15">
        <f>IFERROR(R2/Q2-1,"")</f>
        <v>0.05224444444444454</v>
      </c>
      <c r="S16" s="15">
        <f>IFERROR(S2/R2-1,"")</f>
        <v>0.04543333333333344</v>
      </c>
      <c r="T16" s="15">
        <f>IFERROR(T2/S2-1,"")</f>
        <v>0.03862222222222211</v>
      </c>
      <c r="U16" s="15">
        <f>IFERROR(U2/T2-1,"")</f>
        <v>0.03181111111111101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0.8119637364416383</v>
      </c>
      <c r="C17" s="15">
        <f>IFERROR(C4/C2,"")</f>
        <v>0.8206242935396922</v>
      </c>
      <c r="D17" s="15">
        <f>IFERROR(D4/D2,"")</f>
        <v>0.8077898953928333</v>
      </c>
      <c r="E17" s="15">
        <f>IFERROR(E4/E2,"")</f>
        <v>0.7765504753282028</v>
      </c>
      <c r="F17" s="15">
        <f>IFERROR(F4/F2,"")</f>
        <v>0.7981873359580053</v>
      </c>
      <c r="G17" s="15">
        <f>IFERROR(G4/G2,"")</f>
        <v>0.8009167073674719</v>
      </c>
      <c r="H17" s="15">
        <f>IFERROR(H4/H2,"")</f>
        <v>0.6676109789667798</v>
      </c>
      <c r="I17" s="15">
        <f>IFERROR(I4/I2,"")</f>
        <v>0.7206150932335235</v>
      </c>
      <c r="J17" s="15">
        <f>IFERROR(J4/J2,"")</f>
        <v>0.8195193294186985</v>
      </c>
      <c r="K17" s="15">
        <f>IFERROR(K4/K2,"")</f>
        <v>0.8112366615501266</v>
      </c>
      <c r="L17" s="15">
        <f>IFERROR(L4/L2,"")</f>
        <v>0.8189788726399837</v>
      </c>
      <c r="M17" s="15">
        <f>IFERROR(M4/M2,"")</f>
        <v>0.819</v>
      </c>
      <c r="N17" s="15">
        <f>IFERROR(N4/N2,"")</f>
        <v>0.819</v>
      </c>
      <c r="O17" s="15">
        <f>IFERROR(O4/O2,"")</f>
        <v>0.819</v>
      </c>
      <c r="P17" s="15">
        <f>IFERROR(P4/P2,"")</f>
        <v>0.819</v>
      </c>
      <c r="Q17" s="15">
        <f>IFERROR(Q4/Q2,"")</f>
        <v>0.819</v>
      </c>
      <c r="R17" s="15">
        <f>IFERROR(R4/R2,"")</f>
        <v>0.819</v>
      </c>
      <c r="S17" s="15">
        <f>IFERROR(S4/S2,"")</f>
        <v>0.8189999999999998</v>
      </c>
      <c r="T17" s="15">
        <f>IFERROR(T4/T2,"")</f>
        <v>0.819</v>
      </c>
      <c r="U17" s="15">
        <f>IFERROR(U4/U2,"")</f>
        <v>0.8189999999999998</v>
      </c>
      <c r="V17" s="15">
        <f>IFERROR(V4/V2,"")</f>
        <v>0.819</v>
      </c>
    </row>
    <row r="18">
      <c r="A18" s="14" t="inlineStr">
        <is>
          <t>Operating Margin</t>
        </is>
      </c>
      <c r="B18" s="15">
        <f>IFERROR(B8/B2,"")</f>
        <v>0.16650477578112352</v>
      </c>
      <c r="C18" s="15">
        <f>IFERROR(C8/C2,"")</f>
        <v>0.21311190331275542</v>
      </c>
      <c r="D18" s="15">
        <f>IFERROR(D8/D2,"")</f>
        <v>0.16367683062541732</v>
      </c>
      <c r="E18" s="15">
        <f>IFERROR(E8/E2,"")</f>
        <v>0.1533272974196469</v>
      </c>
      <c r="F18" s="15">
        <f>IFERROR(F8/F2,"")</f>
        <v>0.11991469816272966</v>
      </c>
      <c r="G18" s="15">
        <f>IFERROR(G8/G2,"")</f>
        <v>0.19393620618401775</v>
      </c>
      <c r="H18" s="15">
        <f>IFERROR(H8/H2,"")</f>
        <v>0.028222465724136087</v>
      </c>
      <c r="I18" s="15">
        <f>IFERROR(I8/I2,"")</f>
        <v>0.08471060404500462</v>
      </c>
      <c r="J18" s="15">
        <f>IFERROR(J8/J2,"")</f>
        <v>0.17884350920084696</v>
      </c>
      <c r="K18" s="15">
        <f>IFERROR(K8/K2,"")</f>
        <v>0.18499066077339893</v>
      </c>
      <c r="L18" s="15">
        <f>IFERROR(L8/L2,"")</f>
        <v>0.23396721088203748</v>
      </c>
      <c r="M18" s="15">
        <f>IFERROR(M8/M2,"")</f>
        <v>0.23155000000000003</v>
      </c>
      <c r="N18" s="15">
        <f>IFERROR(N8/N2,"")</f>
        <v>0.2291</v>
      </c>
      <c r="O18" s="15">
        <f>IFERROR(O8/O2,"")</f>
        <v>0.22665000000000005</v>
      </c>
      <c r="P18" s="15">
        <f>IFERROR(P8/P2,"")</f>
        <v>0.22420000000000007</v>
      </c>
      <c r="Q18" s="15">
        <f>IFERROR(Q8/Q2,"")</f>
        <v>0.22175</v>
      </c>
      <c r="R18" s="15">
        <f>IFERROR(R8/R2,"")</f>
        <v>0.21930000000000002</v>
      </c>
      <c r="S18" s="15">
        <f>IFERROR(S8/S2,"")</f>
        <v>0.21685</v>
      </c>
      <c r="T18" s="15">
        <f>IFERROR(T8/T2,"")</f>
        <v>0.2144</v>
      </c>
      <c r="U18" s="15">
        <f>IFERROR(U8/U2,"")</f>
        <v>0.21195000000000003</v>
      </c>
      <c r="V18" s="15">
        <f>IFERROR(V8/V2,"")</f>
        <v>0.20950000000000002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AstraZeneca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0.0363</v>
      </c>
      <c r="C12" s="53" t="n">
        <v>0.0863</v>
      </c>
      <c r="D12" s="53" t="n">
        <v>0.1363</v>
      </c>
      <c r="E12" s="54">
        <f>CHOOSE($B$4,B12,C12,D12)</f>
        <v>0.0863</v>
      </c>
    </row>
    <row r="13">
      <c r="A13" s="14" t="inlineStr">
        <is>
          <t>Operating margin, year 10</t>
        </is>
      </c>
      <c r="B13" s="53" t="n">
        <v>0.1595</v>
      </c>
      <c r="C13" s="53" t="n">
        <v>0.2095</v>
      </c>
      <c r="D13" s="53" t="n">
        <v>0.2595</v>
      </c>
      <c r="E13" s="54">
        <f>CHOOSE($B$4,B13,C13,D13)</f>
        <v>0.2095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0.234</v>
      </c>
    </row>
    <row r="19">
      <c r="A19" s="14" t="inlineStr">
        <is>
          <t>Gross margin (forecast)</t>
        </is>
      </c>
      <c r="B19" s="53" t="n">
        <v>0.819</v>
      </c>
    </row>
    <row r="20">
      <c r="A20" s="14" t="inlineStr">
        <is>
          <t>R&amp;D share of operating expense (forecast)</t>
        </is>
      </c>
      <c r="B20" s="53" t="n">
        <v>0.4142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58739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242743.09525970108</v>
      </c>
      <c r="C29" s="56">
        <f>NPV!B26</f>
        <v>220665.09525970108</v>
      </c>
      <c r="D29" s="35">
        <f>NPV!B28</f>
        <v>142.276648139986</v>
      </c>
      <c r="E29" s="57">
        <f>NPV!B30</f>
        <v>-0.1572287161474587</v>
      </c>
    </row>
    <row r="30">
      <c r="A30" s="58" t="n">
        <v>1</v>
      </c>
      <c r="B30" s="59">
        <f t="dataTable" ref="B30:E32" r1="B4"/>
        <v>132313.58202688082</v>
      </c>
      <c r="C30" s="59">
        <v>110235.58202688082</v>
      </c>
      <c r="D30" s="39">
        <v>71.075804254799</v>
      </c>
      <c r="E30" s="60">
        <v>-0.57898469224737</v>
      </c>
    </row>
    <row r="31">
      <c r="A31" s="58" t="n">
        <v>2</v>
      </c>
      <c r="B31" s="59">
        <v>242743.09525970108</v>
      </c>
      <c r="C31" s="59">
        <v>220665.09525970108</v>
      </c>
      <c r="D31" s="39">
        <v>142.276648139986</v>
      </c>
      <c r="E31" s="60">
        <v>-0.1572287161474587</v>
      </c>
    </row>
    <row r="32">
      <c r="A32" s="58" t="n">
        <v>3</v>
      </c>
      <c r="B32" s="59">
        <v>486735.76197527983</v>
      </c>
      <c r="C32" s="59">
        <v>464657.76197527983</v>
      </c>
      <c r="D32" s="39">
        <v>299.59404693463347</v>
      </c>
      <c r="E32" s="60">
        <v>0.7746359846856621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142.276648139986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186.12171060815362</v>
      </c>
      <c r="C37" s="39">
        <v>206.36457536199103</v>
      </c>
      <c r="D37" s="39">
        <v>232.36340583175078</v>
      </c>
      <c r="E37" s="39">
        <v>266.99588383675535</v>
      </c>
      <c r="F37" s="39">
        <v>315.4418335351552</v>
      </c>
    </row>
    <row r="38">
      <c r="A38" s="62" t="n">
        <v>0.07000000000000001</v>
      </c>
      <c r="B38" s="39">
        <v>149.24335610922378</v>
      </c>
      <c r="C38" s="39">
        <v>161.85831991053686</v>
      </c>
      <c r="D38" s="39">
        <v>177.2561472255601</v>
      </c>
      <c r="E38" s="39">
        <v>196.48019843859223</v>
      </c>
      <c r="F38" s="39">
        <v>221.17003777249943</v>
      </c>
    </row>
    <row r="39">
      <c r="A39" s="62" t="n">
        <v>0.08</v>
      </c>
      <c r="B39" s="39">
        <v>123.79431279196314</v>
      </c>
      <c r="C39" s="39">
        <v>132.27266797026158</v>
      </c>
      <c r="D39" s="39">
        <v>142.276648139986</v>
      </c>
      <c r="E39" s="39">
        <v>154.26377942558278</v>
      </c>
      <c r="F39" s="39">
        <v>168.89493136198266</v>
      </c>
    </row>
    <row r="40">
      <c r="A40" s="62" t="n">
        <v>0.09</v>
      </c>
      <c r="B40" s="39">
        <v>105.19376304290756</v>
      </c>
      <c r="C40" s="39">
        <v>111.20345063466878</v>
      </c>
      <c r="D40" s="39">
        <v>118.12493703471961</v>
      </c>
      <c r="E40" s="39">
        <v>126.18604487222265</v>
      </c>
      <c r="F40" s="39">
        <v>135.69744018790072</v>
      </c>
    </row>
    <row r="41">
      <c r="A41" s="62" t="n">
        <v>0.1</v>
      </c>
      <c r="B41" s="39">
        <v>91.01765615510959</v>
      </c>
      <c r="C41" s="39">
        <v>95.44974173573631</v>
      </c>
      <c r="D41" s="39">
        <v>100.46226517018964</v>
      </c>
      <c r="E41" s="39">
        <v>106.17950308880675</v>
      </c>
      <c r="F41" s="39">
        <v>112.76397014486838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AstraZeneca PLC: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0.0863</v>
      </c>
      <c r="D5" s="63">
        <f>Assumptions!$E$12+(Assumptions!$E$11-Assumptions!$E$12)*(D4-1)/(Assumptions!$B$21-1)</f>
        <v>0.07948888888888889</v>
      </c>
      <c r="E5" s="63">
        <f>Assumptions!$E$12+(Assumptions!$E$11-Assumptions!$E$12)*(E4-1)/(Assumptions!$B$21-1)</f>
        <v>0.07267777777777779</v>
      </c>
      <c r="F5" s="63">
        <f>Assumptions!$E$12+(Assumptions!$E$11-Assumptions!$E$12)*(F4-1)/(Assumptions!$B$21-1)</f>
        <v>0.06586666666666667</v>
      </c>
      <c r="G5" s="63">
        <f>Assumptions!$E$12+(Assumptions!$E$11-Assumptions!$E$12)*(G4-1)/(Assumptions!$B$21-1)</f>
        <v>0.059055555555555556</v>
      </c>
      <c r="H5" s="63">
        <f>Assumptions!$E$12+(Assumptions!$E$11-Assumptions!$E$12)*(H4-1)/(Assumptions!$B$21-1)</f>
        <v>0.05224444444444445</v>
      </c>
      <c r="I5" s="63">
        <f>Assumptions!$E$12+(Assumptions!$E$11-Assumptions!$E$12)*(I4-1)/(Assumptions!$B$21-1)</f>
        <v>0.04543333333333333</v>
      </c>
      <c r="J5" s="63">
        <f>Assumptions!$E$12+(Assumptions!$E$11-Assumptions!$E$12)*(J4-1)/(Assumptions!$B$21-1)</f>
        <v>0.038622222222222224</v>
      </c>
      <c r="K5" s="63">
        <f>Assumptions!$E$12+(Assumptions!$E$11-Assumptions!$E$12)*(K4-1)/(Assumptions!$B$21-1)</f>
        <v>0.03181111111111111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0.23396721088203748</v>
      </c>
      <c r="C6" s="63">
        <f>Assumptions!$B$18+(Assumptions!$E$13-Assumptions!$B$18)*C4/Assumptions!$B$21</f>
        <v>0.23155</v>
      </c>
      <c r="D6" s="63">
        <f>Assumptions!$B$18+(Assumptions!$E$13-Assumptions!$B$18)*D4/Assumptions!$B$21</f>
        <v>0.2291</v>
      </c>
      <c r="E6" s="63">
        <f>Assumptions!$B$18+(Assumptions!$E$13-Assumptions!$B$18)*E4/Assumptions!$B$21</f>
        <v>0.22665000000000002</v>
      </c>
      <c r="F6" s="63">
        <f>Assumptions!$B$18+(Assumptions!$E$13-Assumptions!$B$18)*F4/Assumptions!$B$21</f>
        <v>0.2242</v>
      </c>
      <c r="G6" s="63">
        <f>Assumptions!$B$18+(Assumptions!$E$13-Assumptions!$B$18)*G4/Assumptions!$B$21</f>
        <v>0.22175</v>
      </c>
      <c r="H6" s="63">
        <f>Assumptions!$B$18+(Assumptions!$E$13-Assumptions!$B$18)*H4/Assumptions!$B$21</f>
        <v>0.2193</v>
      </c>
      <c r="I6" s="63">
        <f>Assumptions!$B$18+(Assumptions!$E$13-Assumptions!$B$18)*I4/Assumptions!$B$21</f>
        <v>0.21685</v>
      </c>
      <c r="J6" s="63">
        <f>Assumptions!$B$18+(Assumptions!$E$13-Assumptions!$B$18)*J4/Assumptions!$B$21</f>
        <v>0.2144</v>
      </c>
      <c r="K6" s="63">
        <f>Assumptions!$B$18+(Assumptions!$E$13-Assumptions!$B$18)*K4/Assumptions!$B$21</f>
        <v>0.21195</v>
      </c>
      <c r="L6" s="63">
        <f>Assumptions!$B$18+(Assumptions!$E$13-Assumptions!$B$18)*L4/Assumptions!$B$21</f>
        <v>0.2095</v>
      </c>
    </row>
    <row r="7">
      <c r="A7" s="14" t="inlineStr">
        <is>
          <t>Revenue</t>
        </is>
      </c>
      <c r="B7" s="55">
        <f>'Yearly Model'!L2</f>
        <v>58739</v>
      </c>
      <c r="C7" s="55">
        <f>'Yearly Model'!M2</f>
        <v>63808.1757</v>
      </c>
      <c r="D7" s="55">
        <f>'Yearly Model'!N2</f>
        <v>68880.21668842</v>
      </c>
      <c r="E7" s="55">
        <f>'Yearly Model'!O2</f>
        <v>73886.27777018618</v>
      </c>
      <c r="F7" s="55">
        <f>'Yearly Model'!P2</f>
        <v>78752.92059931578</v>
      </c>
      <c r="G7" s="55">
        <f>'Yearly Model'!Q2</f>
        <v>83403.71807693093</v>
      </c>
      <c r="H7" s="55">
        <f>'Yearly Model'!R2</f>
        <v>87761.09899246127</v>
      </c>
      <c r="I7" s="55">
        <f>'Yearly Model'!S2</f>
        <v>91748.37825668544</v>
      </c>
      <c r="J7" s="55">
        <f>'Yearly Model'!T2</f>
        <v>95291.90451024364</v>
      </c>
      <c r="K7" s="55">
        <f>'Yearly Model'!U2</f>
        <v>98323.24587260837</v>
      </c>
      <c r="L7" s="55">
        <f>'Yearly Model'!V2</f>
        <v>100781.32701942357</v>
      </c>
    </row>
    <row r="8">
      <c r="A8" s="14" t="inlineStr">
        <is>
          <t>Operating income</t>
        </is>
      </c>
      <c r="B8" s="55">
        <f>'Yearly Model'!L8</f>
        <v>13743.0</v>
      </c>
      <c r="C8" s="55">
        <f>'Yearly Model'!M8</f>
        <v>14774.783083335002</v>
      </c>
      <c r="D8" s="55">
        <f>'Yearly Model'!N8</f>
        <v>15780.457643317022</v>
      </c>
      <c r="E8" s="55">
        <f>'Yearly Model'!O8</f>
        <v>16746.3248566127</v>
      </c>
      <c r="F8" s="55">
        <f>'Yearly Model'!P8</f>
        <v>17656.404798366602</v>
      </c>
      <c r="G8" s="55">
        <f>'Yearly Model'!Q8</f>
        <v>18494.774483559435</v>
      </c>
      <c r="H8" s="55">
        <f>'Yearly Model'!R8</f>
        <v>19246.009009046757</v>
      </c>
      <c r="I8" s="55">
        <f>'Yearly Model'!S8</f>
        <v>19895.635824962235</v>
      </c>
      <c r="J8" s="55">
        <f>'Yearly Model'!T8</f>
        <v>20430.584326996235</v>
      </c>
      <c r="K8" s="55">
        <f>'Yearly Model'!U8</f>
        <v>20839.611962699346</v>
      </c>
      <c r="L8" s="55">
        <f>'Yearly Model'!V8</f>
        <v>21113.68801056924</v>
      </c>
    </row>
    <row r="9">
      <c r="A9" s="14" t="inlineStr">
        <is>
          <t>Tax on operating income</t>
        </is>
      </c>
      <c r="C9" s="52">
        <f>MAX(0,C8)*Assumptions!$E$14</f>
        <v>2511.7131241669504</v>
      </c>
      <c r="D9" s="52">
        <f>MAX(0,D8)*Assumptions!$E$14</f>
        <v>2682.677799363894</v>
      </c>
      <c r="E9" s="52">
        <f>MAX(0,E8)*Assumptions!$E$14</f>
        <v>2846.875225624159</v>
      </c>
      <c r="F9" s="52">
        <f>MAX(0,F8)*Assumptions!$E$14</f>
        <v>3001.5888157223226</v>
      </c>
      <c r="G9" s="52">
        <f>MAX(0,G8)*Assumptions!$E$14</f>
        <v>3144.111662205104</v>
      </c>
      <c r="H9" s="52">
        <f>MAX(0,H8)*Assumptions!$E$14</f>
        <v>3271.821531537949</v>
      </c>
      <c r="I9" s="52">
        <f>MAX(0,I8)*Assumptions!$E$14</f>
        <v>3382.25809024358</v>
      </c>
      <c r="J9" s="52">
        <f>MAX(0,J8)*Assumptions!$E$14</f>
        <v>3473.19933558936</v>
      </c>
      <c r="K9" s="52">
        <f>MAX(0,K8)*Assumptions!$E$14</f>
        <v>3542.734033658889</v>
      </c>
      <c r="L9" s="52">
        <f>MAX(0,L8)*Assumptions!$E$14</f>
        <v>3589.3269617967712</v>
      </c>
    </row>
    <row r="10">
      <c r="A10" s="14" t="inlineStr">
        <is>
          <t>NOPAT</t>
        </is>
      </c>
      <c r="C10" s="52">
        <f>C8-C9</f>
        <v>12263.069959168051</v>
      </c>
      <c r="D10" s="52">
        <f>D8-D9</f>
        <v>13097.779843953129</v>
      </c>
      <c r="E10" s="52">
        <f>E8-E9</f>
        <v>13899.449630988542</v>
      </c>
      <c r="F10" s="52">
        <f>F8-F9</f>
        <v>14654.815982644279</v>
      </c>
      <c r="G10" s="52">
        <f>G8-G9</f>
        <v>15350.66282135433</v>
      </c>
      <c r="H10" s="52">
        <f>H8-H9</f>
        <v>15974.187477508807</v>
      </c>
      <c r="I10" s="52">
        <f>I8-I9</f>
        <v>16513.377734718655</v>
      </c>
      <c r="J10" s="52">
        <f>J8-J9</f>
        <v>16957.384991406874</v>
      </c>
      <c r="K10" s="52">
        <f>K8-K9</f>
        <v>17296.877929040456</v>
      </c>
      <c r="L10" s="52">
        <f>L8-L9</f>
        <v>17524.36104877247</v>
      </c>
    </row>
    <row r="11">
      <c r="A11" s="14" t="inlineStr">
        <is>
          <t>Reinvestment</t>
        </is>
      </c>
      <c r="C11" s="52">
        <f>(C7-B7)*Assumptions!$E$15</f>
        <v>1267.293925</v>
      </c>
      <c r="D11" s="52">
        <f>(D7-C7)*Assumptions!$E$15</f>
        <v>1268.0102471049995</v>
      </c>
      <c r="E11" s="52">
        <f>(E7-D7)*Assumptions!$E$15</f>
        <v>1251.515270441545</v>
      </c>
      <c r="F11" s="52">
        <f>(F7-E7)*Assumptions!$E$15</f>
        <v>1216.6607072824008</v>
      </c>
      <c r="G11" s="52">
        <f>(G7-F7)*Assumptions!$E$15</f>
        <v>1162.6993694037883</v>
      </c>
      <c r="H11" s="52">
        <f>(H7-G7)*Assumptions!$E$15</f>
        <v>1089.345228882583</v>
      </c>
      <c r="I11" s="52">
        <f>(I7-H7)*Assumptions!$E$15</f>
        <v>996.8198160560423</v>
      </c>
      <c r="J11" s="52">
        <f>(J7-I7)*Assumptions!$E$15</f>
        <v>885.8815633895501</v>
      </c>
      <c r="K11" s="52">
        <f>(K7-J7)*Assumptions!$E$15</f>
        <v>757.8353405911839</v>
      </c>
      <c r="L11" s="52">
        <f>(L7-K7)*Assumptions!$E$15</f>
        <v>614.5202867037988</v>
      </c>
    </row>
    <row r="12">
      <c r="A12" s="20" t="inlineStr">
        <is>
          <t>Free cash flow</t>
        </is>
      </c>
      <c r="C12" s="64">
        <f>C10-C11</f>
        <v>10995.776034168051</v>
      </c>
      <c r="D12" s="64">
        <f>D10-D11</f>
        <v>11829.76959684813</v>
      </c>
      <c r="E12" s="64">
        <f>E10-E11</f>
        <v>12647.934360546997</v>
      </c>
      <c r="F12" s="64">
        <f>F10-F11</f>
        <v>13438.155275361878</v>
      </c>
      <c r="G12" s="64">
        <f>G10-G11</f>
        <v>14187.963451950542</v>
      </c>
      <c r="H12" s="64">
        <f>H10-H11</f>
        <v>14884.842248626224</v>
      </c>
      <c r="I12" s="64">
        <f>I10-I11</f>
        <v>15516.557918662613</v>
      </c>
      <c r="J12" s="64">
        <f>J10-J11</f>
        <v>16071.503428017324</v>
      </c>
      <c r="K12" s="64">
        <f>K10-K11</f>
        <v>16539.042588449272</v>
      </c>
      <c r="L12" s="64">
        <f>L10-L11</f>
        <v>16909.84076206867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0.9622504486493761</v>
      </c>
      <c r="D15" s="65">
        <f>1/(1+Assumptions!$E$10)^D14</f>
        <v>0.8909726376383114</v>
      </c>
      <c r="E15" s="65">
        <f>1/(1+Assumptions!$E$10)^E14</f>
        <v>0.8249746644799177</v>
      </c>
      <c r="F15" s="65">
        <f>1/(1+Assumptions!$E$10)^F14</f>
        <v>0.763865430073998</v>
      </c>
      <c r="G15" s="65">
        <f>1/(1+Assumptions!$E$10)^G14</f>
        <v>0.7072828056240721</v>
      </c>
      <c r="H15" s="65">
        <f>1/(1+Assumptions!$E$10)^H14</f>
        <v>0.6548914866889556</v>
      </c>
      <c r="I15" s="65">
        <f>1/(1+Assumptions!$E$10)^I14</f>
        <v>0.6063810061934773</v>
      </c>
      <c r="J15" s="65">
        <f>1/(1+Assumptions!$E$10)^J14</f>
        <v>0.5614638946235901</v>
      </c>
      <c r="K15" s="65">
        <f>1/(1+Assumptions!$E$10)^K14</f>
        <v>0.5198739765033241</v>
      </c>
      <c r="L15" s="65">
        <f>1/(1+Assumptions!$E$10)^L14</f>
        <v>0.48136479305863344</v>
      </c>
    </row>
    <row r="16">
      <c r="A16" s="20" t="inlineStr">
        <is>
          <t>PV of free cash flow</t>
        </is>
      </c>
      <c r="C16" s="64">
        <f>C12*C13*C15</f>
        <v>10580.690422126265</v>
      </c>
      <c r="D16" s="64">
        <f>D12*D13*D15</f>
        <v>10540.00102035728</v>
      </c>
      <c r="E16" s="64">
        <f>E12*E13*E15</f>
        <v>10434.225405456282</v>
      </c>
      <c r="F16" s="64">
        <f>F12*F13*F15</f>
        <v>10264.942258815467</v>
      </c>
      <c r="G16" s="64">
        <f>G12*G13*G15</f>
        <v>10034.902596387374</v>
      </c>
      <c r="H16" s="64">
        <f>H12*H13*H15</f>
        <v>9747.956469333405</v>
      </c>
      <c r="I16" s="64">
        <f>I12*I13*I15</f>
        <v>9408.946003378003</v>
      </c>
      <c r="J16" s="64">
        <f>J12*J13*J15</f>
        <v>9023.568907150986</v>
      </c>
      <c r="K16" s="64">
        <f>K12*K13*K15</f>
        <v>8598.217838014954</v>
      </c>
      <c r="L16" s="64">
        <f>L12*L13*L15</f>
        <v>8139.80199908763</v>
      </c>
    </row>
    <row r="19">
      <c r="A19" s="14" t="inlineStr">
        <is>
          <t>PV of forecast free cash flow</t>
        </is>
      </c>
      <c r="B19" s="52">
        <f>SUM(C16:L16)</f>
        <v>96773.25292010765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17332.586781120383</v>
      </c>
    </row>
    <row r="21">
      <c r="A21" s="14" t="inlineStr">
        <is>
          <t>Terminal value</t>
        </is>
      </c>
      <c r="B21" s="52">
        <f>B20/(Assumptions!$E$10-Assumptions!$E$11)</f>
        <v>315137.94147491606</v>
      </c>
    </row>
    <row r="22">
      <c r="A22" s="14" t="inlineStr">
        <is>
          <t>PV of terminal value</t>
        </is>
      </c>
      <c r="B22" s="52">
        <f>B21/(1+Assumptions!$E$10)^(L14+0.5)</f>
        <v>145969.84233959342</v>
      </c>
    </row>
    <row r="23">
      <c r="A23" s="20" t="inlineStr">
        <is>
          <t>Enterprise value</t>
        </is>
      </c>
      <c r="B23" s="66">
        <f>B19+B22</f>
        <v>242743.09525970108</v>
      </c>
    </row>
    <row r="24">
      <c r="A24" s="14" t="inlineStr">
        <is>
          <t>Cash &amp; investments</t>
        </is>
      </c>
      <c r="B24" s="55">
        <f>Main!C7</f>
        <v>5741.0</v>
      </c>
    </row>
    <row r="25">
      <c r="A25" s="14" t="inlineStr">
        <is>
          <t>Debt</t>
        </is>
      </c>
      <c r="B25" s="55">
        <f>Main!C8</f>
        <v>27819.0</v>
      </c>
    </row>
    <row r="26">
      <c r="A26" s="20" t="inlineStr">
        <is>
          <t>Equity value</t>
        </is>
      </c>
      <c r="B26" s="66">
        <f>B23+B24-B25</f>
        <v>220665.09525970108</v>
      </c>
    </row>
    <row r="27">
      <c r="A27" s="14" t="inlineStr">
        <is>
          <t>Shares (mm)</t>
        </is>
      </c>
      <c r="B27" s="55">
        <f>Main!C4</f>
        <v>1550.957927</v>
      </c>
    </row>
    <row r="28">
      <c r="A28" s="20" t="inlineStr">
        <is>
          <t>NPV / share</t>
        </is>
      </c>
      <c r="B28" s="49">
        <f>B26/B27</f>
        <v>142.276648139986</v>
      </c>
    </row>
    <row r="29">
      <c r="A29" s="14" t="inlineStr">
        <is>
          <t>Price</t>
        </is>
      </c>
      <c r="B29" s="50">
        <f>Main!C3</f>
        <v>168.82</v>
      </c>
    </row>
    <row r="30">
      <c r="A30" s="14" t="inlineStr">
        <is>
          <t>Upside</t>
        </is>
      </c>
      <c r="B30" s="63">
        <f>B28/B29-1</f>
        <v>-0.1572287161474587</v>
      </c>
    </row>
    <row r="31">
      <c r="A31" s="14" t="inlineStr">
        <is>
          <t>Terminal value, % of EV</t>
        </is>
      </c>
      <c r="B31" s="63">
        <f>IFERROR(B22/B23,0)</f>
        <v>0.6013346834167462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2026-10-21T01:03:31Z</dcterms:modified>
  <cp:lastModifiedBy>Wang, Eric</cp:lastModifiedBy>
</cp:coreProperties>
</file>