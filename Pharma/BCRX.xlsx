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BioCryst Pharmaceuticals, Inc.</t>
        </is>
      </c>
      <c r="C2" s="10" t="n"/>
    </row>
    <row r="3">
      <c r="B3" t="inlineStr">
        <is>
          <t>Price</t>
        </is>
      </c>
      <c r="C3" s="11">
        <f>INDEX([1]Pharma!$F$1:$F$1000,MATCH("BCRX",[1]Pharma!$B$1:$B$1000,0))</f>
        <v>7.94</v>
      </c>
      <c r="F3" s="1" t="n"/>
    </row>
    <row r="4">
      <c r="B4" t="inlineStr">
        <is>
          <t>Shares</t>
        </is>
      </c>
      <c r="C4" s="51" t="n">
        <v>255.535105</v>
      </c>
      <c r="F4" s="1" t="n"/>
    </row>
    <row r="5">
      <c r="B5" t="inlineStr">
        <is>
          <t>Market Cap.</t>
        </is>
      </c>
      <c r="C5" s="13">
        <f>C3*C4</f>
        <v>2028.9487337</v>
      </c>
      <c r="F5" s="1" t="n"/>
    </row>
    <row r="6"/>
    <row r="7">
      <c r="B7" t="inlineStr">
        <is>
          <t>Cash</t>
        </is>
      </c>
      <c r="C7" s="51">
        <f>154.972+197.601</f>
        <v>352.573</v>
      </c>
    </row>
    <row r="8">
      <c r="B8" t="inlineStr">
        <is>
          <t>Debt</t>
        </is>
      </c>
      <c r="C8" s="51" t="n">
        <v>395.4</v>
      </c>
    </row>
    <row r="9">
      <c r="B9" t="inlineStr">
        <is>
          <t>Enterprise V.</t>
        </is>
      </c>
      <c r="C9" s="13">
        <f>C5-C7+C8</f>
        <v>2071.7757337000003</v>
      </c>
    </row>
    <row r="10"/>
    <row r="11">
      <c r="B11" s="14" t="inlineStr">
        <is>
          <t>NPV / Share</t>
        </is>
      </c>
      <c r="C11" s="11">
        <f>NPV!B28</f>
        <v>10.220888152556942</v>
      </c>
    </row>
    <row r="12">
      <c r="B12" s="14" t="inlineStr">
        <is>
          <t>Upside</t>
        </is>
      </c>
      <c r="C12" s="15">
        <f>IFERROR(C11/C3-1,"")</f>
        <v>0.2872655103975996</v>
      </c>
    </row>
    <row r="13">
      <c r="B13" s="14" t="inlineStr">
        <is>
          <t>Cash / Share</t>
        </is>
      </c>
      <c r="C13" s="11">
        <f>IFERROR((C7-C8)/C4,"")</f>
        <v>-0.16759732483722736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74.59</v>
      </c>
      <c r="C2" s="52" t="n">
        <v>62.381</v>
      </c>
      <c r="D2" s="52" t="n">
        <v>19.643</v>
      </c>
      <c r="E2" s="52" t="n">
        <v>26.293</v>
      </c>
      <c r="F2" s="52" t="n">
        <v>17.331</v>
      </c>
      <c r="G2" s="52" t="n">
        <v>13.608</v>
      </c>
      <c r="H2" s="52" t="n">
        <v>48.257</v>
      </c>
      <c r="I2" s="52" t="n">
        <v>26.353</v>
      </c>
      <c r="J2" s="52" t="n">
        <v>25.186</v>
      </c>
      <c r="K2" s="52" t="n">
        <v>20.653</v>
      </c>
      <c r="L2" s="52" t="n">
        <v>48.835</v>
      </c>
      <c r="M2" s="52" t="n">
        <v>17.812</v>
      </c>
      <c r="N2" s="52" t="n">
        <v>157.17</v>
      </c>
      <c r="O2" s="52" t="n">
        <v>270.827</v>
      </c>
      <c r="P2" s="52" t="n">
        <v>331.412</v>
      </c>
      <c r="Q2" s="52" t="n">
        <v>450.712</v>
      </c>
      <c r="R2" s="52" t="n">
        <v>874.837</v>
      </c>
      <c r="S2" s="52">
        <f>R2*(1+NPV!C5)</f>
        <v>1061.0897973</v>
      </c>
      <c r="T2" s="52">
        <f>S2*(1+NPV!D5)</f>
        <v>1264.8426181548737</v>
      </c>
      <c r="U2" s="52">
        <f>T2*(1+NPV!E5)</f>
        <v>1481.313405348646</v>
      </c>
      <c r="V2" s="52">
        <f>U2*(1+NPV!F5)</f>
        <v>1703.9054330590357</v>
      </c>
      <c r="W2" s="52">
        <f>V2*(1+NPV!G5)</f>
        <v>1924.3718638142852</v>
      </c>
      <c r="X2" s="52">
        <f>W2*(1+NPV!H5)</f>
        <v>2133.187592947733</v>
      </c>
      <c r="Y2" s="52">
        <f>X2*(1+NPV!I5)</f>
        <v>2320.125932343052</v>
      </c>
      <c r="Z2" s="52">
        <f>Y2*(1+NPV!J5)</f>
        <v>2475.007227915464</v>
      </c>
      <c r="AA2" s="52">
        <f>Z2*(1+NPV!K5)</f>
        <v>2588.555059516163</v>
      </c>
      <c r="AB2" s="52">
        <f>AA2*(1+NPV!L5)</f>
        <v>2653.2689360040667</v>
      </c>
    </row>
    <row r="3" customFormat="1" s="1">
      <c r="A3" s="5" t="inlineStr">
        <is>
          <t>Cost of Sales</t>
        </is>
      </c>
      <c r="B3" s="52" t="n">
        <v>4.544</v>
      </c>
      <c r="C3" s="52" t="n">
        <v>0.08599999999999999</v>
      </c>
      <c r="D3" s="52" t="n">
        <v>0</v>
      </c>
      <c r="E3" s="52" t="n">
        <v>0</v>
      </c>
      <c r="F3" s="52" t="n">
        <v>0</v>
      </c>
      <c r="G3" s="52" t="n">
        <v>0.001</v>
      </c>
      <c r="H3" s="52" t="n">
        <v>1.368</v>
      </c>
      <c r="I3" s="52" t="n">
        <v>2.297</v>
      </c>
      <c r="J3" s="52" t="n">
        <v>1.142</v>
      </c>
      <c r="K3" s="52" t="n">
        <v>0</v>
      </c>
      <c r="L3" s="52" t="n">
        <v>3.726</v>
      </c>
      <c r="M3" s="52" t="n">
        <v>1.55</v>
      </c>
      <c r="N3" s="52" t="n">
        <v>7.229</v>
      </c>
      <c r="O3" s="52" t="n">
        <v>6.408</v>
      </c>
      <c r="P3" s="52" t="n">
        <v>4.481</v>
      </c>
      <c r="Q3" s="52" t="n">
        <v>12.269</v>
      </c>
      <c r="R3" s="52" t="n">
        <v>19.075</v>
      </c>
      <c r="S3" s="52">
        <f>S2*(1-Assumptions!$B$19)</f>
        <v>23.131757581140047</v>
      </c>
      <c r="T3" s="52">
        <f>T2*(1-Assumptions!$B$19)</f>
        <v>27.573569075776298</v>
      </c>
      <c r="U3" s="52">
        <f>U2*(1-Assumptions!$B$19)</f>
        <v>32.29263223660055</v>
      </c>
      <c r="V3" s="52">
        <f>V2*(1-Assumptions!$B$19)</f>
        <v>37.14513844068705</v>
      </c>
      <c r="W3" s="52">
        <f>W2*(1-Assumptions!$B$19)</f>
        <v>41.951306631151496</v>
      </c>
      <c r="X3" s="52">
        <f>X2*(1-Assumptions!$B$19)</f>
        <v>46.503489526260665</v>
      </c>
      <c r="Y3" s="52">
        <f>Y2*(1-Assumptions!$B$19)</f>
        <v>50.578745325078636</v>
      </c>
      <c r="Z3" s="52">
        <f>Z2*(1-Assumptions!$B$19)</f>
        <v>53.95515756855721</v>
      </c>
      <c r="AA3" s="52">
        <f>AA2*(1-Assumptions!$B$19)</f>
        <v>56.43050029745246</v>
      </c>
      <c r="AB3" s="52">
        <f>AB2*(1-Assumptions!$B$19)</f>
        <v>57.841262804888764</v>
      </c>
    </row>
    <row r="4" customFormat="1" s="1">
      <c r="A4" s="5" t="inlineStr">
        <is>
          <t>Gross Margin</t>
        </is>
      </c>
      <c r="B4" s="52">
        <f>B2-B3</f>
        <v>70.046</v>
      </c>
      <c r="C4" s="52">
        <f>C2-C3</f>
        <v>62.295</v>
      </c>
      <c r="D4" s="52">
        <f>D2-D3</f>
        <v>19.643</v>
      </c>
      <c r="E4" s="52">
        <f>E2-E3</f>
        <v>26.293</v>
      </c>
      <c r="F4" s="52">
        <f>F2-F3</f>
        <v>17.331</v>
      </c>
      <c r="G4" s="52">
        <f>G2-G3</f>
        <v>13.607000000000001</v>
      </c>
      <c r="H4" s="52">
        <f>H2-H3</f>
        <v>46.888999999999996</v>
      </c>
      <c r="I4" s="52">
        <f>I2-I3</f>
        <v>24.056</v>
      </c>
      <c r="J4" s="52">
        <f>J2-J3</f>
        <v>24.044</v>
      </c>
      <c r="K4" s="52">
        <f>K2-K3</f>
        <v>20.653</v>
      </c>
      <c r="L4" s="52">
        <f>L2-L3</f>
        <v>45.109</v>
      </c>
      <c r="M4" s="52">
        <f>M2-M3</f>
        <v>16.262</v>
      </c>
      <c r="N4" s="52">
        <f>N2-N3</f>
        <v>149.94099999999997</v>
      </c>
      <c r="O4" s="52">
        <f>O2-O3</f>
        <v>264.419</v>
      </c>
      <c r="P4" s="52">
        <f>P2-P3</f>
        <v>326.931</v>
      </c>
      <c r="Q4" s="52">
        <f>Q2-Q3</f>
        <v>438.443</v>
      </c>
      <c r="R4" s="52">
        <f>R2-R3</f>
        <v>855.762</v>
      </c>
      <c r="S4" s="52">
        <f>S2-S3</f>
        <v>1037.9580397188602</v>
      </c>
      <c r="T4" s="52">
        <f>T2-T3</f>
        <v>1237.2690490790974</v>
      </c>
      <c r="U4" s="52">
        <f>U2-U3</f>
        <v>1449.0207731120454</v>
      </c>
      <c r="V4" s="52">
        <f>V2-V3</f>
        <v>1666.7602946183486</v>
      </c>
      <c r="W4" s="52">
        <f>W2-W3</f>
        <v>1882.4205571831337</v>
      </c>
      <c r="X4" s="52">
        <f>X2-X3</f>
        <v>2086.684103421472</v>
      </c>
      <c r="Y4" s="52">
        <f>Y2-Y3</f>
        <v>2269.5471870179736</v>
      </c>
      <c r="Z4" s="52">
        <f>Z2-Z3</f>
        <v>2421.0520703469065</v>
      </c>
      <c r="AA4" s="52">
        <f>AA2-AA3</f>
        <v>2532.1245592187106</v>
      </c>
      <c r="AB4" s="52">
        <f>AB2-AB3</f>
        <v>2595.427673199178</v>
      </c>
    </row>
    <row r="5">
      <c r="A5" s="2" t="inlineStr">
        <is>
          <t>Research &amp; Dev.</t>
        </is>
      </c>
      <c r="B5" s="52" t="n">
        <v>73.661</v>
      </c>
      <c r="C5" s="52" t="n">
        <v>83.90000000000001</v>
      </c>
      <c r="D5" s="52" t="n">
        <v>57.249</v>
      </c>
      <c r="E5" s="52" t="n">
        <v>49.16</v>
      </c>
      <c r="F5" s="52" t="n">
        <v>41.943</v>
      </c>
      <c r="G5" s="52" t="n">
        <v>51.796</v>
      </c>
      <c r="H5" s="52" t="n">
        <v>72.758</v>
      </c>
      <c r="I5" s="52" t="n">
        <v>61.008</v>
      </c>
      <c r="J5" s="52" t="n">
        <v>66.962</v>
      </c>
      <c r="K5" s="52" t="n">
        <v>84.88800000000001</v>
      </c>
      <c r="L5" s="52" t="n">
        <v>107.068</v>
      </c>
      <c r="M5" s="52" t="n">
        <v>122.964</v>
      </c>
      <c r="N5" s="52" t="n">
        <v>208.808</v>
      </c>
      <c r="O5" s="52" t="n">
        <v>253.297</v>
      </c>
      <c r="P5" s="52" t="n">
        <v>216.566</v>
      </c>
      <c r="Q5" s="52" t="n">
        <v>174.638</v>
      </c>
      <c r="R5" s="52" t="n">
        <v>166.126</v>
      </c>
      <c r="S5" s="52">
        <f>S7*Assumptions!$B$20</f>
        <v>329.82655080054906</v>
      </c>
      <c r="T5" s="52">
        <f>T7*Assumptions!$B$20</f>
        <v>384.7687115363777</v>
      </c>
      <c r="U5" s="52">
        <f>U7*Assumptions!$B$20</f>
        <v>440.7916510856481</v>
      </c>
      <c r="V5" s="52">
        <f>V7*Assumptions!$B$20</f>
        <v>495.7230213652028</v>
      </c>
      <c r="W5" s="52">
        <f>W7*Assumptions!$B$20</f>
        <v>547.0964191989782</v>
      </c>
      <c r="X5" s="52">
        <f>X7*Assumptions!$B$20</f>
        <v>592.3093742099882</v>
      </c>
      <c r="Y5" s="52">
        <f>Y7*Assumptions!$B$20</f>
        <v>628.8220516717624</v>
      </c>
      <c r="Z5" s="52">
        <f>Z7*Assumptions!$B$20</f>
        <v>654.3784569215576</v>
      </c>
      <c r="AA5" s="52">
        <f>AA7*Assumptions!$B$20</f>
        <v>667.2255690347373</v>
      </c>
      <c r="AB5" s="52">
        <f>AB7*Assumptions!$B$20</f>
        <v>666.3025330116723</v>
      </c>
    </row>
    <row r="6">
      <c r="A6" s="18" t="inlineStr">
        <is>
          <t>SG&amp;A &amp; Other</t>
        </is>
      </c>
      <c r="B6" s="52" t="n">
        <v>10.122</v>
      </c>
      <c r="C6" s="52" t="n">
        <v>12.752</v>
      </c>
      <c r="D6" s="52" t="n">
        <v>11.981</v>
      </c>
      <c r="E6" s="52" t="n">
        <v>11.021</v>
      </c>
      <c r="F6" s="52" t="n">
        <v>6.105</v>
      </c>
      <c r="G6" s="52" t="n">
        <v>7.582</v>
      </c>
      <c r="H6" s="52" t="n">
        <v>13.575</v>
      </c>
      <c r="I6" s="52" t="n">
        <v>11.655</v>
      </c>
      <c r="J6" s="52" t="n">
        <v>14.493</v>
      </c>
      <c r="K6" s="52" t="n">
        <v>29.985</v>
      </c>
      <c r="L6" s="52" t="n">
        <v>37.496</v>
      </c>
      <c r="M6" s="52" t="n">
        <v>68.05500000000001</v>
      </c>
      <c r="N6" s="52" t="n">
        <v>118.853</v>
      </c>
      <c r="O6" s="52" t="n">
        <v>159.557</v>
      </c>
      <c r="P6" s="52" t="n">
        <v>214.074</v>
      </c>
      <c r="Q6" s="52" t="n">
        <v>266.348</v>
      </c>
      <c r="R6" s="52" t="n">
        <v>348.647</v>
      </c>
      <c r="S6" s="52">
        <f>S7-S5</f>
        <v>692.2575855507031</v>
      </c>
      <c r="T6" s="52">
        <f>T7-T5</f>
        <v>807.5731277458588</v>
      </c>
      <c r="U6" s="52">
        <f>U7-U5</f>
        <v>925.1570662544452</v>
      </c>
      <c r="V6" s="52">
        <f>V7-V5</f>
        <v>1040.4499608635012</v>
      </c>
      <c r="W6" s="52">
        <f>W7-W5</f>
        <v>1148.275192821407</v>
      </c>
      <c r="X6" s="52">
        <f>X7-X5</f>
        <v>1243.170558265959</v>
      </c>
      <c r="Y6" s="52">
        <f>Y7-Y5</f>
        <v>1319.8053163845202</v>
      </c>
      <c r="Z6" s="52">
        <f>Z7-Z5</f>
        <v>1373.44446505414</v>
      </c>
      <c r="AA6" s="52">
        <f>AA7-AA5</f>
        <v>1400.4086703043927</v>
      </c>
      <c r="AB6" s="52">
        <f>AB7-AB5</f>
        <v>1398.4713529866924</v>
      </c>
    </row>
    <row r="7">
      <c r="A7" s="2" t="inlineStr">
        <is>
          <t>Operating Expense</t>
        </is>
      </c>
      <c r="B7" s="52">
        <f>SUM(B5:B6)</f>
        <v>83.783</v>
      </c>
      <c r="C7" s="52">
        <f>SUM(C5:C6)</f>
        <v>96.652</v>
      </c>
      <c r="D7" s="52">
        <f>SUM(D5:D6)</f>
        <v>69.23</v>
      </c>
      <c r="E7" s="52">
        <f>SUM(E5:E6)</f>
        <v>60.181</v>
      </c>
      <c r="F7" s="52">
        <f>SUM(F5:F6)</f>
        <v>48.048</v>
      </c>
      <c r="G7" s="52">
        <f>SUM(G5:G6)</f>
        <v>59.378</v>
      </c>
      <c r="H7" s="52">
        <f>SUM(H5:H6)</f>
        <v>86.333</v>
      </c>
      <c r="I7" s="52">
        <f>SUM(I5:I6)</f>
        <v>72.663</v>
      </c>
      <c r="J7" s="52">
        <f>SUM(J5:J6)</f>
        <v>81.455</v>
      </c>
      <c r="K7" s="52">
        <f>SUM(K5:K6)</f>
        <v>114.873</v>
      </c>
      <c r="L7" s="52">
        <f>SUM(L5:L6)</f>
        <v>144.564</v>
      </c>
      <c r="M7" s="52">
        <f>SUM(M5:M6)</f>
        <v>191.019</v>
      </c>
      <c r="N7" s="52">
        <f>SUM(N5:N6)</f>
        <v>327.661</v>
      </c>
      <c r="O7" s="52">
        <f>SUM(O5:O6)</f>
        <v>412.854</v>
      </c>
      <c r="P7" s="52">
        <f>SUM(P5:P6)</f>
        <v>430.64</v>
      </c>
      <c r="Q7" s="52">
        <f>SUM(Q5:Q6)</f>
        <v>440.986</v>
      </c>
      <c r="R7" s="52">
        <f>SUM(R5:R6)</f>
        <v>514.773</v>
      </c>
      <c r="S7" s="52">
        <f>S4-S2*NPV!C6</f>
        <v>1022.0841363512521</v>
      </c>
      <c r="T7" s="52">
        <f>T4-T2*NPV!D6</f>
        <v>1192.3418392822364</v>
      </c>
      <c r="U7" s="52">
        <f>U4-U2*NPV!E6</f>
        <v>1365.9487173400933</v>
      </c>
      <c r="V7" s="52">
        <f>V4-V2*NPV!F6</f>
        <v>1536.172982228704</v>
      </c>
      <c r="W7" s="52">
        <f>W4-W2*NPV!G6</f>
        <v>1695.371612020385</v>
      </c>
      <c r="X7" s="52">
        <f>X4-X2*NPV!H6</f>
        <v>1835.4799324759472</v>
      </c>
      <c r="Y7" s="52">
        <f>Y4-Y2*NPV!I6</f>
        <v>1948.6273680562826</v>
      </c>
      <c r="Z7" s="52">
        <f>Z4-Z2*NPV!J6</f>
        <v>2027.8229219756975</v>
      </c>
      <c r="AA7" s="52">
        <f>AA4-AA2*NPV!K6</f>
        <v>2067.63423933913</v>
      </c>
      <c r="AB7" s="52">
        <f>AB4-AB2*NPV!L6</f>
        <v>2064.7738859983647</v>
      </c>
    </row>
    <row r="8">
      <c r="A8" s="2" t="inlineStr">
        <is>
          <t>Operating Income</t>
        </is>
      </c>
      <c r="B8" s="52">
        <f>B4-B7</f>
        <v>-13.736999999999995</v>
      </c>
      <c r="C8" s="52">
        <f>C4-C7</f>
        <v>-34.357</v>
      </c>
      <c r="D8" s="52">
        <f>D4-D7</f>
        <v>-49.587</v>
      </c>
      <c r="E8" s="52">
        <f>E4-E7</f>
        <v>-33.888</v>
      </c>
      <c r="F8" s="52">
        <f>F4-F7</f>
        <v>-30.717000000000002</v>
      </c>
      <c r="G8" s="52">
        <f>G4-G7</f>
        <v>-45.771</v>
      </c>
      <c r="H8" s="52">
        <f>H4-H7</f>
        <v>-39.444</v>
      </c>
      <c r="I8" s="52">
        <f>I4-I7</f>
        <v>-48.607</v>
      </c>
      <c r="J8" s="52">
        <f>J4-J7</f>
        <v>-57.411</v>
      </c>
      <c r="K8" s="52">
        <f>K4-K7</f>
        <v>-94.22</v>
      </c>
      <c r="L8" s="52">
        <f>L4-L7</f>
        <v>-99.45499999999998</v>
      </c>
      <c r="M8" s="52">
        <f>M4-M7</f>
        <v>-174.757</v>
      </c>
      <c r="N8" s="52">
        <f>N4-N7</f>
        <v>-177.72000000000003</v>
      </c>
      <c r="O8" s="52">
        <f>O4-O7</f>
        <v>-148.435</v>
      </c>
      <c r="P8" s="52">
        <f>P4-P7</f>
        <v>-103.709</v>
      </c>
      <c r="Q8" s="52">
        <f>Q4-Q7</f>
        <v>-2.5430000000000064</v>
      </c>
      <c r="R8" s="52">
        <f>R4-R7</f>
        <v>340.9889999999999</v>
      </c>
      <c r="S8" s="52">
        <f>S4-S7</f>
        <v>15.873903367608023</v>
      </c>
      <c r="T8" s="52">
        <f>T4-T7</f>
        <v>44.92720979686101</v>
      </c>
      <c r="U8" s="52">
        <f>U4-U7</f>
        <v>83.07205577195214</v>
      </c>
      <c r="V8" s="52">
        <f>V4-V7</f>
        <v>130.58731238964447</v>
      </c>
      <c r="W8" s="52">
        <f>W4-W7</f>
        <v>187.04894516274862</v>
      </c>
      <c r="X8" s="52">
        <f>X4-X7</f>
        <v>251.204170945525</v>
      </c>
      <c r="Y8" s="52">
        <f>Y4-Y7</f>
        <v>320.9198189616909</v>
      </c>
      <c r="Z8" s="52">
        <f>Z4-Z7</f>
        <v>393.229148371209</v>
      </c>
      <c r="AA8" s="52">
        <f>AA4-AA7</f>
        <v>464.4903198795805</v>
      </c>
      <c r="AB8" s="52">
        <f>AB4-AB7</f>
        <v>530.6537872008134</v>
      </c>
    </row>
    <row r="9">
      <c r="A9" s="18" t="inlineStr">
        <is>
          <t>Interest &amp; Other</t>
        </is>
      </c>
      <c r="B9" s="52" t="n">
        <v>0.286</v>
      </c>
      <c r="C9" s="52" t="n">
        <v>0.504</v>
      </c>
      <c r="D9" s="52" t="n">
        <v>-7.361</v>
      </c>
      <c r="E9" s="52" t="n">
        <v>1.809</v>
      </c>
      <c r="F9" s="52" t="n">
        <v>9.176</v>
      </c>
      <c r="G9" s="52" t="n">
        <v>17.894</v>
      </c>
      <c r="H9" s="52" t="n">
        <v>-3.575</v>
      </c>
      <c r="I9" s="52" t="n">
        <v>-6.537</v>
      </c>
      <c r="J9" s="52" t="n">
        <v>-8.371</v>
      </c>
      <c r="K9" s="52" t="n">
        <v>-7.032</v>
      </c>
      <c r="L9" s="52" t="n">
        <v>-9.442</v>
      </c>
      <c r="M9" s="52" t="n">
        <v>-8.057</v>
      </c>
      <c r="N9" s="52" t="n">
        <v>-4.089</v>
      </c>
      <c r="O9" s="52" t="n">
        <v>-95.94799999999999</v>
      </c>
      <c r="P9" s="52" t="n">
        <v>-122.52</v>
      </c>
      <c r="Q9" s="52" t="n">
        <v>-84.411</v>
      </c>
      <c r="R9" s="52" t="n">
        <v>-73.598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-13.450999999999995</v>
      </c>
      <c r="C10" s="52">
        <f>C8+C9</f>
        <v>-33.853</v>
      </c>
      <c r="D10" s="52">
        <f>D8+D9</f>
        <v>-56.948</v>
      </c>
      <c r="E10" s="52">
        <f>E8+E9</f>
        <v>-32.079</v>
      </c>
      <c r="F10" s="52">
        <f>F8+F9</f>
        <v>-21.541000000000004</v>
      </c>
      <c r="G10" s="52">
        <f>G8+G9</f>
        <v>-27.877000000000002</v>
      </c>
      <c r="H10" s="52">
        <f>H8+H9</f>
        <v>-43.019000000000005</v>
      </c>
      <c r="I10" s="52">
        <f>I8+I9</f>
        <v>-55.144</v>
      </c>
      <c r="J10" s="52">
        <f>J8+J9</f>
        <v>-65.782</v>
      </c>
      <c r="K10" s="52">
        <f>K8+K9</f>
        <v>-101.252</v>
      </c>
      <c r="L10" s="52">
        <f>L8+L9</f>
        <v>-108.89699999999999</v>
      </c>
      <c r="M10" s="52">
        <f>M8+M9</f>
        <v>-182.814</v>
      </c>
      <c r="N10" s="52">
        <f>N8+N9</f>
        <v>-181.80900000000003</v>
      </c>
      <c r="O10" s="52">
        <f>O8+O9</f>
        <v>-244.38299999999998</v>
      </c>
      <c r="P10" s="52">
        <f>P8+P9</f>
        <v>-226.22899999999998</v>
      </c>
      <c r="Q10" s="52">
        <f>Q8+Q9</f>
        <v>-86.95400000000001</v>
      </c>
      <c r="R10" s="52">
        <f>R8+R9</f>
        <v>267.3909999999999</v>
      </c>
      <c r="S10" s="52">
        <f>S8+S9</f>
        <v>15.873903367608023</v>
      </c>
      <c r="T10" s="52">
        <f>T8+T9</f>
        <v>44.92720979686101</v>
      </c>
      <c r="U10" s="52">
        <f>U8+U9</f>
        <v>83.07205577195214</v>
      </c>
      <c r="V10" s="52">
        <f>V8+V9</f>
        <v>130.58731238964447</v>
      </c>
      <c r="W10" s="52">
        <f>W8+W9</f>
        <v>187.04894516274862</v>
      </c>
      <c r="X10" s="52">
        <f>X8+X9</f>
        <v>251.204170945525</v>
      </c>
      <c r="Y10" s="52">
        <f>Y8+Y9</f>
        <v>320.9198189616909</v>
      </c>
      <c r="Z10" s="52">
        <f>Z8+Z9</f>
        <v>393.229148371209</v>
      </c>
      <c r="AA10" s="52">
        <f>AA8+AA9</f>
        <v>464.4903198795805</v>
      </c>
      <c r="AB10" s="52">
        <f>AB8+AB9</f>
        <v>530.6537872008134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7.002</v>
      </c>
      <c r="F11" s="52" t="n">
        <v>8.567</v>
      </c>
      <c r="G11" s="52" t="n">
        <v>17.312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2.253</v>
      </c>
      <c r="O11" s="52" t="n">
        <v>2.733</v>
      </c>
      <c r="P11" s="52" t="n">
        <v>0.31</v>
      </c>
      <c r="Q11" s="52" t="n">
        <v>1.927</v>
      </c>
      <c r="R11" s="52" t="n">
        <v>3.53</v>
      </c>
      <c r="S11" s="52">
        <f>MAX(0,S10)*Assumptions!$E$14</f>
        <v>2.698563572493364</v>
      </c>
      <c r="T11" s="52">
        <f>MAX(0,T10)*Assumptions!$E$14</f>
        <v>7.637625665466372</v>
      </c>
      <c r="U11" s="52">
        <f>MAX(0,U10)*Assumptions!$E$14</f>
        <v>14.122249481231865</v>
      </c>
      <c r="V11" s="52">
        <f>MAX(0,V10)*Assumptions!$E$14</f>
        <v>22.199843106239562</v>
      </c>
      <c r="W11" s="52">
        <f>MAX(0,W10)*Assumptions!$E$14</f>
        <v>31.798320677667267</v>
      </c>
      <c r="X11" s="52">
        <f>MAX(0,X10)*Assumptions!$E$14</f>
        <v>42.704709060739255</v>
      </c>
      <c r="Y11" s="52">
        <f>MAX(0,Y10)*Assumptions!$E$14</f>
        <v>54.55636922348746</v>
      </c>
      <c r="Z11" s="52">
        <f>MAX(0,Z10)*Assumptions!$E$14</f>
        <v>66.84895522310553</v>
      </c>
      <c r="AA11" s="52">
        <f>MAX(0,AA10)*Assumptions!$E$14</f>
        <v>78.9633543795287</v>
      </c>
      <c r="AB11" s="52">
        <f>MAX(0,AB10)*Assumptions!$E$14</f>
        <v>90.21114382413829</v>
      </c>
    </row>
    <row r="12">
      <c r="A12" s="2" t="inlineStr">
        <is>
          <t>Net Income</t>
        </is>
      </c>
      <c r="B12" s="52" t="n">
        <v>-13.451</v>
      </c>
      <c r="C12" s="52" t="n">
        <v>-33.853</v>
      </c>
      <c r="D12" s="52" t="n">
        <v>-56.948</v>
      </c>
      <c r="E12" s="52" t="n">
        <v>-39.081</v>
      </c>
      <c r="F12" s="52" t="n">
        <v>-30.108</v>
      </c>
      <c r="G12" s="52" t="n">
        <v>-45.189</v>
      </c>
      <c r="H12" s="52" t="n">
        <v>-43.019</v>
      </c>
      <c r="I12" s="52" t="n">
        <v>-55.144</v>
      </c>
      <c r="J12" s="52" t="n">
        <v>-65.782</v>
      </c>
      <c r="K12" s="52" t="n">
        <v>-101.252</v>
      </c>
      <c r="L12" s="52" t="n">
        <v>-108.897</v>
      </c>
      <c r="M12" s="52" t="n">
        <v>-182.814</v>
      </c>
      <c r="N12" s="52" t="n">
        <v>-184.062</v>
      </c>
      <c r="O12" s="52" t="n">
        <v>-247.116</v>
      </c>
      <c r="P12" s="52" t="n">
        <v>-226.539</v>
      </c>
      <c r="Q12" s="52" t="n">
        <v>-88.881</v>
      </c>
      <c r="R12" s="52" t="n">
        <v>263.861</v>
      </c>
      <c r="S12" s="52">
        <f>S10-S11</f>
        <v>13.17533979511466</v>
      </c>
      <c r="T12" s="52">
        <f>T10-T11</f>
        <v>37.28958413139463</v>
      </c>
      <c r="U12" s="52">
        <f>U10-U11</f>
        <v>68.94980629072028</v>
      </c>
      <c r="V12" s="52">
        <f>V10-V11</f>
        <v>108.3874692834049</v>
      </c>
      <c r="W12" s="52">
        <f>W10-W11</f>
        <v>155.25062448508135</v>
      </c>
      <c r="X12" s="52">
        <f>X10-X11</f>
        <v>208.49946188478575</v>
      </c>
      <c r="Y12" s="52">
        <f>Y10-Y11</f>
        <v>266.3634497382034</v>
      </c>
      <c r="Z12" s="52">
        <f>Z10-Z11</f>
        <v>326.3801931481035</v>
      </c>
      <c r="AA12" s="52">
        <f>AA10-AA11</f>
        <v>385.5269655000518</v>
      </c>
      <c r="AB12" s="52">
        <f>AB10-AB11</f>
        <v>440.44264337667516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-0.7899300642761856</v>
      </c>
      <c r="F13" s="11">
        <f>IFERROR(F12/F14,0)</f>
        <v>-0.545276731382208</v>
      </c>
      <c r="G13" s="11">
        <f>IFERROR(G12/G14,0)</f>
        <v>-0.6767555748581013</v>
      </c>
      <c r="H13" s="11">
        <f>IFERROR(H12/H14,0)</f>
        <v>-0.5901016446962318</v>
      </c>
      <c r="I13" s="11">
        <f>IFERROR(I12/I14,0)</f>
        <v>-0.7482326761557144</v>
      </c>
      <c r="J13" s="11">
        <f>IFERROR(J12/J14,0)</f>
        <v>-0.7789368983197357</v>
      </c>
      <c r="K13" s="11">
        <f>IFERROR(K12/K14,0)</f>
        <v>-0.9812666569753355</v>
      </c>
      <c r="L13" s="11">
        <f>IFERROR(L12/L14,0)</f>
        <v>-0.9420155709342561</v>
      </c>
      <c r="M13" s="11">
        <f>IFERROR(M12/M14,0)</f>
        <v>-1.0929472041705777</v>
      </c>
      <c r="N13" s="11">
        <f>IFERROR(N12/N14,0)</f>
        <v>-1.0276076530982543</v>
      </c>
      <c r="O13" s="11">
        <f>IFERROR(O12/O14,0)</f>
        <v>-1.3292381177786865</v>
      </c>
      <c r="P13" s="11">
        <f>IFERROR(P12/P14,0)</f>
        <v>-1.1786751162863296</v>
      </c>
      <c r="Q13" s="11">
        <f>IFERROR(Q12/Q14,0)</f>
        <v>-0.4300083213995433</v>
      </c>
      <c r="R13" s="11">
        <f>IFERROR(R12/R14,0)</f>
        <v>1.2071543272288077</v>
      </c>
      <c r="S13" s="11">
        <f>IFERROR(S12/S14,0)</f>
        <v>0.051559803476374254</v>
      </c>
      <c r="T13" s="11">
        <f>IFERROR(T12/T14,0)</f>
        <v>0.14592744167731722</v>
      </c>
      <c r="U13" s="11">
        <f>IFERROR(U12/U14,0)</f>
        <v>0.2698251823001786</v>
      </c>
      <c r="V13" s="11">
        <f>IFERROR(V12/V14,0)</f>
        <v>0.4241588226533685</v>
      </c>
      <c r="W13" s="11">
        <f>IFERROR(W12/W14,0)</f>
        <v>0.6075510622506499</v>
      </c>
      <c r="X13" s="11">
        <f>IFERROR(X12/X14,0)</f>
        <v>0.8159327536808916</v>
      </c>
      <c r="Y13" s="11">
        <f>IFERROR(Y12/Y14,0)</f>
        <v>1.0423751747854897</v>
      </c>
      <c r="Z13" s="11">
        <f>IFERROR(Z12/Z14,0)</f>
        <v>1.2772420961421465</v>
      </c>
      <c r="AA13" s="11">
        <f>IFERROR(AA12/AA14,0)</f>
        <v>1.508704510482236</v>
      </c>
      <c r="AB13" s="11">
        <f>IFERROR(AB12/AB14,0)</f>
        <v>1.7236091431612701</v>
      </c>
    </row>
    <row r="14">
      <c r="A14" s="2" t="inlineStr">
        <is>
          <t>Shares</t>
        </is>
      </c>
      <c r="B14" s="52" t="n"/>
      <c r="C14" s="52" t="n"/>
      <c r="D14" s="52" t="n"/>
      <c r="E14" s="52" t="n">
        <v>49.474</v>
      </c>
      <c r="F14" s="52" t="n">
        <v>55.216</v>
      </c>
      <c r="G14" s="52" t="n">
        <v>66.773</v>
      </c>
      <c r="H14" s="52" t="n">
        <v>72.901</v>
      </c>
      <c r="I14" s="52" t="n">
        <v>73.699</v>
      </c>
      <c r="J14" s="52" t="n">
        <v>84.45099999999999</v>
      </c>
      <c r="K14" s="52" t="n">
        <v>103.185</v>
      </c>
      <c r="L14" s="52" t="n">
        <v>115.6</v>
      </c>
      <c r="M14" s="52" t="n">
        <v>167.267</v>
      </c>
      <c r="N14" s="52" t="n">
        <v>179.117</v>
      </c>
      <c r="O14" s="52" t="n">
        <v>185.908</v>
      </c>
      <c r="P14" s="52" t="n">
        <v>192.198</v>
      </c>
      <c r="Q14" s="52" t="n">
        <v>206.696</v>
      </c>
      <c r="R14" s="52" t="n">
        <v>218.581</v>
      </c>
      <c r="S14" s="52">
        <f>Main!$C$4</f>
        <v>255.535105</v>
      </c>
      <c r="T14" s="52">
        <f>Main!$C$4</f>
        <v>255.535105</v>
      </c>
      <c r="U14" s="52">
        <f>Main!$C$4</f>
        <v>255.535105</v>
      </c>
      <c r="V14" s="52">
        <f>Main!$C$4</f>
        <v>255.535105</v>
      </c>
      <c r="W14" s="52">
        <f>Main!$C$4</f>
        <v>255.535105</v>
      </c>
      <c r="X14" s="52">
        <f>Main!$C$4</f>
        <v>255.535105</v>
      </c>
      <c r="Y14" s="52">
        <f>Main!$C$4</f>
        <v>255.535105</v>
      </c>
      <c r="Z14" s="52">
        <f>Main!$C$4</f>
        <v>255.535105</v>
      </c>
      <c r="AA14" s="52">
        <f>Main!$C$4</f>
        <v>255.535105</v>
      </c>
      <c r="AB14" s="52">
        <f>Main!$C$4</f>
        <v>255.535105</v>
      </c>
    </row>
    <row r="15"/>
    <row r="16" customFormat="1" s="4">
      <c r="A16" s="3" t="inlineStr">
        <is>
          <t>Revenue Change</t>
        </is>
      </c>
      <c r="C16" s="15">
        <f>IFERROR(C2/B2-1,"")</f>
        <v>-0.1636814586405685</v>
      </c>
      <c r="D16" s="15">
        <f>IFERROR(D2/C2-1,"")</f>
        <v>-0.6851124541126304</v>
      </c>
      <c r="E16" s="15">
        <f>IFERROR(E2/D2-1,"")</f>
        <v>0.3385429924146006</v>
      </c>
      <c r="F16" s="15">
        <f>IFERROR(F2/E2-1,"")</f>
        <v>-0.3408511771193854</v>
      </c>
      <c r="G16" s="15">
        <f>IFERROR(G2/F2-1,"")</f>
        <v>-0.21481737926259303</v>
      </c>
      <c r="H16" s="15">
        <f>IFERROR(H2/G2-1,"")</f>
        <v>2.546222810111699</v>
      </c>
      <c r="I16" s="15">
        <f>IFERROR(I2/H2-1,"")</f>
        <v>-0.4539030606958575</v>
      </c>
      <c r="J16" s="15">
        <f>IFERROR(J2/I2-1,"")</f>
        <v>-0.04428338329601944</v>
      </c>
      <c r="K16" s="15">
        <f>IFERROR(K2/J2-1,"")</f>
        <v>-0.17998094179305968</v>
      </c>
      <c r="L16" s="15">
        <f>IFERROR(L2/K2-1,"")</f>
        <v>1.3645475233622237</v>
      </c>
      <c r="M16" s="15">
        <f>IFERROR(M2/L2-1,"")</f>
        <v>-0.6352615951674004</v>
      </c>
      <c r="N16" s="15">
        <f>IFERROR(N2/M2-1,"")</f>
        <v>7.823826633730068</v>
      </c>
      <c r="O16" s="15">
        <f>IFERROR(O2/N2-1,"")</f>
        <v>0.7231469109881021</v>
      </c>
      <c r="P16" s="15">
        <f>IFERROR(P2/O2-1,"")</f>
        <v>0.22370369276327695</v>
      </c>
      <c r="Q16" s="15">
        <f>IFERROR(Q2/P2-1,"")</f>
        <v>0.35997489529648896</v>
      </c>
      <c r="R16" s="15">
        <f>IFERROR(R2/Q2-1,"")</f>
        <v>0.9410111113083299</v>
      </c>
      <c r="S16" s="15">
        <f>IFERROR(S2/R2-1,"")</f>
        <v>0.2129000000000001</v>
      </c>
      <c r="T16" s="15">
        <f>IFERROR(T2/S2-1,"")</f>
        <v>0.19202222222222232</v>
      </c>
      <c r="U16" s="15">
        <f>IFERROR(U2/T2-1,"")</f>
        <v>0.17114444444444432</v>
      </c>
      <c r="V16" s="15">
        <f>IFERROR(V2/U2-1,"")</f>
        <v>0.15026666666666655</v>
      </c>
      <c r="W16" s="15">
        <f>IFERROR(W2/V2-1,"")</f>
        <v>0.12938888888888878</v>
      </c>
      <c r="X16" s="15">
        <f>IFERROR(X2/W2-1,"")</f>
        <v>0.108511111111111</v>
      </c>
      <c r="Y16" s="15">
        <f>IFERROR(Y2/X2-1,"")</f>
        <v>0.08763333333333323</v>
      </c>
      <c r="Z16" s="15">
        <f>IFERROR(Z2/Y2-1,"")</f>
        <v>0.06675555555555546</v>
      </c>
      <c r="AA16" s="15">
        <f>IFERROR(AA2/Z2-1,"")</f>
        <v>0.045877777777777684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0.9390803056710015</v>
      </c>
      <c r="C17" s="15">
        <f>IFERROR(C4/C2,"")</f>
        <v>0.9986213750981869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0.9999265138154028</v>
      </c>
      <c r="H17" s="15">
        <f>IFERROR(H4/H2,"")</f>
        <v>0.9716517810887539</v>
      </c>
      <c r="I17" s="15">
        <f>IFERROR(I4/I2,"")</f>
        <v>0.9128372481311425</v>
      </c>
      <c r="J17" s="15">
        <f>IFERROR(J4/J2,"")</f>
        <v>0.9546573493210514</v>
      </c>
      <c r="K17" s="15">
        <f>IFERROR(K4/K2,"")</f>
        <v>1.0</v>
      </c>
      <c r="L17" s="15">
        <f>IFERROR(L4/L2,"")</f>
        <v>0.9237022627214089</v>
      </c>
      <c r="M17" s="15">
        <f>IFERROR(M4/M2,"")</f>
        <v>0.9129800134740624</v>
      </c>
      <c r="N17" s="15">
        <f>IFERROR(N4/N2,"")</f>
        <v>0.9540052172806515</v>
      </c>
      <c r="O17" s="15">
        <f>IFERROR(O4/O2,"")</f>
        <v>0.9763391390075583</v>
      </c>
      <c r="P17" s="15">
        <f>IFERROR(P4/P2,"")</f>
        <v>0.986479065332577</v>
      </c>
      <c r="Q17" s="15">
        <f>IFERROR(Q4/Q2,"")</f>
        <v>0.9727786258187047</v>
      </c>
      <c r="R17" s="15">
        <f>IFERROR(R4/R2,"")</f>
        <v>0.9781959382147759</v>
      </c>
      <c r="S17" s="15">
        <f>IFERROR(S4/S2,"")</f>
        <v>0.9782000000000001</v>
      </c>
      <c r="T17" s="15">
        <f>IFERROR(T4/T2,"")</f>
        <v>0.9782</v>
      </c>
      <c r="U17" s="15">
        <f>IFERROR(U4/U2,"")</f>
        <v>0.9781999999999998</v>
      </c>
      <c r="V17" s="15">
        <f>IFERROR(V4/V2,"")</f>
        <v>0.9782</v>
      </c>
      <c r="W17" s="15">
        <f>IFERROR(W4/W2,"")</f>
        <v>0.9782</v>
      </c>
      <c r="X17" s="15">
        <f>IFERROR(X4/X2,"")</f>
        <v>0.9782</v>
      </c>
      <c r="Y17" s="15">
        <f>IFERROR(Y4/Y2,"")</f>
        <v>0.9782</v>
      </c>
      <c r="Z17" s="15">
        <f>IFERROR(Z4/Z2,"")</f>
        <v>0.9782</v>
      </c>
      <c r="AA17" s="15">
        <f>IFERROR(AA4/AA2,"")</f>
        <v>0.9782</v>
      </c>
      <c r="AB17" s="15">
        <f>IFERROR(AB4/AB2,"")</f>
        <v>0.9782</v>
      </c>
    </row>
    <row r="18">
      <c r="A18" s="14" t="inlineStr">
        <is>
          <t>Operating Margin</t>
        </is>
      </c>
      <c r="B18" s="15">
        <f>IFERROR(B8/B2,"")</f>
        <v>-0.18416677838852386</v>
      </c>
      <c r="C18" s="15">
        <f>IFERROR(C8/C2,"")</f>
        <v>-0.5507606482743143</v>
      </c>
      <c r="D18" s="15">
        <f>IFERROR(D8/D2,"")</f>
        <v>-2.524410731558316</v>
      </c>
      <c r="E18" s="15">
        <f>IFERROR(E8/E2,"")</f>
        <v>-1.2888601528924049</v>
      </c>
      <c r="F18" s="15">
        <f>IFERROR(F8/F2,"")</f>
        <v>-1.7723732040851654</v>
      </c>
      <c r="G18" s="15">
        <f>IFERROR(G8/G2,"")</f>
        <v>-3.363536155202822</v>
      </c>
      <c r="H18" s="15">
        <f>IFERROR(H8/H2,"")</f>
        <v>-0.8173736452742608</v>
      </c>
      <c r="I18" s="15">
        <f>IFERROR(I8/I2,"")</f>
        <v>-1.8444579364778202</v>
      </c>
      <c r="J18" s="15">
        <f>IFERROR(J8/J2,"")</f>
        <v>-2.279480663860875</v>
      </c>
      <c r="K18" s="15">
        <f>IFERROR(K8/K2,"")</f>
        <v>-4.56204909698349</v>
      </c>
      <c r="L18" s="15">
        <f>IFERROR(L8/L2,"")</f>
        <v>-2.036551653527183</v>
      </c>
      <c r="M18" s="15">
        <f>IFERROR(M8/M2,"")</f>
        <v>-9.81119470020211</v>
      </c>
      <c r="N18" s="15">
        <f>IFERROR(N8/N2,"")</f>
        <v>-1.1307501431570912</v>
      </c>
      <c r="O18" s="15">
        <f>IFERROR(O8/O2,"")</f>
        <v>-0.5480805089595941</v>
      </c>
      <c r="P18" s="15">
        <f>IFERROR(P8/P2,"")</f>
        <v>-0.3129307327435338</v>
      </c>
      <c r="Q18" s="15">
        <f>IFERROR(Q8/Q2,"")</f>
        <v>-0.0056421839223273545</v>
      </c>
      <c r="R18" s="15">
        <f>IFERROR(R8/R2,"")</f>
        <v>0.38977432367401005</v>
      </c>
      <c r="S18" s="15">
        <f>IFERROR(S8/S2,"")</f>
        <v>0.01496000000000002</v>
      </c>
      <c r="T18" s="15">
        <f>IFERROR(T8/T2,"")</f>
        <v>0.03551999999999992</v>
      </c>
      <c r="U18" s="15">
        <f>IFERROR(U8/U2,"")</f>
        <v>0.056080000000000046</v>
      </c>
      <c r="V18" s="15">
        <f>IFERROR(V8/V2,"")</f>
        <v>0.07663999999999999</v>
      </c>
      <c r="W18" s="15">
        <f>IFERROR(W8/W2,"")</f>
        <v>0.09720000000000005</v>
      </c>
      <c r="X18" s="15">
        <f>IFERROR(X8/X2,"")</f>
        <v>0.11775999999999999</v>
      </c>
      <c r="Y18" s="15">
        <f>IFERROR(Y8/Y2,"")</f>
        <v>0.13831999999999997</v>
      </c>
      <c r="Z18" s="15">
        <f>IFERROR(Z8/Z2,"")</f>
        <v>0.15888000000000005</v>
      </c>
      <c r="AA18" s="15">
        <f>IFERROR(AA8/AA2,"")</f>
        <v>0.17944000000000007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BioCryst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0.1629</v>
      </c>
      <c r="C12" s="53" t="n">
        <v>0.2129</v>
      </c>
      <c r="D12" s="53" t="n">
        <v>0.2629</v>
      </c>
      <c r="E12" s="54">
        <f>CHOOSE($B$4,B12,C12,D12)</f>
        <v>0.2129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-0.0056</v>
      </c>
    </row>
    <row r="19">
      <c r="A19" s="14" t="inlineStr">
        <is>
          <t>Gross margin (forecast)</t>
        </is>
      </c>
      <c r="B19" s="53" t="n">
        <v>0.9782</v>
      </c>
    </row>
    <row r="20">
      <c r="A20" s="14" t="inlineStr">
        <is>
          <t>R&amp;D share of operating expense (forecast)</t>
        </is>
      </c>
      <c r="B20" s="53" t="n">
        <v>0.3227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874.837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2654.622727256894</v>
      </c>
      <c r="C29" s="56">
        <f>NPV!B26</f>
        <v>2611.7957272568938</v>
      </c>
      <c r="D29" s="35">
        <f>NPV!B28</f>
        <v>10.220888152556942</v>
      </c>
      <c r="E29" s="57">
        <f>NPV!B30</f>
        <v>0.2872655103975996</v>
      </c>
    </row>
    <row r="30">
      <c r="A30" s="58" t="n">
        <v>1</v>
      </c>
      <c r="B30" s="59">
        <f t="dataTable" ref="B30:E32" r1="B4"/>
        <v>1276.585362060375</v>
      </c>
      <c r="C30" s="59">
        <v>1233.758362060375</v>
      </c>
      <c r="D30" s="39">
        <v>4.828136478783904</v>
      </c>
      <c r="E30" s="60">
        <v>-0.39192235783578044</v>
      </c>
    </row>
    <row r="31">
      <c r="A31" s="58" t="n">
        <v>2</v>
      </c>
      <c r="B31" s="59">
        <v>2654.622727256894</v>
      </c>
      <c r="C31" s="59">
        <v>2611.7957272568938</v>
      </c>
      <c r="D31" s="39">
        <v>10.220888152556942</v>
      </c>
      <c r="E31" s="60">
        <v>0.2872655103975996</v>
      </c>
    </row>
    <row r="32">
      <c r="A32" s="58" t="n">
        <v>3</v>
      </c>
      <c r="B32" s="59">
        <v>5276.756214311568</v>
      </c>
      <c r="C32" s="59">
        <v>5233.929214311569</v>
      </c>
      <c r="D32" s="39">
        <v>20.482231646065106</v>
      </c>
      <c r="E32" s="60">
        <v>1.5796261518973682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10.220888152556942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12.749934196518806</v>
      </c>
      <c r="C37" s="39">
        <v>13.672389792270119</v>
      </c>
      <c r="D37" s="39">
        <v>14.737510133835407</v>
      </c>
      <c r="E37" s="39">
        <v>15.980972875519496</v>
      </c>
      <c r="F37" s="39">
        <v>17.451429535674222</v>
      </c>
    </row>
    <row r="38">
      <c r="A38" s="62" t="n">
        <v>0.1</v>
      </c>
      <c r="B38" s="39">
        <v>10.712649646084598</v>
      </c>
      <c r="C38" s="39">
        <v>11.39051318149606</v>
      </c>
      <c r="D38" s="39">
        <v>12.159363541770364</v>
      </c>
      <c r="E38" s="39">
        <v>13.038707003827957</v>
      </c>
      <c r="F38" s="39">
        <v>14.054051910895168</v>
      </c>
    </row>
    <row r="39">
      <c r="A39" s="62" t="n">
        <v>0.11</v>
      </c>
      <c r="B39" s="39">
        <v>9.133432944560662</v>
      </c>
      <c r="C39" s="39">
        <v>9.646717809174154</v>
      </c>
      <c r="D39" s="39">
        <v>10.220888152556942</v>
      </c>
      <c r="E39" s="39">
        <v>10.867367385153983</v>
      </c>
      <c r="F39" s="39">
        <v>11.600625269018634</v>
      </c>
    </row>
    <row r="40">
      <c r="A40" s="62" t="n">
        <v>0.12</v>
      </c>
      <c r="B40" s="39">
        <v>7.879267786461123</v>
      </c>
      <c r="C40" s="39">
        <v>8.277310621769747</v>
      </c>
      <c r="D40" s="39">
        <v>8.717671011824677</v>
      </c>
      <c r="E40" s="39">
        <v>9.20740797694304</v>
      </c>
      <c r="F40" s="39">
        <v>9.75524157283468</v>
      </c>
    </row>
    <row r="41">
      <c r="A41" s="62" t="n">
        <v>0.13</v>
      </c>
      <c r="B41" s="39">
        <v>6.863591509893364</v>
      </c>
      <c r="C41" s="39">
        <v>7.178321289600772</v>
      </c>
      <c r="D41" s="39">
        <v>7.523380693410422</v>
      </c>
      <c r="E41" s="39">
        <v>7.9033242662972105</v>
      </c>
      <c r="F41" s="39">
        <v>8.323665479417407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BioCryst Pharmaceuticals,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0.2129</v>
      </c>
      <c r="D5" s="63">
        <f>Assumptions!$E$12+(Assumptions!$E$11-Assumptions!$E$12)*(D4-1)/(Assumptions!$B$21-1)</f>
        <v>0.19202222222222223</v>
      </c>
      <c r="E5" s="63">
        <f>Assumptions!$E$12+(Assumptions!$E$11-Assumptions!$E$12)*(E4-1)/(Assumptions!$B$21-1)</f>
        <v>0.17114444444444443</v>
      </c>
      <c r="F5" s="63">
        <f>Assumptions!$E$12+(Assumptions!$E$11-Assumptions!$E$12)*(F4-1)/(Assumptions!$B$21-1)</f>
        <v>0.15026666666666666</v>
      </c>
      <c r="G5" s="63">
        <f>Assumptions!$E$12+(Assumptions!$E$11-Assumptions!$E$12)*(G4-1)/(Assumptions!$B$21-1)</f>
        <v>0.1293888888888889</v>
      </c>
      <c r="H5" s="63">
        <f>Assumptions!$E$12+(Assumptions!$E$11-Assumptions!$E$12)*(H4-1)/(Assumptions!$B$21-1)</f>
        <v>0.10851111111111111</v>
      </c>
      <c r="I5" s="63">
        <f>Assumptions!$E$12+(Assumptions!$E$11-Assumptions!$E$12)*(I4-1)/(Assumptions!$B$21-1)</f>
        <v>0.08763333333333331</v>
      </c>
      <c r="J5" s="63">
        <f>Assumptions!$E$12+(Assumptions!$E$11-Assumptions!$E$12)*(J4-1)/(Assumptions!$B$21-1)</f>
        <v>0.06675555555555554</v>
      </c>
      <c r="K5" s="63">
        <f>Assumptions!$E$12+(Assumptions!$E$11-Assumptions!$E$12)*(K4-1)/(Assumptions!$B$21-1)</f>
        <v>0.04587777777777777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0.38977432367401005</v>
      </c>
      <c r="C6" s="63">
        <f>Assumptions!$B$18+(Assumptions!$E$13-Assumptions!$B$18)*C4/Assumptions!$B$21</f>
        <v>0.014960000000000001</v>
      </c>
      <c r="D6" s="63">
        <f>Assumptions!$B$18+(Assumptions!$E$13-Assumptions!$B$18)*D4/Assumptions!$B$21</f>
        <v>0.03552</v>
      </c>
      <c r="E6" s="63">
        <f>Assumptions!$B$18+(Assumptions!$E$13-Assumptions!$B$18)*E4/Assumptions!$B$21</f>
        <v>0.05608</v>
      </c>
      <c r="F6" s="63">
        <f>Assumptions!$B$18+(Assumptions!$E$13-Assumptions!$B$18)*F4/Assumptions!$B$21</f>
        <v>0.07664000000000001</v>
      </c>
      <c r="G6" s="63">
        <f>Assumptions!$B$18+(Assumptions!$E$13-Assumptions!$B$18)*G4/Assumptions!$B$21</f>
        <v>0.09720000000000001</v>
      </c>
      <c r="H6" s="63">
        <f>Assumptions!$B$18+(Assumptions!$E$13-Assumptions!$B$18)*H4/Assumptions!$B$21</f>
        <v>0.11776</v>
      </c>
      <c r="I6" s="63">
        <f>Assumptions!$B$18+(Assumptions!$E$13-Assumptions!$B$18)*I4/Assumptions!$B$21</f>
        <v>0.13832</v>
      </c>
      <c r="J6" s="63">
        <f>Assumptions!$B$18+(Assumptions!$E$13-Assumptions!$B$18)*J4/Assumptions!$B$21</f>
        <v>0.15888000000000002</v>
      </c>
      <c r="K6" s="63">
        <f>Assumptions!$B$18+(Assumptions!$E$13-Assumptions!$B$18)*K4/Assumptions!$B$21</f>
        <v>0.17944000000000002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874.837</v>
      </c>
      <c r="C7" s="55">
        <f>'Yearly Model'!S2</f>
        <v>1061.0897973</v>
      </c>
      <c r="D7" s="55">
        <f>'Yearly Model'!T2</f>
        <v>1264.8426181548737</v>
      </c>
      <c r="E7" s="55">
        <f>'Yearly Model'!U2</f>
        <v>1481.313405348646</v>
      </c>
      <c r="F7" s="55">
        <f>'Yearly Model'!V2</f>
        <v>1703.9054330590357</v>
      </c>
      <c r="G7" s="55">
        <f>'Yearly Model'!W2</f>
        <v>1924.3718638142852</v>
      </c>
      <c r="H7" s="55">
        <f>'Yearly Model'!X2</f>
        <v>2133.187592947733</v>
      </c>
      <c r="I7" s="55">
        <f>'Yearly Model'!Y2</f>
        <v>2320.125932343052</v>
      </c>
      <c r="J7" s="55">
        <f>'Yearly Model'!Z2</f>
        <v>2475.007227915464</v>
      </c>
      <c r="K7" s="55">
        <f>'Yearly Model'!AA2</f>
        <v>2588.555059516163</v>
      </c>
      <c r="L7" s="55">
        <f>'Yearly Model'!AB2</f>
        <v>2653.2689360040667</v>
      </c>
    </row>
    <row r="8">
      <c r="A8" s="14" t="inlineStr">
        <is>
          <t>Operating income</t>
        </is>
      </c>
      <c r="B8" s="55">
        <f>'Yearly Model'!R8</f>
        <v>340.9889999999999</v>
      </c>
      <c r="C8" s="55">
        <f>'Yearly Model'!S8</f>
        <v>15.873903367608023</v>
      </c>
      <c r="D8" s="55">
        <f>'Yearly Model'!T8</f>
        <v>44.92720979686101</v>
      </c>
      <c r="E8" s="55">
        <f>'Yearly Model'!U8</f>
        <v>83.07205577195214</v>
      </c>
      <c r="F8" s="55">
        <f>'Yearly Model'!V8</f>
        <v>130.58731238964447</v>
      </c>
      <c r="G8" s="55">
        <f>'Yearly Model'!W8</f>
        <v>187.04894516274862</v>
      </c>
      <c r="H8" s="55">
        <f>'Yearly Model'!X8</f>
        <v>251.204170945525</v>
      </c>
      <c r="I8" s="55">
        <f>'Yearly Model'!Y8</f>
        <v>320.9198189616909</v>
      </c>
      <c r="J8" s="55">
        <f>'Yearly Model'!Z8</f>
        <v>393.229148371209</v>
      </c>
      <c r="K8" s="55">
        <f>'Yearly Model'!AA8</f>
        <v>464.4903198795805</v>
      </c>
      <c r="L8" s="55">
        <f>'Yearly Model'!AB8</f>
        <v>530.6537872008134</v>
      </c>
    </row>
    <row r="9">
      <c r="A9" s="14" t="inlineStr">
        <is>
          <t>Tax on operating income</t>
        </is>
      </c>
      <c r="C9" s="52">
        <f>MAX(0,C8)*Assumptions!$E$14</f>
        <v>2.698563572493364</v>
      </c>
      <c r="D9" s="52">
        <f>MAX(0,D8)*Assumptions!$E$14</f>
        <v>7.637625665466372</v>
      </c>
      <c r="E9" s="52">
        <f>MAX(0,E8)*Assumptions!$E$14</f>
        <v>14.122249481231865</v>
      </c>
      <c r="F9" s="52">
        <f>MAX(0,F8)*Assumptions!$E$14</f>
        <v>22.199843106239562</v>
      </c>
      <c r="G9" s="52">
        <f>MAX(0,G8)*Assumptions!$E$14</f>
        <v>31.798320677667267</v>
      </c>
      <c r="H9" s="52">
        <f>MAX(0,H8)*Assumptions!$E$14</f>
        <v>42.704709060739255</v>
      </c>
      <c r="I9" s="52">
        <f>MAX(0,I8)*Assumptions!$E$14</f>
        <v>54.55636922348746</v>
      </c>
      <c r="J9" s="52">
        <f>MAX(0,J8)*Assumptions!$E$14</f>
        <v>66.84895522310553</v>
      </c>
      <c r="K9" s="52">
        <f>MAX(0,K8)*Assumptions!$E$14</f>
        <v>78.9633543795287</v>
      </c>
      <c r="L9" s="52">
        <f>MAX(0,L8)*Assumptions!$E$14</f>
        <v>90.21114382413829</v>
      </c>
    </row>
    <row r="10">
      <c r="A10" s="14" t="inlineStr">
        <is>
          <t>NOPAT</t>
        </is>
      </c>
      <c r="C10" s="52">
        <f>C8-C9</f>
        <v>13.17533979511466</v>
      </c>
      <c r="D10" s="52">
        <f>D8-D9</f>
        <v>37.28958413139463</v>
      </c>
      <c r="E10" s="52">
        <f>E8-E9</f>
        <v>68.94980629072028</v>
      </c>
      <c r="F10" s="52">
        <f>F8-F9</f>
        <v>108.3874692834049</v>
      </c>
      <c r="G10" s="52">
        <f>G8-G9</f>
        <v>155.25062448508135</v>
      </c>
      <c r="H10" s="52">
        <f>H8-H9</f>
        <v>208.49946188478575</v>
      </c>
      <c r="I10" s="52">
        <f>I8-I9</f>
        <v>266.3634497382034</v>
      </c>
      <c r="J10" s="52">
        <f>J8-J9</f>
        <v>326.3801931481035</v>
      </c>
      <c r="K10" s="52">
        <f>K8-K9</f>
        <v>385.5269655000518</v>
      </c>
      <c r="L10" s="52">
        <f>L8-L9</f>
        <v>440.44264337667516</v>
      </c>
    </row>
    <row r="11">
      <c r="A11" s="14" t="inlineStr">
        <is>
          <t>Reinvestment</t>
        </is>
      </c>
      <c r="C11" s="52">
        <f>(C7-B7)*Assumptions!$E$15</f>
        <v>46.56319932500003</v>
      </c>
      <c r="D11" s="52">
        <f>(D7-C7)*Assumptions!$E$15</f>
        <v>50.93820521371839</v>
      </c>
      <c r="E11" s="52">
        <f>(E7-D7)*Assumptions!$E$15</f>
        <v>54.11769679844309</v>
      </c>
      <c r="F11" s="52">
        <f>(F7-E7)*Assumptions!$E$15</f>
        <v>55.64800692759741</v>
      </c>
      <c r="G11" s="52">
        <f>(G7-F7)*Assumptions!$E$15</f>
        <v>55.116607688812394</v>
      </c>
      <c r="H11" s="52">
        <f>(H7-G7)*Assumptions!$E$15</f>
        <v>52.203932283361894</v>
      </c>
      <c r="I11" s="52">
        <f>(I7-H7)*Assumptions!$E$15</f>
        <v>46.734584848829854</v>
      </c>
      <c r="J11" s="52">
        <f>(J7-I7)*Assumptions!$E$15</f>
        <v>38.720323893102886</v>
      </c>
      <c r="K11" s="52">
        <f>(K7-J7)*Assumptions!$E$15</f>
        <v>28.38695790017482</v>
      </c>
      <c r="L11" s="52">
        <f>(L7-K7)*Assumptions!$E$15</f>
        <v>16.178469121975922</v>
      </c>
    </row>
    <row r="12">
      <c r="A12" s="20" t="inlineStr">
        <is>
          <t>Free cash flow</t>
        </is>
      </c>
      <c r="C12" s="64">
        <f>C10-C11</f>
        <v>-33.38785952988537</v>
      </c>
      <c r="D12" s="64">
        <f>D10-D11</f>
        <v>-13.648621082323757</v>
      </c>
      <c r="E12" s="64">
        <f>E10-E11</f>
        <v>14.832109492277183</v>
      </c>
      <c r="F12" s="64">
        <f>F10-F11</f>
        <v>52.73946235580749</v>
      </c>
      <c r="G12" s="64">
        <f>G10-G11</f>
        <v>100.13401679626895</v>
      </c>
      <c r="H12" s="64">
        <f>H10-H11</f>
        <v>156.29552960142385</v>
      </c>
      <c r="I12" s="64">
        <f>I10-I11</f>
        <v>219.62886488937357</v>
      </c>
      <c r="J12" s="64">
        <f>J10-J11</f>
        <v>287.6598692550006</v>
      </c>
      <c r="K12" s="64">
        <f>K10-K11</f>
        <v>357.140007599877</v>
      </c>
      <c r="L12" s="64">
        <f>L10-L11</f>
        <v>424.26417425469924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-16.393874959982156</v>
      </c>
      <c r="D16" s="64">
        <f>D12*D13*D15</f>
        <v>-12.29079496691391</v>
      </c>
      <c r="E16" s="64">
        <f>E12*E13*E15</f>
        <v>12.032923094867675</v>
      </c>
      <c r="F16" s="64">
        <f>F12*F13*F15</f>
        <v>38.54614382777673</v>
      </c>
      <c r="G16" s="64">
        <f>G12*G13*G15</f>
        <v>65.933161171532</v>
      </c>
      <c r="H16" s="64">
        <f>H12*H13*H15</f>
        <v>92.71411097464407</v>
      </c>
      <c r="I16" s="64">
        <f>I12*I13*I15</f>
        <v>117.37232839825299</v>
      </c>
      <c r="J16" s="64">
        <f>J12*J13*J15</f>
        <v>138.49452433117207</v>
      </c>
      <c r="K16" s="64">
        <f>K12*K13*K15</f>
        <v>154.90621734130224</v>
      </c>
      <c r="L16" s="64">
        <f>L12*L13*L15</f>
        <v>165.7844249856134</v>
      </c>
    </row>
    <row r="19">
      <c r="A19" s="14" t="inlineStr">
        <is>
          <t>PV of forecast free cash flow</t>
        </is>
      </c>
      <c r="B19" s="52">
        <f>SUM(C16:L16)</f>
        <v>757.0991641982653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434.87077861106656</v>
      </c>
    </row>
    <row r="21">
      <c r="A21" s="14" t="inlineStr">
        <is>
          <t>Terminal value</t>
        </is>
      </c>
      <c r="B21" s="52">
        <f>B20/(Assumptions!$E$10-Assumptions!$E$11)</f>
        <v>5116.126807189019</v>
      </c>
    </row>
    <row r="22">
      <c r="A22" s="14" t="inlineStr">
        <is>
          <t>PV of terminal value</t>
        </is>
      </c>
      <c r="B22" s="52">
        <f>B21/(1+Assumptions!$E$10)^(L14+0.5)</f>
        <v>1897.5235630586287</v>
      </c>
    </row>
    <row r="23">
      <c r="A23" s="20" t="inlineStr">
        <is>
          <t>Enterprise value</t>
        </is>
      </c>
      <c r="B23" s="66">
        <f>B19+B22</f>
        <v>2654.622727256894</v>
      </c>
    </row>
    <row r="24">
      <c r="A24" s="14" t="inlineStr">
        <is>
          <t>Cash &amp; investments</t>
        </is>
      </c>
      <c r="B24" s="55">
        <f>Main!C7</f>
        <v>352.573</v>
      </c>
    </row>
    <row r="25">
      <c r="A25" s="14" t="inlineStr">
        <is>
          <t>Debt</t>
        </is>
      </c>
      <c r="B25" s="55">
        <f>Main!C8</f>
        <v>395.4</v>
      </c>
    </row>
    <row r="26">
      <c r="A26" s="20" t="inlineStr">
        <is>
          <t>Equity value</t>
        </is>
      </c>
      <c r="B26" s="66">
        <f>B23+B24-B25</f>
        <v>2611.7957272568938</v>
      </c>
    </row>
    <row r="27">
      <c r="A27" s="14" t="inlineStr">
        <is>
          <t>Shares (mm)</t>
        </is>
      </c>
      <c r="B27" s="55">
        <f>Main!C4</f>
        <v>255.535105</v>
      </c>
    </row>
    <row r="28">
      <c r="A28" s="20" t="inlineStr">
        <is>
          <t>NPV / share</t>
        </is>
      </c>
      <c r="B28" s="49">
        <f>B26/B27</f>
        <v>10.220888152556942</v>
      </c>
    </row>
    <row r="29">
      <c r="A29" s="14" t="inlineStr">
        <is>
          <t>Price</t>
        </is>
      </c>
      <c r="B29" s="50">
        <f>Main!C3</f>
        <v>7.94</v>
      </c>
    </row>
    <row r="30">
      <c r="A30" s="14" t="inlineStr">
        <is>
          <t>Upside</t>
        </is>
      </c>
      <c r="B30" s="63">
        <f>B28/B29-1</f>
        <v>0.2872655103975996</v>
      </c>
    </row>
    <row r="31">
      <c r="A31" s="14" t="inlineStr">
        <is>
          <t>Terminal value, % of EV</t>
        </is>
      </c>
      <c r="B31" s="63">
        <f>IFERROR(B22/B23,0)</f>
        <v>0.7147997128086823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2026-10-21T06:22:36Z</dcterms:modified>
  <cp:lastModifiedBy>Wang, Eric</cp:lastModifiedBy>
</cp:coreProperties>
</file>