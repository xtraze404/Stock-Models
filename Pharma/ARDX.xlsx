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Ardelyx, Inc.</t>
        </is>
      </c>
      <c r="C2" s="10" t="n"/>
    </row>
    <row r="3">
      <c r="B3" t="inlineStr">
        <is>
          <t>Price</t>
        </is>
      </c>
      <c r="C3" s="11">
        <f>INDEX([1]Pharma!$F$1:$F$1000,MATCH("ARDX",[1]Pharma!$B$1:$B$1000,0))</f>
        <v>3.21</v>
      </c>
      <c r="F3" s="1" t="n"/>
    </row>
    <row r="4">
      <c r="B4" t="inlineStr">
        <is>
          <t>Shares</t>
        </is>
      </c>
      <c r="C4" s="51" t="n">
        <v>249.187572</v>
      </c>
      <c r="F4" s="1" t="n"/>
    </row>
    <row r="5">
      <c r="B5" t="inlineStr">
        <is>
          <t>Market Cap.</t>
        </is>
      </c>
      <c r="C5" s="13">
        <f>C3*C4</f>
        <v>799.89210612</v>
      </c>
      <c r="F5" s="1" t="n"/>
    </row>
    <row r="6"/>
    <row r="7">
      <c r="B7" t="inlineStr">
        <is>
          <t>Cash</t>
        </is>
      </c>
      <c r="C7" s="51">
        <f>97.191+184.639</f>
        <v>281.83000000000004</v>
      </c>
    </row>
    <row r="8">
      <c r="B8" t="inlineStr">
        <is>
          <t>Debt</t>
        </is>
      </c>
      <c r="C8" s="51" t="n">
        <v>251.823</v>
      </c>
    </row>
    <row r="9">
      <c r="B9" t="inlineStr">
        <is>
          <t>Enterprise V.</t>
        </is>
      </c>
      <c r="C9" s="13">
        <f>C5-C7+C8</f>
        <v>769.8851061199999</v>
      </c>
    </row>
    <row r="10"/>
    <row r="11">
      <c r="B11" s="14" t="inlineStr">
        <is>
          <t>NPV / Share</t>
        </is>
      </c>
      <c r="C11" s="11">
        <f>NPV!B28</f>
        <v>4.116940090875964</v>
      </c>
    </row>
    <row r="12">
      <c r="B12" s="14" t="inlineStr">
        <is>
          <t>Upside</t>
        </is>
      </c>
      <c r="C12" s="15">
        <f>IFERROR(C11/C3-1,"")</f>
        <v>0.28253585385544056</v>
      </c>
    </row>
    <row r="13">
      <c r="B13" s="14" t="inlineStr">
        <is>
          <t>Cash / Share</t>
        </is>
      </c>
      <c r="C13" s="11">
        <f>IFERROR((C7-C8)/C4,"")</f>
        <v>0.12041932813567457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5.41</v>
      </c>
      <c r="C2" s="52" t="n">
        <v>28.928</v>
      </c>
      <c r="D2" s="52" t="n">
        <v>31.623</v>
      </c>
      <c r="E2" s="52" t="n">
        <v>24.026</v>
      </c>
      <c r="F2" s="52" t="n">
        <v>0</v>
      </c>
      <c r="G2" s="52" t="n">
        <v>42</v>
      </c>
      <c r="H2" s="52" t="n">
        <v>2.607</v>
      </c>
      <c r="I2" s="52" t="n">
        <v>5.281</v>
      </c>
      <c r="J2" s="52" t="n">
        <v>7.571</v>
      </c>
      <c r="K2" s="52" t="n">
        <v>10.097</v>
      </c>
      <c r="L2" s="52" t="n">
        <v>52.158</v>
      </c>
      <c r="M2" s="52" t="n">
        <v>124.456</v>
      </c>
      <c r="N2" s="52" t="n">
        <v>333.615</v>
      </c>
      <c r="O2" s="52" t="n">
        <v>407.32</v>
      </c>
      <c r="P2" s="52">
        <f>O2*(1+NPV!C5)</f>
        <v>510.657084</v>
      </c>
      <c r="Q2" s="52">
        <f>P2*(1+NPV!D5)</f>
        <v>627.2344223096</v>
      </c>
      <c r="R2" s="52">
        <f>Q2*(1+NPV!E5)</f>
        <v>754.4863480534998</v>
      </c>
      <c r="S2" s="52">
        <f>R2*(1+NPV!F5)</f>
        <v>888.3825252880608</v>
      </c>
      <c r="T2" s="52">
        <f>S2*(1+NPV!G5)</f>
        <v>1023.4660237165843</v>
      </c>
      <c r="U2" s="52">
        <f>T2*(1+NPV!H5)</f>
        <v>1153.0823096979357</v>
      </c>
      <c r="V2" s="52">
        <f>U2*(1+NPV!I5)</f>
        <v>1269.8126755163566</v>
      </c>
      <c r="W2" s="52">
        <f>V2*(1+NPV!J5)</f>
        <v>1366.0926943799525</v>
      </c>
      <c r="X2" s="52">
        <f>W2*(1+NPV!K5)</f>
        <v>1434.9589449844175</v>
      </c>
      <c r="Y2" s="52">
        <f>X2*(1+NPV!L5)</f>
        <v>1470.8329186090277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8.4</v>
      </c>
      <c r="H3" s="52" t="n">
        <v>0.466</v>
      </c>
      <c r="I3" s="52" t="n">
        <v>0.6</v>
      </c>
      <c r="J3" s="52" t="n">
        <v>0.145</v>
      </c>
      <c r="K3" s="52" t="n">
        <v>1</v>
      </c>
      <c r="L3" s="52" t="n">
        <v>4.117</v>
      </c>
      <c r="M3" s="52" t="n">
        <v>17.795</v>
      </c>
      <c r="N3" s="52" t="n">
        <v>50.556</v>
      </c>
      <c r="O3" s="52" t="n">
        <v>39.537</v>
      </c>
      <c r="P3" s="52">
        <f>P2*(1-Assumptions!$B$19)</f>
        <v>49.58480285639998</v>
      </c>
      <c r="Q3" s="52">
        <f>Q2*(1-Assumptions!$B$19)</f>
        <v>60.904462406262134</v>
      </c>
      <c r="R3" s="52">
        <f>R2*(1-Assumptions!$B$19)</f>
        <v>73.2606243959948</v>
      </c>
      <c r="S3" s="52">
        <f>S2*(1-Assumptions!$B$19)</f>
        <v>86.26194320547067</v>
      </c>
      <c r="T3" s="52">
        <f>T2*(1-Assumptions!$B$19)</f>
        <v>99.3785509028803</v>
      </c>
      <c r="U3" s="52">
        <f>U2*(1-Assumptions!$B$19)</f>
        <v>111.9642922716695</v>
      </c>
      <c r="V3" s="52">
        <f>V2*(1-Assumptions!$B$19)</f>
        <v>123.29881079263818</v>
      </c>
      <c r="W3" s="52">
        <f>W2*(1-Assumptions!$B$19)</f>
        <v>132.64760062429335</v>
      </c>
      <c r="X3" s="52">
        <f>X2*(1-Assumptions!$B$19)</f>
        <v>139.3345135579869</v>
      </c>
      <c r="Y3" s="52">
        <f>Y2*(1-Assumptions!$B$19)</f>
        <v>142.81787639693653</v>
      </c>
    </row>
    <row r="4" customFormat="1" s="1">
      <c r="A4" s="5" t="inlineStr">
        <is>
          <t>Gross Margin</t>
        </is>
      </c>
      <c r="B4" s="52">
        <f>B2-B3</f>
        <v>5.41</v>
      </c>
      <c r="C4" s="52">
        <f>C2-C3</f>
        <v>28.928</v>
      </c>
      <c r="D4" s="52">
        <f>D2-D3</f>
        <v>31.623</v>
      </c>
      <c r="E4" s="52">
        <f>E2-E3</f>
        <v>24.026</v>
      </c>
      <c r="F4" s="52">
        <f>F2-F3</f>
        <v>0.0</v>
      </c>
      <c r="G4" s="52">
        <f>G2-G3</f>
        <v>33.6</v>
      </c>
      <c r="H4" s="52">
        <f>H2-H3</f>
        <v>2.141</v>
      </c>
      <c r="I4" s="52">
        <f>I2-I3</f>
        <v>4.681</v>
      </c>
      <c r="J4" s="52">
        <f>J2-J3</f>
        <v>7.426</v>
      </c>
      <c r="K4" s="52">
        <f>K2-K3</f>
        <v>9.097</v>
      </c>
      <c r="L4" s="52">
        <f>L2-L3</f>
        <v>48.041000000000004</v>
      </c>
      <c r="M4" s="52">
        <f>M2-M3</f>
        <v>106.661</v>
      </c>
      <c r="N4" s="52">
        <f>N2-N3</f>
        <v>283.059</v>
      </c>
      <c r="O4" s="52">
        <f>O2-O3</f>
        <v>367.783</v>
      </c>
      <c r="P4" s="52">
        <f>P2-P3</f>
        <v>461.07228114360004</v>
      </c>
      <c r="Q4" s="52">
        <f>Q2-Q3</f>
        <v>566.3299599033378</v>
      </c>
      <c r="R4" s="52">
        <f>R2-R3</f>
        <v>681.225723657505</v>
      </c>
      <c r="S4" s="52">
        <f>S2-S3</f>
        <v>802.1205820825902</v>
      </c>
      <c r="T4" s="52">
        <f>T2-T3</f>
        <v>924.087472813704</v>
      </c>
      <c r="U4" s="52">
        <f>U2-U3</f>
        <v>1041.118017426266</v>
      </c>
      <c r="V4" s="52">
        <f>V2-V3</f>
        <v>1146.5138647237184</v>
      </c>
      <c r="W4" s="52">
        <f>W2-W3</f>
        <v>1233.4450937556592</v>
      </c>
      <c r="X4" s="52">
        <f>X2-X3</f>
        <v>1295.6244314264306</v>
      </c>
      <c r="Y4" s="52">
        <f>Y2-Y3</f>
        <v>1328.0150422120912</v>
      </c>
    </row>
    <row r="5">
      <c r="A5" s="2" t="inlineStr">
        <is>
          <t>Research &amp; Dev.</t>
        </is>
      </c>
      <c r="B5" s="52" t="n">
        <v>10.184</v>
      </c>
      <c r="C5" s="52" t="n">
        <v>28.093</v>
      </c>
      <c r="D5" s="52" t="n">
        <v>25.9</v>
      </c>
      <c r="E5" s="52" t="n">
        <v>39.885</v>
      </c>
      <c r="F5" s="52" t="n">
        <v>94.161</v>
      </c>
      <c r="G5" s="52" t="n">
        <v>75.48399999999999</v>
      </c>
      <c r="H5" s="52" t="n">
        <v>69.373</v>
      </c>
      <c r="I5" s="52" t="n">
        <v>71.67700000000001</v>
      </c>
      <c r="J5" s="52" t="n">
        <v>65.053</v>
      </c>
      <c r="K5" s="52" t="n">
        <v>91.14</v>
      </c>
      <c r="L5" s="52" t="n">
        <v>35.201</v>
      </c>
      <c r="M5" s="52" t="n">
        <v>35.536</v>
      </c>
      <c r="N5" s="52" t="n">
        <v>52.317</v>
      </c>
      <c r="O5" s="52" t="n">
        <v>71.527</v>
      </c>
      <c r="P5" s="52">
        <f>P7*Assumptions!$B$20</f>
        <v>85.222028777508</v>
      </c>
      <c r="Q5" s="52">
        <f>Q7*Assumptions!$B$20</f>
        <v>101.61918961001174</v>
      </c>
      <c r="R5" s="52">
        <f>R7*Assumptions!$B$20</f>
        <v>118.55696678773474</v>
      </c>
      <c r="S5" s="52">
        <f>S7*Assumptions!$B$20</f>
        <v>135.2655674916228</v>
      </c>
      <c r="T5" s="52">
        <f>T7*Assumptions!$B$20</f>
        <v>150.8435399054688</v>
      </c>
      <c r="U5" s="52">
        <f>U7*Assumptions!$B$20</f>
        <v>164.32518341389795</v>
      </c>
      <c r="V5" s="52">
        <f>V7*Assumptions!$B$20</f>
        <v>174.7693977820182</v>
      </c>
      <c r="W5" s="52">
        <f>W7*Assumptions!$B$20</f>
        <v>181.36041696684092</v>
      </c>
      <c r="X5" s="52">
        <f>X7*Assumptions!$B$20</f>
        <v>183.50685476144224</v>
      </c>
      <c r="Y5" s="52">
        <f>Y7*Assumptions!$B$20</f>
        <v>180.92348023579996</v>
      </c>
    </row>
    <row r="6">
      <c r="A6" s="18" t="inlineStr">
        <is>
          <t>SG&amp;A &amp; Other</t>
        </is>
      </c>
      <c r="B6" s="52" t="n">
        <v>4.031</v>
      </c>
      <c r="C6" s="52" t="n">
        <v>3.7</v>
      </c>
      <c r="D6" s="52" t="n">
        <v>7.287</v>
      </c>
      <c r="E6" s="52" t="n">
        <v>13.53</v>
      </c>
      <c r="F6" s="52" t="n">
        <v>18.734</v>
      </c>
      <c r="G6" s="52" t="n">
        <v>23.231</v>
      </c>
      <c r="H6" s="52" t="n">
        <v>23.715</v>
      </c>
      <c r="I6" s="52" t="n">
        <v>24.267</v>
      </c>
      <c r="J6" s="52" t="n">
        <v>33.153</v>
      </c>
      <c r="K6" s="52" t="n">
        <v>72.303</v>
      </c>
      <c r="L6" s="52" t="n">
        <v>76.599</v>
      </c>
      <c r="M6" s="52" t="n">
        <v>134.401</v>
      </c>
      <c r="N6" s="52" t="n">
        <v>258.692</v>
      </c>
      <c r="O6" s="52" t="n">
        <v>337.233</v>
      </c>
      <c r="P6" s="52">
        <f>P7-P5</f>
        <v>401.760992808252</v>
      </c>
      <c r="Q6" s="52">
        <f>Q7-Q5</f>
        <v>479.06189387576967</v>
      </c>
      <c r="R6" s="52">
        <f>R7-R5</f>
        <v>558.9114148564638</v>
      </c>
      <c r="S6" s="52">
        <f>S7-S5</f>
        <v>637.6805324605075</v>
      </c>
      <c r="T6" s="52">
        <f>T7-T5</f>
        <v>711.1195452686386</v>
      </c>
      <c r="U6" s="52">
        <f>U7-U5</f>
        <v>774.6758646655189</v>
      </c>
      <c r="V6" s="52">
        <f>V7-V5</f>
        <v>823.9128752580859</v>
      </c>
      <c r="W6" s="52">
        <f>W7-W5</f>
        <v>854.9848228436787</v>
      </c>
      <c r="X6" s="52">
        <f>X7-X5</f>
        <v>865.1037438753707</v>
      </c>
      <c r="Y6" s="52">
        <f>Y7-Y5</f>
        <v>852.9249782544856</v>
      </c>
    </row>
    <row r="7">
      <c r="A7" s="2" t="inlineStr">
        <is>
          <t>Operating Expense</t>
        </is>
      </c>
      <c r="B7" s="52">
        <f>SUM(B5:B6)</f>
        <v>14.215</v>
      </c>
      <c r="C7" s="52">
        <f>SUM(C5:C6)</f>
        <v>31.793</v>
      </c>
      <c r="D7" s="52">
        <f>SUM(D5:D6)</f>
        <v>33.187</v>
      </c>
      <c r="E7" s="52">
        <f>SUM(E5:E6)</f>
        <v>53.415</v>
      </c>
      <c r="F7" s="52">
        <f>SUM(F5:F6)</f>
        <v>112.89500000000001</v>
      </c>
      <c r="G7" s="52">
        <f>SUM(G5:G6)</f>
        <v>98.715</v>
      </c>
      <c r="H7" s="52">
        <f>SUM(H5:H6)</f>
        <v>93.08800000000001</v>
      </c>
      <c r="I7" s="52">
        <f>SUM(I5:I6)</f>
        <v>95.944</v>
      </c>
      <c r="J7" s="52">
        <f>SUM(J5:J6)</f>
        <v>98.20599999999999</v>
      </c>
      <c r="K7" s="52">
        <f>SUM(K5:K6)</f>
        <v>163.44299999999998</v>
      </c>
      <c r="L7" s="52">
        <f>SUM(L5:L6)</f>
        <v>111.80000000000001</v>
      </c>
      <c r="M7" s="52">
        <f>SUM(M5:M6)</f>
        <v>169.937</v>
      </c>
      <c r="N7" s="52">
        <f>SUM(N5:N6)</f>
        <v>311.009</v>
      </c>
      <c r="O7" s="52">
        <f>SUM(O5:O6)</f>
        <v>408.76</v>
      </c>
      <c r="P7" s="52">
        <f>P4-P2*NPV!C6</f>
        <v>486.98302158576</v>
      </c>
      <c r="Q7" s="52">
        <f>Q4-Q2*NPV!D6</f>
        <v>580.6810834857814</v>
      </c>
      <c r="R7" s="52">
        <f>R4-R2*NPV!E6</f>
        <v>677.4683816441985</v>
      </c>
      <c r="S7" s="52">
        <f>S4-S2*NPV!F6</f>
        <v>772.9460999521302</v>
      </c>
      <c r="T7" s="52">
        <f>T4-T2*NPV!G6</f>
        <v>861.9630851741074</v>
      </c>
      <c r="U7" s="52">
        <f>U4-U2*NPV!H6</f>
        <v>939.0010480794168</v>
      </c>
      <c r="V7" s="52">
        <f>V4-V2*NPV!I6</f>
        <v>998.6822730401041</v>
      </c>
      <c r="W7" s="52">
        <f>W4-W2*NPV!J6</f>
        <v>1036.3452398105196</v>
      </c>
      <c r="X7" s="52">
        <f>X4-X2*NPV!K6</f>
        <v>1048.610598636813</v>
      </c>
      <c r="Y7" s="52">
        <f>Y4-Y2*NPV!L6</f>
        <v>1033.8484584902856</v>
      </c>
    </row>
    <row r="8">
      <c r="A8" s="2" t="inlineStr">
        <is>
          <t>Operating Income</t>
        </is>
      </c>
      <c r="B8" s="52">
        <f>B4-B7</f>
        <v>-8.805</v>
      </c>
      <c r="C8" s="52">
        <f>C4-C7</f>
        <v>-2.8649999999999984</v>
      </c>
      <c r="D8" s="52">
        <f>D4-D7</f>
        <v>-1.5639999999999965</v>
      </c>
      <c r="E8" s="52">
        <f>E4-E7</f>
        <v>-29.389</v>
      </c>
      <c r="F8" s="52">
        <f>F4-F7</f>
        <v>-112.89500000000001</v>
      </c>
      <c r="G8" s="52">
        <f>G4-G7</f>
        <v>-65.11500000000001</v>
      </c>
      <c r="H8" s="52">
        <f>H4-H7</f>
        <v>-90.947</v>
      </c>
      <c r="I8" s="52">
        <f>I4-I7</f>
        <v>-91.263</v>
      </c>
      <c r="J8" s="52">
        <f>J4-J7</f>
        <v>-90.77999999999999</v>
      </c>
      <c r="K8" s="52">
        <f>K4-K7</f>
        <v>-154.34599999999998</v>
      </c>
      <c r="L8" s="52">
        <f>L4-L7</f>
        <v>-63.75900000000001</v>
      </c>
      <c r="M8" s="52">
        <f>M4-M7</f>
        <v>-63.27600000000001</v>
      </c>
      <c r="N8" s="52">
        <f>N4-N7</f>
        <v>-27.94999999999999</v>
      </c>
      <c r="O8" s="52">
        <f>O4-O7</f>
        <v>-40.976999999999975</v>
      </c>
      <c r="P8" s="52">
        <f>P4-P7</f>
        <v>-25.910740442159977</v>
      </c>
      <c r="Q8" s="52">
        <f>Q4-Q7</f>
        <v>-14.35112358244362</v>
      </c>
      <c r="R8" s="52">
        <f>R4-R7</f>
        <v>3.75734201330647</v>
      </c>
      <c r="S8" s="52">
        <f>S4-S7</f>
        <v>29.174482130459978</v>
      </c>
      <c r="T8" s="52">
        <f>T4-T7</f>
        <v>62.12438763959665</v>
      </c>
      <c r="U8" s="52">
        <f>U4-U7</f>
        <v>102.11696934684926</v>
      </c>
      <c r="V8" s="52">
        <f>V4-V7</f>
        <v>147.8315916836143</v>
      </c>
      <c r="W8" s="52">
        <f>W4-W7</f>
        <v>197.09985394513956</v>
      </c>
      <c r="X8" s="52">
        <f>X4-X7</f>
        <v>247.0138327896177</v>
      </c>
      <c r="Y8" s="52">
        <f>Y4-Y7</f>
        <v>294.16658372180564</v>
      </c>
    </row>
    <row r="9">
      <c r="A9" s="18" t="inlineStr">
        <is>
          <t>Interest &amp; Other</t>
        </is>
      </c>
      <c r="B9" s="52" t="n">
        <v>-0.98</v>
      </c>
      <c r="C9" s="52" t="n">
        <v>-3.558</v>
      </c>
      <c r="D9" s="52" t="n">
        <v>-1.583</v>
      </c>
      <c r="E9" s="52" t="n">
        <v>-0.261</v>
      </c>
      <c r="F9" s="52" t="n">
        <v>0.508</v>
      </c>
      <c r="G9" s="52" t="n">
        <v>1.955</v>
      </c>
      <c r="H9" s="52" t="n">
        <v>-0.347</v>
      </c>
      <c r="I9" s="52" t="n">
        <v>-3.374</v>
      </c>
      <c r="J9" s="52" t="n">
        <v>-3.531</v>
      </c>
      <c r="K9" s="52" t="n">
        <v>-3.65</v>
      </c>
      <c r="L9" s="52" t="n">
        <v>-3.233</v>
      </c>
      <c r="M9" s="52" t="n">
        <v>-2.177</v>
      </c>
      <c r="N9" s="52" t="n">
        <v>-10.784</v>
      </c>
      <c r="O9" s="52" t="n">
        <v>-20.054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-9.785</v>
      </c>
      <c r="C10" s="52">
        <f>C8+C9</f>
        <v>-6.422999999999998</v>
      </c>
      <c r="D10" s="52">
        <f>D8+D9</f>
        <v>-3.1469999999999967</v>
      </c>
      <c r="E10" s="52">
        <f>E8+E9</f>
        <v>-29.65</v>
      </c>
      <c r="F10" s="52">
        <f>F8+F9</f>
        <v>-112.38700000000001</v>
      </c>
      <c r="G10" s="52">
        <f>G8+G9</f>
        <v>-63.16000000000001</v>
      </c>
      <c r="H10" s="52">
        <f>H8+H9</f>
        <v>-91.294</v>
      </c>
      <c r="I10" s="52">
        <f>I8+I9</f>
        <v>-94.637</v>
      </c>
      <c r="J10" s="52">
        <f>J8+J9</f>
        <v>-94.31099999999999</v>
      </c>
      <c r="K10" s="52">
        <f>K8+K9</f>
        <v>-157.99599999999998</v>
      </c>
      <c r="L10" s="52">
        <f>L8+L9</f>
        <v>-66.992</v>
      </c>
      <c r="M10" s="52">
        <f>M8+M9</f>
        <v>-65.45300000000002</v>
      </c>
      <c r="N10" s="52">
        <f>N8+N9</f>
        <v>-38.73399999999999</v>
      </c>
      <c r="O10" s="52">
        <f>O8+O9</f>
        <v>-61.03099999999998</v>
      </c>
      <c r="P10" s="52">
        <f>P8+P9</f>
        <v>-25.910740442159977</v>
      </c>
      <c r="Q10" s="52">
        <f>Q8+Q9</f>
        <v>-14.35112358244362</v>
      </c>
      <c r="R10" s="52">
        <f>R8+R9</f>
        <v>3.75734201330647</v>
      </c>
      <c r="S10" s="52">
        <f>S8+S9</f>
        <v>29.174482130459978</v>
      </c>
      <c r="T10" s="52">
        <f>T8+T9</f>
        <v>62.12438763959665</v>
      </c>
      <c r="U10" s="52">
        <f>U8+U9</f>
        <v>102.11696934684926</v>
      </c>
      <c r="V10" s="52">
        <f>V8+V9</f>
        <v>147.8315916836143</v>
      </c>
      <c r="W10" s="52">
        <f>W8+W9</f>
        <v>197.09985394513956</v>
      </c>
      <c r="X10" s="52">
        <f>X8+X9</f>
        <v>247.0138327896177</v>
      </c>
      <c r="Y10" s="52">
        <f>Y8+Y9</f>
        <v>294.16658372180564</v>
      </c>
    </row>
    <row r="11">
      <c r="A11" s="2" t="inlineStr">
        <is>
          <t>Taxes</t>
        </is>
      </c>
      <c r="B11" s="52" t="n">
        <v>0</v>
      </c>
      <c r="C11" s="52" t="n">
        <v>0.141</v>
      </c>
      <c r="D11" s="52" t="n">
        <v>0.067</v>
      </c>
      <c r="E11" s="52" t="n">
        <v>-0.029</v>
      </c>
      <c r="F11" s="52" t="n">
        <v>0</v>
      </c>
      <c r="G11" s="52" t="n">
        <v>1.179</v>
      </c>
      <c r="H11" s="52" t="n">
        <v>0.004</v>
      </c>
      <c r="I11" s="52" t="n">
        <v>0.303</v>
      </c>
      <c r="J11" s="52" t="n">
        <v>0.002</v>
      </c>
      <c r="K11" s="52" t="n">
        <v>0.004</v>
      </c>
      <c r="L11" s="52" t="n">
        <v>0.008</v>
      </c>
      <c r="M11" s="52" t="n">
        <v>0.547</v>
      </c>
      <c r="N11" s="52" t="n">
        <v>0.266</v>
      </c>
      <c r="O11" s="52" t="n">
        <v>0.969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0.6387481422621</v>
      </c>
      <c r="S11" s="52">
        <f>MAX(0,S10)*Assumptions!$E$14</f>
        <v>4.959661962178196</v>
      </c>
      <c r="T11" s="52">
        <f>MAX(0,T10)*Assumptions!$E$14</f>
        <v>10.56114589873143</v>
      </c>
      <c r="U11" s="52">
        <f>MAX(0,U10)*Assumptions!$E$14</f>
        <v>17.359884788964376</v>
      </c>
      <c r="V11" s="52">
        <f>MAX(0,V10)*Assumptions!$E$14</f>
        <v>25.131370586214434</v>
      </c>
      <c r="W11" s="52">
        <f>MAX(0,W10)*Assumptions!$E$14</f>
        <v>33.506975170673726</v>
      </c>
      <c r="X11" s="52">
        <f>MAX(0,X10)*Assumptions!$E$14</f>
        <v>41.992351574235016</v>
      </c>
      <c r="Y11" s="52">
        <f>MAX(0,Y10)*Assumptions!$E$14</f>
        <v>50.00831923270696</v>
      </c>
    </row>
    <row r="12">
      <c r="A12" s="2" t="inlineStr">
        <is>
          <t>Net Income</t>
        </is>
      </c>
      <c r="B12" s="52" t="n">
        <v>-9.785</v>
      </c>
      <c r="C12" s="52" t="n">
        <v>-6.564</v>
      </c>
      <c r="D12" s="52" t="n">
        <v>-3.214</v>
      </c>
      <c r="E12" s="52" t="n">
        <v>-29.621</v>
      </c>
      <c r="F12" s="52" t="n">
        <v>-112.387</v>
      </c>
      <c r="G12" s="52" t="n">
        <v>-64.339</v>
      </c>
      <c r="H12" s="52" t="n">
        <v>-91.298</v>
      </c>
      <c r="I12" s="52" t="n">
        <v>-94.94</v>
      </c>
      <c r="J12" s="52" t="n">
        <v>-94.313</v>
      </c>
      <c r="K12" s="52" t="n">
        <v>-158</v>
      </c>
      <c r="L12" s="52" t="n">
        <v>-67</v>
      </c>
      <c r="M12" s="52" t="n">
        <v>-66</v>
      </c>
      <c r="N12" s="52" t="n">
        <v>-39</v>
      </c>
      <c r="O12" s="52" t="n">
        <v>-62</v>
      </c>
      <c r="P12" s="52">
        <f>P10-P11</f>
        <v>-25.910740442159977</v>
      </c>
      <c r="Q12" s="52">
        <f>Q10-Q11</f>
        <v>-14.35112358244362</v>
      </c>
      <c r="R12" s="52">
        <f>R10-R11</f>
        <v>3.11859387104437</v>
      </c>
      <c r="S12" s="52">
        <f>S10-S11</f>
        <v>24.214820168281783</v>
      </c>
      <c r="T12" s="52">
        <f>T10-T11</f>
        <v>51.563241740865216</v>
      </c>
      <c r="U12" s="52">
        <f>U10-U11</f>
        <v>84.75708455788488</v>
      </c>
      <c r="V12" s="52">
        <f>V10-V11</f>
        <v>122.70022109739988</v>
      </c>
      <c r="W12" s="52">
        <f>W10-W11</f>
        <v>163.59287877446582</v>
      </c>
      <c r="X12" s="52">
        <f>X10-X11</f>
        <v>205.0214812153827</v>
      </c>
      <c r="Y12" s="52">
        <f>Y10-Y11</f>
        <v>244.15826448909868</v>
      </c>
    </row>
    <row r="13">
      <c r="A13" s="2" t="inlineStr">
        <is>
          <t>Earnings per Share</t>
        </is>
      </c>
      <c r="B13" s="11">
        <f>IFERROR(B12/B14,0)</f>
        <v>-1.2583590534979425</v>
      </c>
      <c r="C13" s="11">
        <f>IFERROR(C12/C14,0)</f>
        <v>-0.6465721040189126</v>
      </c>
      <c r="D13" s="11">
        <f>IFERROR(D12/D14,0)</f>
        <v>-0.31362217017954724</v>
      </c>
      <c r="E13" s="11">
        <f>IFERROR(E12/E14,0)</f>
        <v>-1.2938889616913467</v>
      </c>
      <c r="F13" s="11">
        <f>IFERROR(F12/F14,0)</f>
        <v>-2.801341010493781</v>
      </c>
      <c r="G13" s="11">
        <f>IFERROR(G12/G14,0)</f>
        <v>-1.356361336565827</v>
      </c>
      <c r="H13" s="11">
        <f>IFERROR(H12/H14,0)</f>
        <v>-1.6239416577730346</v>
      </c>
      <c r="I13" s="11">
        <f>IFERROR(I12/I14,0)</f>
        <v>-1.47244021216539</v>
      </c>
      <c r="J13" s="11">
        <f>IFERROR(J12/J14,0)</f>
        <v>-1.052811948829006</v>
      </c>
      <c r="K13" s="11">
        <f>IFERROR(K12/K14,0)</f>
        <v>-1.5162274725063816</v>
      </c>
      <c r="L13" s="11">
        <f>IFERROR(L12/L14,0)</f>
        <v>-0.42220681832503626</v>
      </c>
      <c r="M13" s="11">
        <f>IFERROR(M12/M14,0)</f>
        <v>-0.3009150553273363</v>
      </c>
      <c r="N13" s="11">
        <f>IFERROR(N12/N14,0)</f>
        <v>-0.16579306474856845</v>
      </c>
      <c r="O13" s="11">
        <f>IFERROR(O12/O14,0)</f>
        <v>-0.25722512176705364</v>
      </c>
      <c r="P13" s="11">
        <f>IFERROR(P12/P14,0)</f>
        <v>-0.1039808696485071</v>
      </c>
      <c r="Q13" s="11">
        <f>IFERROR(Q12/Q14,0)</f>
        <v>-0.057591650607854636</v>
      </c>
      <c r="R13" s="11">
        <f>IFERROR(R12/R14,0)</f>
        <v>0.012515045778624827</v>
      </c>
      <c r="S13" s="11">
        <f>IFERROR(S12/S14,0)</f>
        <v>0.0971750716696328</v>
      </c>
      <c r="T13" s="11">
        <f>IFERROR(T12/T14,0)</f>
        <v>0.206925414967586</v>
      </c>
      <c r="U13" s="11">
        <f>IFERROR(U12/U14,0)</f>
        <v>0.3401336747158678</v>
      </c>
      <c r="V13" s="11">
        <f>IFERROR(V12/V14,0)</f>
        <v>0.49240104597752526</v>
      </c>
      <c r="W13" s="11">
        <f>IFERROR(W12/W14,0)</f>
        <v>0.6565049671677279</v>
      </c>
      <c r="X13" s="11">
        <f>IFERROR(X12/X14,0)</f>
        <v>0.8227596567913215</v>
      </c>
      <c r="Y13" s="11">
        <f>IFERROR(Y12/Y14,0)</f>
        <v>0.9798171816092767</v>
      </c>
    </row>
    <row r="14">
      <c r="A14" s="2" t="inlineStr">
        <is>
          <t>Shares</t>
        </is>
      </c>
      <c r="B14" s="52" t="n">
        <v>7.776</v>
      </c>
      <c r="C14" s="52" t="n">
        <v>10.152</v>
      </c>
      <c r="D14" s="52" t="n">
        <v>10.248</v>
      </c>
      <c r="E14" s="52" t="n">
        <v>22.893</v>
      </c>
      <c r="F14" s="52" t="n">
        <v>40.119</v>
      </c>
      <c r="G14" s="52" t="n">
        <v>47.435</v>
      </c>
      <c r="H14" s="52" t="n">
        <v>56.22</v>
      </c>
      <c r="I14" s="52" t="n">
        <v>64.47799999999999</v>
      </c>
      <c r="J14" s="52" t="n">
        <v>89.58199999999999</v>
      </c>
      <c r="K14" s="52" t="n">
        <v>104.206</v>
      </c>
      <c r="L14" s="52" t="n">
        <v>158.69</v>
      </c>
      <c r="M14" s="52" t="n">
        <v>219.331</v>
      </c>
      <c r="N14" s="52" t="n">
        <v>235.233</v>
      </c>
      <c r="O14" s="52" t="n">
        <v>241.034</v>
      </c>
      <c r="P14" s="52">
        <f>Main!$C$4</f>
        <v>249.187572</v>
      </c>
      <c r="Q14" s="52">
        <f>Main!$C$4</f>
        <v>249.187572</v>
      </c>
      <c r="R14" s="52">
        <f>Main!$C$4</f>
        <v>249.187572</v>
      </c>
      <c r="S14" s="52">
        <f>Main!$C$4</f>
        <v>249.187572</v>
      </c>
      <c r="T14" s="52">
        <f>Main!$C$4</f>
        <v>249.187572</v>
      </c>
      <c r="U14" s="52">
        <f>Main!$C$4</f>
        <v>249.187572</v>
      </c>
      <c r="V14" s="52">
        <f>Main!$C$4</f>
        <v>249.187572</v>
      </c>
      <c r="W14" s="52">
        <f>Main!$C$4</f>
        <v>249.187572</v>
      </c>
      <c r="X14" s="52">
        <f>Main!$C$4</f>
        <v>249.187572</v>
      </c>
      <c r="Y14" s="52">
        <f>Main!$C$4</f>
        <v>249.187572</v>
      </c>
    </row>
    <row r="15"/>
    <row r="16" customFormat="1" s="4">
      <c r="A16" s="3" t="inlineStr">
        <is>
          <t>Revenue Change</t>
        </is>
      </c>
      <c r="C16" s="15">
        <f>IFERROR(C2/B2-1,"")</f>
        <v>4.34713493530499</v>
      </c>
      <c r="D16" s="15">
        <f>IFERROR(D2/C2-1,"")</f>
        <v>0.09316233407079655</v>
      </c>
      <c r="E16" s="15">
        <f>IFERROR(E2/D2-1,"")</f>
        <v>-0.24023653669797307</v>
      </c>
      <c r="F16" s="15">
        <f>IFERROR(F2/E2-1,"")</f>
        <v>-1.0</v>
      </c>
      <c r="G16" s="15">
        <f>IFERROR(G2/F2-1,"")</f>
        <v/>
      </c>
      <c r="H16" s="15">
        <f>IFERROR(H2/G2-1,"")</f>
        <v>-0.9379285714285714</v>
      </c>
      <c r="I16" s="15">
        <f>IFERROR(I2/H2-1,"")</f>
        <v>1.025700038358266</v>
      </c>
      <c r="J16" s="15">
        <f>IFERROR(J2/I2-1,"")</f>
        <v>0.43362999431925764</v>
      </c>
      <c r="K16" s="15">
        <f>IFERROR(K2/J2-1,"")</f>
        <v>0.33364152687887993</v>
      </c>
      <c r="L16" s="15">
        <f>IFERROR(L2/K2-1,"")</f>
        <v>4.165692780033674</v>
      </c>
      <c r="M16" s="15">
        <f>IFERROR(M2/L2-1,"")</f>
        <v>1.3861344376701559</v>
      </c>
      <c r="N16" s="15">
        <f>IFERROR(N2/M2-1,"")</f>
        <v>1.680585909879797</v>
      </c>
      <c r="O16" s="15">
        <f>IFERROR(O2/N2-1,"")</f>
        <v>0.22092831557334058</v>
      </c>
      <c r="P16" s="15">
        <f>IFERROR(P2/O2-1,"")</f>
        <v>0.25370000000000004</v>
      </c>
      <c r="Q16" s="15">
        <f>IFERROR(Q2/P2-1,"")</f>
        <v>0.22828888888888876</v>
      </c>
      <c r="R16" s="15">
        <f>IFERROR(R2/Q2-1,"")</f>
        <v>0.2028777777777777</v>
      </c>
      <c r="S16" s="15">
        <f>IFERROR(S2/R2-1,"")</f>
        <v>0.17746666666666666</v>
      </c>
      <c r="T16" s="15">
        <f>IFERROR(T2/S2-1,"")</f>
        <v>0.1520555555555556</v>
      </c>
      <c r="U16" s="15">
        <f>IFERROR(U2/T2-1,"")</f>
        <v>0.12664444444444434</v>
      </c>
      <c r="V16" s="15">
        <f>IFERROR(V2/U2-1,"")</f>
        <v>0.10123333333333329</v>
      </c>
      <c r="W16" s="15">
        <f>IFERROR(W2/V2-1,"")</f>
        <v>0.07582222222222224</v>
      </c>
      <c r="X16" s="15">
        <f>IFERROR(X2/W2-1,"")</f>
        <v>0.050411111111111184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>0.8</v>
      </c>
      <c r="H17" s="15">
        <f>IFERROR(H4/H2,"")</f>
        <v>0.8212504794783275</v>
      </c>
      <c r="I17" s="15">
        <f>IFERROR(I4/I2,"")</f>
        <v>0.8863851543268321</v>
      </c>
      <c r="J17" s="15">
        <f>IFERROR(J4/J2,"")</f>
        <v>0.9808479725267468</v>
      </c>
      <c r="K17" s="15">
        <f>IFERROR(K4/K2,"")</f>
        <v>0.900960681390512</v>
      </c>
      <c r="L17" s="15">
        <f>IFERROR(L4/L2,"")</f>
        <v>0.9210667586947353</v>
      </c>
      <c r="M17" s="15">
        <f>IFERROR(M4/M2,"")</f>
        <v>0.8570177412097448</v>
      </c>
      <c r="N17" s="15">
        <f>IFERROR(N4/N2,"")</f>
        <v>0.8484600512566881</v>
      </c>
      <c r="O17" s="15">
        <f>IFERROR(O4/O2,"")</f>
        <v>0.9029338112540509</v>
      </c>
      <c r="P17" s="15">
        <f>IFERROR(P4/P2,"")</f>
        <v>0.9029</v>
      </c>
      <c r="Q17" s="15">
        <f>IFERROR(Q4/Q2,"")</f>
        <v>0.9029</v>
      </c>
      <c r="R17" s="15">
        <f>IFERROR(R4/R2,"")</f>
        <v>0.9029</v>
      </c>
      <c r="S17" s="15">
        <f>IFERROR(S4/S2,"")</f>
        <v>0.9029</v>
      </c>
      <c r="T17" s="15">
        <f>IFERROR(T4/T2,"")</f>
        <v>0.9029</v>
      </c>
      <c r="U17" s="15">
        <f>IFERROR(U4/U2,"")</f>
        <v>0.9028999999999999</v>
      </c>
      <c r="V17" s="15">
        <f>IFERROR(V4/V2,"")</f>
        <v>0.9028999999999999</v>
      </c>
      <c r="W17" s="15">
        <f>IFERROR(W4/W2,"")</f>
        <v>0.9029</v>
      </c>
      <c r="X17" s="15">
        <f>IFERROR(X4/X2,"")</f>
        <v>0.9029</v>
      </c>
      <c r="Y17" s="15">
        <f>IFERROR(Y4/Y2,"")</f>
        <v>0.9029</v>
      </c>
    </row>
    <row r="18">
      <c r="A18" s="14" t="inlineStr">
        <is>
          <t>Operating Margin</t>
        </is>
      </c>
      <c r="B18" s="15">
        <f>IFERROR(B8/B2,"")</f>
        <v>-1.6275415896487984</v>
      </c>
      <c r="C18" s="15">
        <f>IFERROR(C8/C2,"")</f>
        <v>-0.0990389933628318</v>
      </c>
      <c r="D18" s="15">
        <f>IFERROR(D8/D2,"")</f>
        <v>-0.04945767321253507</v>
      </c>
      <c r="E18" s="15">
        <f>IFERROR(E8/E2,"")</f>
        <v>-1.2232165154416048</v>
      </c>
      <c r="F18" s="15">
        <f>IFERROR(F8/F2,"")</f>
        <v/>
      </c>
      <c r="G18" s="15">
        <f>IFERROR(G8/G2,"")</f>
        <v>-1.550357142857143</v>
      </c>
      <c r="H18" s="15">
        <f>IFERROR(H8/H2,"")</f>
        <v>-34.88569236670502</v>
      </c>
      <c r="I18" s="15">
        <f>IFERROR(I8/I2,"")</f>
        <v>-17.281386101117214</v>
      </c>
      <c r="J18" s="15">
        <f>IFERROR(J8/J2,"")</f>
        <v>-11.990490027737417</v>
      </c>
      <c r="K18" s="15">
        <f>IFERROR(K8/K2,"")</f>
        <v>-15.286322670100027</v>
      </c>
      <c r="L18" s="15">
        <f>IFERROR(L8/L2,"")</f>
        <v>-1.222420338203152</v>
      </c>
      <c r="M18" s="15">
        <f>IFERROR(M8/M2,"")</f>
        <v>-0.5084206466542394</v>
      </c>
      <c r="N18" s="15">
        <f>IFERROR(N8/N2,"")</f>
        <v>-0.08377920657044793</v>
      </c>
      <c r="O18" s="15">
        <f>IFERROR(O8/O2,"")</f>
        <v>-0.10060149268388485</v>
      </c>
      <c r="P18" s="15">
        <f>IFERROR(P8/P2,"")</f>
        <v>-0.05073999999999995</v>
      </c>
      <c r="Q18" s="15">
        <f>IFERROR(Q8/Q2,"")</f>
        <v>-0.022879999999999956</v>
      </c>
      <c r="R18" s="15">
        <f>IFERROR(R8/R2,"")</f>
        <v>0.004980000000000055</v>
      </c>
      <c r="S18" s="15">
        <f>IFERROR(S8/S2,"")</f>
        <v>0.03284000000000007</v>
      </c>
      <c r="T18" s="15">
        <f>IFERROR(T8/T2,"")</f>
        <v>0.060699999999999976</v>
      </c>
      <c r="U18" s="15">
        <f>IFERROR(U8/U2,"")</f>
        <v>0.08856000000000007</v>
      </c>
      <c r="V18" s="15">
        <f>IFERROR(V8/V2,"")</f>
        <v>0.11642000000000005</v>
      </c>
      <c r="W18" s="15">
        <f>IFERROR(W8/W2,"")</f>
        <v>0.14428000000000002</v>
      </c>
      <c r="X18" s="15">
        <f>IFERROR(X8/X2,"")</f>
        <v>0.17214000000000007</v>
      </c>
      <c r="Y18" s="15">
        <f>IFERROR(Y8/Y2,"")</f>
        <v>0.20000000000000007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Ardelyx,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0.2037</v>
      </c>
      <c r="C12" s="53" t="n">
        <v>0.2537</v>
      </c>
      <c r="D12" s="53" t="n">
        <v>0.3037</v>
      </c>
      <c r="E12" s="54">
        <f>CHOOSE($B$4,B12,C12,D12)</f>
        <v>0.2537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-0.0786</v>
      </c>
    </row>
    <row r="19">
      <c r="A19" s="14" t="inlineStr">
        <is>
          <t>Gross margin (forecast)</t>
        </is>
      </c>
      <c r="B19" s="53" t="n">
        <v>0.9029</v>
      </c>
    </row>
    <row r="20">
      <c r="A20" s="14" t="inlineStr">
        <is>
          <t>R&amp;D share of operating expense (forecast)</t>
        </is>
      </c>
      <c r="B20" s="53" t="n">
        <v>0.175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407.32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995.8833053148408</v>
      </c>
      <c r="C29" s="56">
        <f>NPV!B26</f>
        <v>1025.8903053148408</v>
      </c>
      <c r="D29" s="35">
        <f>NPV!B28</f>
        <v>4.116940090875964</v>
      </c>
      <c r="E29" s="57">
        <f>NPV!B30</f>
        <v>0.28253585385544056</v>
      </c>
    </row>
    <row r="30">
      <c r="A30" s="58" t="n">
        <v>1</v>
      </c>
      <c r="B30" s="59">
        <f t="dataTable" ref="B30:E32" r1="B4"/>
        <v>428.85675175088267</v>
      </c>
      <c r="C30" s="59">
        <v>458.86375175088267</v>
      </c>
      <c r="D30" s="39">
        <v>1.841439153919292</v>
      </c>
      <c r="E30" s="60">
        <v>-0.4263429427042704</v>
      </c>
    </row>
    <row r="31">
      <c r="A31" s="58" t="n">
        <v>2</v>
      </c>
      <c r="B31" s="59">
        <v>995.8833053148408</v>
      </c>
      <c r="C31" s="59">
        <v>1025.8903053148408</v>
      </c>
      <c r="D31" s="39">
        <v>4.116940090875964</v>
      </c>
      <c r="E31" s="60">
        <v>0.28253585385544056</v>
      </c>
    </row>
    <row r="32">
      <c r="A32" s="58" t="n">
        <v>3</v>
      </c>
      <c r="B32" s="59">
        <v>2035.078333722703</v>
      </c>
      <c r="C32" s="59">
        <v>2065.085333722703</v>
      </c>
      <c r="D32" s="39">
        <v>8.287272584054486</v>
      </c>
      <c r="E32" s="60">
        <v>1.5817048548456345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4.116940090875964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5.100342470052779</v>
      </c>
      <c r="C37" s="39">
        <v>5.4307434834415425</v>
      </c>
      <c r="D37" s="39">
        <v>5.803060363408391</v>
      </c>
      <c r="E37" s="39">
        <v>6.22568427653681</v>
      </c>
      <c r="F37" s="39">
        <v>6.70940396951824</v>
      </c>
    </row>
    <row r="38">
      <c r="A38" s="62" t="n">
        <v>0.115</v>
      </c>
      <c r="B38" s="39">
        <v>4.322657770501571</v>
      </c>
      <c r="C38" s="39">
        <v>4.575409792169863</v>
      </c>
      <c r="D38" s="39">
        <v>4.8567604845560615</v>
      </c>
      <c r="E38" s="39">
        <v>5.171763251318103</v>
      </c>
      <c r="F38" s="39">
        <v>5.526734931864114</v>
      </c>
    </row>
    <row r="39">
      <c r="A39" s="62" t="n">
        <v>0.125</v>
      </c>
      <c r="B39" s="39">
        <v>3.7017444863346047</v>
      </c>
      <c r="C39" s="39">
        <v>3.8992485968587</v>
      </c>
      <c r="D39" s="39">
        <v>4.116940090875964</v>
      </c>
      <c r="E39" s="39">
        <v>4.35801194811343</v>
      </c>
      <c r="F39" s="39">
        <v>4.626366769750784</v>
      </c>
    </row>
    <row r="40">
      <c r="A40" s="62" t="n">
        <v>0.135</v>
      </c>
      <c r="B40" s="39">
        <v>3.1973073328448023</v>
      </c>
      <c r="C40" s="39">
        <v>3.35435608228143</v>
      </c>
      <c r="D40" s="39">
        <v>3.526056969921553</v>
      </c>
      <c r="E40" s="39">
        <v>3.714507809745344</v>
      </c>
      <c r="F40" s="39">
        <v>3.9222260377340348</v>
      </c>
    </row>
    <row r="41">
      <c r="A41" s="62" t="n">
        <v>0.145</v>
      </c>
      <c r="B41" s="39">
        <v>2.7815432721052153</v>
      </c>
      <c r="C41" s="39">
        <v>2.9082563579531135</v>
      </c>
      <c r="D41" s="39">
        <v>3.0458537944473014</v>
      </c>
      <c r="E41" s="39">
        <v>3.1957592550475638</v>
      </c>
      <c r="F41" s="39">
        <v>3.359655313267198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Ardelyx, Inc.: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0.2537</v>
      </c>
      <c r="D5" s="63">
        <f>Assumptions!$E$12+(Assumptions!$E$11-Assumptions!$E$12)*(D4-1)/(Assumptions!$B$21-1)</f>
        <v>0.22828888888888887</v>
      </c>
      <c r="E5" s="63">
        <f>Assumptions!$E$12+(Assumptions!$E$11-Assumptions!$E$12)*(E4-1)/(Assumptions!$B$21-1)</f>
        <v>0.20287777777777777</v>
      </c>
      <c r="F5" s="63">
        <f>Assumptions!$E$12+(Assumptions!$E$11-Assumptions!$E$12)*(F4-1)/(Assumptions!$B$21-1)</f>
        <v>0.17746666666666666</v>
      </c>
      <c r="G5" s="63">
        <f>Assumptions!$E$12+(Assumptions!$E$11-Assumptions!$E$12)*(G4-1)/(Assumptions!$B$21-1)</f>
        <v>0.15205555555555555</v>
      </c>
      <c r="H5" s="63">
        <f>Assumptions!$E$12+(Assumptions!$E$11-Assumptions!$E$12)*(H4-1)/(Assumptions!$B$21-1)</f>
        <v>0.12664444444444442</v>
      </c>
      <c r="I5" s="63">
        <f>Assumptions!$E$12+(Assumptions!$E$11-Assumptions!$E$12)*(I4-1)/(Assumptions!$B$21-1)</f>
        <v>0.10123333333333334</v>
      </c>
      <c r="J5" s="63">
        <f>Assumptions!$E$12+(Assumptions!$E$11-Assumptions!$E$12)*(J4-1)/(Assumptions!$B$21-1)</f>
        <v>0.07582222222222221</v>
      </c>
      <c r="K5" s="63">
        <f>Assumptions!$E$12+(Assumptions!$E$11-Assumptions!$E$12)*(K4-1)/(Assumptions!$B$21-1)</f>
        <v>0.0504111111111111</v>
      </c>
      <c r="L5" s="63">
        <f>Assumptions!$E$12+(Assumptions!$E$11-Assumptions!$E$12)*(L4-1)/(Assumptions!$B$21-1)</f>
        <v>0.024999999999999967</v>
      </c>
    </row>
    <row r="6">
      <c r="A6" s="14" t="inlineStr">
        <is>
          <t>Operating margin</t>
        </is>
      </c>
      <c r="B6" s="63">
        <f>IFERROR(B8/B7,0)</f>
        <v>-0.10060149268388485</v>
      </c>
      <c r="C6" s="63">
        <f>Assumptions!$B$18+(Assumptions!$E$13-Assumptions!$B$18)*C4/Assumptions!$B$21</f>
        <v>-0.05074</v>
      </c>
      <c r="D6" s="63">
        <f>Assumptions!$B$18+(Assumptions!$E$13-Assumptions!$B$18)*D4/Assumptions!$B$21</f>
        <v>-0.022879999999999998</v>
      </c>
      <c r="E6" s="63">
        <f>Assumptions!$B$18+(Assumptions!$E$13-Assumptions!$B$18)*E4/Assumptions!$B$21</f>
        <v>0.004980000000000012</v>
      </c>
      <c r="F6" s="63">
        <f>Assumptions!$B$18+(Assumptions!$E$13-Assumptions!$B$18)*F4/Assumptions!$B$21</f>
        <v>0.03284000000000001</v>
      </c>
      <c r="G6" s="63">
        <f>Assumptions!$B$18+(Assumptions!$E$13-Assumptions!$B$18)*G4/Assumptions!$B$21</f>
        <v>0.060700000000000004</v>
      </c>
      <c r="H6" s="63">
        <f>Assumptions!$B$18+(Assumptions!$E$13-Assumptions!$B$18)*H4/Assumptions!$B$21</f>
        <v>0.08856000000000003</v>
      </c>
      <c r="I6" s="63">
        <f>Assumptions!$B$18+(Assumptions!$E$13-Assumptions!$B$18)*I4/Assumptions!$B$21</f>
        <v>0.11642000000000002</v>
      </c>
      <c r="J6" s="63">
        <f>Assumptions!$B$18+(Assumptions!$E$13-Assumptions!$B$18)*J4/Assumptions!$B$21</f>
        <v>0.14428000000000002</v>
      </c>
      <c r="K6" s="63">
        <f>Assumptions!$B$18+(Assumptions!$E$13-Assumptions!$B$18)*K4/Assumptions!$B$21</f>
        <v>0.17214000000000002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Model'!O2</f>
        <v>407.32</v>
      </c>
      <c r="C7" s="55">
        <f>'Yearly Model'!P2</f>
        <v>510.657084</v>
      </c>
      <c r="D7" s="55">
        <f>'Yearly Model'!Q2</f>
        <v>627.2344223096</v>
      </c>
      <c r="E7" s="55">
        <f>'Yearly Model'!R2</f>
        <v>754.4863480534998</v>
      </c>
      <c r="F7" s="55">
        <f>'Yearly Model'!S2</f>
        <v>888.3825252880608</v>
      </c>
      <c r="G7" s="55">
        <f>'Yearly Model'!T2</f>
        <v>1023.4660237165843</v>
      </c>
      <c r="H7" s="55">
        <f>'Yearly Model'!U2</f>
        <v>1153.0823096979357</v>
      </c>
      <c r="I7" s="55">
        <f>'Yearly Model'!V2</f>
        <v>1269.8126755163566</v>
      </c>
      <c r="J7" s="55">
        <f>'Yearly Model'!W2</f>
        <v>1366.0926943799525</v>
      </c>
      <c r="K7" s="55">
        <f>'Yearly Model'!X2</f>
        <v>1434.9589449844175</v>
      </c>
      <c r="L7" s="55">
        <f>'Yearly Model'!Y2</f>
        <v>1470.8329186090277</v>
      </c>
    </row>
    <row r="8">
      <c r="A8" s="14" t="inlineStr">
        <is>
          <t>Operating income</t>
        </is>
      </c>
      <c r="B8" s="55">
        <f>'Yearly Model'!O8</f>
        <v>-40.976999999999975</v>
      </c>
      <c r="C8" s="55">
        <f>'Yearly Model'!P8</f>
        <v>-25.910740442159977</v>
      </c>
      <c r="D8" s="55">
        <f>'Yearly Model'!Q8</f>
        <v>-14.35112358244362</v>
      </c>
      <c r="E8" s="55">
        <f>'Yearly Model'!R8</f>
        <v>3.75734201330647</v>
      </c>
      <c r="F8" s="55">
        <f>'Yearly Model'!S8</f>
        <v>29.174482130459978</v>
      </c>
      <c r="G8" s="55">
        <f>'Yearly Model'!T8</f>
        <v>62.12438763959665</v>
      </c>
      <c r="H8" s="55">
        <f>'Yearly Model'!U8</f>
        <v>102.11696934684926</v>
      </c>
      <c r="I8" s="55">
        <f>'Yearly Model'!V8</f>
        <v>147.8315916836143</v>
      </c>
      <c r="J8" s="55">
        <f>'Yearly Model'!W8</f>
        <v>197.09985394513956</v>
      </c>
      <c r="K8" s="55">
        <f>'Yearly Model'!X8</f>
        <v>247.0138327896177</v>
      </c>
      <c r="L8" s="55">
        <f>'Yearly Model'!Y8</f>
        <v>294.16658372180564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0.6387481422621</v>
      </c>
      <c r="F9" s="52">
        <f>MAX(0,F8)*Assumptions!$E$14</f>
        <v>4.959661962178196</v>
      </c>
      <c r="G9" s="52">
        <f>MAX(0,G8)*Assumptions!$E$14</f>
        <v>10.56114589873143</v>
      </c>
      <c r="H9" s="52">
        <f>MAX(0,H8)*Assumptions!$E$14</f>
        <v>17.359884788964376</v>
      </c>
      <c r="I9" s="52">
        <f>MAX(0,I8)*Assumptions!$E$14</f>
        <v>25.131370586214434</v>
      </c>
      <c r="J9" s="52">
        <f>MAX(0,J8)*Assumptions!$E$14</f>
        <v>33.506975170673726</v>
      </c>
      <c r="K9" s="52">
        <f>MAX(0,K8)*Assumptions!$E$14</f>
        <v>41.992351574235016</v>
      </c>
      <c r="L9" s="52">
        <f>MAX(0,L8)*Assumptions!$E$14</f>
        <v>50.00831923270696</v>
      </c>
    </row>
    <row r="10">
      <c r="A10" s="14" t="inlineStr">
        <is>
          <t>NOPAT</t>
        </is>
      </c>
      <c r="C10" s="52">
        <f>C8-C9</f>
        <v>-25.910740442159977</v>
      </c>
      <c r="D10" s="52">
        <f>D8-D9</f>
        <v>-14.35112358244362</v>
      </c>
      <c r="E10" s="52">
        <f>E8-E9</f>
        <v>3.11859387104437</v>
      </c>
      <c r="F10" s="52">
        <f>F8-F9</f>
        <v>24.214820168281783</v>
      </c>
      <c r="G10" s="52">
        <f>G8-G9</f>
        <v>51.563241740865216</v>
      </c>
      <c r="H10" s="52">
        <f>H8-H9</f>
        <v>84.75708455788488</v>
      </c>
      <c r="I10" s="52">
        <f>I8-I9</f>
        <v>122.70022109739988</v>
      </c>
      <c r="J10" s="52">
        <f>J8-J9</f>
        <v>163.59287877446582</v>
      </c>
      <c r="K10" s="52">
        <f>K8-K9</f>
        <v>205.0214812153827</v>
      </c>
      <c r="L10" s="52">
        <f>L8-L9</f>
        <v>244.15826448909868</v>
      </c>
    </row>
    <row r="11">
      <c r="A11" s="14" t="inlineStr">
        <is>
          <t>Reinvestment</t>
        </is>
      </c>
      <c r="C11" s="52">
        <f>(C7-B7)*Assumptions!$E$15</f>
        <v>25.834271</v>
      </c>
      <c r="D11" s="52">
        <f>(D7-C7)*Assumptions!$E$15</f>
        <v>29.144334577399988</v>
      </c>
      <c r="E11" s="52">
        <f>(E7-D7)*Assumptions!$E$15</f>
        <v>31.81298143597496</v>
      </c>
      <c r="F11" s="52">
        <f>(F7-E7)*Assumptions!$E$15</f>
        <v>33.47404430864026</v>
      </c>
      <c r="G11" s="52">
        <f>(G7-F7)*Assumptions!$E$15</f>
        <v>33.77087460713088</v>
      </c>
      <c r="H11" s="52">
        <f>(H7-G7)*Assumptions!$E$15</f>
        <v>32.40407149533783</v>
      </c>
      <c r="I11" s="52">
        <f>(I7-H7)*Assumptions!$E$15</f>
        <v>29.182591454605245</v>
      </c>
      <c r="J11" s="52">
        <f>(J7-I7)*Assumptions!$E$15</f>
        <v>24.07000471589896</v>
      </c>
      <c r="K11" s="52">
        <f>(K7-J7)*Assumptions!$E$15</f>
        <v>17.21656265111625</v>
      </c>
      <c r="L11" s="52">
        <f>(L7-K7)*Assumptions!$E$15</f>
        <v>8.968493406152561</v>
      </c>
    </row>
    <row r="12">
      <c r="A12" s="20" t="inlineStr">
        <is>
          <t>Free cash flow</t>
        </is>
      </c>
      <c r="C12" s="64">
        <f>C10-C11</f>
        <v>-51.74501144215998</v>
      </c>
      <c r="D12" s="64">
        <f>D10-D11</f>
        <v>-43.49545815984361</v>
      </c>
      <c r="E12" s="64">
        <f>E10-E11</f>
        <v>-28.69438756493059</v>
      </c>
      <c r="F12" s="64">
        <f>F10-F11</f>
        <v>-9.259224140358477</v>
      </c>
      <c r="G12" s="64">
        <f>G10-G11</f>
        <v>17.792367133734338</v>
      </c>
      <c r="H12" s="64">
        <f>H10-H11</f>
        <v>52.35301306254705</v>
      </c>
      <c r="I12" s="64">
        <f>I10-I11</f>
        <v>93.51762964279463</v>
      </c>
      <c r="J12" s="64">
        <f>J10-J11</f>
        <v>139.52287405856686</v>
      </c>
      <c r="K12" s="64">
        <f>K10-K11</f>
        <v>187.80491856426644</v>
      </c>
      <c r="L12" s="64">
        <f>L10-L11</f>
        <v>235.18977108294612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-25.32166107026633</v>
      </c>
      <c r="D16" s="64">
        <f>D12*D13*D15</f>
        <v>-38.64396339515097</v>
      </c>
      <c r="E16" s="64">
        <f>E12*E13*E15</f>
        <v>-22.661162738324037</v>
      </c>
      <c r="F16" s="64">
        <f>F12*F13*F15</f>
        <v>-6.499909421132419</v>
      </c>
      <c r="G16" s="64">
        <f>G12*G13*G15</f>
        <v>11.102324486008103</v>
      </c>
      <c r="H16" s="64">
        <f>H12*H13*H15</f>
        <v>29.038176725348528</v>
      </c>
      <c r="I16" s="64">
        <f>I12*I13*I15</f>
        <v>46.107187387180524</v>
      </c>
      <c r="J16" s="64">
        <f>J12*J13*J15</f>
        <v>61.145997092509916</v>
      </c>
      <c r="K16" s="64">
        <f>K12*K13*K15</f>
        <v>73.16056608861497</v>
      </c>
      <c r="L16" s="64">
        <f>L12*L13*L15</f>
        <v>81.43966940552039</v>
      </c>
    </row>
    <row r="19">
      <c r="A19" s="14" t="inlineStr">
        <is>
          <t>PV of forecast free cash flow</t>
        </is>
      </c>
      <c r="B19" s="52">
        <f>SUM(C16:L16)</f>
        <v>208.86722456030867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241.06951536001972</v>
      </c>
    </row>
    <row r="21">
      <c r="A21" s="14" t="inlineStr">
        <is>
          <t>Terminal value</t>
        </is>
      </c>
      <c r="B21" s="52">
        <f>B20/(Assumptions!$E$10-Assumptions!$E$11)</f>
        <v>2410.695153600197</v>
      </c>
    </row>
    <row r="22">
      <c r="A22" s="14" t="inlineStr">
        <is>
          <t>PV of terminal value</t>
        </is>
      </c>
      <c r="B22" s="52">
        <f>B21/(1+Assumptions!$E$10)^(L14+0.5)</f>
        <v>787.0160807545321</v>
      </c>
    </row>
    <row r="23">
      <c r="A23" s="20" t="inlineStr">
        <is>
          <t>Enterprise value</t>
        </is>
      </c>
      <c r="B23" s="66">
        <f>B19+B22</f>
        <v>995.8833053148408</v>
      </c>
    </row>
    <row r="24">
      <c r="A24" s="14" t="inlineStr">
        <is>
          <t>Cash &amp; investments</t>
        </is>
      </c>
      <c r="B24" s="55">
        <f>Main!C7</f>
        <v>281.83000000000004</v>
      </c>
    </row>
    <row r="25">
      <c r="A25" s="14" t="inlineStr">
        <is>
          <t>Debt</t>
        </is>
      </c>
      <c r="B25" s="55">
        <f>Main!C8</f>
        <v>251.823</v>
      </c>
    </row>
    <row r="26">
      <c r="A26" s="20" t="inlineStr">
        <is>
          <t>Equity value</t>
        </is>
      </c>
      <c r="B26" s="66">
        <f>B23+B24-B25</f>
        <v>1025.8903053148408</v>
      </c>
    </row>
    <row r="27">
      <c r="A27" s="14" t="inlineStr">
        <is>
          <t>Shares (mm)</t>
        </is>
      </c>
      <c r="B27" s="55">
        <f>Main!C4</f>
        <v>249.187572</v>
      </c>
    </row>
    <row r="28">
      <c r="A28" s="20" t="inlineStr">
        <is>
          <t>NPV / share</t>
        </is>
      </c>
      <c r="B28" s="49">
        <f>B26/B27</f>
        <v>4.116940090875964</v>
      </c>
    </row>
    <row r="29">
      <c r="A29" s="14" t="inlineStr">
        <is>
          <t>Price</t>
        </is>
      </c>
      <c r="B29" s="50">
        <f>Main!C3</f>
        <v>3.21</v>
      </c>
    </row>
    <row r="30">
      <c r="A30" s="14" t="inlineStr">
        <is>
          <t>Upside</t>
        </is>
      </c>
      <c r="B30" s="63">
        <f>B28/B29-1</f>
        <v>0.28253585385544056</v>
      </c>
    </row>
    <row r="31">
      <c r="A31" s="14" t="inlineStr">
        <is>
          <t>Terminal value, % of EV</t>
        </is>
      </c>
      <c r="B31" s="63">
        <f>IFERROR(B22/B23,0)</f>
        <v>0.7902693785048672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2026-10-21T01:04:55Z</dcterms:modified>
  <cp:lastModifiedBy>Wang, Eric</cp:lastModifiedBy>
</cp:coreProperties>
</file>