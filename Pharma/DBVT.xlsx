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Dbv Technologies SA</t>
        </is>
      </c>
      <c r="C2" s="10" t="n"/>
    </row>
    <row r="3">
      <c r="B3" t="inlineStr">
        <is>
          <t>Price</t>
        </is>
      </c>
      <c r="C3" s="11">
        <f>INDEX([1]Pharma!$F$1:$F$1000,MATCH("DBVT",[1]Pharma!$B$1:$B$1000,0))</f>
        <v>9.48</v>
      </c>
      <c r="F3" s="1" t="n"/>
    </row>
    <row r="4">
      <c r="B4" t="inlineStr">
        <is>
          <t>Shares</t>
        </is>
      </c>
      <c r="C4" s="21">
        <f>296.061497/5</f>
        <v>59.21229939999999</v>
      </c>
      <c r="F4" s="1" t="n"/>
    </row>
    <row r="5">
      <c r="B5" t="inlineStr">
        <is>
          <t>Market Cap.</t>
        </is>
      </c>
      <c r="C5" s="13">
        <f>C3*C4</f>
        <v>561.332598312</v>
      </c>
      <c r="F5" s="1" t="n"/>
    </row>
    <row r="6"/>
    <row r="7">
      <c r="B7" t="inlineStr">
        <is>
          <t>Cash</t>
        </is>
      </c>
      <c r="C7" s="21" t="n">
        <v>174.9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386.432598312</v>
      </c>
    </row>
    <row r="10"/>
    <row r="11">
      <c r="B11" s="14" t="inlineStr">
        <is>
          <t>Net Cash / Share</t>
        </is>
      </c>
      <c r="C11" s="11">
        <f>(C7-C8)/C4</f>
        <v>2.953778214530882</v>
      </c>
    </row>
    <row r="12">
      <c r="B12" s="14" t="inlineStr">
        <is>
          <t>Upside</t>
        </is>
      </c>
      <c r="C12" s="15">
        <f>IFERROR(C11/C3-1,"")</f>
        <v>-0.6884200195642529</v>
      </c>
    </row>
    <row r="13">
      <c r="B13" s="14" t="inlineStr">
        <is>
          <t>Cash / Share</t>
        </is>
      </c>
      <c r="C13" s="11">
        <f>IFERROR((C7-C8)/C4,"")</f>
        <v>2.953778214530882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-169.281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1.0331933294344906</v>
      </c>
    </row>
    <row r="19">
      <c r="B19" s="14" t="inlineStr">
        <is>
          <t>Implied Pipeline Value</t>
        </is>
      </c>
      <c r="C19" s="13">
        <f>C9</f>
        <v>386.432598312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6.939</v>
      </c>
      <c r="C2" s="23" t="n">
        <v>10.222</v>
      </c>
      <c r="D2" s="23" t="n">
        <v>13.401</v>
      </c>
      <c r="E2" s="23" t="n">
        <v>16.359</v>
      </c>
      <c r="F2" s="23" t="n">
        <v>14.785</v>
      </c>
      <c r="G2" s="23" t="n">
        <v>11.276</v>
      </c>
      <c r="H2" s="23" t="n">
        <v>5.708</v>
      </c>
      <c r="I2" s="23" t="n">
        <v>4.844</v>
      </c>
      <c r="J2" s="23" t="n">
        <v>15.728</v>
      </c>
      <c r="K2" s="23" t="n">
        <v>4.151</v>
      </c>
      <c r="L2" s="23" t="n">
        <v>5.636</v>
      </c>
    </row>
    <row r="3" customFormat="1" s="1">
      <c r="A3" s="5" t="inlineStr">
        <is>
          <t>Cost of Sales</t>
        </is>
      </c>
      <c r="B3" s="23" t="n">
        <v>0.144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</row>
    <row r="4" customFormat="1" s="1">
      <c r="A4" s="5" t="inlineStr">
        <is>
          <t>Gross Margin</t>
        </is>
      </c>
      <c r="B4" s="23">
        <f>B2-B3</f>
        <v>6.795</v>
      </c>
      <c r="C4" s="23">
        <f>C2-C3</f>
        <v>10.222</v>
      </c>
      <c r="D4" s="23">
        <f>D2-D3</f>
        <v>13.401</v>
      </c>
      <c r="E4" s="23">
        <f>E2-E3</f>
        <v>16.359</v>
      </c>
      <c r="F4" s="23">
        <f>F2-F3</f>
        <v>14.785</v>
      </c>
      <c r="G4" s="23">
        <f>G2-G3</f>
        <v>11.276</v>
      </c>
      <c r="H4" s="23">
        <f>H2-H3</f>
        <v>5.708</v>
      </c>
      <c r="I4" s="23">
        <f>I2-I3</f>
        <v>4.844</v>
      </c>
      <c r="J4" s="23">
        <f>J2-J3</f>
        <v>15.728</v>
      </c>
      <c r="K4" s="23">
        <f>K2-K3</f>
        <v>4.151</v>
      </c>
      <c r="L4" s="23">
        <f>L2-L3</f>
        <v>5.636</v>
      </c>
    </row>
    <row r="5">
      <c r="A5" s="2" t="inlineStr">
        <is>
          <t>Research &amp; Dev.</t>
        </is>
      </c>
      <c r="B5" s="23" t="n">
        <v>38.524</v>
      </c>
      <c r="C5" s="23" t="n">
        <v>88.705</v>
      </c>
      <c r="D5" s="23" t="n">
        <v>118.418</v>
      </c>
      <c r="E5" s="23" t="n">
        <v>120.6</v>
      </c>
      <c r="F5" s="23" t="n">
        <v>115.103</v>
      </c>
      <c r="G5" s="23" t="n">
        <v>101.607</v>
      </c>
      <c r="H5" s="23" t="n">
        <v>70.336</v>
      </c>
      <c r="I5" s="23" t="n">
        <v>75.54300000000001</v>
      </c>
      <c r="J5" s="23" t="n">
        <v>60.223</v>
      </c>
      <c r="K5" s="23" t="n">
        <v>89.342</v>
      </c>
      <c r="L5" s="23" t="n">
        <v>116.682</v>
      </c>
    </row>
    <row r="6">
      <c r="A6" s="19" t="inlineStr">
        <is>
          <t>SG&amp;A &amp; Other</t>
        </is>
      </c>
      <c r="B6" s="23" t="n">
        <v>19.524</v>
      </c>
      <c r="C6" s="23" t="n">
        <v>52.087</v>
      </c>
      <c r="D6" s="23" t="n">
        <v>58.133</v>
      </c>
      <c r="E6" s="23" t="n">
        <v>82.786</v>
      </c>
      <c r="F6" s="23" t="n">
        <v>70.705</v>
      </c>
      <c r="G6" s="23" t="n">
        <v>68.511</v>
      </c>
      <c r="H6" s="23" t="n">
        <v>33.986</v>
      </c>
      <c r="I6" s="23" t="n">
        <v>25.932</v>
      </c>
      <c r="J6" s="23" t="n">
        <v>31.937</v>
      </c>
      <c r="K6" s="23" t="n">
        <v>31.398</v>
      </c>
      <c r="L6" s="23" t="n">
        <v>36.01</v>
      </c>
    </row>
    <row r="7">
      <c r="A7" s="2" t="inlineStr">
        <is>
          <t>Operating Expense</t>
        </is>
      </c>
      <c r="B7" s="23">
        <f>SUM(B5:B6)</f>
        <v>58.048</v>
      </c>
      <c r="C7" s="23">
        <f>SUM(C5:C6)</f>
        <v>140.792</v>
      </c>
      <c r="D7" s="23">
        <f>SUM(D5:D6)</f>
        <v>176.55100000000002</v>
      </c>
      <c r="E7" s="23">
        <f>SUM(E5:E6)</f>
        <v>203.386</v>
      </c>
      <c r="F7" s="23">
        <f>SUM(F5:F6)</f>
        <v>185.808</v>
      </c>
      <c r="G7" s="23">
        <f>SUM(G5:G6)</f>
        <v>170.118</v>
      </c>
      <c r="H7" s="23">
        <f>SUM(H5:H6)</f>
        <v>104.322</v>
      </c>
      <c r="I7" s="23">
        <f>SUM(I5:I6)</f>
        <v>101.47500000000001</v>
      </c>
      <c r="J7" s="23">
        <f>SUM(J5:J6)</f>
        <v>92.16</v>
      </c>
      <c r="K7" s="23">
        <f>SUM(K5:K6)</f>
        <v>120.74</v>
      </c>
      <c r="L7" s="23">
        <f>SUM(L5:L6)</f>
        <v>152.692</v>
      </c>
    </row>
    <row r="8">
      <c r="A8" s="2" t="inlineStr">
        <is>
          <t>Operating Income</t>
        </is>
      </c>
      <c r="B8" s="23">
        <f>B4-B7</f>
        <v>-51.253</v>
      </c>
      <c r="C8" s="23">
        <f>C4-C7</f>
        <v>-130.57</v>
      </c>
      <c r="D8" s="23">
        <f>D4-D7</f>
        <v>-163.15</v>
      </c>
      <c r="E8" s="23">
        <f>E4-E7</f>
        <v>-187.027</v>
      </c>
      <c r="F8" s="23">
        <f>F4-F7</f>
        <v>-171.023</v>
      </c>
      <c r="G8" s="23">
        <f>G4-G7</f>
        <v>-158.84199999999998</v>
      </c>
      <c r="H8" s="23">
        <f>H4-H7</f>
        <v>-98.614</v>
      </c>
      <c r="I8" s="23">
        <f>I4-I7</f>
        <v>-96.63100000000001</v>
      </c>
      <c r="J8" s="23">
        <f>J4-J7</f>
        <v>-76.432</v>
      </c>
      <c r="K8" s="23">
        <f>K4-K7</f>
        <v>-116.589</v>
      </c>
      <c r="L8" s="23">
        <f>L4-L7</f>
        <v>-147.056</v>
      </c>
    </row>
    <row r="9">
      <c r="A9" s="19" t="inlineStr">
        <is>
          <t>Interest &amp; Other</t>
        </is>
      </c>
      <c r="B9" s="23" t="n">
        <v>0</v>
      </c>
      <c r="C9" s="23" t="n">
        <v>1.688</v>
      </c>
      <c r="D9" s="23" t="n">
        <v>-3.048</v>
      </c>
      <c r="E9" s="23" t="n">
        <v>0.159</v>
      </c>
      <c r="F9" s="23" t="n">
        <v>-0.378</v>
      </c>
      <c r="G9" s="23" t="n">
        <v>-0.723</v>
      </c>
      <c r="H9" s="23" t="n">
        <v>0.424</v>
      </c>
      <c r="I9" s="23" t="n">
        <v>192.975</v>
      </c>
      <c r="J9" s="23" t="n">
        <v>3.729</v>
      </c>
      <c r="K9" s="23" t="n">
        <v>2.726</v>
      </c>
      <c r="L9" s="23" t="n">
        <v>0.6</v>
      </c>
    </row>
    <row r="10">
      <c r="A10" s="2" t="inlineStr">
        <is>
          <t>Pretax</t>
        </is>
      </c>
      <c r="B10" s="23">
        <f>B8+B9</f>
        <v>-51.253</v>
      </c>
      <c r="C10" s="23">
        <f>C8+C9</f>
        <v>-128.882</v>
      </c>
      <c r="D10" s="23">
        <f>D8+D9</f>
        <v>-166.198</v>
      </c>
      <c r="E10" s="23">
        <f>E8+E9</f>
        <v>-186.868</v>
      </c>
      <c r="F10" s="23">
        <f>F8+F9</f>
        <v>-171.40099999999998</v>
      </c>
      <c r="G10" s="23">
        <f>G8+G9</f>
        <v>-159.565</v>
      </c>
      <c r="H10" s="23">
        <f>H8+H9</f>
        <v>-98.19</v>
      </c>
      <c r="I10" s="23">
        <f>I8+I9</f>
        <v>96.34399999999998</v>
      </c>
      <c r="J10" s="23">
        <f>J8+J9</f>
        <v>-72.703</v>
      </c>
      <c r="K10" s="23">
        <f>K8+K9</f>
        <v>-113.863</v>
      </c>
      <c r="L10" s="23">
        <f>L8+L9</f>
        <v>-146.45600000000002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0.001</v>
      </c>
      <c r="E11" s="23" t="n">
        <v>0.017</v>
      </c>
      <c r="F11" s="23" t="n">
        <v>0.61</v>
      </c>
      <c r="G11" s="23" t="n">
        <v>-0.01</v>
      </c>
      <c r="H11" s="23" t="n">
        <v>-0.381</v>
      </c>
      <c r="I11" s="23" t="n">
        <v>0.07000000000000001</v>
      </c>
      <c r="J11" s="23" t="n">
        <v>0.007</v>
      </c>
      <c r="K11" s="23" t="n">
        <v>0.055</v>
      </c>
      <c r="L11" s="23" t="n">
        <v>0.491</v>
      </c>
    </row>
    <row r="12">
      <c r="A12" s="2" t="inlineStr">
        <is>
          <t>Net Income</t>
        </is>
      </c>
      <c r="B12" s="23" t="n">
        <v>-51.253</v>
      </c>
      <c r="C12" s="23" t="n">
        <v>-128.882</v>
      </c>
      <c r="D12" s="23" t="n">
        <v>-166.199</v>
      </c>
      <c r="E12" s="23" t="n">
        <v>-186.886</v>
      </c>
      <c r="F12" s="23" t="n">
        <v>-172.011</v>
      </c>
      <c r="G12" s="23" t="n">
        <v>-159.555</v>
      </c>
      <c r="H12" s="23" t="n">
        <v>-97.809</v>
      </c>
      <c r="I12" s="23" t="n">
        <v>96.274</v>
      </c>
      <c r="J12" s="23" t="n">
        <v>-72.70999999999999</v>
      </c>
      <c r="K12" s="23" t="n">
        <v>-113.918</v>
      </c>
      <c r="L12" s="23" t="n">
        <v>-146.947</v>
      </c>
    </row>
    <row r="13">
      <c r="A13" s="2" t="inlineStr">
        <is>
          <t>Earnings per Share</t>
        </is>
      </c>
      <c r="B13" s="11">
        <f>IFERROR(B12/B14,0)</f>
        <v>-1.8401910096222893</v>
      </c>
      <c r="C13" s="11">
        <f>IFERROR(C12/C14,0)</f>
        <v>-4.072487123582015</v>
      </c>
      <c r="D13" s="11">
        <f>IFERROR(D12/D14,0)</f>
        <v>-5.249660444107521</v>
      </c>
      <c r="E13" s="11">
        <f>IFERROR(E12/E14,0)</f>
        <v>-5.052611657834974</v>
      </c>
      <c r="F13" s="11">
        <f>IFERROR(F12/F14,0)</f>
        <v>-4.648066581998001</v>
      </c>
      <c r="G13" s="11">
        <f>IFERROR(G12/G14,0)</f>
        <v>-2.9496422827352893</v>
      </c>
      <c r="H13" s="11">
        <f>IFERROR(H12/H14,0)</f>
        <v>-1.7810331955496475</v>
      </c>
      <c r="I13" s="11">
        <f>IFERROR(I12/I14,0)</f>
        <v>1.2441073090044454</v>
      </c>
      <c r="J13" s="11">
        <f>IFERROR(J12/J14,0)</f>
        <v>-0.7643948234354138</v>
      </c>
      <c r="K13" s="11">
        <f>IFERROR(K12/K14,0)</f>
        <v>-1.1744729109747925</v>
      </c>
      <c r="L13" s="11">
        <f>IFERROR(L12/L14,0)</f>
        <v>-1.0528250247180706</v>
      </c>
    </row>
    <row r="14">
      <c r="A14" s="2" t="inlineStr">
        <is>
          <t>Shares</t>
        </is>
      </c>
      <c r="B14" s="23" t="n">
        <v>27.852</v>
      </c>
      <c r="C14" s="23" t="n">
        <v>31.647</v>
      </c>
      <c r="D14" s="23" t="n">
        <v>31.659</v>
      </c>
      <c r="E14" s="23" t="n">
        <v>36.988</v>
      </c>
      <c r="F14" s="23" t="n">
        <v>37.007</v>
      </c>
      <c r="G14" s="23" t="n">
        <v>54.093</v>
      </c>
      <c r="H14" s="23" t="n">
        <v>54.917</v>
      </c>
      <c r="I14" s="23" t="n">
        <v>77.384</v>
      </c>
      <c r="J14" s="23" t="n">
        <v>95.121</v>
      </c>
      <c r="K14" s="23" t="n">
        <v>96.995</v>
      </c>
      <c r="L14" s="23" t="n">
        <v>139.574</v>
      </c>
    </row>
    <row r="15"/>
    <row r="16" customFormat="1" s="4">
      <c r="A16" s="3" t="inlineStr">
        <is>
          <t>Revenue Change</t>
        </is>
      </c>
      <c r="C16" s="15">
        <f>IFERROR(C2/B2-1,"")</f>
        <v>0.4731229283758467</v>
      </c>
      <c r="D16" s="15">
        <f>IFERROR(D2/C2-1,"")</f>
        <v>0.31099589121502635</v>
      </c>
      <c r="E16" s="15">
        <f>IFERROR(E2/D2-1,"")</f>
        <v>0.22072979628385947</v>
      </c>
      <c r="F16" s="15">
        <f>IFERROR(F2/E2-1,"")</f>
        <v>-0.09621615013142626</v>
      </c>
      <c r="G16" s="15">
        <f>IFERROR(G2/F2-1,"")</f>
        <v>-0.23733513696313835</v>
      </c>
      <c r="H16" s="15">
        <f>IFERROR(H2/G2-1,"")</f>
        <v>-0.4937921248669741</v>
      </c>
      <c r="I16" s="15">
        <f>IFERROR(I2/H2-1,"")</f>
        <v>-0.15136650315346878</v>
      </c>
      <c r="J16" s="15">
        <f>IFERROR(J2/I2-1,"")</f>
        <v>2.246903385631709</v>
      </c>
      <c r="K16" s="15">
        <f>IFERROR(K2/J2-1,"")</f>
        <v>-0.7360757884028484</v>
      </c>
      <c r="L16" s="15">
        <f>IFERROR(L2/K2-1,"")</f>
        <v>0.3577451216574321</v>
      </c>
    </row>
    <row r="17" customFormat="1" s="4">
      <c r="A17" s="3" t="inlineStr">
        <is>
          <t>Gross Margin</t>
        </is>
      </c>
      <c r="B17" s="15">
        <f>IFERROR(B4/B2,"")</f>
        <v>0.9792477302204928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</row>
    <row r="18">
      <c r="A18" s="14" t="inlineStr">
        <is>
          <t>Operating Margin</t>
        </is>
      </c>
      <c r="B18" s="15">
        <f>IFERROR(B8/B2,"")</f>
        <v>-7.386222798674161</v>
      </c>
      <c r="C18" s="15">
        <f>IFERROR(C8/C2,"")</f>
        <v>-12.773429857170807</v>
      </c>
      <c r="D18" s="15">
        <f>IFERROR(D8/D2,"")</f>
        <v>-12.174464592194614</v>
      </c>
      <c r="E18" s="15">
        <f>IFERROR(E8/E2,"")</f>
        <v>-11.43266703343725</v>
      </c>
      <c r="F18" s="15">
        <f>IFERROR(F8/F2,"")</f>
        <v>-11.567331755157253</v>
      </c>
      <c r="G18" s="15">
        <f>IFERROR(G8/G2,"")</f>
        <v>-14.086732884001417</v>
      </c>
      <c r="H18" s="15">
        <f>IFERROR(H8/H2,"")</f>
        <v>-17.27645409950946</v>
      </c>
      <c r="I18" s="15">
        <f>IFERROR(I8/I2,"")</f>
        <v>-19.948596201486378</v>
      </c>
      <c r="J18" s="15">
        <f>IFERROR(J8/J2,"")</f>
        <v>-4.859613428280773</v>
      </c>
      <c r="K18" s="15">
        <f>IFERROR(K8/K2,"")</f>
        <v>-28.086966995904604</v>
      </c>
      <c r="L18" s="15">
        <f>IFERROR(L8/L2,"")</f>
        <v>-26.092264017033358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2026-10-21T01:05:06Z</dcterms:modified>
  <cp:lastModifiedBy>Wang, Eric</cp:lastModifiedBy>
</cp:coreProperties>
</file>