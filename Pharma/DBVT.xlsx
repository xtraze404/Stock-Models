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Dbv Technologies SA</t>
        </is>
      </c>
      <c r="C2" s="10" t="n"/>
    </row>
    <row r="3">
      <c r="B3" t="inlineStr">
        <is>
          <t>Price</t>
        </is>
      </c>
      <c r="C3" s="11">
        <f>INDEX([1]Pharma!$F$1:$F$1000,MATCH("DBVT",[1]Pharma!$B$1:$B$1000,0))</f>
        <v>9.48</v>
      </c>
      <c r="F3" s="1" t="n"/>
    </row>
    <row r="4">
      <c r="B4" t="inlineStr">
        <is>
          <t>Shares</t>
        </is>
      </c>
      <c r="C4" s="21">
        <f>296.061497/5</f>
        <v>59.21229939999999</v>
      </c>
      <c r="F4" s="1" t="n"/>
    </row>
    <row r="5">
      <c r="B5" t="inlineStr">
        <is>
          <t>Market Cap.</t>
        </is>
      </c>
      <c r="C5" s="13">
        <f>C3*C4</f>
        <v>561.332598312</v>
      </c>
      <c r="F5" s="1" t="n"/>
    </row>
    <row r="6"/>
    <row r="7">
      <c r="B7" t="inlineStr">
        <is>
          <t>Cash</t>
        </is>
      </c>
      <c r="C7" s="21" t="n">
        <v>174.9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386.432598312</v>
      </c>
    </row>
    <row r="10"/>
    <row r="11">
      <c r="B11" s="14" t="inlineStr">
        <is>
          <t>rNPV / Share</t>
        </is>
      </c>
      <c r="C11" s="11">
        <f>NPV!B27</f>
        <v>8.440851045220723</v>
      </c>
    </row>
    <row r="12">
      <c r="B12" s="14" t="inlineStr">
        <is>
          <t>Upside</t>
        </is>
      </c>
      <c r="C12" s="15">
        <f>IFERROR(C11/C3-1,"")</f>
        <v>-0.10961486864760306</v>
      </c>
    </row>
    <row r="13">
      <c r="B13" s="14" t="inlineStr">
        <is>
          <t>Cash / Share</t>
        </is>
      </c>
      <c r="C13" s="11">
        <f>IFERROR((C7-C8)/C4,"")</f>
        <v>2.953778214530882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-169.281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1.0331933294344906</v>
      </c>
    </row>
    <row r="19">
      <c r="B19" s="14" t="inlineStr">
        <is>
          <t>Implied Pipeline Value</t>
        </is>
      </c>
      <c r="C19" s="13">
        <f>C9</f>
        <v>386.432598312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6.939</v>
      </c>
      <c r="C2" s="23" t="n">
        <v>10.222</v>
      </c>
      <c r="D2" s="23" t="n">
        <v>13.401</v>
      </c>
      <c r="E2" s="23" t="n">
        <v>16.359</v>
      </c>
      <c r="F2" s="23" t="n">
        <v>14.785</v>
      </c>
      <c r="G2" s="23" t="n">
        <v>11.276</v>
      </c>
      <c r="H2" s="23" t="n">
        <v>5.708</v>
      </c>
      <c r="I2" s="23" t="n">
        <v>4.844</v>
      </c>
      <c r="J2" s="23" t="n">
        <v>15.728</v>
      </c>
      <c r="K2" s="23" t="n">
        <v>4.151</v>
      </c>
      <c r="L2" s="23" t="n">
        <v>5.636</v>
      </c>
    </row>
    <row r="3" customFormat="1" s="1">
      <c r="A3" s="5" t="inlineStr">
        <is>
          <t>Cost of Sales</t>
        </is>
      </c>
      <c r="B3" s="23" t="n">
        <v>0.144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6.795</v>
      </c>
      <c r="C4" s="23">
        <f>C2-C3</f>
        <v>10.222</v>
      </c>
      <c r="D4" s="23">
        <f>D2-D3</f>
        <v>13.401</v>
      </c>
      <c r="E4" s="23">
        <f>E2-E3</f>
        <v>16.359</v>
      </c>
      <c r="F4" s="23">
        <f>F2-F3</f>
        <v>14.785</v>
      </c>
      <c r="G4" s="23">
        <f>G2-G3</f>
        <v>11.276</v>
      </c>
      <c r="H4" s="23">
        <f>H2-H3</f>
        <v>5.708</v>
      </c>
      <c r="I4" s="23">
        <f>I2-I3</f>
        <v>4.844</v>
      </c>
      <c r="J4" s="23">
        <f>J2-J3</f>
        <v>15.728</v>
      </c>
      <c r="K4" s="23">
        <f>K2-K3</f>
        <v>4.151</v>
      </c>
      <c r="L4" s="23">
        <f>L2-L3</f>
        <v>5.636</v>
      </c>
    </row>
    <row r="5">
      <c r="A5" s="2" t="inlineStr">
        <is>
          <t>Research &amp; Dev.</t>
        </is>
      </c>
      <c r="B5" s="23" t="n">
        <v>38.524</v>
      </c>
      <c r="C5" s="23" t="n">
        <v>88.705</v>
      </c>
      <c r="D5" s="23" t="n">
        <v>118.418</v>
      </c>
      <c r="E5" s="23" t="n">
        <v>120.6</v>
      </c>
      <c r="F5" s="23" t="n">
        <v>115.103</v>
      </c>
      <c r="G5" s="23" t="n">
        <v>101.607</v>
      </c>
      <c r="H5" s="23" t="n">
        <v>70.336</v>
      </c>
      <c r="I5" s="23" t="n">
        <v>75.54300000000001</v>
      </c>
      <c r="J5" s="23" t="n">
        <v>60.223</v>
      </c>
      <c r="K5" s="23" t="n">
        <v>89.342</v>
      </c>
      <c r="L5" s="23" t="n">
        <v>116.682</v>
      </c>
    </row>
    <row r="6">
      <c r="A6" s="19" t="inlineStr">
        <is>
          <t>SG&amp;A &amp; Other</t>
        </is>
      </c>
      <c r="B6" s="23" t="n">
        <v>19.524</v>
      </c>
      <c r="C6" s="23" t="n">
        <v>52.087</v>
      </c>
      <c r="D6" s="23" t="n">
        <v>58.133</v>
      </c>
      <c r="E6" s="23" t="n">
        <v>82.786</v>
      </c>
      <c r="F6" s="23" t="n">
        <v>70.705</v>
      </c>
      <c r="G6" s="23" t="n">
        <v>68.511</v>
      </c>
      <c r="H6" s="23" t="n">
        <v>33.986</v>
      </c>
      <c r="I6" s="23" t="n">
        <v>25.932</v>
      </c>
      <c r="J6" s="23" t="n">
        <v>31.937</v>
      </c>
      <c r="K6" s="23" t="n">
        <v>31.398</v>
      </c>
      <c r="L6" s="23" t="n">
        <v>36.01</v>
      </c>
    </row>
    <row r="7">
      <c r="A7" s="2" t="inlineStr">
        <is>
          <t>Operating Expense</t>
        </is>
      </c>
      <c r="B7" s="23">
        <f>SUM(B5:B6)</f>
        <v>58.048</v>
      </c>
      <c r="C7" s="23">
        <f>SUM(C5:C6)</f>
        <v>140.792</v>
      </c>
      <c r="D7" s="23">
        <f>SUM(D5:D6)</f>
        <v>176.55100000000002</v>
      </c>
      <c r="E7" s="23">
        <f>SUM(E5:E6)</f>
        <v>203.386</v>
      </c>
      <c r="F7" s="23">
        <f>SUM(F5:F6)</f>
        <v>185.808</v>
      </c>
      <c r="G7" s="23">
        <f>SUM(G5:G6)</f>
        <v>170.118</v>
      </c>
      <c r="H7" s="23">
        <f>SUM(H5:H6)</f>
        <v>104.322</v>
      </c>
      <c r="I7" s="23">
        <f>SUM(I5:I6)</f>
        <v>101.47500000000001</v>
      </c>
      <c r="J7" s="23">
        <f>SUM(J5:J6)</f>
        <v>92.16</v>
      </c>
      <c r="K7" s="23">
        <f>SUM(K5:K6)</f>
        <v>120.74</v>
      </c>
      <c r="L7" s="23">
        <f>SUM(L5:L6)</f>
        <v>152.692</v>
      </c>
    </row>
    <row r="8">
      <c r="A8" s="2" t="inlineStr">
        <is>
          <t>Operating Income</t>
        </is>
      </c>
      <c r="B8" s="23">
        <f>B4-B7</f>
        <v>-51.253</v>
      </c>
      <c r="C8" s="23">
        <f>C4-C7</f>
        <v>-130.57</v>
      </c>
      <c r="D8" s="23">
        <f>D4-D7</f>
        <v>-163.15</v>
      </c>
      <c r="E8" s="23">
        <f>E4-E7</f>
        <v>-187.027</v>
      </c>
      <c r="F8" s="23">
        <f>F4-F7</f>
        <v>-171.023</v>
      </c>
      <c r="G8" s="23">
        <f>G4-G7</f>
        <v>-158.84199999999998</v>
      </c>
      <c r="H8" s="23">
        <f>H4-H7</f>
        <v>-98.614</v>
      </c>
      <c r="I8" s="23">
        <f>I4-I7</f>
        <v>-96.63100000000001</v>
      </c>
      <c r="J8" s="23">
        <f>J4-J7</f>
        <v>-76.432</v>
      </c>
      <c r="K8" s="23">
        <f>K4-K7</f>
        <v>-116.589</v>
      </c>
      <c r="L8" s="23">
        <f>L4-L7</f>
        <v>-147.056</v>
      </c>
    </row>
    <row r="9">
      <c r="A9" s="19" t="inlineStr">
        <is>
          <t>Interest &amp; Other</t>
        </is>
      </c>
      <c r="B9" s="23" t="n">
        <v>0</v>
      </c>
      <c r="C9" s="23" t="n">
        <v>1.688</v>
      </c>
      <c r="D9" s="23" t="n">
        <v>-3.048</v>
      </c>
      <c r="E9" s="23" t="n">
        <v>0.159</v>
      </c>
      <c r="F9" s="23" t="n">
        <v>-0.378</v>
      </c>
      <c r="G9" s="23" t="n">
        <v>-0.723</v>
      </c>
      <c r="H9" s="23" t="n">
        <v>0.424</v>
      </c>
      <c r="I9" s="23" t="n">
        <v>192.975</v>
      </c>
      <c r="J9" s="23" t="n">
        <v>3.729</v>
      </c>
      <c r="K9" s="23" t="n">
        <v>2.726</v>
      </c>
      <c r="L9" s="23" t="n">
        <v>0.6</v>
      </c>
    </row>
    <row r="10">
      <c r="A10" s="2" t="inlineStr">
        <is>
          <t>Pretax</t>
        </is>
      </c>
      <c r="B10" s="23">
        <f>B8+B9</f>
        <v>-51.253</v>
      </c>
      <c r="C10" s="23">
        <f>C8+C9</f>
        <v>-128.882</v>
      </c>
      <c r="D10" s="23">
        <f>D8+D9</f>
        <v>-166.198</v>
      </c>
      <c r="E10" s="23">
        <f>E8+E9</f>
        <v>-186.868</v>
      </c>
      <c r="F10" s="23">
        <f>F8+F9</f>
        <v>-171.40099999999998</v>
      </c>
      <c r="G10" s="23">
        <f>G8+G9</f>
        <v>-159.565</v>
      </c>
      <c r="H10" s="23">
        <f>H8+H9</f>
        <v>-98.19</v>
      </c>
      <c r="I10" s="23">
        <f>I8+I9</f>
        <v>96.34399999999998</v>
      </c>
      <c r="J10" s="23">
        <f>J8+J9</f>
        <v>-72.703</v>
      </c>
      <c r="K10" s="23">
        <f>K8+K9</f>
        <v>-113.863</v>
      </c>
      <c r="L10" s="23">
        <f>L8+L9</f>
        <v>-146.45600000000002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0.001</v>
      </c>
      <c r="E11" s="23" t="n">
        <v>0.017</v>
      </c>
      <c r="F11" s="23" t="n">
        <v>0.61</v>
      </c>
      <c r="G11" s="23" t="n">
        <v>-0.01</v>
      </c>
      <c r="H11" s="23" t="n">
        <v>-0.381</v>
      </c>
      <c r="I11" s="23" t="n">
        <v>0.07000000000000001</v>
      </c>
      <c r="J11" s="23" t="n">
        <v>0.007</v>
      </c>
      <c r="K11" s="23" t="n">
        <v>0.055</v>
      </c>
      <c r="L11" s="23" t="n">
        <v>0.491</v>
      </c>
    </row>
    <row r="12">
      <c r="A12" s="2" t="inlineStr">
        <is>
          <t>Net Income</t>
        </is>
      </c>
      <c r="B12" s="23" t="n">
        <v>-51.253</v>
      </c>
      <c r="C12" s="23" t="n">
        <v>-128.882</v>
      </c>
      <c r="D12" s="23" t="n">
        <v>-166.199</v>
      </c>
      <c r="E12" s="23" t="n">
        <v>-186.886</v>
      </c>
      <c r="F12" s="23" t="n">
        <v>-172.011</v>
      </c>
      <c r="G12" s="23" t="n">
        <v>-159.555</v>
      </c>
      <c r="H12" s="23" t="n">
        <v>-97.809</v>
      </c>
      <c r="I12" s="23" t="n">
        <v>96.274</v>
      </c>
      <c r="J12" s="23" t="n">
        <v>-72.70999999999999</v>
      </c>
      <c r="K12" s="23" t="n">
        <v>-113.918</v>
      </c>
      <c r="L12" s="23" t="n">
        <v>-146.947</v>
      </c>
    </row>
    <row r="13">
      <c r="A13" s="2" t="inlineStr">
        <is>
          <t>Earnings per Share</t>
        </is>
      </c>
      <c r="B13" s="11">
        <f>IFERROR(B12/B14,0)</f>
        <v>-1.8401910096222893</v>
      </c>
      <c r="C13" s="11">
        <f>IFERROR(C12/C14,0)</f>
        <v>-4.072487123582015</v>
      </c>
      <c r="D13" s="11">
        <f>IFERROR(D12/D14,0)</f>
        <v>-5.249660444107521</v>
      </c>
      <c r="E13" s="11">
        <f>IFERROR(E12/E14,0)</f>
        <v>-5.052611657834974</v>
      </c>
      <c r="F13" s="11">
        <f>IFERROR(F12/F14,0)</f>
        <v>-4.648066581998001</v>
      </c>
      <c r="G13" s="11">
        <f>IFERROR(G12/G14,0)</f>
        <v>-2.9496422827352893</v>
      </c>
      <c r="H13" s="11">
        <f>IFERROR(H12/H14,0)</f>
        <v>-1.7810331955496475</v>
      </c>
      <c r="I13" s="11">
        <f>IFERROR(I12/I14,0)</f>
        <v>1.2441073090044454</v>
      </c>
      <c r="J13" s="11">
        <f>IFERROR(J12/J14,0)</f>
        <v>-0.7643948234354138</v>
      </c>
      <c r="K13" s="11">
        <f>IFERROR(K12/K14,0)</f>
        <v>-1.1744729109747925</v>
      </c>
      <c r="L13" s="11">
        <f>IFERROR(L12/L14,0)</f>
        <v>-1.0528250247180706</v>
      </c>
    </row>
    <row r="14">
      <c r="A14" s="2" t="inlineStr">
        <is>
          <t>Shares</t>
        </is>
      </c>
      <c r="B14" s="23" t="n">
        <v>27.852</v>
      </c>
      <c r="C14" s="23" t="n">
        <v>31.647</v>
      </c>
      <c r="D14" s="23" t="n">
        <v>31.659</v>
      </c>
      <c r="E14" s="23" t="n">
        <v>36.988</v>
      </c>
      <c r="F14" s="23" t="n">
        <v>37.007</v>
      </c>
      <c r="G14" s="23" t="n">
        <v>54.093</v>
      </c>
      <c r="H14" s="23" t="n">
        <v>54.917</v>
      </c>
      <c r="I14" s="23" t="n">
        <v>77.384</v>
      </c>
      <c r="J14" s="23" t="n">
        <v>95.121</v>
      </c>
      <c r="K14" s="23" t="n">
        <v>96.995</v>
      </c>
      <c r="L14" s="23" t="n">
        <v>139.574</v>
      </c>
    </row>
    <row r="15"/>
    <row r="16" customFormat="1" s="4">
      <c r="A16" s="3" t="inlineStr">
        <is>
          <t>Revenue Change</t>
        </is>
      </c>
      <c r="C16" s="15">
        <f>IFERROR(C2/B2-1,"")</f>
        <v>0.4731229283758467</v>
      </c>
      <c r="D16" s="15">
        <f>IFERROR(D2/C2-1,"")</f>
        <v>0.31099589121502635</v>
      </c>
      <c r="E16" s="15">
        <f>IFERROR(E2/D2-1,"")</f>
        <v>0.22072979628385947</v>
      </c>
      <c r="F16" s="15">
        <f>IFERROR(F2/E2-1,"")</f>
        <v>-0.09621615013142626</v>
      </c>
      <c r="G16" s="15">
        <f>IFERROR(G2/F2-1,"")</f>
        <v>-0.23733513696313835</v>
      </c>
      <c r="H16" s="15">
        <f>IFERROR(H2/G2-1,"")</f>
        <v>-0.4937921248669741</v>
      </c>
      <c r="I16" s="15">
        <f>IFERROR(I2/H2-1,"")</f>
        <v>-0.15136650315346878</v>
      </c>
      <c r="J16" s="15">
        <f>IFERROR(J2/I2-1,"")</f>
        <v>2.246903385631709</v>
      </c>
      <c r="K16" s="15">
        <f>IFERROR(K2/J2-1,"")</f>
        <v>-0.7360757884028484</v>
      </c>
      <c r="L16" s="15">
        <f>IFERROR(L2/K2-1,"")</f>
        <v>0.3577451216574321</v>
      </c>
    </row>
    <row r="17" customFormat="1" s="4">
      <c r="A17" s="3" t="inlineStr">
        <is>
          <t>Gross Margin</t>
        </is>
      </c>
      <c r="B17" s="15">
        <f>IFERROR(B4/B2,"")</f>
        <v>0.9792477302204928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>-7.386222798674161</v>
      </c>
      <c r="C18" s="15">
        <f>IFERROR(C8/C2,"")</f>
        <v>-12.773429857170807</v>
      </c>
      <c r="D18" s="15">
        <f>IFERROR(D8/D2,"")</f>
        <v>-12.174464592194614</v>
      </c>
      <c r="E18" s="15">
        <f>IFERROR(E8/E2,"")</f>
        <v>-11.43266703343725</v>
      </c>
      <c r="F18" s="15">
        <f>IFERROR(F8/F2,"")</f>
        <v>-11.567331755157253</v>
      </c>
      <c r="G18" s="15">
        <f>IFERROR(G8/G2,"")</f>
        <v>-14.086732884001417</v>
      </c>
      <c r="H18" s="15">
        <f>IFERROR(H8/H2,"")</f>
        <v>-17.27645409950946</v>
      </c>
      <c r="I18" s="15">
        <f>IFERROR(I8/I2,"")</f>
        <v>-19.948596201486378</v>
      </c>
      <c r="J18" s="15">
        <f>IFERROR(J8/J2,"")</f>
        <v>-4.859613428280773</v>
      </c>
      <c r="K18" s="15">
        <f>IFERROR(K8/K2,"")</f>
        <v>-28.086966995904604</v>
      </c>
      <c r="L18" s="15">
        <f>IFERROR(L8/L2,"")</f>
        <v>-26.092264017033358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Dbv Technologies SA: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0.647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177.856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1296.2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324.9021992804123</v>
      </c>
      <c r="C29" s="42">
        <f>NPV!B25</f>
        <v>499.8021992804123</v>
      </c>
      <c r="D29" s="43">
        <f>NPV!B27</f>
        <v>8.440851045220723</v>
      </c>
      <c r="E29" s="44">
        <f>NPV!B29</f>
        <v>-0.10961486864760306</v>
      </c>
    </row>
    <row r="30">
      <c r="A30" s="45" t="n">
        <v>1</v>
      </c>
      <c r="B30" s="46">
        <f t="dataTable" ref="B30:E32" r1="B4"/>
        <v>-136.83664518330457</v>
      </c>
      <c r="C30" s="46">
        <v>38.06335481669544</v>
      </c>
      <c r="D30" s="47">
        <v>0.6428285204660612</v>
      </c>
      <c r="E30" s="48">
        <v>-0.9321910843390231</v>
      </c>
    </row>
    <row r="31">
      <c r="A31" s="45" t="n">
        <v>2</v>
      </c>
      <c r="B31" s="46">
        <v>324.9021992804123</v>
      </c>
      <c r="C31" s="46">
        <v>499.8021992804123</v>
      </c>
      <c r="D31" s="47">
        <v>8.440851045220723</v>
      </c>
      <c r="E31" s="48">
        <v>-0.10961486864760306</v>
      </c>
    </row>
    <row r="32">
      <c r="A32" s="45" t="n">
        <v>3</v>
      </c>
      <c r="B32" s="46">
        <v>982.4701944553527</v>
      </c>
      <c r="C32" s="46">
        <v>1157.3701944553527</v>
      </c>
      <c r="D32" s="47">
        <v>19.54611130091247</v>
      </c>
      <c r="E32" s="48">
        <v>1.0618260865941425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8.440851045220723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-0.8741186999729597</v>
      </c>
      <c r="C37" s="47">
        <v>1.4769743408815772</v>
      </c>
      <c r="D37" s="47">
        <v>3.828067381736116</v>
      </c>
      <c r="E37" s="47">
        <v>8.250501708592084</v>
      </c>
      <c r="F37" s="47">
        <v>12.274008484489393</v>
      </c>
    </row>
    <row r="38">
      <c r="A38" s="50" t="n">
        <v>0.8</v>
      </c>
      <c r="B38" s="47">
        <v>0.031773778728686565</v>
      </c>
      <c r="C38" s="47">
        <v>3.16656449986807</v>
      </c>
      <c r="D38" s="47">
        <v>6.277545629764322</v>
      </c>
      <c r="E38" s="47">
        <v>11.701156611434751</v>
      </c>
      <c r="F38" s="47">
        <v>16.932137147925477</v>
      </c>
    </row>
    <row r="39">
      <c r="A39" s="50" t="n">
        <v>1</v>
      </c>
      <c r="B39" s="47">
        <v>0.9376662574303318</v>
      </c>
      <c r="C39" s="47">
        <v>4.856154658854562</v>
      </c>
      <c r="D39" s="47">
        <v>8.440851045220723</v>
      </c>
      <c r="E39" s="47">
        <v>15.074849168133639</v>
      </c>
      <c r="F39" s="47">
        <v>21.51988327768039</v>
      </c>
    </row>
    <row r="40">
      <c r="A40" s="50" t="n">
        <v>1.2</v>
      </c>
      <c r="B40" s="47">
        <v>1.8435587361319787</v>
      </c>
      <c r="C40" s="47">
        <v>6.4737545375569985</v>
      </c>
      <c r="D40" s="47">
        <v>10.554251452788499</v>
      </c>
      <c r="E40" s="47">
        <v>18.397605546415058</v>
      </c>
      <c r="F40" s="47">
        <v>26.07440927564017</v>
      </c>
    </row>
    <row r="41">
      <c r="A41" s="50" t="n">
        <v>1.4</v>
      </c>
      <c r="B41" s="47">
        <v>2.749451214833623</v>
      </c>
      <c r="C41" s="47">
        <v>7.944712812154693</v>
      </c>
      <c r="D41" s="47">
        <v>12.632493056937948</v>
      </c>
      <c r="E41" s="47">
        <v>21.691302250235253</v>
      </c>
      <c r="F41" s="47">
        <v>30.58727796980675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Dbv Technologies SA: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Eosinophilic / allergy</t>
        </is>
      </c>
      <c r="C4" s="14" t="inlineStr">
        <is>
          <t>DBV712 250 mcg, DBV712</t>
        </is>
      </c>
      <c r="D4" s="14" t="inlineStr">
        <is>
          <t>Phase 3</t>
        </is>
      </c>
      <c r="E4" s="14" t="inlineStr">
        <is>
          <t>Allergy / area</t>
        </is>
      </c>
      <c r="F4" s="14" t="inlineStr">
        <is>
          <t>Owned</t>
        </is>
      </c>
      <c r="G4" s="40" t="n">
        <v>1000</v>
      </c>
      <c r="H4" s="27" t="n">
        <v>0.647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928.0908336822351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64.7</v>
      </c>
      <c r="Q4" s="23">
        <f>IF(Q$3&lt;$I4,0,$G4*Assumptions!$E$11*INDEX(Assumptions!$B$24:$G$24,MIN(6,Q$3-$I4+1))*IF(Q$3&gt;$J4,(1-Assumptions!$B$26)^(Q$3-$J4),1)*IF($H4&gt;=1,1,MIN(0.97,$H4*Assumptions!$E$12)))</f>
        <v>161.75</v>
      </c>
      <c r="R4" s="23">
        <f>IF(R$3&lt;$I4,0,$G4*Assumptions!$E$11*INDEX(Assumptions!$B$24:$G$24,MIN(6,R$3-$I4+1))*IF(R$3&gt;$J4,(1-Assumptions!$B$26)^(R$3-$J4),1)*IF($H4&gt;=1,1,MIN(0.97,$H4*Assumptions!$E$12)))</f>
        <v>291.15000000000003</v>
      </c>
      <c r="S4" s="23">
        <f>IF(S$3&lt;$I4,0,$G4*Assumptions!$E$11*INDEX(Assumptions!$B$24:$G$24,MIN(6,S$3-$I4+1))*IF(S$3&gt;$J4,(1-Assumptions!$B$26)^(S$3-$J4),1)*IF($H4&gt;=1,1,MIN(0.97,$H4*Assumptions!$E$12)))</f>
        <v>420.55</v>
      </c>
      <c r="T4" s="23">
        <f>IF(T$3&lt;$I4,0,$G4*Assumptions!$E$11*INDEX(Assumptions!$B$24:$G$24,MIN(6,T$3-$I4+1))*IF(T$3&gt;$J4,(1-Assumptions!$B$26)^(T$3-$J4),1)*IF($H4&gt;=1,1,MIN(0.97,$H4*Assumptions!$E$12)))</f>
        <v>549.95</v>
      </c>
      <c r="U4" s="23">
        <f>IF(U$3&lt;$I4,0,$G4*Assumptions!$E$11*INDEX(Assumptions!$B$24:$G$24,MIN(6,U$3-$I4+1))*IF(U$3&gt;$J4,(1-Assumptions!$B$26)^(U$3-$J4),1)*IF($H4&gt;=1,1,MIN(0.97,$H4*Assumptions!$E$12)))</f>
        <v>647.0</v>
      </c>
      <c r="V4" s="23">
        <f>IF(V$3&lt;$I4,0,$G4*Assumptions!$E$11*INDEX(Assumptions!$B$24:$G$24,MIN(6,V$3-$I4+1))*IF(V$3&gt;$J4,(1-Assumptions!$B$26)^(V$3-$J4),1)*IF($H4&gt;=1,1,MIN(0.97,$H4*Assumptions!$E$12)))</f>
        <v>647.0</v>
      </c>
      <c r="W4" s="23">
        <f>IF(W$3&lt;$I4,0,$G4*Assumptions!$E$11*INDEX(Assumptions!$B$24:$G$24,MIN(6,W$3-$I4+1))*IF(W$3&gt;$J4,(1-Assumptions!$B$26)^(W$3-$J4),1)*IF($H4&gt;=1,1,MIN(0.97,$H4*Assumptions!$E$12)))</f>
        <v>647.0</v>
      </c>
      <c r="X4" s="23">
        <f>IF(X$3&lt;$I4,0,$G4*Assumptions!$E$11*INDEX(Assumptions!$B$24:$G$24,MIN(6,X$3-$I4+1))*IF(X$3&gt;$J4,(1-Assumptions!$B$26)^(X$3-$J4),1)*IF($H4&gt;=1,1,MIN(0.97,$H4*Assumptions!$E$12)))</f>
        <v>647.0</v>
      </c>
      <c r="Y4" s="23">
        <f>IF(Y$3&lt;$I4,0,$G4*Assumptions!$E$11*INDEX(Assumptions!$B$24:$G$24,MIN(6,Y$3-$I4+1))*IF(Y$3&gt;$J4,(1-Assumptions!$B$26)^(Y$3-$J4),1)*IF($H4&gt;=1,1,MIN(0.97,$H4*Assumptions!$E$12)))</f>
        <v>647.0</v>
      </c>
      <c r="Z4" s="23">
        <f>IF(Z$3&lt;$I4,0,$G4*Assumptions!$E$11*INDEX(Assumptions!$B$24:$G$24,MIN(6,Z$3-$I4+1))*IF(Z$3&gt;$J4,(1-Assumptions!$B$26)^(Z$3-$J4),1)*IF($H4&gt;=1,1,MIN(0.97,$H4*Assumptions!$E$12)))</f>
        <v>647.0</v>
      </c>
      <c r="AA4" s="23">
        <f>IF(AA$3&lt;$I4,0,$G4*Assumptions!$E$11*INDEX(Assumptions!$B$24:$G$24,MIN(6,AA$3-$I4+1))*IF(AA$3&gt;$J4,(1-Assumptions!$B$26)^(AA$3-$J4),1)*IF($H4&gt;=1,1,MIN(0.97,$H4*Assumptions!$E$12)))</f>
        <v>647.0</v>
      </c>
      <c r="AB4" s="23">
        <f>IF(AB$3&lt;$I4,0,$G4*Assumptions!$E$11*INDEX(Assumptions!$B$24:$G$24,MIN(6,AB$3-$I4+1))*IF(AB$3&gt;$J4,(1-Assumptions!$B$26)^(AB$3-$J4),1)*IF($H4&gt;=1,1,MIN(0.97,$H4*Assumptions!$E$12)))</f>
        <v>647.0</v>
      </c>
      <c r="AC4" s="23">
        <f>IF(AC$3&lt;$I4,0,$G4*Assumptions!$E$11*INDEX(Assumptions!$B$24:$G$24,MIN(6,AC$3-$I4+1))*IF(AC$3&gt;$J4,(1-Assumptions!$B$26)^(AC$3-$J4),1)*IF($H4&gt;=1,1,MIN(0.97,$H4*Assumptions!$E$12)))</f>
        <v>323.5</v>
      </c>
      <c r="AD4" s="23">
        <f>IF(AD$3&lt;$I4,0,$G4*Assumptions!$E$11*INDEX(Assumptions!$B$24:$G$24,MIN(6,AD$3-$I4+1))*IF(AD$3&gt;$J4,(1-Assumptions!$B$26)^(AD$3-$J4),1)*IF($H4&gt;=1,1,MIN(0.97,$H4*Assumptions!$E$12)))</f>
        <v>161.75</v>
      </c>
      <c r="AE4" s="23">
        <f>IF(AE$3&lt;$I4,0,$G4*Assumptions!$E$11*INDEX(Assumptions!$B$24:$G$24,MIN(6,AE$3-$I4+1))*IF(AE$3&gt;$J4,(1-Assumptions!$B$26)^(AE$3-$J4),1)*IF($H4&gt;=1,1,MIN(0.97,$H4*Assumptions!$E$12)))</f>
        <v>80.875</v>
      </c>
      <c r="AF4" s="23">
        <f>IF(AF$3&lt;$I4,0,$G4*Assumptions!$E$11*INDEX(Assumptions!$B$24:$G$24,MIN(6,AF$3-$I4+1))*IF(AF$3&gt;$J4,(1-Assumptions!$B$26)^(AF$3-$J4),1)*IF($H4&gt;=1,1,MIN(0.97,$H4*Assumptions!$E$12)))</f>
        <v>40.4375</v>
      </c>
      <c r="AG4" s="35">
        <f>IF(F4="Owned",1-IF(H4&gt;=1,1,MIN(0.97,H4*Assumptions!$E$12)),1)</f>
        <v>0.353</v>
      </c>
    </row>
    <row r="5">
      <c r="B5" s="24" t="inlineStr">
        <is>
          <t>Risked revenue</t>
        </is>
      </c>
      <c r="L5" s="54">
        <f>SUM(L4:L4)</f>
        <v>928.0908336822351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64.7</v>
      </c>
      <c r="Q5" s="54">
        <f>SUM(Q4:Q4)</f>
        <v>161.75</v>
      </c>
      <c r="R5" s="54">
        <f>SUM(R4:R4)</f>
        <v>291.15000000000003</v>
      </c>
      <c r="S5" s="54">
        <f>SUM(S4:S4)</f>
        <v>420.55</v>
      </c>
      <c r="T5" s="54">
        <f>SUM(T4:T4)</f>
        <v>549.95</v>
      </c>
      <c r="U5" s="54">
        <f>SUM(U4:U4)</f>
        <v>647.0</v>
      </c>
      <c r="V5" s="54">
        <f>SUM(V4:V4)</f>
        <v>647.0</v>
      </c>
      <c r="W5" s="54">
        <f>SUM(W4:W4)</f>
        <v>647.0</v>
      </c>
      <c r="X5" s="54">
        <f>SUM(X4:X4)</f>
        <v>647.0</v>
      </c>
      <c r="Y5" s="54">
        <f>SUM(Y4:Y4)</f>
        <v>647.0</v>
      </c>
      <c r="Z5" s="54">
        <f>SUM(Z4:Z4)</f>
        <v>647.0</v>
      </c>
      <c r="AA5" s="54">
        <f>SUM(AA4:AA4)</f>
        <v>647.0</v>
      </c>
      <c r="AB5" s="54">
        <f>SUM(AB4:AB4)</f>
        <v>647.0</v>
      </c>
      <c r="AC5" s="54">
        <f>SUM(AC4:AC4)</f>
        <v>323.5</v>
      </c>
      <c r="AD5" s="54">
        <f>SUM(AD4:AD4)</f>
        <v>161.75</v>
      </c>
      <c r="AE5" s="54">
        <f>SUM(AE4:AE4)</f>
        <v>80.875</v>
      </c>
      <c r="AF5" s="54">
        <f>SUM(AF4:AF4)</f>
        <v>40.4375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25.880000000000003</v>
      </c>
      <c r="Q6" s="55">
        <f>SUMPRODUCT(Q4:Q4,$K$4:$K$4)</f>
        <v>64.7</v>
      </c>
      <c r="R6" s="55">
        <f>SUMPRODUCT(R4:R4,$K$4:$K$4)</f>
        <v>116.46000000000002</v>
      </c>
      <c r="S6" s="55">
        <f>SUMPRODUCT(S4:S4,$K$4:$K$4)</f>
        <v>168.22000000000003</v>
      </c>
      <c r="T6" s="55">
        <f>SUMPRODUCT(T4:T4,$K$4:$K$4)</f>
        <v>219.98000000000002</v>
      </c>
      <c r="U6" s="55">
        <f>SUMPRODUCT(U4:U4,$K$4:$K$4)</f>
        <v>258.8</v>
      </c>
      <c r="V6" s="55">
        <f>SUMPRODUCT(V4:V4,$K$4:$K$4)</f>
        <v>258.8</v>
      </c>
      <c r="W6" s="55">
        <f>SUMPRODUCT(W4:W4,$K$4:$K$4)</f>
        <v>258.8</v>
      </c>
      <c r="X6" s="55">
        <f>SUMPRODUCT(X4:X4,$K$4:$K$4)</f>
        <v>258.8</v>
      </c>
      <c r="Y6" s="55">
        <f>SUMPRODUCT(Y4:Y4,$K$4:$K$4)</f>
        <v>258.8</v>
      </c>
      <c r="Z6" s="55">
        <f>SUMPRODUCT(Z4:Z4,$K$4:$K$4)</f>
        <v>258.8</v>
      </c>
      <c r="AA6" s="55">
        <f>SUMPRODUCT(AA4:AA4,$K$4:$K$4)</f>
        <v>258.8</v>
      </c>
      <c r="AB6" s="55">
        <f>SUMPRODUCT(AB4:AB4,$K$4:$K$4)</f>
        <v>258.8</v>
      </c>
      <c r="AC6" s="55">
        <f>SUMPRODUCT(AC4:AC4,$K$4:$K$4)</f>
        <v>129.4</v>
      </c>
      <c r="AD6" s="55">
        <f>SUMPRODUCT(AD4:AD4,$K$4:$K$4)</f>
        <v>64.7</v>
      </c>
      <c r="AE6" s="55">
        <f>SUMPRODUCT(AE4:AE4,$K$4:$K$4)</f>
        <v>32.35</v>
      </c>
      <c r="AF6" s="55">
        <f>SUMPRODUCT(AF4:AF4,$K$4:$K$4)</f>
        <v>16.175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Dbv Technologies SA: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64.7</v>
      </c>
      <c r="G4" s="57">
        <f>Pipeline!Q5</f>
        <v>161.75</v>
      </c>
      <c r="H4" s="57">
        <f>Pipeline!R5</f>
        <v>291.15000000000003</v>
      </c>
      <c r="I4" s="57">
        <f>Pipeline!S5</f>
        <v>420.55</v>
      </c>
      <c r="J4" s="57">
        <f>Pipeline!T5</f>
        <v>549.95</v>
      </c>
      <c r="K4" s="57">
        <f>Pipeline!U5</f>
        <v>647.0</v>
      </c>
      <c r="L4" s="57">
        <f>Pipeline!V5</f>
        <v>647.0</v>
      </c>
      <c r="M4" s="57">
        <f>Pipeline!W5</f>
        <v>647.0</v>
      </c>
      <c r="N4" s="57">
        <f>Pipeline!X5</f>
        <v>647.0</v>
      </c>
      <c r="O4" s="57">
        <f>Pipeline!Y5</f>
        <v>647.0</v>
      </c>
      <c r="P4" s="57">
        <f>Pipeline!Z5</f>
        <v>647.0</v>
      </c>
      <c r="Q4" s="57">
        <f>Pipeline!AA5</f>
        <v>647.0</v>
      </c>
      <c r="R4" s="57">
        <f>Pipeline!AB5</f>
        <v>647.0</v>
      </c>
      <c r="S4" s="57">
        <f>Pipeline!AC5</f>
        <v>323.5</v>
      </c>
      <c r="T4" s="57">
        <f>Pipeline!AD5</f>
        <v>161.75</v>
      </c>
      <c r="U4" s="57">
        <f>Pipeline!AE5</f>
        <v>80.875</v>
      </c>
      <c r="V4" s="57">
        <f>Pipeline!AF5</f>
        <v>40.4375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25.880000000000003</v>
      </c>
      <c r="G5" s="57">
        <f>Pipeline!Q6</f>
        <v>64.7</v>
      </c>
      <c r="H5" s="57">
        <f>Pipeline!R6</f>
        <v>116.46000000000002</v>
      </c>
      <c r="I5" s="57">
        <f>Pipeline!S6</f>
        <v>168.22000000000003</v>
      </c>
      <c r="J5" s="57">
        <f>Pipeline!T6</f>
        <v>219.98000000000002</v>
      </c>
      <c r="K5" s="57">
        <f>Pipeline!U6</f>
        <v>258.8</v>
      </c>
      <c r="L5" s="57">
        <f>Pipeline!V6</f>
        <v>258.8</v>
      </c>
      <c r="M5" s="57">
        <f>Pipeline!W6</f>
        <v>258.8</v>
      </c>
      <c r="N5" s="57">
        <f>Pipeline!X6</f>
        <v>258.8</v>
      </c>
      <c r="O5" s="57">
        <f>Pipeline!Y6</f>
        <v>258.8</v>
      </c>
      <c r="P5" s="57">
        <f>Pipeline!Z6</f>
        <v>258.8</v>
      </c>
      <c r="Q5" s="57">
        <f>Pipeline!AA6</f>
        <v>258.8</v>
      </c>
      <c r="R5" s="57">
        <f>Pipeline!AB6</f>
        <v>258.8</v>
      </c>
      <c r="S5" s="57">
        <f>Pipeline!AC6</f>
        <v>129.4</v>
      </c>
      <c r="T5" s="57">
        <f>Pipeline!AD6</f>
        <v>64.7</v>
      </c>
      <c r="U5" s="57">
        <f>Pipeline!AE6</f>
        <v>32.35</v>
      </c>
      <c r="V5" s="57">
        <f>Pipeline!AF6</f>
        <v>16.175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-177.856</v>
      </c>
      <c r="D6" s="23">
        <f>-IF(D3-2026&lt;Assumptions!$B$19,Assumptions!$B$18,Assumptions!$B$18*Assumptions!$B$20*Assumptions!$B$16)</f>
        <v>-177.856</v>
      </c>
      <c r="E6" s="23">
        <f>-IF(E3-2026&lt;Assumptions!$B$19,Assumptions!$B$18,Assumptions!$B$18*Assumptions!$B$20*Assumptions!$B$16)</f>
        <v>-177.856</v>
      </c>
      <c r="F6" s="23">
        <f>-IF(F3-2026&lt;Assumptions!$B$19,Assumptions!$B$18,Assumptions!$B$18*Assumptions!$B$20*Assumptions!$B$16)</f>
        <v>-34.5218496</v>
      </c>
      <c r="G6" s="23">
        <f>-IF(G3-2026&lt;Assumptions!$B$19,Assumptions!$B$18,Assumptions!$B$18*Assumptions!$B$20*Assumptions!$B$16)</f>
        <v>-34.5218496</v>
      </c>
      <c r="H6" s="23">
        <f>-IF(H3-2026&lt;Assumptions!$B$19,Assumptions!$B$18,Assumptions!$B$18*Assumptions!$B$20*Assumptions!$B$16)</f>
        <v>-34.5218496</v>
      </c>
      <c r="I6" s="23">
        <f>-IF(I3-2026&lt;Assumptions!$B$19,Assumptions!$B$18,Assumptions!$B$18*Assumptions!$B$20*Assumptions!$B$16)</f>
        <v>-34.5218496</v>
      </c>
      <c r="J6" s="23">
        <f>-IF(J3-2026&lt;Assumptions!$B$19,Assumptions!$B$18,Assumptions!$B$18*Assumptions!$B$20*Assumptions!$B$16)</f>
        <v>-34.5218496</v>
      </c>
      <c r="K6" s="23">
        <f>-IF(K3-2026&lt;Assumptions!$B$19,Assumptions!$B$18,Assumptions!$B$18*Assumptions!$B$20*Assumptions!$B$16)</f>
        <v>-34.5218496</v>
      </c>
      <c r="L6" s="23">
        <f>-IF(L3-2026&lt;Assumptions!$B$19,Assumptions!$B$18,Assumptions!$B$18*Assumptions!$B$20*Assumptions!$B$16)</f>
        <v>-34.5218496</v>
      </c>
      <c r="M6" s="23">
        <f>-IF(M3-2026&lt;Assumptions!$B$19,Assumptions!$B$18,Assumptions!$B$18*Assumptions!$B$20*Assumptions!$B$16)</f>
        <v>-34.5218496</v>
      </c>
      <c r="N6" s="23">
        <f>-IF(N3-2026&lt;Assumptions!$B$19,Assumptions!$B$18,Assumptions!$B$18*Assumptions!$B$20*Assumptions!$B$16)</f>
        <v>-34.5218496</v>
      </c>
      <c r="O6" s="23">
        <f>-IF(O3-2026&lt;Assumptions!$B$19,Assumptions!$B$18,Assumptions!$B$18*Assumptions!$B$20*Assumptions!$B$16)</f>
        <v>-34.5218496</v>
      </c>
      <c r="P6" s="23">
        <f>-IF(P3-2026&lt;Assumptions!$B$19,Assumptions!$B$18,Assumptions!$B$18*Assumptions!$B$20*Assumptions!$B$16)</f>
        <v>-34.5218496</v>
      </c>
      <c r="Q6" s="23">
        <f>-IF(Q3-2026&lt;Assumptions!$B$19,Assumptions!$B$18,Assumptions!$B$18*Assumptions!$B$20*Assumptions!$B$16)</f>
        <v>-34.5218496</v>
      </c>
      <c r="R6" s="23">
        <f>-IF(R3-2026&lt;Assumptions!$B$19,Assumptions!$B$18,Assumptions!$B$18*Assumptions!$B$20*Assumptions!$B$16)</f>
        <v>-34.5218496</v>
      </c>
      <c r="S6" s="23">
        <f>-IF(S3-2026&lt;Assumptions!$B$19,Assumptions!$B$18,Assumptions!$B$18*Assumptions!$B$20*Assumptions!$B$16)</f>
        <v>-34.5218496</v>
      </c>
      <c r="T6" s="23">
        <f>-IF(T3-2026&lt;Assumptions!$B$19,Assumptions!$B$18,Assumptions!$B$18*Assumptions!$B$20*Assumptions!$B$16)</f>
        <v>-34.5218496</v>
      </c>
      <c r="U6" s="23">
        <f>-IF(U3-2026&lt;Assumptions!$B$19,Assumptions!$B$18,Assumptions!$B$18*Assumptions!$B$20*Assumptions!$B$16)</f>
        <v>-34.5218496</v>
      </c>
      <c r="V6" s="23">
        <f>-IF(V3-2026&lt;Assumptions!$B$19,Assumptions!$B$18,Assumptions!$B$18*Assumptions!$B$20*Assumptions!$B$16)</f>
        <v>-34.5218496</v>
      </c>
    </row>
    <row r="7">
      <c r="A7" s="14" t="inlineStr">
        <is>
          <t>Pre-tax cash flow</t>
        </is>
      </c>
      <c r="C7" s="23">
        <f>C5+C6</f>
        <v>-177.856</v>
      </c>
      <c r="D7" s="23">
        <f>D5+D6</f>
        <v>-177.856</v>
      </c>
      <c r="E7" s="23">
        <f>E5+E6</f>
        <v>-177.856</v>
      </c>
      <c r="F7" s="23">
        <f>F5+F6</f>
        <v>-8.6418496</v>
      </c>
      <c r="G7" s="23">
        <f>G5+G6</f>
        <v>30.1781504</v>
      </c>
      <c r="H7" s="23">
        <f>H5+H6</f>
        <v>81.93815040000001</v>
      </c>
      <c r="I7" s="23">
        <f>I5+I6</f>
        <v>133.69815040000003</v>
      </c>
      <c r="J7" s="23">
        <f>J5+J6</f>
        <v>185.45815040000002</v>
      </c>
      <c r="K7" s="23">
        <f>K5+K6</f>
        <v>224.27815040000002</v>
      </c>
      <c r="L7" s="23">
        <f>L5+L6</f>
        <v>224.27815040000002</v>
      </c>
      <c r="M7" s="23">
        <f>M5+M6</f>
        <v>224.27815040000002</v>
      </c>
      <c r="N7" s="23">
        <f>N5+N6</f>
        <v>224.27815040000002</v>
      </c>
      <c r="O7" s="23">
        <f>O5+O6</f>
        <v>224.27815040000002</v>
      </c>
      <c r="P7" s="23">
        <f>P5+P6</f>
        <v>224.27815040000002</v>
      </c>
      <c r="Q7" s="23">
        <f>Q5+Q6</f>
        <v>224.27815040000002</v>
      </c>
      <c r="R7" s="23">
        <f>R5+R6</f>
        <v>224.27815040000002</v>
      </c>
      <c r="S7" s="23">
        <f>S5+S6</f>
        <v>94.87815040000001</v>
      </c>
      <c r="T7" s="23">
        <f>T5+T6</f>
        <v>30.1781504</v>
      </c>
      <c r="U7" s="23">
        <f>U5+U6</f>
        <v>-2.1718496000000016</v>
      </c>
      <c r="V7" s="23">
        <f>V5+V6</f>
        <v>-18.346849600000002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30.1781504</v>
      </c>
      <c r="H8" s="23">
        <f>MIN(G17,MAX(0,H7))</f>
        <v>81.93815040000001</v>
      </c>
      <c r="I8" s="23">
        <f>MIN(H17,MAX(0,I7))</f>
        <v>133.69815040000003</v>
      </c>
      <c r="J8" s="23">
        <f>MIN(I17,MAX(0,J7))</f>
        <v>185.45815040000002</v>
      </c>
      <c r="K8" s="23">
        <f>MIN(J17,MAX(0,K7))</f>
        <v>224.27815040000002</v>
      </c>
      <c r="L8" s="23">
        <f>MIN(K17,MAX(0,L7))</f>
        <v>224.27815040000002</v>
      </c>
      <c r="M8" s="23">
        <f>MIN(L17,MAX(0,M7))</f>
        <v>224.27815040000002</v>
      </c>
      <c r="N8" s="23">
        <f>MIN(M17,MAX(0,N7))</f>
        <v>224.27815040000002</v>
      </c>
      <c r="O8" s="23">
        <f>MIN(N17,MAX(0,O7))</f>
        <v>224.27815040000002</v>
      </c>
      <c r="P8" s="23">
        <f>MIN(O17,MAX(0,P7))</f>
        <v>224.27815040000002</v>
      </c>
      <c r="Q8" s="23">
        <f>MIN(P17,MAX(0,Q7))</f>
        <v>61.46834560000008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162.80980479999994</v>
      </c>
      <c r="R9" s="23">
        <f>MAX(0,R7)-R8</f>
        <v>224.27815040000002</v>
      </c>
      <c r="S9" s="23">
        <f>MAX(0,S7)-S8</f>
        <v>94.87815040000001</v>
      </c>
      <c r="T9" s="23">
        <f>MAX(0,T7)-T8</f>
        <v>30.1781504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34.190059007999984</v>
      </c>
      <c r="R10" s="23">
        <f>R9*Assumptions!$E$15</f>
        <v>47.098411584000004</v>
      </c>
      <c r="S10" s="23">
        <f>S9*Assumptions!$E$15</f>
        <v>19.924411584</v>
      </c>
      <c r="T10" s="23">
        <f>T9*Assumptions!$E$15</f>
        <v>6.337411584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-177.856</v>
      </c>
      <c r="D11" s="55">
        <f>D7-D10</f>
        <v>-177.856</v>
      </c>
      <c r="E11" s="55">
        <f>E7-E10</f>
        <v>-177.856</v>
      </c>
      <c r="F11" s="55">
        <f>F7-F10</f>
        <v>-8.6418496</v>
      </c>
      <c r="G11" s="55">
        <f>G7-G10</f>
        <v>30.1781504</v>
      </c>
      <c r="H11" s="55">
        <f>H7-H10</f>
        <v>81.93815040000001</v>
      </c>
      <c r="I11" s="55">
        <f>I7-I10</f>
        <v>133.69815040000003</v>
      </c>
      <c r="J11" s="55">
        <f>J7-J10</f>
        <v>185.45815040000002</v>
      </c>
      <c r="K11" s="55">
        <f>K7-K10</f>
        <v>224.27815040000002</v>
      </c>
      <c r="L11" s="55">
        <f>L7-L10</f>
        <v>224.27815040000002</v>
      </c>
      <c r="M11" s="55">
        <f>M7-M10</f>
        <v>224.27815040000002</v>
      </c>
      <c r="N11" s="55">
        <f>N7-N10</f>
        <v>224.27815040000002</v>
      </c>
      <c r="O11" s="55">
        <f>O7-O10</f>
        <v>224.27815040000002</v>
      </c>
      <c r="P11" s="55">
        <f>P7-P10</f>
        <v>224.27815040000002</v>
      </c>
      <c r="Q11" s="55">
        <f>Q7-Q10</f>
        <v>190.08809139200002</v>
      </c>
      <c r="R11" s="55">
        <f>R7-R10</f>
        <v>177.179738816</v>
      </c>
      <c r="S11" s="55">
        <f>S7-S10</f>
        <v>74.95373881600001</v>
      </c>
      <c r="T11" s="55">
        <f>T7-T10</f>
        <v>23.840738815999998</v>
      </c>
      <c r="U11" s="55">
        <f>U7-U10</f>
        <v>-2.1718496000000016</v>
      </c>
      <c r="V11" s="55">
        <f>V7-V10</f>
        <v>-18.346849600000002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-87.13242789835158</v>
      </c>
      <c r="D16" s="55">
        <f>D11*D15</f>
        <v>-158.72623109916924</v>
      </c>
      <c r="E16" s="55">
        <f>E11*E15</f>
        <v>-141.71984919568678</v>
      </c>
      <c r="F16" s="55">
        <f>F11*F15</f>
        <v>-6.1482404208410895</v>
      </c>
      <c r="G16" s="55">
        <f>G11*G15</f>
        <v>19.16985085695883</v>
      </c>
      <c r="H16" s="55">
        <f>H11*H15</f>
        <v>46.472308780272535</v>
      </c>
      <c r="I16" s="55">
        <f>I11*I15</f>
        <v>67.70417794232432</v>
      </c>
      <c r="J16" s="55">
        <f>J11*J15</f>
        <v>83.85287771885679</v>
      </c>
      <c r="K16" s="55">
        <f>K11*K15</f>
        <v>90.54010433052936</v>
      </c>
      <c r="L16" s="55">
        <f>L11*L15</f>
        <v>80.83937886654407</v>
      </c>
      <c r="M16" s="55">
        <f>M11*M15</f>
        <v>72.17801684512862</v>
      </c>
      <c r="N16" s="55">
        <f>N11*N15</f>
        <v>64.44465789743626</v>
      </c>
      <c r="O16" s="55">
        <f>O11*O15</f>
        <v>57.53987312271094</v>
      </c>
      <c r="P16" s="55">
        <f>P11*P15</f>
        <v>51.374886716706186</v>
      </c>
      <c r="Q16" s="55">
        <f>Q11*Q15</f>
        <v>38.87772100355898</v>
      </c>
      <c r="R16" s="55">
        <f>R11*R15</f>
        <v>32.355038668843974</v>
      </c>
      <c r="S16" s="55">
        <f>S11*S15</f>
        <v>12.220898706207288</v>
      </c>
      <c r="T16" s="55">
        <f>T11*T15</f>
        <v>3.470655685591722</v>
      </c>
      <c r="U16" s="55">
        <f>U11*U15</f>
        <v>-0.28229523349662383</v>
      </c>
      <c r="V16" s="55">
        <f>V11*V15</f>
        <v>-2.1292040137123194</v>
      </c>
    </row>
    <row r="17">
      <c r="A17" s="14" t="inlineStr">
        <is>
          <t>Tax-loss carryforward, end of year</t>
        </is>
      </c>
      <c r="C17" s="23">
        <f>Assumptions!$B$21-C8+MAX(0,-C7)</f>
        <v>1474.056</v>
      </c>
      <c r="D17" s="23">
        <f>C17-D8+MAX(0,-D7)</f>
        <v>1651.912</v>
      </c>
      <c r="E17" s="23">
        <f>D17-E8+MAX(0,-E7)</f>
        <v>1829.768</v>
      </c>
      <c r="F17" s="23">
        <f>E17-F8+MAX(0,-F7)</f>
        <v>1838.4098496000001</v>
      </c>
      <c r="G17" s="23">
        <f>F17-G8+MAX(0,-G7)</f>
        <v>1808.2316992</v>
      </c>
      <c r="H17" s="23">
        <f>G17-H8+MAX(0,-H7)</f>
        <v>1726.2935488</v>
      </c>
      <c r="I17" s="23">
        <f>H17-I8+MAX(0,-I7)</f>
        <v>1592.5953984</v>
      </c>
      <c r="J17" s="23">
        <f>I17-J8+MAX(0,-J7)</f>
        <v>1407.137248</v>
      </c>
      <c r="K17" s="23">
        <f>J17-K8+MAX(0,-K7)</f>
        <v>1182.8590976</v>
      </c>
      <c r="L17" s="23">
        <f>K17-L8+MAX(0,-L7)</f>
        <v>958.5809472000001</v>
      </c>
      <c r="M17" s="23">
        <f>L17-M8+MAX(0,-M7)</f>
        <v>734.3027968000001</v>
      </c>
      <c r="N17" s="23">
        <f>M17-N8+MAX(0,-N7)</f>
        <v>510.0246464000001</v>
      </c>
      <c r="O17" s="23">
        <f>N17-O8+MAX(0,-O7)</f>
        <v>285.7464960000001</v>
      </c>
      <c r="P17" s="23">
        <f>O17-P8+MAX(0,-P7)</f>
        <v>61.46834560000008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2.1718496000000016</v>
      </c>
      <c r="V17" s="23">
        <f>U17-V8+MAX(0,-V7)</f>
        <v>20.518699200000004</v>
      </c>
    </row>
    <row r="19">
      <c r="A19" s="14" t="inlineStr">
        <is>
          <t>PV of risked pipeline contribution</t>
        </is>
      </c>
      <c r="B19" s="23">
        <f>SUMPRODUCT(C5:V5,C15:V15)</f>
        <v>928.0908336822353</v>
      </c>
    </row>
    <row r="20">
      <c r="A20" s="14" t="inlineStr">
        <is>
          <t>PV of corporate burn</t>
        </is>
      </c>
      <c r="B20" s="23">
        <f>SUMPRODUCT(C6:V6,C15:V15)</f>
        <v>-583.4240416688755</v>
      </c>
    </row>
    <row r="21">
      <c r="A21" s="14" t="inlineStr">
        <is>
          <t>PV of taxes</t>
        </is>
      </c>
      <c r="B21" s="23">
        <f>-SUMPRODUCT(C10:V10,C15:V15)</f>
        <v>-19.764592732947705</v>
      </c>
    </row>
    <row r="22">
      <c r="A22" s="24" t="inlineStr">
        <is>
          <t>Pipeline rNPV (operations)</t>
        </is>
      </c>
      <c r="B22" s="54">
        <f>SUM(C16:V16)</f>
        <v>324.9021992804123</v>
      </c>
    </row>
    <row r="23">
      <c r="A23" s="14" t="inlineStr">
        <is>
          <t>Cash &amp; investments</t>
        </is>
      </c>
      <c r="B23" s="57">
        <f>Main!C7</f>
        <v>174.9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499.8021992804123</v>
      </c>
    </row>
    <row r="26">
      <c r="A26" s="14" t="inlineStr">
        <is>
          <t>Shares (mm)</t>
        </is>
      </c>
      <c r="B26" s="57">
        <f>Main!C4</f>
        <v>59.21229939999999</v>
      </c>
    </row>
    <row r="27">
      <c r="A27" s="24" t="inlineStr">
        <is>
          <t>rNPV / share</t>
        </is>
      </c>
      <c r="B27" s="60">
        <f>B25/B26</f>
        <v>8.440851045220723</v>
      </c>
    </row>
    <row r="28">
      <c r="A28" s="14" t="inlineStr">
        <is>
          <t>Price</t>
        </is>
      </c>
      <c r="B28" s="61">
        <f>Main!C3</f>
        <v>9.48</v>
      </c>
    </row>
    <row r="29">
      <c r="A29" s="14" t="inlineStr">
        <is>
          <t>Upside</t>
        </is>
      </c>
      <c r="B29" s="62">
        <f>B27/B28-1</f>
        <v>-0.10961486864760306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2026-10-21T06:24:59Z</dcterms:modified>
  <cp:lastModifiedBy>Wang, Eric</cp:lastModifiedBy>
</cp:coreProperties>
</file>