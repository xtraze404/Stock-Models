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MoonLake Immunotherapeutics</t>
        </is>
      </c>
      <c r="C2" s="10" t="n"/>
    </row>
    <row r="3">
      <c r="B3" t="inlineStr">
        <is>
          <t>Price</t>
        </is>
      </c>
      <c r="C3" s="11">
        <f>INDEX([1]Pharma!$F$1:$F$1000,MATCH("MLTX",[1]Pharma!$B$1:$B$1000,0))</f>
        <v>10.32</v>
      </c>
      <c r="F3" s="1" t="n"/>
    </row>
    <row r="4">
      <c r="B4" t="inlineStr">
        <is>
          <t>Shares</t>
        </is>
      </c>
      <c r="C4" s="21" t="n">
        <v>85.106685</v>
      </c>
      <c r="F4" s="1" t="n"/>
    </row>
    <row r="5">
      <c r="B5" t="inlineStr">
        <is>
          <t>Market Cap.</t>
        </is>
      </c>
      <c r="C5" s="13">
        <f>C3*C4</f>
        <v>878.3009892</v>
      </c>
      <c r="F5" s="1" t="n"/>
    </row>
    <row r="6"/>
    <row r="7">
      <c r="B7" t="inlineStr">
        <is>
          <t>Cash</t>
        </is>
      </c>
      <c r="C7" s="21">
        <f>477.905+59.125</f>
        <v>537.03</v>
      </c>
    </row>
    <row r="8">
      <c r="B8" t="inlineStr">
        <is>
          <t>Debt</t>
        </is>
      </c>
      <c r="C8" s="21" t="n">
        <v>99.514</v>
      </c>
    </row>
    <row r="9">
      <c r="B9" t="inlineStr">
        <is>
          <t>Enterprise V.</t>
        </is>
      </c>
      <c r="C9" s="13">
        <f>C5-C7+C8</f>
        <v>440.78498920000004</v>
      </c>
    </row>
    <row r="10"/>
    <row r="11">
      <c r="B11" s="14" t="inlineStr">
        <is>
          <t>Net Cash / Share</t>
        </is>
      </c>
      <c r="C11" s="11">
        <f>(C7-C8)/C4</f>
        <v>5.140794756604607</v>
      </c>
    </row>
    <row r="12">
      <c r="B12" s="14" t="inlineStr">
        <is>
          <t>Upside</t>
        </is>
      </c>
      <c r="C12" s="15">
        <f>IFERROR(C11/C3-1,"")</f>
        <v>-0.501860973197228</v>
      </c>
    </row>
    <row r="13">
      <c r="B13" s="14" t="inlineStr">
        <is>
          <t>Cash / Share</t>
        </is>
      </c>
      <c r="C13" s="11">
        <f>IFERROR((C7-C8)/C4,"")</f>
        <v>5.140794756604607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-225.181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1.9429525581643208</v>
      </c>
    </row>
    <row r="19">
      <c r="B19" s="14" t="inlineStr">
        <is>
          <t>Implied Pipeline Value</t>
        </is>
      </c>
      <c r="C19" s="13">
        <f>C9</f>
        <v>440.78498920000004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42.049</v>
      </c>
      <c r="D5" s="23" t="n">
        <v>31.802</v>
      </c>
      <c r="E5" s="23" t="n">
        <v>112.771</v>
      </c>
      <c r="F5" s="23" t="n">
        <v>202.862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4.57</v>
      </c>
      <c r="C6" s="23" t="n">
        <v>23.012</v>
      </c>
      <c r="D6" s="23" t="n">
        <v>22.321</v>
      </c>
      <c r="E6" s="23" t="n">
        <v>30.32</v>
      </c>
      <c r="F6" s="23" t="n">
        <v>41.972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4.57</v>
      </c>
      <c r="C7" s="23">
        <f>SUM(C5:C6)</f>
        <v>65.061</v>
      </c>
      <c r="D7" s="23">
        <f>SUM(D5:D6)</f>
        <v>54.123000000000005</v>
      </c>
      <c r="E7" s="23">
        <f>SUM(E5:E6)</f>
        <v>143.091</v>
      </c>
      <c r="F7" s="23">
        <f>SUM(F5:F6)</f>
        <v>244.834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-4.57</v>
      </c>
      <c r="C8" s="23">
        <f>C4-C7</f>
        <v>-65.061</v>
      </c>
      <c r="D8" s="23">
        <f>D4-D7</f>
        <v>-54.123000000000005</v>
      </c>
      <c r="E8" s="23">
        <f>E4-E7</f>
        <v>-143.091</v>
      </c>
      <c r="F8" s="23">
        <f>F4-F7</f>
        <v>-244.834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0.028</v>
      </c>
      <c r="C9" s="23" t="n">
        <v>15.125</v>
      </c>
      <c r="D9" s="23" t="n">
        <v>18.21</v>
      </c>
      <c r="E9" s="23" t="n">
        <v>24.437</v>
      </c>
      <c r="F9" s="23" t="n">
        <v>18.127</v>
      </c>
    </row>
    <row r="10">
      <c r="A10" s="2" t="inlineStr">
        <is>
          <t>Pretax</t>
        </is>
      </c>
      <c r="B10" s="23">
        <f>B8+B9</f>
        <v>-4.542000000000001</v>
      </c>
      <c r="C10" s="23">
        <f>C8+C9</f>
        <v>-49.93600000000001</v>
      </c>
      <c r="D10" s="23">
        <f>D8+D9</f>
        <v>-35.913000000000004</v>
      </c>
      <c r="E10" s="23">
        <f>E8+E9</f>
        <v>-118.65400000000001</v>
      </c>
      <c r="F10" s="23">
        <f>F8+F9</f>
        <v>-226.707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0.036</v>
      </c>
      <c r="D11" s="23" t="n">
        <v>0.094</v>
      </c>
      <c r="E11" s="23" t="n">
        <v>0.282</v>
      </c>
      <c r="F11" s="23" t="n">
        <v>0.611</v>
      </c>
    </row>
    <row r="12">
      <c r="A12" s="2" t="inlineStr">
        <is>
          <t>Net Income</t>
        </is>
      </c>
      <c r="B12" s="23" t="n">
        <v>-4.543</v>
      </c>
      <c r="C12" s="23" t="n">
        <v>-49.973</v>
      </c>
      <c r="D12" s="23" t="n">
        <v>-36.007</v>
      </c>
      <c r="E12" s="23" t="n">
        <v>-118.936</v>
      </c>
      <c r="F12" s="23" t="n">
        <v>-227.318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-0.012619444444444445</v>
      </c>
      <c r="C13" s="11">
        <f>IFERROR(C12/C14,0)</f>
        <v>-1.702019685977998</v>
      </c>
      <c r="D13" s="11">
        <f>IFERROR(D12/D14,0)</f>
        <v>-0.7329967632270016</v>
      </c>
      <c r="E13" s="11">
        <f>IFERROR(E12/E14,0)</f>
        <v>-1.8917766820423096</v>
      </c>
      <c r="F13" s="11">
        <f>IFERROR(F12/F14,0)</f>
        <v>-3.5262782328121123</v>
      </c>
    </row>
    <row r="14">
      <c r="A14" s="2" t="inlineStr">
        <is>
          <t>Shares</t>
        </is>
      </c>
      <c r="B14" s="23" t="n">
        <v>360</v>
      </c>
      <c r="C14" s="23" t="n">
        <v>29.361</v>
      </c>
      <c r="D14" s="23" t="n">
        <v>49.123</v>
      </c>
      <c r="E14" s="23" t="n">
        <v>62.87</v>
      </c>
      <c r="F14" s="23" t="n">
        <v>64.464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2026-10-21T01:04:55Z</dcterms:modified>
  <cp:lastModifiedBy>Wang, Eric</cp:lastModifiedBy>
</cp:coreProperties>
</file>