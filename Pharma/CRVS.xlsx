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Corvus Pharmaceuticals, Inc.</t>
        </is>
      </c>
      <c r="C2" s="10" t="n"/>
    </row>
    <row r="3">
      <c r="B3" t="inlineStr">
        <is>
          <t>Price</t>
        </is>
      </c>
      <c r="C3" s="11">
        <f>INDEX([1]Pharma!$F$1:$F$1000,MATCH("CRVS",[1]Pharma!$B$1:$B$1000,0))</f>
        <v>10.23</v>
      </c>
      <c r="F3" s="1" t="n"/>
    </row>
    <row r="4">
      <c r="B4" t="inlineStr">
        <is>
          <t>Shares</t>
        </is>
      </c>
      <c r="C4" s="21" t="n">
        <v>84.12094399999999</v>
      </c>
      <c r="F4" s="1" t="n"/>
    </row>
    <row r="5">
      <c r="B5" t="inlineStr">
        <is>
          <t>Market Cap.</t>
        </is>
      </c>
      <c r="C5" s="13">
        <f>C3*C4</f>
        <v>860.55725712</v>
      </c>
      <c r="F5" s="1" t="n"/>
    </row>
    <row r="6"/>
    <row r="7">
      <c r="B7" t="inlineStr">
        <is>
          <t>Cash</t>
        </is>
      </c>
      <c r="C7" s="21">
        <f>18.905+196.323</f>
        <v>215.228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645.32925712</v>
      </c>
    </row>
    <row r="10"/>
    <row r="11">
      <c r="B11" s="14" t="inlineStr">
        <is>
          <t>rNPV / Share</t>
        </is>
      </c>
      <c r="C11" s="11">
        <f>NPV!B27</f>
        <v>17.656833358061704</v>
      </c>
    </row>
    <row r="12">
      <c r="B12" s="14" t="inlineStr">
        <is>
          <t>Upside</t>
        </is>
      </c>
      <c r="C12" s="15">
        <f>IFERROR(C11/C3-1,"")</f>
        <v>0.7259856654996777</v>
      </c>
    </row>
    <row r="13">
      <c r="B13" s="14" t="inlineStr">
        <is>
          <t>Cash / Share</t>
        </is>
      </c>
      <c r="C13" s="11">
        <f>IFERROR((C7-C8)/C4,"")</f>
        <v>2.55855426444097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-44.529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4.833434391070988</v>
      </c>
    </row>
    <row r="19">
      <c r="B19" s="14" t="inlineStr">
        <is>
          <t>Implied Pipeline Value</t>
        </is>
      </c>
      <c r="C19" s="13">
        <f>C9</f>
        <v>645.32925712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</row>
    <row r="5">
      <c r="A5" s="2" t="inlineStr">
        <is>
          <t>Research &amp; Dev.</t>
        </is>
      </c>
      <c r="B5" s="23" t="n">
        <v>11.352</v>
      </c>
      <c r="C5" s="23" t="n">
        <v>29.356</v>
      </c>
      <c r="D5" s="23" t="n">
        <v>46.305</v>
      </c>
      <c r="E5" s="23" t="n">
        <v>38.586</v>
      </c>
      <c r="F5" s="23" t="n">
        <v>37.975</v>
      </c>
      <c r="G5" s="23" t="n">
        <v>31.83</v>
      </c>
      <c r="H5" s="23" t="n">
        <v>29.115</v>
      </c>
      <c r="I5" s="23" t="n">
        <v>24.468</v>
      </c>
      <c r="J5" s="23" t="n">
        <v>16.526</v>
      </c>
      <c r="K5" s="23" t="n">
        <v>19.385</v>
      </c>
      <c r="L5" s="23" t="n">
        <v>33.719</v>
      </c>
    </row>
    <row r="6">
      <c r="A6" s="19" t="inlineStr">
        <is>
          <t>SG&amp;A &amp; Other</t>
        </is>
      </c>
      <c r="B6" s="23" t="n">
        <v>2.418</v>
      </c>
      <c r="C6" s="23" t="n">
        <v>7.62</v>
      </c>
      <c r="D6" s="23" t="n">
        <v>10.219</v>
      </c>
      <c r="E6" s="23" t="n">
        <v>10.636</v>
      </c>
      <c r="F6" s="23" t="n">
        <v>10.879</v>
      </c>
      <c r="G6" s="23" t="n">
        <v>11.93</v>
      </c>
      <c r="H6" s="23" t="n">
        <v>9.515000000000001</v>
      </c>
      <c r="I6" s="23" t="n">
        <v>8.097</v>
      </c>
      <c r="J6" s="23" t="n">
        <v>6.881</v>
      </c>
      <c r="K6" s="23" t="n">
        <v>8.163</v>
      </c>
      <c r="L6" s="23" t="n">
        <v>9.252000000000001</v>
      </c>
    </row>
    <row r="7">
      <c r="A7" s="2" t="inlineStr">
        <is>
          <t>Operating Expense</t>
        </is>
      </c>
      <c r="B7" s="23">
        <f>SUM(B5:B6)</f>
        <v>13.77</v>
      </c>
      <c r="C7" s="23">
        <f>SUM(C5:C6)</f>
        <v>36.976</v>
      </c>
      <c r="D7" s="23">
        <f>SUM(D5:D6)</f>
        <v>56.524</v>
      </c>
      <c r="E7" s="23">
        <f>SUM(E5:E6)</f>
        <v>49.221999999999994</v>
      </c>
      <c r="F7" s="23">
        <f>SUM(F5:F6)</f>
        <v>48.854</v>
      </c>
      <c r="G7" s="23">
        <f>SUM(G5:G6)</f>
        <v>43.76</v>
      </c>
      <c r="H7" s="23">
        <f>SUM(H5:H6)</f>
        <v>38.629999999999995</v>
      </c>
      <c r="I7" s="23">
        <f>SUM(I5:I6)</f>
        <v>32.565</v>
      </c>
      <c r="J7" s="23">
        <f>SUM(J5:J6)</f>
        <v>23.407</v>
      </c>
      <c r="K7" s="23">
        <f>SUM(K5:K6)</f>
        <v>27.548000000000002</v>
      </c>
      <c r="L7" s="23">
        <f>SUM(L5:L6)</f>
        <v>42.971000000000004</v>
      </c>
    </row>
    <row r="8">
      <c r="A8" s="2" t="inlineStr">
        <is>
          <t>Operating Income</t>
        </is>
      </c>
      <c r="B8" s="23">
        <f>B4-B7</f>
        <v>-13.77</v>
      </c>
      <c r="C8" s="23">
        <f>C4-C7</f>
        <v>-36.976</v>
      </c>
      <c r="D8" s="23">
        <f>D4-D7</f>
        <v>-56.524</v>
      </c>
      <c r="E8" s="23">
        <f>E4-E7</f>
        <v>-49.221999999999994</v>
      </c>
      <c r="F8" s="23">
        <f>F4-F7</f>
        <v>-48.854</v>
      </c>
      <c r="G8" s="23">
        <f>G4-G7</f>
        <v>-43.76</v>
      </c>
      <c r="H8" s="23">
        <f>H4-H7</f>
        <v>-38.629999999999995</v>
      </c>
      <c r="I8" s="23">
        <f>I4-I7</f>
        <v>-32.565</v>
      </c>
      <c r="J8" s="23">
        <f>J4-J7</f>
        <v>-23.407</v>
      </c>
      <c r="K8" s="23">
        <f>K4-K7</f>
        <v>-27.548000000000002</v>
      </c>
      <c r="L8" s="23">
        <f>L4-L7</f>
        <v>-42.971000000000004</v>
      </c>
    </row>
    <row r="9">
      <c r="A9" s="19" t="inlineStr">
        <is>
          <t>Interest &amp; Other</t>
        </is>
      </c>
      <c r="B9" s="23" t="n">
        <v>-17.565</v>
      </c>
      <c r="C9" s="23" t="n">
        <v>0.601</v>
      </c>
      <c r="D9" s="23" t="n">
        <v>0.861</v>
      </c>
      <c r="E9" s="23" t="n">
        <v>2.283</v>
      </c>
      <c r="F9" s="23" t="n">
        <v>2.182</v>
      </c>
      <c r="G9" s="23" t="n">
        <v>37.765</v>
      </c>
      <c r="H9" s="23" t="n">
        <v>-4.611</v>
      </c>
      <c r="I9" s="23" t="n">
        <v>-8.742000000000001</v>
      </c>
      <c r="J9" s="23" t="n">
        <v>-3.593</v>
      </c>
      <c r="K9" s="23" t="n">
        <v>-34.752</v>
      </c>
      <c r="L9" s="23" t="n">
        <v>27.671</v>
      </c>
    </row>
    <row r="10">
      <c r="A10" s="2" t="inlineStr">
        <is>
          <t>Pretax</t>
        </is>
      </c>
      <c r="B10" s="23">
        <f>B8+B9</f>
        <v>-31.335</v>
      </c>
      <c r="C10" s="23">
        <f>C8+C9</f>
        <v>-36.375</v>
      </c>
      <c r="D10" s="23">
        <f>D8+D9</f>
        <v>-55.663000000000004</v>
      </c>
      <c r="E10" s="23">
        <f>E8+E9</f>
        <v>-46.93899999999999</v>
      </c>
      <c r="F10" s="23">
        <f>F8+F9</f>
        <v>-46.672</v>
      </c>
      <c r="G10" s="23">
        <f>G8+G9</f>
        <v>-5.994999999999997</v>
      </c>
      <c r="H10" s="23">
        <f>H8+H9</f>
        <v>-43.24099999999999</v>
      </c>
      <c r="I10" s="23">
        <f>I8+I9</f>
        <v>-41.307</v>
      </c>
      <c r="J10" s="23">
        <f>J8+J9</f>
        <v>-27.0</v>
      </c>
      <c r="K10" s="23">
        <f>K8+K9</f>
        <v>-62.300000000000004</v>
      </c>
      <c r="L10" s="23">
        <f>L8+L9</f>
        <v>-15.300000000000004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</row>
    <row r="12">
      <c r="A12" s="2" t="inlineStr">
        <is>
          <t>Net Income</t>
        </is>
      </c>
      <c r="B12" s="23" t="n">
        <v>-31.335</v>
      </c>
      <c r="C12" s="23" t="n">
        <v>-36.375</v>
      </c>
      <c r="D12" s="23" t="n">
        <v>-55.663</v>
      </c>
      <c r="E12" s="23" t="n">
        <v>-46.939</v>
      </c>
      <c r="F12" s="23" t="n">
        <v>-46.672</v>
      </c>
      <c r="G12" s="23" t="n">
        <v>-5.995</v>
      </c>
      <c r="H12" s="23" t="n">
        <v>-43.241</v>
      </c>
      <c r="I12" s="23" t="n">
        <v>-41.307</v>
      </c>
      <c r="J12" s="23" t="n">
        <v>-27</v>
      </c>
      <c r="K12" s="23" t="n">
        <v>-62.3</v>
      </c>
      <c r="L12" s="23" t="n">
        <v>-15.3</v>
      </c>
    </row>
    <row r="13">
      <c r="A13" s="2" t="inlineStr">
        <is>
          <t>Earnings per Share</t>
        </is>
      </c>
      <c r="B13" s="11">
        <f>IFERROR(B12/B14,0)</f>
        <v>-2.0454990534630197</v>
      </c>
      <c r="C13" s="11">
        <f>IFERROR(C12/C14,0)</f>
        <v>-2.3586434963039813</v>
      </c>
      <c r="D13" s="11">
        <f>IFERROR(D12/D14,0)</f>
        <v>-2.716726048123383</v>
      </c>
      <c r="E13" s="11">
        <f>IFERROR(E12/E14,0)</f>
        <v>-1.7062522719011268</v>
      </c>
      <c r="F13" s="11">
        <f>IFERROR(F12/F14,0)</f>
        <v>-1.5901873935264053</v>
      </c>
      <c r="G13" s="11">
        <f>IFERROR(G12/G14,0)</f>
        <v>-0.20336510736456462</v>
      </c>
      <c r="H13" s="11">
        <f>IFERROR(H12/H14,0)</f>
        <v>-1.0331390070244182</v>
      </c>
      <c r="I13" s="11">
        <f>IFERROR(I12/I14,0)</f>
        <v>-0.8872921768269106</v>
      </c>
      <c r="J13" s="11">
        <f>IFERROR(J12/J14,0)</f>
        <v>-0.5622071837584591</v>
      </c>
      <c r="K13" s="11">
        <f>IFERROR(K12/K14,0)</f>
        <v>-1.0215626793473804</v>
      </c>
      <c r="L13" s="11">
        <f>IFERROR(L12/L14,0)</f>
        <v>-0.19186637071592494</v>
      </c>
    </row>
    <row r="14">
      <c r="A14" s="2" t="inlineStr">
        <is>
          <t>Shares</t>
        </is>
      </c>
      <c r="B14" s="23" t="n">
        <v>15.319</v>
      </c>
      <c r="C14" s="23" t="n">
        <v>15.422</v>
      </c>
      <c r="D14" s="23" t="n">
        <v>20.489</v>
      </c>
      <c r="E14" s="23" t="n">
        <v>27.51</v>
      </c>
      <c r="F14" s="23" t="n">
        <v>29.35</v>
      </c>
      <c r="G14" s="23" t="n">
        <v>29.479</v>
      </c>
      <c r="H14" s="23" t="n">
        <v>41.854</v>
      </c>
      <c r="I14" s="23" t="n">
        <v>46.554</v>
      </c>
      <c r="J14" s="23" t="n">
        <v>48.025</v>
      </c>
      <c r="K14" s="23" t="n">
        <v>60.985</v>
      </c>
      <c r="L14" s="23" t="n">
        <v>79.74299999999999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Corvus Pharmaceuticals,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0.5952940713800001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56.963</v>
      </c>
    </row>
    <row r="19">
      <c r="A19" s="14" t="inlineStr">
        <is>
          <t>Years of full burn (until the first launch, max 4)</t>
        </is>
      </c>
      <c r="B19" s="39">
        <f>MIN(4,MAX(1,MIN(Pipeline!I4:I6)-2026))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412.1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1270.0814901308404</v>
      </c>
      <c r="C29" s="42">
        <f>NPV!B25</f>
        <v>1485.3094901308405</v>
      </c>
      <c r="D29" s="43">
        <f>NPV!B27</f>
        <v>17.656833358061704</v>
      </c>
      <c r="E29" s="44">
        <f>NPV!B29</f>
        <v>0.7259856654996777</v>
      </c>
    </row>
    <row r="30">
      <c r="A30" s="45" t="n">
        <v>1</v>
      </c>
      <c r="B30" s="46">
        <f t="dataTable" ref="B30:E32" r1="B4"/>
        <v>445.63878249508315</v>
      </c>
      <c r="C30" s="46">
        <v>660.8667824950832</v>
      </c>
      <c r="D30" s="47">
        <v>7.856150336295361</v>
      </c>
      <c r="E30" s="48">
        <v>-0.23204786546477418</v>
      </c>
    </row>
    <row r="31">
      <c r="A31" s="45" t="n">
        <v>2</v>
      </c>
      <c r="B31" s="46">
        <v>1270.0814901308404</v>
      </c>
      <c r="C31" s="46">
        <v>1485.3094901308405</v>
      </c>
      <c r="D31" s="47">
        <v>17.656833358061704</v>
      </c>
      <c r="E31" s="48">
        <v>0.7259856654996777</v>
      </c>
    </row>
    <row r="32">
      <c r="A32" s="45" t="n">
        <v>3</v>
      </c>
      <c r="B32" s="46">
        <v>2567.2374596432037</v>
      </c>
      <c r="C32" s="46">
        <v>2782.4654596432038</v>
      </c>
      <c r="D32" s="47">
        <v>33.07696427709137</v>
      </c>
      <c r="E32" s="48">
        <v>2.233329841357905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17.656833358061704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6.233324598035349</v>
      </c>
      <c r="C37" s="47">
        <v>8.749750177345932</v>
      </c>
      <c r="D37" s="47">
        <v>11.242878405082358</v>
      </c>
      <c r="E37" s="47">
        <v>16.20159559069886</v>
      </c>
      <c r="F37" s="47">
        <v>21.14361696550284</v>
      </c>
    </row>
    <row r="38">
      <c r="A38" s="50" t="n">
        <v>0.8</v>
      </c>
      <c r="B38" s="47">
        <v>7.8113976284383</v>
      </c>
      <c r="C38" s="47">
        <v>11.140832714688319</v>
      </c>
      <c r="D38" s="47">
        <v>14.45332305617904</v>
      </c>
      <c r="E38" s="47">
        <v>21.042684889251</v>
      </c>
      <c r="F38" s="47">
        <v>27.61533097607627</v>
      </c>
    </row>
    <row r="39">
      <c r="A39" s="50" t="n">
        <v>1</v>
      </c>
      <c r="B39" s="47">
        <v>9.388370737901258</v>
      </c>
      <c r="C39" s="47">
        <v>13.534126741611832</v>
      </c>
      <c r="D39" s="47">
        <v>17.656833358061704</v>
      </c>
      <c r="E39" s="47">
        <v>25.883989322620746</v>
      </c>
      <c r="F39" s="47">
        <v>34.08935100679241</v>
      </c>
    </row>
    <row r="40">
      <c r="A40" s="50" t="n">
        <v>1.2</v>
      </c>
      <c r="B40" s="47">
        <v>10.965939105006756</v>
      </c>
      <c r="C40" s="47">
        <v>15.927678500771536</v>
      </c>
      <c r="D40" s="47">
        <v>20.86969987557551</v>
      </c>
      <c r="E40" s="47">
        <v>30.72620073809088</v>
      </c>
      <c r="F40" s="47">
        <v>40.572634759096886</v>
      </c>
    </row>
    <row r="41">
      <c r="A41" s="50" t="n">
        <v>1.4</v>
      </c>
      <c r="B41" s="47">
        <v>12.549252121087786</v>
      </c>
      <c r="C41" s="47">
        <v>18.32582575881513</v>
      </c>
      <c r="D41" s="47">
        <v>24.08976827753808</v>
      </c>
      <c r="E41" s="47">
        <v>35.57727463537842</v>
      </c>
      <c r="F41" s="47">
        <v>47.05983757419418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Corvus Pharmaceuticals,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Lymphoma</t>
        </is>
      </c>
      <c r="C4" s="14" t="inlineStr">
        <is>
          <t>CPI-818, Soquelitinib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944.156702827894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65.82000000000001</v>
      </c>
      <c r="Q4" s="23">
        <f>IF(Q$3&lt;$I4,0,$G4*Assumptions!$E$11*INDEX(Assumptions!$B$24:$G$24,MIN(6,Q$3-$I4+1))*IF(Q$3&gt;$J4,(1-Assumptions!$B$26)^(Q$3-$J4),1)*IF($H4&gt;=1,1,MIN(0.97,$H4*Assumptions!$E$12)))</f>
        <v>164.55</v>
      </c>
      <c r="R4" s="23">
        <f>IF(R$3&lt;$I4,0,$G4*Assumptions!$E$11*INDEX(Assumptions!$B$24:$G$24,MIN(6,R$3-$I4+1))*IF(R$3&gt;$J4,(1-Assumptions!$B$26)^(R$3-$J4),1)*IF($H4&gt;=1,1,MIN(0.97,$H4*Assumptions!$E$12)))</f>
        <v>296.19</v>
      </c>
      <c r="S4" s="23">
        <f>IF(S$3&lt;$I4,0,$G4*Assumptions!$E$11*INDEX(Assumptions!$B$24:$G$24,MIN(6,S$3-$I4+1))*IF(S$3&gt;$J4,(1-Assumptions!$B$26)^(S$3-$J4),1)*IF($H4&gt;=1,1,MIN(0.97,$H4*Assumptions!$E$12)))</f>
        <v>427.83000000000004</v>
      </c>
      <c r="T4" s="23">
        <f>IF(T$3&lt;$I4,0,$G4*Assumptions!$E$11*INDEX(Assumptions!$B$24:$G$24,MIN(6,T$3-$I4+1))*IF(T$3&gt;$J4,(1-Assumptions!$B$26)^(T$3-$J4),1)*IF($H4&gt;=1,1,MIN(0.97,$H4*Assumptions!$E$12)))</f>
        <v>559.47</v>
      </c>
      <c r="U4" s="23">
        <f>IF(U$3&lt;$I4,0,$G4*Assumptions!$E$11*INDEX(Assumptions!$B$24:$G$24,MIN(6,U$3-$I4+1))*IF(U$3&gt;$J4,(1-Assumptions!$B$26)^(U$3-$J4),1)*IF($H4&gt;=1,1,MIN(0.97,$H4*Assumptions!$E$12)))</f>
        <v>658.2</v>
      </c>
      <c r="V4" s="23">
        <f>IF(V$3&lt;$I4,0,$G4*Assumptions!$E$11*INDEX(Assumptions!$B$24:$G$24,MIN(6,V$3-$I4+1))*IF(V$3&gt;$J4,(1-Assumptions!$B$26)^(V$3-$J4),1)*IF($H4&gt;=1,1,MIN(0.97,$H4*Assumptions!$E$12)))</f>
        <v>658.2</v>
      </c>
      <c r="W4" s="23">
        <f>IF(W$3&lt;$I4,0,$G4*Assumptions!$E$11*INDEX(Assumptions!$B$24:$G$24,MIN(6,W$3-$I4+1))*IF(W$3&gt;$J4,(1-Assumptions!$B$26)^(W$3-$J4),1)*IF($H4&gt;=1,1,MIN(0.97,$H4*Assumptions!$E$12)))</f>
        <v>658.2</v>
      </c>
      <c r="X4" s="23">
        <f>IF(X$3&lt;$I4,0,$G4*Assumptions!$E$11*INDEX(Assumptions!$B$24:$G$24,MIN(6,X$3-$I4+1))*IF(X$3&gt;$J4,(1-Assumptions!$B$26)^(X$3-$J4),1)*IF($H4&gt;=1,1,MIN(0.97,$H4*Assumptions!$E$12)))</f>
        <v>658.2</v>
      </c>
      <c r="Y4" s="23">
        <f>IF(Y$3&lt;$I4,0,$G4*Assumptions!$E$11*INDEX(Assumptions!$B$24:$G$24,MIN(6,Y$3-$I4+1))*IF(Y$3&gt;$J4,(1-Assumptions!$B$26)^(Y$3-$J4),1)*IF($H4&gt;=1,1,MIN(0.97,$H4*Assumptions!$E$12)))</f>
        <v>658.2</v>
      </c>
      <c r="Z4" s="23">
        <f>IF(Z$3&lt;$I4,0,$G4*Assumptions!$E$11*INDEX(Assumptions!$B$24:$G$24,MIN(6,Z$3-$I4+1))*IF(Z$3&gt;$J4,(1-Assumptions!$B$26)^(Z$3-$J4),1)*IF($H4&gt;=1,1,MIN(0.97,$H4*Assumptions!$E$12)))</f>
        <v>658.2</v>
      </c>
      <c r="AA4" s="23">
        <f>IF(AA$3&lt;$I4,0,$G4*Assumptions!$E$11*INDEX(Assumptions!$B$24:$G$24,MIN(6,AA$3-$I4+1))*IF(AA$3&gt;$J4,(1-Assumptions!$B$26)^(AA$3-$J4),1)*IF($H4&gt;=1,1,MIN(0.97,$H4*Assumptions!$E$12)))</f>
        <v>658.2</v>
      </c>
      <c r="AB4" s="23">
        <f>IF(AB$3&lt;$I4,0,$G4*Assumptions!$E$11*INDEX(Assumptions!$B$24:$G$24,MIN(6,AB$3-$I4+1))*IF(AB$3&gt;$J4,(1-Assumptions!$B$26)^(AB$3-$J4),1)*IF($H4&gt;=1,1,MIN(0.97,$H4*Assumptions!$E$12)))</f>
        <v>658.2</v>
      </c>
      <c r="AC4" s="23">
        <f>IF(AC$3&lt;$I4,0,$G4*Assumptions!$E$11*INDEX(Assumptions!$B$24:$G$24,MIN(6,AC$3-$I4+1))*IF(AC$3&gt;$J4,(1-Assumptions!$B$26)^(AC$3-$J4),1)*IF($H4&gt;=1,1,MIN(0.97,$H4*Assumptions!$E$12)))</f>
        <v>329.1</v>
      </c>
      <c r="AD4" s="23">
        <f>IF(AD$3&lt;$I4,0,$G4*Assumptions!$E$11*INDEX(Assumptions!$B$24:$G$24,MIN(6,AD$3-$I4+1))*IF(AD$3&gt;$J4,(1-Assumptions!$B$26)^(AD$3-$J4),1)*IF($H4&gt;=1,1,MIN(0.97,$H4*Assumptions!$E$12)))</f>
        <v>164.55</v>
      </c>
      <c r="AE4" s="23">
        <f>IF(AE$3&lt;$I4,0,$G4*Assumptions!$E$11*INDEX(Assumptions!$B$24:$G$24,MIN(6,AE$3-$I4+1))*IF(AE$3&gt;$J4,(1-Assumptions!$B$26)^(AE$3-$J4),1)*IF($H4&gt;=1,1,MIN(0.97,$H4*Assumptions!$E$12)))</f>
        <v>82.275</v>
      </c>
      <c r="AF4" s="23">
        <f>IF(AF$3&lt;$I4,0,$G4*Assumptions!$E$11*INDEX(Assumptions!$B$24:$G$24,MIN(6,AF$3-$I4+1))*IF(AF$3&gt;$J4,(1-Assumptions!$B$26)^(AF$3-$J4),1)*IF($H4&gt;=1,1,MIN(0.97,$H4*Assumptions!$E$12)))</f>
        <v>41.1375</v>
      </c>
      <c r="AG4" s="35">
        <f>IF(F4="Owned",1-IF(H4&gt;=1,1,MIN(0.97,H4*Assumptions!$E$12)),1)</f>
        <v>0.5611999999999999</v>
      </c>
    </row>
    <row r="5">
      <c r="A5" s="39" t="n">
        <v>2</v>
      </c>
      <c r="B5" s="14" t="inlineStr">
        <is>
          <t>Atopic dermatitis</t>
        </is>
      </c>
      <c r="C5" s="14" t="inlineStr">
        <is>
          <t>Soquelitinib</t>
        </is>
      </c>
      <c r="D5" s="14" t="inlineStr">
        <is>
          <t>Phase 2</t>
        </is>
      </c>
      <c r="E5" s="14" t="inlineStr">
        <is>
          <t>Autoimmune / area</t>
        </is>
      </c>
      <c r="F5" s="14" t="inlineStr">
        <is>
          <t>Owned</t>
        </is>
      </c>
      <c r="G5" s="40" t="n">
        <v>3000</v>
      </c>
      <c r="H5" s="27" t="n">
        <v>0.1929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657.4280762551631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57.87</v>
      </c>
      <c r="S5" s="23">
        <f>IF(S$3&lt;$I5,0,$G5*Assumptions!$E$11*INDEX(Assumptions!$B$24:$G$24,MIN(6,S$3-$I5+1))*IF(S$3&gt;$J5,(1-Assumptions!$B$26)^(S$3-$J5),1)*IF($H5&gt;=1,1,MIN(0.97,$H5*Assumptions!$E$12)))</f>
        <v>144.67499999999998</v>
      </c>
      <c r="T5" s="23">
        <f>IF(T$3&lt;$I5,0,$G5*Assumptions!$E$11*INDEX(Assumptions!$B$24:$G$24,MIN(6,T$3-$I5+1))*IF(T$3&gt;$J5,(1-Assumptions!$B$26)^(T$3-$J5),1)*IF($H5&gt;=1,1,MIN(0.97,$H5*Assumptions!$E$12)))</f>
        <v>260.41499999999996</v>
      </c>
      <c r="U5" s="23">
        <f>IF(U$3&lt;$I5,0,$G5*Assumptions!$E$11*INDEX(Assumptions!$B$24:$G$24,MIN(6,U$3-$I5+1))*IF(U$3&gt;$J5,(1-Assumptions!$B$26)^(U$3-$J5),1)*IF($H5&gt;=1,1,MIN(0.97,$H5*Assumptions!$E$12)))</f>
        <v>376.155</v>
      </c>
      <c r="V5" s="23">
        <f>IF(V$3&lt;$I5,0,$G5*Assumptions!$E$11*INDEX(Assumptions!$B$24:$G$24,MIN(6,V$3-$I5+1))*IF(V$3&gt;$J5,(1-Assumptions!$B$26)^(V$3-$J5),1)*IF($H5&gt;=1,1,MIN(0.97,$H5*Assumptions!$E$12)))</f>
        <v>491.895</v>
      </c>
      <c r="W5" s="23">
        <f>IF(W$3&lt;$I5,0,$G5*Assumptions!$E$11*INDEX(Assumptions!$B$24:$G$24,MIN(6,W$3-$I5+1))*IF(W$3&gt;$J5,(1-Assumptions!$B$26)^(W$3-$J5),1)*IF($H5&gt;=1,1,MIN(0.97,$H5*Assumptions!$E$12)))</f>
        <v>578.6999999999999</v>
      </c>
      <c r="X5" s="23">
        <f>IF(X$3&lt;$I5,0,$G5*Assumptions!$E$11*INDEX(Assumptions!$B$24:$G$24,MIN(6,X$3-$I5+1))*IF(X$3&gt;$J5,(1-Assumptions!$B$26)^(X$3-$J5),1)*IF($H5&gt;=1,1,MIN(0.97,$H5*Assumptions!$E$12)))</f>
        <v>578.6999999999999</v>
      </c>
      <c r="Y5" s="23">
        <f>IF(Y$3&lt;$I5,0,$G5*Assumptions!$E$11*INDEX(Assumptions!$B$24:$G$24,MIN(6,Y$3-$I5+1))*IF(Y$3&gt;$J5,(1-Assumptions!$B$26)^(Y$3-$J5),1)*IF($H5&gt;=1,1,MIN(0.97,$H5*Assumptions!$E$12)))</f>
        <v>578.6999999999999</v>
      </c>
      <c r="Z5" s="23">
        <f>IF(Z$3&lt;$I5,0,$G5*Assumptions!$E$11*INDEX(Assumptions!$B$24:$G$24,MIN(6,Z$3-$I5+1))*IF(Z$3&gt;$J5,(1-Assumptions!$B$26)^(Z$3-$J5),1)*IF($H5&gt;=1,1,MIN(0.97,$H5*Assumptions!$E$12)))</f>
        <v>578.6999999999999</v>
      </c>
      <c r="AA5" s="23">
        <f>IF(AA$3&lt;$I5,0,$G5*Assumptions!$E$11*INDEX(Assumptions!$B$24:$G$24,MIN(6,AA$3-$I5+1))*IF(AA$3&gt;$J5,(1-Assumptions!$B$26)^(AA$3-$J5),1)*IF($H5&gt;=1,1,MIN(0.97,$H5*Assumptions!$E$12)))</f>
        <v>578.6999999999999</v>
      </c>
      <c r="AB5" s="23">
        <f>IF(AB$3&lt;$I5,0,$G5*Assumptions!$E$11*INDEX(Assumptions!$B$24:$G$24,MIN(6,AB$3-$I5+1))*IF(AB$3&gt;$J5,(1-Assumptions!$B$26)^(AB$3-$J5),1)*IF($H5&gt;=1,1,MIN(0.97,$H5*Assumptions!$E$12)))</f>
        <v>578.6999999999999</v>
      </c>
      <c r="AC5" s="23">
        <f>IF(AC$3&lt;$I5,0,$G5*Assumptions!$E$11*INDEX(Assumptions!$B$24:$G$24,MIN(6,AC$3-$I5+1))*IF(AC$3&gt;$J5,(1-Assumptions!$B$26)^(AC$3-$J5),1)*IF($H5&gt;=1,1,MIN(0.97,$H5*Assumptions!$E$12)))</f>
        <v>578.6999999999999</v>
      </c>
      <c r="AD5" s="23">
        <f>IF(AD$3&lt;$I5,0,$G5*Assumptions!$E$11*INDEX(Assumptions!$B$24:$G$24,MIN(6,AD$3-$I5+1))*IF(AD$3&gt;$J5,(1-Assumptions!$B$26)^(AD$3-$J5),1)*IF($H5&gt;=1,1,MIN(0.97,$H5*Assumptions!$E$12)))</f>
        <v>578.6999999999999</v>
      </c>
      <c r="AE5" s="23">
        <f>IF(AE$3&lt;$I5,0,$G5*Assumptions!$E$11*INDEX(Assumptions!$B$24:$G$24,MIN(6,AE$3-$I5+1))*IF(AE$3&gt;$J5,(1-Assumptions!$B$26)^(AE$3-$J5),1)*IF($H5&gt;=1,1,MIN(0.97,$H5*Assumptions!$E$12)))</f>
        <v>289.34999999999997</v>
      </c>
      <c r="AF5" s="23">
        <f>IF(AF$3&lt;$I5,0,$G5*Assumptions!$E$11*INDEX(Assumptions!$B$24:$G$24,MIN(6,AF$3-$I5+1))*IF(AF$3&gt;$J5,(1-Assumptions!$B$26)^(AF$3-$J5),1)*IF($H5&gt;=1,1,MIN(0.97,$H5*Assumptions!$E$12)))</f>
        <v>144.67499999999998</v>
      </c>
      <c r="AG5" s="35">
        <f>IF(F5="Owned",1-IF(H5&gt;=1,1,MIN(0.97,H5*Assumptions!$E$12)),1)</f>
        <v>0.8071</v>
      </c>
    </row>
    <row r="6">
      <c r="A6" s="39" t="n">
        <v>3</v>
      </c>
      <c r="B6" s="14" t="inlineStr">
        <is>
          <t>Hidradenitis / alopecia / vitiligo</t>
        </is>
      </c>
      <c r="C6" s="14" t="inlineStr">
        <is>
          <t>Soquelitinib</t>
        </is>
      </c>
      <c r="D6" s="14" t="inlineStr">
        <is>
          <t>Phase 1</t>
        </is>
      </c>
      <c r="E6" s="14" t="inlineStr">
        <is>
          <t>Autoimmune / area</t>
        </is>
      </c>
      <c r="F6" s="14" t="inlineStr">
        <is>
          <t>Owned</t>
        </is>
      </c>
      <c r="G6" s="40" t="n">
        <v>1500</v>
      </c>
      <c r="H6" s="27" t="n">
        <v>0.1065</v>
      </c>
      <c r="I6" s="26" t="n">
        <v>2033</v>
      </c>
      <c r="J6" s="39">
        <f>I6+Assumptions!$B$25</f>
        <v>2045.0</v>
      </c>
      <c r="K6" s="53">
        <f>Assumptions!$E$13</f>
        <v>0.4</v>
      </c>
      <c r="L6" s="23">
        <f>K6*SUMPRODUCT(M6:AF6,NPV!$C$15:$V$15)</f>
        <v>139.88846309262294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0</v>
      </c>
      <c r="T6" s="23">
        <f>IF(T$3&lt;$I6,0,$G6*Assumptions!$E$11*INDEX(Assumptions!$B$24:$G$24,MIN(6,T$3-$I6+1))*IF(T$3&gt;$J6,(1-Assumptions!$B$26)^(T$3-$J6),1)*IF($H6&gt;=1,1,MIN(0.97,$H6*Assumptions!$E$12)))</f>
        <v>15.975</v>
      </c>
      <c r="U6" s="23">
        <f>IF(U$3&lt;$I6,0,$G6*Assumptions!$E$11*INDEX(Assumptions!$B$24:$G$24,MIN(6,U$3-$I6+1))*IF(U$3&gt;$J6,(1-Assumptions!$B$26)^(U$3-$J6),1)*IF($H6&gt;=1,1,MIN(0.97,$H6*Assumptions!$E$12)))</f>
        <v>39.9375</v>
      </c>
      <c r="V6" s="23">
        <f>IF(V$3&lt;$I6,0,$G6*Assumptions!$E$11*INDEX(Assumptions!$B$24:$G$24,MIN(6,V$3-$I6+1))*IF(V$3&gt;$J6,(1-Assumptions!$B$26)^(V$3-$J6),1)*IF($H6&gt;=1,1,MIN(0.97,$H6*Assumptions!$E$12)))</f>
        <v>71.8875</v>
      </c>
      <c r="W6" s="23">
        <f>IF(W$3&lt;$I6,0,$G6*Assumptions!$E$11*INDEX(Assumptions!$B$24:$G$24,MIN(6,W$3-$I6+1))*IF(W$3&gt;$J6,(1-Assumptions!$B$26)^(W$3-$J6),1)*IF($H6&gt;=1,1,MIN(0.97,$H6*Assumptions!$E$12)))</f>
        <v>103.83749999999999</v>
      </c>
      <c r="X6" s="23">
        <f>IF(X$3&lt;$I6,0,$G6*Assumptions!$E$11*INDEX(Assumptions!$B$24:$G$24,MIN(6,X$3-$I6+1))*IF(X$3&gt;$J6,(1-Assumptions!$B$26)^(X$3-$J6),1)*IF($H6&gt;=1,1,MIN(0.97,$H6*Assumptions!$E$12)))</f>
        <v>135.7875</v>
      </c>
      <c r="Y6" s="23">
        <f>IF(Y$3&lt;$I6,0,$G6*Assumptions!$E$11*INDEX(Assumptions!$B$24:$G$24,MIN(6,Y$3-$I6+1))*IF(Y$3&gt;$J6,(1-Assumptions!$B$26)^(Y$3-$J6),1)*IF($H6&gt;=1,1,MIN(0.97,$H6*Assumptions!$E$12)))</f>
        <v>159.75</v>
      </c>
      <c r="Z6" s="23">
        <f>IF(Z$3&lt;$I6,0,$G6*Assumptions!$E$11*INDEX(Assumptions!$B$24:$G$24,MIN(6,Z$3-$I6+1))*IF(Z$3&gt;$J6,(1-Assumptions!$B$26)^(Z$3-$J6),1)*IF($H6&gt;=1,1,MIN(0.97,$H6*Assumptions!$E$12)))</f>
        <v>159.75</v>
      </c>
      <c r="AA6" s="23">
        <f>IF(AA$3&lt;$I6,0,$G6*Assumptions!$E$11*INDEX(Assumptions!$B$24:$G$24,MIN(6,AA$3-$I6+1))*IF(AA$3&gt;$J6,(1-Assumptions!$B$26)^(AA$3-$J6),1)*IF($H6&gt;=1,1,MIN(0.97,$H6*Assumptions!$E$12)))</f>
        <v>159.75</v>
      </c>
      <c r="AB6" s="23">
        <f>IF(AB$3&lt;$I6,0,$G6*Assumptions!$E$11*INDEX(Assumptions!$B$24:$G$24,MIN(6,AB$3-$I6+1))*IF(AB$3&gt;$J6,(1-Assumptions!$B$26)^(AB$3-$J6),1)*IF($H6&gt;=1,1,MIN(0.97,$H6*Assumptions!$E$12)))</f>
        <v>159.75</v>
      </c>
      <c r="AC6" s="23">
        <f>IF(AC$3&lt;$I6,0,$G6*Assumptions!$E$11*INDEX(Assumptions!$B$24:$G$24,MIN(6,AC$3-$I6+1))*IF(AC$3&gt;$J6,(1-Assumptions!$B$26)^(AC$3-$J6),1)*IF($H6&gt;=1,1,MIN(0.97,$H6*Assumptions!$E$12)))</f>
        <v>159.75</v>
      </c>
      <c r="AD6" s="23">
        <f>IF(AD$3&lt;$I6,0,$G6*Assumptions!$E$11*INDEX(Assumptions!$B$24:$G$24,MIN(6,AD$3-$I6+1))*IF(AD$3&gt;$J6,(1-Assumptions!$B$26)^(AD$3-$J6),1)*IF($H6&gt;=1,1,MIN(0.97,$H6*Assumptions!$E$12)))</f>
        <v>159.75</v>
      </c>
      <c r="AE6" s="23">
        <f>IF(AE$3&lt;$I6,0,$G6*Assumptions!$E$11*INDEX(Assumptions!$B$24:$G$24,MIN(6,AE$3-$I6+1))*IF(AE$3&gt;$J6,(1-Assumptions!$B$26)^(AE$3-$J6),1)*IF($H6&gt;=1,1,MIN(0.97,$H6*Assumptions!$E$12)))</f>
        <v>159.75</v>
      </c>
      <c r="AF6" s="23">
        <f>IF(AF$3&lt;$I6,0,$G6*Assumptions!$E$11*INDEX(Assumptions!$B$24:$G$24,MIN(6,AF$3-$I6+1))*IF(AF$3&gt;$J6,(1-Assumptions!$B$26)^(AF$3-$J6),1)*IF($H6&gt;=1,1,MIN(0.97,$H6*Assumptions!$E$12)))</f>
        <v>159.75</v>
      </c>
      <c r="AG6" s="35">
        <f>IF(F6="Owned",1-IF(H6&gt;=1,1,MIN(0.97,H6*Assumptions!$E$12)),1)</f>
        <v>0.8935</v>
      </c>
    </row>
    <row r="7">
      <c r="B7" s="24" t="inlineStr">
        <is>
          <t>Risked revenue</t>
        </is>
      </c>
      <c r="L7" s="54">
        <f>SUM(L4:L6)</f>
        <v>1741.47324217568</v>
      </c>
      <c r="M7" s="54">
        <f>SUM(M4:M6)</f>
        <v>0.0</v>
      </c>
      <c r="N7" s="54">
        <f>SUM(N4:N6)</f>
        <v>0.0</v>
      </c>
      <c r="O7" s="54">
        <f>SUM(O4:O6)</f>
        <v>0.0</v>
      </c>
      <c r="P7" s="54">
        <f>SUM(P4:P6)</f>
        <v>65.82000000000001</v>
      </c>
      <c r="Q7" s="54">
        <f>SUM(Q4:Q6)</f>
        <v>164.55</v>
      </c>
      <c r="R7" s="54">
        <f>SUM(R4:R6)</f>
        <v>354.06</v>
      </c>
      <c r="S7" s="54">
        <f>SUM(S4:S6)</f>
        <v>572.505</v>
      </c>
      <c r="T7" s="54">
        <f>SUM(T4:T6)</f>
        <v>835.86</v>
      </c>
      <c r="U7" s="54">
        <f>SUM(U4:U6)</f>
        <v>1074.2925</v>
      </c>
      <c r="V7" s="54">
        <f>SUM(V4:V6)</f>
        <v>1221.9825</v>
      </c>
      <c r="W7" s="54">
        <f>SUM(W4:W6)</f>
        <v>1340.7375000000002</v>
      </c>
      <c r="X7" s="54">
        <f>SUM(X4:X6)</f>
        <v>1372.6875</v>
      </c>
      <c r="Y7" s="54">
        <f>SUM(Y4:Y6)</f>
        <v>1396.65</v>
      </c>
      <c r="Z7" s="54">
        <f>SUM(Z4:Z6)</f>
        <v>1396.65</v>
      </c>
      <c r="AA7" s="54">
        <f>SUM(AA4:AA6)</f>
        <v>1396.65</v>
      </c>
      <c r="AB7" s="54">
        <f>SUM(AB4:AB6)</f>
        <v>1396.65</v>
      </c>
      <c r="AC7" s="54">
        <f>SUM(AC4:AC6)</f>
        <v>1067.55</v>
      </c>
      <c r="AD7" s="54">
        <f>SUM(AD4:AD6)</f>
        <v>903.0</v>
      </c>
      <c r="AE7" s="54">
        <f>SUM(AE4:AE6)</f>
        <v>531.375</v>
      </c>
      <c r="AF7" s="54">
        <f>SUM(AF4:AF6)</f>
        <v>345.5625</v>
      </c>
    </row>
    <row r="8">
      <c r="B8" s="24" t="inlineStr">
        <is>
          <t>Risked contribution (revenue x share)</t>
        </is>
      </c>
      <c r="M8" s="55">
        <f>SUMPRODUCT(M4:M6,$K$4:$K$6)</f>
        <v>0.0</v>
      </c>
      <c r="N8" s="55">
        <f>SUMPRODUCT(N4:N6,$K$4:$K$6)</f>
        <v>0.0</v>
      </c>
      <c r="O8" s="55">
        <f>SUMPRODUCT(O4:O6,$K$4:$K$6)</f>
        <v>0.0</v>
      </c>
      <c r="P8" s="55">
        <f>SUMPRODUCT(P4:P6,$K$4:$K$6)</f>
        <v>26.328000000000003</v>
      </c>
      <c r="Q8" s="55">
        <f>SUMPRODUCT(Q4:Q6,$K$4:$K$6)</f>
        <v>65.82000000000001</v>
      </c>
      <c r="R8" s="55">
        <f>SUMPRODUCT(R4:R6,$K$4:$K$6)</f>
        <v>141.624</v>
      </c>
      <c r="S8" s="55">
        <f>SUMPRODUCT(S4:S6,$K$4:$K$6)</f>
        <v>229.00200000000004</v>
      </c>
      <c r="T8" s="55">
        <f>SUMPRODUCT(T4:T6,$K$4:$K$6)</f>
        <v>334.344</v>
      </c>
      <c r="U8" s="55">
        <f>SUMPRODUCT(U4:U6,$K$4:$K$6)</f>
        <v>429.71700000000004</v>
      </c>
      <c r="V8" s="55">
        <f>SUMPRODUCT(V4:V6,$K$4:$K$6)</f>
        <v>488.793</v>
      </c>
      <c r="W8" s="55">
        <f>SUMPRODUCT(W4:W6,$K$4:$K$6)</f>
        <v>536.295</v>
      </c>
      <c r="X8" s="55">
        <f>SUMPRODUCT(X4:X6,$K$4:$K$6)</f>
        <v>549.075</v>
      </c>
      <c r="Y8" s="55">
        <f>SUMPRODUCT(Y4:Y6,$K$4:$K$6)</f>
        <v>558.66</v>
      </c>
      <c r="Z8" s="55">
        <f>SUMPRODUCT(Z4:Z6,$K$4:$K$6)</f>
        <v>558.66</v>
      </c>
      <c r="AA8" s="55">
        <f>SUMPRODUCT(AA4:AA6,$K$4:$K$6)</f>
        <v>558.66</v>
      </c>
      <c r="AB8" s="55">
        <f>SUMPRODUCT(AB4:AB6,$K$4:$K$6)</f>
        <v>558.66</v>
      </c>
      <c r="AC8" s="55">
        <f>SUMPRODUCT(AC4:AC6,$K$4:$K$6)</f>
        <v>427.02</v>
      </c>
      <c r="AD8" s="55">
        <f>SUMPRODUCT(AD4:AD6,$K$4:$K$6)</f>
        <v>361.20000000000005</v>
      </c>
      <c r="AE8" s="55">
        <f>SUMPRODUCT(AE4:AE6,$K$4:$K$6)</f>
        <v>212.55</v>
      </c>
      <c r="AF8" s="55">
        <f>SUMPRODUCT(AF4:AF6,$K$4:$K$6)</f>
        <v>138.22500000000002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Corvus Pharmaceuticals,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0.0</v>
      </c>
      <c r="D4" s="57">
        <f>Pipeline!N7</f>
        <v>0.0</v>
      </c>
      <c r="E4" s="57">
        <f>Pipeline!O7</f>
        <v>0.0</v>
      </c>
      <c r="F4" s="57">
        <f>Pipeline!P7</f>
        <v>65.82000000000001</v>
      </c>
      <c r="G4" s="57">
        <f>Pipeline!Q7</f>
        <v>164.55</v>
      </c>
      <c r="H4" s="57">
        <f>Pipeline!R7</f>
        <v>354.06</v>
      </c>
      <c r="I4" s="57">
        <f>Pipeline!S7</f>
        <v>572.505</v>
      </c>
      <c r="J4" s="57">
        <f>Pipeline!T7</f>
        <v>835.86</v>
      </c>
      <c r="K4" s="57">
        <f>Pipeline!U7</f>
        <v>1074.2925</v>
      </c>
      <c r="L4" s="57">
        <f>Pipeline!V7</f>
        <v>1221.9825</v>
      </c>
      <c r="M4" s="57">
        <f>Pipeline!W7</f>
        <v>1340.7375000000002</v>
      </c>
      <c r="N4" s="57">
        <f>Pipeline!X7</f>
        <v>1372.6875</v>
      </c>
      <c r="O4" s="57">
        <f>Pipeline!Y7</f>
        <v>1396.65</v>
      </c>
      <c r="P4" s="57">
        <f>Pipeline!Z7</f>
        <v>1396.65</v>
      </c>
      <c r="Q4" s="57">
        <f>Pipeline!AA7</f>
        <v>1396.65</v>
      </c>
      <c r="R4" s="57">
        <f>Pipeline!AB7</f>
        <v>1396.65</v>
      </c>
      <c r="S4" s="57">
        <f>Pipeline!AC7</f>
        <v>1067.55</v>
      </c>
      <c r="T4" s="57">
        <f>Pipeline!AD7</f>
        <v>903.0</v>
      </c>
      <c r="U4" s="57">
        <f>Pipeline!AE7</f>
        <v>531.375</v>
      </c>
      <c r="V4" s="57">
        <f>Pipeline!AF7</f>
        <v>345.5625</v>
      </c>
    </row>
    <row r="5">
      <c r="A5" s="14" t="inlineStr">
        <is>
          <t>Risked contribution</t>
        </is>
      </c>
      <c r="C5" s="57">
        <f>Pipeline!M8</f>
        <v>0.0</v>
      </c>
      <c r="D5" s="57">
        <f>Pipeline!N8</f>
        <v>0.0</v>
      </c>
      <c r="E5" s="57">
        <f>Pipeline!O8</f>
        <v>0.0</v>
      </c>
      <c r="F5" s="57">
        <f>Pipeline!P8</f>
        <v>26.328000000000003</v>
      </c>
      <c r="G5" s="57">
        <f>Pipeline!Q8</f>
        <v>65.82000000000001</v>
      </c>
      <c r="H5" s="57">
        <f>Pipeline!R8</f>
        <v>141.624</v>
      </c>
      <c r="I5" s="57">
        <f>Pipeline!S8</f>
        <v>229.00200000000004</v>
      </c>
      <c r="J5" s="57">
        <f>Pipeline!T8</f>
        <v>334.344</v>
      </c>
      <c r="K5" s="57">
        <f>Pipeline!U8</f>
        <v>429.71700000000004</v>
      </c>
      <c r="L5" s="57">
        <f>Pipeline!V8</f>
        <v>488.793</v>
      </c>
      <c r="M5" s="57">
        <f>Pipeline!W8</f>
        <v>536.295</v>
      </c>
      <c r="N5" s="57">
        <f>Pipeline!X8</f>
        <v>549.075</v>
      </c>
      <c r="O5" s="57">
        <f>Pipeline!Y8</f>
        <v>558.66</v>
      </c>
      <c r="P5" s="57">
        <f>Pipeline!Z8</f>
        <v>558.66</v>
      </c>
      <c r="Q5" s="57">
        <f>Pipeline!AA8</f>
        <v>558.66</v>
      </c>
      <c r="R5" s="57">
        <f>Pipeline!AB8</f>
        <v>558.66</v>
      </c>
      <c r="S5" s="57">
        <f>Pipeline!AC8</f>
        <v>427.02</v>
      </c>
      <c r="T5" s="57">
        <f>Pipeline!AD8</f>
        <v>361.20000000000005</v>
      </c>
      <c r="U5" s="57">
        <f>Pipeline!AE8</f>
        <v>212.55</v>
      </c>
      <c r="V5" s="57">
        <f>Pipeline!AF8</f>
        <v>138.22500000000002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-56.963</v>
      </c>
      <c r="D6" s="23">
        <f>-IF(D3-2026&lt;Assumptions!$B$19,Assumptions!$B$18,Assumptions!$B$18*Assumptions!$B$20*Assumptions!$B$16)</f>
        <v>-56.963</v>
      </c>
      <c r="E6" s="23">
        <f>-IF(E3-2026&lt;Assumptions!$B$19,Assumptions!$B$18,Assumptions!$B$18*Assumptions!$B$20*Assumptions!$B$16)</f>
        <v>-56.963</v>
      </c>
      <c r="F6" s="23">
        <f>-IF(F3-2026&lt;Assumptions!$B$19,Assumptions!$B$18,Assumptions!$B$18*Assumptions!$B$20*Assumptions!$B$16)</f>
        <v>-10.172920856405684</v>
      </c>
      <c r="G6" s="23">
        <f>-IF(G3-2026&lt;Assumptions!$B$19,Assumptions!$B$18,Assumptions!$B$18*Assumptions!$B$20*Assumptions!$B$16)</f>
        <v>-10.172920856405684</v>
      </c>
      <c r="H6" s="23">
        <f>-IF(H3-2026&lt;Assumptions!$B$19,Assumptions!$B$18,Assumptions!$B$18*Assumptions!$B$20*Assumptions!$B$16)</f>
        <v>-10.172920856405684</v>
      </c>
      <c r="I6" s="23">
        <f>-IF(I3-2026&lt;Assumptions!$B$19,Assumptions!$B$18,Assumptions!$B$18*Assumptions!$B$20*Assumptions!$B$16)</f>
        <v>-10.172920856405684</v>
      </c>
      <c r="J6" s="23">
        <f>-IF(J3-2026&lt;Assumptions!$B$19,Assumptions!$B$18,Assumptions!$B$18*Assumptions!$B$20*Assumptions!$B$16)</f>
        <v>-10.172920856405684</v>
      </c>
      <c r="K6" s="23">
        <f>-IF(K3-2026&lt;Assumptions!$B$19,Assumptions!$B$18,Assumptions!$B$18*Assumptions!$B$20*Assumptions!$B$16)</f>
        <v>-10.172920856405684</v>
      </c>
      <c r="L6" s="23">
        <f>-IF(L3-2026&lt;Assumptions!$B$19,Assumptions!$B$18,Assumptions!$B$18*Assumptions!$B$20*Assumptions!$B$16)</f>
        <v>-10.172920856405684</v>
      </c>
      <c r="M6" s="23">
        <f>-IF(M3-2026&lt;Assumptions!$B$19,Assumptions!$B$18,Assumptions!$B$18*Assumptions!$B$20*Assumptions!$B$16)</f>
        <v>-10.172920856405684</v>
      </c>
      <c r="N6" s="23">
        <f>-IF(N3-2026&lt;Assumptions!$B$19,Assumptions!$B$18,Assumptions!$B$18*Assumptions!$B$20*Assumptions!$B$16)</f>
        <v>-10.172920856405684</v>
      </c>
      <c r="O6" s="23">
        <f>-IF(O3-2026&lt;Assumptions!$B$19,Assumptions!$B$18,Assumptions!$B$18*Assumptions!$B$20*Assumptions!$B$16)</f>
        <v>-10.172920856405684</v>
      </c>
      <c r="P6" s="23">
        <f>-IF(P3-2026&lt;Assumptions!$B$19,Assumptions!$B$18,Assumptions!$B$18*Assumptions!$B$20*Assumptions!$B$16)</f>
        <v>-10.172920856405684</v>
      </c>
      <c r="Q6" s="23">
        <f>-IF(Q3-2026&lt;Assumptions!$B$19,Assumptions!$B$18,Assumptions!$B$18*Assumptions!$B$20*Assumptions!$B$16)</f>
        <v>-10.172920856405684</v>
      </c>
      <c r="R6" s="23">
        <f>-IF(R3-2026&lt;Assumptions!$B$19,Assumptions!$B$18,Assumptions!$B$18*Assumptions!$B$20*Assumptions!$B$16)</f>
        <v>-10.172920856405684</v>
      </c>
      <c r="S6" s="23">
        <f>-IF(S3-2026&lt;Assumptions!$B$19,Assumptions!$B$18,Assumptions!$B$18*Assumptions!$B$20*Assumptions!$B$16)</f>
        <v>-10.172920856405684</v>
      </c>
      <c r="T6" s="23">
        <f>-IF(T3-2026&lt;Assumptions!$B$19,Assumptions!$B$18,Assumptions!$B$18*Assumptions!$B$20*Assumptions!$B$16)</f>
        <v>-10.172920856405684</v>
      </c>
      <c r="U6" s="23">
        <f>-IF(U3-2026&lt;Assumptions!$B$19,Assumptions!$B$18,Assumptions!$B$18*Assumptions!$B$20*Assumptions!$B$16)</f>
        <v>-10.172920856405684</v>
      </c>
      <c r="V6" s="23">
        <f>-IF(V3-2026&lt;Assumptions!$B$19,Assumptions!$B$18,Assumptions!$B$18*Assumptions!$B$20*Assumptions!$B$16)</f>
        <v>-10.172920856405684</v>
      </c>
    </row>
    <row r="7">
      <c r="A7" s="14" t="inlineStr">
        <is>
          <t>Pre-tax cash flow</t>
        </is>
      </c>
      <c r="C7" s="23">
        <f>C5+C6</f>
        <v>-56.963</v>
      </c>
      <c r="D7" s="23">
        <f>D5+D6</f>
        <v>-56.963</v>
      </c>
      <c r="E7" s="23">
        <f>E5+E6</f>
        <v>-56.963</v>
      </c>
      <c r="F7" s="23">
        <f>F5+F6</f>
        <v>16.15507914359432</v>
      </c>
      <c r="G7" s="23">
        <f>G5+G6</f>
        <v>55.647079143594326</v>
      </c>
      <c r="H7" s="23">
        <f>H5+H6</f>
        <v>131.4510791435943</v>
      </c>
      <c r="I7" s="23">
        <f>I5+I6</f>
        <v>218.82907914359436</v>
      </c>
      <c r="J7" s="23">
        <f>J5+J6</f>
        <v>324.1710791435943</v>
      </c>
      <c r="K7" s="23">
        <f>K5+K6</f>
        <v>419.54407914359433</v>
      </c>
      <c r="L7" s="23">
        <f>L5+L6</f>
        <v>478.6200791435943</v>
      </c>
      <c r="M7" s="23">
        <f>M5+M6</f>
        <v>526.1220791435943</v>
      </c>
      <c r="N7" s="23">
        <f>N5+N6</f>
        <v>538.9020791435944</v>
      </c>
      <c r="O7" s="23">
        <f>O5+O6</f>
        <v>548.4870791435943</v>
      </c>
      <c r="P7" s="23">
        <f>P5+P6</f>
        <v>548.4870791435943</v>
      </c>
      <c r="Q7" s="23">
        <f>Q5+Q6</f>
        <v>548.4870791435943</v>
      </c>
      <c r="R7" s="23">
        <f>R5+R6</f>
        <v>548.4870791435943</v>
      </c>
      <c r="S7" s="23">
        <f>S5+S6</f>
        <v>416.84707914359427</v>
      </c>
      <c r="T7" s="23">
        <f>T5+T6</f>
        <v>351.02707914359434</v>
      </c>
      <c r="U7" s="23">
        <f>U5+U6</f>
        <v>202.37707914359433</v>
      </c>
      <c r="V7" s="23">
        <f>V5+V6</f>
        <v>128.05207914359434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16.15507914359432</v>
      </c>
      <c r="G8" s="23">
        <f>MIN(F17,MAX(0,G7))</f>
        <v>55.647079143594326</v>
      </c>
      <c r="H8" s="23">
        <f>MIN(G17,MAX(0,H7))</f>
        <v>131.4510791435943</v>
      </c>
      <c r="I8" s="23">
        <f>MIN(H17,MAX(0,I7))</f>
        <v>218.82907914359436</v>
      </c>
      <c r="J8" s="23">
        <f>MIN(I17,MAX(0,J7))</f>
        <v>160.9066834256227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163.26439571797158</v>
      </c>
      <c r="K9" s="23">
        <f>MAX(0,K7)-K8</f>
        <v>419.54407914359433</v>
      </c>
      <c r="L9" s="23">
        <f>MAX(0,L7)-L8</f>
        <v>478.6200791435943</v>
      </c>
      <c r="M9" s="23">
        <f>MAX(0,M7)-M8</f>
        <v>526.1220791435943</v>
      </c>
      <c r="N9" s="23">
        <f>MAX(0,N7)-N8</f>
        <v>538.9020791435944</v>
      </c>
      <c r="O9" s="23">
        <f>MAX(0,O7)-O8</f>
        <v>548.4870791435943</v>
      </c>
      <c r="P9" s="23">
        <f>MAX(0,P7)-P8</f>
        <v>548.4870791435943</v>
      </c>
      <c r="Q9" s="23">
        <f>MAX(0,Q7)-Q8</f>
        <v>548.4870791435943</v>
      </c>
      <c r="R9" s="23">
        <f>MAX(0,R7)-R8</f>
        <v>548.4870791435943</v>
      </c>
      <c r="S9" s="23">
        <f>MAX(0,S7)-S8</f>
        <v>416.84707914359427</v>
      </c>
      <c r="T9" s="23">
        <f>MAX(0,T7)-T8</f>
        <v>351.02707914359434</v>
      </c>
      <c r="U9" s="23">
        <f>MAX(0,U7)-U8</f>
        <v>202.37707914359433</v>
      </c>
      <c r="V9" s="23">
        <f>MAX(0,V7)-V8</f>
        <v>128.05207914359434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34.28552310077403</v>
      </c>
      <c r="K10" s="23">
        <f>K9*Assumptions!$E$15</f>
        <v>88.1042566201548</v>
      </c>
      <c r="L10" s="23">
        <f>L9*Assumptions!$E$15</f>
        <v>100.5102166201548</v>
      </c>
      <c r="M10" s="23">
        <f>M9*Assumptions!$E$15</f>
        <v>110.4856366201548</v>
      </c>
      <c r="N10" s="23">
        <f>N9*Assumptions!$E$15</f>
        <v>113.16943662015481</v>
      </c>
      <c r="O10" s="23">
        <f>O9*Assumptions!$E$15</f>
        <v>115.1822866201548</v>
      </c>
      <c r="P10" s="23">
        <f>P9*Assumptions!$E$15</f>
        <v>115.1822866201548</v>
      </c>
      <c r="Q10" s="23">
        <f>Q9*Assumptions!$E$15</f>
        <v>115.1822866201548</v>
      </c>
      <c r="R10" s="23">
        <f>R9*Assumptions!$E$15</f>
        <v>115.1822866201548</v>
      </c>
      <c r="S10" s="23">
        <f>S9*Assumptions!$E$15</f>
        <v>87.5378866201548</v>
      </c>
      <c r="T10" s="23">
        <f>T9*Assumptions!$E$15</f>
        <v>73.71568662015481</v>
      </c>
      <c r="U10" s="23">
        <f>U9*Assumptions!$E$15</f>
        <v>42.49918662015481</v>
      </c>
      <c r="V10" s="23">
        <f>V9*Assumptions!$E$15</f>
        <v>26.89093662015481</v>
      </c>
    </row>
    <row r="11">
      <c r="A11" s="24" t="inlineStr">
        <is>
          <t>Free cash flow</t>
        </is>
      </c>
      <c r="C11" s="55">
        <f>C7-C10</f>
        <v>-56.963</v>
      </c>
      <c r="D11" s="55">
        <f>D7-D10</f>
        <v>-56.963</v>
      </c>
      <c r="E11" s="55">
        <f>E7-E10</f>
        <v>-56.963</v>
      </c>
      <c r="F11" s="55">
        <f>F7-F10</f>
        <v>16.15507914359432</v>
      </c>
      <c r="G11" s="55">
        <f>G7-G10</f>
        <v>55.647079143594326</v>
      </c>
      <c r="H11" s="55">
        <f>H7-H10</f>
        <v>131.4510791435943</v>
      </c>
      <c r="I11" s="55">
        <f>I7-I10</f>
        <v>218.82907914359436</v>
      </c>
      <c r="J11" s="55">
        <f>J7-J10</f>
        <v>289.88555604282027</v>
      </c>
      <c r="K11" s="55">
        <f>K7-K10</f>
        <v>331.43982252343955</v>
      </c>
      <c r="L11" s="55">
        <f>L7-L10</f>
        <v>378.1098625234395</v>
      </c>
      <c r="M11" s="55">
        <f>M7-M10</f>
        <v>415.6364425234395</v>
      </c>
      <c r="N11" s="55">
        <f>N7-N10</f>
        <v>425.7326425234396</v>
      </c>
      <c r="O11" s="55">
        <f>O7-O10</f>
        <v>433.3047925234395</v>
      </c>
      <c r="P11" s="55">
        <f>P7-P10</f>
        <v>433.3047925234395</v>
      </c>
      <c r="Q11" s="55">
        <f>Q7-Q10</f>
        <v>433.3047925234395</v>
      </c>
      <c r="R11" s="55">
        <f>R7-R10</f>
        <v>433.3047925234395</v>
      </c>
      <c r="S11" s="55">
        <f>S7-S10</f>
        <v>329.3091925234395</v>
      </c>
      <c r="T11" s="55">
        <f>T7-T10</f>
        <v>277.3113925234395</v>
      </c>
      <c r="U11" s="55">
        <f>U7-U10</f>
        <v>159.87789252343953</v>
      </c>
      <c r="V11" s="55">
        <f>V7-V10</f>
        <v>101.16114252343954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-27.906421432922148</v>
      </c>
      <c r="D16" s="55">
        <f>D11*D15</f>
        <v>-50.836195023513284</v>
      </c>
      <c r="E16" s="55">
        <f>E11*E15</f>
        <v>-45.38945984242256</v>
      </c>
      <c r="F16" s="55">
        <f>F11*F15</f>
        <v>11.49352455665665</v>
      </c>
      <c r="G16" s="55">
        <f>G11*G15</f>
        <v>35.348296488312535</v>
      </c>
      <c r="H16" s="55">
        <f>H11*H15</f>
        <v>74.55422302846071</v>
      </c>
      <c r="I16" s="55">
        <f>I11*I15</f>
        <v>110.81412023253301</v>
      </c>
      <c r="J16" s="55">
        <f>J11*J15</f>
        <v>131.0685889560204</v>
      </c>
      <c r="K16" s="55">
        <f>K11*K15</f>
        <v>133.80080073357135</v>
      </c>
      <c r="L16" s="55">
        <f>L11*L15</f>
        <v>136.28686688914846</v>
      </c>
      <c r="M16" s="55">
        <f>M11*M15</f>
        <v>133.76164417443914</v>
      </c>
      <c r="N16" s="55">
        <f>N11*N15</f>
        <v>122.33110739616028</v>
      </c>
      <c r="O16" s="55">
        <f>O11*O15</f>
        <v>111.16688246623464</v>
      </c>
      <c r="P16" s="55">
        <f>P11*P15</f>
        <v>99.25614505913806</v>
      </c>
      <c r="Q16" s="55">
        <f>Q11*Q15</f>
        <v>88.62155808851612</v>
      </c>
      <c r="R16" s="55">
        <f>R11*R15</f>
        <v>79.12639115046082</v>
      </c>
      <c r="S16" s="55">
        <f>S11*S15</f>
        <v>53.69250885177709</v>
      </c>
      <c r="T16" s="55">
        <f>T11*T15</f>
        <v>40.37007278041702</v>
      </c>
      <c r="U16" s="55">
        <f>U11*U15</f>
        <v>20.780797621001224</v>
      </c>
      <c r="V16" s="55">
        <f>V11*V15</f>
        <v>11.740037956850719</v>
      </c>
    </row>
    <row r="17">
      <c r="A17" s="14" t="inlineStr">
        <is>
          <t>Tax-loss carryforward, end of year</t>
        </is>
      </c>
      <c r="C17" s="23">
        <f>Assumptions!$B$21-C8+MAX(0,-C7)</f>
        <v>469.06300000000005</v>
      </c>
      <c r="D17" s="23">
        <f>C17-D8+MAX(0,-D7)</f>
        <v>526.0260000000001</v>
      </c>
      <c r="E17" s="23">
        <f>D17-E8+MAX(0,-E7)</f>
        <v>582.989</v>
      </c>
      <c r="F17" s="23">
        <f>E17-F8+MAX(0,-F7)</f>
        <v>566.8339208564057</v>
      </c>
      <c r="G17" s="23">
        <f>F17-G8+MAX(0,-G7)</f>
        <v>511.1868417128114</v>
      </c>
      <c r="H17" s="23">
        <f>G17-H8+MAX(0,-H7)</f>
        <v>379.73576256921706</v>
      </c>
      <c r="I17" s="23">
        <f>H17-I8+MAX(0,-I7)</f>
        <v>160.9066834256227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1741.4732421756798</v>
      </c>
    </row>
    <row r="20">
      <c r="A20" s="14" t="inlineStr">
        <is>
          <t>PV of corporate burn</t>
        </is>
      </c>
      <c r="B20" s="23">
        <f>SUMPRODUCT(C6:V6,C15:V15)</f>
        <v>-181.84396413839363</v>
      </c>
    </row>
    <row r="21">
      <c r="A21" s="14" t="inlineStr">
        <is>
          <t>PV of taxes</t>
        </is>
      </c>
      <c r="B21" s="23">
        <f>-SUMPRODUCT(C10:V10,C15:V15)</f>
        <v>-289.54778790644605</v>
      </c>
    </row>
    <row r="22">
      <c r="A22" s="24" t="inlineStr">
        <is>
          <t>Pipeline rNPV (operations)</t>
        </is>
      </c>
      <c r="B22" s="54">
        <f>SUM(C16:V16)</f>
        <v>1270.0814901308404</v>
      </c>
    </row>
    <row r="23">
      <c r="A23" s="14" t="inlineStr">
        <is>
          <t>Cash &amp; investments</t>
        </is>
      </c>
      <c r="B23" s="57">
        <f>Main!C7</f>
        <v>215.228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1485.3094901308405</v>
      </c>
    </row>
    <row r="26">
      <c r="A26" s="14" t="inlineStr">
        <is>
          <t>Shares (mm)</t>
        </is>
      </c>
      <c r="B26" s="57">
        <f>Main!C4</f>
        <v>84.120944</v>
      </c>
    </row>
    <row r="27">
      <c r="A27" s="24" t="inlineStr">
        <is>
          <t>rNPV / share</t>
        </is>
      </c>
      <c r="B27" s="60">
        <f>B25/B26</f>
        <v>17.656833358061704</v>
      </c>
    </row>
    <row r="28">
      <c r="A28" s="14" t="inlineStr">
        <is>
          <t>Price</t>
        </is>
      </c>
      <c r="B28" s="61">
        <f>Main!C3</f>
        <v>10.23</v>
      </c>
    </row>
    <row r="29">
      <c r="A29" s="14" t="inlineStr">
        <is>
          <t>Upside</t>
        </is>
      </c>
      <c r="B29" s="62">
        <f>B27/B28-1</f>
        <v>0.7259856654996777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2026-10-21T06:24:19Z</dcterms:modified>
  <cp:lastModifiedBy>Wang, Eric</cp:lastModifiedBy>
</cp:coreProperties>
</file>