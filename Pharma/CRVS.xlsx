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Corvus Pharmaceuticals, Inc.</t>
        </is>
      </c>
      <c r="C2" s="10" t="n"/>
    </row>
    <row r="3">
      <c r="B3" t="inlineStr">
        <is>
          <t>Price</t>
        </is>
      </c>
      <c r="C3" s="11">
        <f>INDEX([1]Pharma!$F$1:$F$1000,MATCH("CRVS",[1]Pharma!$B$1:$B$1000,0))</f>
        <v>10.23</v>
      </c>
      <c r="F3" s="1" t="n"/>
    </row>
    <row r="4">
      <c r="B4" t="inlineStr">
        <is>
          <t>Shares</t>
        </is>
      </c>
      <c r="C4" s="21" t="n">
        <v>84.12094399999999</v>
      </c>
      <c r="F4" s="1" t="n"/>
    </row>
    <row r="5">
      <c r="B5" t="inlineStr">
        <is>
          <t>Market Cap.</t>
        </is>
      </c>
      <c r="C5" s="13">
        <f>C3*C4</f>
        <v>860.55725712</v>
      </c>
      <c r="F5" s="1" t="n"/>
    </row>
    <row r="6"/>
    <row r="7">
      <c r="B7" t="inlineStr">
        <is>
          <t>Cash</t>
        </is>
      </c>
      <c r="C7" s="21">
        <f>18.905+196.323</f>
        <v>215.228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645.32925712</v>
      </c>
    </row>
    <row r="10"/>
    <row r="11">
      <c r="B11" s="14" t="inlineStr">
        <is>
          <t>Net Cash / Share</t>
        </is>
      </c>
      <c r="C11" s="11">
        <f>(C7-C8)/C4</f>
        <v>2.55855426444097</v>
      </c>
    </row>
    <row r="12">
      <c r="B12" s="14" t="inlineStr">
        <is>
          <t>Upside</t>
        </is>
      </c>
      <c r="C12" s="15">
        <f>IFERROR(C11/C3-1,"")</f>
        <v>-0.7498969438474126</v>
      </c>
    </row>
    <row r="13">
      <c r="B13" s="14" t="inlineStr">
        <is>
          <t>Cash / Share</t>
        </is>
      </c>
      <c r="C13" s="11">
        <f>IFERROR((C7-C8)/C4,"")</f>
        <v>2.55855426444097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-44.529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4.833434391070988</v>
      </c>
    </row>
    <row r="19">
      <c r="B19" s="14" t="inlineStr">
        <is>
          <t>Implied Pipeline Value</t>
        </is>
      </c>
      <c r="C19" s="13">
        <f>C9</f>
        <v>645.32925712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11.352</v>
      </c>
      <c r="C5" s="23" t="n">
        <v>29.356</v>
      </c>
      <c r="D5" s="23" t="n">
        <v>46.305</v>
      </c>
      <c r="E5" s="23" t="n">
        <v>38.586</v>
      </c>
      <c r="F5" s="23" t="n">
        <v>37.975</v>
      </c>
      <c r="G5" s="23" t="n">
        <v>31.83</v>
      </c>
      <c r="H5" s="23" t="n">
        <v>29.115</v>
      </c>
      <c r="I5" s="23" t="n">
        <v>24.468</v>
      </c>
      <c r="J5" s="23" t="n">
        <v>16.526</v>
      </c>
      <c r="K5" s="23" t="n">
        <v>19.385</v>
      </c>
      <c r="L5" s="23" t="n">
        <v>33.719</v>
      </c>
    </row>
    <row r="6">
      <c r="A6" s="19" t="inlineStr">
        <is>
          <t>SG&amp;A &amp; Other</t>
        </is>
      </c>
      <c r="B6" s="23" t="n">
        <v>2.418</v>
      </c>
      <c r="C6" s="23" t="n">
        <v>7.62</v>
      </c>
      <c r="D6" s="23" t="n">
        <v>10.219</v>
      </c>
      <c r="E6" s="23" t="n">
        <v>10.636</v>
      </c>
      <c r="F6" s="23" t="n">
        <v>10.879</v>
      </c>
      <c r="G6" s="23" t="n">
        <v>11.93</v>
      </c>
      <c r="H6" s="23" t="n">
        <v>9.515000000000001</v>
      </c>
      <c r="I6" s="23" t="n">
        <v>8.097</v>
      </c>
      <c r="J6" s="23" t="n">
        <v>6.881</v>
      </c>
      <c r="K6" s="23" t="n">
        <v>8.163</v>
      </c>
      <c r="L6" s="23" t="n">
        <v>9.252000000000001</v>
      </c>
    </row>
    <row r="7">
      <c r="A7" s="2" t="inlineStr">
        <is>
          <t>Operating Expense</t>
        </is>
      </c>
      <c r="B7" s="23">
        <f>SUM(B5:B6)</f>
        <v>13.77</v>
      </c>
      <c r="C7" s="23">
        <f>SUM(C5:C6)</f>
        <v>36.976</v>
      </c>
      <c r="D7" s="23">
        <f>SUM(D5:D6)</f>
        <v>56.524</v>
      </c>
      <c r="E7" s="23">
        <f>SUM(E5:E6)</f>
        <v>49.221999999999994</v>
      </c>
      <c r="F7" s="23">
        <f>SUM(F5:F6)</f>
        <v>48.854</v>
      </c>
      <c r="G7" s="23">
        <f>SUM(G5:G6)</f>
        <v>43.76</v>
      </c>
      <c r="H7" s="23">
        <f>SUM(H5:H6)</f>
        <v>38.629999999999995</v>
      </c>
      <c r="I7" s="23">
        <f>SUM(I5:I6)</f>
        <v>32.565</v>
      </c>
      <c r="J7" s="23">
        <f>SUM(J5:J6)</f>
        <v>23.407</v>
      </c>
      <c r="K7" s="23">
        <f>SUM(K5:K6)</f>
        <v>27.548000000000002</v>
      </c>
      <c r="L7" s="23">
        <f>SUM(L5:L6)</f>
        <v>42.971000000000004</v>
      </c>
    </row>
    <row r="8">
      <c r="A8" s="2" t="inlineStr">
        <is>
          <t>Operating Income</t>
        </is>
      </c>
      <c r="B8" s="23">
        <f>B4-B7</f>
        <v>-13.77</v>
      </c>
      <c r="C8" s="23">
        <f>C4-C7</f>
        <v>-36.976</v>
      </c>
      <c r="D8" s="23">
        <f>D4-D7</f>
        <v>-56.524</v>
      </c>
      <c r="E8" s="23">
        <f>E4-E7</f>
        <v>-49.221999999999994</v>
      </c>
      <c r="F8" s="23">
        <f>F4-F7</f>
        <v>-48.854</v>
      </c>
      <c r="G8" s="23">
        <f>G4-G7</f>
        <v>-43.76</v>
      </c>
      <c r="H8" s="23">
        <f>H4-H7</f>
        <v>-38.629999999999995</v>
      </c>
      <c r="I8" s="23">
        <f>I4-I7</f>
        <v>-32.565</v>
      </c>
      <c r="J8" s="23">
        <f>J4-J7</f>
        <v>-23.407</v>
      </c>
      <c r="K8" s="23">
        <f>K4-K7</f>
        <v>-27.548000000000002</v>
      </c>
      <c r="L8" s="23">
        <f>L4-L7</f>
        <v>-42.971000000000004</v>
      </c>
    </row>
    <row r="9">
      <c r="A9" s="19" t="inlineStr">
        <is>
          <t>Interest &amp; Other</t>
        </is>
      </c>
      <c r="B9" s="23" t="n">
        <v>-17.565</v>
      </c>
      <c r="C9" s="23" t="n">
        <v>0.601</v>
      </c>
      <c r="D9" s="23" t="n">
        <v>0.861</v>
      </c>
      <c r="E9" s="23" t="n">
        <v>2.283</v>
      </c>
      <c r="F9" s="23" t="n">
        <v>2.182</v>
      </c>
      <c r="G9" s="23" t="n">
        <v>37.765</v>
      </c>
      <c r="H9" s="23" t="n">
        <v>-4.611</v>
      </c>
      <c r="I9" s="23" t="n">
        <v>-8.742000000000001</v>
      </c>
      <c r="J9" s="23" t="n">
        <v>-3.593</v>
      </c>
      <c r="K9" s="23" t="n">
        <v>-34.752</v>
      </c>
      <c r="L9" s="23" t="n">
        <v>27.671</v>
      </c>
    </row>
    <row r="10">
      <c r="A10" s="2" t="inlineStr">
        <is>
          <t>Pretax</t>
        </is>
      </c>
      <c r="B10" s="23">
        <f>B8+B9</f>
        <v>-31.335</v>
      </c>
      <c r="C10" s="23">
        <f>C8+C9</f>
        <v>-36.375</v>
      </c>
      <c r="D10" s="23">
        <f>D8+D9</f>
        <v>-55.663000000000004</v>
      </c>
      <c r="E10" s="23">
        <f>E8+E9</f>
        <v>-46.93899999999999</v>
      </c>
      <c r="F10" s="23">
        <f>F8+F9</f>
        <v>-46.672</v>
      </c>
      <c r="G10" s="23">
        <f>G8+G9</f>
        <v>-5.994999999999997</v>
      </c>
      <c r="H10" s="23">
        <f>H8+H9</f>
        <v>-43.24099999999999</v>
      </c>
      <c r="I10" s="23">
        <f>I8+I9</f>
        <v>-41.307</v>
      </c>
      <c r="J10" s="23">
        <f>J8+J9</f>
        <v>-27.0</v>
      </c>
      <c r="K10" s="23">
        <f>K8+K9</f>
        <v>-62.300000000000004</v>
      </c>
      <c r="L10" s="23">
        <f>L8+L9</f>
        <v>-15.300000000000004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-31.335</v>
      </c>
      <c r="C12" s="23" t="n">
        <v>-36.375</v>
      </c>
      <c r="D12" s="23" t="n">
        <v>-55.663</v>
      </c>
      <c r="E12" s="23" t="n">
        <v>-46.939</v>
      </c>
      <c r="F12" s="23" t="n">
        <v>-46.672</v>
      </c>
      <c r="G12" s="23" t="n">
        <v>-5.995</v>
      </c>
      <c r="H12" s="23" t="n">
        <v>-43.241</v>
      </c>
      <c r="I12" s="23" t="n">
        <v>-41.307</v>
      </c>
      <c r="J12" s="23" t="n">
        <v>-27</v>
      </c>
      <c r="K12" s="23" t="n">
        <v>-62.3</v>
      </c>
      <c r="L12" s="23" t="n">
        <v>-15.3</v>
      </c>
    </row>
    <row r="13">
      <c r="A13" s="2" t="inlineStr">
        <is>
          <t>Earnings per Share</t>
        </is>
      </c>
      <c r="B13" s="11">
        <f>IFERROR(B12/B14,0)</f>
        <v>-2.0454990534630197</v>
      </c>
      <c r="C13" s="11">
        <f>IFERROR(C12/C14,0)</f>
        <v>-2.3586434963039813</v>
      </c>
      <c r="D13" s="11">
        <f>IFERROR(D12/D14,0)</f>
        <v>-2.716726048123383</v>
      </c>
      <c r="E13" s="11">
        <f>IFERROR(E12/E14,0)</f>
        <v>-1.7062522719011268</v>
      </c>
      <c r="F13" s="11">
        <f>IFERROR(F12/F14,0)</f>
        <v>-1.5901873935264053</v>
      </c>
      <c r="G13" s="11">
        <f>IFERROR(G12/G14,0)</f>
        <v>-0.20336510736456462</v>
      </c>
      <c r="H13" s="11">
        <f>IFERROR(H12/H14,0)</f>
        <v>-1.0331390070244182</v>
      </c>
      <c r="I13" s="11">
        <f>IFERROR(I12/I14,0)</f>
        <v>-0.8872921768269106</v>
      </c>
      <c r="J13" s="11">
        <f>IFERROR(J12/J14,0)</f>
        <v>-0.5622071837584591</v>
      </c>
      <c r="K13" s="11">
        <f>IFERROR(K12/K14,0)</f>
        <v>-1.0215626793473804</v>
      </c>
      <c r="L13" s="11">
        <f>IFERROR(L12/L14,0)</f>
        <v>-0.19186637071592494</v>
      </c>
    </row>
    <row r="14">
      <c r="A14" s="2" t="inlineStr">
        <is>
          <t>Shares</t>
        </is>
      </c>
      <c r="B14" s="23" t="n">
        <v>15.319</v>
      </c>
      <c r="C14" s="23" t="n">
        <v>15.422</v>
      </c>
      <c r="D14" s="23" t="n">
        <v>20.489</v>
      </c>
      <c r="E14" s="23" t="n">
        <v>27.51</v>
      </c>
      <c r="F14" s="23" t="n">
        <v>29.35</v>
      </c>
      <c r="G14" s="23" t="n">
        <v>29.479</v>
      </c>
      <c r="H14" s="23" t="n">
        <v>41.854</v>
      </c>
      <c r="I14" s="23" t="n">
        <v>46.554</v>
      </c>
      <c r="J14" s="23" t="n">
        <v>48.025</v>
      </c>
      <c r="K14" s="23" t="n">
        <v>60.985</v>
      </c>
      <c r="L14" s="23" t="n">
        <v>79.74299999999999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2026-10-21T01:04:56Z</dcterms:modified>
  <cp:lastModifiedBy>Wang, Eric</cp:lastModifiedBy>
</cp:coreProperties>
</file>