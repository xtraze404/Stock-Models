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Royalty Pharma PLC</t>
        </is>
      </c>
      <c r="C2" s="10" t="n"/>
    </row>
    <row r="3">
      <c r="B3" t="inlineStr">
        <is>
          <t>Price</t>
        </is>
      </c>
      <c r="C3" s="11">
        <f>INDEX([1]Pharma!$F$1:$F$1000,MATCH("RPRX",[1]Pharma!$B$1:$B$1000,0))</f>
        <v>62.25</v>
      </c>
      <c r="F3" s="1" t="n"/>
    </row>
    <row r="4">
      <c r="B4" t="inlineStr">
        <is>
          <t>Shares</t>
        </is>
      </c>
      <c r="C4" s="51" t="n">
        <v>575.001204</v>
      </c>
      <c r="F4" s="1" t="n"/>
    </row>
    <row r="5">
      <c r="B5" t="inlineStr">
        <is>
          <t>Market Cap.</t>
        </is>
      </c>
      <c r="C5" s="13">
        <f>C3*C4</f>
        <v>35793.824949</v>
      </c>
      <c r="F5" s="1" t="n"/>
    </row>
    <row r="6"/>
    <row r="7">
      <c r="B7" t="inlineStr">
        <is>
          <t>Cash</t>
        </is>
      </c>
      <c r="C7" s="51">
        <f>811.986+25</f>
        <v>836.986</v>
      </c>
    </row>
    <row r="8">
      <c r="B8" t="inlineStr">
        <is>
          <t>Debt</t>
        </is>
      </c>
      <c r="C8" s="51">
        <f>380+8581.892</f>
        <v>8961.892</v>
      </c>
    </row>
    <row r="9">
      <c r="B9" t="inlineStr">
        <is>
          <t>Enterprise V.</t>
        </is>
      </c>
      <c r="C9" s="13">
        <f>C5-C7+C8</f>
        <v>43918.730949000004</v>
      </c>
    </row>
    <row r="10"/>
    <row r="11">
      <c r="B11" s="14" t="inlineStr">
        <is>
          <t>NPV / Share</t>
        </is>
      </c>
      <c r="C11" s="11">
        <f>NPV!B28</f>
        <v>25.647486483584522</v>
      </c>
    </row>
    <row r="12">
      <c r="B12" s="14" t="inlineStr">
        <is>
          <t>Upside</t>
        </is>
      </c>
      <c r="C12" s="15">
        <f>IFERROR(C11/C3-1,"")</f>
        <v>-0.5879921850026583</v>
      </c>
    </row>
    <row r="13">
      <c r="B13" s="14" t="inlineStr">
        <is>
          <t>Cash / Share</t>
        </is>
      </c>
      <c r="C13" s="11">
        <f>IFERROR((C7-C8)/C4,"")</f>
        <v>-14.130241716850387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1794.894</v>
      </c>
      <c r="C2" s="52" t="n">
        <v>1814.254</v>
      </c>
      <c r="D2" s="52" t="n">
        <v>2122.353</v>
      </c>
      <c r="E2" s="52" t="n">
        <v>2289.463</v>
      </c>
      <c r="F2" s="52" t="n">
        <v>2237.215</v>
      </c>
      <c r="G2" s="52" t="n">
        <v>2354.554</v>
      </c>
      <c r="H2" s="52" t="n">
        <v>2263.576</v>
      </c>
      <c r="I2" s="52" t="n">
        <v>2378.193</v>
      </c>
      <c r="J2" s="52">
        <f>I2*(1+NPV!C5)</f>
        <v>2498.5295658</v>
      </c>
      <c r="K2" s="52">
        <f>J2*(1+NPV!D5)</f>
        <v>2617.84823328676</v>
      </c>
      <c r="L2" s="52">
        <f>K2*(1+NPV!E5)</f>
        <v>2735.4187061639277</v>
      </c>
      <c r="M2" s="52">
        <f>L2*(1+NPV!F5)</f>
        <v>2850.4886530698905</v>
      </c>
      <c r="N2" s="52">
        <f>M2*(1+NPV!G5)</f>
        <v>2962.2911524625206</v>
      </c>
      <c r="O2" s="52">
        <f>N2*(1+NPV!H5)</f>
        <v>3070.0527217198796</v>
      </c>
      <c r="P2" s="52">
        <f>O2*(1+NPV!I5)</f>
        <v>3173.00182298822</v>
      </c>
      <c r="Q2" s="52">
        <f>P2*(1+NPV!J5)</f>
        <v>3270.3777233781475</v>
      </c>
      <c r="R2" s="52">
        <f>Q2*(1+NPV!K5)</f>
        <v>3361.4395742090987</v>
      </c>
      <c r="S2" s="52">
        <f>R2*(1+NPV!L5)</f>
        <v>3445.475563564326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>
        <f>J2*(1-Assumptions!$B$19)</f>
        <v>0.0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</row>
    <row r="4" customFormat="1" s="1">
      <c r="A4" s="5" t="inlineStr">
        <is>
          <t>Gross Margin</t>
        </is>
      </c>
      <c r="B4" s="52">
        <f>B2-B3</f>
        <v>1794.894</v>
      </c>
      <c r="C4" s="52">
        <f>C2-C3</f>
        <v>1814.254</v>
      </c>
      <c r="D4" s="52">
        <f>D2-D3</f>
        <v>2122.353</v>
      </c>
      <c r="E4" s="52">
        <f>E2-E3</f>
        <v>2289.463</v>
      </c>
      <c r="F4" s="52">
        <f>F2-F3</f>
        <v>2237.215</v>
      </c>
      <c r="G4" s="52">
        <f>G2-G3</f>
        <v>2354.554</v>
      </c>
      <c r="H4" s="52">
        <f>H2-H3</f>
        <v>2263.576</v>
      </c>
      <c r="I4" s="52">
        <f>I2-I3</f>
        <v>2378.193</v>
      </c>
      <c r="J4" s="52">
        <f>J2-J3</f>
        <v>2498.5295658</v>
      </c>
      <c r="K4" s="52">
        <f>K2-K3</f>
        <v>2617.84823328676</v>
      </c>
      <c r="L4" s="52">
        <f>L2-L3</f>
        <v>2735.4187061639277</v>
      </c>
      <c r="M4" s="52">
        <f>M2-M3</f>
        <v>2850.4886530698905</v>
      </c>
      <c r="N4" s="52">
        <f>N2-N3</f>
        <v>2962.2911524625206</v>
      </c>
      <c r="O4" s="52">
        <f>O2-O3</f>
        <v>3070.0527217198796</v>
      </c>
      <c r="P4" s="52">
        <f>P2-P3</f>
        <v>3173.00182298822</v>
      </c>
      <c r="Q4" s="52">
        <f>Q2-Q3</f>
        <v>3270.3777233781475</v>
      </c>
      <c r="R4" s="52">
        <f>R2-R3</f>
        <v>3361.4395742090987</v>
      </c>
      <c r="S4" s="52">
        <f>S2-S3</f>
        <v>3445.475563564326</v>
      </c>
    </row>
    <row r="5">
      <c r="A5" s="2" t="inlineStr">
        <is>
          <t>Research &amp; Dev.</t>
        </is>
      </c>
      <c r="B5" s="52" t="n">
        <v>392.609</v>
      </c>
      <c r="C5" s="52" t="n">
        <v>83.036</v>
      </c>
      <c r="D5" s="52" t="n">
        <v>26.289</v>
      </c>
      <c r="E5" s="52" t="n">
        <v>200.084</v>
      </c>
      <c r="F5" s="52" t="n">
        <v>177.106</v>
      </c>
      <c r="G5" s="52" t="n">
        <v>52</v>
      </c>
      <c r="H5" s="52" t="n">
        <v>2</v>
      </c>
      <c r="I5" s="52" t="n">
        <v>452</v>
      </c>
      <c r="J5" s="52">
        <f>J7*Assumptions!$B$20</f>
        <v>556.6170972994785</v>
      </c>
      <c r="K5" s="52">
        <f>K7*Assumptions!$B$20</f>
        <v>582.6349835489928</v>
      </c>
      <c r="L5" s="52">
        <f>L7*Assumptions!$B$20</f>
        <v>608.2127804119895</v>
      </c>
      <c r="M5" s="52">
        <f>M7*Assumptions!$B$20</f>
        <v>633.1845003416968</v>
      </c>
      <c r="N5" s="52">
        <f>N7*Assumptions!$B$20</f>
        <v>657.3815659531085</v>
      </c>
      <c r="O5" s="52">
        <f>O7*Assumptions!$B$20</f>
        <v>680.6346057925704</v>
      </c>
      <c r="P5" s="52">
        <f>P7*Assumptions!$B$20</f>
        <v>702.7753453272907</v>
      </c>
      <c r="Q5" s="52">
        <f>Q7*Assumptions!$B$20</f>
        <v>723.6385653528703</v>
      </c>
      <c r="R5" s="52">
        <f>R7*Assumptions!$B$20</f>
        <v>743.0640973760167</v>
      </c>
      <c r="S5" s="52">
        <f>S7*Assumptions!$B$20</f>
        <v>760.898823457546</v>
      </c>
    </row>
    <row r="6">
      <c r="A6" s="18" t="inlineStr">
        <is>
          <t>SG&amp;A &amp; Other</t>
        </is>
      </c>
      <c r="B6" s="52" t="n">
        <v>37.839</v>
      </c>
      <c r="C6" s="52" t="n">
        <v>-891.958</v>
      </c>
      <c r="D6" s="52" t="n">
        <v>500.665</v>
      </c>
      <c r="E6" s="52" t="n">
        <v>658.664</v>
      </c>
      <c r="F6" s="52" t="n">
        <v>1753.044</v>
      </c>
      <c r="G6" s="52" t="n">
        <v>810.404</v>
      </c>
      <c r="H6" s="52" t="n">
        <v>969.1319999999999</v>
      </c>
      <c r="I6" s="52" t="n">
        <v>366.675</v>
      </c>
      <c r="J6" s="52">
        <f>J7-J5</f>
        <v>451.56456779647965</v>
      </c>
      <c r="K6" s="52">
        <f>K7-K5</f>
        <v>472.671996253566</v>
      </c>
      <c r="L6" s="52">
        <f>L7-L5</f>
        <v>493.4223951214093</v>
      </c>
      <c r="M6" s="52">
        <f>M7-M5</f>
        <v>513.681104334443</v>
      </c>
      <c r="N6" s="52">
        <f>N7-N5</f>
        <v>533.3113627792018</v>
      </c>
      <c r="O6" s="52">
        <f>O7-O5</f>
        <v>552.1757651412646</v>
      </c>
      <c r="P6" s="52">
        <f>P7-P5</f>
        <v>570.1377960008937</v>
      </c>
      <c r="Q6" s="52">
        <f>Q7-Q5</f>
        <v>587.0634186226237</v>
      </c>
      <c r="R6" s="52">
        <f>R7-R5</f>
        <v>602.8226937415645</v>
      </c>
      <c r="S6" s="52">
        <f>S7-S5</f>
        <v>617.2914019681847</v>
      </c>
    </row>
    <row r="7">
      <c r="A7" s="2" t="inlineStr">
        <is>
          <t>Operating Expense</t>
        </is>
      </c>
      <c r="B7" s="52">
        <f>SUM(B5:B6)</f>
        <v>430.448</v>
      </c>
      <c r="C7" s="52">
        <f>SUM(C5:C6)</f>
        <v>-808.922</v>
      </c>
      <c r="D7" s="52">
        <f>SUM(D5:D6)</f>
        <v>526.9540000000001</v>
      </c>
      <c r="E7" s="52">
        <f>SUM(E5:E6)</f>
        <v>858.748</v>
      </c>
      <c r="F7" s="52">
        <f>SUM(F5:F6)</f>
        <v>1930.15</v>
      </c>
      <c r="G7" s="52">
        <f>SUM(G5:G6)</f>
        <v>862.404</v>
      </c>
      <c r="H7" s="52">
        <f>SUM(H5:H6)</f>
        <v>971.132</v>
      </c>
      <c r="I7" s="52">
        <f>SUM(I5:I6)</f>
        <v>818.675</v>
      </c>
      <c r="J7" s="52">
        <f>J4-J2*NPV!C6</f>
        <v>1008.1816650959581</v>
      </c>
      <c r="K7" s="52">
        <f>K4-K2*NPV!D6</f>
        <v>1055.3069798025588</v>
      </c>
      <c r="L7" s="52">
        <f>L4-L2*NPV!E6</f>
        <v>1101.6351755333988</v>
      </c>
      <c r="M7" s="52">
        <f>M4-M2*NPV!F6</f>
        <v>1146.8656046761398</v>
      </c>
      <c r="N7" s="52">
        <f>N4-N2*NPV!G6</f>
        <v>1190.6929287323103</v>
      </c>
      <c r="O7" s="52">
        <f>O4-O2*NPV!H6</f>
        <v>1232.810370933835</v>
      </c>
      <c r="P7" s="52">
        <f>P4-P2*NPV!I6</f>
        <v>1272.9131413281843</v>
      </c>
      <c r="Q7" s="52">
        <f>Q4-Q2*NPV!J6</f>
        <v>1310.701983975494</v>
      </c>
      <c r="R7" s="52">
        <f>R4-R2*NPV!K6</f>
        <v>1345.8867911175812</v>
      </c>
      <c r="S7" s="52">
        <f>S4-S2*NPV!L6</f>
        <v>1378.1902254257307</v>
      </c>
    </row>
    <row r="8">
      <c r="A8" s="2" t="inlineStr">
        <is>
          <t>Operating Income</t>
        </is>
      </c>
      <c r="B8" s="52">
        <f>B4-B7</f>
        <v>1364.446</v>
      </c>
      <c r="C8" s="52">
        <f>C4-C7</f>
        <v>2623.176</v>
      </c>
      <c r="D8" s="52">
        <f>D4-D7</f>
        <v>1595.399</v>
      </c>
      <c r="E8" s="52">
        <f>E4-E7</f>
        <v>1430.7150000000001</v>
      </c>
      <c r="F8" s="52">
        <f>F4-F7</f>
        <v>307.06500000000005</v>
      </c>
      <c r="G8" s="52">
        <f>G4-G7</f>
        <v>1492.15</v>
      </c>
      <c r="H8" s="52">
        <f>H4-H7</f>
        <v>1292.444</v>
      </c>
      <c r="I8" s="52">
        <f>I4-I7</f>
        <v>1559.5180000000003</v>
      </c>
      <c r="J8" s="52">
        <f>J4-J7</f>
        <v>1490.3479007040419</v>
      </c>
      <c r="K8" s="52">
        <f>K4-K7</f>
        <v>1562.5412534842014</v>
      </c>
      <c r="L8" s="52">
        <f>L4-L7</f>
        <v>1633.783530630529</v>
      </c>
      <c r="M8" s="52">
        <f>M4-M7</f>
        <v>1703.6230483937507</v>
      </c>
      <c r="N8" s="52">
        <f>N4-N7</f>
        <v>1771.5982237302103</v>
      </c>
      <c r="O8" s="52">
        <f>O4-O7</f>
        <v>1837.2423507860447</v>
      </c>
      <c r="P8" s="52">
        <f>P4-P7</f>
        <v>1900.0886816600355</v>
      </c>
      <c r="Q8" s="52">
        <f>Q4-Q7</f>
        <v>1959.6757394026536</v>
      </c>
      <c r="R8" s="52">
        <f>R4-R7</f>
        <v>2015.5527830915175</v>
      </c>
      <c r="S8" s="52">
        <f>S4-S7</f>
        <v>2067.2853381385953</v>
      </c>
    </row>
    <row r="9">
      <c r="A9" s="18" t="inlineStr">
        <is>
          <t>Interest &amp; Other</t>
        </is>
      </c>
      <c r="B9" s="52" t="n">
        <v>13.283</v>
      </c>
      <c r="C9" s="52" t="n">
        <v>-274.641</v>
      </c>
      <c r="D9" s="52" t="n">
        <v>-620.359</v>
      </c>
      <c r="E9" s="52" t="n">
        <v>-810.987</v>
      </c>
      <c r="F9" s="52" t="n">
        <v>-264.233</v>
      </c>
      <c r="G9" s="52" t="n">
        <v>-357.316</v>
      </c>
      <c r="H9" s="52" t="n">
        <v>-433.461</v>
      </c>
      <c r="I9" s="52" t="n">
        <v>-788.571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1377.7289999999998</v>
      </c>
      <c r="C10" s="52">
        <f>C8+C9</f>
        <v>2348.535</v>
      </c>
      <c r="D10" s="52">
        <f>D8+D9</f>
        <v>975.0399999999998</v>
      </c>
      <c r="E10" s="52">
        <f>E8+E9</f>
        <v>619.7280000000002</v>
      </c>
      <c r="F10" s="52">
        <f>F8+F9</f>
        <v>42.83200000000005</v>
      </c>
      <c r="G10" s="52">
        <f>G8+G9</f>
        <v>1134.834</v>
      </c>
      <c r="H10" s="52">
        <f>H8+H9</f>
        <v>858.983</v>
      </c>
      <c r="I10" s="52">
        <f>I8+I9</f>
        <v>770.9470000000002</v>
      </c>
      <c r="J10" s="52">
        <f>J8+J9</f>
        <v>1490.3479007040419</v>
      </c>
      <c r="K10" s="52">
        <f>K8+K9</f>
        <v>1562.5412534842014</v>
      </c>
      <c r="L10" s="52">
        <f>L8+L9</f>
        <v>1633.783530630529</v>
      </c>
      <c r="M10" s="52">
        <f>M8+M9</f>
        <v>1703.6230483937507</v>
      </c>
      <c r="N10" s="52">
        <f>N8+N9</f>
        <v>1771.5982237302103</v>
      </c>
      <c r="O10" s="52">
        <f>O8+O9</f>
        <v>1837.2423507860447</v>
      </c>
      <c r="P10" s="52">
        <f>P8+P9</f>
        <v>1900.0886816600355</v>
      </c>
      <c r="Q10" s="52">
        <f>Q8+Q9</f>
        <v>1959.6757394026536</v>
      </c>
      <c r="R10" s="52">
        <f>R8+R9</f>
        <v>2015.5527830915175</v>
      </c>
      <c r="S10" s="52">
        <f>S8+S9</f>
        <v>2067.2853381385953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>
        <f>MAX(0,J10)*Assumptions!$E$14</f>
        <v>253.35914311968713</v>
      </c>
      <c r="K11" s="52">
        <f>MAX(0,K10)*Assumptions!$E$14</f>
        <v>265.63201309231425</v>
      </c>
      <c r="L11" s="52">
        <f>MAX(0,L10)*Assumptions!$E$14</f>
        <v>277.74320020718994</v>
      </c>
      <c r="M11" s="52">
        <f>MAX(0,M10)*Assumptions!$E$14</f>
        <v>289.61591822693765</v>
      </c>
      <c r="N11" s="52">
        <f>MAX(0,N10)*Assumptions!$E$14</f>
        <v>301.1716980341358</v>
      </c>
      <c r="O11" s="52">
        <f>MAX(0,O10)*Assumptions!$E$14</f>
        <v>312.3311996336276</v>
      </c>
      <c r="P11" s="52">
        <f>MAX(0,P10)*Assumptions!$E$14</f>
        <v>323.0150758822061</v>
      </c>
      <c r="Q11" s="52">
        <f>MAX(0,Q10)*Assumptions!$E$14</f>
        <v>333.14487569845113</v>
      </c>
      <c r="R11" s="52">
        <f>MAX(0,R10)*Assumptions!$E$14</f>
        <v>342.64397312555803</v>
      </c>
      <c r="S11" s="52">
        <f>MAX(0,S10)*Assumptions!$E$14</f>
        <v>351.43850748356124</v>
      </c>
    </row>
    <row r="12">
      <c r="A12" s="2" t="inlineStr">
        <is>
          <t>Net Income</t>
        </is>
      </c>
      <c r="B12" s="52" t="n">
        <v>1377.729</v>
      </c>
      <c r="C12" s="52" t="n">
        <v>2348.535</v>
      </c>
      <c r="D12" s="52" t="n">
        <v>975.04</v>
      </c>
      <c r="E12" s="52" t="n">
        <v>619.728</v>
      </c>
      <c r="F12" s="52" t="n">
        <v>42.832</v>
      </c>
      <c r="G12" s="52" t="n">
        <v>1134.834</v>
      </c>
      <c r="H12" s="52" t="n">
        <v>858.9829999999999</v>
      </c>
      <c r="I12" s="52" t="n">
        <v>770.947</v>
      </c>
      <c r="J12" s="52">
        <f>J10-J11</f>
        <v>1236.9887575843547</v>
      </c>
      <c r="K12" s="52">
        <f>K10-K11</f>
        <v>1296.9092403918871</v>
      </c>
      <c r="L12" s="52">
        <f>L10-L11</f>
        <v>1356.0403304233391</v>
      </c>
      <c r="M12" s="52">
        <f>M10-M11</f>
        <v>1414.007130166813</v>
      </c>
      <c r="N12" s="52">
        <f>N10-N11</f>
        <v>1470.4265256960746</v>
      </c>
      <c r="O12" s="52">
        <f>O10-O11</f>
        <v>1524.911151152417</v>
      </c>
      <c r="P12" s="52">
        <f>P10-P11</f>
        <v>1577.0736057778295</v>
      </c>
      <c r="Q12" s="52">
        <f>Q10-Q11</f>
        <v>1626.5308637042024</v>
      </c>
      <c r="R12" s="52">
        <f>R10-R11</f>
        <v>1672.9088099659596</v>
      </c>
      <c r="S12" s="52">
        <f>S10-S11</f>
        <v>1715.846830655034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2.59695569375824</v>
      </c>
      <c r="E13" s="11">
        <f>IFERROR(E12/E14,0)</f>
        <v>1.4940332978143787</v>
      </c>
      <c r="F13" s="11">
        <f>IFERROR(F12/F14,0)</f>
        <v>0.09779620615016486</v>
      </c>
      <c r="G13" s="11">
        <f>IFERROR(G12/G14,0)</f>
        <v>1.8822922541051585</v>
      </c>
      <c r="H13" s="11">
        <f>IFERROR(H12/H14,0)</f>
        <v>1.445836447245282</v>
      </c>
      <c r="I13" s="11">
        <f>IFERROR(I12/I14,0)</f>
        <v>1.3658254422407454</v>
      </c>
      <c r="J13" s="11">
        <f>IFERROR(J12/J14,0)</f>
        <v>2.151280291205016</v>
      </c>
      <c r="K13" s="11">
        <f>IFERROR(K12/K14,0)</f>
        <v>2.255489608317215</v>
      </c>
      <c r="L13" s="11">
        <f>IFERROR(L12/L14,0)</f>
        <v>2.3583260713021725</v>
      </c>
      <c r="M13" s="11">
        <f>IFERROR(M12/M14,0)</f>
        <v>2.4591376858522422</v>
      </c>
      <c r="N13" s="11">
        <f>IFERROR(N12/N14,0)</f>
        <v>2.5572581682734605</v>
      </c>
      <c r="O13" s="11">
        <f>IFERROR(O12/O14,0)</f>
        <v>2.6520138402221796</v>
      </c>
      <c r="P13" s="11">
        <f>IFERROR(P12/P14,0)</f>
        <v>2.7427309626604353</v>
      </c>
      <c r="Q13" s="11">
        <f>IFERROR(Q12/Q14,0)</f>
        <v>2.8287434050385087</v>
      </c>
      <c r="R13" s="11">
        <f>IFERROR(R12/R14,0)</f>
        <v>2.909400533996029</v>
      </c>
      <c r="S13" s="11">
        <f>IFERROR(S12/S14,0)</f>
        <v>2.984075196223474</v>
      </c>
    </row>
    <row r="14">
      <c r="A14" s="2" t="inlineStr">
        <is>
          <t>Shares</t>
        </is>
      </c>
      <c r="B14" s="52" t="n"/>
      <c r="C14" s="52" t="n"/>
      <c r="D14" s="52" t="n">
        <v>375.455</v>
      </c>
      <c r="E14" s="52" t="n">
        <v>414.802</v>
      </c>
      <c r="F14" s="52" t="n">
        <v>437.972</v>
      </c>
      <c r="G14" s="52" t="n">
        <v>602.9</v>
      </c>
      <c r="H14" s="52" t="n">
        <v>594.1079999999999</v>
      </c>
      <c r="I14" s="52" t="n">
        <v>564.455</v>
      </c>
      <c r="J14" s="52">
        <f>Main!$C$4</f>
        <v>575.001204</v>
      </c>
      <c r="K14" s="52">
        <f>Main!$C$4</f>
        <v>575.001204</v>
      </c>
      <c r="L14" s="52">
        <f>Main!$C$4</f>
        <v>575.001204</v>
      </c>
      <c r="M14" s="52">
        <f>Main!$C$4</f>
        <v>575.001204</v>
      </c>
      <c r="N14" s="52">
        <f>Main!$C$4</f>
        <v>575.001204</v>
      </c>
      <c r="O14" s="52">
        <f>Main!$C$4</f>
        <v>575.001204</v>
      </c>
      <c r="P14" s="52">
        <f>Main!$C$4</f>
        <v>575.001204</v>
      </c>
      <c r="Q14" s="52">
        <f>Main!$C$4</f>
        <v>575.001204</v>
      </c>
      <c r="R14" s="52">
        <f>Main!$C$4</f>
        <v>575.001204</v>
      </c>
      <c r="S14" s="52">
        <f>Main!$C$4</f>
        <v>575.001204</v>
      </c>
    </row>
    <row r="15"/>
    <row r="16" customFormat="1" s="4">
      <c r="A16" s="3" t="inlineStr">
        <is>
          <t>Revenue Change</t>
        </is>
      </c>
      <c r="C16" s="15">
        <f>IFERROR(C2/B2-1,"")</f>
        <v>0.010786152274173233</v>
      </c>
      <c r="D16" s="15">
        <f>IFERROR(D2/C2-1,"")</f>
        <v>0.169821314986766</v>
      </c>
      <c r="E16" s="15">
        <f>IFERROR(E2/D2-1,"")</f>
        <v>0.07873807985759207</v>
      </c>
      <c r="F16" s="15">
        <f>IFERROR(F2/E2-1,"")</f>
        <v>-0.02282107201557748</v>
      </c>
      <c r="G16" s="15">
        <f>IFERROR(G2/F2-1,"")</f>
        <v>0.05244869178867484</v>
      </c>
      <c r="H16" s="15">
        <f>IFERROR(H2/G2-1,"")</f>
        <v>-0.03863916478449847</v>
      </c>
      <c r="I16" s="15">
        <f>IFERROR(I2/H2-1,"")</f>
        <v>0.05063536634069288</v>
      </c>
      <c r="J16" s="15">
        <f>IFERROR(J2/I2-1,"")</f>
        <v>0.05059999999999998</v>
      </c>
      <c r="K16" s="15">
        <f>IFERROR(K2/J2-1,"")</f>
        <v>0.04775555555555555</v>
      </c>
      <c r="L16" s="15">
        <f>IFERROR(L2/K2-1,"")</f>
        <v>0.044911111111111124</v>
      </c>
      <c r="M16" s="15">
        <f>IFERROR(M2/L2-1,"")</f>
        <v>0.0420666666666667</v>
      </c>
      <c r="N16" s="15">
        <f>IFERROR(N2/M2-1,"")</f>
        <v>0.03922222222222227</v>
      </c>
      <c r="O16" s="15">
        <f>IFERROR(O2/N2-1,"")</f>
        <v>0.03637777777777784</v>
      </c>
      <c r="P16" s="15">
        <f>IFERROR(P2/O2-1,"")</f>
        <v>0.033533333333333415</v>
      </c>
      <c r="Q16" s="15">
        <f>IFERROR(Q2/P2-1,"")</f>
        <v>0.030688888888888988</v>
      </c>
      <c r="R16" s="15">
        <f>IFERROR(R2/Q2-1,"")</f>
        <v>0.02784444444444434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</row>
    <row r="18">
      <c r="A18" s="14" t="inlineStr">
        <is>
          <t>Operating Margin</t>
        </is>
      </c>
      <c r="B18" s="15">
        <f>IFERROR(B8/B2,"")</f>
        <v>0.7601819383205916</v>
      </c>
      <c r="C18" s="15">
        <f>IFERROR(C8/C2,"")</f>
        <v>1.4458703136385533</v>
      </c>
      <c r="D18" s="15">
        <f>IFERROR(D8/D2,"")</f>
        <v>0.7517123683006549</v>
      </c>
      <c r="E18" s="15">
        <f>IFERROR(E8/E2,"")</f>
        <v>0.6249129162602759</v>
      </c>
      <c r="F18" s="15">
        <f>IFERROR(F8/F2,"")</f>
        <v>0.13725323672512477</v>
      </c>
      <c r="G18" s="15">
        <f>IFERROR(G8/G2,"")</f>
        <v>0.633729360210044</v>
      </c>
      <c r="H18" s="15">
        <f>IFERROR(H8/H2,"")</f>
        <v>0.5709744227717558</v>
      </c>
      <c r="I18" s="15">
        <f>IFERROR(I8/I2,"")</f>
        <v>0.655757543647635</v>
      </c>
      <c r="J18" s="15">
        <f>IFERROR(J8/J2,"")</f>
        <v>0.59649</v>
      </c>
      <c r="K18" s="15">
        <f>IFERROR(K8/K2,"")</f>
        <v>0.59688</v>
      </c>
      <c r="L18" s="15">
        <f>IFERROR(L8/L2,"")</f>
        <v>0.59727</v>
      </c>
      <c r="M18" s="15">
        <f>IFERROR(M8/M2,"")</f>
        <v>0.59766</v>
      </c>
      <c r="N18" s="15">
        <f>IFERROR(N8/N2,"")</f>
        <v>0.59805</v>
      </c>
      <c r="O18" s="15">
        <f>IFERROR(O8/O2,"")</f>
        <v>0.59844</v>
      </c>
      <c r="P18" s="15">
        <f>IFERROR(P8/P2,"")</f>
        <v>0.59883</v>
      </c>
      <c r="Q18" s="15">
        <f>IFERROR(Q8/Q2,"")</f>
        <v>0.59922</v>
      </c>
      <c r="R18" s="15">
        <f>IFERROR(R8/R2,"")</f>
        <v>0.59961</v>
      </c>
      <c r="S18" s="15">
        <f>IFERROR(S8/S2,"")</f>
        <v>0.5999999999999999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Royalty Pharma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0.0005999999999999999</v>
      </c>
      <c r="C12" s="53" t="n">
        <v>0.0506</v>
      </c>
      <c r="D12" s="53" t="n">
        <v>0.1006</v>
      </c>
      <c r="E12" s="54">
        <f>CHOOSE($B$4,B12,C12,D12)</f>
        <v>0.0506</v>
      </c>
    </row>
    <row r="13">
      <c r="A13" s="14" t="inlineStr">
        <is>
          <t>Operating margin, year 10</t>
        </is>
      </c>
      <c r="B13" s="53" t="n">
        <v>0.55</v>
      </c>
      <c r="C13" s="53" t="n">
        <v>0.6</v>
      </c>
      <c r="D13" s="53" t="n">
        <v>0.65</v>
      </c>
      <c r="E13" s="54">
        <f>CHOOSE($B$4,B13,C13,D13)</f>
        <v>0.6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0.5961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0.5521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Model'!I2</f>
        <v>2378.193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22872.241607634827</v>
      </c>
      <c r="C29" s="56">
        <f>NPV!B26</f>
        <v>14747.335607634828</v>
      </c>
      <c r="D29" s="35">
        <f>NPV!B28</f>
        <v>25.647486483584522</v>
      </c>
      <c r="E29" s="57">
        <f>NPV!B30</f>
        <v>-0.5879921850026583</v>
      </c>
    </row>
    <row r="30">
      <c r="A30" s="58" t="n">
        <v>1</v>
      </c>
      <c r="B30" s="59">
        <f t="dataTable" ref="B30:E32" r1="B4"/>
        <v>14228.91654514669</v>
      </c>
      <c r="C30" s="59">
        <v>6104.010545146692</v>
      </c>
      <c r="D30" s="39">
        <v>10.615648285054185</v>
      </c>
      <c r="E30" s="60">
        <v>-0.8294674974288484</v>
      </c>
    </row>
    <row r="31">
      <c r="A31" s="58" t="n">
        <v>2</v>
      </c>
      <c r="B31" s="59">
        <v>22872.241607634827</v>
      </c>
      <c r="C31" s="59">
        <v>14747.335607634828</v>
      </c>
      <c r="D31" s="39">
        <v>25.647486483584522</v>
      </c>
      <c r="E31" s="60">
        <v>-0.5879921850026583</v>
      </c>
    </row>
    <row r="32">
      <c r="A32" s="58" t="n">
        <v>3</v>
      </c>
      <c r="B32" s="59">
        <v>39743.04432854636</v>
      </c>
      <c r="C32" s="59">
        <v>31618.13832854636</v>
      </c>
      <c r="D32" s="39">
        <v>54.987951518352574</v>
      </c>
      <c r="E32" s="60">
        <v>-0.11665941335979801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25.647486483584522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35.11526297791528</v>
      </c>
      <c r="C37" s="39">
        <v>39.697115439652215</v>
      </c>
      <c r="D37" s="39">
        <v>45.417902692740164</v>
      </c>
      <c r="E37" s="39">
        <v>52.7656653896126</v>
      </c>
      <c r="F37" s="39">
        <v>62.55380371750095</v>
      </c>
    </row>
    <row r="38">
      <c r="A38" s="62" t="n">
        <v>0.075</v>
      </c>
      <c r="B38" s="39">
        <v>26.90841895224103</v>
      </c>
      <c r="C38" s="39">
        <v>29.92733346592303</v>
      </c>
      <c r="D38" s="39">
        <v>33.54498165988111</v>
      </c>
      <c r="E38" s="39">
        <v>37.960885259649196</v>
      </c>
      <c r="F38" s="39">
        <v>43.47432618686557</v>
      </c>
    </row>
    <row r="39">
      <c r="A39" s="62" t="n">
        <v>0.08500000000000001</v>
      </c>
      <c r="B39" s="39">
        <v>21.062272855709896</v>
      </c>
      <c r="C39" s="39">
        <v>23.18040134882586</v>
      </c>
      <c r="D39" s="39">
        <v>25.647486483584522</v>
      </c>
      <c r="E39" s="39">
        <v>28.558653660978937</v>
      </c>
      <c r="F39" s="39">
        <v>32.04707791813633</v>
      </c>
    </row>
    <row r="40">
      <c r="A40" s="62" t="n">
        <v>0.095</v>
      </c>
      <c r="B40" s="39">
        <v>16.6896749952361</v>
      </c>
      <c r="C40" s="39">
        <v>18.24515396659265</v>
      </c>
      <c r="D40" s="39">
        <v>20.01948066076663</v>
      </c>
      <c r="E40" s="39">
        <v>22.063121856135485</v>
      </c>
      <c r="F40" s="39">
        <v>24.443366162724395</v>
      </c>
    </row>
    <row r="41">
      <c r="A41" s="62" t="n">
        <v>0.105</v>
      </c>
      <c r="B41" s="39">
        <v>13.297991085936845</v>
      </c>
      <c r="C41" s="39">
        <v>14.480629952717134</v>
      </c>
      <c r="D41" s="39">
        <v>15.808258917688697</v>
      </c>
      <c r="E41" s="39">
        <v>17.30984537975006</v>
      </c>
      <c r="F41" s="39">
        <v>19.022632779580057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Royalty Pharma PLC: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0.0506</v>
      </c>
      <c r="D5" s="63">
        <f>Assumptions!$E$12+(Assumptions!$E$11-Assumptions!$E$12)*(D4-1)/(Assumptions!$B$21-1)</f>
        <v>0.04775555555555556</v>
      </c>
      <c r="E5" s="63">
        <f>Assumptions!$E$12+(Assumptions!$E$11-Assumptions!$E$12)*(E4-1)/(Assumptions!$B$21-1)</f>
        <v>0.04491111111111111</v>
      </c>
      <c r="F5" s="63">
        <f>Assumptions!$E$12+(Assumptions!$E$11-Assumptions!$E$12)*(F4-1)/(Assumptions!$B$21-1)</f>
        <v>0.04206666666666667</v>
      </c>
      <c r="G5" s="63">
        <f>Assumptions!$E$12+(Assumptions!$E$11-Assumptions!$E$12)*(G4-1)/(Assumptions!$B$21-1)</f>
        <v>0.03922222222222222</v>
      </c>
      <c r="H5" s="63">
        <f>Assumptions!$E$12+(Assumptions!$E$11-Assumptions!$E$12)*(H4-1)/(Assumptions!$B$21-1)</f>
        <v>0.03637777777777777</v>
      </c>
      <c r="I5" s="63">
        <f>Assumptions!$E$12+(Assumptions!$E$11-Assumptions!$E$12)*(I4-1)/(Assumptions!$B$21-1)</f>
        <v>0.03353333333333333</v>
      </c>
      <c r="J5" s="63">
        <f>Assumptions!$E$12+(Assumptions!$E$11-Assumptions!$E$12)*(J4-1)/(Assumptions!$B$21-1)</f>
        <v>0.03068888888888889</v>
      </c>
      <c r="K5" s="63">
        <f>Assumptions!$E$12+(Assumptions!$E$11-Assumptions!$E$12)*(K4-1)/(Assumptions!$B$21-1)</f>
        <v>0.027844444444444446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0.655757543647635</v>
      </c>
      <c r="C6" s="63">
        <f>Assumptions!$B$18+(Assumptions!$E$13-Assumptions!$B$18)*C4/Assumptions!$B$21</f>
        <v>0.59649</v>
      </c>
      <c r="D6" s="63">
        <f>Assumptions!$B$18+(Assumptions!$E$13-Assumptions!$B$18)*D4/Assumptions!$B$21</f>
        <v>0.59688</v>
      </c>
      <c r="E6" s="63">
        <f>Assumptions!$B$18+(Assumptions!$E$13-Assumptions!$B$18)*E4/Assumptions!$B$21</f>
        <v>0.59727</v>
      </c>
      <c r="F6" s="63">
        <f>Assumptions!$B$18+(Assumptions!$E$13-Assumptions!$B$18)*F4/Assumptions!$B$21</f>
        <v>0.59766</v>
      </c>
      <c r="G6" s="63">
        <f>Assumptions!$B$18+(Assumptions!$E$13-Assumptions!$B$18)*G4/Assumptions!$B$21</f>
        <v>0.59805</v>
      </c>
      <c r="H6" s="63">
        <f>Assumptions!$B$18+(Assumptions!$E$13-Assumptions!$B$18)*H4/Assumptions!$B$21</f>
        <v>0.59844</v>
      </c>
      <c r="I6" s="63">
        <f>Assumptions!$B$18+(Assumptions!$E$13-Assumptions!$B$18)*I4/Assumptions!$B$21</f>
        <v>0.59883</v>
      </c>
      <c r="J6" s="63">
        <f>Assumptions!$B$18+(Assumptions!$E$13-Assumptions!$B$18)*J4/Assumptions!$B$21</f>
        <v>0.59922</v>
      </c>
      <c r="K6" s="63">
        <f>Assumptions!$B$18+(Assumptions!$E$13-Assumptions!$B$18)*K4/Assumptions!$B$21</f>
        <v>0.59961</v>
      </c>
      <c r="L6" s="63">
        <f>Assumptions!$B$18+(Assumptions!$E$13-Assumptions!$B$18)*L4/Assumptions!$B$21</f>
        <v>0.6</v>
      </c>
    </row>
    <row r="7">
      <c r="A7" s="14" t="inlineStr">
        <is>
          <t>Revenue</t>
        </is>
      </c>
      <c r="B7" s="55">
        <f>'Yearly Model'!I2</f>
        <v>2378.193</v>
      </c>
      <c r="C7" s="55">
        <f>'Yearly Model'!J2</f>
        <v>2498.5295658</v>
      </c>
      <c r="D7" s="55">
        <f>'Yearly Model'!K2</f>
        <v>2617.84823328676</v>
      </c>
      <c r="E7" s="55">
        <f>'Yearly Model'!L2</f>
        <v>2735.4187061639277</v>
      </c>
      <c r="F7" s="55">
        <f>'Yearly Model'!M2</f>
        <v>2850.4886530698905</v>
      </c>
      <c r="G7" s="55">
        <f>'Yearly Model'!N2</f>
        <v>2962.2911524625206</v>
      </c>
      <c r="H7" s="55">
        <f>'Yearly Model'!O2</f>
        <v>3070.0527217198796</v>
      </c>
      <c r="I7" s="55">
        <f>'Yearly Model'!P2</f>
        <v>3173.00182298822</v>
      </c>
      <c r="J7" s="55">
        <f>'Yearly Model'!Q2</f>
        <v>3270.3777233781475</v>
      </c>
      <c r="K7" s="55">
        <f>'Yearly Model'!R2</f>
        <v>3361.4395742090987</v>
      </c>
      <c r="L7" s="55">
        <f>'Yearly Model'!S2</f>
        <v>3445.475563564326</v>
      </c>
    </row>
    <row r="8">
      <c r="A8" s="14" t="inlineStr">
        <is>
          <t>Operating income</t>
        </is>
      </c>
      <c r="B8" s="55">
        <f>'Yearly Model'!I8</f>
        <v>1559.5180000000003</v>
      </c>
      <c r="C8" s="55">
        <f>'Yearly Model'!J8</f>
        <v>1490.3479007040419</v>
      </c>
      <c r="D8" s="55">
        <f>'Yearly Model'!K8</f>
        <v>1562.5412534842014</v>
      </c>
      <c r="E8" s="55">
        <f>'Yearly Model'!L8</f>
        <v>1633.783530630529</v>
      </c>
      <c r="F8" s="55">
        <f>'Yearly Model'!M8</f>
        <v>1703.6230483937507</v>
      </c>
      <c r="G8" s="55">
        <f>'Yearly Model'!N8</f>
        <v>1771.5982237302103</v>
      </c>
      <c r="H8" s="55">
        <f>'Yearly Model'!O8</f>
        <v>1837.2423507860447</v>
      </c>
      <c r="I8" s="55">
        <f>'Yearly Model'!P8</f>
        <v>1900.0886816600355</v>
      </c>
      <c r="J8" s="55">
        <f>'Yearly Model'!Q8</f>
        <v>1959.6757394026536</v>
      </c>
      <c r="K8" s="55">
        <f>'Yearly Model'!R8</f>
        <v>2015.5527830915175</v>
      </c>
      <c r="L8" s="55">
        <f>'Yearly Model'!S8</f>
        <v>2067.2853381385953</v>
      </c>
    </row>
    <row r="9">
      <c r="A9" s="14" t="inlineStr">
        <is>
          <t>Tax on operating income</t>
        </is>
      </c>
      <c r="C9" s="52">
        <f>MAX(0,C8)*Assumptions!$E$14</f>
        <v>253.35914311968713</v>
      </c>
      <c r="D9" s="52">
        <f>MAX(0,D8)*Assumptions!$E$14</f>
        <v>265.63201309231425</v>
      </c>
      <c r="E9" s="52">
        <f>MAX(0,E8)*Assumptions!$E$14</f>
        <v>277.74320020718994</v>
      </c>
      <c r="F9" s="52">
        <f>MAX(0,F8)*Assumptions!$E$14</f>
        <v>289.61591822693765</v>
      </c>
      <c r="G9" s="52">
        <f>MAX(0,G8)*Assumptions!$E$14</f>
        <v>301.1716980341358</v>
      </c>
      <c r="H9" s="52">
        <f>MAX(0,H8)*Assumptions!$E$14</f>
        <v>312.3311996336276</v>
      </c>
      <c r="I9" s="52">
        <f>MAX(0,I8)*Assumptions!$E$14</f>
        <v>323.0150758822061</v>
      </c>
      <c r="J9" s="52">
        <f>MAX(0,J8)*Assumptions!$E$14</f>
        <v>333.14487569845113</v>
      </c>
      <c r="K9" s="52">
        <f>MAX(0,K8)*Assumptions!$E$14</f>
        <v>342.64397312555803</v>
      </c>
      <c r="L9" s="52">
        <f>MAX(0,L8)*Assumptions!$E$14</f>
        <v>351.43850748356124</v>
      </c>
    </row>
    <row r="10">
      <c r="A10" s="14" t="inlineStr">
        <is>
          <t>NOPAT</t>
        </is>
      </c>
      <c r="C10" s="52">
        <f>C8-C9</f>
        <v>1236.9887575843547</v>
      </c>
      <c r="D10" s="52">
        <f>D8-D9</f>
        <v>1296.9092403918871</v>
      </c>
      <c r="E10" s="52">
        <f>E8-E9</f>
        <v>1356.0403304233391</v>
      </c>
      <c r="F10" s="52">
        <f>F8-F9</f>
        <v>1414.007130166813</v>
      </c>
      <c r="G10" s="52">
        <f>G8-G9</f>
        <v>1470.4265256960746</v>
      </c>
      <c r="H10" s="52">
        <f>H8-H9</f>
        <v>1524.911151152417</v>
      </c>
      <c r="I10" s="52">
        <f>I8-I9</f>
        <v>1577.0736057778295</v>
      </c>
      <c r="J10" s="52">
        <f>J8-J9</f>
        <v>1626.5308637042024</v>
      </c>
      <c r="K10" s="52">
        <f>K8-K9</f>
        <v>1672.9088099659596</v>
      </c>
      <c r="L10" s="52">
        <f>L8-L9</f>
        <v>1715.846830655034</v>
      </c>
    </row>
    <row r="11">
      <c r="A11" s="14" t="inlineStr">
        <is>
          <t>Reinvestment</t>
        </is>
      </c>
      <c r="C11" s="52">
        <f>(C7-B7)*Assumptions!$E$15</f>
        <v>30.084141449999947</v>
      </c>
      <c r="D11" s="52">
        <f>(D7-C7)*Assumptions!$E$15</f>
        <v>29.82966687169005</v>
      </c>
      <c r="E11" s="52">
        <f>(E7-D7)*Assumptions!$E$15</f>
        <v>29.392618219291876</v>
      </c>
      <c r="F11" s="52">
        <f>(F7-E7)*Assumptions!$E$15</f>
        <v>28.767486726490688</v>
      </c>
      <c r="G11" s="52">
        <f>(G7-F7)*Assumptions!$E$15</f>
        <v>27.95062484815753</v>
      </c>
      <c r="H11" s="52">
        <f>(H7-G7)*Assumptions!$E$15</f>
        <v>26.94039231433976</v>
      </c>
      <c r="I11" s="52">
        <f>(I7-H7)*Assumptions!$E$15</f>
        <v>25.73727531708505</v>
      </c>
      <c r="J11" s="52">
        <f>(J7-I7)*Assumptions!$E$15</f>
        <v>24.343975097481916</v>
      </c>
      <c r="K11" s="52">
        <f>(K7-J7)*Assumptions!$E$15</f>
        <v>22.76546270773781</v>
      </c>
      <c r="L11" s="52">
        <f>(L7-K7)*Assumptions!$E$15</f>
        <v>21.008997338806807</v>
      </c>
    </row>
    <row r="12">
      <c r="A12" s="20" t="inlineStr">
        <is>
          <t>Free cash flow</t>
        </is>
      </c>
      <c r="C12" s="64">
        <f>C10-C11</f>
        <v>1206.904616134355</v>
      </c>
      <c r="D12" s="64">
        <f>D10-D11</f>
        <v>1267.079573520197</v>
      </c>
      <c r="E12" s="64">
        <f>E10-E11</f>
        <v>1326.6477122040474</v>
      </c>
      <c r="F12" s="64">
        <f>F10-F11</f>
        <v>1385.2396434403224</v>
      </c>
      <c r="G12" s="64">
        <f>G10-G11</f>
        <v>1442.475900847917</v>
      </c>
      <c r="H12" s="64">
        <f>H10-H11</f>
        <v>1497.9707588380772</v>
      </c>
      <c r="I12" s="64">
        <f>I10-I11</f>
        <v>1551.3363304607444</v>
      </c>
      <c r="J12" s="64">
        <f>J10-J11</f>
        <v>1602.1868886067205</v>
      </c>
      <c r="K12" s="64">
        <f>K10-K11</f>
        <v>1650.1433472582216</v>
      </c>
      <c r="L12" s="64">
        <f>L10-L11</f>
        <v>1694.8378333162273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0.9796477254942977</v>
      </c>
      <c r="D15" s="65">
        <f>1/(1+Assumptions!$E$10)^D14</f>
        <v>0.9213507631196715</v>
      </c>
      <c r="E15" s="65">
        <f>1/(1+Assumptions!$E$10)^E14</f>
        <v>0.849171210248545</v>
      </c>
      <c r="F15" s="65">
        <f>1/(1+Assumptions!$E$10)^F14</f>
        <v>0.7826462767267697</v>
      </c>
      <c r="G15" s="65">
        <f>1/(1+Assumptions!$E$10)^G14</f>
        <v>0.7213329739417232</v>
      </c>
      <c r="H15" s="65">
        <f>1/(1+Assumptions!$E$10)^H14</f>
        <v>0.6648230174578095</v>
      </c>
      <c r="I15" s="65">
        <f>1/(1+Assumptions!$E$10)^I14</f>
        <v>0.6127401082560456</v>
      </c>
      <c r="J15" s="65">
        <f>1/(1+Assumptions!$E$10)^J14</f>
        <v>0.5647374269640973</v>
      </c>
      <c r="K15" s="65">
        <f>1/(1+Assumptions!$E$10)^K14</f>
        <v>0.5204953243908731</v>
      </c>
      <c r="L15" s="65">
        <f>1/(1+Assumptions!$E$10)^L14</f>
        <v>0.47971919298697985</v>
      </c>
    </row>
    <row r="16">
      <c r="A16" s="20" t="inlineStr">
        <is>
          <t>PV of free cash flow</t>
        </is>
      </c>
      <c r="C16" s="64">
        <f>C12*C13*C15</f>
        <v>596.0182806268414</v>
      </c>
      <c r="D16" s="64">
        <f>D12*D13*D15</f>
        <v>1167.4247319961814</v>
      </c>
      <c r="E16" s="64">
        <f>E12*E13*E15</f>
        <v>1126.5510433457744</v>
      </c>
      <c r="F16" s="64">
        <f>F12*F13*F15</f>
        <v>1084.1526493128863</v>
      </c>
      <c r="G16" s="64">
        <f>G12*G13*G15</f>
        <v>1040.5054313978942</v>
      </c>
      <c r="H16" s="64">
        <f>H12*H13*H15</f>
        <v>995.8854399542952</v>
      </c>
      <c r="I16" s="64">
        <f>I12*I13*I15</f>
        <v>950.5659910680531</v>
      </c>
      <c r="J16" s="64">
        <f>J12*J13*J15</f>
        <v>904.8149009873722</v>
      </c>
      <c r="K16" s="64">
        <f>K12*K13*K15</f>
        <v>858.8918968226092</v>
      </c>
      <c r="L16" s="64">
        <f>L12*L13*L15</f>
        <v>813.046237642262</v>
      </c>
    </row>
    <row r="19">
      <c r="A19" s="14" t="inlineStr">
        <is>
          <t>PV of forecast free cash flow</t>
        </is>
      </c>
      <c r="B19" s="52">
        <f>SUM(C16:L16)</f>
        <v>9537.856603154169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1737.2087791491326</v>
      </c>
    </row>
    <row r="21">
      <c r="A21" s="14" t="inlineStr">
        <is>
          <t>Terminal value</t>
        </is>
      </c>
      <c r="B21" s="52">
        <f>B20/(Assumptions!$E$10-Assumptions!$E$11)</f>
        <v>28953.47965248554</v>
      </c>
    </row>
    <row r="22">
      <c r="A22" s="14" t="inlineStr">
        <is>
          <t>PV of terminal value</t>
        </is>
      </c>
      <c r="B22" s="52">
        <f>B21/(1+Assumptions!$E$10)^(L14+0.5)</f>
        <v>13334.385004480659</v>
      </c>
    </row>
    <row r="23">
      <c r="A23" s="20" t="inlineStr">
        <is>
          <t>Enterprise value</t>
        </is>
      </c>
      <c r="B23" s="66">
        <f>B19+B22</f>
        <v>22872.241607634827</v>
      </c>
    </row>
    <row r="24">
      <c r="A24" s="14" t="inlineStr">
        <is>
          <t>Cash &amp; investments</t>
        </is>
      </c>
      <c r="B24" s="55">
        <f>Main!C7</f>
        <v>836.986</v>
      </c>
    </row>
    <row r="25">
      <c r="A25" s="14" t="inlineStr">
        <is>
          <t>Debt</t>
        </is>
      </c>
      <c r="B25" s="55">
        <f>Main!C8</f>
        <v>8961.892</v>
      </c>
    </row>
    <row r="26">
      <c r="A26" s="20" t="inlineStr">
        <is>
          <t>Equity value</t>
        </is>
      </c>
      <c r="B26" s="66">
        <f>B23+B24-B25</f>
        <v>14747.335607634828</v>
      </c>
    </row>
    <row r="27">
      <c r="A27" s="14" t="inlineStr">
        <is>
          <t>Shares (mm)</t>
        </is>
      </c>
      <c r="B27" s="55">
        <f>Main!C4</f>
        <v>575.001204</v>
      </c>
    </row>
    <row r="28">
      <c r="A28" s="20" t="inlineStr">
        <is>
          <t>NPV / share</t>
        </is>
      </c>
      <c r="B28" s="49">
        <f>B26/B27</f>
        <v>25.647486483584522</v>
      </c>
    </row>
    <row r="29">
      <c r="A29" s="14" t="inlineStr">
        <is>
          <t>Price</t>
        </is>
      </c>
      <c r="B29" s="50">
        <f>Main!C3</f>
        <v>62.25</v>
      </c>
    </row>
    <row r="30">
      <c r="A30" s="14" t="inlineStr">
        <is>
          <t>Upside</t>
        </is>
      </c>
      <c r="B30" s="63">
        <f>B28/B29-1</f>
        <v>-0.5879921850026583</v>
      </c>
    </row>
    <row r="31">
      <c r="A31" s="14" t="inlineStr">
        <is>
          <t>Terminal value, % of EV</t>
        </is>
      </c>
      <c r="B31" s="63">
        <f>IFERROR(B22/B23,0)</f>
        <v>0.5829942352493163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2026-10-21T01:03:42Z</dcterms:modified>
  <cp:lastModifiedBy>Wang, Eric</cp:lastModifiedBy>
</cp:coreProperties>
</file>