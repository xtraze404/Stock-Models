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InterCure Ltd</t>
        </is>
      </c>
      <c r="C2" s="10" t="n"/>
    </row>
    <row r="3">
      <c r="B3" t="inlineStr">
        <is>
          <t>Price</t>
        </is>
      </c>
      <c r="C3" s="11">
        <f>INDEX([1]Pharma!$F$1:$F$1000,MATCH("INCR",[1]Pharma!$B$1:$B$1000,0))</f>
        <v>4.43</v>
      </c>
      <c r="F3" s="1" t="n"/>
    </row>
    <row r="4">
      <c r="B4" t="inlineStr">
        <is>
          <t>Shares</t>
        </is>
      </c>
      <c r="C4" s="21" t="n">
        <v>54.681335</v>
      </c>
      <c r="F4" s="1" t="n"/>
    </row>
    <row r="5">
      <c r="B5" t="inlineStr">
        <is>
          <t>Market Cap.</t>
        </is>
      </c>
      <c r="C5" s="13">
        <f>C3*C4</f>
        <v>242.23831404999999</v>
      </c>
      <c r="F5" s="1" t="n"/>
    </row>
    <row r="6"/>
    <row r="7">
      <c r="B7" t="inlineStr">
        <is>
          <t>Cash</t>
        </is>
      </c>
      <c r="C7" s="21" t="n"/>
    </row>
    <row r="8">
      <c r="B8" t="inlineStr">
        <is>
          <t>Debt</t>
        </is>
      </c>
      <c r="C8" s="21" t="n"/>
    </row>
    <row r="9">
      <c r="B9" t="inlineStr">
        <is>
          <t>Enterprise V.</t>
        </is>
      </c>
      <c r="C9" s="13">
        <f>C5-C7+C8</f>
        <v>242.23831404999999</v>
      </c>
    </row>
    <row r="10"/>
    <row r="11">
      <c r="B11" s="14" t="inlineStr">
        <is>
          <t>NPV / Share</t>
        </is>
      </c>
      <c r="C11" s="11" t="n"/>
    </row>
    <row r="12">
      <c r="B12" s="14" t="inlineStr">
        <is>
          <t>Upside</t>
        </is>
      </c>
      <c r="C12" s="15" t="n"/>
    </row>
    <row r="13">
      <c r="B13" s="14" t="inlineStr">
        <is>
          <t>Cash / Share</t>
        </is>
      </c>
      <c r="C13" s="11">
        <f>IFERROR((C7-C8)/C4,"")</f>
        <v>0.0</v>
      </c>
    </row>
    <row r="14">
      <c r="B14" s="14" t="inlineStr">
        <is>
          <t>Scenario</t>
        </is>
      </c>
      <c r="C14" s="14" t="inlineStr">
        <is>
          <t>no data</t>
        </is>
      </c>
    </row>
    <row r="15">
      <c r="B15" s="14" t="inlineStr">
        <is>
          <t>Model</t>
        </is>
      </c>
      <c r="C15" s="14" t="inlineStr">
        <is>
          <t>n/a</t>
        </is>
      </c>
    </row>
    <row r="16"/>
    <row r="17">
      <c r="B17" s="14" t="inlineStr">
        <is>
          <t>TTM Operating Cash Flow</t>
        </is>
      </c>
      <c r="C17" s="21" t="n">
        <v>-21.627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242.23831404999999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2.884</v>
      </c>
      <c r="C2" s="23" t="n">
        <v>21.016</v>
      </c>
      <c r="D2" s="23" t="n">
        <v>70.989</v>
      </c>
      <c r="E2" s="23" t="n">
        <v>125.605</v>
      </c>
      <c r="F2" s="23" t="n">
        <v>114.898</v>
      </c>
      <c r="G2" s="23" t="n">
        <v>77.184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2.409</v>
      </c>
      <c r="C3" s="23" t="n">
        <v>11.197</v>
      </c>
      <c r="D3" s="23" t="n">
        <v>39.97</v>
      </c>
      <c r="E3" s="23" t="n">
        <v>74.23699999999999</v>
      </c>
      <c r="F3" s="23" t="n">
        <v>79.88800000000001</v>
      </c>
      <c r="G3" s="23" t="n">
        <v>65.682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0.4750000000000001</v>
      </c>
      <c r="C4" s="23">
        <f>C2-C3</f>
        <v>9.818999999999999</v>
      </c>
      <c r="D4" s="23">
        <f>D2-D3</f>
        <v>31.019000000000005</v>
      </c>
      <c r="E4" s="23">
        <f>E2-E3</f>
        <v>51.36800000000001</v>
      </c>
      <c r="F4" s="23">
        <f>F2-F3</f>
        <v>35.00999999999999</v>
      </c>
      <c r="G4" s="23">
        <f>G2-G3</f>
        <v>11.501999999999995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0.553</v>
      </c>
      <c r="C5" s="23" t="n">
        <v>0.509</v>
      </c>
      <c r="D5" s="23" t="n">
        <v>0.399</v>
      </c>
      <c r="E5" s="23" t="n">
        <v>0.204</v>
      </c>
      <c r="F5" s="23" t="n">
        <v>0.125</v>
      </c>
      <c r="G5" s="23" t="n">
        <v>0.134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1.026</v>
      </c>
      <c r="C6" s="23" t="n">
        <v>21.719</v>
      </c>
      <c r="D6" s="23" t="n">
        <v>21.512</v>
      </c>
      <c r="E6" s="23" t="n">
        <v>34.803</v>
      </c>
      <c r="F6" s="23" t="n">
        <v>48.317</v>
      </c>
      <c r="G6" s="23" t="n">
        <v>33.087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1.5790000000000002</v>
      </c>
      <c r="C7" s="23">
        <f>SUM(C5:C6)</f>
        <v>22.228</v>
      </c>
      <c r="D7" s="23">
        <f>SUM(D5:D6)</f>
        <v>21.911</v>
      </c>
      <c r="E7" s="23">
        <f>SUM(E5:E6)</f>
        <v>35.007</v>
      </c>
      <c r="F7" s="23">
        <f>SUM(F5:F6)</f>
        <v>48.442</v>
      </c>
      <c r="G7" s="23">
        <f>SUM(G5:G6)</f>
        <v>33.221000000000004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-1.104</v>
      </c>
      <c r="C8" s="23">
        <f>C4-C7</f>
        <v>-12.409000000000002</v>
      </c>
      <c r="D8" s="23">
        <f>D4-D7</f>
        <v>9.108000000000004</v>
      </c>
      <c r="E8" s="23">
        <f>E4-E7</f>
        <v>16.36100000000001</v>
      </c>
      <c r="F8" s="23">
        <f>F4-F7</f>
        <v>-13.43200000000001</v>
      </c>
      <c r="G8" s="23">
        <f>G4-G7</f>
        <v>-21.71900000000001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-1.018</v>
      </c>
      <c r="C9" s="23" t="n">
        <v>-0.355</v>
      </c>
      <c r="D9" s="23" t="n">
        <v>-3.895</v>
      </c>
      <c r="E9" s="23" t="n">
        <v>-1.847</v>
      </c>
      <c r="F9" s="23" t="n">
        <v>-5.863</v>
      </c>
      <c r="G9" s="23" t="n">
        <v>-4.885</v>
      </c>
    </row>
    <row r="10">
      <c r="A10" s="2" t="inlineStr">
        <is>
          <t>Pretax</t>
        </is>
      </c>
      <c r="B10" s="23">
        <f>B8+B9</f>
        <v>-2.122</v>
      </c>
      <c r="C10" s="23">
        <f>C8+C9</f>
        <v>-12.764000000000003</v>
      </c>
      <c r="D10" s="23">
        <f>D8+D9</f>
        <v>5.2130000000000045</v>
      </c>
      <c r="E10" s="23">
        <f>E8+E9</f>
        <v>14.514000000000012</v>
      </c>
      <c r="F10" s="23">
        <f>F8+F9</f>
        <v>-19.29500000000001</v>
      </c>
      <c r="G10" s="23">
        <f>G8+G9</f>
        <v>-26.604000000000006</v>
      </c>
      <c r="I10" s="1" t="n"/>
      <c r="J10" s="1" t="n"/>
      <c r="K10" s="1" t="n"/>
    </row>
    <row r="11">
      <c r="A11" s="2" t="inlineStr">
        <is>
          <t>Taxes</t>
        </is>
      </c>
      <c r="B11" s="23" t="n">
        <v>-0.217</v>
      </c>
      <c r="C11" s="23" t="n">
        <v>-0.733</v>
      </c>
      <c r="D11" s="23" t="n">
        <v>3.697</v>
      </c>
      <c r="E11" s="23" t="n">
        <v>0.03</v>
      </c>
      <c r="F11" s="23" t="n">
        <v>0.726</v>
      </c>
      <c r="G11" s="23" t="n">
        <v>-4.695</v>
      </c>
    </row>
    <row r="12">
      <c r="A12" s="2" t="inlineStr">
        <is>
          <t>Net Income</t>
        </is>
      </c>
      <c r="B12" s="23" t="n">
        <v>-1.904</v>
      </c>
      <c r="C12" s="23" t="n">
        <v>-12.031</v>
      </c>
      <c r="D12" s="23" t="n">
        <v>1.516</v>
      </c>
      <c r="E12" s="23" t="n">
        <v>14.483</v>
      </c>
      <c r="F12" s="23" t="n">
        <v>-20.022</v>
      </c>
      <c r="G12" s="23" t="n">
        <v>-21.908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-0.08172024550409888</v>
      </c>
      <c r="C13" s="11">
        <f>IFERROR(C12/C14,0)</f>
        <v>-0.4737360214206962</v>
      </c>
      <c r="D13" s="11">
        <f>IFERROR(D12/D14,0)</f>
        <v>0.03938378406463513</v>
      </c>
      <c r="E13" s="11">
        <f>IFERROR(E12/E14,0)</f>
        <v>0.3193394042290477</v>
      </c>
      <c r="F13" s="11">
        <f>IFERROR(F12/F14,0)</f>
        <v>-0.43933908235139224</v>
      </c>
      <c r="G13" s="11">
        <f>IFERROR(G12/G14,0)</f>
        <v>-0.47762105125466003</v>
      </c>
    </row>
    <row r="14">
      <c r="A14" s="2" t="inlineStr">
        <is>
          <t>Shares</t>
        </is>
      </c>
      <c r="B14" s="23" t="n">
        <v>23.299</v>
      </c>
      <c r="C14" s="23" t="n">
        <v>25.396</v>
      </c>
      <c r="D14" s="23" t="n">
        <v>38.493</v>
      </c>
      <c r="E14" s="23" t="n">
        <v>45.353</v>
      </c>
      <c r="F14" s="23" t="n">
        <v>45.573</v>
      </c>
      <c r="G14" s="23" t="n">
        <v>45.869</v>
      </c>
    </row>
    <row r="15"/>
    <row r="16" customFormat="1" s="4">
      <c r="A16" s="3" t="inlineStr">
        <is>
          <t>Revenue Change</t>
        </is>
      </c>
      <c r="C16" s="15">
        <f>IFERROR(C2/B2-1,"")</f>
        <v>6.287101248266296</v>
      </c>
      <c r="D16" s="15">
        <f>IFERROR(D2/C2-1,"")</f>
        <v>2.3778549676437004</v>
      </c>
      <c r="E16" s="15">
        <f>IFERROR(E2/D2-1,"")</f>
        <v>0.7693586330276521</v>
      </c>
      <c r="F16" s="15">
        <f>IFERROR(F2/E2-1,"")</f>
        <v>-0.08524342183830269</v>
      </c>
      <c r="G16" s="15">
        <f>IFERROR(G2/F2-1,"")</f>
        <v>-0.3282389597730161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0.16470180305131765</v>
      </c>
      <c r="C17" s="15">
        <f>IFERROR(C4/C2,"")</f>
        <v>0.46721545489151123</v>
      </c>
      <c r="D17" s="15">
        <f>IFERROR(D4/D2,"")</f>
        <v>0.43695502120046775</v>
      </c>
      <c r="E17" s="15">
        <f>IFERROR(E4/E2,"")</f>
        <v>0.4089646112813981</v>
      </c>
      <c r="F17" s="15">
        <f>IFERROR(F4/F2,"")</f>
        <v>0.3047050427335549</v>
      </c>
      <c r="G17" s="15">
        <f>IFERROR(G4/G2,"")</f>
        <v>0.14902052238805966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-0.38280166435506247</v>
      </c>
      <c r="C18" s="15">
        <f>IFERROR(C8/C2,"")</f>
        <v>-0.5904548915112297</v>
      </c>
      <c r="D18" s="15">
        <f>IFERROR(D8/D2,"")</f>
        <v>0.12830156784853997</v>
      </c>
      <c r="E18" s="15">
        <f>IFERROR(E8/E2,"")</f>
        <v>0.130257553441344</v>
      </c>
      <c r="F18" s="15">
        <f>IFERROR(F8/F2,"")</f>
        <v>-0.11690368848892069</v>
      </c>
      <c r="G18" s="15">
        <f>IFERROR(G8/G2,"")</f>
        <v>-0.28139251658374803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2026-10-21T06:26:22Z</dcterms:modified>
  <cp:lastModifiedBy>Wang, Eric</cp:lastModifiedBy>
</cp:coreProperties>
</file>