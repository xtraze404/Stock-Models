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MBX Biosciences, Inc.</t>
        </is>
      </c>
      <c r="C2" s="10" t="n"/>
    </row>
    <row r="3">
      <c r="B3" t="inlineStr">
        <is>
          <t>Price</t>
        </is>
      </c>
      <c r="C3" s="11">
        <f>INDEX([1]Pharma!$F$1:$F$1000,MATCH("MBX",[1]Pharma!$B$1:$B$1000,0))</f>
        <v>53.5</v>
      </c>
      <c r="F3" s="1" t="n"/>
    </row>
    <row r="4">
      <c r="B4" t="inlineStr">
        <is>
          <t>Shares</t>
        </is>
      </c>
      <c r="C4" s="21" t="n">
        <v>48.160096</v>
      </c>
      <c r="F4" s="1" t="n"/>
    </row>
    <row r="5">
      <c r="B5" t="inlineStr">
        <is>
          <t>Market Cap.</t>
        </is>
      </c>
      <c r="C5" s="13">
        <f>C3*C4</f>
        <v>2576.565136</v>
      </c>
      <c r="F5" s="1" t="n"/>
    </row>
    <row r="6"/>
    <row r="7">
      <c r="B7" t="inlineStr">
        <is>
          <t>Cash</t>
        </is>
      </c>
      <c r="C7" s="21">
        <f>54.124+364.457</f>
        <v>418.581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2157.984136</v>
      </c>
    </row>
    <row r="10"/>
    <row r="11">
      <c r="B11" s="14" t="inlineStr">
        <is>
          <t>rNPV / Share</t>
        </is>
      </c>
      <c r="C11" s="11">
        <f>NPV!B27</f>
        <v>16.801182763198536</v>
      </c>
    </row>
    <row r="12">
      <c r="B12" s="14" t="inlineStr">
        <is>
          <t>Upside</t>
        </is>
      </c>
      <c r="C12" s="15">
        <f>IFERROR(C11/C3-1,"")</f>
        <v>-0.6859592006878779</v>
      </c>
    </row>
    <row r="13">
      <c r="B13" s="14" t="inlineStr">
        <is>
          <t>Cash / Share</t>
        </is>
      </c>
      <c r="C13" s="11">
        <f>IFERROR((C7-C8)/C4,"")</f>
        <v>8.6914486216971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-82.667</v>
      </c>
    </row>
    <row r="18">
      <c r="B18" s="14" t="inlineStr">
        <is>
          <t>Runway (years)</t>
        </is>
      </c>
      <c r="C18" s="22">
        <f>IF(AND(ISNUMBER(C17),C17&lt;0),IF(C7&gt;C8,(C7-C8)/-C17,"net debt"),"n/a")</f>
        <v>5.06345942153459</v>
      </c>
    </row>
    <row r="19">
      <c r="B19" s="14" t="inlineStr">
        <is>
          <t>Implied Pipeline Value</t>
        </is>
      </c>
      <c r="C19" s="13">
        <f>C9</f>
        <v>2157.984136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2023</v>
      </c>
      <c r="C1" s="17" t="n">
        <v>2024</v>
      </c>
      <c r="D1" s="17" t="n">
        <v>2025</v>
      </c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28.534</v>
      </c>
      <c r="C5" s="23" t="n">
        <v>57.415</v>
      </c>
      <c r="D5" s="23" t="n">
        <v>79.15900000000001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6.777</v>
      </c>
      <c r="C6" s="23" t="n">
        <v>10.779</v>
      </c>
      <c r="D6" s="23" t="n">
        <v>18.896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35.311</v>
      </c>
      <c r="C7" s="23">
        <f>SUM(C5:C6)</f>
        <v>68.194</v>
      </c>
      <c r="D7" s="23">
        <f>SUM(D5:D6)</f>
        <v>98.055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-35.311</v>
      </c>
      <c r="C8" s="23">
        <f>C4-C7</f>
        <v>-68.194</v>
      </c>
      <c r="D8" s="23">
        <f>D4-D7</f>
        <v>-98.055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2.748</v>
      </c>
      <c r="C9" s="23" t="n">
        <v>6.272</v>
      </c>
      <c r="D9" s="23" t="n">
        <v>11.055</v>
      </c>
    </row>
    <row r="10">
      <c r="A10" s="2" t="inlineStr">
        <is>
          <t>Pretax</t>
        </is>
      </c>
      <c r="B10" s="23">
        <f>B8+B9</f>
        <v>-32.563</v>
      </c>
      <c r="C10" s="23">
        <f>C8+C9</f>
        <v>-61.922000000000004</v>
      </c>
      <c r="D10" s="23">
        <f>D8+D9</f>
        <v>-87.0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</row>
    <row r="12">
      <c r="A12" s="2" t="inlineStr">
        <is>
          <t>Net Income</t>
        </is>
      </c>
      <c r="B12" s="23" t="n">
        <v>-32.563</v>
      </c>
      <c r="C12" s="23" t="n">
        <v>-61.922</v>
      </c>
      <c r="D12" s="23" t="n">
        <v>-87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-31.955839057899908</v>
      </c>
      <c r="C13" s="11">
        <f>IFERROR(C12/C14,0)</f>
        <v>-5.8180964013905845</v>
      </c>
      <c r="D13" s="11">
        <f>IFERROR(D12/D14,0)</f>
        <v>-2.3831698898811156</v>
      </c>
    </row>
    <row r="14">
      <c r="A14" s="2" t="inlineStr">
        <is>
          <t>Shares</t>
        </is>
      </c>
      <c r="B14" s="23" t="n">
        <v>1.019</v>
      </c>
      <c r="C14" s="23" t="n">
        <v>10.643</v>
      </c>
      <c r="D14" s="23" t="n">
        <v>36.506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4" t="n"/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4" t="n"/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MBX Biosciences, Inc.: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1-PRODUCT(Pipeline!AG4:AG5)</f>
        <v>0.5907299500000001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117.917</v>
      </c>
    </row>
    <row r="19">
      <c r="A19" s="14" t="inlineStr">
        <is>
          <t>Years of full burn (until the first launch, max 4)</t>
        </is>
      </c>
      <c r="B19" s="39">
        <f>MIN(4,MAX(1,MIN(Pipeline!I4:I5)-2026))</f>
        <v>3.0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181.5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390.5655747891868</v>
      </c>
      <c r="C29" s="42">
        <f>NPV!B25</f>
        <v>809.1465747891868</v>
      </c>
      <c r="D29" s="43">
        <f>NPV!B27</f>
        <v>16.801182763198536</v>
      </c>
      <c r="E29" s="44">
        <f>NPV!B29</f>
        <v>-0.6859592006878779</v>
      </c>
    </row>
    <row r="30">
      <c r="A30" s="45" t="n">
        <v>1</v>
      </c>
      <c r="B30" s="46">
        <f t="dataTable" ref="B30:E32" r1="B4"/>
        <v>-8.01656645509552</v>
      </c>
      <c r="C30" s="46">
        <v>410.5644335449045</v>
      </c>
      <c r="D30" s="47">
        <v>8.524992008838696</v>
      </c>
      <c r="E30" s="48">
        <v>-0.8406543549749776</v>
      </c>
    </row>
    <row r="31">
      <c r="A31" s="45" t="n">
        <v>2</v>
      </c>
      <c r="B31" s="46">
        <v>390.5655747891868</v>
      </c>
      <c r="C31" s="46">
        <v>809.1465747891868</v>
      </c>
      <c r="D31" s="47">
        <v>16.801182763198536</v>
      </c>
      <c r="E31" s="48">
        <v>-0.6859592006878779</v>
      </c>
    </row>
    <row r="32">
      <c r="A32" s="45" t="n">
        <v>3</v>
      </c>
      <c r="B32" s="46">
        <v>1027.3789666823868</v>
      </c>
      <c r="C32" s="46">
        <v>1445.959966682387</v>
      </c>
      <c r="D32" s="47">
        <v>30.02402583837015</v>
      </c>
      <c r="E32" s="48">
        <v>-0.43880325535756726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16.801182763198536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7.154346947550164</v>
      </c>
      <c r="C37" s="47">
        <v>9.456433376945332</v>
      </c>
      <c r="D37" s="47">
        <v>11.705094168729214</v>
      </c>
      <c r="E37" s="47">
        <v>16.127124905654345</v>
      </c>
      <c r="F37" s="47">
        <v>20.508293918369535</v>
      </c>
    </row>
    <row r="38">
      <c r="A38" s="50" t="n">
        <v>0.8</v>
      </c>
      <c r="B38" s="47">
        <v>8.279015670803718</v>
      </c>
      <c r="C38" s="47">
        <v>11.295301855371067</v>
      </c>
      <c r="D38" s="47">
        <v>14.258807587830095</v>
      </c>
      <c r="E38" s="47">
        <v>20.112856038996604</v>
      </c>
      <c r="F38" s="47">
        <v>25.929811858438484</v>
      </c>
    </row>
    <row r="39">
      <c r="A39" s="50" t="n">
        <v>1</v>
      </c>
      <c r="B39" s="47">
        <v>9.392358263097261</v>
      </c>
      <c r="C39" s="47">
        <v>13.124018794490807</v>
      </c>
      <c r="D39" s="47">
        <v>16.801182763198536</v>
      </c>
      <c r="E39" s="47">
        <v>24.089192760474646</v>
      </c>
      <c r="F39" s="47">
        <v>31.33578919690896</v>
      </c>
    </row>
    <row r="40">
      <c r="A40" s="50" t="n">
        <v>1.2</v>
      </c>
      <c r="B40" s="47">
        <v>10.503876827620681</v>
      </c>
      <c r="C40" s="47">
        <v>14.954431354384516</v>
      </c>
      <c r="D40" s="47">
        <v>19.34915348905943</v>
      </c>
      <c r="E40" s="47">
        <v>28.07007991383861</v>
      </c>
      <c r="F40" s="47">
        <v>36.74759358460611</v>
      </c>
    </row>
    <row r="41">
      <c r="A41" s="50" t="n">
        <v>1.4</v>
      </c>
      <c r="B41" s="47">
        <v>11.616288224633816</v>
      </c>
      <c r="C41" s="47">
        <v>16.77938659153813</v>
      </c>
      <c r="D41" s="47">
        <v>21.889366728216125</v>
      </c>
      <c r="E41" s="47">
        <v>32.04459091319813</v>
      </c>
      <c r="F41" s="47">
        <v>42.16835686242688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7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MBX Biosciences, Inc.: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Endocrine (rare)</t>
        </is>
      </c>
      <c r="C4" s="14" t="inlineStr">
        <is>
          <t>400 µg of MBX 2109 once-weekly by subcutaneous injection, 20</t>
        </is>
      </c>
      <c r="D4" s="14" t="inlineStr">
        <is>
          <t>Phase 3</t>
        </is>
      </c>
      <c r="E4" s="14" t="inlineStr">
        <is>
          <t>Endocrine / rare</t>
        </is>
      </c>
      <c r="F4" s="14" t="inlineStr">
        <is>
          <t>Owned</t>
        </is>
      </c>
      <c r="G4" s="40" t="n">
        <v>700</v>
      </c>
      <c r="H4" s="27" t="n">
        <v>0.5653</v>
      </c>
      <c r="I4" s="26" t="n">
        <v>2029</v>
      </c>
      <c r="J4" s="39">
        <f>I4+Assumptions!$B$25</f>
        <v>2041.0</v>
      </c>
      <c r="K4" s="53">
        <f>Assumptions!$E$13</f>
        <v>0.4</v>
      </c>
      <c r="L4" s="23">
        <f>K4*SUMPRODUCT(M4:AF4,NPV!$C$15:$V$15)</f>
        <v>567.6272392525461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39.571000000000005</v>
      </c>
      <c r="Q4" s="23">
        <f>IF(Q$3&lt;$I4,0,$G4*Assumptions!$E$11*INDEX(Assumptions!$B$24:$G$24,MIN(6,Q$3-$I4+1))*IF(Q$3&gt;$J4,(1-Assumptions!$B$26)^(Q$3-$J4),1)*IF($H4&gt;=1,1,MIN(0.97,$H4*Assumptions!$E$12)))</f>
        <v>98.92750000000001</v>
      </c>
      <c r="R4" s="23">
        <f>IF(R$3&lt;$I4,0,$G4*Assumptions!$E$11*INDEX(Assumptions!$B$24:$G$24,MIN(6,R$3-$I4+1))*IF(R$3&gt;$J4,(1-Assumptions!$B$26)^(R$3-$J4),1)*IF($H4&gt;=1,1,MIN(0.97,$H4*Assumptions!$E$12)))</f>
        <v>178.0695</v>
      </c>
      <c r="S4" s="23">
        <f>IF(S$3&lt;$I4,0,$G4*Assumptions!$E$11*INDEX(Assumptions!$B$24:$G$24,MIN(6,S$3-$I4+1))*IF(S$3&gt;$J4,(1-Assumptions!$B$26)^(S$3-$J4),1)*IF($H4&gt;=1,1,MIN(0.97,$H4*Assumptions!$E$12)))</f>
        <v>257.2115</v>
      </c>
      <c r="T4" s="23">
        <f>IF(T$3&lt;$I4,0,$G4*Assumptions!$E$11*INDEX(Assumptions!$B$24:$G$24,MIN(6,T$3-$I4+1))*IF(T$3&gt;$J4,(1-Assumptions!$B$26)^(T$3-$J4),1)*IF($H4&gt;=1,1,MIN(0.97,$H4*Assumptions!$E$12)))</f>
        <v>336.3535</v>
      </c>
      <c r="U4" s="23">
        <f>IF(U$3&lt;$I4,0,$G4*Assumptions!$E$11*INDEX(Assumptions!$B$24:$G$24,MIN(6,U$3-$I4+1))*IF(U$3&gt;$J4,(1-Assumptions!$B$26)^(U$3-$J4),1)*IF($H4&gt;=1,1,MIN(0.97,$H4*Assumptions!$E$12)))</f>
        <v>395.71000000000004</v>
      </c>
      <c r="V4" s="23">
        <f>IF(V$3&lt;$I4,0,$G4*Assumptions!$E$11*INDEX(Assumptions!$B$24:$G$24,MIN(6,V$3-$I4+1))*IF(V$3&gt;$J4,(1-Assumptions!$B$26)^(V$3-$J4),1)*IF($H4&gt;=1,1,MIN(0.97,$H4*Assumptions!$E$12)))</f>
        <v>395.71000000000004</v>
      </c>
      <c r="W4" s="23">
        <f>IF(W$3&lt;$I4,0,$G4*Assumptions!$E$11*INDEX(Assumptions!$B$24:$G$24,MIN(6,W$3-$I4+1))*IF(W$3&gt;$J4,(1-Assumptions!$B$26)^(W$3-$J4),1)*IF($H4&gt;=1,1,MIN(0.97,$H4*Assumptions!$E$12)))</f>
        <v>395.71000000000004</v>
      </c>
      <c r="X4" s="23">
        <f>IF(X$3&lt;$I4,0,$G4*Assumptions!$E$11*INDEX(Assumptions!$B$24:$G$24,MIN(6,X$3-$I4+1))*IF(X$3&gt;$J4,(1-Assumptions!$B$26)^(X$3-$J4),1)*IF($H4&gt;=1,1,MIN(0.97,$H4*Assumptions!$E$12)))</f>
        <v>395.71000000000004</v>
      </c>
      <c r="Y4" s="23">
        <f>IF(Y$3&lt;$I4,0,$G4*Assumptions!$E$11*INDEX(Assumptions!$B$24:$G$24,MIN(6,Y$3-$I4+1))*IF(Y$3&gt;$J4,(1-Assumptions!$B$26)^(Y$3-$J4),1)*IF($H4&gt;=1,1,MIN(0.97,$H4*Assumptions!$E$12)))</f>
        <v>395.71000000000004</v>
      </c>
      <c r="Z4" s="23">
        <f>IF(Z$3&lt;$I4,0,$G4*Assumptions!$E$11*INDEX(Assumptions!$B$24:$G$24,MIN(6,Z$3-$I4+1))*IF(Z$3&gt;$J4,(1-Assumptions!$B$26)^(Z$3-$J4),1)*IF($H4&gt;=1,1,MIN(0.97,$H4*Assumptions!$E$12)))</f>
        <v>395.71000000000004</v>
      </c>
      <c r="AA4" s="23">
        <f>IF(AA$3&lt;$I4,0,$G4*Assumptions!$E$11*INDEX(Assumptions!$B$24:$G$24,MIN(6,AA$3-$I4+1))*IF(AA$3&gt;$J4,(1-Assumptions!$B$26)^(AA$3-$J4),1)*IF($H4&gt;=1,1,MIN(0.97,$H4*Assumptions!$E$12)))</f>
        <v>395.71000000000004</v>
      </c>
      <c r="AB4" s="23">
        <f>IF(AB$3&lt;$I4,0,$G4*Assumptions!$E$11*INDEX(Assumptions!$B$24:$G$24,MIN(6,AB$3-$I4+1))*IF(AB$3&gt;$J4,(1-Assumptions!$B$26)^(AB$3-$J4),1)*IF($H4&gt;=1,1,MIN(0.97,$H4*Assumptions!$E$12)))</f>
        <v>395.71000000000004</v>
      </c>
      <c r="AC4" s="23">
        <f>IF(AC$3&lt;$I4,0,$G4*Assumptions!$E$11*INDEX(Assumptions!$B$24:$G$24,MIN(6,AC$3-$I4+1))*IF(AC$3&gt;$J4,(1-Assumptions!$B$26)^(AC$3-$J4),1)*IF($H4&gt;=1,1,MIN(0.97,$H4*Assumptions!$E$12)))</f>
        <v>197.85500000000002</v>
      </c>
      <c r="AD4" s="23">
        <f>IF(AD$3&lt;$I4,0,$G4*Assumptions!$E$11*INDEX(Assumptions!$B$24:$G$24,MIN(6,AD$3-$I4+1))*IF(AD$3&gt;$J4,(1-Assumptions!$B$26)^(AD$3-$J4),1)*IF($H4&gt;=1,1,MIN(0.97,$H4*Assumptions!$E$12)))</f>
        <v>98.92750000000001</v>
      </c>
      <c r="AE4" s="23">
        <f>IF(AE$3&lt;$I4,0,$G4*Assumptions!$E$11*INDEX(Assumptions!$B$24:$G$24,MIN(6,AE$3-$I4+1))*IF(AE$3&gt;$J4,(1-Assumptions!$B$26)^(AE$3-$J4),1)*IF($H4&gt;=1,1,MIN(0.97,$H4*Assumptions!$E$12)))</f>
        <v>49.463750000000005</v>
      </c>
      <c r="AF4" s="23">
        <f>IF(AF$3&lt;$I4,0,$G4*Assumptions!$E$11*INDEX(Assumptions!$B$24:$G$24,MIN(6,AF$3-$I4+1))*IF(AF$3&gt;$J4,(1-Assumptions!$B$26)^(AF$3-$J4),1)*IF($H4&gt;=1,1,MIN(0.97,$H4*Assumptions!$E$12)))</f>
        <v>24.731875000000002</v>
      </c>
      <c r="AG4" s="35">
        <f>IF(F4="Owned",1-IF(H4&gt;=1,1,MIN(0.97,H4*Assumptions!$E$12)),1)</f>
        <v>0.4347</v>
      </c>
    </row>
    <row r="5">
      <c r="A5" s="39" t="n">
        <v>2</v>
      </c>
      <c r="B5" s="14" t="inlineStr">
        <is>
          <t>Obesity</t>
        </is>
      </c>
      <c r="C5" s="14" t="inlineStr">
        <is>
          <t>MBX 4291</t>
        </is>
      </c>
      <c r="D5" s="14" t="inlineStr">
        <is>
          <t>Phase 1</t>
        </is>
      </c>
      <c r="E5" s="14" t="inlineStr">
        <is>
          <t>Metabolic / chronic</t>
        </is>
      </c>
      <c r="F5" s="14" t="inlineStr">
        <is>
          <t>Owned</t>
        </is>
      </c>
      <c r="G5" s="40" t="n">
        <v>6000</v>
      </c>
      <c r="H5" s="27" t="n">
        <v>0.0585</v>
      </c>
      <c r="I5" s="26" t="n">
        <v>2033</v>
      </c>
      <c r="J5" s="39">
        <f>I5+Assumptions!$B$25</f>
        <v>2045.0</v>
      </c>
      <c r="K5" s="53">
        <f>Assumptions!$E$13</f>
        <v>0.4</v>
      </c>
      <c r="L5" s="23">
        <f>K5*SUMPRODUCT(M5:AF5,NPV!$C$15:$V$15)</f>
        <v>307.36056679505884</v>
      </c>
      <c r="M5" s="23">
        <f>IF(M$3&lt;$I5,0,$G5*Assumptions!$E$11*INDEX(Assumptions!$B$24:$G$24,MIN(6,M$3-$I5+1))*IF(M$3&gt;$J5,(1-Assumptions!$B$26)^(M$3-$J5),1)*IF($H5&gt;=1,1,MIN(0.97,$H5*Assumptions!$E$12)))</f>
        <v>0</v>
      </c>
      <c r="N5" s="23">
        <f>IF(N$3&lt;$I5,0,$G5*Assumptions!$E$11*INDEX(Assumptions!$B$24:$G$24,MIN(6,N$3-$I5+1))*IF(N$3&gt;$J5,(1-Assumptions!$B$26)^(N$3-$J5),1)*IF($H5&gt;=1,1,MIN(0.97,$H5*Assumptions!$E$12)))</f>
        <v>0</v>
      </c>
      <c r="O5" s="23">
        <f>IF(O$3&lt;$I5,0,$G5*Assumptions!$E$11*INDEX(Assumptions!$B$24:$G$24,MIN(6,O$3-$I5+1))*IF(O$3&gt;$J5,(1-Assumptions!$B$26)^(O$3-$J5),1)*IF($H5&gt;=1,1,MIN(0.97,$H5*Assumptions!$E$12)))</f>
        <v>0</v>
      </c>
      <c r="P5" s="23">
        <f>IF(P$3&lt;$I5,0,$G5*Assumptions!$E$11*INDEX(Assumptions!$B$24:$G$24,MIN(6,P$3-$I5+1))*IF(P$3&gt;$J5,(1-Assumptions!$B$26)^(P$3-$J5),1)*IF($H5&gt;=1,1,MIN(0.97,$H5*Assumptions!$E$12)))</f>
        <v>0</v>
      </c>
      <c r="Q5" s="23">
        <f>IF(Q$3&lt;$I5,0,$G5*Assumptions!$E$11*INDEX(Assumptions!$B$24:$G$24,MIN(6,Q$3-$I5+1))*IF(Q$3&gt;$J5,(1-Assumptions!$B$26)^(Q$3-$J5),1)*IF($H5&gt;=1,1,MIN(0.97,$H5*Assumptions!$E$12)))</f>
        <v>0</v>
      </c>
      <c r="R5" s="23">
        <f>IF(R$3&lt;$I5,0,$G5*Assumptions!$E$11*INDEX(Assumptions!$B$24:$G$24,MIN(6,R$3-$I5+1))*IF(R$3&gt;$J5,(1-Assumptions!$B$26)^(R$3-$J5),1)*IF($H5&gt;=1,1,MIN(0.97,$H5*Assumptions!$E$12)))</f>
        <v>0</v>
      </c>
      <c r="S5" s="23">
        <f>IF(S$3&lt;$I5,0,$G5*Assumptions!$E$11*INDEX(Assumptions!$B$24:$G$24,MIN(6,S$3-$I5+1))*IF(S$3&gt;$J5,(1-Assumptions!$B$26)^(S$3-$J5),1)*IF($H5&gt;=1,1,MIN(0.97,$H5*Assumptions!$E$12)))</f>
        <v>0</v>
      </c>
      <c r="T5" s="23">
        <f>IF(T$3&lt;$I5,0,$G5*Assumptions!$E$11*INDEX(Assumptions!$B$24:$G$24,MIN(6,T$3-$I5+1))*IF(T$3&gt;$J5,(1-Assumptions!$B$26)^(T$3-$J5),1)*IF($H5&gt;=1,1,MIN(0.97,$H5*Assumptions!$E$12)))</f>
        <v>35.1</v>
      </c>
      <c r="U5" s="23">
        <f>IF(U$3&lt;$I5,0,$G5*Assumptions!$E$11*INDEX(Assumptions!$B$24:$G$24,MIN(6,U$3-$I5+1))*IF(U$3&gt;$J5,(1-Assumptions!$B$26)^(U$3-$J5),1)*IF($H5&gt;=1,1,MIN(0.97,$H5*Assumptions!$E$12)))</f>
        <v>87.75</v>
      </c>
      <c r="V5" s="23">
        <f>IF(V$3&lt;$I5,0,$G5*Assumptions!$E$11*INDEX(Assumptions!$B$24:$G$24,MIN(6,V$3-$I5+1))*IF(V$3&gt;$J5,(1-Assumptions!$B$26)^(V$3-$J5),1)*IF($H5&gt;=1,1,MIN(0.97,$H5*Assumptions!$E$12)))</f>
        <v>157.95000000000002</v>
      </c>
      <c r="W5" s="23">
        <f>IF(W$3&lt;$I5,0,$G5*Assumptions!$E$11*INDEX(Assumptions!$B$24:$G$24,MIN(6,W$3-$I5+1))*IF(W$3&gt;$J5,(1-Assumptions!$B$26)^(W$3-$J5),1)*IF($H5&gt;=1,1,MIN(0.97,$H5*Assumptions!$E$12)))</f>
        <v>228.15</v>
      </c>
      <c r="X5" s="23">
        <f>IF(X$3&lt;$I5,0,$G5*Assumptions!$E$11*INDEX(Assumptions!$B$24:$G$24,MIN(6,X$3-$I5+1))*IF(X$3&gt;$J5,(1-Assumptions!$B$26)^(X$3-$J5),1)*IF($H5&gt;=1,1,MIN(0.97,$H5*Assumptions!$E$12)))</f>
        <v>298.35</v>
      </c>
      <c r="Y5" s="23">
        <f>IF(Y$3&lt;$I5,0,$G5*Assumptions!$E$11*INDEX(Assumptions!$B$24:$G$24,MIN(6,Y$3-$I5+1))*IF(Y$3&gt;$J5,(1-Assumptions!$B$26)^(Y$3-$J5),1)*IF($H5&gt;=1,1,MIN(0.97,$H5*Assumptions!$E$12)))</f>
        <v>351.0</v>
      </c>
      <c r="Z5" s="23">
        <f>IF(Z$3&lt;$I5,0,$G5*Assumptions!$E$11*INDEX(Assumptions!$B$24:$G$24,MIN(6,Z$3-$I5+1))*IF(Z$3&gt;$J5,(1-Assumptions!$B$26)^(Z$3-$J5),1)*IF($H5&gt;=1,1,MIN(0.97,$H5*Assumptions!$E$12)))</f>
        <v>351.0</v>
      </c>
      <c r="AA5" s="23">
        <f>IF(AA$3&lt;$I5,0,$G5*Assumptions!$E$11*INDEX(Assumptions!$B$24:$G$24,MIN(6,AA$3-$I5+1))*IF(AA$3&gt;$J5,(1-Assumptions!$B$26)^(AA$3-$J5),1)*IF($H5&gt;=1,1,MIN(0.97,$H5*Assumptions!$E$12)))</f>
        <v>351.0</v>
      </c>
      <c r="AB5" s="23">
        <f>IF(AB$3&lt;$I5,0,$G5*Assumptions!$E$11*INDEX(Assumptions!$B$24:$G$24,MIN(6,AB$3-$I5+1))*IF(AB$3&gt;$J5,(1-Assumptions!$B$26)^(AB$3-$J5),1)*IF($H5&gt;=1,1,MIN(0.97,$H5*Assumptions!$E$12)))</f>
        <v>351.0</v>
      </c>
      <c r="AC5" s="23">
        <f>IF(AC$3&lt;$I5,0,$G5*Assumptions!$E$11*INDEX(Assumptions!$B$24:$G$24,MIN(6,AC$3-$I5+1))*IF(AC$3&gt;$J5,(1-Assumptions!$B$26)^(AC$3-$J5),1)*IF($H5&gt;=1,1,MIN(0.97,$H5*Assumptions!$E$12)))</f>
        <v>351.0</v>
      </c>
      <c r="AD5" s="23">
        <f>IF(AD$3&lt;$I5,0,$G5*Assumptions!$E$11*INDEX(Assumptions!$B$24:$G$24,MIN(6,AD$3-$I5+1))*IF(AD$3&gt;$J5,(1-Assumptions!$B$26)^(AD$3-$J5),1)*IF($H5&gt;=1,1,MIN(0.97,$H5*Assumptions!$E$12)))</f>
        <v>351.0</v>
      </c>
      <c r="AE5" s="23">
        <f>IF(AE$3&lt;$I5,0,$G5*Assumptions!$E$11*INDEX(Assumptions!$B$24:$G$24,MIN(6,AE$3-$I5+1))*IF(AE$3&gt;$J5,(1-Assumptions!$B$26)^(AE$3-$J5),1)*IF($H5&gt;=1,1,MIN(0.97,$H5*Assumptions!$E$12)))</f>
        <v>351.0</v>
      </c>
      <c r="AF5" s="23">
        <f>IF(AF$3&lt;$I5,0,$G5*Assumptions!$E$11*INDEX(Assumptions!$B$24:$G$24,MIN(6,AF$3-$I5+1))*IF(AF$3&gt;$J5,(1-Assumptions!$B$26)^(AF$3-$J5),1)*IF($H5&gt;=1,1,MIN(0.97,$H5*Assumptions!$E$12)))</f>
        <v>351.0</v>
      </c>
      <c r="AG5" s="35">
        <f>IF(F5="Owned",1-IF(H5&gt;=1,1,MIN(0.97,H5*Assumptions!$E$12)),1)</f>
        <v>0.9415</v>
      </c>
    </row>
    <row r="6">
      <c r="B6" s="24" t="inlineStr">
        <is>
          <t>Risked revenue</t>
        </is>
      </c>
      <c r="L6" s="54">
        <f>SUM(L4:L5)</f>
        <v>874.987806047605</v>
      </c>
      <c r="M6" s="54">
        <f>SUM(M4:M5)</f>
        <v>0.0</v>
      </c>
      <c r="N6" s="54">
        <f>SUM(N4:N5)</f>
        <v>0.0</v>
      </c>
      <c r="O6" s="54">
        <f>SUM(O4:O5)</f>
        <v>0.0</v>
      </c>
      <c r="P6" s="54">
        <f>SUM(P4:P5)</f>
        <v>39.571000000000005</v>
      </c>
      <c r="Q6" s="54">
        <f>SUM(Q4:Q5)</f>
        <v>98.92750000000001</v>
      </c>
      <c r="R6" s="54">
        <f>SUM(R4:R5)</f>
        <v>178.0695</v>
      </c>
      <c r="S6" s="54">
        <f>SUM(S4:S5)</f>
        <v>257.2115</v>
      </c>
      <c r="T6" s="54">
        <f>SUM(T4:T5)</f>
        <v>371.4535</v>
      </c>
      <c r="U6" s="54">
        <f>SUM(U4:U5)</f>
        <v>483.46000000000004</v>
      </c>
      <c r="V6" s="54">
        <f>SUM(V4:V5)</f>
        <v>553.6600000000001</v>
      </c>
      <c r="W6" s="54">
        <f>SUM(W4:W5)</f>
        <v>623.86</v>
      </c>
      <c r="X6" s="54">
        <f>SUM(X4:X5)</f>
        <v>694.0600000000001</v>
      </c>
      <c r="Y6" s="54">
        <f>SUM(Y4:Y5)</f>
        <v>746.71</v>
      </c>
      <c r="Z6" s="54">
        <f>SUM(Z4:Z5)</f>
        <v>746.71</v>
      </c>
      <c r="AA6" s="54">
        <f>SUM(AA4:AA5)</f>
        <v>746.71</v>
      </c>
      <c r="AB6" s="54">
        <f>SUM(AB4:AB5)</f>
        <v>746.71</v>
      </c>
      <c r="AC6" s="54">
        <f>SUM(AC4:AC5)</f>
        <v>548.855</v>
      </c>
      <c r="AD6" s="54">
        <f>SUM(AD4:AD5)</f>
        <v>449.9275</v>
      </c>
      <c r="AE6" s="54">
        <f>SUM(AE4:AE5)</f>
        <v>400.46375</v>
      </c>
      <c r="AF6" s="54">
        <f>SUM(AF4:AF5)</f>
        <v>375.731875</v>
      </c>
    </row>
    <row r="7">
      <c r="B7" s="24" t="inlineStr">
        <is>
          <t>Risked contribution (revenue x share)</t>
        </is>
      </c>
      <c r="M7" s="55">
        <f>SUMPRODUCT(M4:M5,$K$4:$K$5)</f>
        <v>0.0</v>
      </c>
      <c r="N7" s="55">
        <f>SUMPRODUCT(N4:N5,$K$4:$K$5)</f>
        <v>0.0</v>
      </c>
      <c r="O7" s="55">
        <f>SUMPRODUCT(O4:O5,$K$4:$K$5)</f>
        <v>0.0</v>
      </c>
      <c r="P7" s="55">
        <f>SUMPRODUCT(P4:P5,$K$4:$K$5)</f>
        <v>15.828400000000002</v>
      </c>
      <c r="Q7" s="55">
        <f>SUMPRODUCT(Q4:Q5,$K$4:$K$5)</f>
        <v>39.571000000000005</v>
      </c>
      <c r="R7" s="55">
        <f>SUMPRODUCT(R4:R5,$K$4:$K$5)</f>
        <v>71.2278</v>
      </c>
      <c r="S7" s="55">
        <f>SUMPRODUCT(S4:S5,$K$4:$K$5)</f>
        <v>102.8846</v>
      </c>
      <c r="T7" s="55">
        <f>SUMPRODUCT(T4:T5,$K$4:$K$5)</f>
        <v>148.5814</v>
      </c>
      <c r="U7" s="55">
        <f>SUMPRODUCT(U4:U5,$K$4:$K$5)</f>
        <v>193.38400000000001</v>
      </c>
      <c r="V7" s="55">
        <f>SUMPRODUCT(V4:V5,$K$4:$K$5)</f>
        <v>221.46400000000003</v>
      </c>
      <c r="W7" s="55">
        <f>SUMPRODUCT(W4:W5,$K$4:$K$5)</f>
        <v>249.54400000000004</v>
      </c>
      <c r="X7" s="55">
        <f>SUMPRODUCT(X4:X5,$K$4:$K$5)</f>
        <v>277.624</v>
      </c>
      <c r="Y7" s="55">
        <f>SUMPRODUCT(Y4:Y5,$K$4:$K$5)</f>
        <v>298.684</v>
      </c>
      <c r="Z7" s="55">
        <f>SUMPRODUCT(Z4:Z5,$K$4:$K$5)</f>
        <v>298.684</v>
      </c>
      <c r="AA7" s="55">
        <f>SUMPRODUCT(AA4:AA5,$K$4:$K$5)</f>
        <v>298.684</v>
      </c>
      <c r="AB7" s="55">
        <f>SUMPRODUCT(AB4:AB5,$K$4:$K$5)</f>
        <v>298.684</v>
      </c>
      <c r="AC7" s="55">
        <f>SUMPRODUCT(AC4:AC5,$K$4:$K$5)</f>
        <v>219.54200000000003</v>
      </c>
      <c r="AD7" s="55">
        <f>SUMPRODUCT(AD4:AD5,$K$4:$K$5)</f>
        <v>179.971</v>
      </c>
      <c r="AE7" s="55">
        <f>SUMPRODUCT(AE4:AE5,$K$4:$K$5)</f>
        <v>160.18550000000002</v>
      </c>
      <c r="AF7" s="55">
        <f>SUMPRODUCT(AF4:AF5,$K$4:$K$5)</f>
        <v>150.29275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MBX Biosciences, Inc.: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Pipeline!M6</f>
        <v>0.0</v>
      </c>
      <c r="D4" s="57">
        <f>Pipeline!N6</f>
        <v>0.0</v>
      </c>
      <c r="E4" s="57">
        <f>Pipeline!O6</f>
        <v>0.0</v>
      </c>
      <c r="F4" s="57">
        <f>Pipeline!P6</f>
        <v>39.571000000000005</v>
      </c>
      <c r="G4" s="57">
        <f>Pipeline!Q6</f>
        <v>98.92750000000001</v>
      </c>
      <c r="H4" s="57">
        <f>Pipeline!R6</f>
        <v>178.0695</v>
      </c>
      <c r="I4" s="57">
        <f>Pipeline!S6</f>
        <v>257.2115</v>
      </c>
      <c r="J4" s="57">
        <f>Pipeline!T6</f>
        <v>371.4535</v>
      </c>
      <c r="K4" s="57">
        <f>Pipeline!U6</f>
        <v>483.46000000000004</v>
      </c>
      <c r="L4" s="57">
        <f>Pipeline!V6</f>
        <v>553.6600000000001</v>
      </c>
      <c r="M4" s="57">
        <f>Pipeline!W6</f>
        <v>623.86</v>
      </c>
      <c r="N4" s="57">
        <f>Pipeline!X6</f>
        <v>694.0600000000001</v>
      </c>
      <c r="O4" s="57">
        <f>Pipeline!Y6</f>
        <v>746.71</v>
      </c>
      <c r="P4" s="57">
        <f>Pipeline!Z6</f>
        <v>746.71</v>
      </c>
      <c r="Q4" s="57">
        <f>Pipeline!AA6</f>
        <v>746.71</v>
      </c>
      <c r="R4" s="57">
        <f>Pipeline!AB6</f>
        <v>746.71</v>
      </c>
      <c r="S4" s="57">
        <f>Pipeline!AC6</f>
        <v>548.855</v>
      </c>
      <c r="T4" s="57">
        <f>Pipeline!AD6</f>
        <v>449.9275</v>
      </c>
      <c r="U4" s="57">
        <f>Pipeline!AE6</f>
        <v>400.46375</v>
      </c>
      <c r="V4" s="57">
        <f>Pipeline!AF6</f>
        <v>375.731875</v>
      </c>
    </row>
    <row r="5">
      <c r="A5" s="14" t="inlineStr">
        <is>
          <t>Risked contribution</t>
        </is>
      </c>
      <c r="C5" s="57">
        <f>Pipeline!M7</f>
        <v>0.0</v>
      </c>
      <c r="D5" s="57">
        <f>Pipeline!N7</f>
        <v>0.0</v>
      </c>
      <c r="E5" s="57">
        <f>Pipeline!O7</f>
        <v>0.0</v>
      </c>
      <c r="F5" s="57">
        <f>Pipeline!P7</f>
        <v>15.828400000000002</v>
      </c>
      <c r="G5" s="57">
        <f>Pipeline!Q7</f>
        <v>39.571000000000005</v>
      </c>
      <c r="H5" s="57">
        <f>Pipeline!R7</f>
        <v>71.2278</v>
      </c>
      <c r="I5" s="57">
        <f>Pipeline!S7</f>
        <v>102.8846</v>
      </c>
      <c r="J5" s="57">
        <f>Pipeline!T7</f>
        <v>148.5814</v>
      </c>
      <c r="K5" s="57">
        <f>Pipeline!U7</f>
        <v>193.38400000000001</v>
      </c>
      <c r="L5" s="57">
        <f>Pipeline!V7</f>
        <v>221.46400000000003</v>
      </c>
      <c r="M5" s="57">
        <f>Pipeline!W7</f>
        <v>249.54400000000004</v>
      </c>
      <c r="N5" s="57">
        <f>Pipeline!X7</f>
        <v>277.624</v>
      </c>
      <c r="O5" s="57">
        <f>Pipeline!Y7</f>
        <v>298.684</v>
      </c>
      <c r="P5" s="57">
        <f>Pipeline!Z7</f>
        <v>298.684</v>
      </c>
      <c r="Q5" s="57">
        <f>Pipeline!AA7</f>
        <v>298.684</v>
      </c>
      <c r="R5" s="57">
        <f>Pipeline!AB7</f>
        <v>298.684</v>
      </c>
      <c r="S5" s="57">
        <f>Pipeline!AC7</f>
        <v>219.54200000000003</v>
      </c>
      <c r="T5" s="57">
        <f>Pipeline!AD7</f>
        <v>179.971</v>
      </c>
      <c r="U5" s="57">
        <f>Pipeline!AE7</f>
        <v>160.18550000000002</v>
      </c>
      <c r="V5" s="57">
        <f>Pipeline!AF7</f>
        <v>150.29275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-117.917</v>
      </c>
      <c r="D6" s="23">
        <f>-IF(D3-2026&lt;Assumptions!$B$19,Assumptions!$B$18,Assumptions!$B$18*Assumptions!$B$20*Assumptions!$B$16)</f>
        <v>-117.917</v>
      </c>
      <c r="E6" s="23">
        <f>-IF(E3-2026&lt;Assumptions!$B$19,Assumptions!$B$18,Assumptions!$B$18*Assumptions!$B$20*Assumptions!$B$16)</f>
        <v>-117.917</v>
      </c>
      <c r="F6" s="23">
        <f>-IF(F3-2026&lt;Assumptions!$B$19,Assumptions!$B$18,Assumptions!$B$18*Assumptions!$B$20*Assumptions!$B$16)</f>
        <v>-20.897131054245</v>
      </c>
      <c r="G6" s="23">
        <f>-IF(G3-2026&lt;Assumptions!$B$19,Assumptions!$B$18,Assumptions!$B$18*Assumptions!$B$20*Assumptions!$B$16)</f>
        <v>-20.897131054245</v>
      </c>
      <c r="H6" s="23">
        <f>-IF(H3-2026&lt;Assumptions!$B$19,Assumptions!$B$18,Assumptions!$B$18*Assumptions!$B$20*Assumptions!$B$16)</f>
        <v>-20.897131054245</v>
      </c>
      <c r="I6" s="23">
        <f>-IF(I3-2026&lt;Assumptions!$B$19,Assumptions!$B$18,Assumptions!$B$18*Assumptions!$B$20*Assumptions!$B$16)</f>
        <v>-20.897131054245</v>
      </c>
      <c r="J6" s="23">
        <f>-IF(J3-2026&lt;Assumptions!$B$19,Assumptions!$B$18,Assumptions!$B$18*Assumptions!$B$20*Assumptions!$B$16)</f>
        <v>-20.897131054245</v>
      </c>
      <c r="K6" s="23">
        <f>-IF(K3-2026&lt;Assumptions!$B$19,Assumptions!$B$18,Assumptions!$B$18*Assumptions!$B$20*Assumptions!$B$16)</f>
        <v>-20.897131054245</v>
      </c>
      <c r="L6" s="23">
        <f>-IF(L3-2026&lt;Assumptions!$B$19,Assumptions!$B$18,Assumptions!$B$18*Assumptions!$B$20*Assumptions!$B$16)</f>
        <v>-20.897131054245</v>
      </c>
      <c r="M6" s="23">
        <f>-IF(M3-2026&lt;Assumptions!$B$19,Assumptions!$B$18,Assumptions!$B$18*Assumptions!$B$20*Assumptions!$B$16)</f>
        <v>-20.897131054245</v>
      </c>
      <c r="N6" s="23">
        <f>-IF(N3-2026&lt;Assumptions!$B$19,Assumptions!$B$18,Assumptions!$B$18*Assumptions!$B$20*Assumptions!$B$16)</f>
        <v>-20.897131054245</v>
      </c>
      <c r="O6" s="23">
        <f>-IF(O3-2026&lt;Assumptions!$B$19,Assumptions!$B$18,Assumptions!$B$18*Assumptions!$B$20*Assumptions!$B$16)</f>
        <v>-20.897131054245</v>
      </c>
      <c r="P6" s="23">
        <f>-IF(P3-2026&lt;Assumptions!$B$19,Assumptions!$B$18,Assumptions!$B$18*Assumptions!$B$20*Assumptions!$B$16)</f>
        <v>-20.897131054245</v>
      </c>
      <c r="Q6" s="23">
        <f>-IF(Q3-2026&lt;Assumptions!$B$19,Assumptions!$B$18,Assumptions!$B$18*Assumptions!$B$20*Assumptions!$B$16)</f>
        <v>-20.897131054245</v>
      </c>
      <c r="R6" s="23">
        <f>-IF(R3-2026&lt;Assumptions!$B$19,Assumptions!$B$18,Assumptions!$B$18*Assumptions!$B$20*Assumptions!$B$16)</f>
        <v>-20.897131054245</v>
      </c>
      <c r="S6" s="23">
        <f>-IF(S3-2026&lt;Assumptions!$B$19,Assumptions!$B$18,Assumptions!$B$18*Assumptions!$B$20*Assumptions!$B$16)</f>
        <v>-20.897131054245</v>
      </c>
      <c r="T6" s="23">
        <f>-IF(T3-2026&lt;Assumptions!$B$19,Assumptions!$B$18,Assumptions!$B$18*Assumptions!$B$20*Assumptions!$B$16)</f>
        <v>-20.897131054245</v>
      </c>
      <c r="U6" s="23">
        <f>-IF(U3-2026&lt;Assumptions!$B$19,Assumptions!$B$18,Assumptions!$B$18*Assumptions!$B$20*Assumptions!$B$16)</f>
        <v>-20.897131054245</v>
      </c>
      <c r="V6" s="23">
        <f>-IF(V3-2026&lt;Assumptions!$B$19,Assumptions!$B$18,Assumptions!$B$18*Assumptions!$B$20*Assumptions!$B$16)</f>
        <v>-20.897131054245</v>
      </c>
    </row>
    <row r="7">
      <c r="A7" s="14" t="inlineStr">
        <is>
          <t>Pre-tax cash flow</t>
        </is>
      </c>
      <c r="C7" s="23">
        <f>C5+C6</f>
        <v>-117.917</v>
      </c>
      <c r="D7" s="23">
        <f>D5+D6</f>
        <v>-117.917</v>
      </c>
      <c r="E7" s="23">
        <f>E5+E6</f>
        <v>-117.917</v>
      </c>
      <c r="F7" s="23">
        <f>F5+F6</f>
        <v>-5.068731054244999</v>
      </c>
      <c r="G7" s="23">
        <f>G5+G6</f>
        <v>18.673868945755004</v>
      </c>
      <c r="H7" s="23">
        <f>H5+H6</f>
        <v>50.330668945755</v>
      </c>
      <c r="I7" s="23">
        <f>I5+I6</f>
        <v>81.98746894575501</v>
      </c>
      <c r="J7" s="23">
        <f>J5+J6</f>
        <v>127.68426894575501</v>
      </c>
      <c r="K7" s="23">
        <f>K5+K6</f>
        <v>172.48686894575502</v>
      </c>
      <c r="L7" s="23">
        <f>L5+L6</f>
        <v>200.56686894575503</v>
      </c>
      <c r="M7" s="23">
        <f>M5+M6</f>
        <v>228.64686894575505</v>
      </c>
      <c r="N7" s="23">
        <f>N5+N6</f>
        <v>256.72686894575503</v>
      </c>
      <c r="O7" s="23">
        <f>O5+O6</f>
        <v>277.78686894575503</v>
      </c>
      <c r="P7" s="23">
        <f>P5+P6</f>
        <v>277.78686894575503</v>
      </c>
      <c r="Q7" s="23">
        <f>Q5+Q6</f>
        <v>277.78686894575503</v>
      </c>
      <c r="R7" s="23">
        <f>R5+R6</f>
        <v>277.78686894575503</v>
      </c>
      <c r="S7" s="23">
        <f>S5+S6</f>
        <v>198.64486894575504</v>
      </c>
      <c r="T7" s="23">
        <f>T5+T6</f>
        <v>159.073868945755</v>
      </c>
      <c r="U7" s="23">
        <f>U5+U6</f>
        <v>139.28836894575502</v>
      </c>
      <c r="V7" s="23">
        <f>V5+V6</f>
        <v>129.39561894575502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18.673868945755004</v>
      </c>
      <c r="H8" s="23">
        <f>MIN(G17,MAX(0,H7))</f>
        <v>50.330668945755</v>
      </c>
      <c r="I8" s="23">
        <f>MIN(H17,MAX(0,I7))</f>
        <v>81.98746894575501</v>
      </c>
      <c r="J8" s="23">
        <f>MIN(I17,MAX(0,J7))</f>
        <v>127.68426894575501</v>
      </c>
      <c r="K8" s="23">
        <f>MIN(J17,MAX(0,K7))</f>
        <v>172.48686894575502</v>
      </c>
      <c r="L8" s="23">
        <f>MIN(K17,MAX(0,L7))</f>
        <v>89.15658632547007</v>
      </c>
      <c r="M8" s="23">
        <f>MIN(L17,MAX(0,M7))</f>
        <v>0.0</v>
      </c>
      <c r="N8" s="23">
        <f>MIN(M17,MAX(0,N7))</f>
        <v>0.0</v>
      </c>
      <c r="O8" s="23">
        <f>MIN(N17,MAX(0,O7))</f>
        <v>0.0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111.41028262028496</v>
      </c>
      <c r="M9" s="23">
        <f>MAX(0,M7)-M8</f>
        <v>228.64686894575505</v>
      </c>
      <c r="N9" s="23">
        <f>MAX(0,N7)-N8</f>
        <v>256.72686894575503</v>
      </c>
      <c r="O9" s="23">
        <f>MAX(0,O7)-O8</f>
        <v>277.78686894575503</v>
      </c>
      <c r="P9" s="23">
        <f>MAX(0,P7)-P8</f>
        <v>277.78686894575503</v>
      </c>
      <c r="Q9" s="23">
        <f>MAX(0,Q7)-Q8</f>
        <v>277.78686894575503</v>
      </c>
      <c r="R9" s="23">
        <f>MAX(0,R7)-R8</f>
        <v>277.78686894575503</v>
      </c>
      <c r="S9" s="23">
        <f>MAX(0,S7)-S8</f>
        <v>198.64486894575504</v>
      </c>
      <c r="T9" s="23">
        <f>MAX(0,T7)-T8</f>
        <v>159.073868945755</v>
      </c>
      <c r="U9" s="23">
        <f>MAX(0,U7)-U8</f>
        <v>139.28836894575502</v>
      </c>
      <c r="V9" s="23">
        <f>MAX(0,V7)-V8</f>
        <v>129.39561894575502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23.39615935025984</v>
      </c>
      <c r="M10" s="23">
        <f>M9*Assumptions!$E$15</f>
        <v>48.015842478608555</v>
      </c>
      <c r="N10" s="23">
        <f>N9*Assumptions!$E$15</f>
        <v>53.912642478608554</v>
      </c>
      <c r="O10" s="23">
        <f>O9*Assumptions!$E$15</f>
        <v>58.335242478608556</v>
      </c>
      <c r="P10" s="23">
        <f>P9*Assumptions!$E$15</f>
        <v>58.335242478608556</v>
      </c>
      <c r="Q10" s="23">
        <f>Q9*Assumptions!$E$15</f>
        <v>58.335242478608556</v>
      </c>
      <c r="R10" s="23">
        <f>R9*Assumptions!$E$15</f>
        <v>58.335242478608556</v>
      </c>
      <c r="S10" s="23">
        <f>S9*Assumptions!$E$15</f>
        <v>41.71542247860856</v>
      </c>
      <c r="T10" s="23">
        <f>T9*Assumptions!$E$15</f>
        <v>33.40551247860855</v>
      </c>
      <c r="U10" s="23">
        <f>U9*Assumptions!$E$15</f>
        <v>29.250557478608552</v>
      </c>
      <c r="V10" s="23">
        <f>V9*Assumptions!$E$15</f>
        <v>27.173079978608552</v>
      </c>
    </row>
    <row r="11">
      <c r="A11" s="24" t="inlineStr">
        <is>
          <t>Free cash flow</t>
        </is>
      </c>
      <c r="C11" s="55">
        <f>C7-C10</f>
        <v>-117.917</v>
      </c>
      <c r="D11" s="55">
        <f>D7-D10</f>
        <v>-117.917</v>
      </c>
      <c r="E11" s="55">
        <f>E7-E10</f>
        <v>-117.917</v>
      </c>
      <c r="F11" s="55">
        <f>F7-F10</f>
        <v>-5.068731054244999</v>
      </c>
      <c r="G11" s="55">
        <f>G7-G10</f>
        <v>18.673868945755004</v>
      </c>
      <c r="H11" s="55">
        <f>H7-H10</f>
        <v>50.330668945755</v>
      </c>
      <c r="I11" s="55">
        <f>I7-I10</f>
        <v>81.98746894575501</v>
      </c>
      <c r="J11" s="55">
        <f>J7-J10</f>
        <v>127.68426894575501</v>
      </c>
      <c r="K11" s="55">
        <f>K7-K10</f>
        <v>172.48686894575502</v>
      </c>
      <c r="L11" s="55">
        <f>L7-L10</f>
        <v>177.1707095954952</v>
      </c>
      <c r="M11" s="55">
        <f>M7-M10</f>
        <v>180.63102646714648</v>
      </c>
      <c r="N11" s="55">
        <f>N7-N10</f>
        <v>202.81422646714648</v>
      </c>
      <c r="O11" s="55">
        <f>O7-O10</f>
        <v>219.45162646714647</v>
      </c>
      <c r="P11" s="55">
        <f>P7-P10</f>
        <v>219.45162646714647</v>
      </c>
      <c r="Q11" s="55">
        <f>Q7-Q10</f>
        <v>219.45162646714647</v>
      </c>
      <c r="R11" s="55">
        <f>R7-R10</f>
        <v>219.45162646714647</v>
      </c>
      <c r="S11" s="55">
        <f>S7-S10</f>
        <v>156.92944646714648</v>
      </c>
      <c r="T11" s="55">
        <f>T7-T10</f>
        <v>125.66835646714645</v>
      </c>
      <c r="U11" s="55">
        <f>U7-U10</f>
        <v>110.03781146714647</v>
      </c>
      <c r="V11" s="55">
        <f>V7-V10</f>
        <v>102.22253896714646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-57.76805112276181</v>
      </c>
      <c r="D16" s="55">
        <f>D11*D15</f>
        <v>-105.23412756679977</v>
      </c>
      <c r="E16" s="55">
        <f>E11*E15</f>
        <v>-93.9590424703569</v>
      </c>
      <c r="F16" s="55">
        <f>F11*F15</f>
        <v>-3.606146669120644</v>
      </c>
      <c r="G16" s="55">
        <f>G11*G15</f>
        <v>11.862068346392709</v>
      </c>
      <c r="H16" s="55">
        <f>H11*H15</f>
        <v>28.545706449883447</v>
      </c>
      <c r="I16" s="55">
        <f>I11*I15</f>
        <v>41.518107542527275</v>
      </c>
      <c r="J16" s="55">
        <f>J11*J15</f>
        <v>57.73104804203858</v>
      </c>
      <c r="K16" s="55">
        <f>K11*K15</f>
        <v>69.63219146467065</v>
      </c>
      <c r="L16" s="55">
        <f>L11*L15</f>
        <v>63.85985478969194</v>
      </c>
      <c r="M16" s="55">
        <f>M11*M15</f>
        <v>58.131339356268256</v>
      </c>
      <c r="N16" s="55">
        <f>N11*N15</f>
        <v>58.27715904602188</v>
      </c>
      <c r="O16" s="55">
        <f>O11*O15</f>
        <v>56.30160013791589</v>
      </c>
      <c r="P16" s="55">
        <f>P11*P15</f>
        <v>50.269285837424896</v>
      </c>
      <c r="Q16" s="55">
        <f>Q11*Q15</f>
        <v>44.88329092627223</v>
      </c>
      <c r="R16" s="55">
        <f>R11*R15</f>
        <v>40.07436689845734</v>
      </c>
      <c r="S16" s="55">
        <f>S11*S15</f>
        <v>25.586700538102964</v>
      </c>
      <c r="T16" s="55">
        <f>T11*T15</f>
        <v>18.29438253729616</v>
      </c>
      <c r="U16" s="55">
        <f>U11*U15</f>
        <v>14.302624676025246</v>
      </c>
      <c r="V16" s="55">
        <f>V11*V15</f>
        <v>11.86321602923655</v>
      </c>
    </row>
    <row r="17">
      <c r="A17" s="14" t="inlineStr">
        <is>
          <t>Tax-loss carryforward, end of year</t>
        </is>
      </c>
      <c r="C17" s="23">
        <f>Assumptions!$B$21-C8+MAX(0,-C7)</f>
        <v>299.41700000000003</v>
      </c>
      <c r="D17" s="23">
        <f>C17-D8+MAX(0,-D7)</f>
        <v>417.33400000000006</v>
      </c>
      <c r="E17" s="23">
        <f>D17-E8+MAX(0,-E7)</f>
        <v>535.2510000000001</v>
      </c>
      <c r="F17" s="23">
        <f>E17-F8+MAX(0,-F7)</f>
        <v>540.319731054245</v>
      </c>
      <c r="G17" s="23">
        <f>F17-G8+MAX(0,-G7)</f>
        <v>521.6458621084901</v>
      </c>
      <c r="H17" s="23">
        <f>G17-H8+MAX(0,-H7)</f>
        <v>471.31519316273506</v>
      </c>
      <c r="I17" s="23">
        <f>H17-I8+MAX(0,-I7)</f>
        <v>389.3277242169801</v>
      </c>
      <c r="J17" s="23">
        <f>I17-J8+MAX(0,-J7)</f>
        <v>261.6434552712251</v>
      </c>
      <c r="K17" s="23">
        <f>J17-K8+MAX(0,-K7)</f>
        <v>89.15658632547007</v>
      </c>
      <c r="L17" s="23">
        <f>K17-L8+MAX(0,-L7)</f>
        <v>0.0</v>
      </c>
      <c r="M17" s="23">
        <f>L17-M8+MAX(0,-M7)</f>
        <v>0.0</v>
      </c>
      <c r="N17" s="23">
        <f>M17-N8+MAX(0,-N7)</f>
        <v>0.0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874.9878060476051</v>
      </c>
    </row>
    <row r="20">
      <c r="A20" s="14" t="inlineStr">
        <is>
          <t>PV of corporate burn</t>
        </is>
      </c>
      <c r="B20" s="23">
        <f>SUMPRODUCT(C6:V6,C15:V15)</f>
        <v>-375.5125104694448</v>
      </c>
    </row>
    <row r="21">
      <c r="A21" s="14" t="inlineStr">
        <is>
          <t>PV of taxes</t>
        </is>
      </c>
      <c r="B21" s="23">
        <f>-SUMPRODUCT(C10:V10,C15:V15)</f>
        <v>-108.90972078897329</v>
      </c>
    </row>
    <row r="22">
      <c r="A22" s="24" t="inlineStr">
        <is>
          <t>Pipeline rNPV (operations)</t>
        </is>
      </c>
      <c r="B22" s="54">
        <f>SUM(C16:V16)</f>
        <v>390.5655747891868</v>
      </c>
    </row>
    <row r="23">
      <c r="A23" s="14" t="inlineStr">
        <is>
          <t>Cash &amp; investments</t>
        </is>
      </c>
      <c r="B23" s="57">
        <f>Main!C7</f>
        <v>418.581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809.1465747891868</v>
      </c>
    </row>
    <row r="26">
      <c r="A26" s="14" t="inlineStr">
        <is>
          <t>Shares (mm)</t>
        </is>
      </c>
      <c r="B26" s="57">
        <f>Main!C4</f>
        <v>48.160096</v>
      </c>
    </row>
    <row r="27">
      <c r="A27" s="24" t="inlineStr">
        <is>
          <t>rNPV / share</t>
        </is>
      </c>
      <c r="B27" s="60">
        <f>B25/B26</f>
        <v>16.801182763198536</v>
      </c>
    </row>
    <row r="28">
      <c r="A28" s="14" t="inlineStr">
        <is>
          <t>Price</t>
        </is>
      </c>
      <c r="B28" s="61">
        <f>Main!C3</f>
        <v>53.5</v>
      </c>
    </row>
    <row r="29">
      <c r="A29" s="14" t="inlineStr">
        <is>
          <t>Upside</t>
        </is>
      </c>
      <c r="B29" s="62">
        <f>B27/B28-1</f>
        <v>-0.6859592006878779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2026-10-21T06:22:24Z</dcterms:modified>
  <cp:lastModifiedBy>Wang, Eric</cp:lastModifiedBy>
</cp:coreProperties>
</file>