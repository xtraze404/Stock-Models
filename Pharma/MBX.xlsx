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MBX Biosciences, Inc.</t>
        </is>
      </c>
      <c r="C2" s="10" t="n"/>
    </row>
    <row r="3">
      <c r="B3" t="inlineStr">
        <is>
          <t>Price</t>
        </is>
      </c>
      <c r="C3" s="11">
        <f>INDEX([1]Pharma!$F$1:$F$1000,MATCH("MBX",[1]Pharma!$B$1:$B$1000,0))</f>
        <v>53.5</v>
      </c>
      <c r="F3" s="1" t="n"/>
    </row>
    <row r="4">
      <c r="B4" t="inlineStr">
        <is>
          <t>Shares</t>
        </is>
      </c>
      <c r="C4" s="21" t="n">
        <v>48.160096</v>
      </c>
      <c r="F4" s="1" t="n"/>
    </row>
    <row r="5">
      <c r="B5" t="inlineStr">
        <is>
          <t>Market Cap.</t>
        </is>
      </c>
      <c r="C5" s="13">
        <f>C3*C4</f>
        <v>2576.565136</v>
      </c>
      <c r="F5" s="1" t="n"/>
    </row>
    <row r="6"/>
    <row r="7">
      <c r="B7" t="inlineStr">
        <is>
          <t>Cash</t>
        </is>
      </c>
      <c r="C7" s="21">
        <f>54.124+364.457</f>
        <v>418.581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2157.984136</v>
      </c>
    </row>
    <row r="10"/>
    <row r="11">
      <c r="B11" s="14" t="inlineStr">
        <is>
          <t>Net Cash / Share</t>
        </is>
      </c>
      <c r="C11" s="11">
        <f>(C7-C8)/C4</f>
        <v>8.6914486216971</v>
      </c>
    </row>
    <row r="12">
      <c r="B12" s="14" t="inlineStr">
        <is>
          <t>Upside</t>
        </is>
      </c>
      <c r="C12" s="15">
        <f>IFERROR(C11/C3-1,"")</f>
        <v>-0.8375430164168767</v>
      </c>
    </row>
    <row r="13">
      <c r="B13" s="14" t="inlineStr">
        <is>
          <t>Cash / Share</t>
        </is>
      </c>
      <c r="C13" s="11">
        <f>IFERROR((C7-C8)/C4,"")</f>
        <v>8.6914486216971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-82.667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5.06345942153459</v>
      </c>
    </row>
    <row r="19">
      <c r="B19" s="14" t="inlineStr">
        <is>
          <t>Implied Pipeline Value</t>
        </is>
      </c>
      <c r="C19" s="13">
        <f>C9</f>
        <v>2157.984136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28.534</v>
      </c>
      <c r="C5" s="23" t="n">
        <v>57.415</v>
      </c>
      <c r="D5" s="23" t="n">
        <v>79.15900000000001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6.777</v>
      </c>
      <c r="C6" s="23" t="n">
        <v>10.779</v>
      </c>
      <c r="D6" s="23" t="n">
        <v>18.896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35.311</v>
      </c>
      <c r="C7" s="23">
        <f>SUM(C5:C6)</f>
        <v>68.194</v>
      </c>
      <c r="D7" s="23">
        <f>SUM(D5:D6)</f>
        <v>98.055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-35.311</v>
      </c>
      <c r="C8" s="23">
        <f>C4-C7</f>
        <v>-68.194</v>
      </c>
      <c r="D8" s="23">
        <f>D4-D7</f>
        <v>-98.055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2.748</v>
      </c>
      <c r="C9" s="23" t="n">
        <v>6.272</v>
      </c>
      <c r="D9" s="23" t="n">
        <v>11.055</v>
      </c>
    </row>
    <row r="10">
      <c r="A10" s="2" t="inlineStr">
        <is>
          <t>Pretax</t>
        </is>
      </c>
      <c r="B10" s="23">
        <f>B8+B9</f>
        <v>-32.563</v>
      </c>
      <c r="C10" s="23">
        <f>C8+C9</f>
        <v>-61.922000000000004</v>
      </c>
      <c r="D10" s="23">
        <f>D8+D9</f>
        <v>-87.0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-32.563</v>
      </c>
      <c r="C12" s="23" t="n">
        <v>-61.922</v>
      </c>
      <c r="D12" s="23" t="n">
        <v>-87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-31.955839057899908</v>
      </c>
      <c r="C13" s="11">
        <f>IFERROR(C12/C14,0)</f>
        <v>-5.8180964013905845</v>
      </c>
      <c r="D13" s="11">
        <f>IFERROR(D12/D14,0)</f>
        <v>-2.3831698898811156</v>
      </c>
    </row>
    <row r="14">
      <c r="A14" s="2" t="inlineStr">
        <is>
          <t>Shares</t>
        </is>
      </c>
      <c r="B14" s="23" t="n">
        <v>1.019</v>
      </c>
      <c r="C14" s="23" t="n">
        <v>10.643</v>
      </c>
      <c r="D14" s="23" t="n">
        <v>36.506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2026-10-21T01:04:20Z</dcterms:modified>
  <cp:lastModifiedBy>Wang, Eric</cp:lastModifiedBy>
</cp:coreProperties>
</file>