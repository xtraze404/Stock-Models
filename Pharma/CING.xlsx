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Cingulate Inc</t>
        </is>
      </c>
      <c r="C2" s="10" t="n"/>
    </row>
    <row r="3">
      <c r="B3" t="inlineStr">
        <is>
          <t>Price</t>
        </is>
      </c>
      <c r="C3" s="11">
        <f>INDEX([1]Pharma!$F$1:$F$1000,MATCH("CING",[1]Pharma!$B$1:$B$1000,0))</f>
        <v>4.53</v>
      </c>
      <c r="F3" s="1" t="n"/>
    </row>
    <row r="4">
      <c r="B4" t="inlineStr">
        <is>
          <t>Shares</t>
        </is>
      </c>
      <c r="C4" s="21" t="n">
        <v>14.541826</v>
      </c>
      <c r="F4" s="1" t="n"/>
    </row>
    <row r="5">
      <c r="B5" t="inlineStr">
        <is>
          <t>Market Cap.</t>
        </is>
      </c>
      <c r="C5" s="13">
        <f>C3*C4</f>
        <v>65.87447178000001</v>
      </c>
      <c r="F5" s="1" t="n"/>
    </row>
    <row r="6"/>
    <row r="7">
      <c r="B7" t="inlineStr">
        <is>
          <t>Cash</t>
        </is>
      </c>
      <c r="C7" s="21" t="n">
        <v>28.402819</v>
      </c>
    </row>
    <row r="8">
      <c r="B8" t="inlineStr">
        <is>
          <t>Debt</t>
        </is>
      </c>
      <c r="C8" s="21" t="n">
        <v>5.067293</v>
      </c>
    </row>
    <row r="9">
      <c r="B9" t="inlineStr">
        <is>
          <t>Enterprise V.</t>
        </is>
      </c>
      <c r="C9" s="13">
        <f>C5-C7+C8</f>
        <v>42.538945780000006</v>
      </c>
    </row>
    <row r="10"/>
    <row r="11">
      <c r="B11" s="14" t="inlineStr">
        <is>
          <t>Net Cash / Share</t>
        </is>
      </c>
      <c r="C11" s="11">
        <f>(C7-C8)/C4</f>
        <v>1.6047177293965698</v>
      </c>
    </row>
    <row r="12">
      <c r="B12" s="14" t="inlineStr">
        <is>
          <t>Upside</t>
        </is>
      </c>
      <c r="C12" s="15">
        <f>IFERROR(C11/C3-1,"")</f>
        <v>-0.6457576756298964</v>
      </c>
    </row>
    <row r="13">
      <c r="B13" s="14" t="inlineStr">
        <is>
          <t>Cash / Share</t>
        </is>
      </c>
      <c r="C13" s="11">
        <f>IFERROR((C7-C8)/C4,"")</f>
        <v>1.6047177293965698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-20.654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1.1298308318001355</v>
      </c>
    </row>
    <row r="19">
      <c r="B19" s="14" t="inlineStr">
        <is>
          <t>Implied Pipeline Value</t>
        </is>
      </c>
      <c r="C19" s="13">
        <f>C9</f>
        <v>42.538945780000006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5.093</v>
      </c>
      <c r="C5" s="23" t="n">
        <v>8.41</v>
      </c>
      <c r="D5" s="23" t="n">
        <v>8.994999999999999</v>
      </c>
      <c r="E5" s="23" t="n">
        <v>15.493</v>
      </c>
      <c r="F5" s="23" t="n">
        <v>9.445</v>
      </c>
      <c r="G5" s="23" t="n">
        <v>9.773999999999999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1.99</v>
      </c>
      <c r="C6" s="23" t="n">
        <v>12.269</v>
      </c>
      <c r="D6" s="23" t="n">
        <v>8.506</v>
      </c>
      <c r="E6" s="23" t="n">
        <v>7.266</v>
      </c>
      <c r="F6" s="23" t="n">
        <v>6.2</v>
      </c>
      <c r="G6" s="23" t="n">
        <v>10.164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7.083</v>
      </c>
      <c r="C7" s="23">
        <f>SUM(C5:C6)</f>
        <v>20.679000000000002</v>
      </c>
      <c r="D7" s="23">
        <f>SUM(D5:D6)</f>
        <v>17.500999999999998</v>
      </c>
      <c r="E7" s="23">
        <f>SUM(E5:E6)</f>
        <v>22.759</v>
      </c>
      <c r="F7" s="23">
        <f>SUM(F5:F6)</f>
        <v>15.645</v>
      </c>
      <c r="G7" s="23">
        <f>SUM(G5:G6)</f>
        <v>19.938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-7.083</v>
      </c>
      <c r="C8" s="23">
        <f>C4-C7</f>
        <v>-20.679000000000002</v>
      </c>
      <c r="D8" s="23">
        <f>D4-D7</f>
        <v>-17.500999999999998</v>
      </c>
      <c r="E8" s="23">
        <f>E4-E7</f>
        <v>-22.759</v>
      </c>
      <c r="F8" s="23">
        <f>F4-F7</f>
        <v>-15.645</v>
      </c>
      <c r="G8" s="23">
        <f>G4-G7</f>
        <v>-19.938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</v>
      </c>
      <c r="C9" s="23" t="n">
        <v>-0.031</v>
      </c>
      <c r="D9" s="23" t="n">
        <v>-0.175</v>
      </c>
      <c r="E9" s="23" t="n">
        <v>-0.776</v>
      </c>
      <c r="F9" s="23" t="n">
        <v>-0.915</v>
      </c>
      <c r="G9" s="23" t="n">
        <v>-2.512</v>
      </c>
    </row>
    <row r="10">
      <c r="A10" s="2" t="inlineStr">
        <is>
          <t>Pretax</t>
        </is>
      </c>
      <c r="B10" s="23">
        <f>B8+B9</f>
        <v>-7.183</v>
      </c>
      <c r="C10" s="23">
        <f>C8+C9</f>
        <v>-20.71</v>
      </c>
      <c r="D10" s="23">
        <f>D8+D9</f>
        <v>-17.676</v>
      </c>
      <c r="E10" s="23">
        <f>E8+E9</f>
        <v>-23.535</v>
      </c>
      <c r="F10" s="23">
        <f>F8+F9</f>
        <v>-16.56</v>
      </c>
      <c r="G10" s="23">
        <f>G8+G9</f>
        <v>-22.45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-7.184</v>
      </c>
      <c r="C12" s="23" t="n">
        <v>-20.71</v>
      </c>
      <c r="D12" s="23" t="n">
        <v>-17.676</v>
      </c>
      <c r="E12" s="23" t="n">
        <v>-23.535</v>
      </c>
      <c r="F12" s="23" t="n">
        <v>-16.56</v>
      </c>
      <c r="G12" s="23" t="n">
        <v>-22.45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-1.117405848710478</v>
      </c>
      <c r="D13" s="11">
        <f>IFERROR(D12/D14,0)</f>
        <v>-11.737051792828684</v>
      </c>
      <c r="E13" s="11">
        <f>IFERROR(E12/E14,0)</f>
        <v>-15.596421471172963</v>
      </c>
      <c r="F13" s="11">
        <f>IFERROR(F12/F14,0)</f>
        <v>-10.859016393442623</v>
      </c>
      <c r="G13" s="11">
        <f>IFERROR(G12/G14,0)</f>
        <v>-4.441147378832839</v>
      </c>
    </row>
    <row r="14">
      <c r="A14" s="2" t="inlineStr">
        <is>
          <t>Shares</t>
        </is>
      </c>
      <c r="B14" s="23" t="n"/>
      <c r="C14" s="23" t="n">
        <v>18.534</v>
      </c>
      <c r="D14" s="23" t="n">
        <v>1.506</v>
      </c>
      <c r="E14" s="23" t="n">
        <v>1.509</v>
      </c>
      <c r="F14" s="23" t="n">
        <v>1.525</v>
      </c>
      <c r="G14" s="23" t="n">
        <v>5.055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2026-10-21T01:06:06Z</dcterms:modified>
  <cp:lastModifiedBy>Wang, Eric</cp:lastModifiedBy>
</cp:coreProperties>
</file>