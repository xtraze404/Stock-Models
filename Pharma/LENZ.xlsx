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LENZ Therapeutics, Inc.</t>
        </is>
      </c>
      <c r="C2" s="10" t="n"/>
    </row>
    <row r="3">
      <c r="B3" t="inlineStr">
        <is>
          <t>Price</t>
        </is>
      </c>
      <c r="C3" s="11">
        <f>INDEX([1]Pharma!$F$1:$F$1000,MATCH("LENZ",[1]Pharma!$B$1:$B$1000,0))</f>
        <v>3.19</v>
      </c>
      <c r="F3" s="1" t="n"/>
    </row>
    <row r="4">
      <c r="B4" t="inlineStr">
        <is>
          <t>Shares</t>
        </is>
      </c>
      <c r="C4" s="21" t="n">
        <v>31.420343</v>
      </c>
      <c r="F4" s="1" t="n"/>
    </row>
    <row r="5">
      <c r="B5" t="inlineStr">
        <is>
          <t>Market Cap.</t>
        </is>
      </c>
      <c r="C5" s="13">
        <f>C3*C4</f>
        <v>100.23089417</v>
      </c>
      <c r="F5" s="1" t="n"/>
    </row>
    <row r="6"/>
    <row r="7">
      <c r="B7" t="inlineStr">
        <is>
          <t>Cash</t>
        </is>
      </c>
      <c r="C7" s="21">
        <f>24.208+195.795</f>
        <v>220.003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-119.77210582999999</v>
      </c>
    </row>
    <row r="10"/>
    <row r="11">
      <c r="B11" s="14" t="inlineStr">
        <is>
          <t>Net Cash / Share</t>
        </is>
      </c>
      <c r="C11" s="11">
        <f>(C7-C8)/C4</f>
        <v>7.001928654948165</v>
      </c>
    </row>
    <row r="12">
      <c r="B12" s="14" t="inlineStr">
        <is>
          <t>Upside</t>
        </is>
      </c>
      <c r="C12" s="15">
        <f>IFERROR(C11/C3-1,"")</f>
        <v>1.194961960798798</v>
      </c>
    </row>
    <row r="13">
      <c r="B13" s="14" t="inlineStr">
        <is>
          <t>Cash / Share</t>
        </is>
      </c>
      <c r="C13" s="11">
        <f>IFERROR((C7-C8)/C4,"")</f>
        <v>7.001928654948165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-113.908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1.9314095585911435</v>
      </c>
    </row>
    <row r="19">
      <c r="B19" s="14" t="inlineStr">
        <is>
          <t>Implied Pipeline Value</t>
        </is>
      </c>
      <c r="C19" s="13">
        <f>C9</f>
        <v>-119.77210582999999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19.088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0.418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18.67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9.122999999999999</v>
      </c>
      <c r="C5" s="23" t="n">
        <v>37.932</v>
      </c>
      <c r="D5" s="23" t="n">
        <v>72.78700000000001</v>
      </c>
      <c r="E5" s="23" t="n">
        <v>59.504</v>
      </c>
      <c r="F5" s="23" t="n">
        <v>29.801</v>
      </c>
      <c r="G5" s="23" t="n">
        <v>18.67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4.377</v>
      </c>
      <c r="C6" s="23" t="n">
        <v>22.511</v>
      </c>
      <c r="D6" s="23" t="n">
        <v>32.852</v>
      </c>
      <c r="E6" s="23" t="n">
        <v>12.925</v>
      </c>
      <c r="F6" s="23" t="n">
        <v>28.809</v>
      </c>
      <c r="G6" s="23" t="n">
        <v>91.13800000000001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13.5</v>
      </c>
      <c r="C7" s="23">
        <f>SUM(C5:C6)</f>
        <v>60.443</v>
      </c>
      <c r="D7" s="23">
        <f>SUM(D5:D6)</f>
        <v>105.63900000000001</v>
      </c>
      <c r="E7" s="23">
        <f>SUM(E5:E6)</f>
        <v>72.429</v>
      </c>
      <c r="F7" s="23">
        <f>SUM(F5:F6)</f>
        <v>58.61</v>
      </c>
      <c r="G7" s="23">
        <f>SUM(G5:G6)</f>
        <v>109.808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-13.5</v>
      </c>
      <c r="C8" s="23">
        <f>C4-C7</f>
        <v>-60.443</v>
      </c>
      <c r="D8" s="23">
        <f>D4-D7</f>
        <v>-105.63900000000001</v>
      </c>
      <c r="E8" s="23">
        <f>E4-E7</f>
        <v>-72.429</v>
      </c>
      <c r="F8" s="23">
        <f>F4-F7</f>
        <v>-58.61</v>
      </c>
      <c r="G8" s="23">
        <f>G4-G7</f>
        <v>-91.138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-54.873</v>
      </c>
      <c r="C9" s="23" t="n">
        <v>-10.317</v>
      </c>
      <c r="D9" s="23" t="n">
        <v>4.587</v>
      </c>
      <c r="E9" s="23" t="n">
        <v>2.282</v>
      </c>
      <c r="F9" s="23" t="n">
        <v>8.842000000000001</v>
      </c>
      <c r="G9" s="23" t="n">
        <v>9.513</v>
      </c>
    </row>
    <row r="10">
      <c r="A10" s="2" t="inlineStr">
        <is>
          <t>Pretax</t>
        </is>
      </c>
      <c r="B10" s="23">
        <f>B8+B9</f>
        <v>-68.37299999999999</v>
      </c>
      <c r="C10" s="23">
        <f>C8+C9</f>
        <v>-70.75999999999999</v>
      </c>
      <c r="D10" s="23">
        <f>D8+D9</f>
        <v>-101.052</v>
      </c>
      <c r="E10" s="23">
        <f>E8+E9</f>
        <v>-70.147</v>
      </c>
      <c r="F10" s="23">
        <f>F8+F9</f>
        <v>-49.768</v>
      </c>
      <c r="G10" s="23">
        <f>G8+G9</f>
        <v>-81.625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-0.179</v>
      </c>
      <c r="F11" s="23" t="n">
        <v>0.001</v>
      </c>
      <c r="G11" s="23" t="n">
        <v>0.502</v>
      </c>
    </row>
    <row r="12">
      <c r="A12" s="2" t="inlineStr">
        <is>
          <t>Net Income</t>
        </is>
      </c>
      <c r="B12" s="23" t="n">
        <v>-68.373</v>
      </c>
      <c r="C12" s="23" t="n">
        <v>-70.76000000000001</v>
      </c>
      <c r="D12" s="23" t="n">
        <v>-101.052</v>
      </c>
      <c r="E12" s="23" t="n">
        <v>-69.968</v>
      </c>
      <c r="F12" s="23" t="n">
        <v>-49.769</v>
      </c>
      <c r="G12" s="23" t="n">
        <v>-82.127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-76.22408026755853</v>
      </c>
      <c r="C13" s="11">
        <f>IFERROR(C12/C14,0)</f>
        <v>-6.228324971393364</v>
      </c>
      <c r="D13" s="11">
        <f>IFERROR(D12/D14,0)</f>
        <v>-4.687447815196215</v>
      </c>
      <c r="E13" s="11">
        <f>IFERROR(E12/E14,0)</f>
        <v>-3.2467749419953598</v>
      </c>
      <c r="F13" s="11">
        <f>IFERROR(F12/F14,0)</f>
        <v>-2.338658897608195</v>
      </c>
      <c r="G13" s="11">
        <f>IFERROR(G12/G14,0)</f>
        <v>-2.850345330232881</v>
      </c>
    </row>
    <row r="14">
      <c r="A14" s="2" t="inlineStr">
        <is>
          <t>Shares</t>
        </is>
      </c>
      <c r="B14" s="23" t="n">
        <v>0.897</v>
      </c>
      <c r="C14" s="23" t="n">
        <v>11.361</v>
      </c>
      <c r="D14" s="23" t="n">
        <v>21.558</v>
      </c>
      <c r="E14" s="23" t="n">
        <v>21.55</v>
      </c>
      <c r="F14" s="23" t="n">
        <v>21.281</v>
      </c>
      <c r="G14" s="23" t="n">
        <v>28.813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0.9781014249790445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-4.774622799664711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2026-10-21T01:05:55Z</dcterms:modified>
  <cp:lastModifiedBy>Wang, Eric</cp:lastModifiedBy>
</cp:coreProperties>
</file>