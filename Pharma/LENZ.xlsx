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LENZ Therapeutics, Inc.</t>
        </is>
      </c>
      <c r="C2" s="10" t="n"/>
    </row>
    <row r="3">
      <c r="B3" t="inlineStr">
        <is>
          <t>Price</t>
        </is>
      </c>
      <c r="C3" s="11">
        <f>INDEX([1]Pharma!$F$1:$F$1000,MATCH("LENZ",[1]Pharma!$B$1:$B$1000,0))</f>
        <v>3.19</v>
      </c>
      <c r="F3" s="1" t="n"/>
    </row>
    <row r="4">
      <c r="B4" t="inlineStr">
        <is>
          <t>Shares</t>
        </is>
      </c>
      <c r="C4" s="21" t="n">
        <v>31.420343</v>
      </c>
      <c r="F4" s="1" t="n"/>
    </row>
    <row r="5">
      <c r="B5" t="inlineStr">
        <is>
          <t>Market Cap.</t>
        </is>
      </c>
      <c r="C5" s="13">
        <f>C3*C4</f>
        <v>100.23089417</v>
      </c>
      <c r="F5" s="1" t="n"/>
    </row>
    <row r="6"/>
    <row r="7">
      <c r="B7" t="inlineStr">
        <is>
          <t>Cash</t>
        </is>
      </c>
      <c r="C7" s="21">
        <f>24.208+195.795</f>
        <v>220.003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-119.77210582999999</v>
      </c>
    </row>
    <row r="10"/>
    <row r="11">
      <c r="B11" s="14" t="inlineStr">
        <is>
          <t>rNPV / Share</t>
        </is>
      </c>
      <c r="C11" s="11">
        <f>NPV!B27</f>
        <v>1.2694071356449106</v>
      </c>
    </row>
    <row r="12">
      <c r="B12" s="14" t="inlineStr">
        <is>
          <t>Upside</t>
        </is>
      </c>
      <c r="C12" s="15">
        <f>IFERROR(C11/C3-1,"")</f>
        <v>-0.6020667286379591</v>
      </c>
    </row>
    <row r="13">
      <c r="B13" s="14" t="inlineStr">
        <is>
          <t>Cash / Share</t>
        </is>
      </c>
      <c r="C13" s="11">
        <f>IFERROR((C7-C8)/C4,"")</f>
        <v>7.001928654948165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-113.908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1.9314095585911435</v>
      </c>
    </row>
    <row r="19">
      <c r="B19" s="14" t="inlineStr">
        <is>
          <t>Implied Pipeline Value</t>
        </is>
      </c>
      <c r="C19" s="13">
        <f>C9</f>
        <v>-119.77210582999999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19.088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0.418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18.67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9.122999999999999</v>
      </c>
      <c r="C5" s="23" t="n">
        <v>37.932</v>
      </c>
      <c r="D5" s="23" t="n">
        <v>72.78700000000001</v>
      </c>
      <c r="E5" s="23" t="n">
        <v>59.504</v>
      </c>
      <c r="F5" s="23" t="n">
        <v>29.801</v>
      </c>
      <c r="G5" s="23" t="n">
        <v>18.67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4.377</v>
      </c>
      <c r="C6" s="23" t="n">
        <v>22.511</v>
      </c>
      <c r="D6" s="23" t="n">
        <v>32.852</v>
      </c>
      <c r="E6" s="23" t="n">
        <v>12.925</v>
      </c>
      <c r="F6" s="23" t="n">
        <v>28.809</v>
      </c>
      <c r="G6" s="23" t="n">
        <v>91.13800000000001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13.5</v>
      </c>
      <c r="C7" s="23">
        <f>SUM(C5:C6)</f>
        <v>60.443</v>
      </c>
      <c r="D7" s="23">
        <f>SUM(D5:D6)</f>
        <v>105.63900000000001</v>
      </c>
      <c r="E7" s="23">
        <f>SUM(E5:E6)</f>
        <v>72.429</v>
      </c>
      <c r="F7" s="23">
        <f>SUM(F5:F6)</f>
        <v>58.61</v>
      </c>
      <c r="G7" s="23">
        <f>SUM(G5:G6)</f>
        <v>109.808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-13.5</v>
      </c>
      <c r="C8" s="23">
        <f>C4-C7</f>
        <v>-60.443</v>
      </c>
      <c r="D8" s="23">
        <f>D4-D7</f>
        <v>-105.63900000000001</v>
      </c>
      <c r="E8" s="23">
        <f>E4-E7</f>
        <v>-72.429</v>
      </c>
      <c r="F8" s="23">
        <f>F4-F7</f>
        <v>-58.61</v>
      </c>
      <c r="G8" s="23">
        <f>G4-G7</f>
        <v>-91.138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-54.873</v>
      </c>
      <c r="C9" s="23" t="n">
        <v>-10.317</v>
      </c>
      <c r="D9" s="23" t="n">
        <v>4.587</v>
      </c>
      <c r="E9" s="23" t="n">
        <v>2.282</v>
      </c>
      <c r="F9" s="23" t="n">
        <v>8.842000000000001</v>
      </c>
      <c r="G9" s="23" t="n">
        <v>9.513</v>
      </c>
    </row>
    <row r="10">
      <c r="A10" s="2" t="inlineStr">
        <is>
          <t>Pretax</t>
        </is>
      </c>
      <c r="B10" s="23">
        <f>B8+B9</f>
        <v>-68.37299999999999</v>
      </c>
      <c r="C10" s="23">
        <f>C8+C9</f>
        <v>-70.75999999999999</v>
      </c>
      <c r="D10" s="23">
        <f>D8+D9</f>
        <v>-101.052</v>
      </c>
      <c r="E10" s="23">
        <f>E8+E9</f>
        <v>-70.147</v>
      </c>
      <c r="F10" s="23">
        <f>F8+F9</f>
        <v>-49.768</v>
      </c>
      <c r="G10" s="23">
        <f>G8+G9</f>
        <v>-81.625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-0.179</v>
      </c>
      <c r="F11" s="23" t="n">
        <v>0.001</v>
      </c>
      <c r="G11" s="23" t="n">
        <v>0.502</v>
      </c>
    </row>
    <row r="12">
      <c r="A12" s="2" t="inlineStr">
        <is>
          <t>Net Income</t>
        </is>
      </c>
      <c r="B12" s="23" t="n">
        <v>-68.373</v>
      </c>
      <c r="C12" s="23" t="n">
        <v>-70.76000000000001</v>
      </c>
      <c r="D12" s="23" t="n">
        <v>-101.052</v>
      </c>
      <c r="E12" s="23" t="n">
        <v>-69.968</v>
      </c>
      <c r="F12" s="23" t="n">
        <v>-49.769</v>
      </c>
      <c r="G12" s="23" t="n">
        <v>-82.127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-76.22408026755853</v>
      </c>
      <c r="C13" s="11">
        <f>IFERROR(C12/C14,0)</f>
        <v>-6.228324971393364</v>
      </c>
      <c r="D13" s="11">
        <f>IFERROR(D12/D14,0)</f>
        <v>-4.687447815196215</v>
      </c>
      <c r="E13" s="11">
        <f>IFERROR(E12/E14,0)</f>
        <v>-3.2467749419953598</v>
      </c>
      <c r="F13" s="11">
        <f>IFERROR(F12/F14,0)</f>
        <v>-2.338658897608195</v>
      </c>
      <c r="G13" s="11">
        <f>IFERROR(G12/G14,0)</f>
        <v>-2.850345330232881</v>
      </c>
    </row>
    <row r="14">
      <c r="A14" s="2" t="inlineStr">
        <is>
          <t>Shares</t>
        </is>
      </c>
      <c r="B14" s="23" t="n">
        <v>0.897</v>
      </c>
      <c r="C14" s="23" t="n">
        <v>11.361</v>
      </c>
      <c r="D14" s="23" t="n">
        <v>21.558</v>
      </c>
      <c r="E14" s="23" t="n">
        <v>21.55</v>
      </c>
      <c r="F14" s="23" t="n">
        <v>21.281</v>
      </c>
      <c r="G14" s="23" t="n">
        <v>28.813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0.9781014249790445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-4.774622799664711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LENZ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1.0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135.657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442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-180.11779239138937</v>
      </c>
      <c r="C29" s="42">
        <f>NPV!B25</f>
        <v>39.885207608610614</v>
      </c>
      <c r="D29" s="43">
        <f>NPV!B27</f>
        <v>1.2694071356449106</v>
      </c>
      <c r="E29" s="44">
        <f>NPV!B29</f>
        <v>-0.6020667286379591</v>
      </c>
    </row>
    <row r="30">
      <c r="A30" s="45" t="n">
        <v>1</v>
      </c>
      <c r="B30" s="46">
        <f t="dataTable" ref="B30:E32" r1="B4"/>
        <v>-231.50664074201543</v>
      </c>
      <c r="C30" s="46">
        <v>-11.503640742015449</v>
      </c>
      <c r="D30" s="47">
        <v>-0.36612078811537635</v>
      </c>
      <c r="E30" s="48">
        <v>-1.11477140693272</v>
      </c>
    </row>
    <row r="31">
      <c r="A31" s="45" t="n">
        <v>2</v>
      </c>
      <c r="B31" s="46">
        <v>-180.11779239138937</v>
      </c>
      <c r="C31" s="46">
        <v>39.885207608610614</v>
      </c>
      <c r="D31" s="47">
        <v>1.2694071356449106</v>
      </c>
      <c r="E31" s="48">
        <v>-0.6020667286379591</v>
      </c>
    </row>
    <row r="32">
      <c r="A32" s="45" t="n">
        <v>3</v>
      </c>
      <c r="B32" s="46">
        <v>-118.17326679960635</v>
      </c>
      <c r="C32" s="46">
        <v>101.82973320039363</v>
      </c>
      <c r="D32" s="47">
        <v>3.2408854734779196</v>
      </c>
      <c r="E32" s="48">
        <v>0.015951559083987377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1.2694071356449106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-1.68994417081585</v>
      </c>
      <c r="C37" s="47">
        <v>-0.21026851758547022</v>
      </c>
      <c r="D37" s="47">
        <v>1.2694071356449106</v>
      </c>
      <c r="E37" s="47">
        <v>4.228758442105669</v>
      </c>
      <c r="F37" s="47">
        <v>7.188109748566428</v>
      </c>
    </row>
    <row r="38">
      <c r="A38" s="50" t="n">
        <v>0.8</v>
      </c>
      <c r="B38" s="47">
        <v>-1.68994417081585</v>
      </c>
      <c r="C38" s="47">
        <v>-0.21026851758547022</v>
      </c>
      <c r="D38" s="47">
        <v>1.2694071356449106</v>
      </c>
      <c r="E38" s="47">
        <v>4.228758442105669</v>
      </c>
      <c r="F38" s="47">
        <v>7.188109748566428</v>
      </c>
    </row>
    <row r="39">
      <c r="A39" s="50" t="n">
        <v>1</v>
      </c>
      <c r="B39" s="47">
        <v>-1.68994417081585</v>
      </c>
      <c r="C39" s="47">
        <v>-0.21026851758547022</v>
      </c>
      <c r="D39" s="47">
        <v>1.2694071356449106</v>
      </c>
      <c r="E39" s="47">
        <v>4.228758442105669</v>
      </c>
      <c r="F39" s="47">
        <v>7.188109748566428</v>
      </c>
    </row>
    <row r="40">
      <c r="A40" s="50" t="n">
        <v>1.2</v>
      </c>
      <c r="B40" s="47">
        <v>-1.68994417081585</v>
      </c>
      <c r="C40" s="47">
        <v>-0.21026851758547022</v>
      </c>
      <c r="D40" s="47">
        <v>1.2694071356449106</v>
      </c>
      <c r="E40" s="47">
        <v>4.228758442105669</v>
      </c>
      <c r="F40" s="47">
        <v>7.188109748566428</v>
      </c>
    </row>
    <row r="41">
      <c r="A41" s="50" t="n">
        <v>1.4</v>
      </c>
      <c r="B41" s="47">
        <v>-1.68994417081585</v>
      </c>
      <c r="C41" s="47">
        <v>-0.21026851758547022</v>
      </c>
      <c r="D41" s="47">
        <v>1.2694071356449106</v>
      </c>
      <c r="E41" s="47">
        <v>4.228758442105669</v>
      </c>
      <c r="F41" s="47">
        <v>7.188109748566428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LENZ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Eye disease (other)</t>
        </is>
      </c>
      <c r="C4" s="14" t="inlineStr">
        <is>
          <t>Vizz (aceclidine)</t>
        </is>
      </c>
      <c r="D4" s="14" t="inlineStr">
        <is>
          <t>Approved</t>
        </is>
      </c>
      <c r="E4" s="14" t="inlineStr">
        <is>
          <t>Ophthalmology / area</t>
        </is>
      </c>
      <c r="F4" s="14" t="inlineStr">
        <is>
          <t>Owned</t>
        </is>
      </c>
      <c r="G4" s="40" t="n">
        <v>85.90000000000001</v>
      </c>
      <c r="H4" s="27" t="n">
        <v>1</v>
      </c>
      <c r="I4" s="26" t="n">
        <v>2025</v>
      </c>
      <c r="J4" s="39">
        <f>I4+Assumptions!$B$25</f>
        <v>2037.0</v>
      </c>
      <c r="K4" s="53">
        <f>Assumptions!$E$13</f>
        <v>0.4</v>
      </c>
      <c r="L4" s="23">
        <f>K4*SUMPRODUCT(M4:AF4,NPV!$C$15:$V$15)</f>
        <v>185.9676662129903</v>
      </c>
      <c r="M4" s="23">
        <f>IF(M$3&lt;$I4,0,$G4*Assumptions!$E$11*INDEX(Assumptions!$B$24:$G$24,MIN(6,M$3-$I4+1))*IF(M$3&gt;$J4,(1-Assumptions!$B$26)^(M$3-$J4),1)*IF($H4&gt;=1,1,MIN(0.97,$H4*Assumptions!$E$12)))</f>
        <v>21.475</v>
      </c>
      <c r="N4" s="23">
        <f>IF(N$3&lt;$I4,0,$G4*Assumptions!$E$11*INDEX(Assumptions!$B$24:$G$24,MIN(6,N$3-$I4+1))*IF(N$3&gt;$J4,(1-Assumptions!$B$26)^(N$3-$J4),1)*IF($H4&gt;=1,1,MIN(0.97,$H4*Assumptions!$E$12)))</f>
        <v>38.655</v>
      </c>
      <c r="O4" s="23">
        <f>IF(O$3&lt;$I4,0,$G4*Assumptions!$E$11*INDEX(Assumptions!$B$24:$G$24,MIN(6,O$3-$I4+1))*IF(O$3&gt;$J4,(1-Assumptions!$B$26)^(O$3-$J4),1)*IF($H4&gt;=1,1,MIN(0.97,$H4*Assumptions!$E$12)))</f>
        <v>55.83500000000001</v>
      </c>
      <c r="P4" s="23">
        <f>IF(P$3&lt;$I4,0,$G4*Assumptions!$E$11*INDEX(Assumptions!$B$24:$G$24,MIN(6,P$3-$I4+1))*IF(P$3&gt;$J4,(1-Assumptions!$B$26)^(P$3-$J4),1)*IF($H4&gt;=1,1,MIN(0.97,$H4*Assumptions!$E$12)))</f>
        <v>73.015</v>
      </c>
      <c r="Q4" s="23">
        <f>IF(Q$3&lt;$I4,0,$G4*Assumptions!$E$11*INDEX(Assumptions!$B$24:$G$24,MIN(6,Q$3-$I4+1))*IF(Q$3&gt;$J4,(1-Assumptions!$B$26)^(Q$3-$J4),1)*IF($H4&gt;=1,1,MIN(0.97,$H4*Assumptions!$E$12)))</f>
        <v>85.9</v>
      </c>
      <c r="R4" s="23">
        <f>IF(R$3&lt;$I4,0,$G4*Assumptions!$E$11*INDEX(Assumptions!$B$24:$G$24,MIN(6,R$3-$I4+1))*IF(R$3&gt;$J4,(1-Assumptions!$B$26)^(R$3-$J4),1)*IF($H4&gt;=1,1,MIN(0.97,$H4*Assumptions!$E$12)))</f>
        <v>85.9</v>
      </c>
      <c r="S4" s="23">
        <f>IF(S$3&lt;$I4,0,$G4*Assumptions!$E$11*INDEX(Assumptions!$B$24:$G$24,MIN(6,S$3-$I4+1))*IF(S$3&gt;$J4,(1-Assumptions!$B$26)^(S$3-$J4),1)*IF($H4&gt;=1,1,MIN(0.97,$H4*Assumptions!$E$12)))</f>
        <v>85.9</v>
      </c>
      <c r="T4" s="23">
        <f>IF(T$3&lt;$I4,0,$G4*Assumptions!$E$11*INDEX(Assumptions!$B$24:$G$24,MIN(6,T$3-$I4+1))*IF(T$3&gt;$J4,(1-Assumptions!$B$26)^(T$3-$J4),1)*IF($H4&gt;=1,1,MIN(0.97,$H4*Assumptions!$E$12)))</f>
        <v>85.9</v>
      </c>
      <c r="U4" s="23">
        <f>IF(U$3&lt;$I4,0,$G4*Assumptions!$E$11*INDEX(Assumptions!$B$24:$G$24,MIN(6,U$3-$I4+1))*IF(U$3&gt;$J4,(1-Assumptions!$B$26)^(U$3-$J4),1)*IF($H4&gt;=1,1,MIN(0.97,$H4*Assumptions!$E$12)))</f>
        <v>85.9</v>
      </c>
      <c r="V4" s="23">
        <f>IF(V$3&lt;$I4,0,$G4*Assumptions!$E$11*INDEX(Assumptions!$B$24:$G$24,MIN(6,V$3-$I4+1))*IF(V$3&gt;$J4,(1-Assumptions!$B$26)^(V$3-$J4),1)*IF($H4&gt;=1,1,MIN(0.97,$H4*Assumptions!$E$12)))</f>
        <v>85.9</v>
      </c>
      <c r="W4" s="23">
        <f>IF(W$3&lt;$I4,0,$G4*Assumptions!$E$11*INDEX(Assumptions!$B$24:$G$24,MIN(6,W$3-$I4+1))*IF(W$3&gt;$J4,(1-Assumptions!$B$26)^(W$3-$J4),1)*IF($H4&gt;=1,1,MIN(0.97,$H4*Assumptions!$E$12)))</f>
        <v>85.9</v>
      </c>
      <c r="X4" s="23">
        <f>IF(X$3&lt;$I4,0,$G4*Assumptions!$E$11*INDEX(Assumptions!$B$24:$G$24,MIN(6,X$3-$I4+1))*IF(X$3&gt;$J4,(1-Assumptions!$B$26)^(X$3-$J4),1)*IF($H4&gt;=1,1,MIN(0.97,$H4*Assumptions!$E$12)))</f>
        <v>85.9</v>
      </c>
      <c r="Y4" s="23">
        <f>IF(Y$3&lt;$I4,0,$G4*Assumptions!$E$11*INDEX(Assumptions!$B$24:$G$24,MIN(6,Y$3-$I4+1))*IF(Y$3&gt;$J4,(1-Assumptions!$B$26)^(Y$3-$J4),1)*IF($H4&gt;=1,1,MIN(0.97,$H4*Assumptions!$E$12)))</f>
        <v>42.95</v>
      </c>
      <c r="Z4" s="23">
        <f>IF(Z$3&lt;$I4,0,$G4*Assumptions!$E$11*INDEX(Assumptions!$B$24:$G$24,MIN(6,Z$3-$I4+1))*IF(Z$3&gt;$J4,(1-Assumptions!$B$26)^(Z$3-$J4),1)*IF($H4&gt;=1,1,MIN(0.97,$H4*Assumptions!$E$12)))</f>
        <v>21.475</v>
      </c>
      <c r="AA4" s="23">
        <f>IF(AA$3&lt;$I4,0,$G4*Assumptions!$E$11*INDEX(Assumptions!$B$24:$G$24,MIN(6,AA$3-$I4+1))*IF(AA$3&gt;$J4,(1-Assumptions!$B$26)^(AA$3-$J4),1)*IF($H4&gt;=1,1,MIN(0.97,$H4*Assumptions!$E$12)))</f>
        <v>10.7375</v>
      </c>
      <c r="AB4" s="23">
        <f>IF(AB$3&lt;$I4,0,$G4*Assumptions!$E$11*INDEX(Assumptions!$B$24:$G$24,MIN(6,AB$3-$I4+1))*IF(AB$3&gt;$J4,(1-Assumptions!$B$26)^(AB$3-$J4),1)*IF($H4&gt;=1,1,MIN(0.97,$H4*Assumptions!$E$12)))</f>
        <v>5.36875</v>
      </c>
      <c r="AC4" s="23">
        <f>IF(AC$3&lt;$I4,0,$G4*Assumptions!$E$11*INDEX(Assumptions!$B$24:$G$24,MIN(6,AC$3-$I4+1))*IF(AC$3&gt;$J4,(1-Assumptions!$B$26)^(AC$3-$J4),1)*IF($H4&gt;=1,1,MIN(0.97,$H4*Assumptions!$E$12)))</f>
        <v>2.684375</v>
      </c>
      <c r="AD4" s="23">
        <f>IF(AD$3&lt;$I4,0,$G4*Assumptions!$E$11*INDEX(Assumptions!$B$24:$G$24,MIN(6,AD$3-$I4+1))*IF(AD$3&gt;$J4,(1-Assumptions!$B$26)^(AD$3-$J4),1)*IF($H4&gt;=1,1,MIN(0.97,$H4*Assumptions!$E$12)))</f>
        <v>1.3421875</v>
      </c>
      <c r="AE4" s="23">
        <f>IF(AE$3&lt;$I4,0,$G4*Assumptions!$E$11*INDEX(Assumptions!$B$24:$G$24,MIN(6,AE$3-$I4+1))*IF(AE$3&gt;$J4,(1-Assumptions!$B$26)^(AE$3-$J4),1)*IF($H4&gt;=1,1,MIN(0.97,$H4*Assumptions!$E$12)))</f>
        <v>0.67109375</v>
      </c>
      <c r="AF4" s="23">
        <f>IF(AF$3&lt;$I4,0,$G4*Assumptions!$E$11*INDEX(Assumptions!$B$24:$G$24,MIN(6,AF$3-$I4+1))*IF(AF$3&gt;$J4,(1-Assumptions!$B$26)^(AF$3-$J4),1)*IF($H4&gt;=1,1,MIN(0.97,$H4*Assumptions!$E$12)))</f>
        <v>0.335546875</v>
      </c>
      <c r="AG4" s="35">
        <f>IF(F4="Owned",1-IF(H4&gt;=1,1,MIN(0.97,H4*Assumptions!$E$12)),1)</f>
        <v>0.0</v>
      </c>
    </row>
    <row r="5">
      <c r="B5" s="24" t="inlineStr">
        <is>
          <t>Risked revenue</t>
        </is>
      </c>
      <c r="L5" s="54">
        <f>SUM(L4:L4)</f>
        <v>185.9676662129903</v>
      </c>
      <c r="M5" s="54">
        <f>SUM(M4:M4)</f>
        <v>21.475</v>
      </c>
      <c r="N5" s="54">
        <f>SUM(N4:N4)</f>
        <v>38.655</v>
      </c>
      <c r="O5" s="54">
        <f>SUM(O4:O4)</f>
        <v>55.83500000000001</v>
      </c>
      <c r="P5" s="54">
        <f>SUM(P4:P4)</f>
        <v>73.015</v>
      </c>
      <c r="Q5" s="54">
        <f>SUM(Q4:Q4)</f>
        <v>85.9</v>
      </c>
      <c r="R5" s="54">
        <f>SUM(R4:R4)</f>
        <v>85.9</v>
      </c>
      <c r="S5" s="54">
        <f>SUM(S4:S4)</f>
        <v>85.9</v>
      </c>
      <c r="T5" s="54">
        <f>SUM(T4:T4)</f>
        <v>85.9</v>
      </c>
      <c r="U5" s="54">
        <f>SUM(U4:U4)</f>
        <v>85.9</v>
      </c>
      <c r="V5" s="54">
        <f>SUM(V4:V4)</f>
        <v>85.9</v>
      </c>
      <c r="W5" s="54">
        <f>SUM(W4:W4)</f>
        <v>85.9</v>
      </c>
      <c r="X5" s="54">
        <f>SUM(X4:X4)</f>
        <v>85.9</v>
      </c>
      <c r="Y5" s="54">
        <f>SUM(Y4:Y4)</f>
        <v>42.95</v>
      </c>
      <c r="Z5" s="54">
        <f>SUM(Z4:Z4)</f>
        <v>21.475</v>
      </c>
      <c r="AA5" s="54">
        <f>SUM(AA4:AA4)</f>
        <v>10.7375</v>
      </c>
      <c r="AB5" s="54">
        <f>SUM(AB4:AB4)</f>
        <v>5.36875</v>
      </c>
      <c r="AC5" s="54">
        <f>SUM(AC4:AC4)</f>
        <v>2.684375</v>
      </c>
      <c r="AD5" s="54">
        <f>SUM(AD4:AD4)</f>
        <v>1.3421875</v>
      </c>
      <c r="AE5" s="54">
        <f>SUM(AE4:AE4)</f>
        <v>0.67109375</v>
      </c>
      <c r="AF5" s="54">
        <f>SUM(AF4:AF4)</f>
        <v>0.335546875</v>
      </c>
    </row>
    <row r="6">
      <c r="B6" s="24" t="inlineStr">
        <is>
          <t>Risked contribution (revenue x share)</t>
        </is>
      </c>
      <c r="M6" s="55">
        <f>SUMPRODUCT(M4:M4,$K$4:$K$4)</f>
        <v>8.590000000000002</v>
      </c>
      <c r="N6" s="55">
        <f>SUMPRODUCT(N4:N4,$K$4:$K$4)</f>
        <v>15.462000000000002</v>
      </c>
      <c r="O6" s="55">
        <f>SUMPRODUCT(O4:O4,$K$4:$K$4)</f>
        <v>22.334000000000003</v>
      </c>
      <c r="P6" s="55">
        <f>SUMPRODUCT(P4:P4,$K$4:$K$4)</f>
        <v>29.206000000000003</v>
      </c>
      <c r="Q6" s="55">
        <f>SUMPRODUCT(Q4:Q4,$K$4:$K$4)</f>
        <v>34.36000000000001</v>
      </c>
      <c r="R6" s="55">
        <f>SUMPRODUCT(R4:R4,$K$4:$K$4)</f>
        <v>34.36000000000001</v>
      </c>
      <c r="S6" s="55">
        <f>SUMPRODUCT(S4:S4,$K$4:$K$4)</f>
        <v>34.36000000000001</v>
      </c>
      <c r="T6" s="55">
        <f>SUMPRODUCT(T4:T4,$K$4:$K$4)</f>
        <v>34.36000000000001</v>
      </c>
      <c r="U6" s="55">
        <f>SUMPRODUCT(U4:U4,$K$4:$K$4)</f>
        <v>34.36000000000001</v>
      </c>
      <c r="V6" s="55">
        <f>SUMPRODUCT(V4:V4,$K$4:$K$4)</f>
        <v>34.36000000000001</v>
      </c>
      <c r="W6" s="55">
        <f>SUMPRODUCT(W4:W4,$K$4:$K$4)</f>
        <v>34.36000000000001</v>
      </c>
      <c r="X6" s="55">
        <f>SUMPRODUCT(X4:X4,$K$4:$K$4)</f>
        <v>34.36000000000001</v>
      </c>
      <c r="Y6" s="55">
        <f>SUMPRODUCT(Y4:Y4,$K$4:$K$4)</f>
        <v>17.180000000000003</v>
      </c>
      <c r="Z6" s="55">
        <f>SUMPRODUCT(Z4:Z4,$K$4:$K$4)</f>
        <v>8.590000000000002</v>
      </c>
      <c r="AA6" s="55">
        <f>SUMPRODUCT(AA4:AA4,$K$4:$K$4)</f>
        <v>4.295000000000001</v>
      </c>
      <c r="AB6" s="55">
        <f>SUMPRODUCT(AB4:AB4,$K$4:$K$4)</f>
        <v>2.1475000000000004</v>
      </c>
      <c r="AC6" s="55">
        <f>SUMPRODUCT(AC4:AC4,$K$4:$K$4)</f>
        <v>1.0737500000000002</v>
      </c>
      <c r="AD6" s="55">
        <f>SUMPRODUCT(AD4:AD4,$K$4:$K$4)</f>
        <v>0.5368750000000001</v>
      </c>
      <c r="AE6" s="55">
        <f>SUMPRODUCT(AE4:AE4,$K$4:$K$4)</f>
        <v>0.26843750000000005</v>
      </c>
      <c r="AF6" s="55">
        <f>SUMPRODUCT(AF4:AF4,$K$4:$K$4)</f>
        <v>0.13421875000000003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LENZ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21.475</v>
      </c>
      <c r="D4" s="57">
        <f>Pipeline!N5</f>
        <v>38.655</v>
      </c>
      <c r="E4" s="57">
        <f>Pipeline!O5</f>
        <v>55.83500000000001</v>
      </c>
      <c r="F4" s="57">
        <f>Pipeline!P5</f>
        <v>73.015</v>
      </c>
      <c r="G4" s="57">
        <f>Pipeline!Q5</f>
        <v>85.9</v>
      </c>
      <c r="H4" s="57">
        <f>Pipeline!R5</f>
        <v>85.9</v>
      </c>
      <c r="I4" s="57">
        <f>Pipeline!S5</f>
        <v>85.9</v>
      </c>
      <c r="J4" s="57">
        <f>Pipeline!T5</f>
        <v>85.9</v>
      </c>
      <c r="K4" s="57">
        <f>Pipeline!U5</f>
        <v>85.9</v>
      </c>
      <c r="L4" s="57">
        <f>Pipeline!V5</f>
        <v>85.9</v>
      </c>
      <c r="M4" s="57">
        <f>Pipeline!W5</f>
        <v>85.9</v>
      </c>
      <c r="N4" s="57">
        <f>Pipeline!X5</f>
        <v>85.9</v>
      </c>
      <c r="O4" s="57">
        <f>Pipeline!Y5</f>
        <v>42.95</v>
      </c>
      <c r="P4" s="57">
        <f>Pipeline!Z5</f>
        <v>21.475</v>
      </c>
      <c r="Q4" s="57">
        <f>Pipeline!AA5</f>
        <v>10.7375</v>
      </c>
      <c r="R4" s="57">
        <f>Pipeline!AB5</f>
        <v>5.36875</v>
      </c>
      <c r="S4" s="57">
        <f>Pipeline!AC5</f>
        <v>2.684375</v>
      </c>
      <c r="T4" s="57">
        <f>Pipeline!AD5</f>
        <v>1.3421875</v>
      </c>
      <c r="U4" s="57">
        <f>Pipeline!AE5</f>
        <v>0.67109375</v>
      </c>
      <c r="V4" s="57">
        <f>Pipeline!AF5</f>
        <v>0.335546875</v>
      </c>
    </row>
    <row r="5">
      <c r="A5" s="14" t="inlineStr">
        <is>
          <t>Risked contribution</t>
        </is>
      </c>
      <c r="C5" s="57">
        <f>Pipeline!M6</f>
        <v>8.590000000000002</v>
      </c>
      <c r="D5" s="57">
        <f>Pipeline!N6</f>
        <v>15.462000000000002</v>
      </c>
      <c r="E5" s="57">
        <f>Pipeline!O6</f>
        <v>22.334000000000003</v>
      </c>
      <c r="F5" s="57">
        <f>Pipeline!P6</f>
        <v>29.206000000000003</v>
      </c>
      <c r="G5" s="57">
        <f>Pipeline!Q6</f>
        <v>34.36000000000001</v>
      </c>
      <c r="H5" s="57">
        <f>Pipeline!R6</f>
        <v>34.36000000000001</v>
      </c>
      <c r="I5" s="57">
        <f>Pipeline!S6</f>
        <v>34.36000000000001</v>
      </c>
      <c r="J5" s="57">
        <f>Pipeline!T6</f>
        <v>34.36000000000001</v>
      </c>
      <c r="K5" s="57">
        <f>Pipeline!U6</f>
        <v>34.36000000000001</v>
      </c>
      <c r="L5" s="57">
        <f>Pipeline!V6</f>
        <v>34.36000000000001</v>
      </c>
      <c r="M5" s="57">
        <f>Pipeline!W6</f>
        <v>34.36000000000001</v>
      </c>
      <c r="N5" s="57">
        <f>Pipeline!X6</f>
        <v>34.36000000000001</v>
      </c>
      <c r="O5" s="57">
        <f>Pipeline!Y6</f>
        <v>17.180000000000003</v>
      </c>
      <c r="P5" s="57">
        <f>Pipeline!Z6</f>
        <v>8.590000000000002</v>
      </c>
      <c r="Q5" s="57">
        <f>Pipeline!AA6</f>
        <v>4.295000000000001</v>
      </c>
      <c r="R5" s="57">
        <f>Pipeline!AB6</f>
        <v>2.1475000000000004</v>
      </c>
      <c r="S5" s="57">
        <f>Pipeline!AC6</f>
        <v>1.0737500000000002</v>
      </c>
      <c r="T5" s="57">
        <f>Pipeline!AD6</f>
        <v>0.5368750000000001</v>
      </c>
      <c r="U5" s="57">
        <f>Pipeline!AE6</f>
        <v>0.26843750000000005</v>
      </c>
      <c r="V5" s="57">
        <f>Pipeline!AF6</f>
        <v>0.13421875000000003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-135.657</v>
      </c>
      <c r="D6" s="23">
        <f>-IF(D3-2026&lt;Assumptions!$B$19,Assumptions!$B$18,Assumptions!$B$18*Assumptions!$B$20*Assumptions!$B$16)</f>
        <v>-40.6971</v>
      </c>
      <c r="E6" s="23">
        <f>-IF(E3-2026&lt;Assumptions!$B$19,Assumptions!$B$18,Assumptions!$B$18*Assumptions!$B$20*Assumptions!$B$16)</f>
        <v>-40.6971</v>
      </c>
      <c r="F6" s="23">
        <f>-IF(F3-2026&lt;Assumptions!$B$19,Assumptions!$B$18,Assumptions!$B$18*Assumptions!$B$20*Assumptions!$B$16)</f>
        <v>-40.6971</v>
      </c>
      <c r="G6" s="23">
        <f>-IF(G3-2026&lt;Assumptions!$B$19,Assumptions!$B$18,Assumptions!$B$18*Assumptions!$B$20*Assumptions!$B$16)</f>
        <v>-40.6971</v>
      </c>
      <c r="H6" s="23">
        <f>-IF(H3-2026&lt;Assumptions!$B$19,Assumptions!$B$18,Assumptions!$B$18*Assumptions!$B$20*Assumptions!$B$16)</f>
        <v>-40.6971</v>
      </c>
      <c r="I6" s="23">
        <f>-IF(I3-2026&lt;Assumptions!$B$19,Assumptions!$B$18,Assumptions!$B$18*Assumptions!$B$20*Assumptions!$B$16)</f>
        <v>-40.6971</v>
      </c>
      <c r="J6" s="23">
        <f>-IF(J3-2026&lt;Assumptions!$B$19,Assumptions!$B$18,Assumptions!$B$18*Assumptions!$B$20*Assumptions!$B$16)</f>
        <v>-40.6971</v>
      </c>
      <c r="K6" s="23">
        <f>-IF(K3-2026&lt;Assumptions!$B$19,Assumptions!$B$18,Assumptions!$B$18*Assumptions!$B$20*Assumptions!$B$16)</f>
        <v>-40.6971</v>
      </c>
      <c r="L6" s="23">
        <f>-IF(L3-2026&lt;Assumptions!$B$19,Assumptions!$B$18,Assumptions!$B$18*Assumptions!$B$20*Assumptions!$B$16)</f>
        <v>-40.6971</v>
      </c>
      <c r="M6" s="23">
        <f>-IF(M3-2026&lt;Assumptions!$B$19,Assumptions!$B$18,Assumptions!$B$18*Assumptions!$B$20*Assumptions!$B$16)</f>
        <v>-40.6971</v>
      </c>
      <c r="N6" s="23">
        <f>-IF(N3-2026&lt;Assumptions!$B$19,Assumptions!$B$18,Assumptions!$B$18*Assumptions!$B$20*Assumptions!$B$16)</f>
        <v>-40.6971</v>
      </c>
      <c r="O6" s="23">
        <f>-IF(O3-2026&lt;Assumptions!$B$19,Assumptions!$B$18,Assumptions!$B$18*Assumptions!$B$20*Assumptions!$B$16)</f>
        <v>-40.6971</v>
      </c>
      <c r="P6" s="23">
        <f>-IF(P3-2026&lt;Assumptions!$B$19,Assumptions!$B$18,Assumptions!$B$18*Assumptions!$B$20*Assumptions!$B$16)</f>
        <v>-40.6971</v>
      </c>
      <c r="Q6" s="23">
        <f>-IF(Q3-2026&lt;Assumptions!$B$19,Assumptions!$B$18,Assumptions!$B$18*Assumptions!$B$20*Assumptions!$B$16)</f>
        <v>-40.6971</v>
      </c>
      <c r="R6" s="23">
        <f>-IF(R3-2026&lt;Assumptions!$B$19,Assumptions!$B$18,Assumptions!$B$18*Assumptions!$B$20*Assumptions!$B$16)</f>
        <v>-40.6971</v>
      </c>
      <c r="S6" s="23">
        <f>-IF(S3-2026&lt;Assumptions!$B$19,Assumptions!$B$18,Assumptions!$B$18*Assumptions!$B$20*Assumptions!$B$16)</f>
        <v>-40.6971</v>
      </c>
      <c r="T6" s="23">
        <f>-IF(T3-2026&lt;Assumptions!$B$19,Assumptions!$B$18,Assumptions!$B$18*Assumptions!$B$20*Assumptions!$B$16)</f>
        <v>-40.6971</v>
      </c>
      <c r="U6" s="23">
        <f>-IF(U3-2026&lt;Assumptions!$B$19,Assumptions!$B$18,Assumptions!$B$18*Assumptions!$B$20*Assumptions!$B$16)</f>
        <v>-40.6971</v>
      </c>
      <c r="V6" s="23">
        <f>-IF(V3-2026&lt;Assumptions!$B$19,Assumptions!$B$18,Assumptions!$B$18*Assumptions!$B$20*Assumptions!$B$16)</f>
        <v>-40.6971</v>
      </c>
    </row>
    <row r="7">
      <c r="A7" s="14" t="inlineStr">
        <is>
          <t>Pre-tax cash flow</t>
        </is>
      </c>
      <c r="C7" s="23">
        <f>C5+C6</f>
        <v>-127.06700000000001</v>
      </c>
      <c r="D7" s="23">
        <f>D5+D6</f>
        <v>-25.235099999999996</v>
      </c>
      <c r="E7" s="23">
        <f>E5+E6</f>
        <v>-18.363099999999996</v>
      </c>
      <c r="F7" s="23">
        <f>F5+F6</f>
        <v>-11.491099999999996</v>
      </c>
      <c r="G7" s="23">
        <f>G5+G6</f>
        <v>-6.337099999999992</v>
      </c>
      <c r="H7" s="23">
        <f>H5+H6</f>
        <v>-6.337099999999992</v>
      </c>
      <c r="I7" s="23">
        <f>I5+I6</f>
        <v>-6.337099999999992</v>
      </c>
      <c r="J7" s="23">
        <f>J5+J6</f>
        <v>-6.337099999999992</v>
      </c>
      <c r="K7" s="23">
        <f>K5+K6</f>
        <v>-6.337099999999992</v>
      </c>
      <c r="L7" s="23">
        <f>L5+L6</f>
        <v>-6.337099999999992</v>
      </c>
      <c r="M7" s="23">
        <f>M5+M6</f>
        <v>-6.337099999999992</v>
      </c>
      <c r="N7" s="23">
        <f>N5+N6</f>
        <v>-6.337099999999992</v>
      </c>
      <c r="O7" s="23">
        <f>O5+O6</f>
        <v>-23.517099999999996</v>
      </c>
      <c r="P7" s="23">
        <f>P5+P6</f>
        <v>-32.107099999999996</v>
      </c>
      <c r="Q7" s="23">
        <f>Q5+Q6</f>
        <v>-36.4021</v>
      </c>
      <c r="R7" s="23">
        <f>R5+R6</f>
        <v>-38.5496</v>
      </c>
      <c r="S7" s="23">
        <f>S5+S6</f>
        <v>-39.62335</v>
      </c>
      <c r="T7" s="23">
        <f>T5+T6</f>
        <v>-40.160225</v>
      </c>
      <c r="U7" s="23">
        <f>U5+U6</f>
        <v>-40.4286625</v>
      </c>
      <c r="V7" s="23">
        <f>V5+V6</f>
        <v>-40.56288125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0</v>
      </c>
      <c r="K8" s="23">
        <f>MIN(J17,MAX(0,K7))</f>
        <v>0</v>
      </c>
      <c r="L8" s="23">
        <f>MIN(K17,MAX(0,L7))</f>
        <v>0</v>
      </c>
      <c r="M8" s="23">
        <f>MIN(L17,MAX(0,M7))</f>
        <v>0</v>
      </c>
      <c r="N8" s="23">
        <f>MIN(M17,MAX(0,N7))</f>
        <v>0</v>
      </c>
      <c r="O8" s="23">
        <f>MIN(N17,MAX(0,O7))</f>
        <v>0</v>
      </c>
      <c r="P8" s="23">
        <f>MIN(O17,MAX(0,P7))</f>
        <v>0</v>
      </c>
      <c r="Q8" s="23">
        <f>MIN(P17,MAX(0,Q7))</f>
        <v>0</v>
      </c>
      <c r="R8" s="23">
        <f>MIN(Q17,MAX(0,R7))</f>
        <v>0</v>
      </c>
      <c r="S8" s="23">
        <f>MIN(R17,MAX(0,S7))</f>
        <v>0</v>
      </c>
      <c r="T8" s="23">
        <f>MIN(S17,MAX(0,T7))</f>
        <v>0</v>
      </c>
      <c r="U8" s="23">
        <f>MIN(T17,MAX(0,U7))</f>
        <v>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-127.06700000000001</v>
      </c>
      <c r="D11" s="55">
        <f>D7-D10</f>
        <v>-25.235099999999996</v>
      </c>
      <c r="E11" s="55">
        <f>E7-E10</f>
        <v>-18.363099999999996</v>
      </c>
      <c r="F11" s="55">
        <f>F7-F10</f>
        <v>-11.491099999999996</v>
      </c>
      <c r="G11" s="55">
        <f>G7-G10</f>
        <v>-6.337099999999992</v>
      </c>
      <c r="H11" s="55">
        <f>H7-H10</f>
        <v>-6.337099999999992</v>
      </c>
      <c r="I11" s="55">
        <f>I7-I10</f>
        <v>-6.337099999999992</v>
      </c>
      <c r="J11" s="55">
        <f>J7-J10</f>
        <v>-6.337099999999992</v>
      </c>
      <c r="K11" s="55">
        <f>K7-K10</f>
        <v>-6.337099999999992</v>
      </c>
      <c r="L11" s="55">
        <f>L7-L10</f>
        <v>-6.337099999999992</v>
      </c>
      <c r="M11" s="55">
        <f>M7-M10</f>
        <v>-6.337099999999992</v>
      </c>
      <c r="N11" s="55">
        <f>N7-N10</f>
        <v>-6.337099999999992</v>
      </c>
      <c r="O11" s="55">
        <f>O7-O10</f>
        <v>-23.517099999999996</v>
      </c>
      <c r="P11" s="55">
        <f>P7-P10</f>
        <v>-32.107099999999996</v>
      </c>
      <c r="Q11" s="55">
        <f>Q7-Q10</f>
        <v>-36.4021</v>
      </c>
      <c r="R11" s="55">
        <f>R7-R10</f>
        <v>-38.5496</v>
      </c>
      <c r="S11" s="55">
        <f>S7-S10</f>
        <v>-39.62335</v>
      </c>
      <c r="T11" s="55">
        <f>T7-T10</f>
        <v>-40.160225</v>
      </c>
      <c r="U11" s="55">
        <f>U7-U10</f>
        <v>-40.4286625</v>
      </c>
      <c r="V11" s="55">
        <f>V7-V10</f>
        <v>-40.56288125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-62.25067591624596</v>
      </c>
      <c r="D16" s="55">
        <f>D11*D15</f>
        <v>-22.520872584622644</v>
      </c>
      <c r="E16" s="55">
        <f>E11*E15</f>
        <v>-14.632150519326396</v>
      </c>
      <c r="F16" s="55">
        <f>F11*F15</f>
        <v>-8.175338471515058</v>
      </c>
      <c r="G16" s="55">
        <f>G11*G15</f>
        <v>-4.025470754683284</v>
      </c>
      <c r="H16" s="55">
        <f>H11*H15</f>
        <v>-3.5941703166815038</v>
      </c>
      <c r="I16" s="55">
        <f>I11*I15</f>
        <v>-3.209080639894199</v>
      </c>
      <c r="J16" s="55">
        <f>J11*J15</f>
        <v>-2.8652505713341063</v>
      </c>
      <c r="K16" s="55">
        <f>K11*K15</f>
        <v>-2.5582594386911657</v>
      </c>
      <c r="L16" s="55">
        <f>L11*L15</f>
        <v>-2.2841602131171124</v>
      </c>
      <c r="M16" s="55">
        <f>M11*M15</f>
        <v>-2.039428761711707</v>
      </c>
      <c r="N16" s="55">
        <f>N11*N15</f>
        <v>-1.8209185372425953</v>
      </c>
      <c r="O16" s="55">
        <f>O11*O15</f>
        <v>-6.033449748897631</v>
      </c>
      <c r="P16" s="55">
        <f>P11*P15</f>
        <v>-7.354700501854847</v>
      </c>
      <c r="Q16" s="55">
        <f>Q11*Q15</f>
        <v>-7.445130714817704</v>
      </c>
      <c r="R16" s="55">
        <f>R11*R15</f>
        <v>-7.039596101695089</v>
      </c>
      <c r="S16" s="55">
        <f>S11*S15</f>
        <v>-6.460424181631774</v>
      </c>
      <c r="T16" s="55">
        <f>T11*T15</f>
        <v>-5.846392358333733</v>
      </c>
      <c r="U16" s="55">
        <f>U11*U15</f>
        <v>-5.25488446363583</v>
      </c>
      <c r="V16" s="55">
        <f>V11*V15</f>
        <v>-4.707437595457052</v>
      </c>
    </row>
    <row r="17">
      <c r="A17" s="14" t="inlineStr">
        <is>
          <t>Tax-loss carryforward, end of year</t>
        </is>
      </c>
      <c r="C17" s="23">
        <f>Assumptions!$B$21-C8+MAX(0,-C7)</f>
        <v>569.067</v>
      </c>
      <c r="D17" s="23">
        <f>C17-D8+MAX(0,-D7)</f>
        <v>594.3021</v>
      </c>
      <c r="E17" s="23">
        <f>D17-E8+MAX(0,-E7)</f>
        <v>612.6652</v>
      </c>
      <c r="F17" s="23">
        <f>E17-F8+MAX(0,-F7)</f>
        <v>624.1563</v>
      </c>
      <c r="G17" s="23">
        <f>F17-G8+MAX(0,-G7)</f>
        <v>630.4934</v>
      </c>
      <c r="H17" s="23">
        <f>G17-H8+MAX(0,-H7)</f>
        <v>636.8304999999999</v>
      </c>
      <c r="I17" s="23">
        <f>H17-I8+MAX(0,-I7)</f>
        <v>643.1675999999999</v>
      </c>
      <c r="J17" s="23">
        <f>I17-J8+MAX(0,-J7)</f>
        <v>649.5046999999998</v>
      </c>
      <c r="K17" s="23">
        <f>J17-K8+MAX(0,-K7)</f>
        <v>655.8417999999998</v>
      </c>
      <c r="L17" s="23">
        <f>K17-L8+MAX(0,-L7)</f>
        <v>662.1788999999998</v>
      </c>
      <c r="M17" s="23">
        <f>L17-M8+MAX(0,-M7)</f>
        <v>668.5159999999997</v>
      </c>
      <c r="N17" s="23">
        <f>M17-N8+MAX(0,-N7)</f>
        <v>674.8530999999997</v>
      </c>
      <c r="O17" s="23">
        <f>N17-O8+MAX(0,-O7)</f>
        <v>698.3701999999997</v>
      </c>
      <c r="P17" s="23">
        <f>O17-P8+MAX(0,-P7)</f>
        <v>730.4772999999997</v>
      </c>
      <c r="Q17" s="23">
        <f>P17-Q8+MAX(0,-Q7)</f>
        <v>766.8793999999997</v>
      </c>
      <c r="R17" s="23">
        <f>Q17-R8+MAX(0,-R7)</f>
        <v>805.4289999999996</v>
      </c>
      <c r="S17" s="23">
        <f>R17-S8+MAX(0,-S7)</f>
        <v>845.0523499999996</v>
      </c>
      <c r="T17" s="23">
        <f>S17-T8+MAX(0,-T7)</f>
        <v>885.2125749999996</v>
      </c>
      <c r="U17" s="23">
        <f>T17-U8+MAX(0,-U7)</f>
        <v>925.6412374999995</v>
      </c>
      <c r="V17" s="23">
        <f>U17-V8+MAX(0,-V7)</f>
        <v>966.2041187499996</v>
      </c>
    </row>
    <row r="19">
      <c r="A19" s="14" t="inlineStr">
        <is>
          <t>PV of risked pipeline contribution</t>
        </is>
      </c>
      <c r="B19" s="23">
        <f>SUMPRODUCT(C5:V5,C15:V15)</f>
        <v>185.96766621299034</v>
      </c>
    </row>
    <row r="20">
      <c r="A20" s="14" t="inlineStr">
        <is>
          <t>PV of corporate burn</t>
        </is>
      </c>
      <c r="B20" s="23">
        <f>SUMPRODUCT(C6:V6,C15:V15)</f>
        <v>-366.0854586043797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-180.11779239138937</v>
      </c>
    </row>
    <row r="23">
      <c r="A23" s="14" t="inlineStr">
        <is>
          <t>Cash &amp; investments</t>
        </is>
      </c>
      <c r="B23" s="57">
        <f>Main!C7</f>
        <v>220.003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39.885207608610614</v>
      </c>
    </row>
    <row r="26">
      <c r="A26" s="14" t="inlineStr">
        <is>
          <t>Shares (mm)</t>
        </is>
      </c>
      <c r="B26" s="57">
        <f>Main!C4</f>
        <v>31.420343</v>
      </c>
    </row>
    <row r="27">
      <c r="A27" s="24" t="inlineStr">
        <is>
          <t>rNPV / share</t>
        </is>
      </c>
      <c r="B27" s="60">
        <f>B25/B26</f>
        <v>1.2694071356449106</v>
      </c>
    </row>
    <row r="28">
      <c r="A28" s="14" t="inlineStr">
        <is>
          <t>Price</t>
        </is>
      </c>
      <c r="B28" s="61">
        <f>Main!C3</f>
        <v>3.19</v>
      </c>
    </row>
    <row r="29">
      <c r="A29" s="14" t="inlineStr">
        <is>
          <t>Upside</t>
        </is>
      </c>
      <c r="B29" s="62">
        <f>B27/B28-1</f>
        <v>-0.6020667286379591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2026-10-21T06:28:11Z</dcterms:modified>
  <cp:lastModifiedBy>Wang, Eric</cp:lastModifiedBy>
</cp:coreProperties>
</file>