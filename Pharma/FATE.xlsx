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Fate Therapeutics Inc</t>
        </is>
      </c>
      <c r="C2" s="10" t="n"/>
    </row>
    <row r="3">
      <c r="B3" t="inlineStr">
        <is>
          <t>Price</t>
        </is>
      </c>
      <c r="C3" s="11">
        <f>INDEX([1]Pharma!$F$1:$F$1000,MATCH("FATE",[1]Pharma!$B$1:$B$1000,0))</f>
        <v>2.06</v>
      </c>
      <c r="F3" s="1" t="n"/>
    </row>
    <row r="4">
      <c r="B4" t="inlineStr">
        <is>
          <t>Shares</t>
        </is>
      </c>
      <c r="C4" s="21" t="n">
        <v>119.820514</v>
      </c>
      <c r="F4" s="1" t="n"/>
    </row>
    <row r="5">
      <c r="B5" t="inlineStr">
        <is>
          <t>Market Cap.</t>
        </is>
      </c>
      <c r="C5" s="13">
        <f>C3*C4</f>
        <v>246.83025884</v>
      </c>
      <c r="F5" s="1" t="n"/>
    </row>
    <row r="6"/>
    <row r="7">
      <c r="B7" t="inlineStr">
        <is>
          <t>Cash</t>
        </is>
      </c>
      <c r="C7" s="21">
        <f>32.429+121.341</f>
        <v>153.76999999999998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93.06025884000002</v>
      </c>
    </row>
    <row r="10"/>
    <row r="11">
      <c r="B11" s="14" t="inlineStr">
        <is>
          <t>rNPV / Share</t>
        </is>
      </c>
      <c r="C11" s="11">
        <f>NPV!B27</f>
        <v>3.956970508327031</v>
      </c>
    </row>
    <row r="12">
      <c r="B12" s="14" t="inlineStr">
        <is>
          <t>Upside</t>
        </is>
      </c>
      <c r="C12" s="15">
        <f>IFERROR(C11/C3-1,"")</f>
        <v>0.9208594700616655</v>
      </c>
    </row>
    <row r="13">
      <c r="B13" s="14" t="inlineStr">
        <is>
          <t>Cash / Share</t>
        </is>
      </c>
      <c r="C13" s="11">
        <f>IFERROR((C7-C8)/C4,"")</f>
        <v>1.2833361739710112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-101.944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1.5083771482382482</v>
      </c>
    </row>
    <row r="19">
      <c r="B19" s="14" t="inlineStr">
        <is>
          <t>Implied Pipeline Value</t>
        </is>
      </c>
      <c r="C19" s="13">
        <f>C9</f>
        <v>93.06025884000002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2008</v>
      </c>
      <c r="C1" s="17" t="n">
        <v>2009</v>
      </c>
      <c r="D1" s="17" t="n">
        <v>2010</v>
      </c>
      <c r="E1" s="17" t="n">
        <v>2011</v>
      </c>
      <c r="F1" s="17" t="n">
        <v>2012</v>
      </c>
      <c r="G1" s="17" t="n">
        <v>2013</v>
      </c>
      <c r="H1" s="17" t="n">
        <v>2014</v>
      </c>
      <c r="I1" s="17" t="n">
        <v>2015</v>
      </c>
      <c r="J1" s="17" t="n">
        <v>2016</v>
      </c>
      <c r="K1" s="17" t="n">
        <v>2017</v>
      </c>
      <c r="L1" s="17" t="n">
        <v>2018</v>
      </c>
      <c r="M1" s="17" t="n">
        <v>2019</v>
      </c>
      <c r="N1" s="17" t="n">
        <v>2020</v>
      </c>
      <c r="O1" s="17" t="n">
        <v>2021</v>
      </c>
      <c r="P1" s="17" t="n">
        <v>2022</v>
      </c>
      <c r="Q1" s="17" t="n">
        <v>2023</v>
      </c>
      <c r="R1" s="17" t="n">
        <v>2024</v>
      </c>
      <c r="S1" s="17" t="n">
        <v>2025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1.17</v>
      </c>
      <c r="F2" s="23" t="n">
        <v>2.67</v>
      </c>
      <c r="G2" s="23" t="n">
        <v>0.971</v>
      </c>
      <c r="H2" s="23" t="n">
        <v>0</v>
      </c>
      <c r="I2" s="23" t="n">
        <v>2.431</v>
      </c>
      <c r="J2" s="23" t="n">
        <v>4.402</v>
      </c>
      <c r="K2" s="23" t="n">
        <v>4.106</v>
      </c>
      <c r="L2" s="23" t="n">
        <v>4.74</v>
      </c>
      <c r="M2" s="23" t="n">
        <v>10.68</v>
      </c>
      <c r="N2" s="23" t="n">
        <v>31.434</v>
      </c>
      <c r="O2" s="23" t="n">
        <v>55.846</v>
      </c>
      <c r="P2" s="23" t="n">
        <v>96.3</v>
      </c>
      <c r="Q2" s="23" t="n">
        <v>63.533</v>
      </c>
      <c r="R2" s="23" t="n">
        <v>13.631</v>
      </c>
      <c r="S2" s="23" t="n">
        <v>6.646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1.17</v>
      </c>
      <c r="F4" s="23">
        <f>F2-F3</f>
        <v>2.67</v>
      </c>
      <c r="G4" s="23">
        <f>G2-G3</f>
        <v>0.971</v>
      </c>
      <c r="H4" s="23">
        <f>H2-H3</f>
        <v>0.0</v>
      </c>
      <c r="I4" s="23">
        <f>I2-I3</f>
        <v>2.431</v>
      </c>
      <c r="J4" s="23">
        <f>J2-J3</f>
        <v>4.402</v>
      </c>
      <c r="K4" s="23">
        <f>K2-K3</f>
        <v>4.106</v>
      </c>
      <c r="L4" s="23">
        <f>L2-L3</f>
        <v>4.74</v>
      </c>
      <c r="M4" s="23">
        <f>M2-M3</f>
        <v>10.68</v>
      </c>
      <c r="N4" s="23">
        <f>N2-N3</f>
        <v>31.434</v>
      </c>
      <c r="O4" s="23">
        <f>O2-O3</f>
        <v>55.846</v>
      </c>
      <c r="P4" s="23">
        <f>P2-P3</f>
        <v>96.3</v>
      </c>
      <c r="Q4" s="23">
        <f>Q2-Q3</f>
        <v>63.533</v>
      </c>
      <c r="R4" s="23">
        <f>R2-R3</f>
        <v>13.631</v>
      </c>
      <c r="S4" s="23">
        <f>S2-S3</f>
        <v>6.646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9.858000000000001</v>
      </c>
      <c r="F5" s="23" t="n">
        <v>11.999</v>
      </c>
      <c r="G5" s="23" t="n">
        <v>12.007</v>
      </c>
      <c r="H5" s="23" t="n">
        <v>16.435</v>
      </c>
      <c r="I5" s="23" t="n">
        <v>19.861</v>
      </c>
      <c r="J5" s="23" t="n">
        <v>26.452</v>
      </c>
      <c r="K5" s="23" t="n">
        <v>34.358</v>
      </c>
      <c r="L5" s="23" t="n">
        <v>56.024</v>
      </c>
      <c r="M5" s="23" t="n">
        <v>87.77</v>
      </c>
      <c r="N5" s="23" t="n">
        <v>125.623</v>
      </c>
      <c r="O5" s="23" t="n">
        <v>215.519</v>
      </c>
      <c r="P5" s="23" t="n">
        <v>320.454</v>
      </c>
      <c r="Q5" s="23" t="n">
        <v>172.596</v>
      </c>
      <c r="R5" s="23" t="n">
        <v>135.001</v>
      </c>
      <c r="S5" s="23" t="n">
        <v>107.829</v>
      </c>
    </row>
    <row r="6">
      <c r="A6" s="19" t="inlineStr">
        <is>
          <t>SG&amp;A &amp; Other</t>
        </is>
      </c>
      <c r="B6" s="23" t="n">
        <v>7.169</v>
      </c>
      <c r="C6" s="23" t="n">
        <v>13.334</v>
      </c>
      <c r="D6" s="23" t="n">
        <v>16.222</v>
      </c>
      <c r="E6" s="23" t="n">
        <v>4.605</v>
      </c>
      <c r="F6" s="23" t="n">
        <v>4.228</v>
      </c>
      <c r="G6" s="23" t="n">
        <v>6.639</v>
      </c>
      <c r="H6" s="23" t="n">
        <v>8.468999999999999</v>
      </c>
      <c r="I6" s="23" t="n">
        <v>10.352</v>
      </c>
      <c r="J6" s="23" t="n">
        <v>9.913</v>
      </c>
      <c r="K6" s="23" t="n">
        <v>11.873</v>
      </c>
      <c r="L6" s="23" t="n">
        <v>15.808</v>
      </c>
      <c r="M6" s="23" t="n">
        <v>23.637</v>
      </c>
      <c r="N6" s="23" t="n">
        <v>33.896</v>
      </c>
      <c r="O6" s="23" t="n">
        <v>57.321</v>
      </c>
      <c r="P6" s="23" t="n">
        <v>84.232</v>
      </c>
      <c r="Q6" s="23" t="n">
        <v>81.44799999999999</v>
      </c>
      <c r="R6" s="23" t="n">
        <v>88.90600000000001</v>
      </c>
      <c r="S6" s="23" t="n">
        <v>46.521</v>
      </c>
    </row>
    <row r="7">
      <c r="A7" s="2" t="inlineStr">
        <is>
          <t>Operating Expense</t>
        </is>
      </c>
      <c r="B7" s="23">
        <f>SUM(B5:B6)</f>
        <v>7.169</v>
      </c>
      <c r="C7" s="23">
        <f>SUM(C5:C6)</f>
        <v>13.334</v>
      </c>
      <c r="D7" s="23">
        <f>SUM(D5:D6)</f>
        <v>16.222</v>
      </c>
      <c r="E7" s="23">
        <f>SUM(E5:E6)</f>
        <v>14.463000000000001</v>
      </c>
      <c r="F7" s="23">
        <f>SUM(F5:F6)</f>
        <v>16.227</v>
      </c>
      <c r="G7" s="23">
        <f>SUM(G5:G6)</f>
        <v>18.646</v>
      </c>
      <c r="H7" s="23">
        <f>SUM(H5:H6)</f>
        <v>24.903999999999996</v>
      </c>
      <c r="I7" s="23">
        <f>SUM(I5:I6)</f>
        <v>30.213</v>
      </c>
      <c r="J7" s="23">
        <f>SUM(J5:J6)</f>
        <v>36.365</v>
      </c>
      <c r="K7" s="23">
        <f>SUM(K5:K6)</f>
        <v>46.230999999999995</v>
      </c>
      <c r="L7" s="23">
        <f>SUM(L5:L6)</f>
        <v>71.832</v>
      </c>
      <c r="M7" s="23">
        <f>SUM(M5:M6)</f>
        <v>111.407</v>
      </c>
      <c r="N7" s="23">
        <f>SUM(N5:N6)</f>
        <v>159.519</v>
      </c>
      <c r="O7" s="23">
        <f>SUM(O5:O6)</f>
        <v>272.84000000000003</v>
      </c>
      <c r="P7" s="23">
        <f>SUM(P5:P6)</f>
        <v>404.68600000000004</v>
      </c>
      <c r="Q7" s="23">
        <f>SUM(Q5:Q6)</f>
        <v>254.04399999999998</v>
      </c>
      <c r="R7" s="23">
        <f>SUM(R5:R6)</f>
        <v>223.907</v>
      </c>
      <c r="S7" s="23">
        <f>SUM(S5:S6)</f>
        <v>154.35</v>
      </c>
    </row>
    <row r="8">
      <c r="A8" s="2" t="inlineStr">
        <is>
          <t>Operating Income</t>
        </is>
      </c>
      <c r="B8" s="23">
        <f>B4-B7</f>
        <v>-7.169</v>
      </c>
      <c r="C8" s="23">
        <f>C4-C7</f>
        <v>-13.334</v>
      </c>
      <c r="D8" s="23">
        <f>D4-D7</f>
        <v>-16.222</v>
      </c>
      <c r="E8" s="23">
        <f>E4-E7</f>
        <v>-13.293000000000001</v>
      </c>
      <c r="F8" s="23">
        <f>F4-F7</f>
        <v>-13.557</v>
      </c>
      <c r="G8" s="23">
        <f>G4-G7</f>
        <v>-17.675</v>
      </c>
      <c r="H8" s="23">
        <f>H4-H7</f>
        <v>-24.903999999999996</v>
      </c>
      <c r="I8" s="23">
        <f>I4-I7</f>
        <v>-27.782</v>
      </c>
      <c r="J8" s="23">
        <f>J4-J7</f>
        <v>-31.963</v>
      </c>
      <c r="K8" s="23">
        <f>K4-K7</f>
        <v>-42.12499999999999</v>
      </c>
      <c r="L8" s="23">
        <f>L4-L7</f>
        <v>-67.092</v>
      </c>
      <c r="M8" s="23">
        <f>M4-M7</f>
        <v>-100.727</v>
      </c>
      <c r="N8" s="23">
        <f>N4-N7</f>
        <v>-128.085</v>
      </c>
      <c r="O8" s="23">
        <f>O4-O7</f>
        <v>-216.99400000000003</v>
      </c>
      <c r="P8" s="23">
        <f>P4-P7</f>
        <v>-308.386</v>
      </c>
      <c r="Q8" s="23">
        <f>Q4-Q7</f>
        <v>-190.51099999999997</v>
      </c>
      <c r="R8" s="23">
        <f>R4-R7</f>
        <v>-210.276</v>
      </c>
      <c r="S8" s="23">
        <f>S4-S7</f>
        <v>-147.704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-0.134</v>
      </c>
      <c r="F9" s="23" t="n">
        <v>-0.6820000000000001</v>
      </c>
      <c r="G9" s="23" t="n">
        <v>-3.219</v>
      </c>
      <c r="H9" s="23" t="n">
        <v>-0.979</v>
      </c>
      <c r="I9" s="23" t="n">
        <v>-2.21</v>
      </c>
      <c r="J9" s="23" t="n">
        <v>-1.499</v>
      </c>
      <c r="K9" s="23" t="n">
        <v>-0.827</v>
      </c>
      <c r="L9" s="23" t="n">
        <v>0.494</v>
      </c>
      <c r="M9" s="23" t="n">
        <v>2.578</v>
      </c>
      <c r="N9" s="23" t="n">
        <v>-45.302</v>
      </c>
      <c r="O9" s="23" t="n">
        <v>4.843</v>
      </c>
      <c r="P9" s="23" t="n">
        <v>26.665</v>
      </c>
      <c r="Q9" s="23" t="n">
        <v>29.583</v>
      </c>
      <c r="R9" s="23" t="n">
        <v>24.014</v>
      </c>
      <c r="S9" s="23" t="n">
        <v>11.391</v>
      </c>
    </row>
    <row r="10">
      <c r="A10" s="2" t="inlineStr">
        <is>
          <t>Pretax</t>
        </is>
      </c>
      <c r="B10" s="23">
        <f>B8+B9</f>
        <v>-7.169</v>
      </c>
      <c r="C10" s="23">
        <f>C8+C9</f>
        <v>-13.334</v>
      </c>
      <c r="D10" s="23">
        <f>D8+D9</f>
        <v>-16.222</v>
      </c>
      <c r="E10" s="23">
        <f>E8+E9</f>
        <v>-13.427000000000001</v>
      </c>
      <c r="F10" s="23">
        <f>F8+F9</f>
        <v>-14.239</v>
      </c>
      <c r="G10" s="23">
        <f>G8+G9</f>
        <v>-20.894000000000002</v>
      </c>
      <c r="H10" s="23">
        <f>H8+H9</f>
        <v>-25.882999999999996</v>
      </c>
      <c r="I10" s="23">
        <f>I8+I9</f>
        <v>-29.992</v>
      </c>
      <c r="J10" s="23">
        <f>J8+J9</f>
        <v>-33.462</v>
      </c>
      <c r="K10" s="23">
        <f>K8+K9</f>
        <v>-42.95199999999999</v>
      </c>
      <c r="L10" s="23">
        <f>L8+L9</f>
        <v>-66.598</v>
      </c>
      <c r="M10" s="23">
        <f>M8+M9</f>
        <v>-98.149</v>
      </c>
      <c r="N10" s="23">
        <f>N8+N9</f>
        <v>-173.387</v>
      </c>
      <c r="O10" s="23">
        <f>O8+O9</f>
        <v>-212.15100000000004</v>
      </c>
      <c r="P10" s="23">
        <f>P8+P9</f>
        <v>-281.721</v>
      </c>
      <c r="Q10" s="23">
        <f>Q8+Q9</f>
        <v>-160.92799999999997</v>
      </c>
      <c r="R10" s="23">
        <f>R8+R9</f>
        <v>-186.262</v>
      </c>
      <c r="S10" s="23">
        <f>S8+S9</f>
        <v>-136.31300000000002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0.002</v>
      </c>
    </row>
    <row r="12">
      <c r="A12" s="2" t="inlineStr">
        <is>
          <t>Net Income</t>
        </is>
      </c>
      <c r="B12" s="23" t="n">
        <v>-7.169</v>
      </c>
      <c r="C12" s="23" t="n">
        <v>-13.334</v>
      </c>
      <c r="D12" s="23" t="n">
        <v>-16.222</v>
      </c>
      <c r="E12" s="23" t="n">
        <v>-13.427</v>
      </c>
      <c r="F12" s="23" t="n">
        <v>-14.239</v>
      </c>
      <c r="G12" s="23" t="n">
        <v>-20.894</v>
      </c>
      <c r="H12" s="23" t="n">
        <v>-25.883</v>
      </c>
      <c r="I12" s="23" t="n">
        <v>-29.992</v>
      </c>
      <c r="J12" s="23" t="n">
        <v>-33.462</v>
      </c>
      <c r="K12" s="23" t="n">
        <v>-42.952</v>
      </c>
      <c r="L12" s="23" t="n">
        <v>-66.598</v>
      </c>
      <c r="M12" s="23" t="n">
        <v>-98.149</v>
      </c>
      <c r="N12" s="23" t="n">
        <v>-173.387</v>
      </c>
      <c r="O12" s="23" t="n">
        <v>-212.151</v>
      </c>
      <c r="P12" s="23" t="n">
        <v>-281.721</v>
      </c>
      <c r="Q12" s="23" t="n">
        <v>-160.928</v>
      </c>
      <c r="R12" s="23" t="n">
        <v>-186.262</v>
      </c>
      <c r="S12" s="23" t="n">
        <v>-136.315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-16.157641395908545</v>
      </c>
      <c r="F13" s="11">
        <f>IFERROR(F12/F14,0)</f>
        <v>-13.063302752293577</v>
      </c>
      <c r="G13" s="11">
        <f>IFERROR(G12/G14,0)</f>
        <v>-3.543758480325644</v>
      </c>
      <c r="H13" s="11">
        <f>IFERROR(H12/H14,0)</f>
        <v>-1.265548601603755</v>
      </c>
      <c r="I13" s="11">
        <f>IFERROR(I12/I14,0)</f>
        <v>-1.1768953068592056</v>
      </c>
      <c r="J13" s="11">
        <f>IFERROR(J12/J14,0)</f>
        <v>-1.0537884990867292</v>
      </c>
      <c r="K13" s="11">
        <f>IFERROR(K12/K14,0)</f>
        <v>-1.023105140298223</v>
      </c>
      <c r="L13" s="11">
        <f>IFERROR(L12/L14,0)</f>
        <v>-1.1851021425012456</v>
      </c>
      <c r="M13" s="11">
        <f>IFERROR(M12/M14,0)</f>
        <v>-1.4393248375885381</v>
      </c>
      <c r="N13" s="11">
        <f>IFERROR(N12/N14,0)</f>
        <v>-2.1045942829398556</v>
      </c>
      <c r="O13" s="11">
        <f>IFERROR(O12/O14,0)</f>
        <v>-2.2391315820025963</v>
      </c>
      <c r="P13" s="11">
        <f>IFERROR(P12/P14,0)</f>
        <v>-2.909559415859377</v>
      </c>
      <c r="Q13" s="11">
        <f>IFERROR(Q12/Q14,0)</f>
        <v>-1.6352643505299205</v>
      </c>
      <c r="R13" s="11">
        <f>IFERROR(R12/R14,0)</f>
        <v>-1.6384043629326648</v>
      </c>
      <c r="S13" s="11">
        <f>IFERROR(S12/S14,0)</f>
        <v>-1.1475292533041501</v>
      </c>
    </row>
    <row r="14">
      <c r="A14" s="2" t="inlineStr">
        <is>
          <t>Shares</t>
        </is>
      </c>
      <c r="B14" s="23" t="n"/>
      <c r="C14" s="23" t="n"/>
      <c r="D14" s="23" t="n"/>
      <c r="E14" s="23" t="n">
        <v>0.831</v>
      </c>
      <c r="F14" s="23" t="n">
        <v>1.09</v>
      </c>
      <c r="G14" s="23" t="n">
        <v>5.896</v>
      </c>
      <c r="H14" s="23" t="n">
        <v>20.452</v>
      </c>
      <c r="I14" s="23" t="n">
        <v>25.484</v>
      </c>
      <c r="J14" s="23" t="n">
        <v>31.754</v>
      </c>
      <c r="K14" s="23" t="n">
        <v>41.982</v>
      </c>
      <c r="L14" s="23" t="n">
        <v>56.196</v>
      </c>
      <c r="M14" s="23" t="n">
        <v>68.191</v>
      </c>
      <c r="N14" s="23" t="n">
        <v>82.38500000000001</v>
      </c>
      <c r="O14" s="23" t="n">
        <v>94.747</v>
      </c>
      <c r="P14" s="23" t="n">
        <v>96.82599999999999</v>
      </c>
      <c r="Q14" s="23" t="n">
        <v>98.411</v>
      </c>
      <c r="R14" s="23" t="n">
        <v>113.685</v>
      </c>
      <c r="S14" s="23" t="n">
        <v>118.79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>1.282051282051282</v>
      </c>
      <c r="G16" s="15">
        <f>IFERROR(G2/F2-1,"")</f>
        <v>-0.6363295880149813</v>
      </c>
      <c r="H16" s="15">
        <f>IFERROR(H2/G2-1,"")</f>
        <v>-1.0</v>
      </c>
      <c r="I16" s="15">
        <f>IFERROR(I2/H2-1,"")</f>
        <v/>
      </c>
      <c r="J16" s="15">
        <f>IFERROR(J2/I2-1,"")</f>
        <v>0.8107774578362814</v>
      </c>
      <c r="K16" s="15">
        <f>IFERROR(K2/J2-1,"")</f>
        <v>-0.06724216265333949</v>
      </c>
      <c r="L16" s="15">
        <f>IFERROR(L2/K2-1,"")</f>
        <v>0.15440818314661486</v>
      </c>
      <c r="M16" s="15">
        <f>IFERROR(M2/L2-1,"")</f>
        <v>1.2531645569620253</v>
      </c>
      <c r="N16" s="15">
        <f>IFERROR(N2/M2-1,"")</f>
        <v>1.9432584269662923</v>
      </c>
      <c r="O16" s="15">
        <f>IFERROR(O2/N2-1,"")</f>
        <v>0.7766113125914613</v>
      </c>
      <c r="P16" s="15">
        <f>IFERROR(P2/O2-1,"")</f>
        <v>0.7243849156609248</v>
      </c>
      <c r="Q16" s="15">
        <f>IFERROR(Q2/P2-1,"")</f>
        <v>-0.3402596053997923</v>
      </c>
      <c r="R16" s="15">
        <f>IFERROR(R2/Q2-1,"")</f>
        <v>-0.7854500810602364</v>
      </c>
      <c r="S16" s="15">
        <f>IFERROR(S2/R2-1,"")</f>
        <v>-0.5124348910571492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1.0</v>
      </c>
      <c r="S17" s="15">
        <f>IFERROR(S4/S2,"")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>-11.361538461538464</v>
      </c>
      <c r="F18" s="15">
        <f>IFERROR(F8/F2,"")</f>
        <v>-5.0775280898876405</v>
      </c>
      <c r="G18" s="15">
        <f>IFERROR(G8/G2,"")</f>
        <v>-18.202883625128734</v>
      </c>
      <c r="H18" s="15">
        <f>IFERROR(H8/H2,"")</f>
        <v/>
      </c>
      <c r="I18" s="15">
        <f>IFERROR(I8/I2,"")</f>
        <v>-11.428218839983545</v>
      </c>
      <c r="J18" s="15">
        <f>IFERROR(J8/J2,"")</f>
        <v>-7.261017719218537</v>
      </c>
      <c r="K18" s="15">
        <f>IFERROR(K8/K2,"")</f>
        <v>-10.259376522162688</v>
      </c>
      <c r="L18" s="15">
        <f>IFERROR(L8/L2,"")</f>
        <v>-14.154430379746834</v>
      </c>
      <c r="M18" s="15">
        <f>IFERROR(M8/M2,"")</f>
        <v>-9.431367041198502</v>
      </c>
      <c r="N18" s="15">
        <f>IFERROR(N8/N2,"")</f>
        <v>-4.074728001527009</v>
      </c>
      <c r="O18" s="15">
        <f>IFERROR(O8/O2,"")</f>
        <v>-3.885578197185117</v>
      </c>
      <c r="P18" s="15">
        <f>IFERROR(P8/P2,"")</f>
        <v>-3.202346832814123</v>
      </c>
      <c r="Q18" s="15">
        <f>IFERROR(Q8/Q2,"")</f>
        <v>-2.998614893047707</v>
      </c>
      <c r="R18" s="15">
        <f>IFERROR(R8/R2,"")</f>
        <v>-15.426307681021202</v>
      </c>
      <c r="S18" s="15">
        <f>IFERROR(S8/S2,"")</f>
        <v>-22.22449593740596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Fate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1-PRODUCT(Pipeline!AG4:AG9)</f>
        <v>0.48459255944522517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133.59</v>
      </c>
    </row>
    <row r="19">
      <c r="A19" s="14" t="inlineStr">
        <is>
          <t>Years of full burn (until the first launch, max 4)</t>
        </is>
      </c>
      <c r="B19" s="39">
        <f>MIN(4,MAX(1,MIN(Pipeline!I4:I9)-2026))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1533.1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320.35624019058616</v>
      </c>
      <c r="C29" s="42">
        <f>NPV!B25</f>
        <v>474.12624019058615</v>
      </c>
      <c r="D29" s="43">
        <f>NPV!B27</f>
        <v>3.956970508327031</v>
      </c>
      <c r="E29" s="44">
        <f>NPV!B29</f>
        <v>0.9208594700616655</v>
      </c>
    </row>
    <row r="30">
      <c r="A30" s="45" t="n">
        <v>1</v>
      </c>
      <c r="B30" s="46">
        <f t="dataTable" ref="B30:E32" r1="B4"/>
        <v>-118.23539688252396</v>
      </c>
      <c r="C30" s="46">
        <v>35.534603117476024</v>
      </c>
      <c r="D30" s="47">
        <v>0.2965652702631206</v>
      </c>
      <c r="E30" s="48">
        <v>-0.8560362765713007</v>
      </c>
    </row>
    <row r="31">
      <c r="A31" s="45" t="n">
        <v>2</v>
      </c>
      <c r="B31" s="46">
        <v>320.35624019058616</v>
      </c>
      <c r="C31" s="46">
        <v>474.12624019058615</v>
      </c>
      <c r="D31" s="47">
        <v>3.956970508327031</v>
      </c>
      <c r="E31" s="48">
        <v>0.9208594700616655</v>
      </c>
    </row>
    <row r="32">
      <c r="A32" s="45" t="n">
        <v>3</v>
      </c>
      <c r="B32" s="46">
        <v>1003.9532997389803</v>
      </c>
      <c r="C32" s="46">
        <v>1157.7232997389801</v>
      </c>
      <c r="D32" s="47">
        <v>9.662145997295422</v>
      </c>
      <c r="E32" s="48">
        <v>3.690362134609428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3.956970508327031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-0.36295937326077865</v>
      </c>
      <c r="C37" s="47">
        <v>0.6899645005760954</v>
      </c>
      <c r="D37" s="47">
        <v>1.7428883744129704</v>
      </c>
      <c r="E37" s="47">
        <v>3.604494111692761</v>
      </c>
      <c r="F37" s="47">
        <v>5.376999051491266</v>
      </c>
    </row>
    <row r="38">
      <c r="A38" s="50" t="n">
        <v>0.8</v>
      </c>
      <c r="B38" s="47">
        <v>0.19447694886270409</v>
      </c>
      <c r="C38" s="47">
        <v>1.5983754473118705</v>
      </c>
      <c r="D38" s="47">
        <v>2.8707477353285786</v>
      </c>
      <c r="E38" s="47">
        <v>5.250756251500463</v>
      </c>
      <c r="F38" s="47">
        <v>7.568687877004699</v>
      </c>
    </row>
    <row r="39">
      <c r="A39" s="50" t="n">
        <v>1</v>
      </c>
      <c r="B39" s="47">
        <v>0.7660758968735191</v>
      </c>
      <c r="C39" s="47">
        <v>2.4472845491386295</v>
      </c>
      <c r="D39" s="47">
        <v>3.956970508327031</v>
      </c>
      <c r="E39" s="47">
        <v>6.8800561826557765</v>
      </c>
      <c r="F39" s="47">
        <v>9.745820200929723</v>
      </c>
    </row>
    <row r="40">
      <c r="A40" s="50" t="n">
        <v>1.2</v>
      </c>
      <c r="B40" s="47">
        <v>1.3508327487978116</v>
      </c>
      <c r="C40" s="47">
        <v>3.2541085311850813</v>
      </c>
      <c r="D40" s="47">
        <v>5.034509276198163</v>
      </c>
      <c r="E40" s="47">
        <v>8.501746339302995</v>
      </c>
      <c r="F40" s="47">
        <v>11.9154869923099</v>
      </c>
    </row>
    <row r="41">
      <c r="A41" s="50" t="n">
        <v>1.4</v>
      </c>
      <c r="B41" s="47">
        <v>1.9331724811454927</v>
      </c>
      <c r="C41" s="47">
        <v>4.057885590915449</v>
      </c>
      <c r="D41" s="47">
        <v>6.109359716031968</v>
      </c>
      <c r="E41" s="47">
        <v>10.128322780486668</v>
      </c>
      <c r="F41" s="47">
        <v>14.092031747521489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Fate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Lupus / Sjogren's</t>
        </is>
      </c>
      <c r="C4" s="14" t="inlineStr">
        <is>
          <t>FT819</t>
        </is>
      </c>
      <c r="D4" s="14" t="inlineStr">
        <is>
          <t>Phase 2</t>
        </is>
      </c>
      <c r="E4" s="14" t="inlineStr">
        <is>
          <t>Autoimmune / area</t>
        </is>
      </c>
      <c r="F4" s="14" t="inlineStr">
        <is>
          <t>Owned</t>
        </is>
      </c>
      <c r="G4" s="40" t="n">
        <v>1500</v>
      </c>
      <c r="H4" s="27" t="n">
        <v>0.1929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328.71403812758155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28.935</v>
      </c>
      <c r="S4" s="23">
        <f>IF(S$3&lt;$I4,0,$G4*Assumptions!$E$11*INDEX(Assumptions!$B$24:$G$24,MIN(6,S$3-$I4+1))*IF(S$3&gt;$J4,(1-Assumptions!$B$26)^(S$3-$J4),1)*IF($H4&gt;=1,1,MIN(0.97,$H4*Assumptions!$E$12)))</f>
        <v>72.33749999999999</v>
      </c>
      <c r="T4" s="23">
        <f>IF(T$3&lt;$I4,0,$G4*Assumptions!$E$11*INDEX(Assumptions!$B$24:$G$24,MIN(6,T$3-$I4+1))*IF(T$3&gt;$J4,(1-Assumptions!$B$26)^(T$3-$J4),1)*IF($H4&gt;=1,1,MIN(0.97,$H4*Assumptions!$E$12)))</f>
        <v>130.20749999999998</v>
      </c>
      <c r="U4" s="23">
        <f>IF(U$3&lt;$I4,0,$G4*Assumptions!$E$11*INDEX(Assumptions!$B$24:$G$24,MIN(6,U$3-$I4+1))*IF(U$3&gt;$J4,(1-Assumptions!$B$26)^(U$3-$J4),1)*IF($H4&gt;=1,1,MIN(0.97,$H4*Assumptions!$E$12)))</f>
        <v>188.0775</v>
      </c>
      <c r="V4" s="23">
        <f>IF(V$3&lt;$I4,0,$G4*Assumptions!$E$11*INDEX(Assumptions!$B$24:$G$24,MIN(6,V$3-$I4+1))*IF(V$3&gt;$J4,(1-Assumptions!$B$26)^(V$3-$J4),1)*IF($H4&gt;=1,1,MIN(0.97,$H4*Assumptions!$E$12)))</f>
        <v>245.9475</v>
      </c>
      <c r="W4" s="23">
        <f>IF(W$3&lt;$I4,0,$G4*Assumptions!$E$11*INDEX(Assumptions!$B$24:$G$24,MIN(6,W$3-$I4+1))*IF(W$3&gt;$J4,(1-Assumptions!$B$26)^(W$3-$J4),1)*IF($H4&gt;=1,1,MIN(0.97,$H4*Assumptions!$E$12)))</f>
        <v>289.34999999999997</v>
      </c>
      <c r="X4" s="23">
        <f>IF(X$3&lt;$I4,0,$G4*Assumptions!$E$11*INDEX(Assumptions!$B$24:$G$24,MIN(6,X$3-$I4+1))*IF(X$3&gt;$J4,(1-Assumptions!$B$26)^(X$3-$J4),1)*IF($H4&gt;=1,1,MIN(0.97,$H4*Assumptions!$E$12)))</f>
        <v>289.34999999999997</v>
      </c>
      <c r="Y4" s="23">
        <f>IF(Y$3&lt;$I4,0,$G4*Assumptions!$E$11*INDEX(Assumptions!$B$24:$G$24,MIN(6,Y$3-$I4+1))*IF(Y$3&gt;$J4,(1-Assumptions!$B$26)^(Y$3-$J4),1)*IF($H4&gt;=1,1,MIN(0.97,$H4*Assumptions!$E$12)))</f>
        <v>289.34999999999997</v>
      </c>
      <c r="Z4" s="23">
        <f>IF(Z$3&lt;$I4,0,$G4*Assumptions!$E$11*INDEX(Assumptions!$B$24:$G$24,MIN(6,Z$3-$I4+1))*IF(Z$3&gt;$J4,(1-Assumptions!$B$26)^(Z$3-$J4),1)*IF($H4&gt;=1,1,MIN(0.97,$H4*Assumptions!$E$12)))</f>
        <v>289.34999999999997</v>
      </c>
      <c r="AA4" s="23">
        <f>IF(AA$3&lt;$I4,0,$G4*Assumptions!$E$11*INDEX(Assumptions!$B$24:$G$24,MIN(6,AA$3-$I4+1))*IF(AA$3&gt;$J4,(1-Assumptions!$B$26)^(AA$3-$J4),1)*IF($H4&gt;=1,1,MIN(0.97,$H4*Assumptions!$E$12)))</f>
        <v>289.34999999999997</v>
      </c>
      <c r="AB4" s="23">
        <f>IF(AB$3&lt;$I4,0,$G4*Assumptions!$E$11*INDEX(Assumptions!$B$24:$G$24,MIN(6,AB$3-$I4+1))*IF(AB$3&gt;$J4,(1-Assumptions!$B$26)^(AB$3-$J4),1)*IF($H4&gt;=1,1,MIN(0.97,$H4*Assumptions!$E$12)))</f>
        <v>289.34999999999997</v>
      </c>
      <c r="AC4" s="23">
        <f>IF(AC$3&lt;$I4,0,$G4*Assumptions!$E$11*INDEX(Assumptions!$B$24:$G$24,MIN(6,AC$3-$I4+1))*IF(AC$3&gt;$J4,(1-Assumptions!$B$26)^(AC$3-$J4),1)*IF($H4&gt;=1,1,MIN(0.97,$H4*Assumptions!$E$12)))</f>
        <v>289.34999999999997</v>
      </c>
      <c r="AD4" s="23">
        <f>IF(AD$3&lt;$I4,0,$G4*Assumptions!$E$11*INDEX(Assumptions!$B$24:$G$24,MIN(6,AD$3-$I4+1))*IF(AD$3&gt;$J4,(1-Assumptions!$B$26)^(AD$3-$J4),1)*IF($H4&gt;=1,1,MIN(0.97,$H4*Assumptions!$E$12)))</f>
        <v>289.34999999999997</v>
      </c>
      <c r="AE4" s="23">
        <f>IF(AE$3&lt;$I4,0,$G4*Assumptions!$E$11*INDEX(Assumptions!$B$24:$G$24,MIN(6,AE$3-$I4+1))*IF(AE$3&gt;$J4,(1-Assumptions!$B$26)^(AE$3-$J4),1)*IF($H4&gt;=1,1,MIN(0.97,$H4*Assumptions!$E$12)))</f>
        <v>144.67499999999998</v>
      </c>
      <c r="AF4" s="23">
        <f>IF(AF$3&lt;$I4,0,$G4*Assumptions!$E$11*INDEX(Assumptions!$B$24:$G$24,MIN(6,AF$3-$I4+1))*IF(AF$3&gt;$J4,(1-Assumptions!$B$26)^(AF$3-$J4),1)*IF($H4&gt;=1,1,MIN(0.97,$H4*Assumptions!$E$12)))</f>
        <v>72.33749999999999</v>
      </c>
      <c r="AG4" s="35">
        <f>IF(F4="Owned",1-IF(H4&gt;=1,1,MIN(0.97,H4*Assumptions!$E$12)),1)</f>
        <v>0.8071</v>
      </c>
    </row>
    <row r="5">
      <c r="A5" s="39" t="n">
        <v>2</v>
      </c>
      <c r="B5" s="14" t="inlineStr">
        <is>
          <t>Rare autoimmune</t>
        </is>
      </c>
      <c r="C5" s="14" t="inlineStr">
        <is>
          <t>FT819, Fludarabine</t>
        </is>
      </c>
      <c r="D5" s="14" t="inlineStr">
        <is>
          <t>Phase 1/2</t>
        </is>
      </c>
      <c r="E5" s="14" t="inlineStr">
        <is>
          <t>Autoimmune / rare</t>
        </is>
      </c>
      <c r="F5" s="14" t="inlineStr">
        <is>
          <t>Owned</t>
        </is>
      </c>
      <c r="G5" s="40" t="n">
        <v>800</v>
      </c>
      <c r="H5" s="27" t="n">
        <v>0.207</v>
      </c>
      <c r="I5" s="26" t="n">
        <v>2032</v>
      </c>
      <c r="J5" s="39">
        <f>I5+Assumptions!$B$25</f>
        <v>2044.0</v>
      </c>
      <c r="K5" s="53">
        <f>Assumptions!$E$13</f>
        <v>0.4</v>
      </c>
      <c r="L5" s="23">
        <f>K5*SUMPRODUCT(M5:AF5,NPV!$C$15:$V$15)</f>
        <v>166.25614599408743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16.56</v>
      </c>
      <c r="T5" s="23">
        <f>IF(T$3&lt;$I5,0,$G5*Assumptions!$E$11*INDEX(Assumptions!$B$24:$G$24,MIN(6,T$3-$I5+1))*IF(T$3&gt;$J5,(1-Assumptions!$B$26)^(T$3-$J5),1)*IF($H5&gt;=1,1,MIN(0.97,$H5*Assumptions!$E$12)))</f>
        <v>41.4</v>
      </c>
      <c r="U5" s="23">
        <f>IF(U$3&lt;$I5,0,$G5*Assumptions!$E$11*INDEX(Assumptions!$B$24:$G$24,MIN(6,U$3-$I5+1))*IF(U$3&gt;$J5,(1-Assumptions!$B$26)^(U$3-$J5),1)*IF($H5&gt;=1,1,MIN(0.97,$H5*Assumptions!$E$12)))</f>
        <v>74.52</v>
      </c>
      <c r="V5" s="23">
        <f>IF(V$3&lt;$I5,0,$G5*Assumptions!$E$11*INDEX(Assumptions!$B$24:$G$24,MIN(6,V$3-$I5+1))*IF(V$3&gt;$J5,(1-Assumptions!$B$26)^(V$3-$J5),1)*IF($H5&gt;=1,1,MIN(0.97,$H5*Assumptions!$E$12)))</f>
        <v>107.64</v>
      </c>
      <c r="W5" s="23">
        <f>IF(W$3&lt;$I5,0,$G5*Assumptions!$E$11*INDEX(Assumptions!$B$24:$G$24,MIN(6,W$3-$I5+1))*IF(W$3&gt;$J5,(1-Assumptions!$B$26)^(W$3-$J5),1)*IF($H5&gt;=1,1,MIN(0.97,$H5*Assumptions!$E$12)))</f>
        <v>140.76</v>
      </c>
      <c r="X5" s="23">
        <f>IF(X$3&lt;$I5,0,$G5*Assumptions!$E$11*INDEX(Assumptions!$B$24:$G$24,MIN(6,X$3-$I5+1))*IF(X$3&gt;$J5,(1-Assumptions!$B$26)^(X$3-$J5),1)*IF($H5&gt;=1,1,MIN(0.97,$H5*Assumptions!$E$12)))</f>
        <v>165.6</v>
      </c>
      <c r="Y5" s="23">
        <f>IF(Y$3&lt;$I5,0,$G5*Assumptions!$E$11*INDEX(Assumptions!$B$24:$G$24,MIN(6,Y$3-$I5+1))*IF(Y$3&gt;$J5,(1-Assumptions!$B$26)^(Y$3-$J5),1)*IF($H5&gt;=1,1,MIN(0.97,$H5*Assumptions!$E$12)))</f>
        <v>165.6</v>
      </c>
      <c r="Z5" s="23">
        <f>IF(Z$3&lt;$I5,0,$G5*Assumptions!$E$11*INDEX(Assumptions!$B$24:$G$24,MIN(6,Z$3-$I5+1))*IF(Z$3&gt;$J5,(1-Assumptions!$B$26)^(Z$3-$J5),1)*IF($H5&gt;=1,1,MIN(0.97,$H5*Assumptions!$E$12)))</f>
        <v>165.6</v>
      </c>
      <c r="AA5" s="23">
        <f>IF(AA$3&lt;$I5,0,$G5*Assumptions!$E$11*INDEX(Assumptions!$B$24:$G$24,MIN(6,AA$3-$I5+1))*IF(AA$3&gt;$J5,(1-Assumptions!$B$26)^(AA$3-$J5),1)*IF($H5&gt;=1,1,MIN(0.97,$H5*Assumptions!$E$12)))</f>
        <v>165.6</v>
      </c>
      <c r="AB5" s="23">
        <f>IF(AB$3&lt;$I5,0,$G5*Assumptions!$E$11*INDEX(Assumptions!$B$24:$G$24,MIN(6,AB$3-$I5+1))*IF(AB$3&gt;$J5,(1-Assumptions!$B$26)^(AB$3-$J5),1)*IF($H5&gt;=1,1,MIN(0.97,$H5*Assumptions!$E$12)))</f>
        <v>165.6</v>
      </c>
      <c r="AC5" s="23">
        <f>IF(AC$3&lt;$I5,0,$G5*Assumptions!$E$11*INDEX(Assumptions!$B$24:$G$24,MIN(6,AC$3-$I5+1))*IF(AC$3&gt;$J5,(1-Assumptions!$B$26)^(AC$3-$J5),1)*IF($H5&gt;=1,1,MIN(0.97,$H5*Assumptions!$E$12)))</f>
        <v>165.6</v>
      </c>
      <c r="AD5" s="23">
        <f>IF(AD$3&lt;$I5,0,$G5*Assumptions!$E$11*INDEX(Assumptions!$B$24:$G$24,MIN(6,AD$3-$I5+1))*IF(AD$3&gt;$J5,(1-Assumptions!$B$26)^(AD$3-$J5),1)*IF($H5&gt;=1,1,MIN(0.97,$H5*Assumptions!$E$12)))</f>
        <v>165.6</v>
      </c>
      <c r="AE5" s="23">
        <f>IF(AE$3&lt;$I5,0,$G5*Assumptions!$E$11*INDEX(Assumptions!$B$24:$G$24,MIN(6,AE$3-$I5+1))*IF(AE$3&gt;$J5,(1-Assumptions!$B$26)^(AE$3-$J5),1)*IF($H5&gt;=1,1,MIN(0.97,$H5*Assumptions!$E$12)))</f>
        <v>165.6</v>
      </c>
      <c r="AF5" s="23">
        <f>IF(AF$3&lt;$I5,0,$G5*Assumptions!$E$11*INDEX(Assumptions!$B$24:$G$24,MIN(6,AF$3-$I5+1))*IF(AF$3&gt;$J5,(1-Assumptions!$B$26)^(AF$3-$J5),1)*IF($H5&gt;=1,1,MIN(0.97,$H5*Assumptions!$E$12)))</f>
        <v>82.8</v>
      </c>
      <c r="AG5" s="35">
        <f>IF(F5="Owned",1-IF(H5&gt;=1,1,MIN(0.97,H5*Assumptions!$E$12)),1)</f>
        <v>0.793</v>
      </c>
    </row>
    <row r="6">
      <c r="A6" s="39" t="n">
        <v>3</v>
      </c>
      <c r="B6" s="14" t="inlineStr">
        <is>
          <t>Lung cancer</t>
        </is>
      </c>
      <c r="C6" s="14" t="inlineStr">
        <is>
          <t>FT836</t>
        </is>
      </c>
      <c r="D6" s="14" t="inlineStr">
        <is>
          <t>Phase 1</t>
        </is>
      </c>
      <c r="E6" s="14" t="inlineStr">
        <is>
          <t>Oncology / area</t>
        </is>
      </c>
      <c r="F6" s="14" t="inlineStr">
        <is>
          <t>Owned</t>
        </is>
      </c>
      <c r="G6" s="40" t="n">
        <v>3000</v>
      </c>
      <c r="H6" s="27" t="n">
        <v>0.0527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138.44360572734703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15.809999999999999</v>
      </c>
      <c r="U6" s="23">
        <f>IF(U$3&lt;$I6,0,$G6*Assumptions!$E$11*INDEX(Assumptions!$B$24:$G$24,MIN(6,U$3-$I6+1))*IF(U$3&gt;$J6,(1-Assumptions!$B$26)^(U$3-$J6),1)*IF($H6&gt;=1,1,MIN(0.97,$H6*Assumptions!$E$12)))</f>
        <v>39.525</v>
      </c>
      <c r="V6" s="23">
        <f>IF(V$3&lt;$I6,0,$G6*Assumptions!$E$11*INDEX(Assumptions!$B$24:$G$24,MIN(6,V$3-$I6+1))*IF(V$3&gt;$J6,(1-Assumptions!$B$26)^(V$3-$J6),1)*IF($H6&gt;=1,1,MIN(0.97,$H6*Assumptions!$E$12)))</f>
        <v>71.145</v>
      </c>
      <c r="W6" s="23">
        <f>IF(W$3&lt;$I6,0,$G6*Assumptions!$E$11*INDEX(Assumptions!$B$24:$G$24,MIN(6,W$3-$I6+1))*IF(W$3&gt;$J6,(1-Assumptions!$B$26)^(W$3-$J6),1)*IF($H6&gt;=1,1,MIN(0.97,$H6*Assumptions!$E$12)))</f>
        <v>102.765</v>
      </c>
      <c r="X6" s="23">
        <f>IF(X$3&lt;$I6,0,$G6*Assumptions!$E$11*INDEX(Assumptions!$B$24:$G$24,MIN(6,X$3-$I6+1))*IF(X$3&gt;$J6,(1-Assumptions!$B$26)^(X$3-$J6),1)*IF($H6&gt;=1,1,MIN(0.97,$H6*Assumptions!$E$12)))</f>
        <v>134.385</v>
      </c>
      <c r="Y6" s="23">
        <f>IF(Y$3&lt;$I6,0,$G6*Assumptions!$E$11*INDEX(Assumptions!$B$24:$G$24,MIN(6,Y$3-$I6+1))*IF(Y$3&gt;$J6,(1-Assumptions!$B$26)^(Y$3-$J6),1)*IF($H6&gt;=1,1,MIN(0.97,$H6*Assumptions!$E$12)))</f>
        <v>158.1</v>
      </c>
      <c r="Z6" s="23">
        <f>IF(Z$3&lt;$I6,0,$G6*Assumptions!$E$11*INDEX(Assumptions!$B$24:$G$24,MIN(6,Z$3-$I6+1))*IF(Z$3&gt;$J6,(1-Assumptions!$B$26)^(Z$3-$J6),1)*IF($H6&gt;=1,1,MIN(0.97,$H6*Assumptions!$E$12)))</f>
        <v>158.1</v>
      </c>
      <c r="AA6" s="23">
        <f>IF(AA$3&lt;$I6,0,$G6*Assumptions!$E$11*INDEX(Assumptions!$B$24:$G$24,MIN(6,AA$3-$I6+1))*IF(AA$3&gt;$J6,(1-Assumptions!$B$26)^(AA$3-$J6),1)*IF($H6&gt;=1,1,MIN(0.97,$H6*Assumptions!$E$12)))</f>
        <v>158.1</v>
      </c>
      <c r="AB6" s="23">
        <f>IF(AB$3&lt;$I6,0,$G6*Assumptions!$E$11*INDEX(Assumptions!$B$24:$G$24,MIN(6,AB$3-$I6+1))*IF(AB$3&gt;$J6,(1-Assumptions!$B$26)^(AB$3-$J6),1)*IF($H6&gt;=1,1,MIN(0.97,$H6*Assumptions!$E$12)))</f>
        <v>158.1</v>
      </c>
      <c r="AC6" s="23">
        <f>IF(AC$3&lt;$I6,0,$G6*Assumptions!$E$11*INDEX(Assumptions!$B$24:$G$24,MIN(6,AC$3-$I6+1))*IF(AC$3&gt;$J6,(1-Assumptions!$B$26)^(AC$3-$J6),1)*IF($H6&gt;=1,1,MIN(0.97,$H6*Assumptions!$E$12)))</f>
        <v>158.1</v>
      </c>
      <c r="AD6" s="23">
        <f>IF(AD$3&lt;$I6,0,$G6*Assumptions!$E$11*INDEX(Assumptions!$B$24:$G$24,MIN(6,AD$3-$I6+1))*IF(AD$3&gt;$J6,(1-Assumptions!$B$26)^(AD$3-$J6),1)*IF($H6&gt;=1,1,MIN(0.97,$H6*Assumptions!$E$12)))</f>
        <v>158.1</v>
      </c>
      <c r="AE6" s="23">
        <f>IF(AE$3&lt;$I6,0,$G6*Assumptions!$E$11*INDEX(Assumptions!$B$24:$G$24,MIN(6,AE$3-$I6+1))*IF(AE$3&gt;$J6,(1-Assumptions!$B$26)^(AE$3-$J6),1)*IF($H6&gt;=1,1,MIN(0.97,$H6*Assumptions!$E$12)))</f>
        <v>158.1</v>
      </c>
      <c r="AF6" s="23">
        <f>IF(AF$3&lt;$I6,0,$G6*Assumptions!$E$11*INDEX(Assumptions!$B$24:$G$24,MIN(6,AF$3-$I6+1))*IF(AF$3&gt;$J6,(1-Assumptions!$B$26)^(AF$3-$J6),1)*IF($H6&gt;=1,1,MIN(0.97,$H6*Assumptions!$E$12)))</f>
        <v>158.1</v>
      </c>
      <c r="AG6" s="35">
        <f>IF(F6="Owned",1-IF(H6&gt;=1,1,MIN(0.97,H6*Assumptions!$E$12)),1)</f>
        <v>0.9473</v>
      </c>
    </row>
    <row r="7">
      <c r="A7" s="39" t="n">
        <v>4</v>
      </c>
      <c r="B7" s="14" t="inlineStr">
        <is>
          <t>Leukemia</t>
        </is>
      </c>
      <c r="C7" s="14" t="inlineStr">
        <is>
          <t>FT819, Cyclophosphamide</t>
        </is>
      </c>
      <c r="D7" s="14" t="inlineStr">
        <is>
          <t>Phase 1</t>
        </is>
      </c>
      <c r="E7" s="14" t="inlineStr">
        <is>
          <t>Oncology / area</t>
        </is>
      </c>
      <c r="F7" s="14" t="inlineStr">
        <is>
          <t>Owned</t>
        </is>
      </c>
      <c r="G7" s="40" t="n">
        <v>1500</v>
      </c>
      <c r="H7" s="27" t="n">
        <v>0.0527</v>
      </c>
      <c r="I7" s="26" t="n">
        <v>2033</v>
      </c>
      <c r="J7" s="39">
        <f>I7+Assumptions!$B$25</f>
        <v>2045.0</v>
      </c>
      <c r="K7" s="53">
        <f>Assumptions!$E$13</f>
        <v>0.4</v>
      </c>
      <c r="L7" s="23">
        <f>K7*SUMPRODUCT(M7:AF7,NPV!$C$15:$V$15)</f>
        <v>69.22180286367352</v>
      </c>
      <c r="M7" s="23">
        <f>IF(M$3&lt;$I7,0,$G7*Assumptions!$E$11*INDEX(Assumptions!$B$24:$G$24,MIN(6,M$3-$I7+1))*IF(M$3&gt;$J7,(1-Assumptions!$B$26)^(M$3-$J7),1)*IF($H7&gt;=1,1,MIN(0.97,$H7*Assumptions!$E$12)))</f>
        <v>0</v>
      </c>
      <c r="N7" s="23">
        <f>IF(N$3&lt;$I7,0,$G7*Assumptions!$E$11*INDEX(Assumptions!$B$24:$G$24,MIN(6,N$3-$I7+1))*IF(N$3&gt;$J7,(1-Assumptions!$B$26)^(N$3-$J7),1)*IF($H7&gt;=1,1,MIN(0.97,$H7*Assumptions!$E$12)))</f>
        <v>0</v>
      </c>
      <c r="O7" s="23">
        <f>IF(O$3&lt;$I7,0,$G7*Assumptions!$E$11*INDEX(Assumptions!$B$24:$G$24,MIN(6,O$3-$I7+1))*IF(O$3&gt;$J7,(1-Assumptions!$B$26)^(O$3-$J7),1)*IF($H7&gt;=1,1,MIN(0.97,$H7*Assumptions!$E$12)))</f>
        <v>0</v>
      </c>
      <c r="P7" s="23">
        <f>IF(P$3&lt;$I7,0,$G7*Assumptions!$E$11*INDEX(Assumptions!$B$24:$G$24,MIN(6,P$3-$I7+1))*IF(P$3&gt;$J7,(1-Assumptions!$B$26)^(P$3-$J7),1)*IF($H7&gt;=1,1,MIN(0.97,$H7*Assumptions!$E$12)))</f>
        <v>0</v>
      </c>
      <c r="Q7" s="23">
        <f>IF(Q$3&lt;$I7,0,$G7*Assumptions!$E$11*INDEX(Assumptions!$B$24:$G$24,MIN(6,Q$3-$I7+1))*IF(Q$3&gt;$J7,(1-Assumptions!$B$26)^(Q$3-$J7),1)*IF($H7&gt;=1,1,MIN(0.97,$H7*Assumptions!$E$12)))</f>
        <v>0</v>
      </c>
      <c r="R7" s="23">
        <f>IF(R$3&lt;$I7,0,$G7*Assumptions!$E$11*INDEX(Assumptions!$B$24:$G$24,MIN(6,R$3-$I7+1))*IF(R$3&gt;$J7,(1-Assumptions!$B$26)^(R$3-$J7),1)*IF($H7&gt;=1,1,MIN(0.97,$H7*Assumptions!$E$12)))</f>
        <v>0</v>
      </c>
      <c r="S7" s="23">
        <f>IF(S$3&lt;$I7,0,$G7*Assumptions!$E$11*INDEX(Assumptions!$B$24:$G$24,MIN(6,S$3-$I7+1))*IF(S$3&gt;$J7,(1-Assumptions!$B$26)^(S$3-$J7),1)*IF($H7&gt;=1,1,MIN(0.97,$H7*Assumptions!$E$12)))</f>
        <v>0</v>
      </c>
      <c r="T7" s="23">
        <f>IF(T$3&lt;$I7,0,$G7*Assumptions!$E$11*INDEX(Assumptions!$B$24:$G$24,MIN(6,T$3-$I7+1))*IF(T$3&gt;$J7,(1-Assumptions!$B$26)^(T$3-$J7),1)*IF($H7&gt;=1,1,MIN(0.97,$H7*Assumptions!$E$12)))</f>
        <v>7.904999999999999</v>
      </c>
      <c r="U7" s="23">
        <f>IF(U$3&lt;$I7,0,$G7*Assumptions!$E$11*INDEX(Assumptions!$B$24:$G$24,MIN(6,U$3-$I7+1))*IF(U$3&gt;$J7,(1-Assumptions!$B$26)^(U$3-$J7),1)*IF($H7&gt;=1,1,MIN(0.97,$H7*Assumptions!$E$12)))</f>
        <v>19.7625</v>
      </c>
      <c r="V7" s="23">
        <f>IF(V$3&lt;$I7,0,$G7*Assumptions!$E$11*INDEX(Assumptions!$B$24:$G$24,MIN(6,V$3-$I7+1))*IF(V$3&gt;$J7,(1-Assumptions!$B$26)^(V$3-$J7),1)*IF($H7&gt;=1,1,MIN(0.97,$H7*Assumptions!$E$12)))</f>
        <v>35.5725</v>
      </c>
      <c r="W7" s="23">
        <f>IF(W$3&lt;$I7,0,$G7*Assumptions!$E$11*INDEX(Assumptions!$B$24:$G$24,MIN(6,W$3-$I7+1))*IF(W$3&gt;$J7,(1-Assumptions!$B$26)^(W$3-$J7),1)*IF($H7&gt;=1,1,MIN(0.97,$H7*Assumptions!$E$12)))</f>
        <v>51.3825</v>
      </c>
      <c r="X7" s="23">
        <f>IF(X$3&lt;$I7,0,$G7*Assumptions!$E$11*INDEX(Assumptions!$B$24:$G$24,MIN(6,X$3-$I7+1))*IF(X$3&gt;$J7,(1-Assumptions!$B$26)^(X$3-$J7),1)*IF($H7&gt;=1,1,MIN(0.97,$H7*Assumptions!$E$12)))</f>
        <v>67.1925</v>
      </c>
      <c r="Y7" s="23">
        <f>IF(Y$3&lt;$I7,0,$G7*Assumptions!$E$11*INDEX(Assumptions!$B$24:$G$24,MIN(6,Y$3-$I7+1))*IF(Y$3&gt;$J7,(1-Assumptions!$B$26)^(Y$3-$J7),1)*IF($H7&gt;=1,1,MIN(0.97,$H7*Assumptions!$E$12)))</f>
        <v>79.05</v>
      </c>
      <c r="Z7" s="23">
        <f>IF(Z$3&lt;$I7,0,$G7*Assumptions!$E$11*INDEX(Assumptions!$B$24:$G$24,MIN(6,Z$3-$I7+1))*IF(Z$3&gt;$J7,(1-Assumptions!$B$26)^(Z$3-$J7),1)*IF($H7&gt;=1,1,MIN(0.97,$H7*Assumptions!$E$12)))</f>
        <v>79.05</v>
      </c>
      <c r="AA7" s="23">
        <f>IF(AA$3&lt;$I7,0,$G7*Assumptions!$E$11*INDEX(Assumptions!$B$24:$G$24,MIN(6,AA$3-$I7+1))*IF(AA$3&gt;$J7,(1-Assumptions!$B$26)^(AA$3-$J7),1)*IF($H7&gt;=1,1,MIN(0.97,$H7*Assumptions!$E$12)))</f>
        <v>79.05</v>
      </c>
      <c r="AB7" s="23">
        <f>IF(AB$3&lt;$I7,0,$G7*Assumptions!$E$11*INDEX(Assumptions!$B$24:$G$24,MIN(6,AB$3-$I7+1))*IF(AB$3&gt;$J7,(1-Assumptions!$B$26)^(AB$3-$J7),1)*IF($H7&gt;=1,1,MIN(0.97,$H7*Assumptions!$E$12)))</f>
        <v>79.05</v>
      </c>
      <c r="AC7" s="23">
        <f>IF(AC$3&lt;$I7,0,$G7*Assumptions!$E$11*INDEX(Assumptions!$B$24:$G$24,MIN(6,AC$3-$I7+1))*IF(AC$3&gt;$J7,(1-Assumptions!$B$26)^(AC$3-$J7),1)*IF($H7&gt;=1,1,MIN(0.97,$H7*Assumptions!$E$12)))</f>
        <v>79.05</v>
      </c>
      <c r="AD7" s="23">
        <f>IF(AD$3&lt;$I7,0,$G7*Assumptions!$E$11*INDEX(Assumptions!$B$24:$G$24,MIN(6,AD$3-$I7+1))*IF(AD$3&gt;$J7,(1-Assumptions!$B$26)^(AD$3-$J7),1)*IF($H7&gt;=1,1,MIN(0.97,$H7*Assumptions!$E$12)))</f>
        <v>79.05</v>
      </c>
      <c r="AE7" s="23">
        <f>IF(AE$3&lt;$I7,0,$G7*Assumptions!$E$11*INDEX(Assumptions!$B$24:$G$24,MIN(6,AE$3-$I7+1))*IF(AE$3&gt;$J7,(1-Assumptions!$B$26)^(AE$3-$J7),1)*IF($H7&gt;=1,1,MIN(0.97,$H7*Assumptions!$E$12)))</f>
        <v>79.05</v>
      </c>
      <c r="AF7" s="23">
        <f>IF(AF$3&lt;$I7,0,$G7*Assumptions!$E$11*INDEX(Assumptions!$B$24:$G$24,MIN(6,AF$3-$I7+1))*IF(AF$3&gt;$J7,(1-Assumptions!$B$26)^(AF$3-$J7),1)*IF($H7&gt;=1,1,MIN(0.97,$H7*Assumptions!$E$12)))</f>
        <v>79.05</v>
      </c>
      <c r="AG7" s="35">
        <f>IF(F7="Owned",1-IF(H7&gt;=1,1,MIN(0.97,H7*Assumptions!$E$12)),1)</f>
        <v>0.9473</v>
      </c>
    </row>
    <row r="8">
      <c r="A8" s="39" t="n">
        <v>5</v>
      </c>
      <c r="B8" s="14" t="inlineStr">
        <is>
          <t>Lymphoma</t>
        </is>
      </c>
      <c r="C8" s="14" t="inlineStr">
        <is>
          <t>FT522, Cyclophosphamide</t>
        </is>
      </c>
      <c r="D8" s="14" t="inlineStr">
        <is>
          <t>Phase 1</t>
        </is>
      </c>
      <c r="E8" s="14" t="inlineStr">
        <is>
          <t>Oncology / area</t>
        </is>
      </c>
      <c r="F8" s="14" t="inlineStr">
        <is>
          <t>Owned</t>
        </is>
      </c>
      <c r="G8" s="40" t="n">
        <v>1500</v>
      </c>
      <c r="H8" s="27" t="n">
        <v>0.0527</v>
      </c>
      <c r="I8" s="26" t="n">
        <v>2033</v>
      </c>
      <c r="J8" s="39">
        <f>I8+Assumptions!$B$25</f>
        <v>2045.0</v>
      </c>
      <c r="K8" s="53">
        <f>Assumptions!$E$13</f>
        <v>0.4</v>
      </c>
      <c r="L8" s="23">
        <f>K8*SUMPRODUCT(M8:AF8,NPV!$C$15:$V$15)</f>
        <v>69.22180286367352</v>
      </c>
      <c r="M8" s="23">
        <f>IF(M$3&lt;$I8,0,$G8*Assumptions!$E$11*INDEX(Assumptions!$B$24:$G$24,MIN(6,M$3-$I8+1))*IF(M$3&gt;$J8,(1-Assumptions!$B$26)^(M$3-$J8),1)*IF($H8&gt;=1,1,MIN(0.97,$H8*Assumptions!$E$12)))</f>
        <v>0</v>
      </c>
      <c r="N8" s="23">
        <f>IF(N$3&lt;$I8,0,$G8*Assumptions!$E$11*INDEX(Assumptions!$B$24:$G$24,MIN(6,N$3-$I8+1))*IF(N$3&gt;$J8,(1-Assumptions!$B$26)^(N$3-$J8),1)*IF($H8&gt;=1,1,MIN(0.97,$H8*Assumptions!$E$12)))</f>
        <v>0</v>
      </c>
      <c r="O8" s="23">
        <f>IF(O$3&lt;$I8,0,$G8*Assumptions!$E$11*INDEX(Assumptions!$B$24:$G$24,MIN(6,O$3-$I8+1))*IF(O$3&gt;$J8,(1-Assumptions!$B$26)^(O$3-$J8),1)*IF($H8&gt;=1,1,MIN(0.97,$H8*Assumptions!$E$12)))</f>
        <v>0</v>
      </c>
      <c r="P8" s="23">
        <f>IF(P$3&lt;$I8,0,$G8*Assumptions!$E$11*INDEX(Assumptions!$B$24:$G$24,MIN(6,P$3-$I8+1))*IF(P$3&gt;$J8,(1-Assumptions!$B$26)^(P$3-$J8),1)*IF($H8&gt;=1,1,MIN(0.97,$H8*Assumptions!$E$12)))</f>
        <v>0</v>
      </c>
      <c r="Q8" s="23">
        <f>IF(Q$3&lt;$I8,0,$G8*Assumptions!$E$11*INDEX(Assumptions!$B$24:$G$24,MIN(6,Q$3-$I8+1))*IF(Q$3&gt;$J8,(1-Assumptions!$B$26)^(Q$3-$J8),1)*IF($H8&gt;=1,1,MIN(0.97,$H8*Assumptions!$E$12)))</f>
        <v>0</v>
      </c>
      <c r="R8" s="23">
        <f>IF(R$3&lt;$I8,0,$G8*Assumptions!$E$11*INDEX(Assumptions!$B$24:$G$24,MIN(6,R$3-$I8+1))*IF(R$3&gt;$J8,(1-Assumptions!$B$26)^(R$3-$J8),1)*IF($H8&gt;=1,1,MIN(0.97,$H8*Assumptions!$E$12)))</f>
        <v>0</v>
      </c>
      <c r="S8" s="23">
        <f>IF(S$3&lt;$I8,0,$G8*Assumptions!$E$11*INDEX(Assumptions!$B$24:$G$24,MIN(6,S$3-$I8+1))*IF(S$3&gt;$J8,(1-Assumptions!$B$26)^(S$3-$J8),1)*IF($H8&gt;=1,1,MIN(0.97,$H8*Assumptions!$E$12)))</f>
        <v>0</v>
      </c>
      <c r="T8" s="23">
        <f>IF(T$3&lt;$I8,0,$G8*Assumptions!$E$11*INDEX(Assumptions!$B$24:$G$24,MIN(6,T$3-$I8+1))*IF(T$3&gt;$J8,(1-Assumptions!$B$26)^(T$3-$J8),1)*IF($H8&gt;=1,1,MIN(0.97,$H8*Assumptions!$E$12)))</f>
        <v>7.904999999999999</v>
      </c>
      <c r="U8" s="23">
        <f>IF(U$3&lt;$I8,0,$G8*Assumptions!$E$11*INDEX(Assumptions!$B$24:$G$24,MIN(6,U$3-$I8+1))*IF(U$3&gt;$J8,(1-Assumptions!$B$26)^(U$3-$J8),1)*IF($H8&gt;=1,1,MIN(0.97,$H8*Assumptions!$E$12)))</f>
        <v>19.7625</v>
      </c>
      <c r="V8" s="23">
        <f>IF(V$3&lt;$I8,0,$G8*Assumptions!$E$11*INDEX(Assumptions!$B$24:$G$24,MIN(6,V$3-$I8+1))*IF(V$3&gt;$J8,(1-Assumptions!$B$26)^(V$3-$J8),1)*IF($H8&gt;=1,1,MIN(0.97,$H8*Assumptions!$E$12)))</f>
        <v>35.5725</v>
      </c>
      <c r="W8" s="23">
        <f>IF(W$3&lt;$I8,0,$G8*Assumptions!$E$11*INDEX(Assumptions!$B$24:$G$24,MIN(6,W$3-$I8+1))*IF(W$3&gt;$J8,(1-Assumptions!$B$26)^(W$3-$J8),1)*IF($H8&gt;=1,1,MIN(0.97,$H8*Assumptions!$E$12)))</f>
        <v>51.3825</v>
      </c>
      <c r="X8" s="23">
        <f>IF(X$3&lt;$I8,0,$G8*Assumptions!$E$11*INDEX(Assumptions!$B$24:$G$24,MIN(6,X$3-$I8+1))*IF(X$3&gt;$J8,(1-Assumptions!$B$26)^(X$3-$J8),1)*IF($H8&gt;=1,1,MIN(0.97,$H8*Assumptions!$E$12)))</f>
        <v>67.1925</v>
      </c>
      <c r="Y8" s="23">
        <f>IF(Y$3&lt;$I8,0,$G8*Assumptions!$E$11*INDEX(Assumptions!$B$24:$G$24,MIN(6,Y$3-$I8+1))*IF(Y$3&gt;$J8,(1-Assumptions!$B$26)^(Y$3-$J8),1)*IF($H8&gt;=1,1,MIN(0.97,$H8*Assumptions!$E$12)))</f>
        <v>79.05</v>
      </c>
      <c r="Z8" s="23">
        <f>IF(Z$3&lt;$I8,0,$G8*Assumptions!$E$11*INDEX(Assumptions!$B$24:$G$24,MIN(6,Z$3-$I8+1))*IF(Z$3&gt;$J8,(1-Assumptions!$B$26)^(Z$3-$J8),1)*IF($H8&gt;=1,1,MIN(0.97,$H8*Assumptions!$E$12)))</f>
        <v>79.05</v>
      </c>
      <c r="AA8" s="23">
        <f>IF(AA$3&lt;$I8,0,$G8*Assumptions!$E$11*INDEX(Assumptions!$B$24:$G$24,MIN(6,AA$3-$I8+1))*IF(AA$3&gt;$J8,(1-Assumptions!$B$26)^(AA$3-$J8),1)*IF($H8&gt;=1,1,MIN(0.97,$H8*Assumptions!$E$12)))</f>
        <v>79.05</v>
      </c>
      <c r="AB8" s="23">
        <f>IF(AB$3&lt;$I8,0,$G8*Assumptions!$E$11*INDEX(Assumptions!$B$24:$G$24,MIN(6,AB$3-$I8+1))*IF(AB$3&gt;$J8,(1-Assumptions!$B$26)^(AB$3-$J8),1)*IF($H8&gt;=1,1,MIN(0.97,$H8*Assumptions!$E$12)))</f>
        <v>79.05</v>
      </c>
      <c r="AC8" s="23">
        <f>IF(AC$3&lt;$I8,0,$G8*Assumptions!$E$11*INDEX(Assumptions!$B$24:$G$24,MIN(6,AC$3-$I8+1))*IF(AC$3&gt;$J8,(1-Assumptions!$B$26)^(AC$3-$J8),1)*IF($H8&gt;=1,1,MIN(0.97,$H8*Assumptions!$E$12)))</f>
        <v>79.05</v>
      </c>
      <c r="AD8" s="23">
        <f>IF(AD$3&lt;$I8,0,$G8*Assumptions!$E$11*INDEX(Assumptions!$B$24:$G$24,MIN(6,AD$3-$I8+1))*IF(AD$3&gt;$J8,(1-Assumptions!$B$26)^(AD$3-$J8),1)*IF($H8&gt;=1,1,MIN(0.97,$H8*Assumptions!$E$12)))</f>
        <v>79.05</v>
      </c>
      <c r="AE8" s="23">
        <f>IF(AE$3&lt;$I8,0,$G8*Assumptions!$E$11*INDEX(Assumptions!$B$24:$G$24,MIN(6,AE$3-$I8+1))*IF(AE$3&gt;$J8,(1-Assumptions!$B$26)^(AE$3-$J8),1)*IF($H8&gt;=1,1,MIN(0.97,$H8*Assumptions!$E$12)))</f>
        <v>79.05</v>
      </c>
      <c r="AF8" s="23">
        <f>IF(AF$3&lt;$I8,0,$G8*Assumptions!$E$11*INDEX(Assumptions!$B$24:$G$24,MIN(6,AF$3-$I8+1))*IF(AF$3&gt;$J8,(1-Assumptions!$B$26)^(AF$3-$J8),1)*IF($H8&gt;=1,1,MIN(0.97,$H8*Assumptions!$E$12)))</f>
        <v>79.05</v>
      </c>
      <c r="AG8" s="35">
        <f>IF(F8="Owned",1-IF(H8&gt;=1,1,MIN(0.97,H8*Assumptions!$E$12)),1)</f>
        <v>0.9473</v>
      </c>
    </row>
    <row r="9">
      <c r="A9" s="39" t="n">
        <v>6</v>
      </c>
      <c r="B9" s="14" t="inlineStr">
        <is>
          <t>Solid tumors (basket)</t>
        </is>
      </c>
      <c r="C9" s="14" t="inlineStr">
        <is>
          <t>FT500, Cyclophosphamide</t>
        </is>
      </c>
      <c r="D9" s="14" t="inlineStr">
        <is>
          <t>Phase 1</t>
        </is>
      </c>
      <c r="E9" s="14" t="inlineStr">
        <is>
          <t>Oncology / area</t>
        </is>
      </c>
      <c r="F9" s="14" t="inlineStr">
        <is>
          <t>Owned</t>
        </is>
      </c>
      <c r="G9" s="40" t="n">
        <v>1500</v>
      </c>
      <c r="H9" s="27" t="n">
        <v>0.0527</v>
      </c>
      <c r="I9" s="26" t="n">
        <v>2033</v>
      </c>
      <c r="J9" s="39">
        <f>I9+Assumptions!$B$25</f>
        <v>2045.0</v>
      </c>
      <c r="K9" s="53">
        <f>Assumptions!$E$13</f>
        <v>0.4</v>
      </c>
      <c r="L9" s="23">
        <f>K9*SUMPRODUCT(M9:AF9,NPV!$C$15:$V$15)</f>
        <v>69.22180286367352</v>
      </c>
      <c r="M9" s="23">
        <f>IF(M$3&lt;$I9,0,$G9*Assumptions!$E$11*INDEX(Assumptions!$B$24:$G$24,MIN(6,M$3-$I9+1))*IF(M$3&gt;$J9,(1-Assumptions!$B$26)^(M$3-$J9),1)*IF($H9&gt;=1,1,MIN(0.97,$H9*Assumptions!$E$12)))</f>
        <v>0</v>
      </c>
      <c r="N9" s="23">
        <f>IF(N$3&lt;$I9,0,$G9*Assumptions!$E$11*INDEX(Assumptions!$B$24:$G$24,MIN(6,N$3-$I9+1))*IF(N$3&gt;$J9,(1-Assumptions!$B$26)^(N$3-$J9),1)*IF($H9&gt;=1,1,MIN(0.97,$H9*Assumptions!$E$12)))</f>
        <v>0</v>
      </c>
      <c r="O9" s="23">
        <f>IF(O$3&lt;$I9,0,$G9*Assumptions!$E$11*INDEX(Assumptions!$B$24:$G$24,MIN(6,O$3-$I9+1))*IF(O$3&gt;$J9,(1-Assumptions!$B$26)^(O$3-$J9),1)*IF($H9&gt;=1,1,MIN(0.97,$H9*Assumptions!$E$12)))</f>
        <v>0</v>
      </c>
      <c r="P9" s="23">
        <f>IF(P$3&lt;$I9,0,$G9*Assumptions!$E$11*INDEX(Assumptions!$B$24:$G$24,MIN(6,P$3-$I9+1))*IF(P$3&gt;$J9,(1-Assumptions!$B$26)^(P$3-$J9),1)*IF($H9&gt;=1,1,MIN(0.97,$H9*Assumptions!$E$12)))</f>
        <v>0</v>
      </c>
      <c r="Q9" s="23">
        <f>IF(Q$3&lt;$I9,0,$G9*Assumptions!$E$11*INDEX(Assumptions!$B$24:$G$24,MIN(6,Q$3-$I9+1))*IF(Q$3&gt;$J9,(1-Assumptions!$B$26)^(Q$3-$J9),1)*IF($H9&gt;=1,1,MIN(0.97,$H9*Assumptions!$E$12)))</f>
        <v>0</v>
      </c>
      <c r="R9" s="23">
        <f>IF(R$3&lt;$I9,0,$G9*Assumptions!$E$11*INDEX(Assumptions!$B$24:$G$24,MIN(6,R$3-$I9+1))*IF(R$3&gt;$J9,(1-Assumptions!$B$26)^(R$3-$J9),1)*IF($H9&gt;=1,1,MIN(0.97,$H9*Assumptions!$E$12)))</f>
        <v>0</v>
      </c>
      <c r="S9" s="23">
        <f>IF(S$3&lt;$I9,0,$G9*Assumptions!$E$11*INDEX(Assumptions!$B$24:$G$24,MIN(6,S$3-$I9+1))*IF(S$3&gt;$J9,(1-Assumptions!$B$26)^(S$3-$J9),1)*IF($H9&gt;=1,1,MIN(0.97,$H9*Assumptions!$E$12)))</f>
        <v>0</v>
      </c>
      <c r="T9" s="23">
        <f>IF(T$3&lt;$I9,0,$G9*Assumptions!$E$11*INDEX(Assumptions!$B$24:$G$24,MIN(6,T$3-$I9+1))*IF(T$3&gt;$J9,(1-Assumptions!$B$26)^(T$3-$J9),1)*IF($H9&gt;=1,1,MIN(0.97,$H9*Assumptions!$E$12)))</f>
        <v>7.904999999999999</v>
      </c>
      <c r="U9" s="23">
        <f>IF(U$3&lt;$I9,0,$G9*Assumptions!$E$11*INDEX(Assumptions!$B$24:$G$24,MIN(6,U$3-$I9+1))*IF(U$3&gt;$J9,(1-Assumptions!$B$26)^(U$3-$J9),1)*IF($H9&gt;=1,1,MIN(0.97,$H9*Assumptions!$E$12)))</f>
        <v>19.7625</v>
      </c>
      <c r="V9" s="23">
        <f>IF(V$3&lt;$I9,0,$G9*Assumptions!$E$11*INDEX(Assumptions!$B$24:$G$24,MIN(6,V$3-$I9+1))*IF(V$3&gt;$J9,(1-Assumptions!$B$26)^(V$3-$J9),1)*IF($H9&gt;=1,1,MIN(0.97,$H9*Assumptions!$E$12)))</f>
        <v>35.5725</v>
      </c>
      <c r="W9" s="23">
        <f>IF(W$3&lt;$I9,0,$G9*Assumptions!$E$11*INDEX(Assumptions!$B$24:$G$24,MIN(6,W$3-$I9+1))*IF(W$3&gt;$J9,(1-Assumptions!$B$26)^(W$3-$J9),1)*IF($H9&gt;=1,1,MIN(0.97,$H9*Assumptions!$E$12)))</f>
        <v>51.3825</v>
      </c>
      <c r="X9" s="23">
        <f>IF(X$3&lt;$I9,0,$G9*Assumptions!$E$11*INDEX(Assumptions!$B$24:$G$24,MIN(6,X$3-$I9+1))*IF(X$3&gt;$J9,(1-Assumptions!$B$26)^(X$3-$J9),1)*IF($H9&gt;=1,1,MIN(0.97,$H9*Assumptions!$E$12)))</f>
        <v>67.1925</v>
      </c>
      <c r="Y9" s="23">
        <f>IF(Y$3&lt;$I9,0,$G9*Assumptions!$E$11*INDEX(Assumptions!$B$24:$G$24,MIN(6,Y$3-$I9+1))*IF(Y$3&gt;$J9,(1-Assumptions!$B$26)^(Y$3-$J9),1)*IF($H9&gt;=1,1,MIN(0.97,$H9*Assumptions!$E$12)))</f>
        <v>79.05</v>
      </c>
      <c r="Z9" s="23">
        <f>IF(Z$3&lt;$I9,0,$G9*Assumptions!$E$11*INDEX(Assumptions!$B$24:$G$24,MIN(6,Z$3-$I9+1))*IF(Z$3&gt;$J9,(1-Assumptions!$B$26)^(Z$3-$J9),1)*IF($H9&gt;=1,1,MIN(0.97,$H9*Assumptions!$E$12)))</f>
        <v>79.05</v>
      </c>
      <c r="AA9" s="23">
        <f>IF(AA$3&lt;$I9,0,$G9*Assumptions!$E$11*INDEX(Assumptions!$B$24:$G$24,MIN(6,AA$3-$I9+1))*IF(AA$3&gt;$J9,(1-Assumptions!$B$26)^(AA$3-$J9),1)*IF($H9&gt;=1,1,MIN(0.97,$H9*Assumptions!$E$12)))</f>
        <v>79.05</v>
      </c>
      <c r="AB9" s="23">
        <f>IF(AB$3&lt;$I9,0,$G9*Assumptions!$E$11*INDEX(Assumptions!$B$24:$G$24,MIN(6,AB$3-$I9+1))*IF(AB$3&gt;$J9,(1-Assumptions!$B$26)^(AB$3-$J9),1)*IF($H9&gt;=1,1,MIN(0.97,$H9*Assumptions!$E$12)))</f>
        <v>79.05</v>
      </c>
      <c r="AC9" s="23">
        <f>IF(AC$3&lt;$I9,0,$G9*Assumptions!$E$11*INDEX(Assumptions!$B$24:$G$24,MIN(6,AC$3-$I9+1))*IF(AC$3&gt;$J9,(1-Assumptions!$B$26)^(AC$3-$J9),1)*IF($H9&gt;=1,1,MIN(0.97,$H9*Assumptions!$E$12)))</f>
        <v>79.05</v>
      </c>
      <c r="AD9" s="23">
        <f>IF(AD$3&lt;$I9,0,$G9*Assumptions!$E$11*INDEX(Assumptions!$B$24:$G$24,MIN(6,AD$3-$I9+1))*IF(AD$3&gt;$J9,(1-Assumptions!$B$26)^(AD$3-$J9),1)*IF($H9&gt;=1,1,MIN(0.97,$H9*Assumptions!$E$12)))</f>
        <v>79.05</v>
      </c>
      <c r="AE9" s="23">
        <f>IF(AE$3&lt;$I9,0,$G9*Assumptions!$E$11*INDEX(Assumptions!$B$24:$G$24,MIN(6,AE$3-$I9+1))*IF(AE$3&gt;$J9,(1-Assumptions!$B$26)^(AE$3-$J9),1)*IF($H9&gt;=1,1,MIN(0.97,$H9*Assumptions!$E$12)))</f>
        <v>79.05</v>
      </c>
      <c r="AF9" s="23">
        <f>IF(AF$3&lt;$I9,0,$G9*Assumptions!$E$11*INDEX(Assumptions!$B$24:$G$24,MIN(6,AF$3-$I9+1))*IF(AF$3&gt;$J9,(1-Assumptions!$B$26)^(AF$3-$J9),1)*IF($H9&gt;=1,1,MIN(0.97,$H9*Assumptions!$E$12)))</f>
        <v>79.05</v>
      </c>
      <c r="AG9" s="35">
        <f>IF(F9="Owned",1-IF(H9&gt;=1,1,MIN(0.97,H9*Assumptions!$E$12)),1)</f>
        <v>0.9473</v>
      </c>
    </row>
    <row r="10">
      <c r="B10" s="24" t="inlineStr">
        <is>
          <t>Risked revenue</t>
        </is>
      </c>
      <c r="L10" s="54">
        <f>SUM(L4:L9)</f>
        <v>841.0791984400364</v>
      </c>
      <c r="M10" s="54">
        <f>SUM(M4:M9)</f>
        <v>0.0</v>
      </c>
      <c r="N10" s="54">
        <f>SUM(N4:N9)</f>
        <v>0.0</v>
      </c>
      <c r="O10" s="54">
        <f>SUM(O4:O9)</f>
        <v>0.0</v>
      </c>
      <c r="P10" s="54">
        <f>SUM(P4:P9)</f>
        <v>0.0</v>
      </c>
      <c r="Q10" s="54">
        <f>SUM(Q4:Q9)</f>
        <v>0.0</v>
      </c>
      <c r="R10" s="54">
        <f>SUM(R4:R9)</f>
        <v>28.935</v>
      </c>
      <c r="S10" s="54">
        <f>SUM(S4:S9)</f>
        <v>88.8975</v>
      </c>
      <c r="T10" s="54">
        <f>SUM(T4:T9)</f>
        <v>211.1325</v>
      </c>
      <c r="U10" s="54">
        <f>SUM(U4:U9)</f>
        <v>361.4099999999999</v>
      </c>
      <c r="V10" s="54">
        <f>SUM(V4:V9)</f>
        <v>531.4499999999999</v>
      </c>
      <c r="W10" s="54">
        <f>SUM(W4:W9)</f>
        <v>687.0225000000002</v>
      </c>
      <c r="X10" s="54">
        <f>SUM(X4:X9)</f>
        <v>790.9124999999999</v>
      </c>
      <c r="Y10" s="54">
        <f>SUM(Y4:Y9)</f>
        <v>850.1999999999998</v>
      </c>
      <c r="Z10" s="54">
        <f>SUM(Z4:Z9)</f>
        <v>850.1999999999998</v>
      </c>
      <c r="AA10" s="54">
        <f>SUM(AA4:AA9)</f>
        <v>850.1999999999998</v>
      </c>
      <c r="AB10" s="54">
        <f>SUM(AB4:AB9)</f>
        <v>850.1999999999998</v>
      </c>
      <c r="AC10" s="54">
        <f>SUM(AC4:AC9)</f>
        <v>850.1999999999998</v>
      </c>
      <c r="AD10" s="54">
        <f>SUM(AD4:AD9)</f>
        <v>850.1999999999998</v>
      </c>
      <c r="AE10" s="54">
        <f>SUM(AE4:AE9)</f>
        <v>705.5249999999999</v>
      </c>
      <c r="AF10" s="54">
        <f>SUM(AF4:AF9)</f>
        <v>550.3874999999999</v>
      </c>
    </row>
    <row r="11">
      <c r="B11" s="24" t="inlineStr">
        <is>
          <t>Risked contribution (revenue x share)</t>
        </is>
      </c>
      <c r="M11" s="55">
        <f>SUMPRODUCT(M4:M9,$K$4:$K$9)</f>
        <v>0.0</v>
      </c>
      <c r="N11" s="55">
        <f>SUMPRODUCT(N4:N9,$K$4:$K$9)</f>
        <v>0.0</v>
      </c>
      <c r="O11" s="55">
        <f>SUMPRODUCT(O4:O9,$K$4:$K$9)</f>
        <v>0.0</v>
      </c>
      <c r="P11" s="55">
        <f>SUMPRODUCT(P4:P9,$K$4:$K$9)</f>
        <v>0.0</v>
      </c>
      <c r="Q11" s="55">
        <f>SUMPRODUCT(Q4:Q9,$K$4:$K$9)</f>
        <v>0.0</v>
      </c>
      <c r="R11" s="55">
        <f>SUMPRODUCT(R4:R9,$K$4:$K$9)</f>
        <v>11.574</v>
      </c>
      <c r="S11" s="55">
        <f>SUMPRODUCT(S4:S9,$K$4:$K$9)</f>
        <v>35.559</v>
      </c>
      <c r="T11" s="55">
        <f>SUMPRODUCT(T4:T9,$K$4:$K$9)</f>
        <v>84.45300000000002</v>
      </c>
      <c r="U11" s="55">
        <f>SUMPRODUCT(U4:U9,$K$4:$K$9)</f>
        <v>144.564</v>
      </c>
      <c r="V11" s="55">
        <f>SUMPRODUCT(V4:V9,$K$4:$K$9)</f>
        <v>212.57999999999998</v>
      </c>
      <c r="W11" s="55">
        <f>SUMPRODUCT(W4:W9,$K$4:$K$9)</f>
        <v>274.80899999999997</v>
      </c>
      <c r="X11" s="55">
        <f>SUMPRODUCT(X4:X9,$K$4:$K$9)</f>
        <v>316.365</v>
      </c>
      <c r="Y11" s="55">
        <f>SUMPRODUCT(Y4:Y9,$K$4:$K$9)</f>
        <v>340.08</v>
      </c>
      <c r="Z11" s="55">
        <f>SUMPRODUCT(Z4:Z9,$K$4:$K$9)</f>
        <v>340.08</v>
      </c>
      <c r="AA11" s="55">
        <f>SUMPRODUCT(AA4:AA9,$K$4:$K$9)</f>
        <v>340.08</v>
      </c>
      <c r="AB11" s="55">
        <f>SUMPRODUCT(AB4:AB9,$K$4:$K$9)</f>
        <v>340.08</v>
      </c>
      <c r="AC11" s="55">
        <f>SUMPRODUCT(AC4:AC9,$K$4:$K$9)</f>
        <v>340.08</v>
      </c>
      <c r="AD11" s="55">
        <f>SUMPRODUCT(AD4:AD9,$K$4:$K$9)</f>
        <v>340.08</v>
      </c>
      <c r="AE11" s="55">
        <f>SUMPRODUCT(AE4:AE9,$K$4:$K$9)</f>
        <v>282.21</v>
      </c>
      <c r="AF11" s="55">
        <f>SUMPRODUCT(AF4:AF9,$K$4:$K$9)</f>
        <v>220.155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Fate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Pipeline!M10</f>
        <v>0.0</v>
      </c>
      <c r="D4" s="57">
        <f>Pipeline!N10</f>
        <v>0.0</v>
      </c>
      <c r="E4" s="57">
        <f>Pipeline!O10</f>
        <v>0.0</v>
      </c>
      <c r="F4" s="57">
        <f>Pipeline!P10</f>
        <v>0.0</v>
      </c>
      <c r="G4" s="57">
        <f>Pipeline!Q10</f>
        <v>0.0</v>
      </c>
      <c r="H4" s="57">
        <f>Pipeline!R10</f>
        <v>28.935</v>
      </c>
      <c r="I4" s="57">
        <f>Pipeline!S10</f>
        <v>88.8975</v>
      </c>
      <c r="J4" s="57">
        <f>Pipeline!T10</f>
        <v>211.1325</v>
      </c>
      <c r="K4" s="57">
        <f>Pipeline!U10</f>
        <v>361.4099999999999</v>
      </c>
      <c r="L4" s="57">
        <f>Pipeline!V10</f>
        <v>531.4499999999999</v>
      </c>
      <c r="M4" s="57">
        <f>Pipeline!W10</f>
        <v>687.0225000000002</v>
      </c>
      <c r="N4" s="57">
        <f>Pipeline!X10</f>
        <v>790.9124999999999</v>
      </c>
      <c r="O4" s="57">
        <f>Pipeline!Y10</f>
        <v>850.1999999999998</v>
      </c>
      <c r="P4" s="57">
        <f>Pipeline!Z10</f>
        <v>850.1999999999998</v>
      </c>
      <c r="Q4" s="57">
        <f>Pipeline!AA10</f>
        <v>850.1999999999998</v>
      </c>
      <c r="R4" s="57">
        <f>Pipeline!AB10</f>
        <v>850.1999999999998</v>
      </c>
      <c r="S4" s="57">
        <f>Pipeline!AC10</f>
        <v>850.1999999999998</v>
      </c>
      <c r="T4" s="57">
        <f>Pipeline!AD10</f>
        <v>850.1999999999998</v>
      </c>
      <c r="U4" s="57">
        <f>Pipeline!AE10</f>
        <v>705.5249999999999</v>
      </c>
      <c r="V4" s="57">
        <f>Pipeline!AF10</f>
        <v>550.3874999999999</v>
      </c>
    </row>
    <row r="5">
      <c r="A5" s="14" t="inlineStr">
        <is>
          <t>Risked contribution</t>
        </is>
      </c>
      <c r="C5" s="57">
        <f>Pipeline!M11</f>
        <v>0.0</v>
      </c>
      <c r="D5" s="57">
        <f>Pipeline!N11</f>
        <v>0.0</v>
      </c>
      <c r="E5" s="57">
        <f>Pipeline!O11</f>
        <v>0.0</v>
      </c>
      <c r="F5" s="57">
        <f>Pipeline!P11</f>
        <v>0.0</v>
      </c>
      <c r="G5" s="57">
        <f>Pipeline!Q11</f>
        <v>0.0</v>
      </c>
      <c r="H5" s="57">
        <f>Pipeline!R11</f>
        <v>11.574</v>
      </c>
      <c r="I5" s="57">
        <f>Pipeline!S11</f>
        <v>35.559</v>
      </c>
      <c r="J5" s="57">
        <f>Pipeline!T11</f>
        <v>84.45300000000002</v>
      </c>
      <c r="K5" s="57">
        <f>Pipeline!U11</f>
        <v>144.564</v>
      </c>
      <c r="L5" s="57">
        <f>Pipeline!V11</f>
        <v>212.57999999999998</v>
      </c>
      <c r="M5" s="57">
        <f>Pipeline!W11</f>
        <v>274.80899999999997</v>
      </c>
      <c r="N5" s="57">
        <f>Pipeline!X11</f>
        <v>316.365</v>
      </c>
      <c r="O5" s="57">
        <f>Pipeline!Y11</f>
        <v>340.08</v>
      </c>
      <c r="P5" s="57">
        <f>Pipeline!Z11</f>
        <v>340.08</v>
      </c>
      <c r="Q5" s="57">
        <f>Pipeline!AA11</f>
        <v>340.08</v>
      </c>
      <c r="R5" s="57">
        <f>Pipeline!AB11</f>
        <v>340.08</v>
      </c>
      <c r="S5" s="57">
        <f>Pipeline!AC11</f>
        <v>340.08</v>
      </c>
      <c r="T5" s="57">
        <f>Pipeline!AD11</f>
        <v>340.08</v>
      </c>
      <c r="U5" s="57">
        <f>Pipeline!AE11</f>
        <v>282.21</v>
      </c>
      <c r="V5" s="57">
        <f>Pipeline!AF11</f>
        <v>220.155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-133.59</v>
      </c>
      <c r="D6" s="23">
        <f>-IF(D3-2026&lt;Assumptions!$B$19,Assumptions!$B$18,Assumptions!$B$18*Assumptions!$B$20*Assumptions!$B$16)</f>
        <v>-133.59</v>
      </c>
      <c r="E6" s="23">
        <f>-IF(E3-2026&lt;Assumptions!$B$19,Assumptions!$B$18,Assumptions!$B$18*Assumptions!$B$20*Assumptions!$B$16)</f>
        <v>-133.59</v>
      </c>
      <c r="F6" s="23">
        <f>-IF(F3-2026&lt;Assumptions!$B$19,Assumptions!$B$18,Assumptions!$B$18*Assumptions!$B$20*Assumptions!$B$16)</f>
        <v>-133.59</v>
      </c>
      <c r="G6" s="23">
        <f>-IF(G3-2026&lt;Assumptions!$B$19,Assumptions!$B$18,Assumptions!$B$18*Assumptions!$B$20*Assumptions!$B$16)</f>
        <v>-19.421016004886287</v>
      </c>
      <c r="H6" s="23">
        <f>-IF(H3-2026&lt;Assumptions!$B$19,Assumptions!$B$18,Assumptions!$B$18*Assumptions!$B$20*Assumptions!$B$16)</f>
        <v>-19.421016004886287</v>
      </c>
      <c r="I6" s="23">
        <f>-IF(I3-2026&lt;Assumptions!$B$19,Assumptions!$B$18,Assumptions!$B$18*Assumptions!$B$20*Assumptions!$B$16)</f>
        <v>-19.421016004886287</v>
      </c>
      <c r="J6" s="23">
        <f>-IF(J3-2026&lt;Assumptions!$B$19,Assumptions!$B$18,Assumptions!$B$18*Assumptions!$B$20*Assumptions!$B$16)</f>
        <v>-19.421016004886287</v>
      </c>
      <c r="K6" s="23">
        <f>-IF(K3-2026&lt;Assumptions!$B$19,Assumptions!$B$18,Assumptions!$B$18*Assumptions!$B$20*Assumptions!$B$16)</f>
        <v>-19.421016004886287</v>
      </c>
      <c r="L6" s="23">
        <f>-IF(L3-2026&lt;Assumptions!$B$19,Assumptions!$B$18,Assumptions!$B$18*Assumptions!$B$20*Assumptions!$B$16)</f>
        <v>-19.421016004886287</v>
      </c>
      <c r="M6" s="23">
        <f>-IF(M3-2026&lt;Assumptions!$B$19,Assumptions!$B$18,Assumptions!$B$18*Assumptions!$B$20*Assumptions!$B$16)</f>
        <v>-19.421016004886287</v>
      </c>
      <c r="N6" s="23">
        <f>-IF(N3-2026&lt;Assumptions!$B$19,Assumptions!$B$18,Assumptions!$B$18*Assumptions!$B$20*Assumptions!$B$16)</f>
        <v>-19.421016004886287</v>
      </c>
      <c r="O6" s="23">
        <f>-IF(O3-2026&lt;Assumptions!$B$19,Assumptions!$B$18,Assumptions!$B$18*Assumptions!$B$20*Assumptions!$B$16)</f>
        <v>-19.421016004886287</v>
      </c>
      <c r="P6" s="23">
        <f>-IF(P3-2026&lt;Assumptions!$B$19,Assumptions!$B$18,Assumptions!$B$18*Assumptions!$B$20*Assumptions!$B$16)</f>
        <v>-19.421016004886287</v>
      </c>
      <c r="Q6" s="23">
        <f>-IF(Q3-2026&lt;Assumptions!$B$19,Assumptions!$B$18,Assumptions!$B$18*Assumptions!$B$20*Assumptions!$B$16)</f>
        <v>-19.421016004886287</v>
      </c>
      <c r="R6" s="23">
        <f>-IF(R3-2026&lt;Assumptions!$B$19,Assumptions!$B$18,Assumptions!$B$18*Assumptions!$B$20*Assumptions!$B$16)</f>
        <v>-19.421016004886287</v>
      </c>
      <c r="S6" s="23">
        <f>-IF(S3-2026&lt;Assumptions!$B$19,Assumptions!$B$18,Assumptions!$B$18*Assumptions!$B$20*Assumptions!$B$16)</f>
        <v>-19.421016004886287</v>
      </c>
      <c r="T6" s="23">
        <f>-IF(T3-2026&lt;Assumptions!$B$19,Assumptions!$B$18,Assumptions!$B$18*Assumptions!$B$20*Assumptions!$B$16)</f>
        <v>-19.421016004886287</v>
      </c>
      <c r="U6" s="23">
        <f>-IF(U3-2026&lt;Assumptions!$B$19,Assumptions!$B$18,Assumptions!$B$18*Assumptions!$B$20*Assumptions!$B$16)</f>
        <v>-19.421016004886287</v>
      </c>
      <c r="V6" s="23">
        <f>-IF(V3-2026&lt;Assumptions!$B$19,Assumptions!$B$18,Assumptions!$B$18*Assumptions!$B$20*Assumptions!$B$16)</f>
        <v>-19.421016004886287</v>
      </c>
    </row>
    <row r="7">
      <c r="A7" s="14" t="inlineStr">
        <is>
          <t>Pre-tax cash flow</t>
        </is>
      </c>
      <c r="C7" s="23">
        <f>C5+C6</f>
        <v>-133.59</v>
      </c>
      <c r="D7" s="23">
        <f>D5+D6</f>
        <v>-133.59</v>
      </c>
      <c r="E7" s="23">
        <f>E5+E6</f>
        <v>-133.59</v>
      </c>
      <c r="F7" s="23">
        <f>F5+F6</f>
        <v>-133.59</v>
      </c>
      <c r="G7" s="23">
        <f>G5+G6</f>
        <v>-19.421016004886287</v>
      </c>
      <c r="H7" s="23">
        <f>H5+H6</f>
        <v>-7.847016004886287</v>
      </c>
      <c r="I7" s="23">
        <f>I5+I6</f>
        <v>16.13798399511371</v>
      </c>
      <c r="J7" s="23">
        <f>J5+J6</f>
        <v>65.03198399511373</v>
      </c>
      <c r="K7" s="23">
        <f>K5+K6</f>
        <v>125.14298399511371</v>
      </c>
      <c r="L7" s="23">
        <f>L5+L6</f>
        <v>193.1589839951137</v>
      </c>
      <c r="M7" s="23">
        <f>M5+M6</f>
        <v>255.38798399511367</v>
      </c>
      <c r="N7" s="23">
        <f>N5+N6</f>
        <v>296.94398399511374</v>
      </c>
      <c r="O7" s="23">
        <f>O5+O6</f>
        <v>320.6589839951137</v>
      </c>
      <c r="P7" s="23">
        <f>P5+P6</f>
        <v>320.6589839951137</v>
      </c>
      <c r="Q7" s="23">
        <f>Q5+Q6</f>
        <v>320.6589839951137</v>
      </c>
      <c r="R7" s="23">
        <f>R5+R6</f>
        <v>320.6589839951137</v>
      </c>
      <c r="S7" s="23">
        <f>S5+S6</f>
        <v>320.6589839951137</v>
      </c>
      <c r="T7" s="23">
        <f>T5+T6</f>
        <v>320.6589839951137</v>
      </c>
      <c r="U7" s="23">
        <f>U5+U6</f>
        <v>262.7889839951137</v>
      </c>
      <c r="V7" s="23">
        <f>V5+V6</f>
        <v>200.7339839951137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16.13798399511371</v>
      </c>
      <c r="J8" s="23">
        <f>MIN(I17,MAX(0,J7))</f>
        <v>65.03198399511373</v>
      </c>
      <c r="K8" s="23">
        <f>MIN(J17,MAX(0,K7))</f>
        <v>125.14298399511371</v>
      </c>
      <c r="L8" s="23">
        <f>MIN(K17,MAX(0,L7))</f>
        <v>193.1589839951137</v>
      </c>
      <c r="M8" s="23">
        <f>MIN(L17,MAX(0,M7))</f>
        <v>255.38798399511367</v>
      </c>
      <c r="N8" s="23">
        <f>MIN(M17,MAX(0,N7))</f>
        <v>296.94398399511374</v>
      </c>
      <c r="O8" s="23">
        <f>MIN(N17,MAX(0,O7))</f>
        <v>320.6589839951137</v>
      </c>
      <c r="P8" s="23">
        <f>MIN(O17,MAX(0,P7))</f>
        <v>320.6589839951137</v>
      </c>
      <c r="Q8" s="23">
        <f>MIN(P17,MAX(0,Q7))</f>
        <v>320.6589839951137</v>
      </c>
      <c r="R8" s="23">
        <f>MIN(Q17,MAX(0,R7))</f>
        <v>180.9471760537491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0.0</v>
      </c>
      <c r="R9" s="23">
        <f>MAX(0,R7)-R8</f>
        <v>139.7118079413646</v>
      </c>
      <c r="S9" s="23">
        <f>MAX(0,S7)-S8</f>
        <v>320.6589839951137</v>
      </c>
      <c r="T9" s="23">
        <f>MAX(0,T7)-T8</f>
        <v>320.6589839951137</v>
      </c>
      <c r="U9" s="23">
        <f>MAX(0,U7)-U8</f>
        <v>262.7889839951137</v>
      </c>
      <c r="V9" s="23">
        <f>MAX(0,V7)-V8</f>
        <v>200.7339839951137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0.0</v>
      </c>
      <c r="R10" s="23">
        <f>R9*Assumptions!$E$15</f>
        <v>29.339479667686568</v>
      </c>
      <c r="S10" s="23">
        <f>S9*Assumptions!$E$15</f>
        <v>67.33838663897387</v>
      </c>
      <c r="T10" s="23">
        <f>T9*Assumptions!$E$15</f>
        <v>67.33838663897387</v>
      </c>
      <c r="U10" s="23">
        <f>U9*Assumptions!$E$15</f>
        <v>55.18568663897388</v>
      </c>
      <c r="V10" s="23">
        <f>V9*Assumptions!$E$15</f>
        <v>42.154136638973874</v>
      </c>
    </row>
    <row r="11">
      <c r="A11" s="24" t="inlineStr">
        <is>
          <t>Free cash flow</t>
        </is>
      </c>
      <c r="C11" s="55">
        <f>C7-C10</f>
        <v>-133.59</v>
      </c>
      <c r="D11" s="55">
        <f>D7-D10</f>
        <v>-133.59</v>
      </c>
      <c r="E11" s="55">
        <f>E7-E10</f>
        <v>-133.59</v>
      </c>
      <c r="F11" s="55">
        <f>F7-F10</f>
        <v>-133.59</v>
      </c>
      <c r="G11" s="55">
        <f>G7-G10</f>
        <v>-19.421016004886287</v>
      </c>
      <c r="H11" s="55">
        <f>H7-H10</f>
        <v>-7.847016004886287</v>
      </c>
      <c r="I11" s="55">
        <f>I7-I10</f>
        <v>16.13798399511371</v>
      </c>
      <c r="J11" s="55">
        <f>J7-J10</f>
        <v>65.03198399511373</v>
      </c>
      <c r="K11" s="55">
        <f>K7-K10</f>
        <v>125.14298399511371</v>
      </c>
      <c r="L11" s="55">
        <f>L7-L10</f>
        <v>193.1589839951137</v>
      </c>
      <c r="M11" s="55">
        <f>M7-M10</f>
        <v>255.38798399511367</v>
      </c>
      <c r="N11" s="55">
        <f>N7-N10</f>
        <v>296.94398399511374</v>
      </c>
      <c r="O11" s="55">
        <f>O7-O10</f>
        <v>320.6589839951137</v>
      </c>
      <c r="P11" s="55">
        <f>P7-P10</f>
        <v>320.6589839951137</v>
      </c>
      <c r="Q11" s="55">
        <f>Q7-Q10</f>
        <v>320.6589839951137</v>
      </c>
      <c r="R11" s="55">
        <f>R7-R10</f>
        <v>291.3195043274271</v>
      </c>
      <c r="S11" s="55">
        <f>S7-S10</f>
        <v>253.32059735613984</v>
      </c>
      <c r="T11" s="55">
        <f>T7-T10</f>
        <v>253.32059735613984</v>
      </c>
      <c r="U11" s="55">
        <f>U7-U10</f>
        <v>207.60329735613982</v>
      </c>
      <c r="V11" s="55">
        <f>V7-V10</f>
        <v>158.57984735613982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-65.44632198486859</v>
      </c>
      <c r="D16" s="55">
        <f>D11*D15</f>
        <v>-119.2213769146839</v>
      </c>
      <c r="E16" s="55">
        <f>E11*E15</f>
        <v>-106.44765795953917</v>
      </c>
      <c r="F16" s="55">
        <f>F11*F15</f>
        <v>-95.04255174958854</v>
      </c>
      <c r="G16" s="55">
        <f>G11*G15</f>
        <v>-12.336673234429918</v>
      </c>
      <c r="H16" s="55">
        <f>H11*H15</f>
        <v>-4.450539205517825</v>
      </c>
      <c r="I16" s="55">
        <f>I11*I15</f>
        <v>8.17220684629277</v>
      </c>
      <c r="J16" s="55">
        <f>J11*J15</f>
        <v>29.40350149074345</v>
      </c>
      <c r="K16" s="55">
        <f>K11*K15</f>
        <v>50.519673035217615</v>
      </c>
      <c r="L16" s="55">
        <f>L11*L15</f>
        <v>69.62270850195898</v>
      </c>
      <c r="M16" s="55">
        <f>M11*M15</f>
        <v>82.18989758015569</v>
      </c>
      <c r="N16" s="55">
        <f>N11*N15</f>
        <v>85.32464455024724</v>
      </c>
      <c r="O16" s="55">
        <f>O11*O15</f>
        <v>82.26694050146865</v>
      </c>
      <c r="P16" s="55">
        <f>P11*P15</f>
        <v>73.45262544773986</v>
      </c>
      <c r="Q16" s="55">
        <f>Q11*Q15</f>
        <v>65.58270129262488</v>
      </c>
      <c r="R16" s="55">
        <f>R11*R15</f>
        <v>53.19826008599575</v>
      </c>
      <c r="S16" s="55">
        <f>S11*S15</f>
        <v>41.30288107555297</v>
      </c>
      <c r="T16" s="55">
        <f>T11*T15</f>
        <v>36.87757238888658</v>
      </c>
      <c r="U16" s="55">
        <f>U11*U15</f>
        <v>26.984106681153463</v>
      </c>
      <c r="V16" s="55">
        <f>V11*V15</f>
        <v>18.403641761176253</v>
      </c>
    </row>
    <row r="17">
      <c r="A17" s="14" t="inlineStr">
        <is>
          <t>Tax-loss carryforward, end of year</t>
        </is>
      </c>
      <c r="C17" s="23">
        <f>Assumptions!$B$21-C8+MAX(0,-C7)</f>
        <v>1666.6899999999998</v>
      </c>
      <c r="D17" s="23">
        <f>C17-D8+MAX(0,-D7)</f>
        <v>1800.2799999999997</v>
      </c>
      <c r="E17" s="23">
        <f>D17-E8+MAX(0,-E7)</f>
        <v>1933.8699999999997</v>
      </c>
      <c r="F17" s="23">
        <f>E17-F8+MAX(0,-F7)</f>
        <v>2067.4599999999996</v>
      </c>
      <c r="G17" s="23">
        <f>F17-G8+MAX(0,-G7)</f>
        <v>2086.881016004886</v>
      </c>
      <c r="H17" s="23">
        <f>G17-H8+MAX(0,-H7)</f>
        <v>2094.7280320097725</v>
      </c>
      <c r="I17" s="23">
        <f>H17-I8+MAX(0,-I7)</f>
        <v>2078.590048014659</v>
      </c>
      <c r="J17" s="23">
        <f>I17-J8+MAX(0,-J7)</f>
        <v>2013.558064019545</v>
      </c>
      <c r="K17" s="23">
        <f>J17-K8+MAX(0,-K7)</f>
        <v>1888.4150800244313</v>
      </c>
      <c r="L17" s="23">
        <f>K17-L8+MAX(0,-L7)</f>
        <v>1695.2560960293176</v>
      </c>
      <c r="M17" s="23">
        <f>L17-M8+MAX(0,-M7)</f>
        <v>1439.868112034204</v>
      </c>
      <c r="N17" s="23">
        <f>M17-N8+MAX(0,-N7)</f>
        <v>1142.9241280390902</v>
      </c>
      <c r="O17" s="23">
        <f>N17-O8+MAX(0,-O7)</f>
        <v>822.2651440439765</v>
      </c>
      <c r="P17" s="23">
        <f>O17-P8+MAX(0,-P7)</f>
        <v>501.6061600488628</v>
      </c>
      <c r="Q17" s="23">
        <f>P17-Q8+MAX(0,-Q7)</f>
        <v>180.9471760537491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841.0791984400364</v>
      </c>
    </row>
    <row r="20">
      <c r="A20" s="14" t="inlineStr">
        <is>
          <t>PV of corporate burn</t>
        </is>
      </c>
      <c r="B20" s="23">
        <f>SUMPRODUCT(C6:V6,C15:V15)</f>
        <v>-482.5179914936222</v>
      </c>
    </row>
    <row r="21">
      <c r="A21" s="14" t="inlineStr">
        <is>
          <t>PV of taxes</t>
        </is>
      </c>
      <c r="B21" s="23">
        <f>-SUMPRODUCT(C10:V10,C15:V15)</f>
        <v>-38.20496675582814</v>
      </c>
    </row>
    <row r="22">
      <c r="A22" s="24" t="inlineStr">
        <is>
          <t>Pipeline rNPV (operations)</t>
        </is>
      </c>
      <c r="B22" s="54">
        <f>SUM(C16:V16)</f>
        <v>320.35624019058616</v>
      </c>
    </row>
    <row r="23">
      <c r="A23" s="14" t="inlineStr">
        <is>
          <t>Cash &amp; investments</t>
        </is>
      </c>
      <c r="B23" s="57">
        <f>Main!C7</f>
        <v>153.76999999999998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474.12624019058615</v>
      </c>
    </row>
    <row r="26">
      <c r="A26" s="14" t="inlineStr">
        <is>
          <t>Shares (mm)</t>
        </is>
      </c>
      <c r="B26" s="57">
        <f>Main!C4</f>
        <v>119.820514</v>
      </c>
    </row>
    <row r="27">
      <c r="A27" s="24" t="inlineStr">
        <is>
          <t>rNPV / share</t>
        </is>
      </c>
      <c r="B27" s="60">
        <f>B25/B26</f>
        <v>3.956970508327031</v>
      </c>
    </row>
    <row r="28">
      <c r="A28" s="14" t="inlineStr">
        <is>
          <t>Price</t>
        </is>
      </c>
      <c r="B28" s="61">
        <f>Main!C3</f>
        <v>2.06</v>
      </c>
    </row>
    <row r="29">
      <c r="A29" s="14" t="inlineStr">
        <is>
          <t>Upside</t>
        </is>
      </c>
      <c r="B29" s="62">
        <f>B27/B28-1</f>
        <v>0.9208594700616655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2026-10-21T06:26:43Z</dcterms:modified>
  <cp:lastModifiedBy>Wang, Eric</cp:lastModifiedBy>
</cp:coreProperties>
</file>