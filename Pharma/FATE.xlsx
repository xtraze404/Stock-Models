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Fate Therapeutics Inc</t>
        </is>
      </c>
      <c r="C2" s="10" t="n"/>
    </row>
    <row r="3">
      <c r="B3" t="inlineStr">
        <is>
          <t>Price</t>
        </is>
      </c>
      <c r="C3" s="11">
        <f>INDEX([1]Pharma!$F$1:$F$1000,MATCH("FATE",[1]Pharma!$B$1:$B$1000,0))</f>
        <v>2.06</v>
      </c>
      <c r="F3" s="1" t="n"/>
    </row>
    <row r="4">
      <c r="B4" t="inlineStr">
        <is>
          <t>Shares</t>
        </is>
      </c>
      <c r="C4" s="21" t="n">
        <v>119.820514</v>
      </c>
      <c r="F4" s="1" t="n"/>
    </row>
    <row r="5">
      <c r="B5" t="inlineStr">
        <is>
          <t>Market Cap.</t>
        </is>
      </c>
      <c r="C5" s="13">
        <f>C3*C4</f>
        <v>246.83025884</v>
      </c>
      <c r="F5" s="1" t="n"/>
    </row>
    <row r="6"/>
    <row r="7">
      <c r="B7" t="inlineStr">
        <is>
          <t>Cash</t>
        </is>
      </c>
      <c r="C7" s="21">
        <f>32.429+121.341</f>
        <v>153.76999999999998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93.06025884000002</v>
      </c>
    </row>
    <row r="10"/>
    <row r="11">
      <c r="B11" s="14" t="inlineStr">
        <is>
          <t>Net Cash / Share</t>
        </is>
      </c>
      <c r="C11" s="11">
        <f>(C7-C8)/C4</f>
        <v>1.2833361739710112</v>
      </c>
    </row>
    <row r="12">
      <c r="B12" s="14" t="inlineStr">
        <is>
          <t>Upside</t>
        </is>
      </c>
      <c r="C12" s="15">
        <f>IFERROR(C11/C3-1,"")</f>
        <v>-0.37702127477135383</v>
      </c>
    </row>
    <row r="13">
      <c r="B13" s="14" t="inlineStr">
        <is>
          <t>Cash / Share</t>
        </is>
      </c>
      <c r="C13" s="11">
        <f>IFERROR((C7-C8)/C4,"")</f>
        <v>1.2833361739710112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-101.944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1.5083771482382482</v>
      </c>
    </row>
    <row r="19">
      <c r="B19" s="14" t="inlineStr">
        <is>
          <t>Implied Pipeline Value</t>
        </is>
      </c>
      <c r="C19" s="13">
        <f>C9</f>
        <v>93.06025884000002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2008</v>
      </c>
      <c r="C1" s="17" t="n">
        <v>2009</v>
      </c>
      <c r="D1" s="17" t="n">
        <v>2010</v>
      </c>
      <c r="E1" s="17" t="n">
        <v>2011</v>
      </c>
      <c r="F1" s="17" t="n">
        <v>2012</v>
      </c>
      <c r="G1" s="17" t="n">
        <v>2013</v>
      </c>
      <c r="H1" s="17" t="n">
        <v>2014</v>
      </c>
      <c r="I1" s="17" t="n">
        <v>2015</v>
      </c>
      <c r="J1" s="17" t="n">
        <v>2016</v>
      </c>
      <c r="K1" s="17" t="n">
        <v>2017</v>
      </c>
      <c r="L1" s="17" t="n">
        <v>2018</v>
      </c>
      <c r="M1" s="17" t="n">
        <v>2019</v>
      </c>
      <c r="N1" s="17" t="n">
        <v>2020</v>
      </c>
      <c r="O1" s="17" t="n">
        <v>2021</v>
      </c>
      <c r="P1" s="17" t="n">
        <v>2022</v>
      </c>
      <c r="Q1" s="17" t="n">
        <v>2023</v>
      </c>
      <c r="R1" s="17" t="n">
        <v>2024</v>
      </c>
      <c r="S1" s="17" t="n">
        <v>2025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1.17</v>
      </c>
      <c r="F2" s="23" t="n">
        <v>2.67</v>
      </c>
      <c r="G2" s="23" t="n">
        <v>0.971</v>
      </c>
      <c r="H2" s="23" t="n">
        <v>0</v>
      </c>
      <c r="I2" s="23" t="n">
        <v>2.431</v>
      </c>
      <c r="J2" s="23" t="n">
        <v>4.402</v>
      </c>
      <c r="K2" s="23" t="n">
        <v>4.106</v>
      </c>
      <c r="L2" s="23" t="n">
        <v>4.74</v>
      </c>
      <c r="M2" s="23" t="n">
        <v>10.68</v>
      </c>
      <c r="N2" s="23" t="n">
        <v>31.434</v>
      </c>
      <c r="O2" s="23" t="n">
        <v>55.846</v>
      </c>
      <c r="P2" s="23" t="n">
        <v>96.3</v>
      </c>
      <c r="Q2" s="23" t="n">
        <v>63.533</v>
      </c>
      <c r="R2" s="23" t="n">
        <v>13.631</v>
      </c>
      <c r="S2" s="23" t="n">
        <v>6.646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1.17</v>
      </c>
      <c r="F4" s="23">
        <f>F2-F3</f>
        <v>2.67</v>
      </c>
      <c r="G4" s="23">
        <f>G2-G3</f>
        <v>0.971</v>
      </c>
      <c r="H4" s="23">
        <f>H2-H3</f>
        <v>0.0</v>
      </c>
      <c r="I4" s="23">
        <f>I2-I3</f>
        <v>2.431</v>
      </c>
      <c r="J4" s="23">
        <f>J2-J3</f>
        <v>4.402</v>
      </c>
      <c r="K4" s="23">
        <f>K2-K3</f>
        <v>4.106</v>
      </c>
      <c r="L4" s="23">
        <f>L2-L3</f>
        <v>4.74</v>
      </c>
      <c r="M4" s="23">
        <f>M2-M3</f>
        <v>10.68</v>
      </c>
      <c r="N4" s="23">
        <f>N2-N3</f>
        <v>31.434</v>
      </c>
      <c r="O4" s="23">
        <f>O2-O3</f>
        <v>55.846</v>
      </c>
      <c r="P4" s="23">
        <f>P2-P3</f>
        <v>96.3</v>
      </c>
      <c r="Q4" s="23">
        <f>Q2-Q3</f>
        <v>63.533</v>
      </c>
      <c r="R4" s="23">
        <f>R2-R3</f>
        <v>13.631</v>
      </c>
      <c r="S4" s="23">
        <f>S2-S3</f>
        <v>6.646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9.858000000000001</v>
      </c>
      <c r="F5" s="23" t="n">
        <v>11.999</v>
      </c>
      <c r="G5" s="23" t="n">
        <v>12.007</v>
      </c>
      <c r="H5" s="23" t="n">
        <v>16.435</v>
      </c>
      <c r="I5" s="23" t="n">
        <v>19.861</v>
      </c>
      <c r="J5" s="23" t="n">
        <v>26.452</v>
      </c>
      <c r="K5" s="23" t="n">
        <v>34.358</v>
      </c>
      <c r="L5" s="23" t="n">
        <v>56.024</v>
      </c>
      <c r="M5" s="23" t="n">
        <v>87.77</v>
      </c>
      <c r="N5" s="23" t="n">
        <v>125.623</v>
      </c>
      <c r="O5" s="23" t="n">
        <v>215.519</v>
      </c>
      <c r="P5" s="23" t="n">
        <v>320.454</v>
      </c>
      <c r="Q5" s="23" t="n">
        <v>172.596</v>
      </c>
      <c r="R5" s="23" t="n">
        <v>135.001</v>
      </c>
      <c r="S5" s="23" t="n">
        <v>107.829</v>
      </c>
    </row>
    <row r="6">
      <c r="A6" s="19" t="inlineStr">
        <is>
          <t>SG&amp;A &amp; Other</t>
        </is>
      </c>
      <c r="B6" s="23" t="n">
        <v>7.169</v>
      </c>
      <c r="C6" s="23" t="n">
        <v>13.334</v>
      </c>
      <c r="D6" s="23" t="n">
        <v>16.222</v>
      </c>
      <c r="E6" s="23" t="n">
        <v>4.605</v>
      </c>
      <c r="F6" s="23" t="n">
        <v>4.228</v>
      </c>
      <c r="G6" s="23" t="n">
        <v>6.639</v>
      </c>
      <c r="H6" s="23" t="n">
        <v>8.468999999999999</v>
      </c>
      <c r="I6" s="23" t="n">
        <v>10.352</v>
      </c>
      <c r="J6" s="23" t="n">
        <v>9.913</v>
      </c>
      <c r="K6" s="23" t="n">
        <v>11.873</v>
      </c>
      <c r="L6" s="23" t="n">
        <v>15.808</v>
      </c>
      <c r="M6" s="23" t="n">
        <v>23.637</v>
      </c>
      <c r="N6" s="23" t="n">
        <v>33.896</v>
      </c>
      <c r="O6" s="23" t="n">
        <v>57.321</v>
      </c>
      <c r="P6" s="23" t="n">
        <v>84.232</v>
      </c>
      <c r="Q6" s="23" t="n">
        <v>81.44799999999999</v>
      </c>
      <c r="R6" s="23" t="n">
        <v>88.90600000000001</v>
      </c>
      <c r="S6" s="23" t="n">
        <v>46.521</v>
      </c>
    </row>
    <row r="7">
      <c r="A7" s="2" t="inlineStr">
        <is>
          <t>Operating Expense</t>
        </is>
      </c>
      <c r="B7" s="23">
        <f>SUM(B5:B6)</f>
        <v>7.169</v>
      </c>
      <c r="C7" s="23">
        <f>SUM(C5:C6)</f>
        <v>13.334</v>
      </c>
      <c r="D7" s="23">
        <f>SUM(D5:D6)</f>
        <v>16.222</v>
      </c>
      <c r="E7" s="23">
        <f>SUM(E5:E6)</f>
        <v>14.463000000000001</v>
      </c>
      <c r="F7" s="23">
        <f>SUM(F5:F6)</f>
        <v>16.227</v>
      </c>
      <c r="G7" s="23">
        <f>SUM(G5:G6)</f>
        <v>18.646</v>
      </c>
      <c r="H7" s="23">
        <f>SUM(H5:H6)</f>
        <v>24.903999999999996</v>
      </c>
      <c r="I7" s="23">
        <f>SUM(I5:I6)</f>
        <v>30.213</v>
      </c>
      <c r="J7" s="23">
        <f>SUM(J5:J6)</f>
        <v>36.365</v>
      </c>
      <c r="K7" s="23">
        <f>SUM(K5:K6)</f>
        <v>46.230999999999995</v>
      </c>
      <c r="L7" s="23">
        <f>SUM(L5:L6)</f>
        <v>71.832</v>
      </c>
      <c r="M7" s="23">
        <f>SUM(M5:M6)</f>
        <v>111.407</v>
      </c>
      <c r="N7" s="23">
        <f>SUM(N5:N6)</f>
        <v>159.519</v>
      </c>
      <c r="O7" s="23">
        <f>SUM(O5:O6)</f>
        <v>272.84000000000003</v>
      </c>
      <c r="P7" s="23">
        <f>SUM(P5:P6)</f>
        <v>404.68600000000004</v>
      </c>
      <c r="Q7" s="23">
        <f>SUM(Q5:Q6)</f>
        <v>254.04399999999998</v>
      </c>
      <c r="R7" s="23">
        <f>SUM(R5:R6)</f>
        <v>223.907</v>
      </c>
      <c r="S7" s="23">
        <f>SUM(S5:S6)</f>
        <v>154.35</v>
      </c>
    </row>
    <row r="8">
      <c r="A8" s="2" t="inlineStr">
        <is>
          <t>Operating Income</t>
        </is>
      </c>
      <c r="B8" s="23">
        <f>B4-B7</f>
        <v>-7.169</v>
      </c>
      <c r="C8" s="23">
        <f>C4-C7</f>
        <v>-13.334</v>
      </c>
      <c r="D8" s="23">
        <f>D4-D7</f>
        <v>-16.222</v>
      </c>
      <c r="E8" s="23">
        <f>E4-E7</f>
        <v>-13.293000000000001</v>
      </c>
      <c r="F8" s="23">
        <f>F4-F7</f>
        <v>-13.557</v>
      </c>
      <c r="G8" s="23">
        <f>G4-G7</f>
        <v>-17.675</v>
      </c>
      <c r="H8" s="23">
        <f>H4-H7</f>
        <v>-24.903999999999996</v>
      </c>
      <c r="I8" s="23">
        <f>I4-I7</f>
        <v>-27.782</v>
      </c>
      <c r="J8" s="23">
        <f>J4-J7</f>
        <v>-31.963</v>
      </c>
      <c r="K8" s="23">
        <f>K4-K7</f>
        <v>-42.12499999999999</v>
      </c>
      <c r="L8" s="23">
        <f>L4-L7</f>
        <v>-67.092</v>
      </c>
      <c r="M8" s="23">
        <f>M4-M7</f>
        <v>-100.727</v>
      </c>
      <c r="N8" s="23">
        <f>N4-N7</f>
        <v>-128.085</v>
      </c>
      <c r="O8" s="23">
        <f>O4-O7</f>
        <v>-216.99400000000003</v>
      </c>
      <c r="P8" s="23">
        <f>P4-P7</f>
        <v>-308.386</v>
      </c>
      <c r="Q8" s="23">
        <f>Q4-Q7</f>
        <v>-190.51099999999997</v>
      </c>
      <c r="R8" s="23">
        <f>R4-R7</f>
        <v>-210.276</v>
      </c>
      <c r="S8" s="23">
        <f>S4-S7</f>
        <v>-147.704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-0.134</v>
      </c>
      <c r="F9" s="23" t="n">
        <v>-0.6820000000000001</v>
      </c>
      <c r="G9" s="23" t="n">
        <v>-3.219</v>
      </c>
      <c r="H9" s="23" t="n">
        <v>-0.979</v>
      </c>
      <c r="I9" s="23" t="n">
        <v>-2.21</v>
      </c>
      <c r="J9" s="23" t="n">
        <v>-1.499</v>
      </c>
      <c r="K9" s="23" t="n">
        <v>-0.827</v>
      </c>
      <c r="L9" s="23" t="n">
        <v>0.494</v>
      </c>
      <c r="M9" s="23" t="n">
        <v>2.578</v>
      </c>
      <c r="N9" s="23" t="n">
        <v>-45.302</v>
      </c>
      <c r="O9" s="23" t="n">
        <v>4.843</v>
      </c>
      <c r="P9" s="23" t="n">
        <v>26.665</v>
      </c>
      <c r="Q9" s="23" t="n">
        <v>29.583</v>
      </c>
      <c r="R9" s="23" t="n">
        <v>24.014</v>
      </c>
      <c r="S9" s="23" t="n">
        <v>11.391</v>
      </c>
    </row>
    <row r="10">
      <c r="A10" s="2" t="inlineStr">
        <is>
          <t>Pretax</t>
        </is>
      </c>
      <c r="B10" s="23">
        <f>B8+B9</f>
        <v>-7.169</v>
      </c>
      <c r="C10" s="23">
        <f>C8+C9</f>
        <v>-13.334</v>
      </c>
      <c r="D10" s="23">
        <f>D8+D9</f>
        <v>-16.222</v>
      </c>
      <c r="E10" s="23">
        <f>E8+E9</f>
        <v>-13.427000000000001</v>
      </c>
      <c r="F10" s="23">
        <f>F8+F9</f>
        <v>-14.239</v>
      </c>
      <c r="G10" s="23">
        <f>G8+G9</f>
        <v>-20.894000000000002</v>
      </c>
      <c r="H10" s="23">
        <f>H8+H9</f>
        <v>-25.882999999999996</v>
      </c>
      <c r="I10" s="23">
        <f>I8+I9</f>
        <v>-29.992</v>
      </c>
      <c r="J10" s="23">
        <f>J8+J9</f>
        <v>-33.462</v>
      </c>
      <c r="K10" s="23">
        <f>K8+K9</f>
        <v>-42.95199999999999</v>
      </c>
      <c r="L10" s="23">
        <f>L8+L9</f>
        <v>-66.598</v>
      </c>
      <c r="M10" s="23">
        <f>M8+M9</f>
        <v>-98.149</v>
      </c>
      <c r="N10" s="23">
        <f>N8+N9</f>
        <v>-173.387</v>
      </c>
      <c r="O10" s="23">
        <f>O8+O9</f>
        <v>-212.15100000000004</v>
      </c>
      <c r="P10" s="23">
        <f>P8+P9</f>
        <v>-281.721</v>
      </c>
      <c r="Q10" s="23">
        <f>Q8+Q9</f>
        <v>-160.92799999999997</v>
      </c>
      <c r="R10" s="23">
        <f>R8+R9</f>
        <v>-186.262</v>
      </c>
      <c r="S10" s="23">
        <f>S8+S9</f>
        <v>-136.31300000000002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0.002</v>
      </c>
    </row>
    <row r="12">
      <c r="A12" s="2" t="inlineStr">
        <is>
          <t>Net Income</t>
        </is>
      </c>
      <c r="B12" s="23" t="n">
        <v>-7.169</v>
      </c>
      <c r="C12" s="23" t="n">
        <v>-13.334</v>
      </c>
      <c r="D12" s="23" t="n">
        <v>-16.222</v>
      </c>
      <c r="E12" s="23" t="n">
        <v>-13.427</v>
      </c>
      <c r="F12" s="23" t="n">
        <v>-14.239</v>
      </c>
      <c r="G12" s="23" t="n">
        <v>-20.894</v>
      </c>
      <c r="H12" s="23" t="n">
        <v>-25.883</v>
      </c>
      <c r="I12" s="23" t="n">
        <v>-29.992</v>
      </c>
      <c r="J12" s="23" t="n">
        <v>-33.462</v>
      </c>
      <c r="K12" s="23" t="n">
        <v>-42.952</v>
      </c>
      <c r="L12" s="23" t="n">
        <v>-66.598</v>
      </c>
      <c r="M12" s="23" t="n">
        <v>-98.149</v>
      </c>
      <c r="N12" s="23" t="n">
        <v>-173.387</v>
      </c>
      <c r="O12" s="23" t="n">
        <v>-212.151</v>
      </c>
      <c r="P12" s="23" t="n">
        <v>-281.721</v>
      </c>
      <c r="Q12" s="23" t="n">
        <v>-160.928</v>
      </c>
      <c r="R12" s="23" t="n">
        <v>-186.262</v>
      </c>
      <c r="S12" s="23" t="n">
        <v>-136.315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-16.157641395908545</v>
      </c>
      <c r="F13" s="11">
        <f>IFERROR(F12/F14,0)</f>
        <v>-13.063302752293577</v>
      </c>
      <c r="G13" s="11">
        <f>IFERROR(G12/G14,0)</f>
        <v>-3.543758480325644</v>
      </c>
      <c r="H13" s="11">
        <f>IFERROR(H12/H14,0)</f>
        <v>-1.265548601603755</v>
      </c>
      <c r="I13" s="11">
        <f>IFERROR(I12/I14,0)</f>
        <v>-1.1768953068592056</v>
      </c>
      <c r="J13" s="11">
        <f>IFERROR(J12/J14,0)</f>
        <v>-1.0537884990867292</v>
      </c>
      <c r="K13" s="11">
        <f>IFERROR(K12/K14,0)</f>
        <v>-1.023105140298223</v>
      </c>
      <c r="L13" s="11">
        <f>IFERROR(L12/L14,0)</f>
        <v>-1.1851021425012456</v>
      </c>
      <c r="M13" s="11">
        <f>IFERROR(M12/M14,0)</f>
        <v>-1.4393248375885381</v>
      </c>
      <c r="N13" s="11">
        <f>IFERROR(N12/N14,0)</f>
        <v>-2.1045942829398556</v>
      </c>
      <c r="O13" s="11">
        <f>IFERROR(O12/O14,0)</f>
        <v>-2.2391315820025963</v>
      </c>
      <c r="P13" s="11">
        <f>IFERROR(P12/P14,0)</f>
        <v>-2.909559415859377</v>
      </c>
      <c r="Q13" s="11">
        <f>IFERROR(Q12/Q14,0)</f>
        <v>-1.6352643505299205</v>
      </c>
      <c r="R13" s="11">
        <f>IFERROR(R12/R14,0)</f>
        <v>-1.6384043629326648</v>
      </c>
      <c r="S13" s="11">
        <f>IFERROR(S12/S14,0)</f>
        <v>-1.1475292533041501</v>
      </c>
    </row>
    <row r="14">
      <c r="A14" s="2" t="inlineStr">
        <is>
          <t>Shares</t>
        </is>
      </c>
      <c r="B14" s="23" t="n"/>
      <c r="C14" s="23" t="n"/>
      <c r="D14" s="23" t="n"/>
      <c r="E14" s="23" t="n">
        <v>0.831</v>
      </c>
      <c r="F14" s="23" t="n">
        <v>1.09</v>
      </c>
      <c r="G14" s="23" t="n">
        <v>5.896</v>
      </c>
      <c r="H14" s="23" t="n">
        <v>20.452</v>
      </c>
      <c r="I14" s="23" t="n">
        <v>25.484</v>
      </c>
      <c r="J14" s="23" t="n">
        <v>31.754</v>
      </c>
      <c r="K14" s="23" t="n">
        <v>41.982</v>
      </c>
      <c r="L14" s="23" t="n">
        <v>56.196</v>
      </c>
      <c r="M14" s="23" t="n">
        <v>68.191</v>
      </c>
      <c r="N14" s="23" t="n">
        <v>82.38500000000001</v>
      </c>
      <c r="O14" s="23" t="n">
        <v>94.747</v>
      </c>
      <c r="P14" s="23" t="n">
        <v>96.82599999999999</v>
      </c>
      <c r="Q14" s="23" t="n">
        <v>98.411</v>
      </c>
      <c r="R14" s="23" t="n">
        <v>113.685</v>
      </c>
      <c r="S14" s="23" t="n">
        <v>118.79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1.282051282051282</v>
      </c>
      <c r="G16" s="15">
        <f>IFERROR(G2/F2-1,"")</f>
        <v>-0.6363295880149813</v>
      </c>
      <c r="H16" s="15">
        <f>IFERROR(H2/G2-1,"")</f>
        <v>-1.0</v>
      </c>
      <c r="I16" s="15">
        <f>IFERROR(I2/H2-1,"")</f>
        <v/>
      </c>
      <c r="J16" s="15">
        <f>IFERROR(J2/I2-1,"")</f>
        <v>0.8107774578362814</v>
      </c>
      <c r="K16" s="15">
        <f>IFERROR(K2/J2-1,"")</f>
        <v>-0.06724216265333949</v>
      </c>
      <c r="L16" s="15">
        <f>IFERROR(L2/K2-1,"")</f>
        <v>0.15440818314661486</v>
      </c>
      <c r="M16" s="15">
        <f>IFERROR(M2/L2-1,"")</f>
        <v>1.2531645569620253</v>
      </c>
      <c r="N16" s="15">
        <f>IFERROR(N2/M2-1,"")</f>
        <v>1.9432584269662923</v>
      </c>
      <c r="O16" s="15">
        <f>IFERROR(O2/N2-1,"")</f>
        <v>0.7766113125914613</v>
      </c>
      <c r="P16" s="15">
        <f>IFERROR(P2/O2-1,"")</f>
        <v>0.7243849156609248</v>
      </c>
      <c r="Q16" s="15">
        <f>IFERROR(Q2/P2-1,"")</f>
        <v>-0.3402596053997923</v>
      </c>
      <c r="R16" s="15">
        <f>IFERROR(R2/Q2-1,"")</f>
        <v>-0.7854500810602364</v>
      </c>
      <c r="S16" s="15">
        <f>IFERROR(S2/R2-1,"")</f>
        <v>-0.5124348910571492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/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-11.361538461538464</v>
      </c>
      <c r="F18" s="15">
        <f>IFERROR(F8/F2,"")</f>
        <v>-5.0775280898876405</v>
      </c>
      <c r="G18" s="15">
        <f>IFERROR(G8/G2,"")</f>
        <v>-18.202883625128734</v>
      </c>
      <c r="H18" s="15">
        <f>IFERROR(H8/H2,"")</f>
        <v/>
      </c>
      <c r="I18" s="15">
        <f>IFERROR(I8/I2,"")</f>
        <v>-11.428218839983545</v>
      </c>
      <c r="J18" s="15">
        <f>IFERROR(J8/J2,"")</f>
        <v>-7.261017719218537</v>
      </c>
      <c r="K18" s="15">
        <f>IFERROR(K8/K2,"")</f>
        <v>-10.259376522162688</v>
      </c>
      <c r="L18" s="15">
        <f>IFERROR(L8/L2,"")</f>
        <v>-14.154430379746834</v>
      </c>
      <c r="M18" s="15">
        <f>IFERROR(M8/M2,"")</f>
        <v>-9.431367041198502</v>
      </c>
      <c r="N18" s="15">
        <f>IFERROR(N8/N2,"")</f>
        <v>-4.074728001527009</v>
      </c>
      <c r="O18" s="15">
        <f>IFERROR(O8/O2,"")</f>
        <v>-3.885578197185117</v>
      </c>
      <c r="P18" s="15">
        <f>IFERROR(P8/P2,"")</f>
        <v>-3.202346832814123</v>
      </c>
      <c r="Q18" s="15">
        <f>IFERROR(Q8/Q2,"")</f>
        <v>-2.998614893047707</v>
      </c>
      <c r="R18" s="15">
        <f>IFERROR(R8/R2,"")</f>
        <v>-15.426307681021202</v>
      </c>
      <c r="S18" s="15">
        <f>IFERROR(S8/S2,"")</f>
        <v>-22.22449593740596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2026-10-21T01:05:35Z</dcterms:modified>
  <cp:lastModifiedBy>Wang, Eric</cp:lastModifiedBy>
</cp:coreProperties>
</file>