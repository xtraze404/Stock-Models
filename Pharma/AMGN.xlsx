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Amgen Inc</t>
        </is>
      </c>
      <c r="C2" s="10" t="n"/>
    </row>
    <row r="3">
      <c r="B3" t="inlineStr">
        <is>
          <t>Price</t>
        </is>
      </c>
      <c r="C3" s="11">
        <f>INDEX([1]Pharma!$F$1:$F$1000,MATCH("AMGN",[1]Pharma!$B$1:$B$1000,0))</f>
        <v>438.94</v>
      </c>
      <c r="F3" s="1" t="n"/>
    </row>
    <row r="4">
      <c r="B4" t="inlineStr">
        <is>
          <t>Shares</t>
        </is>
      </c>
      <c r="C4" s="51" t="n">
        <v>540.632005</v>
      </c>
      <c r="F4" s="1" t="n"/>
    </row>
    <row r="5">
      <c r="B5" t="inlineStr">
        <is>
          <t>Market Cap.</t>
        </is>
      </c>
      <c r="C5" s="13">
        <f>C3*C4</f>
        <v>237305.0122747</v>
      </c>
      <c r="F5" s="1" t="n"/>
    </row>
    <row r="6"/>
    <row r="7">
      <c r="B7" t="inlineStr">
        <is>
          <t>Cash</t>
        </is>
      </c>
      <c r="C7" s="51" t="n">
        <v>13989</v>
      </c>
    </row>
    <row r="8">
      <c r="B8" t="inlineStr">
        <is>
          <t>Debt</t>
        </is>
      </c>
      <c r="C8" s="51">
        <f>5445+51859</f>
        <v>57304.0</v>
      </c>
    </row>
    <row r="9">
      <c r="B9" t="inlineStr">
        <is>
          <t>Enterprise V.</t>
        </is>
      </c>
      <c r="C9" s="13">
        <f>C5-C7+C8</f>
        <v>280620.0122747</v>
      </c>
    </row>
    <row r="10"/>
    <row r="11">
      <c r="B11" s="14" t="inlineStr">
        <is>
          <t>NPV / Share</t>
        </is>
      </c>
      <c r="C11" s="11">
        <f>NPV!B28</f>
        <v>271.63788606981916</v>
      </c>
    </row>
    <row r="12">
      <c r="B12" s="14" t="inlineStr">
        <is>
          <t>Upside</t>
        </is>
      </c>
      <c r="C12" s="15">
        <f>IFERROR(C11/C3-1,"")</f>
        <v>-0.38115030284362517</v>
      </c>
    </row>
    <row r="13">
      <c r="B13" s="14" t="inlineStr">
        <is>
          <t>Cash / Share</t>
        </is>
      </c>
      <c r="C13" s="11">
        <f>IFERROR((C7-C8)/C4,"")</f>
        <v>-80.11919309142638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14771</v>
      </c>
      <c r="C2" s="52" t="n">
        <v>15003</v>
      </c>
      <c r="D2" s="52" t="n">
        <v>14642</v>
      </c>
      <c r="E2" s="52" t="n">
        <v>15053</v>
      </c>
      <c r="F2" s="52" t="n">
        <v>15582</v>
      </c>
      <c r="G2" s="52" t="n">
        <v>17265</v>
      </c>
      <c r="H2" s="52" t="n">
        <v>18676</v>
      </c>
      <c r="I2" s="52" t="n">
        <v>20063</v>
      </c>
      <c r="J2" s="52" t="n">
        <v>21662</v>
      </c>
      <c r="K2" s="52" t="n">
        <v>22991</v>
      </c>
      <c r="L2" s="52" t="n">
        <v>22849</v>
      </c>
      <c r="M2" s="52" t="n">
        <v>23747</v>
      </c>
      <c r="N2" s="52" t="n">
        <v>23362</v>
      </c>
      <c r="O2" s="52" t="n">
        <v>25424</v>
      </c>
      <c r="P2" s="52" t="n">
        <v>25979</v>
      </c>
      <c r="Q2" s="52" t="n">
        <v>26323</v>
      </c>
      <c r="R2" s="52" t="n">
        <v>28190</v>
      </c>
      <c r="S2" s="52" t="n">
        <v>33424</v>
      </c>
      <c r="T2" s="52" t="n">
        <v>36751</v>
      </c>
      <c r="U2" s="52">
        <f>T2*(1+NPV!C5)</f>
        <v>39602.87759999999</v>
      </c>
      <c r="V2" s="52">
        <f>U2*(1+NPV!D5)</f>
        <v>42444.60408378666</v>
      </c>
      <c r="W2" s="52">
        <f>V2*(1+NPV!E5)</f>
        <v>45242.17509962024</v>
      </c>
      <c r="X2" s="52">
        <f>W2*(1+NPV!F5)</f>
        <v>47959.7217506041</v>
      </c>
      <c r="Y2" s="52">
        <f>X2*(1+NPV!G5)</f>
        <v>50560.204441081296</v>
      </c>
      <c r="Z2" s="52">
        <f>Y2*(1+NPV!H5)</f>
        <v>53006.19477593094</v>
      </c>
      <c r="AA2" s="52">
        <f>Z2*(1+NPV!I5)</f>
        <v>55260.724927067204</v>
      </c>
      <c r="AB2" s="52">
        <f>AA2*(1+NPV!J5)</f>
        <v>57288.17952383583</v>
      </c>
      <c r="AC2" s="52">
        <f>AB2*(1+NPV!K5)</f>
        <v>59055.20159448215</v>
      </c>
      <c r="AD2" s="52">
        <f>AC2*(1+NPV!L5)</f>
        <v>60531.5816343442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2708</v>
      </c>
      <c r="G3" s="52" t="n">
        <v>3199</v>
      </c>
      <c r="H3" s="52" t="n">
        <v>3346</v>
      </c>
      <c r="I3" s="52" t="n">
        <v>4422</v>
      </c>
      <c r="J3" s="52" t="n">
        <v>4227</v>
      </c>
      <c r="K3" s="52" t="n">
        <v>4162</v>
      </c>
      <c r="L3" s="52" t="n">
        <v>4069</v>
      </c>
      <c r="M3" s="52" t="n">
        <v>4101</v>
      </c>
      <c r="N3" s="52" t="n">
        <v>4356</v>
      </c>
      <c r="O3" s="52" t="n">
        <v>6159</v>
      </c>
      <c r="P3" s="52" t="n">
        <v>6454</v>
      </c>
      <c r="Q3" s="52" t="n">
        <v>6406</v>
      </c>
      <c r="R3" s="52" t="n">
        <v>8451</v>
      </c>
      <c r="S3" s="52" t="n">
        <v>12858</v>
      </c>
      <c r="T3" s="52" t="n">
        <v>12037</v>
      </c>
      <c r="U3" s="52">
        <f>U2*(1-Assumptions!$B$19)</f>
        <v>12969.942413999997</v>
      </c>
      <c r="V3" s="52">
        <f>V2*(1-Assumptions!$B$19)</f>
        <v>13900.607837440131</v>
      </c>
      <c r="W3" s="52">
        <f>W2*(1-Assumptions!$B$19)</f>
        <v>14816.812345125629</v>
      </c>
      <c r="X3" s="52">
        <f>X2*(1-Assumptions!$B$19)</f>
        <v>15706.808873322843</v>
      </c>
      <c r="Y3" s="52">
        <f>Y2*(1-Assumptions!$B$19)</f>
        <v>16558.466954454125</v>
      </c>
      <c r="Z3" s="52">
        <f>Z2*(1-Assumptions!$B$19)</f>
        <v>17359.528789117383</v>
      </c>
      <c r="AA3" s="52">
        <f>AA2*(1-Assumptions!$B$19)</f>
        <v>18097.88741361451</v>
      </c>
      <c r="AB3" s="52">
        <f>AB2*(1-Assumptions!$B$19)</f>
        <v>18761.878794056236</v>
      </c>
      <c r="AC3" s="52">
        <f>AC2*(1-Assumptions!$B$19)</f>
        <v>19340.578522192904</v>
      </c>
      <c r="AD3" s="52">
        <f>AD2*(1-Assumptions!$B$19)</f>
        <v>19824.092985247727</v>
      </c>
    </row>
    <row r="4" customFormat="1" s="1">
      <c r="A4" s="5" t="inlineStr">
        <is>
          <t>Gross Margin</t>
        </is>
      </c>
      <c r="B4" s="52">
        <f>B2-B3</f>
        <v>14771.0</v>
      </c>
      <c r="C4" s="52">
        <f>C2-C3</f>
        <v>15003.0</v>
      </c>
      <c r="D4" s="52">
        <f>D2-D3</f>
        <v>14642.0</v>
      </c>
      <c r="E4" s="52">
        <f>E2-E3</f>
        <v>15053.0</v>
      </c>
      <c r="F4" s="52">
        <f>F2-F3</f>
        <v>12874.0</v>
      </c>
      <c r="G4" s="52">
        <f>G2-G3</f>
        <v>14066.0</v>
      </c>
      <c r="H4" s="52">
        <f>H2-H3</f>
        <v>15330.0</v>
      </c>
      <c r="I4" s="52">
        <f>I2-I3</f>
        <v>15641.0</v>
      </c>
      <c r="J4" s="52">
        <f>J2-J3</f>
        <v>17435.0</v>
      </c>
      <c r="K4" s="52">
        <f>K2-K3</f>
        <v>18829.0</v>
      </c>
      <c r="L4" s="52">
        <f>L2-L3</f>
        <v>18780.0</v>
      </c>
      <c r="M4" s="52">
        <f>M2-M3</f>
        <v>19646.0</v>
      </c>
      <c r="N4" s="52">
        <f>N2-N3</f>
        <v>19006.0</v>
      </c>
      <c r="O4" s="52">
        <f>O2-O3</f>
        <v>19265.0</v>
      </c>
      <c r="P4" s="52">
        <f>P2-P3</f>
        <v>19525.0</v>
      </c>
      <c r="Q4" s="52">
        <f>Q2-Q3</f>
        <v>19917.0</v>
      </c>
      <c r="R4" s="52">
        <f>R2-R3</f>
        <v>19739.0</v>
      </c>
      <c r="S4" s="52">
        <f>S2-S3</f>
        <v>20566.0</v>
      </c>
      <c r="T4" s="52">
        <f>T2-T3</f>
        <v>24714.0</v>
      </c>
      <c r="U4" s="52">
        <f>U2-U3</f>
        <v>26632.935185999995</v>
      </c>
      <c r="V4" s="52">
        <f>V2-V3</f>
        <v>28543.996246346527</v>
      </c>
      <c r="W4" s="52">
        <f>W2-W3</f>
        <v>30425.36275449461</v>
      </c>
      <c r="X4" s="52">
        <f>X2-X3</f>
        <v>32252.912877281255</v>
      </c>
      <c r="Y4" s="52">
        <f>Y2-Y3</f>
        <v>34001.73748662717</v>
      </c>
      <c r="Z4" s="52">
        <f>Z2-Z3</f>
        <v>35646.66598681356</v>
      </c>
      <c r="AA4" s="52">
        <f>AA2-AA3</f>
        <v>37162.837513452694</v>
      </c>
      <c r="AB4" s="52">
        <f>AB2-AB3</f>
        <v>38526.3007297796</v>
      </c>
      <c r="AC4" s="52">
        <f>AC2-AC3</f>
        <v>39714.62307228924</v>
      </c>
      <c r="AD4" s="52">
        <f>AD2-AD3</f>
        <v>40707.48864909647</v>
      </c>
    </row>
    <row r="5">
      <c r="A5" s="2" t="inlineStr">
        <is>
          <t>Research &amp; Dev.</t>
        </is>
      </c>
      <c r="B5" s="52" t="n">
        <v>3266</v>
      </c>
      <c r="C5" s="52" t="n">
        <v>3030</v>
      </c>
      <c r="D5" s="52" t="n">
        <v>2864</v>
      </c>
      <c r="E5" s="52" t="n">
        <v>2894</v>
      </c>
      <c r="F5" s="52" t="n">
        <v>3167</v>
      </c>
      <c r="G5" s="52" t="n">
        <v>3380</v>
      </c>
      <c r="H5" s="52" t="n">
        <v>4083</v>
      </c>
      <c r="I5" s="52" t="n">
        <v>4297</v>
      </c>
      <c r="J5" s="52" t="n">
        <v>4070</v>
      </c>
      <c r="K5" s="52" t="n">
        <v>3840</v>
      </c>
      <c r="L5" s="52" t="n">
        <v>3562</v>
      </c>
      <c r="M5" s="52" t="n">
        <v>3737</v>
      </c>
      <c r="N5" s="52" t="n">
        <v>4116</v>
      </c>
      <c r="O5" s="52" t="n">
        <v>4207</v>
      </c>
      <c r="P5" s="52" t="n">
        <v>4819</v>
      </c>
      <c r="Q5" s="52" t="n">
        <v>4434</v>
      </c>
      <c r="R5" s="52" t="n">
        <v>4784</v>
      </c>
      <c r="S5" s="52" t="n">
        <v>5964</v>
      </c>
      <c r="T5" s="52" t="n">
        <v>7272</v>
      </c>
      <c r="U5" s="52">
        <f>U7*Assumptions!$B$20</f>
        <v>6929.892626407264</v>
      </c>
      <c r="V5" s="52">
        <f>V7*Assumptions!$B$20</f>
        <v>7498.810698609975</v>
      </c>
      <c r="W5" s="52">
        <f>W7*Assumptions!$B$20</f>
        <v>8069.448596136211</v>
      </c>
      <c r="X5" s="52">
        <f>X7*Assumptions!$B$20</f>
        <v>8635.124496852053</v>
      </c>
      <c r="Y5" s="52">
        <f>Y7*Assumptions!$B$20</f>
        <v>9188.701586677455</v>
      </c>
      <c r="Z5" s="52">
        <f>Z7*Assumptions!$B$20</f>
        <v>9722.721597824791</v>
      </c>
      <c r="AA5" s="52">
        <f>AA7*Assumptions!$B$20</f>
        <v>10229.55875673606</v>
      </c>
      <c r="AB5" s="52">
        <f>AB7*Assumptions!$B$20</f>
        <v>10701.59027958074</v>
      </c>
      <c r="AC5" s="52">
        <f>AC7*Assumptions!$B$20</f>
        <v>11131.378550996056</v>
      </c>
      <c r="AD5" s="52">
        <f>AD7*Assumptions!$B$20</f>
        <v>11511.859270954781</v>
      </c>
    </row>
    <row r="6">
      <c r="A6" s="18" t="inlineStr">
        <is>
          <t>SG&amp;A &amp; Other</t>
        </is>
      </c>
      <c r="B6" s="52" t="n">
        <v>7525</v>
      </c>
      <c r="C6" s="52" t="n">
        <v>6759</v>
      </c>
      <c r="D6" s="52" t="n">
        <v>6272</v>
      </c>
      <c r="E6" s="52" t="n">
        <v>6614</v>
      </c>
      <c r="F6" s="52" t="n">
        <v>5395</v>
      </c>
      <c r="G6" s="52" t="n">
        <v>5109</v>
      </c>
      <c r="H6" s="52" t="n">
        <v>5380</v>
      </c>
      <c r="I6" s="52" t="n">
        <v>5153</v>
      </c>
      <c r="J6" s="52" t="n">
        <v>4895</v>
      </c>
      <c r="K6" s="52" t="n">
        <v>5195</v>
      </c>
      <c r="L6" s="52" t="n">
        <v>5245</v>
      </c>
      <c r="M6" s="52" t="n">
        <v>5646</v>
      </c>
      <c r="N6" s="52" t="n">
        <v>5216</v>
      </c>
      <c r="O6" s="52" t="n">
        <v>5919</v>
      </c>
      <c r="P6" s="52" t="n">
        <v>7067</v>
      </c>
      <c r="Q6" s="52" t="n">
        <v>5917</v>
      </c>
      <c r="R6" s="52" t="n">
        <v>7058</v>
      </c>
      <c r="S6" s="52" t="n">
        <v>7344</v>
      </c>
      <c r="T6" s="52" t="n">
        <v>8362</v>
      </c>
      <c r="U6" s="52">
        <f>U7-U5</f>
        <v>7969.8980130407335</v>
      </c>
      <c r="V6" s="52">
        <f>V7-V5</f>
        <v>8624.196608657225</v>
      </c>
      <c r="W6" s="52">
        <f>W7-W5</f>
        <v>9280.473132817155</v>
      </c>
      <c r="X6" s="52">
        <f>X7-X5</f>
        <v>9931.042987241804</v>
      </c>
      <c r="Y6" s="52">
        <f>Y7-Y5</f>
        <v>10567.69829867506</v>
      </c>
      <c r="Z6" s="52">
        <f>Z7-Z5</f>
        <v>11181.861497906859</v>
      </c>
      <c r="AA6" s="52">
        <f>AA7-AA5</f>
        <v>11764.762371485955</v>
      </c>
      <c r="AB6" s="52">
        <f>AB7-AB5</f>
        <v>12307.634144372687</v>
      </c>
      <c r="AC6" s="52">
        <f>AC7-AC5</f>
        <v>12801.922999199722</v>
      </c>
      <c r="AD6" s="52">
        <f>AD7-AD5</f>
        <v>13239.504459328557</v>
      </c>
    </row>
    <row r="7">
      <c r="A7" s="2" t="inlineStr">
        <is>
          <t>Operating Expense</t>
        </is>
      </c>
      <c r="B7" s="52">
        <f>SUM(B5:B6)</f>
        <v>10791.0</v>
      </c>
      <c r="C7" s="52">
        <f>SUM(C5:C6)</f>
        <v>9789.0</v>
      </c>
      <c r="D7" s="52">
        <f>SUM(D5:D6)</f>
        <v>9136.0</v>
      </c>
      <c r="E7" s="52">
        <f>SUM(E5:E6)</f>
        <v>9508.0</v>
      </c>
      <c r="F7" s="52">
        <f>SUM(F5:F6)</f>
        <v>8562.0</v>
      </c>
      <c r="G7" s="52">
        <f>SUM(G5:G6)</f>
        <v>8489.0</v>
      </c>
      <c r="H7" s="52">
        <f>SUM(H5:H6)</f>
        <v>9463.0</v>
      </c>
      <c r="I7" s="52">
        <f>SUM(I5:I6)</f>
        <v>9450.0</v>
      </c>
      <c r="J7" s="52">
        <f>SUM(J5:J6)</f>
        <v>8965.0</v>
      </c>
      <c r="K7" s="52">
        <f>SUM(K5:K6)</f>
        <v>9035.0</v>
      </c>
      <c r="L7" s="52">
        <f>SUM(L5:L6)</f>
        <v>8807.0</v>
      </c>
      <c r="M7" s="52">
        <f>SUM(M5:M6)</f>
        <v>9383.0</v>
      </c>
      <c r="N7" s="52">
        <f>SUM(N5:N6)</f>
        <v>9332.0</v>
      </c>
      <c r="O7" s="52">
        <f>SUM(O5:O6)</f>
        <v>10126.0</v>
      </c>
      <c r="P7" s="52">
        <f>SUM(P5:P6)</f>
        <v>11886.0</v>
      </c>
      <c r="Q7" s="52">
        <f>SUM(Q5:Q6)</f>
        <v>10351.0</v>
      </c>
      <c r="R7" s="52">
        <f>SUM(R5:R6)</f>
        <v>11842.0</v>
      </c>
      <c r="S7" s="52">
        <f>SUM(S5:S6)</f>
        <v>13308.0</v>
      </c>
      <c r="T7" s="52">
        <f>SUM(T5:T6)</f>
        <v>15634.0</v>
      </c>
      <c r="U7" s="52">
        <f>U4-U2*NPV!C6</f>
        <v>14899.790639447998</v>
      </c>
      <c r="V7" s="52">
        <f>V4-V2*NPV!D6</f>
        <v>16123.007307267198</v>
      </c>
      <c r="W7" s="52">
        <f>W4-W2*NPV!E6</f>
        <v>17349.921728953366</v>
      </c>
      <c r="X7" s="52">
        <f>X4-X2*NPV!F6</f>
        <v>18566.167484093858</v>
      </c>
      <c r="Y7" s="52">
        <f>Y4-Y2*NPV!G6</f>
        <v>19756.399885352515</v>
      </c>
      <c r="Z7" s="52">
        <f>Z4-Z2*NPV!H6</f>
        <v>20904.58309573165</v>
      </c>
      <c r="AA7" s="52">
        <f>AA4-AA2*NPV!I6</f>
        <v>21994.321128222015</v>
      </c>
      <c r="AB7" s="52">
        <f>AB4-AB2*NPV!J6</f>
        <v>23009.224423953427</v>
      </c>
      <c r="AC7" s="52">
        <f>AC4-AC2*NPV!K6</f>
        <v>23933.301550195778</v>
      </c>
      <c r="AD7" s="52">
        <f>AD4-AD2*NPV!L6</f>
        <v>24751.363730283338</v>
      </c>
    </row>
    <row r="8">
      <c r="A8" s="2" t="inlineStr">
        <is>
          <t>Operating Income</t>
        </is>
      </c>
      <c r="B8" s="52">
        <f>B4-B7</f>
        <v>3980.0</v>
      </c>
      <c r="C8" s="52">
        <f>C4-C7</f>
        <v>5214.0</v>
      </c>
      <c r="D8" s="52">
        <f>D4-D7</f>
        <v>5506.0</v>
      </c>
      <c r="E8" s="52">
        <f>E4-E7</f>
        <v>5545.0</v>
      </c>
      <c r="F8" s="52">
        <f>F4-F7</f>
        <v>4312.0</v>
      </c>
      <c r="G8" s="52">
        <f>G4-G7</f>
        <v>5577.0</v>
      </c>
      <c r="H8" s="52">
        <f>H4-H7</f>
        <v>5867.0</v>
      </c>
      <c r="I8" s="52">
        <f>I4-I7</f>
        <v>6191.0</v>
      </c>
      <c r="J8" s="52">
        <f>J4-J7</f>
        <v>8470.0</v>
      </c>
      <c r="K8" s="52">
        <f>K4-K7</f>
        <v>9794.0</v>
      </c>
      <c r="L8" s="52">
        <f>L4-L7</f>
        <v>9973.0</v>
      </c>
      <c r="M8" s="52">
        <f>M4-M7</f>
        <v>10263.0</v>
      </c>
      <c r="N8" s="52">
        <f>N4-N7</f>
        <v>9674.0</v>
      </c>
      <c r="O8" s="52">
        <f>O4-O7</f>
        <v>9139.0</v>
      </c>
      <c r="P8" s="52">
        <f>P4-P7</f>
        <v>7639.0</v>
      </c>
      <c r="Q8" s="52">
        <f>Q4-Q7</f>
        <v>9566.0</v>
      </c>
      <c r="R8" s="52">
        <f>R4-R7</f>
        <v>7897.0</v>
      </c>
      <c r="S8" s="52">
        <f>S4-S7</f>
        <v>7258.0</v>
      </c>
      <c r="T8" s="52">
        <f>T4-T7</f>
        <v>9080.0</v>
      </c>
      <c r="U8" s="52">
        <f>U4-U7</f>
        <v>11733.144546551997</v>
      </c>
      <c r="V8" s="52">
        <f>V4-V7</f>
        <v>12420.988939079329</v>
      </c>
      <c r="W8" s="52">
        <f>W4-W7</f>
        <v>13075.441025541244</v>
      </c>
      <c r="X8" s="52">
        <f>X4-X7</f>
        <v>13686.745393187397</v>
      </c>
      <c r="Y8" s="52">
        <f>Y4-Y7</f>
        <v>14245.337601274656</v>
      </c>
      <c r="Z8" s="52">
        <f>Z4-Z7</f>
        <v>14742.082891081911</v>
      </c>
      <c r="AA8" s="52">
        <f>AA4-AA7</f>
        <v>15168.51638523068</v>
      </c>
      <c r="AB8" s="52">
        <f>AB4-AB7</f>
        <v>15517.076305826173</v>
      </c>
      <c r="AC8" s="52">
        <f>AC4-AC7</f>
        <v>15781.321522093465</v>
      </c>
      <c r="AD8" s="52">
        <f>AD4-AD7</f>
        <v>15956.124918813133</v>
      </c>
    </row>
    <row r="9">
      <c r="A9" s="18" t="inlineStr">
        <is>
          <t>Interest &amp; Other</t>
        </is>
      </c>
      <c r="B9" s="52" t="n">
        <v>-187</v>
      </c>
      <c r="C9" s="52" t="n">
        <v>-199</v>
      </c>
      <c r="D9" s="52" t="n">
        <v>-302</v>
      </c>
      <c r="E9" s="52" t="n">
        <v>-228</v>
      </c>
      <c r="F9" s="52" t="n">
        <v>-162</v>
      </c>
      <c r="G9" s="52" t="n">
        <v>-568</v>
      </c>
      <c r="H9" s="52" t="n">
        <v>-602</v>
      </c>
      <c r="I9" s="52" t="n">
        <v>-606</v>
      </c>
      <c r="J9" s="52" t="n">
        <v>-492</v>
      </c>
      <c r="K9" s="52" t="n">
        <v>-631</v>
      </c>
      <c r="L9" s="52" t="n">
        <v>-376</v>
      </c>
      <c r="M9" s="52" t="n">
        <v>-718</v>
      </c>
      <c r="N9" s="52" t="n">
        <v>-536</v>
      </c>
      <c r="O9" s="52" t="n">
        <v>-1006</v>
      </c>
      <c r="P9" s="52" t="n">
        <v>-938</v>
      </c>
      <c r="Q9" s="52" t="n">
        <v>-2220</v>
      </c>
      <c r="R9" s="52" t="n">
        <v>-42</v>
      </c>
      <c r="S9" s="52" t="n">
        <v>-2649</v>
      </c>
      <c r="T9" s="52" t="n">
        <v>-104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3793.0</v>
      </c>
      <c r="C10" s="52">
        <f>C8+C9</f>
        <v>5015.0</v>
      </c>
      <c r="D10" s="52">
        <f>D8+D9</f>
        <v>5204.0</v>
      </c>
      <c r="E10" s="52">
        <f>E8+E9</f>
        <v>5317.0</v>
      </c>
      <c r="F10" s="52">
        <f>F8+F9</f>
        <v>4150.0</v>
      </c>
      <c r="G10" s="52">
        <f>G8+G9</f>
        <v>5009.0</v>
      </c>
      <c r="H10" s="52">
        <f>H8+H9</f>
        <v>5265.0</v>
      </c>
      <c r="I10" s="52">
        <f>I8+I9</f>
        <v>5585.0</v>
      </c>
      <c r="J10" s="52">
        <f>J8+J9</f>
        <v>7978.0</v>
      </c>
      <c r="K10" s="52">
        <f>K8+K9</f>
        <v>9163.0</v>
      </c>
      <c r="L10" s="52">
        <f>L8+L9</f>
        <v>9597.0</v>
      </c>
      <c r="M10" s="52">
        <f>M8+M9</f>
        <v>9545.0</v>
      </c>
      <c r="N10" s="52">
        <f>N8+N9</f>
        <v>9138.0</v>
      </c>
      <c r="O10" s="52">
        <f>O8+O9</f>
        <v>8133.0</v>
      </c>
      <c r="P10" s="52">
        <f>P8+P9</f>
        <v>6701.0</v>
      </c>
      <c r="Q10" s="52">
        <f>Q8+Q9</f>
        <v>7346.0</v>
      </c>
      <c r="R10" s="52">
        <f>R8+R9</f>
        <v>7855.0</v>
      </c>
      <c r="S10" s="52">
        <f>S8+S9</f>
        <v>4609.0</v>
      </c>
      <c r="T10" s="52">
        <f>T8+T9</f>
        <v>8976.0</v>
      </c>
      <c r="U10" s="52">
        <f>U8+U9</f>
        <v>11733.144546551997</v>
      </c>
      <c r="V10" s="52">
        <f>V8+V9</f>
        <v>12420.988939079329</v>
      </c>
      <c r="W10" s="52">
        <f>W8+W9</f>
        <v>13075.441025541244</v>
      </c>
      <c r="X10" s="52">
        <f>X8+X9</f>
        <v>13686.745393187397</v>
      </c>
      <c r="Y10" s="52">
        <f>Y8+Y9</f>
        <v>14245.337601274656</v>
      </c>
      <c r="Z10" s="52">
        <f>Z8+Z9</f>
        <v>14742.082891081911</v>
      </c>
      <c r="AA10" s="52">
        <f>AA8+AA9</f>
        <v>15168.51638523068</v>
      </c>
      <c r="AB10" s="52">
        <f>AB8+AB9</f>
        <v>15517.076305826173</v>
      </c>
      <c r="AC10" s="52">
        <f>AC8+AC9</f>
        <v>15781.321522093465</v>
      </c>
      <c r="AD10" s="52">
        <f>AD8+AD9</f>
        <v>15956.124918813133</v>
      </c>
    </row>
    <row r="11">
      <c r="A11" s="2" t="inlineStr">
        <is>
          <t>Taxes</t>
        </is>
      </c>
      <c r="B11" s="52" t="n">
        <v>715</v>
      </c>
      <c r="C11" s="52" t="n">
        <v>963</v>
      </c>
      <c r="D11" s="52" t="n">
        <v>599</v>
      </c>
      <c r="E11" s="52" t="n">
        <v>690</v>
      </c>
      <c r="F11" s="52" t="n">
        <v>467</v>
      </c>
      <c r="G11" s="52" t="n">
        <v>664</v>
      </c>
      <c r="H11" s="52" t="n">
        <v>184</v>
      </c>
      <c r="I11" s="52" t="n">
        <v>427</v>
      </c>
      <c r="J11" s="52" t="n">
        <v>1039</v>
      </c>
      <c r="K11" s="52" t="n">
        <v>1441</v>
      </c>
      <c r="L11" s="52" t="n">
        <v>7618</v>
      </c>
      <c r="M11" s="52" t="n">
        <v>1151</v>
      </c>
      <c r="N11" s="52" t="n">
        <v>1296</v>
      </c>
      <c r="O11" s="52" t="n">
        <v>869</v>
      </c>
      <c r="P11" s="52" t="n">
        <v>808</v>
      </c>
      <c r="Q11" s="52" t="n">
        <v>794</v>
      </c>
      <c r="R11" s="52" t="n">
        <v>1138</v>
      </c>
      <c r="S11" s="52" t="n">
        <v>519</v>
      </c>
      <c r="T11" s="52" t="n">
        <v>1265</v>
      </c>
      <c r="U11" s="52">
        <f>MAX(0,U10)*Assumptions!$E$14</f>
        <v>1994.6345729138397</v>
      </c>
      <c r="V11" s="52">
        <f>MAX(0,V10)*Assumptions!$E$14</f>
        <v>2111.568119643486</v>
      </c>
      <c r="W11" s="52">
        <f>MAX(0,W10)*Assumptions!$E$14</f>
        <v>2222.8249743420115</v>
      </c>
      <c r="X11" s="52">
        <f>MAX(0,X10)*Assumptions!$E$14</f>
        <v>2326.7467168418575</v>
      </c>
      <c r="Y11" s="52">
        <f>MAX(0,Y10)*Assumptions!$E$14</f>
        <v>2421.7073922166915</v>
      </c>
      <c r="Z11" s="52">
        <f>MAX(0,Z10)*Assumptions!$E$14</f>
        <v>2506.154091483925</v>
      </c>
      <c r="AA11" s="52">
        <f>MAX(0,AA10)*Assumptions!$E$14</f>
        <v>2578.6477854892155</v>
      </c>
      <c r="AB11" s="52">
        <f>MAX(0,AB10)*Assumptions!$E$14</f>
        <v>2637.9029719904497</v>
      </c>
      <c r="AC11" s="52">
        <f>MAX(0,AC10)*Assumptions!$E$14</f>
        <v>2682.8246587558892</v>
      </c>
      <c r="AD11" s="52">
        <f>MAX(0,AD10)*Assumptions!$E$14</f>
        <v>2712.541236198233</v>
      </c>
    </row>
    <row r="12">
      <c r="A12" s="2" t="inlineStr">
        <is>
          <t>Net Income</t>
        </is>
      </c>
      <c r="B12" s="52" t="n">
        <v>3078</v>
      </c>
      <c r="C12" s="52" t="n">
        <v>4052</v>
      </c>
      <c r="D12" s="52" t="n">
        <v>4605</v>
      </c>
      <c r="E12" s="52" t="n">
        <v>4627</v>
      </c>
      <c r="F12" s="52" t="n">
        <v>3683</v>
      </c>
      <c r="G12" s="52" t="n">
        <v>4345</v>
      </c>
      <c r="H12" s="52" t="n">
        <v>5081</v>
      </c>
      <c r="I12" s="52" t="n">
        <v>5158</v>
      </c>
      <c r="J12" s="52" t="n">
        <v>6939</v>
      </c>
      <c r="K12" s="52" t="n">
        <v>7722</v>
      </c>
      <c r="L12" s="52" t="n">
        <v>1979</v>
      </c>
      <c r="M12" s="52" t="n">
        <v>8394</v>
      </c>
      <c r="N12" s="52" t="n">
        <v>7842</v>
      </c>
      <c r="O12" s="52" t="n">
        <v>7264</v>
      </c>
      <c r="P12" s="52" t="n">
        <v>5893</v>
      </c>
      <c r="Q12" s="52" t="n">
        <v>6552</v>
      </c>
      <c r="R12" s="52" t="n">
        <v>6717</v>
      </c>
      <c r="S12" s="52" t="n">
        <v>4090</v>
      </c>
      <c r="T12" s="52" t="n">
        <v>7711</v>
      </c>
      <c r="U12" s="52">
        <f>U10-U11</f>
        <v>9738.509973638158</v>
      </c>
      <c r="V12" s="52">
        <f>V10-V11</f>
        <v>10309.420819435843</v>
      </c>
      <c r="W12" s="52">
        <f>W10-W11</f>
        <v>10852.616051199233</v>
      </c>
      <c r="X12" s="52">
        <f>X10-X11</f>
        <v>11359.99867634554</v>
      </c>
      <c r="Y12" s="52">
        <f>Y10-Y11</f>
        <v>11823.630209057965</v>
      </c>
      <c r="Z12" s="52">
        <f>Z10-Z11</f>
        <v>12235.928799597987</v>
      </c>
      <c r="AA12" s="52">
        <f>AA10-AA11</f>
        <v>12589.868599741465</v>
      </c>
      <c r="AB12" s="52">
        <f>AB10-AB11</f>
        <v>12879.173333835723</v>
      </c>
      <c r="AC12" s="52">
        <f>AC10-AC11</f>
        <v>13098.496863337576</v>
      </c>
      <c r="AD12" s="52">
        <f>AD10-AD11</f>
        <v>13243.5836826149</v>
      </c>
    </row>
    <row r="13">
      <c r="A13" s="2" t="inlineStr">
        <is>
          <t>Earnings per Share</t>
        </is>
      </c>
      <c r="B13" s="11">
        <f>IFERROR(B12/B14,0)</f>
        <v>2.740872662511131</v>
      </c>
      <c r="C13" s="11">
        <f>IFERROR(C12/C14,0)</f>
        <v>3.7693023255813953</v>
      </c>
      <c r="D13" s="11">
        <f>IFERROR(D12/D14,0)</f>
        <v>4.5102840352595495</v>
      </c>
      <c r="E13" s="11">
        <f>IFERROR(E12/E14,0)</f>
        <v>4.794818652849741</v>
      </c>
      <c r="F13" s="11">
        <f>IFERROR(F12/F14,0)</f>
        <v>4.038377192982456</v>
      </c>
      <c r="G13" s="11">
        <f>IFERROR(G12/G14,0)</f>
        <v>5.520965692503177</v>
      </c>
      <c r="H13" s="11">
        <f>IFERROR(H12/H14,0)</f>
        <v>6.6418300653594775</v>
      </c>
      <c r="I13" s="11">
        <f>IFERROR(I12/I14,0)</f>
        <v>6.698701298701299</v>
      </c>
      <c r="J13" s="11">
        <f>IFERROR(J12/J14,0)</f>
        <v>9.058746736292429</v>
      </c>
      <c r="K13" s="11">
        <f>IFERROR(K12/K14,0)</f>
        <v>10.241379310344827</v>
      </c>
      <c r="L13" s="11">
        <f>IFERROR(L12/L14,0)</f>
        <v>2.692517006802721</v>
      </c>
      <c r="M13" s="11">
        <f>IFERROR(M12/M14,0)</f>
        <v>12.622556390977444</v>
      </c>
      <c r="N13" s="11">
        <f>IFERROR(N12/N14,0)</f>
        <v>12.876847290640393</v>
      </c>
      <c r="O13" s="11">
        <f>IFERROR(O12/O14,0)</f>
        <v>12.31186440677966</v>
      </c>
      <c r="P13" s="11">
        <f>IFERROR(P12/P14,0)</f>
        <v>10.284467713787086</v>
      </c>
      <c r="Q13" s="11">
        <f>IFERROR(Q12/Q14,0)</f>
        <v>12.11090573012939</v>
      </c>
      <c r="R13" s="11">
        <f>IFERROR(R12/R14,0)</f>
        <v>12.485130111524164</v>
      </c>
      <c r="S13" s="11">
        <f>IFERROR(S12/S14,0)</f>
        <v>7.56007393715342</v>
      </c>
      <c r="T13" s="11">
        <f>IFERROR(T12/T14,0)</f>
        <v>14.226937269372694</v>
      </c>
      <c r="U13" s="11">
        <f>IFERROR(U12/U14,0)</f>
        <v>18.013195451938063</v>
      </c>
      <c r="V13" s="11">
        <f>IFERROR(V12/V14,0)</f>
        <v>19.06920183061645</v>
      </c>
      <c r="W13" s="11">
        <f>IFERROR(W12/W14,0)</f>
        <v>20.073942997879364</v>
      </c>
      <c r="X13" s="11">
        <f>IFERROR(X12/X14,0)</f>
        <v>21.012442051679013</v>
      </c>
      <c r="Y13" s="11">
        <f>IFERROR(Y12/Y14,0)</f>
        <v>21.870015277874575</v>
      </c>
      <c r="Z13" s="11">
        <f>IFERROR(Z12/Z14,0)</f>
        <v>22.632638627448603</v>
      </c>
      <c r="AA13" s="11">
        <f>IFERROR(AA12/AA14,0)</f>
        <v>23.287316480165586</v>
      </c>
      <c r="AB13" s="11">
        <f>IFERROR(AB12/AB14,0)</f>
        <v>23.822439690442895</v>
      </c>
      <c r="AC13" s="11">
        <f>IFERROR(AC12/AC14,0)</f>
        <v>24.228119575232277</v>
      </c>
      <c r="AD13" s="11">
        <f>IFERROR(AD12/AD14,0)</f>
        <v>24.496484781020133</v>
      </c>
    </row>
    <row r="14">
      <c r="A14" s="2" t="inlineStr">
        <is>
          <t>Shares</t>
        </is>
      </c>
      <c r="B14" s="52" t="n">
        <v>1123</v>
      </c>
      <c r="C14" s="52" t="n">
        <v>1075</v>
      </c>
      <c r="D14" s="52" t="n">
        <v>1021</v>
      </c>
      <c r="E14" s="52" t="n">
        <v>965</v>
      </c>
      <c r="F14" s="52" t="n">
        <v>912</v>
      </c>
      <c r="G14" s="52" t="n">
        <v>787</v>
      </c>
      <c r="H14" s="52" t="n">
        <v>765</v>
      </c>
      <c r="I14" s="52" t="n">
        <v>770</v>
      </c>
      <c r="J14" s="52" t="n">
        <v>766</v>
      </c>
      <c r="K14" s="52" t="n">
        <v>754</v>
      </c>
      <c r="L14" s="52" t="n">
        <v>735</v>
      </c>
      <c r="M14" s="52" t="n">
        <v>665</v>
      </c>
      <c r="N14" s="52" t="n">
        <v>609</v>
      </c>
      <c r="O14" s="52" t="n">
        <v>590</v>
      </c>
      <c r="P14" s="52" t="n">
        <v>573</v>
      </c>
      <c r="Q14" s="52" t="n">
        <v>541</v>
      </c>
      <c r="R14" s="52" t="n">
        <v>538</v>
      </c>
      <c r="S14" s="52" t="n">
        <v>541</v>
      </c>
      <c r="T14" s="52" t="n">
        <v>542</v>
      </c>
      <c r="U14" s="52">
        <f>Main!$C$4</f>
        <v>540.632005</v>
      </c>
      <c r="V14" s="52">
        <f>Main!$C$4</f>
        <v>540.632005</v>
      </c>
      <c r="W14" s="52">
        <f>Main!$C$4</f>
        <v>540.632005</v>
      </c>
      <c r="X14" s="52">
        <f>Main!$C$4</f>
        <v>540.632005</v>
      </c>
      <c r="Y14" s="52">
        <f>Main!$C$4</f>
        <v>540.632005</v>
      </c>
      <c r="Z14" s="52">
        <f>Main!$C$4</f>
        <v>540.632005</v>
      </c>
      <c r="AA14" s="52">
        <f>Main!$C$4</f>
        <v>540.632005</v>
      </c>
      <c r="AB14" s="52">
        <f>Main!$C$4</f>
        <v>540.632005</v>
      </c>
      <c r="AC14" s="52">
        <f>Main!$C$4</f>
        <v>540.632005</v>
      </c>
      <c r="AD14" s="52">
        <f>Main!$C$4</f>
        <v>540.632005</v>
      </c>
    </row>
    <row r="15"/>
    <row r="16" customFormat="1" s="4">
      <c r="A16" s="3" t="inlineStr">
        <is>
          <t>Revenue Change</t>
        </is>
      </c>
      <c r="C16" s="15">
        <f>IFERROR(C2/B2-1,"")</f>
        <v>0.015706451831291046</v>
      </c>
      <c r="D16" s="15">
        <f>IFERROR(D2/C2-1,"")</f>
        <v>-0.02406185429580754</v>
      </c>
      <c r="E16" s="15">
        <f>IFERROR(E2/D2-1,"")</f>
        <v>0.02806993580112005</v>
      </c>
      <c r="F16" s="15">
        <f>IFERROR(F2/E2-1,"")</f>
        <v>0.03514249651232304</v>
      </c>
      <c r="G16" s="15">
        <f>IFERROR(G2/F2-1,"")</f>
        <v>0.10800924143242208</v>
      </c>
      <c r="H16" s="15">
        <f>IFERROR(H2/G2-1,"")</f>
        <v>0.08172603533159561</v>
      </c>
      <c r="I16" s="15">
        <f>IFERROR(I2/H2-1,"")</f>
        <v>0.07426643820946666</v>
      </c>
      <c r="J16" s="15">
        <f>IFERROR(J2/I2-1,"")</f>
        <v>0.07969894831281454</v>
      </c>
      <c r="K16" s="15">
        <f>IFERROR(K2/J2-1,"")</f>
        <v>0.06135167574554523</v>
      </c>
      <c r="L16" s="15">
        <f>IFERROR(L2/K2-1,"")</f>
        <v>-0.006176329868209263</v>
      </c>
      <c r="M16" s="15">
        <f>IFERROR(M2/L2-1,"")</f>
        <v>0.039301501159788144</v>
      </c>
      <c r="N16" s="15">
        <f>IFERROR(N2/M2-1,"")</f>
        <v>-0.01621257421990141</v>
      </c>
      <c r="O16" s="15">
        <f>IFERROR(O2/N2-1,"")</f>
        <v>0.08826299118226189</v>
      </c>
      <c r="P16" s="15">
        <f>IFERROR(P2/O2-1,"")</f>
        <v>0.021829767149150303</v>
      </c>
      <c r="Q16" s="15">
        <f>IFERROR(Q2/P2-1,"")</f>
        <v>0.013241464259594382</v>
      </c>
      <c r="R16" s="15">
        <f>IFERROR(R2/Q2-1,"")</f>
        <v>0.07092656612088288</v>
      </c>
      <c r="S16" s="15">
        <f>IFERROR(S2/R2-1,"")</f>
        <v>0.18566867683575738</v>
      </c>
      <c r="T16" s="15">
        <f>IFERROR(T2/S2-1,"")</f>
        <v>0.09953925323121116</v>
      </c>
      <c r="U16" s="15">
        <f>IFERROR(U2/T2-1,"")</f>
        <v>0.07759999999999989</v>
      </c>
      <c r="V16" s="15">
        <f>IFERROR(V2/U2-1,"")</f>
        <v>0.07175555555555557</v>
      </c>
      <c r="W16" s="15">
        <f>IFERROR(W2/V2-1,"")</f>
        <v>0.06591111111111103</v>
      </c>
      <c r="X16" s="15">
        <f>IFERROR(X2/W2-1,"")</f>
        <v>0.06006666666666671</v>
      </c>
      <c r="Y16" s="15">
        <f>IFERROR(Y2/X2-1,"")</f>
        <v>0.05422222222222217</v>
      </c>
      <c r="Z16" s="15">
        <f>IFERROR(Z2/Y2-1,"")</f>
        <v>0.04837777777777785</v>
      </c>
      <c r="AA16" s="15">
        <f>IFERROR(AA2/Z2-1,"")</f>
        <v>0.04253333333333331</v>
      </c>
      <c r="AB16" s="15">
        <f>IFERROR(AB2/AA2-1,"")</f>
        <v>0.03668888888888899</v>
      </c>
      <c r="AC16" s="15">
        <f>IFERROR(AC2/AB2-1,"")</f>
        <v>0.030844444444444452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0.8262097291746887</v>
      </c>
      <c r="G17" s="15">
        <f>IFERROR(G4/G2,"")</f>
        <v>0.8147118447726615</v>
      </c>
      <c r="H17" s="15">
        <f>IFERROR(H4/H2,"")</f>
        <v>0.820839580209895</v>
      </c>
      <c r="I17" s="15">
        <f>IFERROR(I4/I2,"")</f>
        <v>0.7795942780242237</v>
      </c>
      <c r="J17" s="15">
        <f>IFERROR(J4/J2,"")</f>
        <v>0.8048656633736497</v>
      </c>
      <c r="K17" s="15">
        <f>IFERROR(K4/K2,"")</f>
        <v>0.8189726414684007</v>
      </c>
      <c r="L17" s="15">
        <f>IFERROR(L4/L2,"")</f>
        <v>0.821917808219178</v>
      </c>
      <c r="M17" s="15">
        <f>IFERROR(M4/M2,"")</f>
        <v>0.8273045016212575</v>
      </c>
      <c r="N17" s="15">
        <f>IFERROR(N4/N2,"")</f>
        <v>0.8135433610136118</v>
      </c>
      <c r="O17" s="15">
        <f>IFERROR(O4/O2,"")</f>
        <v>0.7577485840151038</v>
      </c>
      <c r="P17" s="15">
        <f>IFERROR(P4/P2,"")</f>
        <v>0.7515685746179607</v>
      </c>
      <c r="Q17" s="15">
        <f>IFERROR(Q4/Q2,"")</f>
        <v>0.7566386810014056</v>
      </c>
      <c r="R17" s="15">
        <f>IFERROR(R4/R2,"")</f>
        <v>0.7002128414331323</v>
      </c>
      <c r="S17" s="15">
        <f>IFERROR(S4/S2,"")</f>
        <v>0.6153063666826233</v>
      </c>
      <c r="T17" s="15">
        <f>IFERROR(T4/T2,"")</f>
        <v>0.6724714973742211</v>
      </c>
      <c r="U17" s="15">
        <f>IFERROR(U4/U2,"")</f>
        <v>0.6725</v>
      </c>
      <c r="V17" s="15">
        <f>IFERROR(V4/V2,"")</f>
        <v>0.6725</v>
      </c>
      <c r="W17" s="15">
        <f>IFERROR(W4/W2,"")</f>
        <v>0.6725</v>
      </c>
      <c r="X17" s="15">
        <f>IFERROR(X4/X2,"")</f>
        <v>0.6725</v>
      </c>
      <c r="Y17" s="15">
        <f>IFERROR(Y4/Y2,"")</f>
        <v>0.6725</v>
      </c>
      <c r="Z17" s="15">
        <f>IFERROR(Z4/Z2,"")</f>
        <v>0.6725000000000001</v>
      </c>
      <c r="AA17" s="15">
        <f>IFERROR(AA4/AA2,"")</f>
        <v>0.6725</v>
      </c>
      <c r="AB17" s="15">
        <f>IFERROR(AB4/AB2,"")</f>
        <v>0.6725000000000001</v>
      </c>
      <c r="AC17" s="15">
        <f>IFERROR(AC4/AC2,"")</f>
        <v>0.6725</v>
      </c>
      <c r="AD17" s="15">
        <f>IFERROR(AD4/AD2,"")</f>
        <v>0.6725</v>
      </c>
    </row>
    <row r="18">
      <c r="A18" s="14" t="inlineStr">
        <is>
          <t>Operating Margin</t>
        </is>
      </c>
      <c r="B18" s="15">
        <f>IFERROR(B8/B2,"")</f>
        <v>0.26944688917473425</v>
      </c>
      <c r="C18" s="15">
        <f>IFERROR(C8/C2,"")</f>
        <v>0.34753049390121976</v>
      </c>
      <c r="D18" s="15">
        <f>IFERROR(D8/D2,"")</f>
        <v>0.376041524381915</v>
      </c>
      <c r="E18" s="15">
        <f>IFERROR(E8/E2,"")</f>
        <v>0.3683651099448615</v>
      </c>
      <c r="F18" s="15">
        <f>IFERROR(F8/F2,"")</f>
        <v>0.27672955974842767</v>
      </c>
      <c r="G18" s="15">
        <f>IFERROR(G8/G2,"")</f>
        <v>0.32302345786272807</v>
      </c>
      <c r="H18" s="15">
        <f>IFERROR(H8/H2,"")</f>
        <v>0.3141464981794817</v>
      </c>
      <c r="I18" s="15">
        <f>IFERROR(I8/I2,"")</f>
        <v>0.30857797936500025</v>
      </c>
      <c r="J18" s="15">
        <f>IFERROR(J8/J2,"")</f>
        <v>0.39100729387868155</v>
      </c>
      <c r="K18" s="15">
        <f>IFERROR(K8/K2,"")</f>
        <v>0.4259927797833935</v>
      </c>
      <c r="L18" s="15">
        <f>IFERROR(L8/L2,"")</f>
        <v>0.436474243949407</v>
      </c>
      <c r="M18" s="15">
        <f>IFERROR(M8/M2,"")</f>
        <v>0.4321809070619447</v>
      </c>
      <c r="N18" s="15">
        <f>IFERROR(N8/N2,"")</f>
        <v>0.4140912593099906</v>
      </c>
      <c r="O18" s="15">
        <f>IFERROR(O8/O2,"")</f>
        <v>0.35946349905601005</v>
      </c>
      <c r="P18" s="15">
        <f>IFERROR(P8/P2,"")</f>
        <v>0.29404519034604876</v>
      </c>
      <c r="Q18" s="15">
        <f>IFERROR(Q8/Q2,"")</f>
        <v>0.363408426091251</v>
      </c>
      <c r="R18" s="15">
        <f>IFERROR(R8/R2,"")</f>
        <v>0.28013479957431714</v>
      </c>
      <c r="S18" s="15">
        <f>IFERROR(S8/S2,"")</f>
        <v>0.21714935375777883</v>
      </c>
      <c r="T18" s="15">
        <f>IFERROR(T8/T2,"")</f>
        <v>0.24706810699028597</v>
      </c>
      <c r="U18" s="15">
        <f>IFERROR(U8/U2,"")</f>
        <v>0.29627</v>
      </c>
      <c r="V18" s="15">
        <f>IFERROR(V8/V2,"")</f>
        <v>0.29264</v>
      </c>
      <c r="W18" s="15">
        <f>IFERROR(W8/W2,"")</f>
        <v>0.28901</v>
      </c>
      <c r="X18" s="15">
        <f>IFERROR(X8/X2,"")</f>
        <v>0.28537999999999997</v>
      </c>
      <c r="Y18" s="15">
        <f>IFERROR(Y8/Y2,"")</f>
        <v>0.28175</v>
      </c>
      <c r="Z18" s="15">
        <f>IFERROR(Z8/Z2,"")</f>
        <v>0.27812</v>
      </c>
      <c r="AA18" s="15">
        <f>IFERROR(AA8/AA2,"")</f>
        <v>0.27449000000000007</v>
      </c>
      <c r="AB18" s="15">
        <f>IFERROR(AB8/AB2,"")</f>
        <v>0.27086</v>
      </c>
      <c r="AC18" s="15">
        <f>IFERROR(AC8/AC2,"")</f>
        <v>0.26723</v>
      </c>
      <c r="AD18" s="15">
        <f>IFERROR(AD8/AD2,"")</f>
        <v>0.26360000000000006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Amgen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</v>
      </c>
      <c r="C10" s="53" t="n">
        <v>0.08</v>
      </c>
      <c r="D10" s="53" t="n">
        <v>0.07000000000000001</v>
      </c>
      <c r="E10" s="54">
        <f>IF(ISNUMBER($B$6),$B$6,CHOOSE($B$4,B10,C10,D10))</f>
        <v>0.08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0.0276</v>
      </c>
      <c r="C12" s="53" t="n">
        <v>0.0776</v>
      </c>
      <c r="D12" s="53" t="n">
        <v>0.1276</v>
      </c>
      <c r="E12" s="54">
        <f>CHOOSE($B$4,B12,C12,D12)</f>
        <v>0.0776</v>
      </c>
    </row>
    <row r="13">
      <c r="A13" s="14" t="inlineStr">
        <is>
          <t>Operating margin, year 10</t>
        </is>
      </c>
      <c r="B13" s="53" t="n">
        <v>0.2136</v>
      </c>
      <c r="C13" s="53" t="n">
        <v>0.2636</v>
      </c>
      <c r="D13" s="53" t="n">
        <v>0.3136</v>
      </c>
      <c r="E13" s="54">
        <f>CHOOSE($B$4,B13,C13,D13)</f>
        <v>0.2636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0.2999</v>
      </c>
    </row>
    <row r="19">
      <c r="A19" s="14" t="inlineStr">
        <is>
          <t>Gross margin (forecast)</t>
        </is>
      </c>
      <c r="B19" s="53" t="n">
        <v>0.6725</v>
      </c>
    </row>
    <row r="20">
      <c r="A20" s="14" t="inlineStr">
        <is>
          <t>R&amp;D share of operating expense (forecast)</t>
        </is>
      </c>
      <c r="B20" s="53" t="n">
        <v>0.4651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36751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190171.13497988792</v>
      </c>
      <c r="C29" s="56">
        <f>NPV!B26</f>
        <v>146856.13497988792</v>
      </c>
      <c r="D29" s="35">
        <f>NPV!B28</f>
        <v>271.63788606981916</v>
      </c>
      <c r="E29" s="57">
        <f>NPV!B30</f>
        <v>-0.38115030284362517</v>
      </c>
    </row>
    <row r="30">
      <c r="A30" s="58" t="n">
        <v>1</v>
      </c>
      <c r="B30" s="59">
        <f t="dataTable" ref="B30:E32" r1="B4"/>
        <v>107181.74165258899</v>
      </c>
      <c r="C30" s="59">
        <v>63866.741652588986</v>
      </c>
      <c r="D30" s="39">
        <v>118.13348277926865</v>
      </c>
      <c r="E30" s="60">
        <v>-0.7308664446638068</v>
      </c>
    </row>
    <row r="31">
      <c r="A31" s="58" t="n">
        <v>2</v>
      </c>
      <c r="B31" s="59">
        <v>190171.13497988792</v>
      </c>
      <c r="C31" s="59">
        <v>146856.13497988792</v>
      </c>
      <c r="D31" s="39">
        <v>271.63788606981916</v>
      </c>
      <c r="E31" s="60">
        <v>-0.38115030284362517</v>
      </c>
    </row>
    <row r="32">
      <c r="A32" s="58" t="n">
        <v>3</v>
      </c>
      <c r="B32" s="59">
        <v>368788.34077536396</v>
      </c>
      <c r="C32" s="59">
        <v>325473.34077536396</v>
      </c>
      <c r="D32" s="39">
        <v>602.0238124366388</v>
      </c>
      <c r="E32" s="60">
        <v>0.3715401021475344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271.63788606981916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</v>
      </c>
      <c r="B37" s="39">
        <f t="dataTable" ref="B37:F41" dt2D="1" r1="B7" r2="B6"/>
        <v>366.02457870705643</v>
      </c>
      <c r="C37" s="39">
        <v>412.0493536169537</v>
      </c>
      <c r="D37" s="39">
        <v>471.1578713521179</v>
      </c>
      <c r="E37" s="39">
        <v>549.8912608464947</v>
      </c>
      <c r="F37" s="39">
        <v>660.0235458944711</v>
      </c>
    </row>
    <row r="38">
      <c r="A38" s="62" t="n">
        <v>0.07000000000000001</v>
      </c>
      <c r="B38" s="39">
        <v>284.94200152456597</v>
      </c>
      <c r="C38" s="39">
        <v>313.8533563074976</v>
      </c>
      <c r="D38" s="39">
        <v>349.14017925074927</v>
      </c>
      <c r="E38" s="39">
        <v>393.1927386010555</v>
      </c>
      <c r="F38" s="39">
        <v>449.76716449773346</v>
      </c>
    </row>
    <row r="39">
      <c r="A39" s="62" t="n">
        <v>0.08</v>
      </c>
      <c r="B39" s="39">
        <v>228.94207405549238</v>
      </c>
      <c r="C39" s="39">
        <v>248.5286717094748</v>
      </c>
      <c r="D39" s="39">
        <v>271.63788606981916</v>
      </c>
      <c r="E39" s="39">
        <v>299.3260953537234</v>
      </c>
      <c r="F39" s="39">
        <v>333.1191749786895</v>
      </c>
    </row>
    <row r="40">
      <c r="A40" s="62" t="n">
        <v>0.09</v>
      </c>
      <c r="B40" s="39">
        <v>187.9754136409917</v>
      </c>
      <c r="C40" s="39">
        <v>201.97021345790597</v>
      </c>
      <c r="D40" s="39">
        <v>218.08682132760174</v>
      </c>
      <c r="E40" s="39">
        <v>236.855365629903</v>
      </c>
      <c r="F40" s="39">
        <v>258.9987453896315</v>
      </c>
    </row>
    <row r="41">
      <c r="A41" s="62" t="n">
        <v>0.1</v>
      </c>
      <c r="B41" s="39">
        <v>156.72375008771368</v>
      </c>
      <c r="C41" s="39">
        <v>167.127569332796</v>
      </c>
      <c r="D41" s="39">
        <v>178.89266189270583</v>
      </c>
      <c r="E41" s="39">
        <v>192.3104644962235</v>
      </c>
      <c r="F41" s="39">
        <v>207.76208403323093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Amgen Inc: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0.0776</v>
      </c>
      <c r="D5" s="63">
        <f>Assumptions!$E$12+(Assumptions!$E$11-Assumptions!$E$12)*(D4-1)/(Assumptions!$B$21-1)</f>
        <v>0.07175555555555556</v>
      </c>
      <c r="E5" s="63">
        <f>Assumptions!$E$12+(Assumptions!$E$11-Assumptions!$E$12)*(E4-1)/(Assumptions!$B$21-1)</f>
        <v>0.06591111111111111</v>
      </c>
      <c r="F5" s="63">
        <f>Assumptions!$E$12+(Assumptions!$E$11-Assumptions!$E$12)*(F4-1)/(Assumptions!$B$21-1)</f>
        <v>0.06006666666666667</v>
      </c>
      <c r="G5" s="63">
        <f>Assumptions!$E$12+(Assumptions!$E$11-Assumptions!$E$12)*(G4-1)/(Assumptions!$B$21-1)</f>
        <v>0.05422222222222223</v>
      </c>
      <c r="H5" s="63">
        <f>Assumptions!$E$12+(Assumptions!$E$11-Assumptions!$E$12)*(H4-1)/(Assumptions!$B$21-1)</f>
        <v>0.04837777777777778</v>
      </c>
      <c r="I5" s="63">
        <f>Assumptions!$E$12+(Assumptions!$E$11-Assumptions!$E$12)*(I4-1)/(Assumptions!$B$21-1)</f>
        <v>0.04253333333333334</v>
      </c>
      <c r="J5" s="63">
        <f>Assumptions!$E$12+(Assumptions!$E$11-Assumptions!$E$12)*(J4-1)/(Assumptions!$B$21-1)</f>
        <v>0.03668888888888889</v>
      </c>
      <c r="K5" s="63">
        <f>Assumptions!$E$12+(Assumptions!$E$11-Assumptions!$E$12)*(K4-1)/(Assumptions!$B$21-1)</f>
        <v>0.030844444444444445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0.24706810699028597</v>
      </c>
      <c r="C6" s="63">
        <f>Assumptions!$B$18+(Assumptions!$E$13-Assumptions!$B$18)*C4/Assumptions!$B$21</f>
        <v>0.29627</v>
      </c>
      <c r="D6" s="63">
        <f>Assumptions!$B$18+(Assumptions!$E$13-Assumptions!$B$18)*D4/Assumptions!$B$21</f>
        <v>0.29264</v>
      </c>
      <c r="E6" s="63">
        <f>Assumptions!$B$18+(Assumptions!$E$13-Assumptions!$B$18)*E4/Assumptions!$B$21</f>
        <v>0.28901</v>
      </c>
      <c r="F6" s="63">
        <f>Assumptions!$B$18+(Assumptions!$E$13-Assumptions!$B$18)*F4/Assumptions!$B$21</f>
        <v>0.28538</v>
      </c>
      <c r="G6" s="63">
        <f>Assumptions!$B$18+(Assumptions!$E$13-Assumptions!$B$18)*G4/Assumptions!$B$21</f>
        <v>0.28175</v>
      </c>
      <c r="H6" s="63">
        <f>Assumptions!$B$18+(Assumptions!$E$13-Assumptions!$B$18)*H4/Assumptions!$B$21</f>
        <v>0.27812</v>
      </c>
      <c r="I6" s="63">
        <f>Assumptions!$B$18+(Assumptions!$E$13-Assumptions!$B$18)*I4/Assumptions!$B$21</f>
        <v>0.27449</v>
      </c>
      <c r="J6" s="63">
        <f>Assumptions!$B$18+(Assumptions!$E$13-Assumptions!$B$18)*J4/Assumptions!$B$21</f>
        <v>0.27086</v>
      </c>
      <c r="K6" s="63">
        <f>Assumptions!$B$18+(Assumptions!$E$13-Assumptions!$B$18)*K4/Assumptions!$B$21</f>
        <v>0.26723</v>
      </c>
      <c r="L6" s="63">
        <f>Assumptions!$B$18+(Assumptions!$E$13-Assumptions!$B$18)*L4/Assumptions!$B$21</f>
        <v>0.2636</v>
      </c>
    </row>
    <row r="7">
      <c r="A7" s="14" t="inlineStr">
        <is>
          <t>Revenue</t>
        </is>
      </c>
      <c r="B7" s="55">
        <f>'Yearly Model'!T2</f>
        <v>36751</v>
      </c>
      <c r="C7" s="55">
        <f>'Yearly Model'!U2</f>
        <v>39602.87759999999</v>
      </c>
      <c r="D7" s="55">
        <f>'Yearly Model'!V2</f>
        <v>42444.60408378666</v>
      </c>
      <c r="E7" s="55">
        <f>'Yearly Model'!W2</f>
        <v>45242.17509962024</v>
      </c>
      <c r="F7" s="55">
        <f>'Yearly Model'!X2</f>
        <v>47959.7217506041</v>
      </c>
      <c r="G7" s="55">
        <f>'Yearly Model'!Y2</f>
        <v>50560.204441081296</v>
      </c>
      <c r="H7" s="55">
        <f>'Yearly Model'!Z2</f>
        <v>53006.19477593094</v>
      </c>
      <c r="I7" s="55">
        <f>'Yearly Model'!AA2</f>
        <v>55260.724927067204</v>
      </c>
      <c r="J7" s="55">
        <f>'Yearly Model'!AB2</f>
        <v>57288.17952383583</v>
      </c>
      <c r="K7" s="55">
        <f>'Yearly Model'!AC2</f>
        <v>59055.20159448215</v>
      </c>
      <c r="L7" s="55">
        <f>'Yearly Model'!AD2</f>
        <v>60531.5816343442</v>
      </c>
    </row>
    <row r="8">
      <c r="A8" s="14" t="inlineStr">
        <is>
          <t>Operating income</t>
        </is>
      </c>
      <c r="B8" s="55">
        <f>'Yearly Model'!T8</f>
        <v>9080.0</v>
      </c>
      <c r="C8" s="55">
        <f>'Yearly Model'!U8</f>
        <v>11733.144546551997</v>
      </c>
      <c r="D8" s="55">
        <f>'Yearly Model'!V8</f>
        <v>12420.988939079329</v>
      </c>
      <c r="E8" s="55">
        <f>'Yearly Model'!W8</f>
        <v>13075.441025541244</v>
      </c>
      <c r="F8" s="55">
        <f>'Yearly Model'!X8</f>
        <v>13686.745393187397</v>
      </c>
      <c r="G8" s="55">
        <f>'Yearly Model'!Y8</f>
        <v>14245.337601274656</v>
      </c>
      <c r="H8" s="55">
        <f>'Yearly Model'!Z8</f>
        <v>14742.082891081911</v>
      </c>
      <c r="I8" s="55">
        <f>'Yearly Model'!AA8</f>
        <v>15168.51638523068</v>
      </c>
      <c r="J8" s="55">
        <f>'Yearly Model'!AB8</f>
        <v>15517.076305826173</v>
      </c>
      <c r="K8" s="55">
        <f>'Yearly Model'!AC8</f>
        <v>15781.321522093465</v>
      </c>
      <c r="L8" s="55">
        <f>'Yearly Model'!AD8</f>
        <v>15956.124918813133</v>
      </c>
    </row>
    <row r="9">
      <c r="A9" s="14" t="inlineStr">
        <is>
          <t>Tax on operating income</t>
        </is>
      </c>
      <c r="C9" s="52">
        <f>MAX(0,C8)*Assumptions!$E$14</f>
        <v>1994.6345729138397</v>
      </c>
      <c r="D9" s="52">
        <f>MAX(0,D8)*Assumptions!$E$14</f>
        <v>2111.568119643486</v>
      </c>
      <c r="E9" s="52">
        <f>MAX(0,E8)*Assumptions!$E$14</f>
        <v>2222.8249743420115</v>
      </c>
      <c r="F9" s="52">
        <f>MAX(0,F8)*Assumptions!$E$14</f>
        <v>2326.7467168418575</v>
      </c>
      <c r="G9" s="52">
        <f>MAX(0,G8)*Assumptions!$E$14</f>
        <v>2421.7073922166915</v>
      </c>
      <c r="H9" s="52">
        <f>MAX(0,H8)*Assumptions!$E$14</f>
        <v>2506.154091483925</v>
      </c>
      <c r="I9" s="52">
        <f>MAX(0,I8)*Assumptions!$E$14</f>
        <v>2578.6477854892155</v>
      </c>
      <c r="J9" s="52">
        <f>MAX(0,J8)*Assumptions!$E$14</f>
        <v>2637.9029719904497</v>
      </c>
      <c r="K9" s="52">
        <f>MAX(0,K8)*Assumptions!$E$14</f>
        <v>2682.8246587558892</v>
      </c>
      <c r="L9" s="52">
        <f>MAX(0,L8)*Assumptions!$E$14</f>
        <v>2712.541236198233</v>
      </c>
    </row>
    <row r="10">
      <c r="A10" s="14" t="inlineStr">
        <is>
          <t>NOPAT</t>
        </is>
      </c>
      <c r="C10" s="52">
        <f>C8-C9</f>
        <v>9738.509973638158</v>
      </c>
      <c r="D10" s="52">
        <f>D8-D9</f>
        <v>10309.420819435843</v>
      </c>
      <c r="E10" s="52">
        <f>E8-E9</f>
        <v>10852.616051199233</v>
      </c>
      <c r="F10" s="52">
        <f>F8-F9</f>
        <v>11359.99867634554</v>
      </c>
      <c r="G10" s="52">
        <f>G8-G9</f>
        <v>11823.630209057965</v>
      </c>
      <c r="H10" s="52">
        <f>H8-H9</f>
        <v>12235.928799597987</v>
      </c>
      <c r="I10" s="52">
        <f>I8-I9</f>
        <v>12589.868599741465</v>
      </c>
      <c r="J10" s="52">
        <f>J8-J9</f>
        <v>12879.173333835723</v>
      </c>
      <c r="K10" s="52">
        <f>K8-K9</f>
        <v>13098.496863337576</v>
      </c>
      <c r="L10" s="52">
        <f>L8-L9</f>
        <v>13243.5836826149</v>
      </c>
    </row>
    <row r="11">
      <c r="A11" s="14" t="inlineStr">
        <is>
          <t>Reinvestment</t>
        </is>
      </c>
      <c r="C11" s="52">
        <f>(C7-B7)*Assumptions!$E$15</f>
        <v>712.9693999999981</v>
      </c>
      <c r="D11" s="52">
        <f>(D7-C7)*Assumptions!$E$15</f>
        <v>710.431620946667</v>
      </c>
      <c r="E11" s="52">
        <f>(E7-D7)*Assumptions!$E$15</f>
        <v>699.3927539583947</v>
      </c>
      <c r="F11" s="52">
        <f>(F7-E7)*Assumptions!$E$15</f>
        <v>679.3866627459647</v>
      </c>
      <c r="G11" s="52">
        <f>(G7-F7)*Assumptions!$E$15</f>
        <v>650.1206726192995</v>
      </c>
      <c r="H11" s="52">
        <f>(H7-G7)*Assumptions!$E$15</f>
        <v>611.4975837124111</v>
      </c>
      <c r="I11" s="52">
        <f>(I7-H7)*Assumptions!$E$15</f>
        <v>563.6325377840658</v>
      </c>
      <c r="J11" s="52">
        <f>(J7-I7)*Assumptions!$E$15</f>
        <v>506.863649192157</v>
      </c>
      <c r="K11" s="52">
        <f>(K7-J7)*Assumptions!$E$15</f>
        <v>441.7555176615788</v>
      </c>
      <c r="L11" s="52">
        <f>(L7-K7)*Assumptions!$E$15</f>
        <v>369.0950099655129</v>
      </c>
    </row>
    <row r="12">
      <c r="A12" s="20" t="inlineStr">
        <is>
          <t>Free cash flow</t>
        </is>
      </c>
      <c r="C12" s="64">
        <f>C10-C11</f>
        <v>9025.54057363816</v>
      </c>
      <c r="D12" s="64">
        <f>D10-D11</f>
        <v>9598.989198489176</v>
      </c>
      <c r="E12" s="64">
        <f>E10-E11</f>
        <v>10153.223297240838</v>
      </c>
      <c r="F12" s="64">
        <f>F10-F11</f>
        <v>10680.612013599575</v>
      </c>
      <c r="G12" s="64">
        <f>G10-G11</f>
        <v>11173.509536438665</v>
      </c>
      <c r="H12" s="64">
        <f>H10-H11</f>
        <v>11624.431215885576</v>
      </c>
      <c r="I12" s="64">
        <f>I10-I11</f>
        <v>12026.2360619574</v>
      </c>
      <c r="J12" s="64">
        <f>J10-J11</f>
        <v>12372.309684643566</v>
      </c>
      <c r="K12" s="64">
        <f>K10-K11</f>
        <v>12656.741345675997</v>
      </c>
      <c r="L12" s="64">
        <f>L10-L11</f>
        <v>12874.488672649388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0.9807889007237011</v>
      </c>
      <c r="D15" s="65">
        <f>1/(1+Assumptions!$E$10)^D14</f>
        <v>0.9256338051008673</v>
      </c>
      <c r="E15" s="65">
        <f>1/(1+Assumptions!$E$10)^E14</f>
        <v>0.8570683380563585</v>
      </c>
      <c r="F15" s="65">
        <f>1/(1+Assumptions!$E$10)^F14</f>
        <v>0.7935817944966281</v>
      </c>
      <c r="G15" s="65">
        <f>1/(1+Assumptions!$E$10)^G14</f>
        <v>0.7347979578672482</v>
      </c>
      <c r="H15" s="65">
        <f>1/(1+Assumptions!$E$10)^H14</f>
        <v>0.6803684795067113</v>
      </c>
      <c r="I15" s="65">
        <f>1/(1+Assumptions!$E$10)^I14</f>
        <v>0.629970814358066</v>
      </c>
      <c r="J15" s="65">
        <f>1/(1+Assumptions!$E$10)^J14</f>
        <v>0.5833063095908019</v>
      </c>
      <c r="K15" s="65">
        <f>1/(1+Assumptions!$E$10)^K14</f>
        <v>0.5400984348062979</v>
      </c>
      <c r="L15" s="65">
        <f>1/(1+Assumptions!$E$10)^L14</f>
        <v>0.5000911433391647</v>
      </c>
    </row>
    <row r="16">
      <c r="A16" s="20" t="inlineStr">
        <is>
          <t>PV of free cash flow</t>
        </is>
      </c>
      <c r="C16" s="64">
        <f>C12*C13*C15</f>
        <v>4462.368823900255</v>
      </c>
      <c r="D16" s="64">
        <f>D12*D13*D15</f>
        <v>8885.148896919662</v>
      </c>
      <c r="E16" s="64">
        <f>E12*E13*E15</f>
        <v>8702.006217281305</v>
      </c>
      <c r="F16" s="64">
        <f>F12*F13*F15</f>
        <v>8475.939248074596</v>
      </c>
      <c r="G16" s="64">
        <f>G12*G13*G15</f>
        <v>8210.271989585355</v>
      </c>
      <c r="H16" s="64">
        <f>H12*H13*H15</f>
        <v>7908.89659148242</v>
      </c>
      <c r="I16" s="64">
        <f>I12*I13*I15</f>
        <v>7576.177725613644</v>
      </c>
      <c r="J16" s="64">
        <f>J12*J13*J15</f>
        <v>7216.846303263976</v>
      </c>
      <c r="K16" s="64">
        <f>K12*K13*K15</f>
        <v>6835.886190547763</v>
      </c>
      <c r="L16" s="64">
        <f>L12*L13*L15</f>
        <v>6438.417760212357</v>
      </c>
    </row>
    <row r="19">
      <c r="A19" s="14" t="inlineStr">
        <is>
          <t>PV of forecast free cash flow</t>
        </is>
      </c>
      <c r="B19" s="52">
        <f>SUM(C16:L16)</f>
        <v>74711.95974688133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13196.35088946562</v>
      </c>
    </row>
    <row r="21">
      <c r="A21" s="14" t="inlineStr">
        <is>
          <t>Terminal value</t>
        </is>
      </c>
      <c r="B21" s="52">
        <f>B20/(Assumptions!$E$10-Assumptions!$E$11)</f>
        <v>239933.65253573857</v>
      </c>
    </row>
    <row r="22">
      <c r="A22" s="14" t="inlineStr">
        <is>
          <t>PV of terminal value</t>
        </is>
      </c>
      <c r="B22" s="52">
        <f>B21/(1+Assumptions!$E$10)^(L14+0.5)</f>
        <v>115459.17523300661</v>
      </c>
    </row>
    <row r="23">
      <c r="A23" s="20" t="inlineStr">
        <is>
          <t>Enterprise value</t>
        </is>
      </c>
      <c r="B23" s="66">
        <f>B19+B22</f>
        <v>190171.13497988792</v>
      </c>
    </row>
    <row r="24">
      <c r="A24" s="14" t="inlineStr">
        <is>
          <t>Cash &amp; investments</t>
        </is>
      </c>
      <c r="B24" s="55">
        <f>Main!C7</f>
        <v>13989</v>
      </c>
    </row>
    <row r="25">
      <c r="A25" s="14" t="inlineStr">
        <is>
          <t>Debt</t>
        </is>
      </c>
      <c r="B25" s="55">
        <f>Main!C8</f>
        <v>57304.0</v>
      </c>
    </row>
    <row r="26">
      <c r="A26" s="20" t="inlineStr">
        <is>
          <t>Equity value</t>
        </is>
      </c>
      <c r="B26" s="66">
        <f>B23+B24-B25</f>
        <v>146856.13497988792</v>
      </c>
    </row>
    <row r="27">
      <c r="A27" s="14" t="inlineStr">
        <is>
          <t>Shares (mm)</t>
        </is>
      </c>
      <c r="B27" s="55">
        <f>Main!C4</f>
        <v>540.632005</v>
      </c>
    </row>
    <row r="28">
      <c r="A28" s="20" t="inlineStr">
        <is>
          <t>NPV / share</t>
        </is>
      </c>
      <c r="B28" s="49">
        <f>B26/B27</f>
        <v>271.63788606981916</v>
      </c>
    </row>
    <row r="29">
      <c r="A29" s="14" t="inlineStr">
        <is>
          <t>Price</t>
        </is>
      </c>
      <c r="B29" s="50">
        <f>Main!C3</f>
        <v>438.94</v>
      </c>
    </row>
    <row r="30">
      <c r="A30" s="14" t="inlineStr">
        <is>
          <t>Upside</t>
        </is>
      </c>
      <c r="B30" s="63">
        <f>B28/B29-1</f>
        <v>-0.38115030284362517</v>
      </c>
    </row>
    <row r="31">
      <c r="A31" s="14" t="inlineStr">
        <is>
          <t>Terminal value, % of EV</t>
        </is>
      </c>
      <c r="B31" s="63">
        <f>IFERROR(B22/B23,0)</f>
        <v>0.6071330186109333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2026-10-21T01:03:31Z</dcterms:modified>
  <cp:lastModifiedBy>Wang, Eric</cp:lastModifiedBy>
</cp:coreProperties>
</file>