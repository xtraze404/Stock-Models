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</sheets>
  <externalReferences>
    <externalReference r:id="rId4"/>
  </externalReference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0.0%"/>
    <numFmt numFmtId="166" formatCode="0.0"/>
    <numFmt numFmtId="167" formatCode="#,##0.0;(#,##0.0);&quot;-&quot;"/>
  </numFmts>
  <fonts count="4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3" fillId="0" borderId="1" pivotButton="0" quotePrefix="0" xfId="0"/>
    <xf numFmtId="167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164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externalLink" Target="/xl/externalLinks/externalLink1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Can Fite Biopharma Ltd</t>
        </is>
      </c>
      <c r="C2" s="10" t="n"/>
    </row>
    <row r="3">
      <c r="B3" t="inlineStr">
        <is>
          <t>Price</t>
        </is>
      </c>
      <c r="C3" s="11">
        <f>INDEX([1]Pharma!$F$1:$F$1000,MATCH("CANF",[1]Pharma!$B$1:$B$1000,0))</f>
        <v>1.89</v>
      </c>
      <c r="F3" s="1" t="n"/>
    </row>
    <row r="4">
      <c r="B4" t="inlineStr">
        <is>
          <t>Shares</t>
        </is>
      </c>
      <c r="C4" s="21">
        <f>2.618425/2</f>
        <v>1.3092125</v>
      </c>
      <c r="F4" s="1" t="n"/>
    </row>
    <row r="5">
      <c r="B5" t="inlineStr">
        <is>
          <t>Market Cap.</t>
        </is>
      </c>
      <c r="C5" s="13">
        <f>C3*C4</f>
        <v>2.4744116249999997</v>
      </c>
      <c r="F5" s="1" t="n"/>
    </row>
    <row r="6"/>
    <row r="7">
      <c r="B7" t="inlineStr">
        <is>
          <t>Cash</t>
        </is>
      </c>
      <c r="C7" s="21">
        <f>5.528+0.001</f>
        <v>5.529</v>
      </c>
    </row>
    <row r="8">
      <c r="B8" t="inlineStr">
        <is>
          <t>Debt</t>
        </is>
      </c>
      <c r="C8" s="21" t="n">
        <v>0</v>
      </c>
    </row>
    <row r="9">
      <c r="B9" t="inlineStr">
        <is>
          <t>Enterprise V.</t>
        </is>
      </c>
      <c r="C9" s="13">
        <f>C5-C7+C8</f>
        <v>-3.0545883750000002</v>
      </c>
    </row>
    <row r="10"/>
    <row r="11">
      <c r="B11" s="14" t="inlineStr">
        <is>
          <t>Net Cash / Share</t>
        </is>
      </c>
      <c r="C11" s="11">
        <f>(C7-C8)/C4</f>
        <v>4.22314941233757</v>
      </c>
    </row>
    <row r="12">
      <c r="B12" s="14" t="inlineStr">
        <is>
          <t>Upside</t>
        </is>
      </c>
      <c r="C12" s="15">
        <f>IFERROR(C11/C3-1,"")</f>
        <v>1.2344705885383966</v>
      </c>
    </row>
    <row r="13">
      <c r="B13" s="14" t="inlineStr">
        <is>
          <t>Cash / Share</t>
        </is>
      </c>
      <c r="C13" s="11">
        <f>IFERROR((C7-C8)/C4,"")</f>
        <v>4.22314941233757</v>
      </c>
    </row>
    <row r="14">
      <c r="B14" s="14" t="inlineStr">
        <is>
          <t>Scenario</t>
        </is>
      </c>
      <c r="C14" s="14" t="inlineStr">
        <is>
          <t>pre-revenue</t>
        </is>
      </c>
    </row>
    <row r="15">
      <c r="B15" s="14" t="inlineStr">
        <is>
          <t>Model</t>
        </is>
      </c>
      <c r="C15" s="14" t="inlineStr">
        <is>
          <t>Net cash</t>
        </is>
      </c>
    </row>
    <row r="16"/>
    <row r="17">
      <c r="B17" s="14" t="inlineStr">
        <is>
          <t>TTM Operating Cash Flow</t>
        </is>
      </c>
      <c r="C17" s="21" t="n">
        <v>-8.949</v>
      </c>
    </row>
    <row r="18">
      <c r="B18" s="14" t="inlineStr">
        <is>
          <t>Runway (years)</t>
        </is>
      </c>
      <c r="C18" s="22">
        <f>IF(AND(ISNUMBER(C17),C17&lt;0),IF(C7&gt;C8,(C7-C8)/-C17,"net debt"),"n/a")</f>
        <v>0.6178343949044586</v>
      </c>
    </row>
    <row r="19">
      <c r="B19" s="14" t="inlineStr">
        <is>
          <t>Implied Pipeline Value</t>
        </is>
      </c>
      <c r="C19" s="13">
        <f>C9</f>
        <v>-3.0545883750000002</v>
      </c>
    </row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7" t="n">
        <v>2015</v>
      </c>
      <c r="C1" s="17" t="n">
        <v>2016</v>
      </c>
      <c r="D1" s="17" t="n">
        <v>2017</v>
      </c>
      <c r="E1" s="17" t="n">
        <v>2018</v>
      </c>
      <c r="F1" s="17" t="n">
        <v>2019</v>
      </c>
      <c r="G1" s="17" t="n">
        <v>2020</v>
      </c>
      <c r="H1" s="17" t="n">
        <v>2021</v>
      </c>
      <c r="I1" s="17" t="n">
        <v>2022</v>
      </c>
      <c r="J1" s="17" t="n">
        <v>2023</v>
      </c>
      <c r="K1" s="17" t="n">
        <v>2024</v>
      </c>
      <c r="L1" s="17" t="n">
        <v>2025</v>
      </c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23" t="n">
        <v>0.162</v>
      </c>
      <c r="C2" s="23" t="n">
        <v>0.165</v>
      </c>
      <c r="D2" s="23" t="n">
        <v>0.789</v>
      </c>
      <c r="E2" s="23" t="n">
        <v>3.82</v>
      </c>
      <c r="F2" s="23" t="n">
        <v>2.032</v>
      </c>
      <c r="G2" s="23" t="n">
        <v>0.763</v>
      </c>
      <c r="H2" s="23" t="n">
        <v>0.853</v>
      </c>
      <c r="I2" s="23" t="n">
        <v>0.8100000000000001</v>
      </c>
      <c r="J2" s="23" t="n">
        <v>1.688</v>
      </c>
      <c r="K2" s="23" t="n">
        <v>0.674</v>
      </c>
      <c r="L2" s="23" t="n">
        <v>0.405</v>
      </c>
    </row>
    <row r="3" customFormat="1" s="1">
      <c r="A3" s="5" t="inlineStr">
        <is>
          <t>Cost of Sales</t>
        </is>
      </c>
      <c r="B3" s="23" t="n">
        <v>0</v>
      </c>
      <c r="C3" s="23" t="n">
        <v>0</v>
      </c>
      <c r="D3" s="23" t="n">
        <v>0</v>
      </c>
      <c r="E3" s="23" t="n">
        <v>0</v>
      </c>
      <c r="F3" s="23" t="n">
        <v>0</v>
      </c>
      <c r="G3" s="23" t="n">
        <v>0</v>
      </c>
      <c r="H3" s="23" t="n">
        <v>0</v>
      </c>
      <c r="I3" s="23" t="n">
        <v>0</v>
      </c>
      <c r="J3" s="23" t="n">
        <v>0</v>
      </c>
      <c r="K3" s="23" t="n">
        <v>0</v>
      </c>
      <c r="L3" s="23" t="n">
        <v>0</v>
      </c>
    </row>
    <row r="4" customFormat="1" s="1">
      <c r="A4" s="5" t="inlineStr">
        <is>
          <t>Gross Margin</t>
        </is>
      </c>
      <c r="B4" s="23">
        <f>B2-B3</f>
        <v>0.162</v>
      </c>
      <c r="C4" s="23">
        <f>C2-C3</f>
        <v>0.165</v>
      </c>
      <c r="D4" s="23">
        <f>D2-D3</f>
        <v>0.789</v>
      </c>
      <c r="E4" s="23">
        <f>E2-E3</f>
        <v>3.82</v>
      </c>
      <c r="F4" s="23">
        <f>F2-F3</f>
        <v>2.032</v>
      </c>
      <c r="G4" s="23">
        <f>G2-G3</f>
        <v>0.763</v>
      </c>
      <c r="H4" s="23">
        <f>H2-H3</f>
        <v>0.853</v>
      </c>
      <c r="I4" s="23">
        <f>I2-I3</f>
        <v>0.81</v>
      </c>
      <c r="J4" s="23">
        <f>J2-J3</f>
        <v>1.688</v>
      </c>
      <c r="K4" s="23">
        <f>K2-K3</f>
        <v>0.674</v>
      </c>
      <c r="L4" s="23">
        <f>L2-L3</f>
        <v>0.405</v>
      </c>
    </row>
    <row r="5">
      <c r="A5" s="2" t="inlineStr">
        <is>
          <t>Research &amp; Dev.</t>
        </is>
      </c>
      <c r="B5" s="23" t="n">
        <v>3.904</v>
      </c>
      <c r="C5" s="23" t="n">
        <v>6.115</v>
      </c>
      <c r="D5" s="23" t="n">
        <v>5.106</v>
      </c>
      <c r="E5" s="23" t="n">
        <v>6.075</v>
      </c>
      <c r="F5" s="23" t="n">
        <v>10.976</v>
      </c>
      <c r="G5" s="23" t="n">
        <v>11.951</v>
      </c>
      <c r="H5" s="23" t="n">
        <v>9.85</v>
      </c>
      <c r="I5" s="23" t="n">
        <v>7.763</v>
      </c>
      <c r="J5" s="23" t="n">
        <v>5.983</v>
      </c>
      <c r="K5" s="23" t="n">
        <v>5.757</v>
      </c>
      <c r="L5" s="23" t="n">
        <v>6.693</v>
      </c>
    </row>
    <row r="6">
      <c r="A6" s="19" t="inlineStr">
        <is>
          <t>SG&amp;A &amp; Other</t>
        </is>
      </c>
      <c r="B6" s="23" t="n">
        <v>2.735</v>
      </c>
      <c r="C6" s="23" t="n">
        <v>2.733</v>
      </c>
      <c r="D6" s="23" t="n">
        <v>2.868</v>
      </c>
      <c r="E6" s="23" t="n">
        <v>3.159</v>
      </c>
      <c r="F6" s="23" t="n">
        <v>3.063</v>
      </c>
      <c r="G6" s="23" t="n">
        <v>2.951</v>
      </c>
      <c r="H6" s="23" t="n">
        <v>3.845</v>
      </c>
      <c r="I6" s="23" t="n">
        <v>3.143</v>
      </c>
      <c r="J6" s="23" t="n">
        <v>3.9</v>
      </c>
      <c r="K6" s="23" t="n">
        <v>3.047</v>
      </c>
      <c r="L6" s="23" t="n">
        <v>3.662</v>
      </c>
    </row>
    <row r="7">
      <c r="A7" s="2" t="inlineStr">
        <is>
          <t>Operating Expense</t>
        </is>
      </c>
      <c r="B7" s="23">
        <f>SUM(B5:B6)</f>
        <v>6.638999999999999</v>
      </c>
      <c r="C7" s="23">
        <f>SUM(C5:C6)</f>
        <v>8.848</v>
      </c>
      <c r="D7" s="23">
        <f>SUM(D5:D6)</f>
        <v>7.974</v>
      </c>
      <c r="E7" s="23">
        <f>SUM(E5:E6)</f>
        <v>9.234</v>
      </c>
      <c r="F7" s="23">
        <f>SUM(F5:F6)</f>
        <v>14.039000000000001</v>
      </c>
      <c r="G7" s="23">
        <f>SUM(G5:G6)</f>
        <v>14.902000000000001</v>
      </c>
      <c r="H7" s="23">
        <f>SUM(H5:H6)</f>
        <v>13.695</v>
      </c>
      <c r="I7" s="23">
        <f>SUM(I5:I6)</f>
        <v>10.905999999999999</v>
      </c>
      <c r="J7" s="23">
        <f>SUM(J5:J6)</f>
        <v>9.883</v>
      </c>
      <c r="K7" s="23">
        <f>SUM(K5:K6)</f>
        <v>8.804</v>
      </c>
      <c r="L7" s="23">
        <f>SUM(L5:L6)</f>
        <v>10.355</v>
      </c>
    </row>
    <row r="8">
      <c r="A8" s="2" t="inlineStr">
        <is>
          <t>Operating Income</t>
        </is>
      </c>
      <c r="B8" s="23">
        <f>B4-B7</f>
        <v>-6.476999999999999</v>
      </c>
      <c r="C8" s="23">
        <f>C4-C7</f>
        <v>-8.683000000000002</v>
      </c>
      <c r="D8" s="23">
        <f>D4-D7</f>
        <v>-7.1850000000000005</v>
      </c>
      <c r="E8" s="23">
        <f>E4-E7</f>
        <v>-5.414</v>
      </c>
      <c r="F8" s="23">
        <f>F4-F7</f>
        <v>-12.007000000000001</v>
      </c>
      <c r="G8" s="23">
        <f>G4-G7</f>
        <v>-14.139000000000001</v>
      </c>
      <c r="H8" s="23">
        <f>H4-H7</f>
        <v>-12.842</v>
      </c>
      <c r="I8" s="23">
        <f>I4-I7</f>
        <v>-10.095999999999998</v>
      </c>
      <c r="J8" s="23">
        <f>J4-J7</f>
        <v>-8.194999999999999</v>
      </c>
      <c r="K8" s="23">
        <f>K4-K7</f>
        <v>-8.13</v>
      </c>
      <c r="L8" s="23">
        <f>L4-L7</f>
        <v>-9.950000000000001</v>
      </c>
    </row>
    <row r="9">
      <c r="A9" s="19" t="inlineStr">
        <is>
          <t>Interest &amp; Other</t>
        </is>
      </c>
      <c r="B9" s="23" t="n">
        <v>-0.027</v>
      </c>
      <c r="C9" s="23" t="n">
        <v>0.319</v>
      </c>
      <c r="D9" s="23" t="n">
        <v>2.372</v>
      </c>
      <c r="E9" s="23" t="n">
        <v>-1.153</v>
      </c>
      <c r="F9" s="23" t="n">
        <v>-0.618</v>
      </c>
      <c r="G9" s="23" t="n">
        <v>-0.304</v>
      </c>
      <c r="H9" s="23" t="n">
        <v>0.227</v>
      </c>
      <c r="I9" s="23" t="n">
        <v>-0.077</v>
      </c>
      <c r="J9" s="23" t="n">
        <v>0.5610000000000001</v>
      </c>
      <c r="K9" s="23" t="n">
        <v>0.25</v>
      </c>
      <c r="L9" s="23" t="n">
        <v>0.122</v>
      </c>
    </row>
    <row r="10">
      <c r="A10" s="2" t="inlineStr">
        <is>
          <t>Pretax</t>
        </is>
      </c>
      <c r="B10" s="23">
        <f>B8+B9</f>
        <v>-6.504</v>
      </c>
      <c r="C10" s="23">
        <f>C8+C9</f>
        <v>-8.364</v>
      </c>
      <c r="D10" s="23">
        <f>D8+D9</f>
        <v>-4.813000000000001</v>
      </c>
      <c r="E10" s="23">
        <f>E8+E9</f>
        <v>-6.567</v>
      </c>
      <c r="F10" s="23">
        <f>F8+F9</f>
        <v>-12.625000000000002</v>
      </c>
      <c r="G10" s="23">
        <f>G8+G9</f>
        <v>-14.443000000000001</v>
      </c>
      <c r="H10" s="23">
        <f>H8+H9</f>
        <v>-12.615</v>
      </c>
      <c r="I10" s="23">
        <f>I8+I9</f>
        <v>-10.172999999999998</v>
      </c>
      <c r="J10" s="23">
        <f>J8+J9</f>
        <v>-7.633999999999999</v>
      </c>
      <c r="K10" s="23">
        <f>K8+K9</f>
        <v>-7.880000000000001</v>
      </c>
      <c r="L10" s="23">
        <f>L8+L9</f>
        <v>-9.828000000000001</v>
      </c>
    </row>
    <row r="11">
      <c r="A11" s="2" t="inlineStr">
        <is>
          <t>Taxes</t>
        </is>
      </c>
      <c r="B11" s="23" t="n">
        <v>0.005</v>
      </c>
      <c r="C11" s="23" t="n">
        <v>0.029</v>
      </c>
      <c r="D11" s="23" t="n">
        <v>0.029</v>
      </c>
      <c r="E11" s="23" t="n">
        <v>0.004</v>
      </c>
      <c r="F11" s="23" t="n">
        <v>0</v>
      </c>
      <c r="G11" s="23" t="n">
        <v>0</v>
      </c>
      <c r="H11" s="23" t="n">
        <v>0</v>
      </c>
      <c r="I11" s="23" t="n">
        <v>0</v>
      </c>
      <c r="J11" s="23" t="n">
        <v>0</v>
      </c>
      <c r="K11" s="23" t="n">
        <v>0</v>
      </c>
      <c r="L11" s="23" t="n">
        <v>0</v>
      </c>
    </row>
    <row r="12">
      <c r="A12" s="2" t="inlineStr">
        <is>
          <t>Net Income</t>
        </is>
      </c>
      <c r="B12" s="23" t="n">
        <v>-6.509</v>
      </c>
      <c r="C12" s="23" t="n">
        <v>-8.393000000000001</v>
      </c>
      <c r="D12" s="23" t="n">
        <v>-4.842</v>
      </c>
      <c r="E12" s="23" t="n">
        <v>-6.571</v>
      </c>
      <c r="F12" s="23" t="n">
        <v>-12.625</v>
      </c>
      <c r="G12" s="23" t="n">
        <v>-14.443</v>
      </c>
      <c r="H12" s="23" t="n">
        <v>-12.615</v>
      </c>
      <c r="I12" s="23" t="n">
        <v>-10.173</v>
      </c>
      <c r="J12" s="23" t="n">
        <v>-7.634</v>
      </c>
      <c r="K12" s="23" t="n">
        <v>-7.88</v>
      </c>
      <c r="L12" s="23" t="n">
        <v>-9.827999999999999</v>
      </c>
    </row>
    <row r="13">
      <c r="A13" s="2" t="inlineStr">
        <is>
          <t>Earnings per Share</t>
        </is>
      </c>
      <c r="B13" s="11">
        <f>IFERROR(B12/B14,0)</f>
        <v>-464.92857142857144</v>
      </c>
      <c r="C13" s="11">
        <f>IFERROR(C12/C14,0)</f>
        <v>-599.5</v>
      </c>
      <c r="D13" s="11">
        <f>IFERROR(D12/D14,0)</f>
        <v>-284.82352941176464</v>
      </c>
      <c r="E13" s="11">
        <f>IFERROR(E12/E14,0)</f>
        <v>-328.54999999999995</v>
      </c>
      <c r="F13" s="11">
        <f>IFERROR(F12/F14,0)</f>
        <v>-280.55555555555554</v>
      </c>
      <c r="G13" s="11">
        <f>IFERROR(G12/G14,0)</f>
        <v>-77.23529411764706</v>
      </c>
      <c r="H13" s="11">
        <f>IFERROR(H12/H14,0)</f>
        <v>-43.650519031141876</v>
      </c>
      <c r="I13" s="11">
        <f>IFERROR(I12/I14,0)</f>
        <v>-23.880281690140844</v>
      </c>
      <c r="J13" s="11">
        <f>IFERROR(J12/J14,0)</f>
        <v>-17.920187793427232</v>
      </c>
      <c r="K13" s="11">
        <f>IFERROR(K12/K14,0)</f>
        <v>-10.86896551724138</v>
      </c>
      <c r="L13" s="11">
        <f>IFERROR(L12/L14,0)</f>
        <v>-5.970838396111786</v>
      </c>
    </row>
    <row r="14">
      <c r="A14" s="2" t="inlineStr">
        <is>
          <t>Shares</t>
        </is>
      </c>
      <c r="B14" s="23" t="n">
        <v>0.014</v>
      </c>
      <c r="C14" s="23" t="n">
        <v>0.014</v>
      </c>
      <c r="D14" s="23" t="n">
        <v>0.017</v>
      </c>
      <c r="E14" s="23" t="n">
        <v>0.02</v>
      </c>
      <c r="F14" s="23" t="n">
        <v>0.045</v>
      </c>
      <c r="G14" s="23" t="n">
        <v>0.187</v>
      </c>
      <c r="H14" s="23" t="n">
        <v>0.289</v>
      </c>
      <c r="I14" s="23" t="n">
        <v>0.426</v>
      </c>
      <c r="J14" s="23" t="n">
        <v>0.426</v>
      </c>
      <c r="K14" s="23" t="n">
        <v>0.725</v>
      </c>
      <c r="L14" s="23" t="n">
        <v>1.646</v>
      </c>
    </row>
    <row r="15"/>
    <row r="16" customFormat="1" s="4">
      <c r="A16" s="3" t="inlineStr">
        <is>
          <t>Revenue Change</t>
        </is>
      </c>
      <c r="C16" s="15">
        <f>IFERROR(C2/B2-1,"")</f>
        <v>0.0185185185185186</v>
      </c>
      <c r="D16" s="15">
        <f>IFERROR(D2/C2-1,"")</f>
        <v>3.781818181818182</v>
      </c>
      <c r="E16" s="15">
        <f>IFERROR(E2/D2-1,"")</f>
        <v>3.841571609632446</v>
      </c>
      <c r="F16" s="15">
        <f>IFERROR(F2/E2-1,"")</f>
        <v>-0.4680628272251308</v>
      </c>
      <c r="G16" s="15">
        <f>IFERROR(G2/F2-1,"")</f>
        <v>-0.624507874015748</v>
      </c>
      <c r="H16" s="15">
        <f>IFERROR(H2/G2-1,"")</f>
        <v>0.11795543905635641</v>
      </c>
      <c r="I16" s="15">
        <f>IFERROR(I2/H2-1,"")</f>
        <v>-0.05041031652989436</v>
      </c>
      <c r="J16" s="15">
        <f>IFERROR(J2/I2-1,"")</f>
        <v>1.0839506172839504</v>
      </c>
      <c r="K16" s="15">
        <f>IFERROR(K2/J2-1,"")</f>
        <v>-0.6007109004739336</v>
      </c>
      <c r="L16" s="15">
        <f>IFERROR(L2/K2-1,"")</f>
        <v>-0.3991097922848664</v>
      </c>
    </row>
    <row r="17" customFormat="1" s="4">
      <c r="A17" s="3" t="inlineStr">
        <is>
          <t>Gross Margin</t>
        </is>
      </c>
      <c r="B17" s="15">
        <f>IFERROR(B4/B2,"")</f>
        <v>1.0</v>
      </c>
      <c r="C17" s="15">
        <f>IFERROR(C4/C2,"")</f>
        <v>1.0</v>
      </c>
      <c r="D17" s="15">
        <f>IFERROR(D4/D2,"")</f>
        <v>1.0</v>
      </c>
      <c r="E17" s="15">
        <f>IFERROR(E4/E2,"")</f>
        <v>1.0</v>
      </c>
      <c r="F17" s="15">
        <f>IFERROR(F4/F2,"")</f>
        <v>1.0</v>
      </c>
      <c r="G17" s="15">
        <f>IFERROR(G4/G2,"")</f>
        <v>1.0</v>
      </c>
      <c r="H17" s="15">
        <f>IFERROR(H4/H2,"")</f>
        <v>1.0</v>
      </c>
      <c r="I17" s="15">
        <f>IFERROR(I4/I2,"")</f>
        <v>1.0</v>
      </c>
      <c r="J17" s="15">
        <f>IFERROR(J4/J2,"")</f>
        <v>1.0</v>
      </c>
      <c r="K17" s="15">
        <f>IFERROR(K4/K2,"")</f>
        <v>1.0</v>
      </c>
      <c r="L17" s="15">
        <f>IFERROR(L4/L2,"")</f>
        <v>1.0</v>
      </c>
    </row>
    <row r="18">
      <c r="A18" s="14" t="inlineStr">
        <is>
          <t>Operating Margin</t>
        </is>
      </c>
      <c r="B18" s="15">
        <f>IFERROR(B8/B2,"")</f>
        <v>-39.981481481481474</v>
      </c>
      <c r="C18" s="15">
        <f>IFERROR(C8/C2,"")</f>
        <v>-52.62424242424243</v>
      </c>
      <c r="D18" s="15">
        <f>IFERROR(D8/D2,"")</f>
        <v>-9.106463878326997</v>
      </c>
      <c r="E18" s="15">
        <f>IFERROR(E8/E2,"")</f>
        <v>-1.4172774869109948</v>
      </c>
      <c r="F18" s="15">
        <f>IFERROR(F8/F2,"")</f>
        <v>-5.908956692913386</v>
      </c>
      <c r="G18" s="15">
        <f>IFERROR(G8/G2,"")</f>
        <v>-18.530799475753604</v>
      </c>
      <c r="H18" s="15">
        <f>IFERROR(H8/H2,"")</f>
        <v>-15.055099648300118</v>
      </c>
      <c r="I18" s="15">
        <f>IFERROR(I8/I2,"")</f>
        <v>-12.464197530864194</v>
      </c>
      <c r="J18" s="15">
        <f>IFERROR(J8/J2,"")</f>
        <v>-4.854857819905212</v>
      </c>
      <c r="K18" s="15">
        <f>IFERROR(K8/K2,"")</f>
        <v>-12.062314540059347</v>
      </c>
      <c r="L18" s="15">
        <f>IFERROR(L8/L2,"")</f>
        <v>-24.567901234567902</v>
      </c>
    </row>
    <row r="19">
      <c r="A19" s="14" t="inlineStr">
        <is>
          <t>Actual / Estimate</t>
        </is>
      </c>
      <c r="B19" s="20" t="inlineStr">
        <is>
          <t>A</t>
        </is>
      </c>
      <c r="C19" s="20" t="inlineStr">
        <is>
          <t>A</t>
        </is>
      </c>
      <c r="D19" s="20" t="inlineStr">
        <is>
          <t>A</t>
        </is>
      </c>
      <c r="E19" s="20" t="inlineStr">
        <is>
          <t>A</t>
        </is>
      </c>
      <c r="F19" s="20" t="inlineStr">
        <is>
          <t>A</t>
        </is>
      </c>
      <c r="G19" s="20" t="inlineStr">
        <is>
          <t>A</t>
        </is>
      </c>
      <c r="H19" s="20" t="inlineStr">
        <is>
          <t>A</t>
        </is>
      </c>
      <c r="I19" s="20" t="inlineStr">
        <is>
          <t>A</t>
        </is>
      </c>
      <c r="J19" s="20" t="inlineStr">
        <is>
          <t>A</t>
        </is>
      </c>
      <c r="K19" s="20" t="inlineStr">
        <is>
          <t>A</t>
        </is>
      </c>
      <c r="L19" s="20" t="inlineStr">
        <is>
          <t>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2026-10-21T06:31:38Z</dcterms:modified>
  <cp:lastModifiedBy>Wang, Eric</cp:lastModifiedBy>
</cp:coreProperties>
</file>