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Tarsus Pharmaceuticals, Inc.</t>
        </is>
      </c>
      <c r="C2" s="10" t="n"/>
    </row>
    <row r="3">
      <c r="B3" t="inlineStr">
        <is>
          <t>Price</t>
        </is>
      </c>
      <c r="C3" s="11">
        <f>INDEX([1]Pharma!$F$1:$F$1000,MATCH("TARS",[1]Pharma!$B$1:$B$1000,0))</f>
        <v>71.225</v>
      </c>
      <c r="F3" s="1" t="n"/>
    </row>
    <row r="4">
      <c r="B4" t="inlineStr">
        <is>
          <t>Shares</t>
        </is>
      </c>
      <c r="C4" s="51" t="n">
        <v>43.882996</v>
      </c>
      <c r="F4" s="1" t="n"/>
    </row>
    <row r="5">
      <c r="B5" t="inlineStr">
        <is>
          <t>Market Cap.</t>
        </is>
      </c>
      <c r="C5" s="13">
        <f>C3*C4</f>
        <v>3125.5663901</v>
      </c>
      <c r="F5" s="1" t="n"/>
    </row>
    <row r="6"/>
    <row r="7">
      <c r="B7" t="inlineStr">
        <is>
          <t>Cash</t>
        </is>
      </c>
      <c r="C7" s="51">
        <f>204.595+245.095</f>
        <v>449.69</v>
      </c>
    </row>
    <row r="8">
      <c r="B8" t="inlineStr">
        <is>
          <t>Debt</t>
        </is>
      </c>
      <c r="C8" s="51" t="n">
        <v>72.762</v>
      </c>
    </row>
    <row r="9">
      <c r="B9" t="inlineStr">
        <is>
          <t>Enterprise V.</t>
        </is>
      </c>
      <c r="C9" s="13">
        <f>C5-C7+C8</f>
        <v>2748.6383901</v>
      </c>
    </row>
    <row r="10"/>
    <row r="11">
      <c r="B11" s="14" t="inlineStr">
        <is>
          <t>NPV / Share</t>
        </is>
      </c>
      <c r="C11" s="11">
        <f>NPV!B28</f>
        <v>55.991126072867225</v>
      </c>
    </row>
    <row r="12">
      <c r="B12" s="14" t="inlineStr">
        <is>
          <t>Upside</t>
        </is>
      </c>
      <c r="C12" s="15">
        <f>IFERROR(C11/C3-1,"")</f>
        <v>-0.2138838038207479</v>
      </c>
    </row>
    <row r="13">
      <c r="B13" s="14" t="inlineStr">
        <is>
          <t>Cash / Share</t>
        </is>
      </c>
      <c r="C13" s="11">
        <f>IFERROR((C7-C8)/C4,"")</f>
        <v>8.589386194142259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2018</v>
      </c>
      <c r="C1" s="16" t="n">
        <v>2019</v>
      </c>
      <c r="D1" s="16" t="n">
        <v>2020</v>
      </c>
      <c r="E1" s="16" t="n">
        <v>2021</v>
      </c>
      <c r="F1" s="16" t="n">
        <v>2022</v>
      </c>
      <c r="G1" s="16" t="n">
        <v>2023</v>
      </c>
      <c r="H1" s="16" t="n">
        <v>2024</v>
      </c>
      <c r="I1" s="16" t="n">
        <v>2025</v>
      </c>
      <c r="J1" s="16" t="n">
        <v>2026</v>
      </c>
      <c r="K1" s="16" t="n">
        <v>2027</v>
      </c>
      <c r="L1" s="16" t="n">
        <v>2028</v>
      </c>
      <c r="M1" s="16" t="n">
        <v>2029</v>
      </c>
      <c r="N1" s="16" t="n">
        <v>2030</v>
      </c>
      <c r="O1" s="16" t="n">
        <v>2031</v>
      </c>
      <c r="P1" s="16" t="n">
        <v>2032</v>
      </c>
      <c r="Q1" s="16" t="n">
        <v>2033</v>
      </c>
      <c r="R1" s="16" t="n">
        <v>2034</v>
      </c>
      <c r="S1" s="16" t="n">
        <v>2035</v>
      </c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0</v>
      </c>
      <c r="D2" s="52" t="n">
        <v>0</v>
      </c>
      <c r="E2" s="52" t="n">
        <v>57.027</v>
      </c>
      <c r="F2" s="52" t="n">
        <v>25.816</v>
      </c>
      <c r="G2" s="52" t="n">
        <v>17.447</v>
      </c>
      <c r="H2" s="52" t="n">
        <v>182.953</v>
      </c>
      <c r="I2" s="52" t="n">
        <v>451.36</v>
      </c>
      <c r="J2" s="52">
        <f>I2*(1+NPV!C5)</f>
        <v>609.336</v>
      </c>
      <c r="K2" s="52">
        <f>J2*(1+NPV!D5)</f>
        <v>800.5998</v>
      </c>
      <c r="L2" s="52">
        <f>K2*(1+NPV!E5)</f>
        <v>1022.9886333333332</v>
      </c>
      <c r="M2" s="52">
        <f>L2*(1+NPV!F5)</f>
        <v>1270.2108863888886</v>
      </c>
      <c r="N2" s="52">
        <f>M2*(1+NPV!G5)</f>
        <v>1531.3097908132713</v>
      </c>
      <c r="O2" s="52">
        <f>N2*(1+NPV!H5)</f>
        <v>1790.7817275899647</v>
      </c>
      <c r="P2" s="52">
        <f>O2*(1+NPV!I5)</f>
        <v>2029.55262460196</v>
      </c>
      <c r="Q2" s="52">
        <f>P2*(1+NPV!J5)</f>
        <v>2226.870240882706</v>
      </c>
      <c r="R2" s="52">
        <f>Q2*(1+NPV!K5)</f>
        <v>2362.956755603316</v>
      </c>
      <c r="S2" s="52">
        <f>R2*(1+NPV!L5)</f>
        <v>2422.0306744933987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</v>
      </c>
      <c r="J3" s="52">
        <f>J2*(1-Assumptions!$B$19)</f>
        <v>0.0</v>
      </c>
      <c r="K3" s="52">
        <f>K2*(1-Assumptions!$B$19)</f>
        <v>0.0</v>
      </c>
      <c r="L3" s="52">
        <f>L2*(1-Assumptions!$B$19)</f>
        <v>0.0</v>
      </c>
      <c r="M3" s="52">
        <f>M2*(1-Assumptions!$B$19)</f>
        <v>0.0</v>
      </c>
      <c r="N3" s="52">
        <f>N2*(1-Assumptions!$B$19)</f>
        <v>0.0</v>
      </c>
      <c r="O3" s="52">
        <f>O2*(1-Assumptions!$B$19)</f>
        <v>0.0</v>
      </c>
      <c r="P3" s="52">
        <f>P2*(1-Assumptions!$B$19)</f>
        <v>0.0</v>
      </c>
      <c r="Q3" s="52">
        <f>Q2*(1-Assumptions!$B$19)</f>
        <v>0.0</v>
      </c>
      <c r="R3" s="52">
        <f>R2*(1-Assumptions!$B$19)</f>
        <v>0.0</v>
      </c>
      <c r="S3" s="52">
        <f>S2*(1-Assumptions!$B$19)</f>
        <v>0.0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0.0</v>
      </c>
      <c r="D4" s="52">
        <f>D2-D3</f>
        <v>0.0</v>
      </c>
      <c r="E4" s="52">
        <f>E2-E3</f>
        <v>57.027</v>
      </c>
      <c r="F4" s="52">
        <f>F2-F3</f>
        <v>25.816</v>
      </c>
      <c r="G4" s="52">
        <f>G2-G3</f>
        <v>17.447</v>
      </c>
      <c r="H4" s="52">
        <f>H2-H3</f>
        <v>182.953</v>
      </c>
      <c r="I4" s="52">
        <f>I2-I3</f>
        <v>451.36</v>
      </c>
      <c r="J4" s="52">
        <f>J2-J3</f>
        <v>609.336</v>
      </c>
      <c r="K4" s="52">
        <f>K2-K3</f>
        <v>800.5998</v>
      </c>
      <c r="L4" s="52">
        <f>L2-L3</f>
        <v>1022.9886333333332</v>
      </c>
      <c r="M4" s="52">
        <f>M2-M3</f>
        <v>1270.2108863888886</v>
      </c>
      <c r="N4" s="52">
        <f>N2-N3</f>
        <v>1531.3097908132713</v>
      </c>
      <c r="O4" s="52">
        <f>O2-O3</f>
        <v>1790.7817275899647</v>
      </c>
      <c r="P4" s="52">
        <f>P2-P3</f>
        <v>2029.55262460196</v>
      </c>
      <c r="Q4" s="52">
        <f>Q2-Q3</f>
        <v>2226.870240882706</v>
      </c>
      <c r="R4" s="52">
        <f>R2-R3</f>
        <v>2362.956755603316</v>
      </c>
      <c r="S4" s="52">
        <f>S2-S3</f>
        <v>2422.0306744933987</v>
      </c>
    </row>
    <row r="5">
      <c r="A5" s="2" t="inlineStr">
        <is>
          <t>Research &amp; Dev.</t>
        </is>
      </c>
      <c r="B5" s="52" t="n">
        <v>0</v>
      </c>
      <c r="C5" s="52" t="n">
        <v>3.162</v>
      </c>
      <c r="D5" s="52" t="n">
        <v>18.826</v>
      </c>
      <c r="E5" s="52" t="n">
        <v>41.712</v>
      </c>
      <c r="F5" s="52" t="n">
        <v>42.624</v>
      </c>
      <c r="G5" s="52" t="n">
        <v>50.312</v>
      </c>
      <c r="H5" s="52" t="n">
        <v>53.386</v>
      </c>
      <c r="I5" s="52" t="n">
        <v>64.322</v>
      </c>
      <c r="J5" s="52">
        <f>J7*Assumptions!$B$20</f>
        <v>78.90974320320001</v>
      </c>
      <c r="K5" s="52">
        <f>K7*Assumptions!$B$20</f>
        <v>100.91912742912</v>
      </c>
      <c r="L5" s="52">
        <f>L7*Assumptions!$B$20</f>
        <v>125.42618116027998</v>
      </c>
      <c r="M5" s="52">
        <f>M7*Assumptions!$B$20</f>
        <v>151.3593453908091</v>
      </c>
      <c r="N5" s="52">
        <f>N7*Assumptions!$B$20</f>
        <v>177.19398113416688</v>
      </c>
      <c r="O5" s="52">
        <f>O7*Assumptions!$B$20</f>
        <v>201.04605036768808</v>
      </c>
      <c r="P5" s="52">
        <f>P7*Assumptions!$B$20</f>
        <v>220.8567284302351</v>
      </c>
      <c r="Q5" s="52">
        <f>Q7*Assumptions!$B$20</f>
        <v>234.6533340146779</v>
      </c>
      <c r="R5" s="52">
        <f>R7*Assumptions!$B$20</f>
        <v>240.84862063702806</v>
      </c>
      <c r="S5" s="52">
        <f>S7*Assumptions!$B$20</f>
        <v>238.52158082410992</v>
      </c>
    </row>
    <row r="6">
      <c r="A6" s="18" t="inlineStr">
        <is>
          <t>SG&amp;A &amp; Other</t>
        </is>
      </c>
      <c r="B6" s="52" t="n">
        <v>1.319</v>
      </c>
      <c r="C6" s="52" t="n">
        <v>1.136</v>
      </c>
      <c r="D6" s="52" t="n">
        <v>8.172000000000001</v>
      </c>
      <c r="E6" s="52" t="n">
        <v>27.472</v>
      </c>
      <c r="F6" s="52" t="n">
        <v>45.904</v>
      </c>
      <c r="G6" s="52" t="n">
        <v>110.293</v>
      </c>
      <c r="H6" s="52" t="n">
        <v>250.136</v>
      </c>
      <c r="I6" s="52" t="n">
        <v>458.007</v>
      </c>
      <c r="J6" s="52">
        <f>J7-J5</f>
        <v>562.1117287968</v>
      </c>
      <c r="K6" s="52">
        <f>K7-K5</f>
        <v>718.89506777088</v>
      </c>
      <c r="L6" s="52">
        <f>L7-L5</f>
        <v>893.4704976397198</v>
      </c>
      <c r="M6" s="52">
        <f>M7-M5</f>
        <v>1078.2047926336352</v>
      </c>
      <c r="N6" s="52">
        <f>N7-N5</f>
        <v>1262.2372222303081</v>
      </c>
      <c r="O6" s="52">
        <f>O7-O5</f>
        <v>1432.1468851943596</v>
      </c>
      <c r="P6" s="52">
        <f>P7-P5</f>
        <v>1573.2677917178974</v>
      </c>
      <c r="Q6" s="52">
        <f>Q7-Q5</f>
        <v>1671.5475921809184</v>
      </c>
      <c r="R6" s="52">
        <f>R7-R5</f>
        <v>1715.6795730025176</v>
      </c>
      <c r="S6" s="52">
        <f>S7-S5</f>
        <v>1699.1029587706091</v>
      </c>
    </row>
    <row r="7">
      <c r="A7" s="2" t="inlineStr">
        <is>
          <t>Operating Expense</t>
        </is>
      </c>
      <c r="B7" s="52">
        <f>SUM(B5:B6)</f>
        <v>1.319</v>
      </c>
      <c r="C7" s="52">
        <f>SUM(C5:C6)</f>
        <v>4.298</v>
      </c>
      <c r="D7" s="52">
        <f>SUM(D5:D6)</f>
        <v>26.998</v>
      </c>
      <c r="E7" s="52">
        <f>SUM(E5:E6)</f>
        <v>69.184</v>
      </c>
      <c r="F7" s="52">
        <f>SUM(F5:F6)</f>
        <v>88.528</v>
      </c>
      <c r="G7" s="52">
        <f>SUM(G5:G6)</f>
        <v>160.60500000000002</v>
      </c>
      <c r="H7" s="52">
        <f>SUM(H5:H6)</f>
        <v>303.522</v>
      </c>
      <c r="I7" s="52">
        <f>SUM(I5:I6)</f>
        <v>522.329</v>
      </c>
      <c r="J7" s="52">
        <f>J4-J2*NPV!C6</f>
        <v>641.021472</v>
      </c>
      <c r="K7" s="52">
        <f>K4-K2*NPV!D6</f>
        <v>819.8141952</v>
      </c>
      <c r="L7" s="52">
        <f>L4-L2*NPV!E6</f>
        <v>1018.8966787999998</v>
      </c>
      <c r="M7" s="52">
        <f>M4-M2*NPV!F6</f>
        <v>1229.5641380244442</v>
      </c>
      <c r="N7" s="52">
        <f>N4-N2*NPV!G6</f>
        <v>1439.431203364475</v>
      </c>
      <c r="O7" s="52">
        <f>O4-O2*NPV!H6</f>
        <v>1633.1929355620478</v>
      </c>
      <c r="P7" s="52">
        <f>P4-P2*NPV!I6</f>
        <v>1794.1245201481324</v>
      </c>
      <c r="Q7" s="52">
        <f>Q4-Q2*NPV!J6</f>
        <v>1906.2009261955964</v>
      </c>
      <c r="R7" s="52">
        <f>R4-R2*NPV!K6</f>
        <v>1956.5281936395456</v>
      </c>
      <c r="S7" s="52">
        <f>S4-S2*NPV!L6</f>
        <v>1937.624539594719</v>
      </c>
    </row>
    <row r="8">
      <c r="A8" s="2" t="inlineStr">
        <is>
          <t>Operating Income</t>
        </is>
      </c>
      <c r="B8" s="52">
        <f>B4-B7</f>
        <v>-1.319</v>
      </c>
      <c r="C8" s="52">
        <f>C4-C7</f>
        <v>-4.298</v>
      </c>
      <c r="D8" s="52">
        <f>D4-D7</f>
        <v>-26.998</v>
      </c>
      <c r="E8" s="52">
        <f>E4-E7</f>
        <v>-12.156999999999996</v>
      </c>
      <c r="F8" s="52">
        <f>F4-F7</f>
        <v>-62.712</v>
      </c>
      <c r="G8" s="52">
        <f>G4-G7</f>
        <v>-143.15800000000002</v>
      </c>
      <c r="H8" s="52">
        <f>H4-H7</f>
        <v>-120.56899999999999</v>
      </c>
      <c r="I8" s="52">
        <f>I4-I7</f>
        <v>-70.96899999999994</v>
      </c>
      <c r="J8" s="52">
        <f>J4-J7</f>
        <v>-31.685472000000004</v>
      </c>
      <c r="K8" s="52">
        <f>K4-K7</f>
        <v>-19.214395200000013</v>
      </c>
      <c r="L8" s="52">
        <f>L4-L7</f>
        <v>4.0919545333333645</v>
      </c>
      <c r="M8" s="52">
        <f>M4-M7</f>
        <v>40.64674836444442</v>
      </c>
      <c r="N8" s="52">
        <f>N4-N7</f>
        <v>91.87858744879622</v>
      </c>
      <c r="O8" s="52">
        <f>O4-O7</f>
        <v>157.58879202791695</v>
      </c>
      <c r="P8" s="52">
        <f>P4-P7</f>
        <v>235.42810445382747</v>
      </c>
      <c r="Q8" s="52">
        <f>Q4-Q7</f>
        <v>320.6693146871098</v>
      </c>
      <c r="R8" s="52">
        <f>R4-R7</f>
        <v>406.42856196377056</v>
      </c>
      <c r="S8" s="52">
        <f>S4-S7</f>
        <v>484.40613489867974</v>
      </c>
    </row>
    <row r="9">
      <c r="A9" s="18" t="inlineStr">
        <is>
          <t>Interest &amp; Other</t>
        </is>
      </c>
      <c r="B9" s="52" t="n">
        <v>0</v>
      </c>
      <c r="C9" s="52" t="n">
        <v>-0.371</v>
      </c>
      <c r="D9" s="52" t="n">
        <v>0.188</v>
      </c>
      <c r="E9" s="52" t="n">
        <v>-1.615</v>
      </c>
      <c r="F9" s="52" t="n">
        <v>0.617</v>
      </c>
      <c r="G9" s="52" t="n">
        <v>7.158</v>
      </c>
      <c r="H9" s="52" t="n">
        <v>4.569</v>
      </c>
      <c r="I9" s="52" t="n">
        <v>7.028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</row>
    <row r="10">
      <c r="A10" s="2" t="inlineStr">
        <is>
          <t>Pretax</t>
        </is>
      </c>
      <c r="B10" s="52">
        <f>B8+B9</f>
        <v>-1.319</v>
      </c>
      <c r="C10" s="52">
        <f>C8+C9</f>
        <v>-4.6690000000000005</v>
      </c>
      <c r="D10" s="52">
        <f>D8+D9</f>
        <v>-26.810000000000002</v>
      </c>
      <c r="E10" s="52">
        <f>E8+E9</f>
        <v>-13.771999999999997</v>
      </c>
      <c r="F10" s="52">
        <f>F8+F9</f>
        <v>-62.095000000000006</v>
      </c>
      <c r="G10" s="52">
        <f>G8+G9</f>
        <v>-136.00000000000003</v>
      </c>
      <c r="H10" s="52">
        <f>H8+H9</f>
        <v>-115.99999999999999</v>
      </c>
      <c r="I10" s="52">
        <f>I8+I9</f>
        <v>-63.94099999999994</v>
      </c>
      <c r="J10" s="52">
        <f>J8+J9</f>
        <v>-31.685472000000004</v>
      </c>
      <c r="K10" s="52">
        <f>K8+K9</f>
        <v>-19.214395200000013</v>
      </c>
      <c r="L10" s="52">
        <f>L8+L9</f>
        <v>4.0919545333333645</v>
      </c>
      <c r="M10" s="52">
        <f>M8+M9</f>
        <v>40.64674836444442</v>
      </c>
      <c r="N10" s="52">
        <f>N8+N9</f>
        <v>91.87858744879622</v>
      </c>
      <c r="O10" s="52">
        <f>O8+O9</f>
        <v>157.58879202791695</v>
      </c>
      <c r="P10" s="52">
        <f>P8+P9</f>
        <v>235.42810445382747</v>
      </c>
      <c r="Q10" s="52">
        <f>Q8+Q9</f>
        <v>320.6693146871098</v>
      </c>
      <c r="R10" s="52">
        <f>R8+R9</f>
        <v>406.42856196377056</v>
      </c>
      <c r="S10" s="52">
        <f>S8+S9</f>
        <v>484.40613489867974</v>
      </c>
    </row>
    <row r="11">
      <c r="A11" s="2" t="inlineStr">
        <is>
          <t>Taxes</t>
        </is>
      </c>
      <c r="B11" s="52" t="n">
        <v>0</v>
      </c>
      <c r="C11" s="52" t="n">
        <v>0.001</v>
      </c>
      <c r="D11" s="52" t="n">
        <v>0.001</v>
      </c>
      <c r="E11" s="52" t="n">
        <v>0.055</v>
      </c>
      <c r="F11" s="52" t="n">
        <v>-0.004</v>
      </c>
      <c r="G11" s="52" t="n">
        <v>0</v>
      </c>
      <c r="H11" s="52" t="n">
        <v>0</v>
      </c>
      <c r="I11" s="52" t="n">
        <v>2.059</v>
      </c>
      <c r="J11" s="52">
        <f>MAX(0,J10)*Assumptions!$E$14</f>
        <v>0.0</v>
      </c>
      <c r="K11" s="52">
        <f>MAX(0,K10)*Assumptions!$E$14</f>
        <v>0.0</v>
      </c>
      <c r="L11" s="52">
        <f>MAX(0,L10)*Assumptions!$E$14</f>
        <v>0.695632270666672</v>
      </c>
      <c r="M11" s="52">
        <f>MAX(0,M10)*Assumptions!$E$14</f>
        <v>6.9099472219555516</v>
      </c>
      <c r="N11" s="52">
        <f>MAX(0,N10)*Assumptions!$E$14</f>
        <v>15.61935986629536</v>
      </c>
      <c r="O11" s="52">
        <f>MAX(0,O10)*Assumptions!$E$14</f>
        <v>26.790094644745885</v>
      </c>
      <c r="P11" s="52">
        <f>MAX(0,P10)*Assumptions!$E$14</f>
        <v>40.02277775715067</v>
      </c>
      <c r="Q11" s="52">
        <f>MAX(0,Q10)*Assumptions!$E$14</f>
        <v>54.51378349680867</v>
      </c>
      <c r="R11" s="52">
        <f>MAX(0,R10)*Assumptions!$E$14</f>
        <v>69.092855533841</v>
      </c>
      <c r="S11" s="52">
        <f>MAX(0,S10)*Assumptions!$E$14</f>
        <v>82.34904293277556</v>
      </c>
    </row>
    <row r="12">
      <c r="A12" s="2" t="inlineStr">
        <is>
          <t>Net Income</t>
        </is>
      </c>
      <c r="B12" s="52" t="n">
        <v>-1.319</v>
      </c>
      <c r="C12" s="52" t="n">
        <v>-4.67</v>
      </c>
      <c r="D12" s="52" t="n">
        <v>-26.811</v>
      </c>
      <c r="E12" s="52" t="n">
        <v>-13.827</v>
      </c>
      <c r="F12" s="52" t="n">
        <v>-62.091</v>
      </c>
      <c r="G12" s="52" t="n">
        <v>-136</v>
      </c>
      <c r="H12" s="52" t="n">
        <v>-116</v>
      </c>
      <c r="I12" s="52" t="n">
        <v>-66</v>
      </c>
      <c r="J12" s="52">
        <f>J10-J11</f>
        <v>-31.685472000000004</v>
      </c>
      <c r="K12" s="52">
        <f>K10-K11</f>
        <v>-19.214395200000013</v>
      </c>
      <c r="L12" s="52">
        <f>L10-L11</f>
        <v>3.3963222626666925</v>
      </c>
      <c r="M12" s="52">
        <f>M10-M11</f>
        <v>33.73680114248887</v>
      </c>
      <c r="N12" s="52">
        <f>N10-N11</f>
        <v>76.25922758250087</v>
      </c>
      <c r="O12" s="52">
        <f>O10-O11</f>
        <v>130.79869738317106</v>
      </c>
      <c r="P12" s="52">
        <f>P10-P11</f>
        <v>195.4053266966768</v>
      </c>
      <c r="Q12" s="52">
        <f>Q10-Q11</f>
        <v>266.15553119030113</v>
      </c>
      <c r="R12" s="52">
        <f>R10-R11</f>
        <v>337.3357064299296</v>
      </c>
      <c r="S12" s="52">
        <f>S10-S11</f>
        <v>402.0570919659042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-1.976301311891663</v>
      </c>
      <c r="D13" s="11">
        <f>IFERROR(D12/D14,0)</f>
        <v>-4.319478008699855</v>
      </c>
      <c r="E13" s="11">
        <f>IFERROR(E12/E14,0)</f>
        <v>-0.6727157730855309</v>
      </c>
      <c r="F13" s="11">
        <f>IFERROR(F12/F14,0)</f>
        <v>-2.521974004874086</v>
      </c>
      <c r="G13" s="11">
        <f>IFERROR(G12/G14,0)</f>
        <v>-4.628526699111731</v>
      </c>
      <c r="H13" s="11">
        <f>IFERROR(H12/H14,0)</f>
        <v>-3.084696184018083</v>
      </c>
      <c r="I13" s="11">
        <f>IFERROR(I12/I14,0)</f>
        <v>-1.5795519816197587</v>
      </c>
      <c r="J13" s="11">
        <f>IFERROR(J12/J14,0)</f>
        <v>-0.7220444110060308</v>
      </c>
      <c r="K13" s="11">
        <f>IFERROR(K12/K14,0)</f>
        <v>-0.4378551364177599</v>
      </c>
      <c r="L13" s="11">
        <f>IFERROR(L12/L14,0)</f>
        <v>0.0773949495760657</v>
      </c>
      <c r="M13" s="11">
        <f>IFERROR(M12/M14,0)</f>
        <v>0.7687898324555796</v>
      </c>
      <c r="N13" s="11">
        <f>IFERROR(N12/N14,0)</f>
        <v>1.7377853504464662</v>
      </c>
      <c r="O13" s="11">
        <f>IFERROR(O12/O14,0)</f>
        <v>2.980623688117627</v>
      </c>
      <c r="P13" s="11">
        <f>IFERROR(P12/P14,0)</f>
        <v>4.452871146187849</v>
      </c>
      <c r="Q13" s="11">
        <f>IFERROR(Q12/Q14,0)</f>
        <v>6.065117595669657</v>
      </c>
      <c r="R13" s="11">
        <f>IFERROR(R12/R14,0)</f>
        <v>7.68716216253625</v>
      </c>
      <c r="S13" s="11">
        <f>IFERROR(S12/S14,0)</f>
        <v>9.16202467046471</v>
      </c>
    </row>
    <row r="14">
      <c r="A14" s="2" t="inlineStr">
        <is>
          <t>Shares</t>
        </is>
      </c>
      <c r="B14" s="52" t="n"/>
      <c r="C14" s="52" t="n">
        <v>2.363</v>
      </c>
      <c r="D14" s="52" t="n">
        <v>6.207</v>
      </c>
      <c r="E14" s="52" t="n">
        <v>20.554</v>
      </c>
      <c r="F14" s="52" t="n">
        <v>24.62</v>
      </c>
      <c r="G14" s="52" t="n">
        <v>29.383</v>
      </c>
      <c r="H14" s="52" t="n">
        <v>37.605</v>
      </c>
      <c r="I14" s="52" t="n">
        <v>41.784</v>
      </c>
      <c r="J14" s="52">
        <f>Main!$C$4</f>
        <v>43.882996</v>
      </c>
      <c r="K14" s="52">
        <f>Main!$C$4</f>
        <v>43.882996</v>
      </c>
      <c r="L14" s="52">
        <f>Main!$C$4</f>
        <v>43.882996</v>
      </c>
      <c r="M14" s="52">
        <f>Main!$C$4</f>
        <v>43.882996</v>
      </c>
      <c r="N14" s="52">
        <f>Main!$C$4</f>
        <v>43.882996</v>
      </c>
      <c r="O14" s="52">
        <f>Main!$C$4</f>
        <v>43.882996</v>
      </c>
      <c r="P14" s="52">
        <f>Main!$C$4</f>
        <v>43.882996</v>
      </c>
      <c r="Q14" s="52">
        <f>Main!$C$4</f>
        <v>43.882996</v>
      </c>
      <c r="R14" s="52">
        <f>Main!$C$4</f>
        <v>43.882996</v>
      </c>
      <c r="S14" s="52">
        <f>Main!$C$4</f>
        <v>43.882996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>-0.5473021551195048</v>
      </c>
      <c r="G16" s="15">
        <f>IFERROR(G2/F2-1,"")</f>
        <v>-0.32417880384257824</v>
      </c>
      <c r="H16" s="15">
        <f>IFERROR(H2/G2-1,"")</f>
        <v>9.486215395196883</v>
      </c>
      <c r="I16" s="15">
        <f>IFERROR(I2/H2-1,"")</f>
        <v>1.4670817095100928</v>
      </c>
      <c r="J16" s="15">
        <f>IFERROR(J2/I2-1,"")</f>
        <v>0.3500000000000001</v>
      </c>
      <c r="K16" s="15">
        <f>IFERROR(K2/J2-1,"")</f>
        <v>0.3138888888888889</v>
      </c>
      <c r="L16" s="15">
        <f>IFERROR(L2/K2-1,"")</f>
        <v>0.2777777777777777</v>
      </c>
      <c r="M16" s="15">
        <f>IFERROR(M2/L2-1,"")</f>
        <v>0.2416666666666667</v>
      </c>
      <c r="N16" s="15">
        <f>IFERROR(N2/M2-1,"")</f>
        <v>0.2055555555555555</v>
      </c>
      <c r="O16" s="15">
        <f>IFERROR(O2/N2-1,"")</f>
        <v>0.1694444444444445</v>
      </c>
      <c r="P16" s="15">
        <f>IFERROR(P2/O2-1,"")</f>
        <v>0.1333333333333333</v>
      </c>
      <c r="Q16" s="15">
        <f>IFERROR(Q2/P2-1,"")</f>
        <v>0.09722222222222232</v>
      </c>
      <c r="R16" s="15">
        <f>IFERROR(R2/Q2-1,"")</f>
        <v>0.061111111111111116</v>
      </c>
      <c r="S16" s="15">
        <f>IFERROR(S2/R2-1,"")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  <c r="R17" s="15">
        <f>IFERROR(R4/R2,"")</f>
        <v>1.0</v>
      </c>
      <c r="S17" s="15">
        <f>IFERROR(S4/S2,"")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>-0.21317972188612405</v>
      </c>
      <c r="F18" s="15">
        <f>IFERROR(F8/F2,"")</f>
        <v>-2.4291911992562754</v>
      </c>
      <c r="G18" s="15">
        <f>IFERROR(G8/G2,"")</f>
        <v>-8.205307502722532</v>
      </c>
      <c r="H18" s="15">
        <f>IFERROR(H8/H2,"")</f>
        <v>-0.6590162500751559</v>
      </c>
      <c r="I18" s="15">
        <f>IFERROR(I8/I2,"")</f>
        <v>-0.15723369372562906</v>
      </c>
      <c r="J18" s="15">
        <f>IFERROR(J8/J2,"")</f>
        <v>-0.052000000000000005</v>
      </c>
      <c r="K18" s="15">
        <f>IFERROR(K8/K2,"")</f>
        <v>-0.024000000000000018</v>
      </c>
      <c r="L18" s="15">
        <f>IFERROR(L8/L2,"")</f>
        <v>0.004000000000000031</v>
      </c>
      <c r="M18" s="15">
        <f>IFERROR(M8/M2,"")</f>
        <v>0.03199999999999999</v>
      </c>
      <c r="N18" s="15">
        <f>IFERROR(N8/N2,"")</f>
        <v>0.05999999999999996</v>
      </c>
      <c r="O18" s="15">
        <f>IFERROR(O8/O2,"")</f>
        <v>0.08800000000000004</v>
      </c>
      <c r="P18" s="15">
        <f>IFERROR(P8/P2,"")</f>
        <v>0.11600000000000006</v>
      </c>
      <c r="Q18" s="15">
        <f>IFERROR(Q8/Q2,"")</f>
        <v>0.14400000000000004</v>
      </c>
      <c r="R18" s="15">
        <f>IFERROR(R8/R2,"")</f>
        <v>0.17200000000000007</v>
      </c>
      <c r="S18" s="15">
        <f>IFERROR(S8/S2,"")</f>
        <v>0.2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E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Tarsus Pharmaceuticals,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0.3</v>
      </c>
      <c r="C12" s="53" t="n">
        <v>0.35</v>
      </c>
      <c r="D12" s="53" t="n">
        <v>0.4</v>
      </c>
      <c r="E12" s="54">
        <f>CHOOSE($B$4,B12,C12,D12)</f>
        <v>0.35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-0.08</v>
      </c>
    </row>
    <row r="19">
      <c r="A19" s="14" t="inlineStr">
        <is>
          <t>Gross margin (forecast)</t>
        </is>
      </c>
      <c r="B19" s="53" t="n">
        <v>1</v>
      </c>
    </row>
    <row r="20">
      <c r="A20" s="14" t="inlineStr">
        <is>
          <t>R&amp;D share of operating expense (forecast)</t>
        </is>
      </c>
      <c r="B20" s="53" t="n">
        <v>0.1231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Model'!I2</f>
        <v>451.36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2080.130361491128</v>
      </c>
      <c r="C29" s="56">
        <f>NPV!B26</f>
        <v>2457.058361491128</v>
      </c>
      <c r="D29" s="35">
        <f>NPV!B28</f>
        <v>55.991126072867225</v>
      </c>
      <c r="E29" s="57">
        <f>NPV!B30</f>
        <v>-0.2138838038207479</v>
      </c>
    </row>
    <row r="30">
      <c r="A30" s="58" t="n">
        <v>1</v>
      </c>
      <c r="B30" s="59">
        <f t="dataTable" ref="B30:E32" r1="B4"/>
        <v>894.8177936262732</v>
      </c>
      <c r="C30" s="59">
        <v>1271.7457936262733</v>
      </c>
      <c r="D30" s="39">
        <v>28.980377584663394</v>
      </c>
      <c r="E30" s="60">
        <v>-0.5931150918264178</v>
      </c>
    </row>
    <row r="31">
      <c r="A31" s="58" t="n">
        <v>2</v>
      </c>
      <c r="B31" s="59">
        <v>2080.130361491128</v>
      </c>
      <c r="C31" s="59">
        <v>2457.058361491128</v>
      </c>
      <c r="D31" s="39">
        <v>55.991126072867225</v>
      </c>
      <c r="E31" s="60">
        <v>-0.2138838038207479</v>
      </c>
    </row>
    <row r="32">
      <c r="A32" s="58" t="n">
        <v>3</v>
      </c>
      <c r="B32" s="59">
        <v>4329.772658578398</v>
      </c>
      <c r="C32" s="59">
        <v>4706.700658578397</v>
      </c>
      <c r="D32" s="39">
        <v>107.25568187227685</v>
      </c>
      <c r="E32" s="60">
        <v>0.5058712793580464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55.991126072867225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69.06093250423099</v>
      </c>
      <c r="C37" s="39">
        <v>73.89320001327008</v>
      </c>
      <c r="D37" s="39">
        <v>79.4763351662256</v>
      </c>
      <c r="E37" s="39">
        <v>85.99815175839619</v>
      </c>
      <c r="F37" s="39">
        <v>93.71476075433587</v>
      </c>
    </row>
    <row r="38">
      <c r="A38" s="62" t="n">
        <v>0.1</v>
      </c>
      <c r="B38" s="39">
        <v>58.48090111054236</v>
      </c>
      <c r="C38" s="39">
        <v>62.02160959882803</v>
      </c>
      <c r="D38" s="39">
        <v>66.04045878449256</v>
      </c>
      <c r="E38" s="39">
        <v>70.63998468415531</v>
      </c>
      <c r="F38" s="39">
        <v>75.95427383848485</v>
      </c>
    </row>
    <row r="39">
      <c r="A39" s="62" t="n">
        <v>0.11</v>
      </c>
      <c r="B39" s="39">
        <v>50.32600772188323</v>
      </c>
      <c r="C39" s="39">
        <v>52.998837276211205</v>
      </c>
      <c r="D39" s="39">
        <v>55.991126072867225</v>
      </c>
      <c r="E39" s="39">
        <v>59.36283574658912</v>
      </c>
      <c r="F39" s="39">
        <v>63.18991849377002</v>
      </c>
    </row>
    <row r="40">
      <c r="A40" s="62" t="n">
        <v>0.12</v>
      </c>
      <c r="B40" s="39">
        <v>43.88896485498607</v>
      </c>
      <c r="C40" s="39">
        <v>45.95495881319595</v>
      </c>
      <c r="D40" s="39">
        <v>48.24263942514157</v>
      </c>
      <c r="E40" s="39">
        <v>50.78900673456688</v>
      </c>
      <c r="F40" s="39">
        <v>53.63976733039718</v>
      </c>
    </row>
    <row r="41">
      <c r="A41" s="62" t="n">
        <v>0.13</v>
      </c>
      <c r="B41" s="39">
        <v>38.70973077962321</v>
      </c>
      <c r="C41" s="39">
        <v>40.33769123204912</v>
      </c>
      <c r="D41" s="39">
        <v>42.12428510446577</v>
      </c>
      <c r="E41" s="39">
        <v>44.09335134744806</v>
      </c>
      <c r="F41" s="39">
        <v>46.273748183368646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Tarsus Pharmaceuticals, Inc.: free-cash-flow DCF ($mm)</t>
        </is>
      </c>
    </row>
    <row r="3">
      <c r="A3" s="20" t="inlineStr">
        <is>
          <t>Fiscal year</t>
        </is>
      </c>
      <c r="B3" s="43">
        <f>'Yearly Model'!I1</f>
        <v>2025</v>
      </c>
      <c r="C3" s="43">
        <f>'Yearly Model'!J1</f>
        <v>2026</v>
      </c>
      <c r="D3" s="43">
        <f>'Yearly Model'!K1</f>
        <v>2027</v>
      </c>
      <c r="E3" s="43">
        <f>'Yearly Model'!L1</f>
        <v>2028</v>
      </c>
      <c r="F3" s="43">
        <f>'Yearly Model'!M1</f>
        <v>2029</v>
      </c>
      <c r="G3" s="43">
        <f>'Yearly Model'!N1</f>
        <v>2030</v>
      </c>
      <c r="H3" s="43">
        <f>'Yearly Model'!O1</f>
        <v>2031</v>
      </c>
      <c r="I3" s="43">
        <f>'Yearly Model'!P1</f>
        <v>2032</v>
      </c>
      <c r="J3" s="43">
        <f>'Yearly Model'!Q1</f>
        <v>2033</v>
      </c>
      <c r="K3" s="43">
        <f>'Yearly Model'!R1</f>
        <v>2034</v>
      </c>
      <c r="L3" s="43">
        <f>'Yearly Model'!S1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0.35</v>
      </c>
      <c r="D5" s="63">
        <f>Assumptions!$E$12+(Assumptions!$E$11-Assumptions!$E$12)*(D4-1)/(Assumptions!$B$21-1)</f>
        <v>0.3138888888888889</v>
      </c>
      <c r="E5" s="63">
        <f>Assumptions!$E$12+(Assumptions!$E$11-Assumptions!$E$12)*(E4-1)/(Assumptions!$B$21-1)</f>
        <v>0.2777777777777778</v>
      </c>
      <c r="F5" s="63">
        <f>Assumptions!$E$12+(Assumptions!$E$11-Assumptions!$E$12)*(F4-1)/(Assumptions!$B$21-1)</f>
        <v>0.24166666666666664</v>
      </c>
      <c r="G5" s="63">
        <f>Assumptions!$E$12+(Assumptions!$E$11-Assumptions!$E$12)*(G4-1)/(Assumptions!$B$21-1)</f>
        <v>0.20555555555555555</v>
      </c>
      <c r="H5" s="63">
        <f>Assumptions!$E$12+(Assumptions!$E$11-Assumptions!$E$12)*(H4-1)/(Assumptions!$B$21-1)</f>
        <v>0.16944444444444445</v>
      </c>
      <c r="I5" s="63">
        <f>Assumptions!$E$12+(Assumptions!$E$11-Assumptions!$E$12)*(I4-1)/(Assumptions!$B$21-1)</f>
        <v>0.13333333333333333</v>
      </c>
      <c r="J5" s="63">
        <f>Assumptions!$E$12+(Assumptions!$E$11-Assumptions!$E$12)*(J4-1)/(Assumptions!$B$21-1)</f>
        <v>0.09722222222222227</v>
      </c>
      <c r="K5" s="63">
        <f>Assumptions!$E$12+(Assumptions!$E$11-Assumptions!$E$12)*(K4-1)/(Assumptions!$B$21-1)</f>
        <v>0.061111111111111116</v>
      </c>
      <c r="L5" s="63">
        <f>Assumptions!$E$12+(Assumptions!$E$11-Assumptions!$E$12)*(L4-1)/(Assumptions!$B$21-1)</f>
        <v>0.025000000000000022</v>
      </c>
    </row>
    <row r="6">
      <c r="A6" s="14" t="inlineStr">
        <is>
          <t>Operating margin</t>
        </is>
      </c>
      <c r="B6" s="63">
        <f>IFERROR(B8/B7,0)</f>
        <v>-0.15723369372562906</v>
      </c>
      <c r="C6" s="63">
        <f>Assumptions!$B$18+(Assumptions!$E$13-Assumptions!$B$18)*C4/Assumptions!$B$21</f>
        <v>-0.052</v>
      </c>
      <c r="D6" s="63">
        <f>Assumptions!$B$18+(Assumptions!$E$13-Assumptions!$B$18)*D4/Assumptions!$B$21</f>
        <v>-0.023999999999999994</v>
      </c>
      <c r="E6" s="63">
        <f>Assumptions!$B$18+(Assumptions!$E$13-Assumptions!$B$18)*E4/Assumptions!$B$21</f>
        <v>0.0040000000000000036</v>
      </c>
      <c r="F6" s="63">
        <f>Assumptions!$B$18+(Assumptions!$E$13-Assumptions!$B$18)*F4/Assumptions!$B$21</f>
        <v>0.032000000000000015</v>
      </c>
      <c r="G6" s="63">
        <f>Assumptions!$B$18+(Assumptions!$E$13-Assumptions!$B$18)*G4/Assumptions!$B$21</f>
        <v>0.06000000000000001</v>
      </c>
      <c r="H6" s="63">
        <f>Assumptions!$B$18+(Assumptions!$E$13-Assumptions!$B$18)*H4/Assumptions!$B$21</f>
        <v>0.08800000000000001</v>
      </c>
      <c r="I6" s="63">
        <f>Assumptions!$B$18+(Assumptions!$E$13-Assumptions!$B$18)*I4/Assumptions!$B$21</f>
        <v>0.116</v>
      </c>
      <c r="J6" s="63">
        <f>Assumptions!$B$18+(Assumptions!$E$13-Assumptions!$B$18)*J4/Assumptions!$B$21</f>
        <v>0.14400000000000002</v>
      </c>
      <c r="K6" s="63">
        <f>Assumptions!$B$18+(Assumptions!$E$13-Assumptions!$B$18)*K4/Assumptions!$B$21</f>
        <v>0.17200000000000004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Model'!I2</f>
        <v>451.36</v>
      </c>
      <c r="C7" s="55">
        <f>'Yearly Model'!J2</f>
        <v>609.336</v>
      </c>
      <c r="D7" s="55">
        <f>'Yearly Model'!K2</f>
        <v>800.5998</v>
      </c>
      <c r="E7" s="55">
        <f>'Yearly Model'!L2</f>
        <v>1022.9886333333332</v>
      </c>
      <c r="F7" s="55">
        <f>'Yearly Model'!M2</f>
        <v>1270.2108863888886</v>
      </c>
      <c r="G7" s="55">
        <f>'Yearly Model'!N2</f>
        <v>1531.3097908132713</v>
      </c>
      <c r="H7" s="55">
        <f>'Yearly Model'!O2</f>
        <v>1790.7817275899647</v>
      </c>
      <c r="I7" s="55">
        <f>'Yearly Model'!P2</f>
        <v>2029.55262460196</v>
      </c>
      <c r="J7" s="55">
        <f>'Yearly Model'!Q2</f>
        <v>2226.870240882706</v>
      </c>
      <c r="K7" s="55">
        <f>'Yearly Model'!R2</f>
        <v>2362.956755603316</v>
      </c>
      <c r="L7" s="55">
        <f>'Yearly Model'!S2</f>
        <v>2422.0306744933987</v>
      </c>
    </row>
    <row r="8">
      <c r="A8" s="14" t="inlineStr">
        <is>
          <t>Operating income</t>
        </is>
      </c>
      <c r="B8" s="55">
        <f>'Yearly Model'!I8</f>
        <v>-70.96899999999994</v>
      </c>
      <c r="C8" s="55">
        <f>'Yearly Model'!J8</f>
        <v>-31.685472000000004</v>
      </c>
      <c r="D8" s="55">
        <f>'Yearly Model'!K8</f>
        <v>-19.214395200000013</v>
      </c>
      <c r="E8" s="55">
        <f>'Yearly Model'!L8</f>
        <v>4.0919545333333645</v>
      </c>
      <c r="F8" s="55">
        <f>'Yearly Model'!M8</f>
        <v>40.64674836444442</v>
      </c>
      <c r="G8" s="55">
        <f>'Yearly Model'!N8</f>
        <v>91.87858744879622</v>
      </c>
      <c r="H8" s="55">
        <f>'Yearly Model'!O8</f>
        <v>157.58879202791695</v>
      </c>
      <c r="I8" s="55">
        <f>'Yearly Model'!P8</f>
        <v>235.42810445382747</v>
      </c>
      <c r="J8" s="55">
        <f>'Yearly Model'!Q8</f>
        <v>320.6693146871098</v>
      </c>
      <c r="K8" s="55">
        <f>'Yearly Model'!R8</f>
        <v>406.42856196377056</v>
      </c>
      <c r="L8" s="55">
        <f>'Yearly Model'!S8</f>
        <v>484.40613489867974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0.695632270666672</v>
      </c>
      <c r="F9" s="52">
        <f>MAX(0,F8)*Assumptions!$E$14</f>
        <v>6.9099472219555516</v>
      </c>
      <c r="G9" s="52">
        <f>MAX(0,G8)*Assumptions!$E$14</f>
        <v>15.61935986629536</v>
      </c>
      <c r="H9" s="52">
        <f>MAX(0,H8)*Assumptions!$E$14</f>
        <v>26.790094644745885</v>
      </c>
      <c r="I9" s="52">
        <f>MAX(0,I8)*Assumptions!$E$14</f>
        <v>40.02277775715067</v>
      </c>
      <c r="J9" s="52">
        <f>MAX(0,J8)*Assumptions!$E$14</f>
        <v>54.51378349680867</v>
      </c>
      <c r="K9" s="52">
        <f>MAX(0,K8)*Assumptions!$E$14</f>
        <v>69.092855533841</v>
      </c>
      <c r="L9" s="52">
        <f>MAX(0,L8)*Assumptions!$E$14</f>
        <v>82.34904293277556</v>
      </c>
    </row>
    <row r="10">
      <c r="A10" s="14" t="inlineStr">
        <is>
          <t>NOPAT</t>
        </is>
      </c>
      <c r="C10" s="52">
        <f>C8-C9</f>
        <v>-31.685472000000004</v>
      </c>
      <c r="D10" s="52">
        <f>D8-D9</f>
        <v>-19.214395200000013</v>
      </c>
      <c r="E10" s="52">
        <f>E8-E9</f>
        <v>3.3963222626666925</v>
      </c>
      <c r="F10" s="52">
        <f>F8-F9</f>
        <v>33.73680114248887</v>
      </c>
      <c r="G10" s="52">
        <f>G8-G9</f>
        <v>76.25922758250087</v>
      </c>
      <c r="H10" s="52">
        <f>H8-H9</f>
        <v>130.79869738317106</v>
      </c>
      <c r="I10" s="52">
        <f>I8-I9</f>
        <v>195.4053266966768</v>
      </c>
      <c r="J10" s="52">
        <f>J8-J9</f>
        <v>266.15553119030113</v>
      </c>
      <c r="K10" s="52">
        <f>K8-K9</f>
        <v>337.3357064299296</v>
      </c>
      <c r="L10" s="52">
        <f>L8-L9</f>
        <v>402.0570919659042</v>
      </c>
    </row>
    <row r="11">
      <c r="A11" s="14" t="inlineStr">
        <is>
          <t>Reinvestment</t>
        </is>
      </c>
      <c r="C11" s="52">
        <f>(C7-B7)*Assumptions!$E$15</f>
        <v>39.494</v>
      </c>
      <c r="D11" s="52">
        <f>(D7-C7)*Assumptions!$E$15</f>
        <v>47.81594999999999</v>
      </c>
      <c r="E11" s="52">
        <f>(E7-D7)*Assumptions!$E$15</f>
        <v>55.5972083333333</v>
      </c>
      <c r="F11" s="52">
        <f>(F7-E7)*Assumptions!$E$15</f>
        <v>61.80556326388887</v>
      </c>
      <c r="G11" s="52">
        <f>(G7-F7)*Assumptions!$E$15</f>
        <v>65.27472610609567</v>
      </c>
      <c r="H11" s="52">
        <f>(H7-G7)*Assumptions!$E$15</f>
        <v>64.86798419417335</v>
      </c>
      <c r="I11" s="52">
        <f>(I7-H7)*Assumptions!$E$15</f>
        <v>59.6927242529988</v>
      </c>
      <c r="J11" s="52">
        <f>(J7-I7)*Assumptions!$E$15</f>
        <v>49.32940407018657</v>
      </c>
      <c r="K11" s="52">
        <f>(K7-J7)*Assumptions!$E$15</f>
        <v>34.0216286801525</v>
      </c>
      <c r="L11" s="52">
        <f>(L7-K7)*Assumptions!$E$15</f>
        <v>14.768479722520624</v>
      </c>
    </row>
    <row r="12">
      <c r="A12" s="20" t="inlineStr">
        <is>
          <t>Free cash flow</t>
        </is>
      </c>
      <c r="C12" s="64">
        <f>C10-C11</f>
        <v>-71.179472</v>
      </c>
      <c r="D12" s="64">
        <f>D10-D11</f>
        <v>-67.0303452</v>
      </c>
      <c r="E12" s="64">
        <f>E10-E11</f>
        <v>-52.200886070666606</v>
      </c>
      <c r="F12" s="64">
        <f>F10-F11</f>
        <v>-28.0687621214</v>
      </c>
      <c r="G12" s="64">
        <f>G10-G11</f>
        <v>10.9845014764052</v>
      </c>
      <c r="H12" s="64">
        <f>H10-H11</f>
        <v>65.93071318899771</v>
      </c>
      <c r="I12" s="64">
        <f>I10-I11</f>
        <v>135.712602443678</v>
      </c>
      <c r="J12" s="64">
        <f>J10-J11</f>
        <v>216.82612712011456</v>
      </c>
      <c r="K12" s="64">
        <f>K10-K11</f>
        <v>303.3140777497771</v>
      </c>
      <c r="L12" s="64">
        <f>L10-L11</f>
        <v>387.28861224338357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-34.95005011151002</v>
      </c>
      <c r="D16" s="64">
        <f>D12*D13*D15</f>
        <v>-60.36186545479184</v>
      </c>
      <c r="E16" s="64">
        <f>E12*E13*E15</f>
        <v>-42.34928604722992</v>
      </c>
      <c r="F16" s="64">
        <f>F12*F13*F15</f>
        <v>-20.51485725242696</v>
      </c>
      <c r="G16" s="64">
        <f>G12*G13*G15</f>
        <v>7.232735981282845</v>
      </c>
      <c r="H16" s="64">
        <f>H12*H13*H15</f>
        <v>39.109931517750056</v>
      </c>
      <c r="I16" s="64">
        <f>I12*I13*I15</f>
        <v>72.52646026206196</v>
      </c>
      <c r="J16" s="64">
        <f>J12*J13*J15</f>
        <v>104.39145166770076</v>
      </c>
      <c r="K16" s="64">
        <f>K12*K13*K15</f>
        <v>131.5597117397827</v>
      </c>
      <c r="L16" s="64">
        <f>L12*L13*L15</f>
        <v>151.33594533885955</v>
      </c>
    </row>
    <row r="19">
      <c r="A19" s="14" t="inlineStr">
        <is>
          <t>PV of forecast free cash flow</t>
        </is>
      </c>
      <c r="B19" s="52">
        <f>SUM(C16:L16)</f>
        <v>347.98017764147914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396.970827549468</v>
      </c>
    </row>
    <row r="21">
      <c r="A21" s="14" t="inlineStr">
        <is>
          <t>Terminal value</t>
        </is>
      </c>
      <c r="B21" s="52">
        <f>B20/(Assumptions!$E$10-Assumptions!$E$11)</f>
        <v>4670.245029993742</v>
      </c>
    </row>
    <row r="22">
      <c r="A22" s="14" t="inlineStr">
        <is>
          <t>PV of terminal value</t>
        </is>
      </c>
      <c r="B22" s="52">
        <f>B21/(1+Assumptions!$E$10)^(L14+0.5)</f>
        <v>1732.150183849649</v>
      </c>
    </row>
    <row r="23">
      <c r="A23" s="20" t="inlineStr">
        <is>
          <t>Enterprise value</t>
        </is>
      </c>
      <c r="B23" s="66">
        <f>B19+B22</f>
        <v>2080.130361491128</v>
      </c>
    </row>
    <row r="24">
      <c r="A24" s="14" t="inlineStr">
        <is>
          <t>Cash &amp; investments</t>
        </is>
      </c>
      <c r="B24" s="55">
        <f>Main!C7</f>
        <v>449.69</v>
      </c>
    </row>
    <row r="25">
      <c r="A25" s="14" t="inlineStr">
        <is>
          <t>Debt</t>
        </is>
      </c>
      <c r="B25" s="55">
        <f>Main!C8</f>
        <v>72.762</v>
      </c>
    </row>
    <row r="26">
      <c r="A26" s="20" t="inlineStr">
        <is>
          <t>Equity value</t>
        </is>
      </c>
      <c r="B26" s="66">
        <f>B23+B24-B25</f>
        <v>2457.058361491128</v>
      </c>
    </row>
    <row r="27">
      <c r="A27" s="14" t="inlineStr">
        <is>
          <t>Shares (mm)</t>
        </is>
      </c>
      <c r="B27" s="55">
        <f>Main!C4</f>
        <v>43.882996</v>
      </c>
    </row>
    <row r="28">
      <c r="A28" s="20" t="inlineStr">
        <is>
          <t>NPV / share</t>
        </is>
      </c>
      <c r="B28" s="49">
        <f>B26/B27</f>
        <v>55.991126072867225</v>
      </c>
    </row>
    <row r="29">
      <c r="A29" s="14" t="inlineStr">
        <is>
          <t>Price</t>
        </is>
      </c>
      <c r="B29" s="50">
        <f>Main!C3</f>
        <v>71.225</v>
      </c>
    </row>
    <row r="30">
      <c r="A30" s="14" t="inlineStr">
        <is>
          <t>Upside</t>
        </is>
      </c>
      <c r="B30" s="63">
        <f>B28/B29-1</f>
        <v>-0.2138838038207479</v>
      </c>
    </row>
    <row r="31">
      <c r="A31" s="14" t="inlineStr">
        <is>
          <t>Terminal value, % of EV</t>
        </is>
      </c>
      <c r="B31" s="63">
        <f>IFERROR(B22/B23,0)</f>
        <v>0.8327123222257898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2026-10-21T01:04:16Z</dcterms:modified>
  <cp:lastModifiedBy>Wang, Eric</cp:lastModifiedBy>
</cp:coreProperties>
</file>