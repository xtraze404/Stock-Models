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Syndax Pharmaceuticals, Inc.</t>
        </is>
      </c>
      <c r="C2" s="10" t="n"/>
    </row>
    <row r="3">
      <c r="B3" t="inlineStr">
        <is>
          <t>Price</t>
        </is>
      </c>
      <c r="C3" s="11">
        <f>INDEX([1]Pharma!$F$1:$F$1000,MATCH("SNDX",[1]Pharma!$B$1:$B$1000,0))</f>
        <v>13.25</v>
      </c>
      <c r="F3" s="1" t="n"/>
    </row>
    <row r="4">
      <c r="B4" t="inlineStr">
        <is>
          <t>Shares</t>
        </is>
      </c>
      <c r="C4" s="21" t="n">
        <v>89.29708599999999</v>
      </c>
      <c r="F4" s="1" t="n"/>
    </row>
    <row r="5">
      <c r="B5" t="inlineStr">
        <is>
          <t>Market Cap.</t>
        </is>
      </c>
      <c r="C5" s="13">
        <f>C3*C4</f>
        <v>1183.1863895</v>
      </c>
      <c r="F5" s="1" t="n"/>
    </row>
    <row r="6"/>
    <row r="7">
      <c r="B7" t="inlineStr">
        <is>
          <t>Cash</t>
        </is>
      </c>
      <c r="C7" s="21">
        <f>336.477+211.383</f>
        <v>547.86</v>
      </c>
    </row>
    <row r="8">
      <c r="B8" t="inlineStr">
        <is>
          <t>Debt</t>
        </is>
      </c>
      <c r="C8" s="21">
        <f>344.026+244.09</f>
        <v>588.116</v>
      </c>
    </row>
    <row r="9">
      <c r="B9" t="inlineStr">
        <is>
          <t>Enterprise V.</t>
        </is>
      </c>
      <c r="C9" s="13">
        <f>C5-C7+C8</f>
        <v>1223.4423895</v>
      </c>
    </row>
    <row r="10"/>
    <row r="11">
      <c r="B11" s="14" t="inlineStr">
        <is>
          <t>Net Cash / Share</t>
        </is>
      </c>
      <c r="C11" s="11">
        <f>(C7-C8)/C4</f>
        <v>-0.4508097834233916</v>
      </c>
    </row>
    <row r="12">
      <c r="B12" s="14" t="inlineStr">
        <is>
          <t>Upside</t>
        </is>
      </c>
      <c r="C12" s="15">
        <f>IFERROR(C11/C3-1,"")</f>
        <v>-1.0340233798810108</v>
      </c>
    </row>
    <row r="13">
      <c r="B13" s="14" t="inlineStr">
        <is>
          <t>Cash / Share</t>
        </is>
      </c>
      <c r="C13" s="11">
        <f>IFERROR((C7-C8)/C4,"")</f>
        <v>-0.4508097834233916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-220.64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1223.4423895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2014</v>
      </c>
      <c r="C1" s="17" t="n">
        <v>2015</v>
      </c>
      <c r="D1" s="17" t="n">
        <v>2016</v>
      </c>
      <c r="E1" s="17" t="n">
        <v>2017</v>
      </c>
      <c r="F1" s="17" t="n">
        <v>2018</v>
      </c>
      <c r="G1" s="17" t="n">
        <v>2019</v>
      </c>
      <c r="H1" s="17" t="n">
        <v>2020</v>
      </c>
      <c r="I1" s="17" t="n">
        <v>2021</v>
      </c>
      <c r="J1" s="17" t="n">
        <v>2022</v>
      </c>
      <c r="K1" s="17" t="n">
        <v>2023</v>
      </c>
      <c r="L1" s="17" t="n">
        <v>2024</v>
      </c>
      <c r="M1" s="17" t="n">
        <v>2025</v>
      </c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0.627</v>
      </c>
      <c r="D2" s="23" t="n">
        <v>1.22</v>
      </c>
      <c r="E2" s="23" t="n">
        <v>2.108</v>
      </c>
      <c r="F2" s="23" t="n">
        <v>1.517</v>
      </c>
      <c r="G2" s="23" t="n">
        <v>1.517</v>
      </c>
      <c r="H2" s="23" t="n">
        <v>1.517</v>
      </c>
      <c r="I2" s="23" t="n">
        <v>139.709</v>
      </c>
      <c r="J2" s="23" t="n">
        <v>0</v>
      </c>
      <c r="K2" s="23" t="n">
        <v>0</v>
      </c>
      <c r="L2" s="23" t="n">
        <v>23.68</v>
      </c>
      <c r="M2" s="23" t="n">
        <v>172.352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0.627</v>
      </c>
      <c r="D4" s="23">
        <f>D2-D3</f>
        <v>1.22</v>
      </c>
      <c r="E4" s="23">
        <f>E2-E3</f>
        <v>2.108</v>
      </c>
      <c r="F4" s="23">
        <f>F2-F3</f>
        <v>1.517</v>
      </c>
      <c r="G4" s="23">
        <f>G2-G3</f>
        <v>1.517</v>
      </c>
      <c r="H4" s="23">
        <f>H2-H3</f>
        <v>1.517</v>
      </c>
      <c r="I4" s="23">
        <f>I2-I3</f>
        <v>139.709</v>
      </c>
      <c r="J4" s="23">
        <f>J2-J3</f>
        <v>0.0</v>
      </c>
      <c r="K4" s="23">
        <f>K2-K3</f>
        <v>0.0</v>
      </c>
      <c r="L4" s="23">
        <f>L2-L3</f>
        <v>23.68</v>
      </c>
      <c r="M4" s="23">
        <f>M2-M3</f>
        <v>172.352</v>
      </c>
    </row>
    <row r="5">
      <c r="A5" s="2" t="inlineStr">
        <is>
          <t>Research &amp; Dev.</t>
        </is>
      </c>
      <c r="B5" s="23" t="n">
        <v>10.175</v>
      </c>
      <c r="C5" s="23" t="n">
        <v>9.548999999999999</v>
      </c>
      <c r="D5" s="23" t="n">
        <v>31.665</v>
      </c>
      <c r="E5" s="23" t="n">
        <v>48.201</v>
      </c>
      <c r="F5" s="23" t="n">
        <v>60.106</v>
      </c>
      <c r="G5" s="23" t="n">
        <v>42.994</v>
      </c>
      <c r="H5" s="23" t="n">
        <v>50.435</v>
      </c>
      <c r="I5" s="23" t="n">
        <v>88.248</v>
      </c>
      <c r="J5" s="23" t="n">
        <v>118.499</v>
      </c>
      <c r="K5" s="23" t="n">
        <v>163.032</v>
      </c>
      <c r="L5" s="23" t="n">
        <v>241.647</v>
      </c>
      <c r="M5" s="23" t="n">
        <v>258.784</v>
      </c>
    </row>
    <row r="6">
      <c r="A6" s="19" t="inlineStr">
        <is>
          <t>SG&amp;A &amp; Other</t>
        </is>
      </c>
      <c r="B6" s="23" t="n">
        <v>11.157</v>
      </c>
      <c r="C6" s="23" t="n">
        <v>11.591</v>
      </c>
      <c r="D6" s="23" t="n">
        <v>13.321</v>
      </c>
      <c r="E6" s="23" t="n">
        <v>15.861</v>
      </c>
      <c r="F6" s="23" t="n">
        <v>17.287</v>
      </c>
      <c r="G6" s="23" t="n">
        <v>16.062</v>
      </c>
      <c r="H6" s="23" t="n">
        <v>22.505</v>
      </c>
      <c r="I6" s="23" t="n">
        <v>25.241</v>
      </c>
      <c r="J6" s="23" t="n">
        <v>33.258</v>
      </c>
      <c r="K6" s="23" t="n">
        <v>66.922</v>
      </c>
      <c r="L6" s="23" t="n">
        <v>121.705</v>
      </c>
      <c r="M6" s="23" t="n">
        <v>186.652</v>
      </c>
    </row>
    <row r="7">
      <c r="A7" s="2" t="inlineStr">
        <is>
          <t>Operating Expense</t>
        </is>
      </c>
      <c r="B7" s="23">
        <f>SUM(B5:B6)</f>
        <v>21.332</v>
      </c>
      <c r="C7" s="23">
        <f>SUM(C5:C6)</f>
        <v>21.14</v>
      </c>
      <c r="D7" s="23">
        <f>SUM(D5:D6)</f>
        <v>44.986</v>
      </c>
      <c r="E7" s="23">
        <f>SUM(E5:E6)</f>
        <v>64.062</v>
      </c>
      <c r="F7" s="23">
        <f>SUM(F5:F6)</f>
        <v>77.393</v>
      </c>
      <c r="G7" s="23">
        <f>SUM(G5:G6)</f>
        <v>59.056</v>
      </c>
      <c r="H7" s="23">
        <f>SUM(H5:H6)</f>
        <v>72.94</v>
      </c>
      <c r="I7" s="23">
        <f>SUM(I5:I6)</f>
        <v>113.489</v>
      </c>
      <c r="J7" s="23">
        <f>SUM(J5:J6)</f>
        <v>151.757</v>
      </c>
      <c r="K7" s="23">
        <f>SUM(K5:K6)</f>
        <v>229.954</v>
      </c>
      <c r="L7" s="23">
        <f>SUM(L5:L6)</f>
        <v>363.352</v>
      </c>
      <c r="M7" s="23">
        <f>SUM(M5:M6)</f>
        <v>445.436</v>
      </c>
    </row>
    <row r="8">
      <c r="A8" s="2" t="inlineStr">
        <is>
          <t>Operating Income</t>
        </is>
      </c>
      <c r="B8" s="23">
        <f>B4-B7</f>
        <v>-21.332</v>
      </c>
      <c r="C8" s="23">
        <f>C4-C7</f>
        <v>-20.513</v>
      </c>
      <c r="D8" s="23">
        <f>D4-D7</f>
        <v>-43.766</v>
      </c>
      <c r="E8" s="23">
        <f>E4-E7</f>
        <v>-61.954</v>
      </c>
      <c r="F8" s="23">
        <f>F4-F7</f>
        <v>-75.876</v>
      </c>
      <c r="G8" s="23">
        <f>G4-G7</f>
        <v>-57.538999999999994</v>
      </c>
      <c r="H8" s="23">
        <f>H4-H7</f>
        <v>-71.423</v>
      </c>
      <c r="I8" s="23">
        <f>I4-I7</f>
        <v>26.22</v>
      </c>
      <c r="J8" s="23">
        <f>J4-J7</f>
        <v>-151.757</v>
      </c>
      <c r="K8" s="23">
        <f>K4-K7</f>
        <v>-229.954</v>
      </c>
      <c r="L8" s="23">
        <f>L4-L7</f>
        <v>-339.67199999999997</v>
      </c>
      <c r="M8" s="23">
        <f>M4-M7</f>
        <v>-273.08399999999995</v>
      </c>
    </row>
    <row r="9">
      <c r="A9" s="19" t="inlineStr">
        <is>
          <t>Interest &amp; Other</t>
        </is>
      </c>
      <c r="B9" s="23" t="n">
        <v>1.504</v>
      </c>
      <c r="C9" s="23" t="n">
        <v>-3.606</v>
      </c>
      <c r="D9" s="23" t="n">
        <v>-0.706</v>
      </c>
      <c r="E9" s="23" t="n">
        <v>1.152</v>
      </c>
      <c r="F9" s="23" t="n">
        <v>1.915</v>
      </c>
      <c r="G9" s="23" t="n">
        <v>1.492</v>
      </c>
      <c r="H9" s="23" t="n">
        <v>-1.735</v>
      </c>
      <c r="I9" s="23" t="n">
        <v>-1.32</v>
      </c>
      <c r="J9" s="23" t="n">
        <v>2.457</v>
      </c>
      <c r="K9" s="23" t="n">
        <v>20.554</v>
      </c>
      <c r="L9" s="23" t="n">
        <v>20.872</v>
      </c>
      <c r="M9" s="23" t="n">
        <v>-11.883</v>
      </c>
    </row>
    <row r="10">
      <c r="A10" s="2" t="inlineStr">
        <is>
          <t>Pretax</t>
        </is>
      </c>
      <c r="B10" s="23">
        <f>B8+B9</f>
        <v>-19.828</v>
      </c>
      <c r="C10" s="23">
        <f>C8+C9</f>
        <v>-24.119</v>
      </c>
      <c r="D10" s="23">
        <f>D8+D9</f>
        <v>-44.472</v>
      </c>
      <c r="E10" s="23">
        <f>E8+E9</f>
        <v>-60.802</v>
      </c>
      <c r="F10" s="23">
        <f>F8+F9</f>
        <v>-73.961</v>
      </c>
      <c r="G10" s="23">
        <f>G8+G9</f>
        <v>-56.047</v>
      </c>
      <c r="H10" s="23">
        <f>H8+H9</f>
        <v>-73.158</v>
      </c>
      <c r="I10" s="23">
        <f>I8+I9</f>
        <v>24.9</v>
      </c>
      <c r="J10" s="23">
        <f>J8+J9</f>
        <v>-149.3</v>
      </c>
      <c r="K10" s="23">
        <f>K8+K9</f>
        <v>-209.4</v>
      </c>
      <c r="L10" s="23">
        <f>L8+L9</f>
        <v>-318.79999999999995</v>
      </c>
      <c r="M10" s="23">
        <f>M8+M9</f>
        <v>-284.9669999999999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0.433</v>
      </c>
    </row>
    <row r="12">
      <c r="A12" s="2" t="inlineStr">
        <is>
          <t>Net Income</t>
        </is>
      </c>
      <c r="B12" s="23" t="n">
        <v>-19.828</v>
      </c>
      <c r="C12" s="23" t="n">
        <v>-24.119</v>
      </c>
      <c r="D12" s="23" t="n">
        <v>-44.472</v>
      </c>
      <c r="E12" s="23" t="n">
        <v>-60.802</v>
      </c>
      <c r="F12" s="23" t="n">
        <v>-73.961</v>
      </c>
      <c r="G12" s="23" t="n">
        <v>-56.047</v>
      </c>
      <c r="H12" s="23" t="n">
        <v>-73.158</v>
      </c>
      <c r="I12" s="23" t="n">
        <v>24.9</v>
      </c>
      <c r="J12" s="23" t="n">
        <v>-149.3</v>
      </c>
      <c r="K12" s="23" t="n">
        <v>-209.4</v>
      </c>
      <c r="L12" s="23" t="n">
        <v>-318.8</v>
      </c>
      <c r="M12" s="23" t="n">
        <v>-285.4</v>
      </c>
    </row>
    <row r="13">
      <c r="A13" s="2" t="inlineStr">
        <is>
          <t>Earnings per Share</t>
        </is>
      </c>
      <c r="B13" s="11">
        <f>IFERROR(B12/B14,0)</f>
        <v>-0.34079854247950364</v>
      </c>
      <c r="C13" s="11">
        <f>IFERROR(C12/C14,0)</f>
        <v>-0.3528645833333333</v>
      </c>
      <c r="D13" s="11">
        <f>IFERROR(D12/D14,0)</f>
        <v>-3.0418604651162795</v>
      </c>
      <c r="E13" s="11">
        <f>IFERROR(E12/E14,0)</f>
        <v>-2.8957470114778303</v>
      </c>
      <c r="F13" s="11">
        <f>IFERROR(F12/F14,0)</f>
        <v>-2.9150638499132904</v>
      </c>
      <c r="G13" s="11">
        <f>IFERROR(G12/G14,0)</f>
        <v>-1.8381489619887834</v>
      </c>
      <c r="H13" s="11">
        <f>IFERROR(H12/H14,0)</f>
        <v>-1.7710370872470225</v>
      </c>
      <c r="I13" s="11">
        <f>IFERROR(I12/I14,0)</f>
        <v>0.4643529828618317</v>
      </c>
      <c r="J13" s="11">
        <f>IFERROR(J12/J14,0)</f>
        <v>-2.4571682493704845</v>
      </c>
      <c r="K13" s="11">
        <f>IFERROR(K12/K14,0)</f>
        <v>-2.975657586221597</v>
      </c>
      <c r="L13" s="11">
        <f>IFERROR(L12/L14,0)</f>
        <v>-3.723342131695125</v>
      </c>
      <c r="M13" s="11">
        <f>IFERROR(M12/M14,0)</f>
        <v>-3.294622861496548</v>
      </c>
    </row>
    <row r="14">
      <c r="A14" s="2" t="inlineStr">
        <is>
          <t>Shares</t>
        </is>
      </c>
      <c r="B14" s="23" t="n">
        <v>58.181</v>
      </c>
      <c r="C14" s="23" t="n">
        <v>68.352</v>
      </c>
      <c r="D14" s="23" t="n">
        <v>14.62</v>
      </c>
      <c r="E14" s="23" t="n">
        <v>20.997</v>
      </c>
      <c r="F14" s="23" t="n">
        <v>25.372</v>
      </c>
      <c r="G14" s="23" t="n">
        <v>30.491</v>
      </c>
      <c r="H14" s="23" t="n">
        <v>41.308</v>
      </c>
      <c r="I14" s="23" t="n">
        <v>53.623</v>
      </c>
      <c r="J14" s="23" t="n">
        <v>60.761</v>
      </c>
      <c r="K14" s="23" t="n">
        <v>70.371</v>
      </c>
      <c r="L14" s="23" t="n">
        <v>85.622</v>
      </c>
      <c r="M14" s="23" t="n">
        <v>86.626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0.9457735247208932</v>
      </c>
      <c r="E16" s="15">
        <f>IFERROR(E2/D2-1,"")</f>
        <v>0.7278688524590164</v>
      </c>
      <c r="F16" s="15">
        <f>IFERROR(F2/E2-1,"")</f>
        <v>-0.28036053130929794</v>
      </c>
      <c r="G16" s="15">
        <f>IFERROR(G2/F2-1,"")</f>
        <v>0.0</v>
      </c>
      <c r="H16" s="15">
        <f>IFERROR(H2/G2-1,"")</f>
        <v>0.0</v>
      </c>
      <c r="I16" s="15">
        <f>IFERROR(I2/H2-1,"")</f>
        <v>91.09558338826632</v>
      </c>
      <c r="J16" s="15">
        <f>IFERROR(J2/I2-1,"")</f>
        <v>-1.0</v>
      </c>
      <c r="K16" s="15">
        <f>IFERROR(K2/J2-1,"")</f>
        <v/>
      </c>
      <c r="L16" s="15">
        <f>IFERROR(L2/K2-1,"")</f>
        <v/>
      </c>
      <c r="M16" s="15">
        <f>IFERROR(M2/L2-1,"")</f>
        <v>6.278378378378378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/>
      </c>
      <c r="K17" s="15">
        <f>IFERROR(K4/K2,"")</f>
        <v/>
      </c>
      <c r="L17" s="15">
        <f>IFERROR(L4/L2,"")</f>
        <v>1.0</v>
      </c>
      <c r="M17" s="15">
        <f>IFERROR(M4/M2,"")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-32.71610845295056</v>
      </c>
      <c r="D18" s="15">
        <f>IFERROR(D8/D2,"")</f>
        <v>-35.87377049180328</v>
      </c>
      <c r="E18" s="15">
        <f>IFERROR(E8/E2,"")</f>
        <v>-29.389943074003796</v>
      </c>
      <c r="F18" s="15">
        <f>IFERROR(F8/F2,"")</f>
        <v>-50.017139090309826</v>
      </c>
      <c r="G18" s="15">
        <f>IFERROR(G8/G2,"")</f>
        <v>-37.92946605141727</v>
      </c>
      <c r="H18" s="15">
        <f>IFERROR(H8/H2,"")</f>
        <v>-47.081740276862234</v>
      </c>
      <c r="I18" s="15">
        <f>IFERROR(I8/I2,"")</f>
        <v>0.18767581186609308</v>
      </c>
      <c r="J18" s="15">
        <f>IFERROR(J8/J2,"")</f>
        <v/>
      </c>
      <c r="K18" s="15">
        <f>IFERROR(K8/K2,"")</f>
        <v/>
      </c>
      <c r="L18" s="15">
        <f>IFERROR(L8/L2,"")</f>
        <v>-14.344256756756756</v>
      </c>
      <c r="M18" s="15">
        <f>IFERROR(M8/M2,"")</f>
        <v>-1.5844550686966206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2026-10-21T06:23:40Z</dcterms:modified>
  <cp:lastModifiedBy>Wang, Eric</cp:lastModifiedBy>
</cp:coreProperties>
</file>