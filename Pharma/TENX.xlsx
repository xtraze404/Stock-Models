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Tenax Therapeutics Inc</t>
        </is>
      </c>
      <c r="C2" s="10" t="n"/>
    </row>
    <row r="3">
      <c r="B3" t="inlineStr">
        <is>
          <t>Price</t>
        </is>
      </c>
      <c r="C3" s="11">
        <f>INDEX([1]Pharma!$F$1:$F$1000,MATCH("TENX",[1]Pharma!$B$1:$B$1000,0))</f>
        <v>1.63</v>
      </c>
      <c r="F3" s="1" t="n"/>
    </row>
    <row r="4">
      <c r="B4" t="inlineStr">
        <is>
          <t>Shares</t>
        </is>
      </c>
      <c r="C4" s="21" t="n">
        <v>37.423917</v>
      </c>
      <c r="F4" s="1" t="n"/>
    </row>
    <row r="5">
      <c r="B5" t="inlineStr">
        <is>
          <t>Market Cap.</t>
        </is>
      </c>
      <c r="C5" s="13">
        <f>C3*C4</f>
        <v>61.00098471</v>
      </c>
      <c r="F5" s="1" t="n"/>
    </row>
    <row r="6"/>
    <row r="7">
      <c r="B7" t="inlineStr">
        <is>
          <t>Cash</t>
        </is>
      </c>
      <c r="C7" s="21" t="n">
        <v>118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-56.99901529</v>
      </c>
    </row>
    <row r="10"/>
    <row r="11">
      <c r="B11" s="14" t="inlineStr">
        <is>
          <t>rNPV / Share</t>
        </is>
      </c>
      <c r="C11" s="11">
        <f>NPV!B27</f>
        <v>66.16357943313356</v>
      </c>
    </row>
    <row r="12">
      <c r="B12" s="14" t="inlineStr">
        <is>
          <t>Upside</t>
        </is>
      </c>
      <c r="C12" s="15">
        <f>IFERROR(C11/C3-1,"")</f>
        <v>39.59115302646231</v>
      </c>
    </row>
    <row r="13">
      <c r="B13" s="14" t="inlineStr">
        <is>
          <t>Cash / Share</t>
        </is>
      </c>
      <c r="C13" s="11">
        <f>IFERROR((C7-C8)/C4,"")</f>
        <v>3.1530638548605157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-46.029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2.5636012079341284</v>
      </c>
    </row>
    <row r="19">
      <c r="B19" s="14" t="inlineStr">
        <is>
          <t>Implied Pipeline Value</t>
        </is>
      </c>
      <c r="C19" s="13">
        <f>C9</f>
        <v>-56.99901529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0.103</v>
      </c>
      <c r="C2" s="23" t="n">
        <v>0.364</v>
      </c>
      <c r="D2" s="23" t="n">
        <v>1.191</v>
      </c>
      <c r="E2" s="23" t="n">
        <v>0.159</v>
      </c>
      <c r="F2" s="23" t="n">
        <v>0.049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</row>
    <row r="3" customFormat="1" s="1">
      <c r="A3" s="5" t="inlineStr">
        <is>
          <t>Cost of Sales</t>
        </is>
      </c>
      <c r="B3" s="23" t="n">
        <v>0.219</v>
      </c>
      <c r="C3" s="23" t="n">
        <v>0.051</v>
      </c>
      <c r="D3" s="23" t="n">
        <v>0.043</v>
      </c>
      <c r="E3" s="23" t="n">
        <v>0.13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</row>
    <row r="4" customFormat="1" s="1">
      <c r="A4" s="5" t="inlineStr">
        <is>
          <t>Gross Margin</t>
        </is>
      </c>
      <c r="B4" s="23">
        <f>B2-B3</f>
        <v>-0.116</v>
      </c>
      <c r="C4" s="23">
        <f>C2-C3</f>
        <v>0.313</v>
      </c>
      <c r="D4" s="23">
        <f>D2-D3</f>
        <v>1.1480000000000001</v>
      </c>
      <c r="E4" s="23">
        <f>E2-E3</f>
        <v>0.028999999999999998</v>
      </c>
      <c r="F4" s="23">
        <f>F2-F3</f>
        <v>0.049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</row>
    <row r="5">
      <c r="A5" s="2" t="inlineStr">
        <is>
          <t>Research &amp; Dev.</t>
        </is>
      </c>
      <c r="B5" s="23" t="n">
        <v>2.682</v>
      </c>
      <c r="C5" s="23" t="n">
        <v>2.463</v>
      </c>
      <c r="D5" s="23" t="n">
        <v>2.456</v>
      </c>
      <c r="E5" s="23" t="n">
        <v>2.997</v>
      </c>
      <c r="F5" s="23" t="n">
        <v>6.66</v>
      </c>
      <c r="G5" s="23" t="n">
        <v>13.14</v>
      </c>
      <c r="H5" s="23" t="n">
        <v>3.527</v>
      </c>
      <c r="I5" s="23" t="n">
        <v>1.239</v>
      </c>
      <c r="J5" s="23" t="n">
        <v>3.471</v>
      </c>
      <c r="K5" s="23" t="n">
        <v>4.561</v>
      </c>
      <c r="L5" s="23" t="n">
        <v>25.147</v>
      </c>
      <c r="M5" s="23" t="n">
        <v>5.377</v>
      </c>
      <c r="N5" s="23" t="n">
        <v>3.229</v>
      </c>
      <c r="O5" s="23" t="n">
        <v>12.709</v>
      </c>
      <c r="P5" s="23" t="n">
        <v>32.672</v>
      </c>
    </row>
    <row r="6">
      <c r="A6" s="19" t="inlineStr">
        <is>
          <t>SG&amp;A &amp; Other</t>
        </is>
      </c>
      <c r="B6" s="23" t="n">
        <v>-13.36</v>
      </c>
      <c r="C6" s="23" t="n">
        <v>6.07</v>
      </c>
      <c r="D6" s="23" t="n">
        <v>3.881</v>
      </c>
      <c r="E6" s="23" t="n">
        <v>13.644</v>
      </c>
      <c r="F6" s="23" t="n">
        <v>8.206</v>
      </c>
      <c r="G6" s="23" t="n">
        <v>39.511</v>
      </c>
      <c r="H6" s="23" t="n">
        <v>5.679</v>
      </c>
      <c r="I6" s="23" t="n">
        <v>5.654</v>
      </c>
      <c r="J6" s="23" t="n">
        <v>5.084</v>
      </c>
      <c r="K6" s="23" t="n">
        <v>-14.429</v>
      </c>
      <c r="L6" s="23" t="n">
        <v>7.581</v>
      </c>
      <c r="M6" s="23" t="n">
        <v>-16.43</v>
      </c>
      <c r="N6" s="23" t="n">
        <v>5.005</v>
      </c>
      <c r="O6" s="23" t="n">
        <v>6.785</v>
      </c>
      <c r="P6" s="23" t="n">
        <v>23.713</v>
      </c>
    </row>
    <row r="7">
      <c r="A7" s="2" t="inlineStr">
        <is>
          <t>Operating Expense</t>
        </is>
      </c>
      <c r="B7" s="23">
        <f>SUM(B5:B6)</f>
        <v>-10.677999999999999</v>
      </c>
      <c r="C7" s="23">
        <f>SUM(C5:C6)</f>
        <v>8.533000000000001</v>
      </c>
      <c r="D7" s="23">
        <f>SUM(D5:D6)</f>
        <v>6.337</v>
      </c>
      <c r="E7" s="23">
        <f>SUM(E5:E6)</f>
        <v>16.641</v>
      </c>
      <c r="F7" s="23">
        <f>SUM(F5:F6)</f>
        <v>14.866</v>
      </c>
      <c r="G7" s="23">
        <f>SUM(G5:G6)</f>
        <v>52.651</v>
      </c>
      <c r="H7" s="23">
        <f>SUM(H5:H6)</f>
        <v>9.206</v>
      </c>
      <c r="I7" s="23">
        <f>SUM(I5:I6)</f>
        <v>6.893</v>
      </c>
      <c r="J7" s="23">
        <f>SUM(J5:J6)</f>
        <v>8.555</v>
      </c>
      <c r="K7" s="23">
        <f>SUM(K5:K6)</f>
        <v>-9.868</v>
      </c>
      <c r="L7" s="23">
        <f>SUM(L5:L6)</f>
        <v>32.728</v>
      </c>
      <c r="M7" s="23">
        <f>SUM(M5:M6)</f>
        <v>-11.053</v>
      </c>
      <c r="N7" s="23">
        <f>SUM(N5:N6)</f>
        <v>8.234</v>
      </c>
      <c r="O7" s="23">
        <f>SUM(O5:O6)</f>
        <v>19.494</v>
      </c>
      <c r="P7" s="23">
        <f>SUM(P5:P6)</f>
        <v>56.385</v>
      </c>
    </row>
    <row r="8">
      <c r="A8" s="2" t="inlineStr">
        <is>
          <t>Operating Income</t>
        </is>
      </c>
      <c r="B8" s="23">
        <f>B4-B7</f>
        <v>10.562</v>
      </c>
      <c r="C8" s="23">
        <f>C4-C7</f>
        <v>-8.22</v>
      </c>
      <c r="D8" s="23">
        <f>D4-D7</f>
        <v>-5.189</v>
      </c>
      <c r="E8" s="23">
        <f>E4-E7</f>
        <v>-16.612</v>
      </c>
      <c r="F8" s="23">
        <f>F4-F7</f>
        <v>-14.817</v>
      </c>
      <c r="G8" s="23">
        <f>G4-G7</f>
        <v>-52.651</v>
      </c>
      <c r="H8" s="23">
        <f>H4-H7</f>
        <v>-9.206</v>
      </c>
      <c r="I8" s="23">
        <f>I4-I7</f>
        <v>-6.893</v>
      </c>
      <c r="J8" s="23">
        <f>J4-J7</f>
        <v>-8.555</v>
      </c>
      <c r="K8" s="23">
        <f>K4-K7</f>
        <v>9.868</v>
      </c>
      <c r="L8" s="23">
        <f>L4-L7</f>
        <v>-32.728</v>
      </c>
      <c r="M8" s="23">
        <f>M4-M7</f>
        <v>11.053</v>
      </c>
      <c r="N8" s="23">
        <f>N4-N7</f>
        <v>-8.234</v>
      </c>
      <c r="O8" s="23">
        <f>O4-O7</f>
        <v>-19.494</v>
      </c>
      <c r="P8" s="23">
        <f>P4-P7</f>
        <v>-56.385</v>
      </c>
    </row>
    <row r="9">
      <c r="A9" s="19" t="inlineStr">
        <is>
          <t>Interest &amp; Other</t>
        </is>
      </c>
      <c r="B9" s="23" t="n">
        <v>-0.114</v>
      </c>
      <c r="C9" s="23" t="n">
        <v>-7.492</v>
      </c>
      <c r="D9" s="23" t="n">
        <v>-4.227</v>
      </c>
      <c r="E9" s="23" t="n">
        <v>-2.931</v>
      </c>
      <c r="F9" s="23" t="n">
        <v>0.735</v>
      </c>
      <c r="G9" s="23" t="n">
        <v>0.765</v>
      </c>
      <c r="H9" s="23" t="n">
        <v>0.366</v>
      </c>
      <c r="I9" s="23" t="n">
        <v>-7.251</v>
      </c>
      <c r="J9" s="23" t="n">
        <v>0.161</v>
      </c>
      <c r="K9" s="23" t="n">
        <v>-19.719</v>
      </c>
      <c r="L9" s="23" t="n">
        <v>0.254</v>
      </c>
      <c r="M9" s="23" t="n">
        <v>-0.005</v>
      </c>
      <c r="N9" s="23" t="n">
        <v>0.534</v>
      </c>
      <c r="O9" s="23" t="n">
        <v>1.894</v>
      </c>
      <c r="P9" s="23" t="n">
        <v>3.785</v>
      </c>
    </row>
    <row r="10">
      <c r="A10" s="2" t="inlineStr">
        <is>
          <t>Pretax</t>
        </is>
      </c>
      <c r="B10" s="23">
        <f>B8+B9</f>
        <v>10.447999999999999</v>
      </c>
      <c r="C10" s="23">
        <f>C8+C9</f>
        <v>-15.712</v>
      </c>
      <c r="D10" s="23">
        <f>D8+D9</f>
        <v>-9.416</v>
      </c>
      <c r="E10" s="23">
        <f>E8+E9</f>
        <v>-19.543</v>
      </c>
      <c r="F10" s="23">
        <f>F8+F9</f>
        <v>-14.082</v>
      </c>
      <c r="G10" s="23">
        <f>G8+G9</f>
        <v>-51.886</v>
      </c>
      <c r="H10" s="23">
        <f>H8+H9</f>
        <v>-8.84</v>
      </c>
      <c r="I10" s="23">
        <f>I8+I9</f>
        <v>-14.144</v>
      </c>
      <c r="J10" s="23">
        <f>J8+J9</f>
        <v>-8.394</v>
      </c>
      <c r="K10" s="23">
        <f>K8+K9</f>
        <v>-9.851</v>
      </c>
      <c r="L10" s="23">
        <f>L8+L9</f>
        <v>-32.474000000000004</v>
      </c>
      <c r="M10" s="23">
        <f>M8+M9</f>
        <v>11.048</v>
      </c>
      <c r="N10" s="23">
        <f>N8+N9</f>
        <v>-7.7</v>
      </c>
      <c r="O10" s="23">
        <f>O8+O9</f>
        <v>-17.6</v>
      </c>
      <c r="P10" s="23">
        <f>P8+P9</f>
        <v>-52.599999999999994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-7.962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</row>
    <row r="12">
      <c r="A12" s="2" t="inlineStr">
        <is>
          <t>Net Income</t>
        </is>
      </c>
      <c r="B12" s="23" t="n">
        <v>10.448</v>
      </c>
      <c r="C12" s="23" t="n">
        <v>-15.712</v>
      </c>
      <c r="D12" s="23" t="n">
        <v>-9.416</v>
      </c>
      <c r="E12" s="23" t="n">
        <v>-19.542</v>
      </c>
      <c r="F12" s="23" t="n">
        <v>-14.082</v>
      </c>
      <c r="G12" s="23" t="n">
        <v>-43.924</v>
      </c>
      <c r="H12" s="23" t="n">
        <v>-8.84</v>
      </c>
      <c r="I12" s="23" t="n">
        <v>-14.144</v>
      </c>
      <c r="J12" s="23" t="n">
        <v>-8.394</v>
      </c>
      <c r="K12" s="23" t="n">
        <v>-9.851000000000001</v>
      </c>
      <c r="L12" s="23" t="n">
        <v>-32.474</v>
      </c>
      <c r="M12" s="23" t="n">
        <v>11.048</v>
      </c>
      <c r="N12" s="23" t="n">
        <v>-7.7</v>
      </c>
      <c r="O12" s="23" t="n">
        <v>-17.6</v>
      </c>
      <c r="P12" s="23" t="n">
        <v>-52.6</v>
      </c>
    </row>
    <row r="13">
      <c r="A13" s="2" t="inlineStr">
        <is>
          <t>Earnings per Share</t>
        </is>
      </c>
      <c r="B13" s="11">
        <f>IFERROR(B12/B14,0)</f>
        <v>0.10393227690073314</v>
      </c>
      <c r="C13" s="11">
        <f>IFERROR(C12/C14,0)</f>
        <v>-0.15468525410045877</v>
      </c>
      <c r="D13" s="11">
        <f>IFERROR(D12/D14,0)</f>
        <v>-0.07312773277622883</v>
      </c>
      <c r="E13" s="11">
        <f>IFERROR(E12/E14,0)</f>
        <v>-0.02851593679273779</v>
      </c>
      <c r="F13" s="11">
        <f>IFERROR(F12/F14,0)</f>
        <v>-0.02055460354808481</v>
      </c>
      <c r="G13" s="11">
        <f>IFERROR(G12/G14,0)</f>
        <v>-0.06401758282759384</v>
      </c>
      <c r="H13" s="11">
        <f>IFERROR(H12/H14,0)</f>
        <v>-0.01284161380153896</v>
      </c>
      <c r="I13" s="11">
        <f>IFERROR(I12/I14,0)</f>
        <v>-0.018522568487275556</v>
      </c>
      <c r="J13" s="11">
        <f>IFERROR(J12/J14,0)</f>
        <v>-0.01110546620731262</v>
      </c>
      <c r="K13" s="11">
        <f>IFERROR(K12/K14,0)</f>
        <v>-0.00778962400890062</v>
      </c>
      <c r="L13" s="11">
        <f>IFERROR(L12/L14,0)</f>
        <v>-0.025871326915293986</v>
      </c>
      <c r="M13" s="11">
        <f>IFERROR(M12/M14,0)</f>
        <v>0</v>
      </c>
      <c r="N13" s="11">
        <f>IFERROR(N12/N14,0)</f>
        <v>-0.5080831408775982</v>
      </c>
      <c r="O13" s="11">
        <f>IFERROR(O12/O14,0)</f>
        <v>-1.1524358302776323</v>
      </c>
      <c r="P13" s="11">
        <f>IFERROR(P12/P14,0)</f>
        <v>-1.3412550679552235</v>
      </c>
    </row>
    <row r="14">
      <c r="A14" s="2" t="inlineStr">
        <is>
          <t>Shares</t>
        </is>
      </c>
      <c r="B14" s="23" t="n">
        <v>100.527</v>
      </c>
      <c r="C14" s="23" t="n">
        <v>101.574</v>
      </c>
      <c r="D14" s="23" t="n">
        <v>128.761</v>
      </c>
      <c r="E14" s="23" t="n">
        <v>685.301</v>
      </c>
      <c r="F14" s="23" t="n">
        <v>685.102</v>
      </c>
      <c r="G14" s="23" t="n">
        <v>686.124</v>
      </c>
      <c r="H14" s="23" t="n">
        <v>688.3869999999999</v>
      </c>
      <c r="I14" s="23" t="n">
        <v>763.609</v>
      </c>
      <c r="J14" s="23" t="n">
        <v>755.8440000000001</v>
      </c>
      <c r="K14" s="23" t="n">
        <v>1264.631</v>
      </c>
      <c r="L14" s="23" t="n">
        <v>1255.212</v>
      </c>
      <c r="M14" s="23" t="n"/>
      <c r="N14" s="23" t="n">
        <v>15.155</v>
      </c>
      <c r="O14" s="23" t="n">
        <v>15.272</v>
      </c>
      <c r="P14" s="23" t="n">
        <v>39.217</v>
      </c>
    </row>
    <row r="15"/>
    <row r="16" customFormat="1" s="4">
      <c r="A16" s="3" t="inlineStr">
        <is>
          <t>Revenue Change</t>
        </is>
      </c>
      <c r="C16" s="15">
        <f>IFERROR(C2/B2-1,"")</f>
        <v>2.533980582524272</v>
      </c>
      <c r="D16" s="15">
        <f>IFERROR(D2/C2-1,"")</f>
        <v>2.2719780219780223</v>
      </c>
      <c r="E16" s="15">
        <f>IFERROR(E2/D2-1,"")</f>
        <v>-0.8664987405541562</v>
      </c>
      <c r="F16" s="15">
        <f>IFERROR(F2/E2-1,"")</f>
        <v>-0.6918238993710693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</row>
    <row r="17" customFormat="1" s="4">
      <c r="A17" s="3" t="inlineStr">
        <is>
          <t>Gross Margin</t>
        </is>
      </c>
      <c r="B17" s="15">
        <f>IFERROR(B4/B2,"")</f>
        <v>-1.1262135922330099</v>
      </c>
      <c r="C17" s="15">
        <f>IFERROR(C4/C2,"")</f>
        <v>0.8598901098901099</v>
      </c>
      <c r="D17" s="15">
        <f>IFERROR(D4/D2,"")</f>
        <v>0.9638958858102435</v>
      </c>
      <c r="E17" s="15">
        <f>IFERROR(E4/E2,"")</f>
        <v>0.18238993710691823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</row>
    <row r="18">
      <c r="A18" s="14" t="inlineStr">
        <is>
          <t>Operating Margin</t>
        </is>
      </c>
      <c r="B18" s="15">
        <f>IFERROR(B8/B2,"")</f>
        <v>102.54368932038835</v>
      </c>
      <c r="C18" s="15">
        <f>IFERROR(C8/C2,"")</f>
        <v>-22.582417582417584</v>
      </c>
      <c r="D18" s="15">
        <f>IFERROR(D8/D2,"")</f>
        <v>-4.356842989084803</v>
      </c>
      <c r="E18" s="15">
        <f>IFERROR(E8/E2,"")</f>
        <v>-104.47798742138363</v>
      </c>
      <c r="F18" s="15">
        <f>IFERROR(F8/F2,"")</f>
        <v>-302.3877551020408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Tenax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0.8048197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68.61199999999999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254.3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2358.100305128498</v>
      </c>
      <c r="C29" s="42">
        <f>NPV!B25</f>
        <v>2476.100305128498</v>
      </c>
      <c r="D29" s="43">
        <f>NPV!B27</f>
        <v>66.16357943313356</v>
      </c>
      <c r="E29" s="44">
        <f>NPV!B29</f>
        <v>39.59115302646231</v>
      </c>
    </row>
    <row r="30">
      <c r="A30" s="45" t="n">
        <v>1</v>
      </c>
      <c r="B30" s="46">
        <f t="dataTable" ref="B30:E32" r1="B4"/>
        <v>875.7516586447117</v>
      </c>
      <c r="C30" s="46">
        <v>993.7516586447117</v>
      </c>
      <c r="D30" s="47">
        <v>26.553918945595985</v>
      </c>
      <c r="E30" s="48">
        <v>15.290747819384041</v>
      </c>
    </row>
    <row r="31">
      <c r="A31" s="45" t="n">
        <v>2</v>
      </c>
      <c r="B31" s="46">
        <v>2358.100305128498</v>
      </c>
      <c r="C31" s="46">
        <v>2476.100305128498</v>
      </c>
      <c r="D31" s="47">
        <v>66.16357943313356</v>
      </c>
      <c r="E31" s="48">
        <v>39.59115302646231</v>
      </c>
    </row>
    <row r="32">
      <c r="A32" s="45" t="n">
        <v>3</v>
      </c>
      <c r="B32" s="46">
        <v>4639.037724469786</v>
      </c>
      <c r="C32" s="46">
        <v>4757.037724469786</v>
      </c>
      <c r="D32" s="47">
        <v>127.11223479011524</v>
      </c>
      <c r="E32" s="48">
        <v>76.98296612890506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66.16357943313356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19.36548319104869</v>
      </c>
      <c r="C37" s="47">
        <v>29.56982807491479</v>
      </c>
      <c r="D37" s="47">
        <v>39.73799721887227</v>
      </c>
      <c r="E37" s="47">
        <v>60.02442877170878</v>
      </c>
      <c r="F37" s="47">
        <v>80.2879169107006</v>
      </c>
    </row>
    <row r="38">
      <c r="A38" s="50" t="n">
        <v>0.8</v>
      </c>
      <c r="B38" s="47">
        <v>25.838595243605592</v>
      </c>
      <c r="C38" s="47">
        <v>39.39644222782604</v>
      </c>
      <c r="D38" s="47">
        <v>52.931242362052274</v>
      </c>
      <c r="E38" s="47">
        <v>79.94922654737474</v>
      </c>
      <c r="F38" s="47">
        <v>106.96346519594158</v>
      </c>
    </row>
    <row r="39">
      <c r="A39" s="50" t="n">
        <v>1</v>
      </c>
      <c r="B39" s="47">
        <v>32.33866784132559</v>
      </c>
      <c r="C39" s="47">
        <v>49.27733931730704</v>
      </c>
      <c r="D39" s="47">
        <v>66.16357943313356</v>
      </c>
      <c r="E39" s="47">
        <v>99.93605966478661</v>
      </c>
      <c r="F39" s="47">
        <v>133.65894608098057</v>
      </c>
    </row>
    <row r="40">
      <c r="A40" s="50" t="n">
        <v>1.2</v>
      </c>
      <c r="B40" s="47">
        <v>38.901012347285885</v>
      </c>
      <c r="C40" s="47">
        <v>59.194463706969024</v>
      </c>
      <c r="D40" s="47">
        <v>79.45795184596086</v>
      </c>
      <c r="E40" s="47">
        <v>119.96048740562168</v>
      </c>
      <c r="F40" s="47">
        <v>160.41607053766072</v>
      </c>
    </row>
    <row r="41">
      <c r="A41" s="50" t="n">
        <v>1.4</v>
      </c>
      <c r="B41" s="47">
        <v>45.52591688709696</v>
      </c>
      <c r="C41" s="47">
        <v>69.173623438377</v>
      </c>
      <c r="D41" s="47">
        <v>92.81435960053412</v>
      </c>
      <c r="E41" s="47">
        <v>140.03665824526968</v>
      </c>
      <c r="F41" s="47">
        <v>187.2348385659819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Tenax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Heart failure</t>
        </is>
      </c>
      <c r="C4" s="14" t="inlineStr">
        <is>
          <t>TNX-103, Levosimendan</t>
        </is>
      </c>
      <c r="D4" s="14" t="inlineStr">
        <is>
          <t>Phase 3</t>
        </is>
      </c>
      <c r="E4" s="14" t="inlineStr">
        <is>
          <t>Cardiovascular / chronic</t>
        </is>
      </c>
      <c r="F4" s="14" t="inlineStr">
        <is>
          <t>Owned</t>
        </is>
      </c>
      <c r="G4" s="40" t="n">
        <v>2500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1975.9584596557638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137.75</v>
      </c>
      <c r="Q4" s="23">
        <f>IF(Q$3&lt;$I4,0,$G4*Assumptions!$E$11*INDEX(Assumptions!$B$24:$G$24,MIN(6,Q$3-$I4+1))*IF(Q$3&gt;$J4,(1-Assumptions!$B$26)^(Q$3-$J4),1)*IF($H4&gt;=1,1,MIN(0.97,$H4*Assumptions!$E$12)))</f>
        <v>344.375</v>
      </c>
      <c r="R4" s="23">
        <f>IF(R$3&lt;$I4,0,$G4*Assumptions!$E$11*INDEX(Assumptions!$B$24:$G$24,MIN(6,R$3-$I4+1))*IF(R$3&gt;$J4,(1-Assumptions!$B$26)^(R$3-$J4),1)*IF($H4&gt;=1,1,MIN(0.97,$H4*Assumptions!$E$12)))</f>
        <v>619.875</v>
      </c>
      <c r="S4" s="23">
        <f>IF(S$3&lt;$I4,0,$G4*Assumptions!$E$11*INDEX(Assumptions!$B$24:$G$24,MIN(6,S$3-$I4+1))*IF(S$3&gt;$J4,(1-Assumptions!$B$26)^(S$3-$J4),1)*IF($H4&gt;=1,1,MIN(0.97,$H4*Assumptions!$E$12)))</f>
        <v>895.3750000000001</v>
      </c>
      <c r="T4" s="23">
        <f>IF(T$3&lt;$I4,0,$G4*Assumptions!$E$11*INDEX(Assumptions!$B$24:$G$24,MIN(6,T$3-$I4+1))*IF(T$3&gt;$J4,(1-Assumptions!$B$26)^(T$3-$J4),1)*IF($H4&gt;=1,1,MIN(0.97,$H4*Assumptions!$E$12)))</f>
        <v>1170.875</v>
      </c>
      <c r="U4" s="23">
        <f>IF(U$3&lt;$I4,0,$G4*Assumptions!$E$11*INDEX(Assumptions!$B$24:$G$24,MIN(6,U$3-$I4+1))*IF(U$3&gt;$J4,(1-Assumptions!$B$26)^(U$3-$J4),1)*IF($H4&gt;=1,1,MIN(0.97,$H4*Assumptions!$E$12)))</f>
        <v>1377.5</v>
      </c>
      <c r="V4" s="23">
        <f>IF(V$3&lt;$I4,0,$G4*Assumptions!$E$11*INDEX(Assumptions!$B$24:$G$24,MIN(6,V$3-$I4+1))*IF(V$3&gt;$J4,(1-Assumptions!$B$26)^(V$3-$J4),1)*IF($H4&gt;=1,1,MIN(0.97,$H4*Assumptions!$E$12)))</f>
        <v>1377.5</v>
      </c>
      <c r="W4" s="23">
        <f>IF(W$3&lt;$I4,0,$G4*Assumptions!$E$11*INDEX(Assumptions!$B$24:$G$24,MIN(6,W$3-$I4+1))*IF(W$3&gt;$J4,(1-Assumptions!$B$26)^(W$3-$J4),1)*IF($H4&gt;=1,1,MIN(0.97,$H4*Assumptions!$E$12)))</f>
        <v>1377.5</v>
      </c>
      <c r="X4" s="23">
        <f>IF(X$3&lt;$I4,0,$G4*Assumptions!$E$11*INDEX(Assumptions!$B$24:$G$24,MIN(6,X$3-$I4+1))*IF(X$3&gt;$J4,(1-Assumptions!$B$26)^(X$3-$J4),1)*IF($H4&gt;=1,1,MIN(0.97,$H4*Assumptions!$E$12)))</f>
        <v>1377.5</v>
      </c>
      <c r="Y4" s="23">
        <f>IF(Y$3&lt;$I4,0,$G4*Assumptions!$E$11*INDEX(Assumptions!$B$24:$G$24,MIN(6,Y$3-$I4+1))*IF(Y$3&gt;$J4,(1-Assumptions!$B$26)^(Y$3-$J4),1)*IF($H4&gt;=1,1,MIN(0.97,$H4*Assumptions!$E$12)))</f>
        <v>1377.5</v>
      </c>
      <c r="Z4" s="23">
        <f>IF(Z$3&lt;$I4,0,$G4*Assumptions!$E$11*INDEX(Assumptions!$B$24:$G$24,MIN(6,Z$3-$I4+1))*IF(Z$3&gt;$J4,(1-Assumptions!$B$26)^(Z$3-$J4),1)*IF($H4&gt;=1,1,MIN(0.97,$H4*Assumptions!$E$12)))</f>
        <v>1377.5</v>
      </c>
      <c r="AA4" s="23">
        <f>IF(AA$3&lt;$I4,0,$G4*Assumptions!$E$11*INDEX(Assumptions!$B$24:$G$24,MIN(6,AA$3-$I4+1))*IF(AA$3&gt;$J4,(1-Assumptions!$B$26)^(AA$3-$J4),1)*IF($H4&gt;=1,1,MIN(0.97,$H4*Assumptions!$E$12)))</f>
        <v>1377.5</v>
      </c>
      <c r="AB4" s="23">
        <f>IF(AB$3&lt;$I4,0,$G4*Assumptions!$E$11*INDEX(Assumptions!$B$24:$G$24,MIN(6,AB$3-$I4+1))*IF(AB$3&gt;$J4,(1-Assumptions!$B$26)^(AB$3-$J4),1)*IF($H4&gt;=1,1,MIN(0.97,$H4*Assumptions!$E$12)))</f>
        <v>1377.5</v>
      </c>
      <c r="AC4" s="23">
        <f>IF(AC$3&lt;$I4,0,$G4*Assumptions!$E$11*INDEX(Assumptions!$B$24:$G$24,MIN(6,AC$3-$I4+1))*IF(AC$3&gt;$J4,(1-Assumptions!$B$26)^(AC$3-$J4),1)*IF($H4&gt;=1,1,MIN(0.97,$H4*Assumptions!$E$12)))</f>
        <v>688.75</v>
      </c>
      <c r="AD4" s="23">
        <f>IF(AD$3&lt;$I4,0,$G4*Assumptions!$E$11*INDEX(Assumptions!$B$24:$G$24,MIN(6,AD$3-$I4+1))*IF(AD$3&gt;$J4,(1-Assumptions!$B$26)^(AD$3-$J4),1)*IF($H4&gt;=1,1,MIN(0.97,$H4*Assumptions!$E$12)))</f>
        <v>344.375</v>
      </c>
      <c r="AE4" s="23">
        <f>IF(AE$3&lt;$I4,0,$G4*Assumptions!$E$11*INDEX(Assumptions!$B$24:$G$24,MIN(6,AE$3-$I4+1))*IF(AE$3&gt;$J4,(1-Assumptions!$B$26)^(AE$3-$J4),1)*IF($H4&gt;=1,1,MIN(0.97,$H4*Assumptions!$E$12)))</f>
        <v>172.1875</v>
      </c>
      <c r="AF4" s="23">
        <f>IF(AF$3&lt;$I4,0,$G4*Assumptions!$E$11*INDEX(Assumptions!$B$24:$G$24,MIN(6,AF$3-$I4+1))*IF(AF$3&gt;$J4,(1-Assumptions!$B$26)^(AF$3-$J4),1)*IF($H4&gt;=1,1,MIN(0.97,$H4*Assumptions!$E$12)))</f>
        <v>86.09375</v>
      </c>
      <c r="AG4" s="35">
        <f>IF(F4="Owned",1-IF(H4&gt;=1,1,MIN(0.97,H4*Assumptions!$E$12)),1)</f>
        <v>0.44899999999999995</v>
      </c>
    </row>
    <row r="5">
      <c r="A5" s="39" t="n">
        <v>2</v>
      </c>
      <c r="B5" s="14" t="inlineStr">
        <is>
          <t>Pulmonary hypertension</t>
        </is>
      </c>
      <c r="C5" s="14" t="inlineStr">
        <is>
          <t>TNX-103</t>
        </is>
      </c>
      <c r="D5" s="14" t="inlineStr">
        <is>
          <t>Phase 3</t>
        </is>
      </c>
      <c r="E5" s="14" t="inlineStr">
        <is>
          <t>Cardiovascular / rare</t>
        </is>
      </c>
      <c r="F5" s="14" t="inlineStr">
        <is>
          <t>Owned</t>
        </is>
      </c>
      <c r="G5" s="40" t="n">
        <v>1500</v>
      </c>
      <c r="H5" s="27" t="n">
        <v>0.5653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1216.3440841125987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84.795</v>
      </c>
      <c r="Q5" s="23">
        <f>IF(Q$3&lt;$I5,0,$G5*Assumptions!$E$11*INDEX(Assumptions!$B$24:$G$24,MIN(6,Q$3-$I5+1))*IF(Q$3&gt;$J5,(1-Assumptions!$B$26)^(Q$3-$J5),1)*IF($H5&gt;=1,1,MIN(0.97,$H5*Assumptions!$E$12)))</f>
        <v>211.9875</v>
      </c>
      <c r="R5" s="23">
        <f>IF(R$3&lt;$I5,0,$G5*Assumptions!$E$11*INDEX(Assumptions!$B$24:$G$24,MIN(6,R$3-$I5+1))*IF(R$3&gt;$J5,(1-Assumptions!$B$26)^(R$3-$J5),1)*IF($H5&gt;=1,1,MIN(0.97,$H5*Assumptions!$E$12)))</f>
        <v>381.57750000000004</v>
      </c>
      <c r="S5" s="23">
        <f>IF(S$3&lt;$I5,0,$G5*Assumptions!$E$11*INDEX(Assumptions!$B$24:$G$24,MIN(6,S$3-$I5+1))*IF(S$3&gt;$J5,(1-Assumptions!$B$26)^(S$3-$J5),1)*IF($H5&gt;=1,1,MIN(0.97,$H5*Assumptions!$E$12)))</f>
        <v>551.1675</v>
      </c>
      <c r="T5" s="23">
        <f>IF(T$3&lt;$I5,0,$G5*Assumptions!$E$11*INDEX(Assumptions!$B$24:$G$24,MIN(6,T$3-$I5+1))*IF(T$3&gt;$J5,(1-Assumptions!$B$26)^(T$3-$J5),1)*IF($H5&gt;=1,1,MIN(0.97,$H5*Assumptions!$E$12)))</f>
        <v>720.7575</v>
      </c>
      <c r="U5" s="23">
        <f>IF(U$3&lt;$I5,0,$G5*Assumptions!$E$11*INDEX(Assumptions!$B$24:$G$24,MIN(6,U$3-$I5+1))*IF(U$3&gt;$J5,(1-Assumptions!$B$26)^(U$3-$J5),1)*IF($H5&gt;=1,1,MIN(0.97,$H5*Assumptions!$E$12)))</f>
        <v>847.95</v>
      </c>
      <c r="V5" s="23">
        <f>IF(V$3&lt;$I5,0,$G5*Assumptions!$E$11*INDEX(Assumptions!$B$24:$G$24,MIN(6,V$3-$I5+1))*IF(V$3&gt;$J5,(1-Assumptions!$B$26)^(V$3-$J5),1)*IF($H5&gt;=1,1,MIN(0.97,$H5*Assumptions!$E$12)))</f>
        <v>847.95</v>
      </c>
      <c r="W5" s="23">
        <f>IF(W$3&lt;$I5,0,$G5*Assumptions!$E$11*INDEX(Assumptions!$B$24:$G$24,MIN(6,W$3-$I5+1))*IF(W$3&gt;$J5,(1-Assumptions!$B$26)^(W$3-$J5),1)*IF($H5&gt;=1,1,MIN(0.97,$H5*Assumptions!$E$12)))</f>
        <v>847.95</v>
      </c>
      <c r="X5" s="23">
        <f>IF(X$3&lt;$I5,0,$G5*Assumptions!$E$11*INDEX(Assumptions!$B$24:$G$24,MIN(6,X$3-$I5+1))*IF(X$3&gt;$J5,(1-Assumptions!$B$26)^(X$3-$J5),1)*IF($H5&gt;=1,1,MIN(0.97,$H5*Assumptions!$E$12)))</f>
        <v>847.95</v>
      </c>
      <c r="Y5" s="23">
        <f>IF(Y$3&lt;$I5,0,$G5*Assumptions!$E$11*INDEX(Assumptions!$B$24:$G$24,MIN(6,Y$3-$I5+1))*IF(Y$3&gt;$J5,(1-Assumptions!$B$26)^(Y$3-$J5),1)*IF($H5&gt;=1,1,MIN(0.97,$H5*Assumptions!$E$12)))</f>
        <v>847.95</v>
      </c>
      <c r="Z5" s="23">
        <f>IF(Z$3&lt;$I5,0,$G5*Assumptions!$E$11*INDEX(Assumptions!$B$24:$G$24,MIN(6,Z$3-$I5+1))*IF(Z$3&gt;$J5,(1-Assumptions!$B$26)^(Z$3-$J5),1)*IF($H5&gt;=1,1,MIN(0.97,$H5*Assumptions!$E$12)))</f>
        <v>847.95</v>
      </c>
      <c r="AA5" s="23">
        <f>IF(AA$3&lt;$I5,0,$G5*Assumptions!$E$11*INDEX(Assumptions!$B$24:$G$24,MIN(6,AA$3-$I5+1))*IF(AA$3&gt;$J5,(1-Assumptions!$B$26)^(AA$3-$J5),1)*IF($H5&gt;=1,1,MIN(0.97,$H5*Assumptions!$E$12)))</f>
        <v>847.95</v>
      </c>
      <c r="AB5" s="23">
        <f>IF(AB$3&lt;$I5,0,$G5*Assumptions!$E$11*INDEX(Assumptions!$B$24:$G$24,MIN(6,AB$3-$I5+1))*IF(AB$3&gt;$J5,(1-Assumptions!$B$26)^(AB$3-$J5),1)*IF($H5&gt;=1,1,MIN(0.97,$H5*Assumptions!$E$12)))</f>
        <v>847.95</v>
      </c>
      <c r="AC5" s="23">
        <f>IF(AC$3&lt;$I5,0,$G5*Assumptions!$E$11*INDEX(Assumptions!$B$24:$G$24,MIN(6,AC$3-$I5+1))*IF(AC$3&gt;$J5,(1-Assumptions!$B$26)^(AC$3-$J5),1)*IF($H5&gt;=1,1,MIN(0.97,$H5*Assumptions!$E$12)))</f>
        <v>423.975</v>
      </c>
      <c r="AD5" s="23">
        <f>IF(AD$3&lt;$I5,0,$G5*Assumptions!$E$11*INDEX(Assumptions!$B$24:$G$24,MIN(6,AD$3-$I5+1))*IF(AD$3&gt;$J5,(1-Assumptions!$B$26)^(AD$3-$J5),1)*IF($H5&gt;=1,1,MIN(0.97,$H5*Assumptions!$E$12)))</f>
        <v>211.9875</v>
      </c>
      <c r="AE5" s="23">
        <f>IF(AE$3&lt;$I5,0,$G5*Assumptions!$E$11*INDEX(Assumptions!$B$24:$G$24,MIN(6,AE$3-$I5+1))*IF(AE$3&gt;$J5,(1-Assumptions!$B$26)^(AE$3-$J5),1)*IF($H5&gt;=1,1,MIN(0.97,$H5*Assumptions!$E$12)))</f>
        <v>105.99375</v>
      </c>
      <c r="AF5" s="23">
        <f>IF(AF$3&lt;$I5,0,$G5*Assumptions!$E$11*INDEX(Assumptions!$B$24:$G$24,MIN(6,AF$3-$I5+1))*IF(AF$3&gt;$J5,(1-Assumptions!$B$26)^(AF$3-$J5),1)*IF($H5&gt;=1,1,MIN(0.97,$H5*Assumptions!$E$12)))</f>
        <v>52.996875</v>
      </c>
      <c r="AG5" s="35">
        <f>IF(F5="Owned",1-IF(H5&gt;=1,1,MIN(0.97,H5*Assumptions!$E$12)),1)</f>
        <v>0.4347</v>
      </c>
    </row>
    <row r="6">
      <c r="B6" s="24" t="inlineStr">
        <is>
          <t>Risked revenue</t>
        </is>
      </c>
      <c r="L6" s="54">
        <f>SUM(L4:L5)</f>
        <v>3192.3025437683627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222.54500000000002</v>
      </c>
      <c r="Q6" s="54">
        <f>SUM(Q4:Q5)</f>
        <v>556.3625</v>
      </c>
      <c r="R6" s="54">
        <f>SUM(R4:R5)</f>
        <v>1001.4525000000001</v>
      </c>
      <c r="S6" s="54">
        <f>SUM(S4:S5)</f>
        <v>1446.5425</v>
      </c>
      <c r="T6" s="54">
        <f>SUM(T4:T5)</f>
        <v>1891.6325000000002</v>
      </c>
      <c r="U6" s="54">
        <f>SUM(U4:U5)</f>
        <v>2225.45</v>
      </c>
      <c r="V6" s="54">
        <f>SUM(V4:V5)</f>
        <v>2225.45</v>
      </c>
      <c r="W6" s="54">
        <f>SUM(W4:W5)</f>
        <v>2225.45</v>
      </c>
      <c r="X6" s="54">
        <f>SUM(X4:X5)</f>
        <v>2225.45</v>
      </c>
      <c r="Y6" s="54">
        <f>SUM(Y4:Y5)</f>
        <v>2225.45</v>
      </c>
      <c r="Z6" s="54">
        <f>SUM(Z4:Z5)</f>
        <v>2225.45</v>
      </c>
      <c r="AA6" s="54">
        <f>SUM(AA4:AA5)</f>
        <v>2225.45</v>
      </c>
      <c r="AB6" s="54">
        <f>SUM(AB4:AB5)</f>
        <v>2225.45</v>
      </c>
      <c r="AC6" s="54">
        <f>SUM(AC4:AC5)</f>
        <v>1112.725</v>
      </c>
      <c r="AD6" s="54">
        <f>SUM(AD4:AD5)</f>
        <v>556.3625</v>
      </c>
      <c r="AE6" s="54">
        <f>SUM(AE4:AE5)</f>
        <v>278.18125</v>
      </c>
      <c r="AF6" s="54">
        <f>SUM(AF4:AF5)</f>
        <v>139.090625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89.018</v>
      </c>
      <c r="Q7" s="55">
        <f>SUMPRODUCT(Q4:Q5,$K$4:$K$5)</f>
        <v>222.54500000000002</v>
      </c>
      <c r="R7" s="55">
        <f>SUMPRODUCT(R4:R5,$K$4:$K$5)</f>
        <v>400.581</v>
      </c>
      <c r="S7" s="55">
        <f>SUMPRODUCT(S4:S5,$K$4:$K$5)</f>
        <v>578.6170000000001</v>
      </c>
      <c r="T7" s="55">
        <f>SUMPRODUCT(T4:T5,$K$4:$K$5)</f>
        <v>756.653</v>
      </c>
      <c r="U7" s="55">
        <f>SUMPRODUCT(U4:U5,$K$4:$K$5)</f>
        <v>890.1800000000001</v>
      </c>
      <c r="V7" s="55">
        <f>SUMPRODUCT(V4:V5,$K$4:$K$5)</f>
        <v>890.1800000000001</v>
      </c>
      <c r="W7" s="55">
        <f>SUMPRODUCT(W4:W5,$K$4:$K$5)</f>
        <v>890.1800000000001</v>
      </c>
      <c r="X7" s="55">
        <f>SUMPRODUCT(X4:X5,$K$4:$K$5)</f>
        <v>890.1800000000001</v>
      </c>
      <c r="Y7" s="55">
        <f>SUMPRODUCT(Y4:Y5,$K$4:$K$5)</f>
        <v>890.1800000000001</v>
      </c>
      <c r="Z7" s="55">
        <f>SUMPRODUCT(Z4:Z5,$K$4:$K$5)</f>
        <v>890.1800000000001</v>
      </c>
      <c r="AA7" s="55">
        <f>SUMPRODUCT(AA4:AA5,$K$4:$K$5)</f>
        <v>890.1800000000001</v>
      </c>
      <c r="AB7" s="55">
        <f>SUMPRODUCT(AB4:AB5,$K$4:$K$5)</f>
        <v>890.1800000000001</v>
      </c>
      <c r="AC7" s="55">
        <f>SUMPRODUCT(AC4:AC5,$K$4:$K$5)</f>
        <v>445.09000000000003</v>
      </c>
      <c r="AD7" s="55">
        <f>SUMPRODUCT(AD4:AD5,$K$4:$K$5)</f>
        <v>222.54500000000002</v>
      </c>
      <c r="AE7" s="55">
        <f>SUMPRODUCT(AE4:AE5,$K$4:$K$5)</f>
        <v>111.27250000000001</v>
      </c>
      <c r="AF7" s="55">
        <f>SUMPRODUCT(AF4:AF5,$K$4:$K$5)</f>
        <v>55.636250000000004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Tenax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222.54500000000002</v>
      </c>
      <c r="G4" s="57">
        <f>Pipeline!Q6</f>
        <v>556.3625</v>
      </c>
      <c r="H4" s="57">
        <f>Pipeline!R6</f>
        <v>1001.4525000000001</v>
      </c>
      <c r="I4" s="57">
        <f>Pipeline!S6</f>
        <v>1446.5425</v>
      </c>
      <c r="J4" s="57">
        <f>Pipeline!T6</f>
        <v>1891.6325000000002</v>
      </c>
      <c r="K4" s="57">
        <f>Pipeline!U6</f>
        <v>2225.45</v>
      </c>
      <c r="L4" s="57">
        <f>Pipeline!V6</f>
        <v>2225.45</v>
      </c>
      <c r="M4" s="57">
        <f>Pipeline!W6</f>
        <v>2225.45</v>
      </c>
      <c r="N4" s="57">
        <f>Pipeline!X6</f>
        <v>2225.45</v>
      </c>
      <c r="O4" s="57">
        <f>Pipeline!Y6</f>
        <v>2225.45</v>
      </c>
      <c r="P4" s="57">
        <f>Pipeline!Z6</f>
        <v>2225.45</v>
      </c>
      <c r="Q4" s="57">
        <f>Pipeline!AA6</f>
        <v>2225.45</v>
      </c>
      <c r="R4" s="57">
        <f>Pipeline!AB6</f>
        <v>2225.45</v>
      </c>
      <c r="S4" s="57">
        <f>Pipeline!AC6</f>
        <v>1112.725</v>
      </c>
      <c r="T4" s="57">
        <f>Pipeline!AD6</f>
        <v>556.3625</v>
      </c>
      <c r="U4" s="57">
        <f>Pipeline!AE6</f>
        <v>278.18125</v>
      </c>
      <c r="V4" s="57">
        <f>Pipeline!AF6</f>
        <v>139.090625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89.018</v>
      </c>
      <c r="G5" s="57">
        <f>Pipeline!Q7</f>
        <v>222.54500000000002</v>
      </c>
      <c r="H5" s="57">
        <f>Pipeline!R7</f>
        <v>400.581</v>
      </c>
      <c r="I5" s="57">
        <f>Pipeline!S7</f>
        <v>578.6170000000001</v>
      </c>
      <c r="J5" s="57">
        <f>Pipeline!T7</f>
        <v>756.653</v>
      </c>
      <c r="K5" s="57">
        <f>Pipeline!U7</f>
        <v>890.1800000000001</v>
      </c>
      <c r="L5" s="57">
        <f>Pipeline!V7</f>
        <v>890.1800000000001</v>
      </c>
      <c r="M5" s="57">
        <f>Pipeline!W7</f>
        <v>890.1800000000001</v>
      </c>
      <c r="N5" s="57">
        <f>Pipeline!X7</f>
        <v>890.1800000000001</v>
      </c>
      <c r="O5" s="57">
        <f>Pipeline!Y7</f>
        <v>890.1800000000001</v>
      </c>
      <c r="P5" s="57">
        <f>Pipeline!Z7</f>
        <v>890.1800000000001</v>
      </c>
      <c r="Q5" s="57">
        <f>Pipeline!AA7</f>
        <v>890.1800000000001</v>
      </c>
      <c r="R5" s="57">
        <f>Pipeline!AB7</f>
        <v>890.1800000000001</v>
      </c>
      <c r="S5" s="57">
        <f>Pipeline!AC7</f>
        <v>445.09000000000003</v>
      </c>
      <c r="T5" s="57">
        <f>Pipeline!AD7</f>
        <v>222.54500000000002</v>
      </c>
      <c r="U5" s="57">
        <f>Pipeline!AE7</f>
        <v>111.27250000000001</v>
      </c>
      <c r="V5" s="57">
        <f>Pipeline!AF7</f>
        <v>55.636250000000004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-68.612</v>
      </c>
      <c r="D6" s="23">
        <f>-IF(D3-2026&lt;Assumptions!$B$19,Assumptions!$B$18,Assumptions!$B$18*Assumptions!$B$20*Assumptions!$B$16)</f>
        <v>-68.612</v>
      </c>
      <c r="E6" s="23">
        <f>-IF(E3-2026&lt;Assumptions!$B$19,Assumptions!$B$18,Assumptions!$B$18*Assumptions!$B$20*Assumptions!$B$16)</f>
        <v>-68.612</v>
      </c>
      <c r="F6" s="23">
        <f>-IF(F3-2026&lt;Assumptions!$B$19,Assumptions!$B$18,Assumptions!$B$18*Assumptions!$B$20*Assumptions!$B$16)</f>
        <v>-16.56608677692</v>
      </c>
      <c r="G6" s="23">
        <f>-IF(G3-2026&lt;Assumptions!$B$19,Assumptions!$B$18,Assumptions!$B$18*Assumptions!$B$20*Assumptions!$B$16)</f>
        <v>-16.56608677692</v>
      </c>
      <c r="H6" s="23">
        <f>-IF(H3-2026&lt;Assumptions!$B$19,Assumptions!$B$18,Assumptions!$B$18*Assumptions!$B$20*Assumptions!$B$16)</f>
        <v>-16.56608677692</v>
      </c>
      <c r="I6" s="23">
        <f>-IF(I3-2026&lt;Assumptions!$B$19,Assumptions!$B$18,Assumptions!$B$18*Assumptions!$B$20*Assumptions!$B$16)</f>
        <v>-16.56608677692</v>
      </c>
      <c r="J6" s="23">
        <f>-IF(J3-2026&lt;Assumptions!$B$19,Assumptions!$B$18,Assumptions!$B$18*Assumptions!$B$20*Assumptions!$B$16)</f>
        <v>-16.56608677692</v>
      </c>
      <c r="K6" s="23">
        <f>-IF(K3-2026&lt;Assumptions!$B$19,Assumptions!$B$18,Assumptions!$B$18*Assumptions!$B$20*Assumptions!$B$16)</f>
        <v>-16.56608677692</v>
      </c>
      <c r="L6" s="23">
        <f>-IF(L3-2026&lt;Assumptions!$B$19,Assumptions!$B$18,Assumptions!$B$18*Assumptions!$B$20*Assumptions!$B$16)</f>
        <v>-16.56608677692</v>
      </c>
      <c r="M6" s="23">
        <f>-IF(M3-2026&lt;Assumptions!$B$19,Assumptions!$B$18,Assumptions!$B$18*Assumptions!$B$20*Assumptions!$B$16)</f>
        <v>-16.56608677692</v>
      </c>
      <c r="N6" s="23">
        <f>-IF(N3-2026&lt;Assumptions!$B$19,Assumptions!$B$18,Assumptions!$B$18*Assumptions!$B$20*Assumptions!$B$16)</f>
        <v>-16.56608677692</v>
      </c>
      <c r="O6" s="23">
        <f>-IF(O3-2026&lt;Assumptions!$B$19,Assumptions!$B$18,Assumptions!$B$18*Assumptions!$B$20*Assumptions!$B$16)</f>
        <v>-16.56608677692</v>
      </c>
      <c r="P6" s="23">
        <f>-IF(P3-2026&lt;Assumptions!$B$19,Assumptions!$B$18,Assumptions!$B$18*Assumptions!$B$20*Assumptions!$B$16)</f>
        <v>-16.56608677692</v>
      </c>
      <c r="Q6" s="23">
        <f>-IF(Q3-2026&lt;Assumptions!$B$19,Assumptions!$B$18,Assumptions!$B$18*Assumptions!$B$20*Assumptions!$B$16)</f>
        <v>-16.56608677692</v>
      </c>
      <c r="R6" s="23">
        <f>-IF(R3-2026&lt;Assumptions!$B$19,Assumptions!$B$18,Assumptions!$B$18*Assumptions!$B$20*Assumptions!$B$16)</f>
        <v>-16.56608677692</v>
      </c>
      <c r="S6" s="23">
        <f>-IF(S3-2026&lt;Assumptions!$B$19,Assumptions!$B$18,Assumptions!$B$18*Assumptions!$B$20*Assumptions!$B$16)</f>
        <v>-16.56608677692</v>
      </c>
      <c r="T6" s="23">
        <f>-IF(T3-2026&lt;Assumptions!$B$19,Assumptions!$B$18,Assumptions!$B$18*Assumptions!$B$20*Assumptions!$B$16)</f>
        <v>-16.56608677692</v>
      </c>
      <c r="U6" s="23">
        <f>-IF(U3-2026&lt;Assumptions!$B$19,Assumptions!$B$18,Assumptions!$B$18*Assumptions!$B$20*Assumptions!$B$16)</f>
        <v>-16.56608677692</v>
      </c>
      <c r="V6" s="23">
        <f>-IF(V3-2026&lt;Assumptions!$B$19,Assumptions!$B$18,Assumptions!$B$18*Assumptions!$B$20*Assumptions!$B$16)</f>
        <v>-16.56608677692</v>
      </c>
    </row>
    <row r="7">
      <c r="A7" s="14" t="inlineStr">
        <is>
          <t>Pre-tax cash flow</t>
        </is>
      </c>
      <c r="C7" s="23">
        <f>C5+C6</f>
        <v>-68.612</v>
      </c>
      <c r="D7" s="23">
        <f>D5+D6</f>
        <v>-68.612</v>
      </c>
      <c r="E7" s="23">
        <f>E5+E6</f>
        <v>-68.612</v>
      </c>
      <c r="F7" s="23">
        <f>F5+F6</f>
        <v>72.45191322308</v>
      </c>
      <c r="G7" s="23">
        <f>G5+G6</f>
        <v>205.97891322308</v>
      </c>
      <c r="H7" s="23">
        <f>H5+H6</f>
        <v>384.01491322308004</v>
      </c>
      <c r="I7" s="23">
        <f>I5+I6</f>
        <v>562.0509132230801</v>
      </c>
      <c r="J7" s="23">
        <f>J5+J6</f>
        <v>740.08691322308</v>
      </c>
      <c r="K7" s="23">
        <f>K5+K6</f>
        <v>873.6139132230801</v>
      </c>
      <c r="L7" s="23">
        <f>L5+L6</f>
        <v>873.6139132230801</v>
      </c>
      <c r="M7" s="23">
        <f>M5+M6</f>
        <v>873.6139132230801</v>
      </c>
      <c r="N7" s="23">
        <f>N5+N6</f>
        <v>873.6139132230801</v>
      </c>
      <c r="O7" s="23">
        <f>O5+O6</f>
        <v>873.6139132230801</v>
      </c>
      <c r="P7" s="23">
        <f>P5+P6</f>
        <v>873.6139132230801</v>
      </c>
      <c r="Q7" s="23">
        <f>Q5+Q6</f>
        <v>873.6139132230801</v>
      </c>
      <c r="R7" s="23">
        <f>R5+R6</f>
        <v>873.6139132230801</v>
      </c>
      <c r="S7" s="23">
        <f>S5+S6</f>
        <v>428.52391322308006</v>
      </c>
      <c r="T7" s="23">
        <f>T5+T6</f>
        <v>205.97891322308</v>
      </c>
      <c r="U7" s="23">
        <f>U5+U6</f>
        <v>94.70641322308</v>
      </c>
      <c r="V7" s="23">
        <f>V5+V6</f>
        <v>39.07016322308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72.45191322308</v>
      </c>
      <c r="G8" s="23">
        <f>MIN(F17,MAX(0,G7))</f>
        <v>205.97891322308</v>
      </c>
      <c r="H8" s="23">
        <f>MIN(G17,MAX(0,H7))</f>
        <v>181.70517355383996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202.3097396692401</v>
      </c>
      <c r="I9" s="23">
        <f>MAX(0,I7)-I8</f>
        <v>562.0509132230801</v>
      </c>
      <c r="J9" s="23">
        <f>MAX(0,J7)-J8</f>
        <v>740.08691322308</v>
      </c>
      <c r="K9" s="23">
        <f>MAX(0,K7)-K8</f>
        <v>873.6139132230801</v>
      </c>
      <c r="L9" s="23">
        <f>MAX(0,L7)-L8</f>
        <v>873.6139132230801</v>
      </c>
      <c r="M9" s="23">
        <f>MAX(0,M7)-M8</f>
        <v>873.6139132230801</v>
      </c>
      <c r="N9" s="23">
        <f>MAX(0,N7)-N8</f>
        <v>873.6139132230801</v>
      </c>
      <c r="O9" s="23">
        <f>MAX(0,O7)-O8</f>
        <v>873.6139132230801</v>
      </c>
      <c r="P9" s="23">
        <f>MAX(0,P7)-P8</f>
        <v>873.6139132230801</v>
      </c>
      <c r="Q9" s="23">
        <f>MAX(0,Q7)-Q8</f>
        <v>873.6139132230801</v>
      </c>
      <c r="R9" s="23">
        <f>MAX(0,R7)-R8</f>
        <v>873.6139132230801</v>
      </c>
      <c r="S9" s="23">
        <f>MAX(0,S7)-S8</f>
        <v>428.52391322308006</v>
      </c>
      <c r="T9" s="23">
        <f>MAX(0,T7)-T8</f>
        <v>205.97891322308</v>
      </c>
      <c r="U9" s="23">
        <f>MAX(0,U7)-U8</f>
        <v>94.70641322308</v>
      </c>
      <c r="V9" s="23">
        <f>MAX(0,V7)-V8</f>
        <v>39.07016322308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42.485045330540416</v>
      </c>
      <c r="I10" s="23">
        <f>I9*Assumptions!$E$15</f>
        <v>118.03069177684682</v>
      </c>
      <c r="J10" s="23">
        <f>J9*Assumptions!$E$15</f>
        <v>155.4182517768468</v>
      </c>
      <c r="K10" s="23">
        <f>K9*Assumptions!$E$15</f>
        <v>183.4589217768468</v>
      </c>
      <c r="L10" s="23">
        <f>L9*Assumptions!$E$15</f>
        <v>183.4589217768468</v>
      </c>
      <c r="M10" s="23">
        <f>M9*Assumptions!$E$15</f>
        <v>183.4589217768468</v>
      </c>
      <c r="N10" s="23">
        <f>N9*Assumptions!$E$15</f>
        <v>183.4589217768468</v>
      </c>
      <c r="O10" s="23">
        <f>O9*Assumptions!$E$15</f>
        <v>183.4589217768468</v>
      </c>
      <c r="P10" s="23">
        <f>P9*Assumptions!$E$15</f>
        <v>183.4589217768468</v>
      </c>
      <c r="Q10" s="23">
        <f>Q9*Assumptions!$E$15</f>
        <v>183.4589217768468</v>
      </c>
      <c r="R10" s="23">
        <f>R9*Assumptions!$E$15</f>
        <v>183.4589217768468</v>
      </c>
      <c r="S10" s="23">
        <f>S9*Assumptions!$E$15</f>
        <v>89.9900217768468</v>
      </c>
      <c r="T10" s="23">
        <f>T9*Assumptions!$E$15</f>
        <v>43.2555717768468</v>
      </c>
      <c r="U10" s="23">
        <f>U9*Assumptions!$E$15</f>
        <v>19.8883467768468</v>
      </c>
      <c r="V10" s="23">
        <f>V9*Assumptions!$E$15</f>
        <v>8.2047342768468</v>
      </c>
    </row>
    <row r="11">
      <c r="A11" s="24" t="inlineStr">
        <is>
          <t>Free cash flow</t>
        </is>
      </c>
      <c r="C11" s="55">
        <f>C7-C10</f>
        <v>-68.612</v>
      </c>
      <c r="D11" s="55">
        <f>D7-D10</f>
        <v>-68.612</v>
      </c>
      <c r="E11" s="55">
        <f>E7-E10</f>
        <v>-68.612</v>
      </c>
      <c r="F11" s="55">
        <f>F7-F10</f>
        <v>72.45191322308</v>
      </c>
      <c r="G11" s="55">
        <f>G7-G10</f>
        <v>205.97891322308</v>
      </c>
      <c r="H11" s="55">
        <f>H7-H10</f>
        <v>341.52986789253964</v>
      </c>
      <c r="I11" s="55">
        <f>I7-I10</f>
        <v>444.0202214462333</v>
      </c>
      <c r="J11" s="55">
        <f>J7-J10</f>
        <v>584.6686614462333</v>
      </c>
      <c r="K11" s="55">
        <f>K7-K10</f>
        <v>690.1549914462332</v>
      </c>
      <c r="L11" s="55">
        <f>L7-L10</f>
        <v>690.1549914462332</v>
      </c>
      <c r="M11" s="55">
        <f>M7-M10</f>
        <v>690.1549914462332</v>
      </c>
      <c r="N11" s="55">
        <f>N7-N10</f>
        <v>690.1549914462332</v>
      </c>
      <c r="O11" s="55">
        <f>O7-O10</f>
        <v>690.1549914462332</v>
      </c>
      <c r="P11" s="55">
        <f>P7-P10</f>
        <v>690.1549914462332</v>
      </c>
      <c r="Q11" s="55">
        <f>Q7-Q10</f>
        <v>690.1549914462332</v>
      </c>
      <c r="R11" s="55">
        <f>R7-R10</f>
        <v>690.1549914462332</v>
      </c>
      <c r="S11" s="55">
        <f>S7-S10</f>
        <v>338.53389144623327</v>
      </c>
      <c r="T11" s="55">
        <f>T7-T10</f>
        <v>162.7233414462332</v>
      </c>
      <c r="U11" s="55">
        <f>U7-U10</f>
        <v>74.8180664462332</v>
      </c>
      <c r="V11" s="55">
        <f>V7-V10</f>
        <v>30.8654289462332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-33.61331719459393</v>
      </c>
      <c r="D16" s="55">
        <f>D11*D15</f>
        <v>-61.2322562532397</v>
      </c>
      <c r="E16" s="55">
        <f>E11*E15</f>
        <v>-54.671657368964</v>
      </c>
      <c r="F16" s="55">
        <f>F11*F15</f>
        <v>51.54588451127539</v>
      </c>
      <c r="G16" s="55">
        <f>G11*G15</f>
        <v>130.84251333590373</v>
      </c>
      <c r="H16" s="55">
        <f>H11*H15</f>
        <v>193.7031944327094</v>
      </c>
      <c r="I16" s="55">
        <f>I11*I15</f>
        <v>224.8499623431292</v>
      </c>
      <c r="J16" s="55">
        <f>J11*J15</f>
        <v>264.3515513799639</v>
      </c>
      <c r="K16" s="55">
        <f>K11*K15</f>
        <v>278.6125390205534</v>
      </c>
      <c r="L16" s="55">
        <f>L11*L15</f>
        <v>248.76119555406552</v>
      </c>
      <c r="M16" s="55">
        <f>M11*M15</f>
        <v>222.1082103161299</v>
      </c>
      <c r="N16" s="55">
        <f>N11*N15</f>
        <v>198.3109020679731</v>
      </c>
      <c r="O16" s="55">
        <f>O11*O15</f>
        <v>177.0633054178331</v>
      </c>
      <c r="P16" s="55">
        <f>P11*P15</f>
        <v>158.09223698020813</v>
      </c>
      <c r="Q16" s="55">
        <f>Q11*Q15</f>
        <v>141.15378301804296</v>
      </c>
      <c r="R16" s="55">
        <f>R11*R15</f>
        <v>126.03016340896693</v>
      </c>
      <c r="S16" s="55">
        <f>S11*S15</f>
        <v>55.19655805481241</v>
      </c>
      <c r="T16" s="55">
        <f>T11*T15</f>
        <v>23.688724352360794</v>
      </c>
      <c r="U16" s="55">
        <f>U11*U15</f>
        <v>9.724791043175966</v>
      </c>
      <c r="V16" s="55">
        <f>V11*V15</f>
        <v>3.5820207081913473</v>
      </c>
    </row>
    <row r="17">
      <c r="A17" s="14" t="inlineStr">
        <is>
          <t>Tax-loss carryforward, end of year</t>
        </is>
      </c>
      <c r="C17" s="23">
        <f>Assumptions!$B$21-C8+MAX(0,-C7)</f>
        <v>322.91200000000003</v>
      </c>
      <c r="D17" s="23">
        <f>C17-D8+MAX(0,-D7)</f>
        <v>391.524</v>
      </c>
      <c r="E17" s="23">
        <f>D17-E8+MAX(0,-E7)</f>
        <v>460.13599999999997</v>
      </c>
      <c r="F17" s="23">
        <f>E17-F8+MAX(0,-F7)</f>
        <v>387.68408677691997</v>
      </c>
      <c r="G17" s="23">
        <f>F17-G8+MAX(0,-G7)</f>
        <v>181.70517355383996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3192.3025437683623</v>
      </c>
    </row>
    <row r="20">
      <c r="A20" s="14" t="inlineStr">
        <is>
          <t>PV of corporate burn</t>
        </is>
      </c>
      <c r="B20" s="23">
        <f>SUMPRODUCT(C6:V6,C15:V15)</f>
        <v>-243.49811944305776</v>
      </c>
    </row>
    <row r="21">
      <c r="A21" s="14" t="inlineStr">
        <is>
          <t>PV of taxes</t>
        </is>
      </c>
      <c r="B21" s="23">
        <f>-SUMPRODUCT(C10:V10,C15:V15)</f>
        <v>-590.7041191968071</v>
      </c>
    </row>
    <row r="22">
      <c r="A22" s="24" t="inlineStr">
        <is>
          <t>Pipeline rNPV (operations)</t>
        </is>
      </c>
      <c r="B22" s="54">
        <f>SUM(C16:V16)</f>
        <v>2358.100305128498</v>
      </c>
    </row>
    <row r="23">
      <c r="A23" s="14" t="inlineStr">
        <is>
          <t>Cash &amp; investments</t>
        </is>
      </c>
      <c r="B23" s="57">
        <f>Main!C7</f>
        <v>118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2476.100305128498</v>
      </c>
    </row>
    <row r="26">
      <c r="A26" s="14" t="inlineStr">
        <is>
          <t>Shares (mm)</t>
        </is>
      </c>
      <c r="B26" s="57">
        <f>Main!C4</f>
        <v>37.423917</v>
      </c>
    </row>
    <row r="27">
      <c r="A27" s="24" t="inlineStr">
        <is>
          <t>rNPV / share</t>
        </is>
      </c>
      <c r="B27" s="60">
        <f>B25/B26</f>
        <v>66.16357943313356</v>
      </c>
    </row>
    <row r="28">
      <c r="A28" s="14" t="inlineStr">
        <is>
          <t>Price</t>
        </is>
      </c>
      <c r="B28" s="61">
        <f>Main!C3</f>
        <v>1.63</v>
      </c>
    </row>
    <row r="29">
      <c r="A29" s="14" t="inlineStr">
        <is>
          <t>Upside</t>
        </is>
      </c>
      <c r="B29" s="62">
        <f>B27/B28-1</f>
        <v>39.59115302646231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2026-10-21T06:29:14Z</dcterms:modified>
  <cp:lastModifiedBy>Wang, Eric</cp:lastModifiedBy>
</cp:coreProperties>
</file>