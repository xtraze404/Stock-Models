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Tenax Therapeutics Inc</t>
        </is>
      </c>
      <c r="C2" s="10" t="n"/>
    </row>
    <row r="3">
      <c r="B3" t="inlineStr">
        <is>
          <t>Price</t>
        </is>
      </c>
      <c r="C3" s="11">
        <f>INDEX([1]Pharma!$F$1:$F$1000,MATCH("TENX",[1]Pharma!$B$1:$B$1000,0))</f>
        <v>1.63</v>
      </c>
      <c r="F3" s="1" t="n"/>
    </row>
    <row r="4">
      <c r="B4" t="inlineStr">
        <is>
          <t>Shares</t>
        </is>
      </c>
      <c r="C4" s="21" t="n">
        <v>37.423917</v>
      </c>
      <c r="F4" s="1" t="n"/>
    </row>
    <row r="5">
      <c r="B5" t="inlineStr">
        <is>
          <t>Market Cap.</t>
        </is>
      </c>
      <c r="C5" s="13">
        <f>C3*C4</f>
        <v>61.00098471</v>
      </c>
      <c r="F5" s="1" t="n"/>
    </row>
    <row r="6"/>
    <row r="7">
      <c r="B7" t="inlineStr">
        <is>
          <t>Cash</t>
        </is>
      </c>
      <c r="C7" s="21" t="n">
        <v>118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-56.99901529</v>
      </c>
    </row>
    <row r="10"/>
    <row r="11">
      <c r="B11" s="14" t="inlineStr">
        <is>
          <t>Net Cash / Share</t>
        </is>
      </c>
      <c r="C11" s="11">
        <f>(C7-C8)/C4</f>
        <v>3.1530638548605157</v>
      </c>
    </row>
    <row r="12">
      <c r="B12" s="14" t="inlineStr">
        <is>
          <t>Upside</t>
        </is>
      </c>
      <c r="C12" s="15">
        <f>IFERROR(C11/C3-1,"")</f>
        <v>0.9343950029819115</v>
      </c>
    </row>
    <row r="13">
      <c r="B13" s="14" t="inlineStr">
        <is>
          <t>Cash / Share</t>
        </is>
      </c>
      <c r="C13" s="11">
        <f>IFERROR((C7-C8)/C4,"")</f>
        <v>3.1530638548605157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-46.029</v>
      </c>
    </row>
    <row r="18">
      <c r="B18" s="14" t="inlineStr">
        <is>
          <t>Runway (years)</t>
        </is>
      </c>
      <c r="C18" s="22">
        <f>IF(AND(ISNUMBER(C17),C17&lt;0),IF(C7&gt;C8,(C7-C8)/-C17,"net debt"),"n/a")</f>
        <v>2.5636012079341284</v>
      </c>
    </row>
    <row r="19">
      <c r="B19" s="14" t="inlineStr">
        <is>
          <t>Implied Pipeline Value</t>
        </is>
      </c>
      <c r="C19" s="13">
        <f>C9</f>
        <v>-56.99901529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2011</v>
      </c>
      <c r="C1" s="17" t="n">
        <v>2012</v>
      </c>
      <c r="D1" s="17" t="n">
        <v>2013</v>
      </c>
      <c r="E1" s="17" t="n">
        <v>2014</v>
      </c>
      <c r="F1" s="17" t="n">
        <v>2015</v>
      </c>
      <c r="G1" s="17" t="n">
        <v>2016</v>
      </c>
      <c r="H1" s="17" t="n">
        <v>2017</v>
      </c>
      <c r="I1" s="17" t="n">
        <v>2018</v>
      </c>
      <c r="J1" s="17" t="n">
        <v>2019</v>
      </c>
      <c r="K1" s="17" t="n">
        <v>2020</v>
      </c>
      <c r="L1" s="17" t="n">
        <v>2021</v>
      </c>
      <c r="M1" s="17" t="n">
        <v>2022</v>
      </c>
      <c r="N1" s="17" t="n">
        <v>2023</v>
      </c>
      <c r="O1" s="17" t="n">
        <v>2024</v>
      </c>
      <c r="P1" s="17" t="n">
        <v>2025</v>
      </c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0.103</v>
      </c>
      <c r="C2" s="23" t="n">
        <v>0.364</v>
      </c>
      <c r="D2" s="23" t="n">
        <v>1.191</v>
      </c>
      <c r="E2" s="23" t="n">
        <v>0.159</v>
      </c>
      <c r="F2" s="23" t="n">
        <v>0.049</v>
      </c>
      <c r="G2" s="23" t="n">
        <v>0</v>
      </c>
      <c r="H2" s="23" t="n">
        <v>0</v>
      </c>
      <c r="I2" s="23" t="n">
        <v>0</v>
      </c>
      <c r="J2" s="23" t="n">
        <v>0</v>
      </c>
      <c r="K2" s="23" t="n">
        <v>0</v>
      </c>
      <c r="L2" s="23" t="n">
        <v>0</v>
      </c>
      <c r="M2" s="23" t="n">
        <v>0</v>
      </c>
      <c r="N2" s="23" t="n">
        <v>0</v>
      </c>
      <c r="O2" s="23" t="n">
        <v>0</v>
      </c>
      <c r="P2" s="23" t="n">
        <v>0</v>
      </c>
    </row>
    <row r="3" customFormat="1" s="1">
      <c r="A3" s="5" t="inlineStr">
        <is>
          <t>Cost of Sales</t>
        </is>
      </c>
      <c r="B3" s="23" t="n">
        <v>0.219</v>
      </c>
      <c r="C3" s="23" t="n">
        <v>0.051</v>
      </c>
      <c r="D3" s="23" t="n">
        <v>0.043</v>
      </c>
      <c r="E3" s="23" t="n">
        <v>0.13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</v>
      </c>
      <c r="L3" s="23" t="n">
        <v>0</v>
      </c>
      <c r="M3" s="23" t="n">
        <v>0</v>
      </c>
      <c r="N3" s="23" t="n">
        <v>0</v>
      </c>
      <c r="O3" s="23" t="n">
        <v>0</v>
      </c>
      <c r="P3" s="23" t="n">
        <v>0</v>
      </c>
    </row>
    <row r="4" customFormat="1" s="1">
      <c r="A4" s="5" t="inlineStr">
        <is>
          <t>Gross Margin</t>
        </is>
      </c>
      <c r="B4" s="23">
        <f>B2-B3</f>
        <v>-0.116</v>
      </c>
      <c r="C4" s="23">
        <f>C2-C3</f>
        <v>0.313</v>
      </c>
      <c r="D4" s="23">
        <f>D2-D3</f>
        <v>1.1480000000000001</v>
      </c>
      <c r="E4" s="23">
        <f>E2-E3</f>
        <v>0.028999999999999998</v>
      </c>
      <c r="F4" s="23">
        <f>F2-F3</f>
        <v>0.049</v>
      </c>
      <c r="G4" s="23">
        <f>G2-G3</f>
        <v>0.0</v>
      </c>
      <c r="H4" s="23">
        <f>H2-H3</f>
        <v>0.0</v>
      </c>
      <c r="I4" s="23">
        <f>I2-I3</f>
        <v>0.0</v>
      </c>
      <c r="J4" s="23">
        <f>J2-J3</f>
        <v>0.0</v>
      </c>
      <c r="K4" s="23">
        <f>K2-K3</f>
        <v>0.0</v>
      </c>
      <c r="L4" s="23">
        <f>L2-L3</f>
        <v>0.0</v>
      </c>
      <c r="M4" s="23">
        <f>M2-M3</f>
        <v>0.0</v>
      </c>
      <c r="N4" s="23">
        <f>N2-N3</f>
        <v>0.0</v>
      </c>
      <c r="O4" s="23">
        <f>O2-O3</f>
        <v>0.0</v>
      </c>
      <c r="P4" s="23">
        <f>P2-P3</f>
        <v>0.0</v>
      </c>
    </row>
    <row r="5">
      <c r="A5" s="2" t="inlineStr">
        <is>
          <t>Research &amp; Dev.</t>
        </is>
      </c>
      <c r="B5" s="23" t="n">
        <v>2.682</v>
      </c>
      <c r="C5" s="23" t="n">
        <v>2.463</v>
      </c>
      <c r="D5" s="23" t="n">
        <v>2.456</v>
      </c>
      <c r="E5" s="23" t="n">
        <v>2.997</v>
      </c>
      <c r="F5" s="23" t="n">
        <v>6.66</v>
      </c>
      <c r="G5" s="23" t="n">
        <v>13.14</v>
      </c>
      <c r="H5" s="23" t="n">
        <v>3.527</v>
      </c>
      <c r="I5" s="23" t="n">
        <v>1.239</v>
      </c>
      <c r="J5" s="23" t="n">
        <v>3.471</v>
      </c>
      <c r="K5" s="23" t="n">
        <v>4.561</v>
      </c>
      <c r="L5" s="23" t="n">
        <v>25.147</v>
      </c>
      <c r="M5" s="23" t="n">
        <v>5.377</v>
      </c>
      <c r="N5" s="23" t="n">
        <v>3.229</v>
      </c>
      <c r="O5" s="23" t="n">
        <v>12.709</v>
      </c>
      <c r="P5" s="23" t="n">
        <v>32.672</v>
      </c>
    </row>
    <row r="6">
      <c r="A6" s="19" t="inlineStr">
        <is>
          <t>SG&amp;A &amp; Other</t>
        </is>
      </c>
      <c r="B6" s="23" t="n">
        <v>-13.36</v>
      </c>
      <c r="C6" s="23" t="n">
        <v>6.07</v>
      </c>
      <c r="D6" s="23" t="n">
        <v>3.881</v>
      </c>
      <c r="E6" s="23" t="n">
        <v>13.644</v>
      </c>
      <c r="F6" s="23" t="n">
        <v>8.206</v>
      </c>
      <c r="G6" s="23" t="n">
        <v>39.511</v>
      </c>
      <c r="H6" s="23" t="n">
        <v>5.679</v>
      </c>
      <c r="I6" s="23" t="n">
        <v>5.654</v>
      </c>
      <c r="J6" s="23" t="n">
        <v>5.084</v>
      </c>
      <c r="K6" s="23" t="n">
        <v>-14.429</v>
      </c>
      <c r="L6" s="23" t="n">
        <v>7.581</v>
      </c>
      <c r="M6" s="23" t="n">
        <v>-16.43</v>
      </c>
      <c r="N6" s="23" t="n">
        <v>5.005</v>
      </c>
      <c r="O6" s="23" t="n">
        <v>6.785</v>
      </c>
      <c r="P6" s="23" t="n">
        <v>23.713</v>
      </c>
    </row>
    <row r="7">
      <c r="A7" s="2" t="inlineStr">
        <is>
          <t>Operating Expense</t>
        </is>
      </c>
      <c r="B7" s="23">
        <f>SUM(B5:B6)</f>
        <v>-10.677999999999999</v>
      </c>
      <c r="C7" s="23">
        <f>SUM(C5:C6)</f>
        <v>8.533000000000001</v>
      </c>
      <c r="D7" s="23">
        <f>SUM(D5:D6)</f>
        <v>6.337</v>
      </c>
      <c r="E7" s="23">
        <f>SUM(E5:E6)</f>
        <v>16.641</v>
      </c>
      <c r="F7" s="23">
        <f>SUM(F5:F6)</f>
        <v>14.866</v>
      </c>
      <c r="G7" s="23">
        <f>SUM(G5:G6)</f>
        <v>52.651</v>
      </c>
      <c r="H7" s="23">
        <f>SUM(H5:H6)</f>
        <v>9.206</v>
      </c>
      <c r="I7" s="23">
        <f>SUM(I5:I6)</f>
        <v>6.893</v>
      </c>
      <c r="J7" s="23">
        <f>SUM(J5:J6)</f>
        <v>8.555</v>
      </c>
      <c r="K7" s="23">
        <f>SUM(K5:K6)</f>
        <v>-9.868</v>
      </c>
      <c r="L7" s="23">
        <f>SUM(L5:L6)</f>
        <v>32.728</v>
      </c>
      <c r="M7" s="23">
        <f>SUM(M5:M6)</f>
        <v>-11.053</v>
      </c>
      <c r="N7" s="23">
        <f>SUM(N5:N6)</f>
        <v>8.234</v>
      </c>
      <c r="O7" s="23">
        <f>SUM(O5:O6)</f>
        <v>19.494</v>
      </c>
      <c r="P7" s="23">
        <f>SUM(P5:P6)</f>
        <v>56.385</v>
      </c>
    </row>
    <row r="8">
      <c r="A8" s="2" t="inlineStr">
        <is>
          <t>Operating Income</t>
        </is>
      </c>
      <c r="B8" s="23">
        <f>B4-B7</f>
        <v>10.562</v>
      </c>
      <c r="C8" s="23">
        <f>C4-C7</f>
        <v>-8.22</v>
      </c>
      <c r="D8" s="23">
        <f>D4-D7</f>
        <v>-5.189</v>
      </c>
      <c r="E8" s="23">
        <f>E4-E7</f>
        <v>-16.612</v>
      </c>
      <c r="F8" s="23">
        <f>F4-F7</f>
        <v>-14.817</v>
      </c>
      <c r="G8" s="23">
        <f>G4-G7</f>
        <v>-52.651</v>
      </c>
      <c r="H8" s="23">
        <f>H4-H7</f>
        <v>-9.206</v>
      </c>
      <c r="I8" s="23">
        <f>I4-I7</f>
        <v>-6.893</v>
      </c>
      <c r="J8" s="23">
        <f>J4-J7</f>
        <v>-8.555</v>
      </c>
      <c r="K8" s="23">
        <f>K4-K7</f>
        <v>9.868</v>
      </c>
      <c r="L8" s="23">
        <f>L4-L7</f>
        <v>-32.728</v>
      </c>
      <c r="M8" s="23">
        <f>M4-M7</f>
        <v>11.053</v>
      </c>
      <c r="N8" s="23">
        <f>N4-N7</f>
        <v>-8.234</v>
      </c>
      <c r="O8" s="23">
        <f>O4-O7</f>
        <v>-19.494</v>
      </c>
      <c r="P8" s="23">
        <f>P4-P7</f>
        <v>-56.385</v>
      </c>
    </row>
    <row r="9">
      <c r="A9" s="19" t="inlineStr">
        <is>
          <t>Interest &amp; Other</t>
        </is>
      </c>
      <c r="B9" s="23" t="n">
        <v>-0.114</v>
      </c>
      <c r="C9" s="23" t="n">
        <v>-7.492</v>
      </c>
      <c r="D9" s="23" t="n">
        <v>-4.227</v>
      </c>
      <c r="E9" s="23" t="n">
        <v>-2.931</v>
      </c>
      <c r="F9" s="23" t="n">
        <v>0.735</v>
      </c>
      <c r="G9" s="23" t="n">
        <v>0.765</v>
      </c>
      <c r="H9" s="23" t="n">
        <v>0.366</v>
      </c>
      <c r="I9" s="23" t="n">
        <v>-7.251</v>
      </c>
      <c r="J9" s="23" t="n">
        <v>0.161</v>
      </c>
      <c r="K9" s="23" t="n">
        <v>-19.719</v>
      </c>
      <c r="L9" s="23" t="n">
        <v>0.254</v>
      </c>
      <c r="M9" s="23" t="n">
        <v>-0.005</v>
      </c>
      <c r="N9" s="23" t="n">
        <v>0.534</v>
      </c>
      <c r="O9" s="23" t="n">
        <v>1.894</v>
      </c>
      <c r="P9" s="23" t="n">
        <v>3.785</v>
      </c>
    </row>
    <row r="10">
      <c r="A10" s="2" t="inlineStr">
        <is>
          <t>Pretax</t>
        </is>
      </c>
      <c r="B10" s="23">
        <f>B8+B9</f>
        <v>10.447999999999999</v>
      </c>
      <c r="C10" s="23">
        <f>C8+C9</f>
        <v>-15.712</v>
      </c>
      <c r="D10" s="23">
        <f>D8+D9</f>
        <v>-9.416</v>
      </c>
      <c r="E10" s="23">
        <f>E8+E9</f>
        <v>-19.543</v>
      </c>
      <c r="F10" s="23">
        <f>F8+F9</f>
        <v>-14.082</v>
      </c>
      <c r="G10" s="23">
        <f>G8+G9</f>
        <v>-51.886</v>
      </c>
      <c r="H10" s="23">
        <f>H8+H9</f>
        <v>-8.84</v>
      </c>
      <c r="I10" s="23">
        <f>I8+I9</f>
        <v>-14.144</v>
      </c>
      <c r="J10" s="23">
        <f>J8+J9</f>
        <v>-8.394</v>
      </c>
      <c r="K10" s="23">
        <f>K8+K9</f>
        <v>-9.851</v>
      </c>
      <c r="L10" s="23">
        <f>L8+L9</f>
        <v>-32.474000000000004</v>
      </c>
      <c r="M10" s="23">
        <f>M8+M9</f>
        <v>11.048</v>
      </c>
      <c r="N10" s="23">
        <f>N8+N9</f>
        <v>-7.7</v>
      </c>
      <c r="O10" s="23">
        <f>O8+O9</f>
        <v>-17.6</v>
      </c>
      <c r="P10" s="23">
        <f>P8+P9</f>
        <v>-52.599999999999994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-7.962</v>
      </c>
      <c r="H11" s="23" t="n">
        <v>0</v>
      </c>
      <c r="I11" s="23" t="n">
        <v>0</v>
      </c>
      <c r="J11" s="23" t="n">
        <v>0</v>
      </c>
      <c r="K11" s="23" t="n">
        <v>0</v>
      </c>
      <c r="L11" s="23" t="n">
        <v>0</v>
      </c>
      <c r="M11" s="23" t="n">
        <v>0</v>
      </c>
      <c r="N11" s="23" t="n">
        <v>0</v>
      </c>
      <c r="O11" s="23" t="n">
        <v>0</v>
      </c>
      <c r="P11" s="23" t="n">
        <v>0</v>
      </c>
    </row>
    <row r="12">
      <c r="A12" s="2" t="inlineStr">
        <is>
          <t>Net Income</t>
        </is>
      </c>
      <c r="B12" s="23" t="n">
        <v>10.448</v>
      </c>
      <c r="C12" s="23" t="n">
        <v>-15.712</v>
      </c>
      <c r="D12" s="23" t="n">
        <v>-9.416</v>
      </c>
      <c r="E12" s="23" t="n">
        <v>-19.542</v>
      </c>
      <c r="F12" s="23" t="n">
        <v>-14.082</v>
      </c>
      <c r="G12" s="23" t="n">
        <v>-43.924</v>
      </c>
      <c r="H12" s="23" t="n">
        <v>-8.84</v>
      </c>
      <c r="I12" s="23" t="n">
        <v>-14.144</v>
      </c>
      <c r="J12" s="23" t="n">
        <v>-8.394</v>
      </c>
      <c r="K12" s="23" t="n">
        <v>-9.851000000000001</v>
      </c>
      <c r="L12" s="23" t="n">
        <v>-32.474</v>
      </c>
      <c r="M12" s="23" t="n">
        <v>11.048</v>
      </c>
      <c r="N12" s="23" t="n">
        <v>-7.7</v>
      </c>
      <c r="O12" s="23" t="n">
        <v>-17.6</v>
      </c>
      <c r="P12" s="23" t="n">
        <v>-52.6</v>
      </c>
    </row>
    <row r="13">
      <c r="A13" s="2" t="inlineStr">
        <is>
          <t>Earnings per Share</t>
        </is>
      </c>
      <c r="B13" s="11">
        <f>IFERROR(B12/B14,0)</f>
        <v>0.10393227690073314</v>
      </c>
      <c r="C13" s="11">
        <f>IFERROR(C12/C14,0)</f>
        <v>-0.15468525410045877</v>
      </c>
      <c r="D13" s="11">
        <f>IFERROR(D12/D14,0)</f>
        <v>-0.07312773277622883</v>
      </c>
      <c r="E13" s="11">
        <f>IFERROR(E12/E14,0)</f>
        <v>-0.02851593679273779</v>
      </c>
      <c r="F13" s="11">
        <f>IFERROR(F12/F14,0)</f>
        <v>-0.02055460354808481</v>
      </c>
      <c r="G13" s="11">
        <f>IFERROR(G12/G14,0)</f>
        <v>-0.06401758282759384</v>
      </c>
      <c r="H13" s="11">
        <f>IFERROR(H12/H14,0)</f>
        <v>-0.01284161380153896</v>
      </c>
      <c r="I13" s="11">
        <f>IFERROR(I12/I14,0)</f>
        <v>-0.018522568487275556</v>
      </c>
      <c r="J13" s="11">
        <f>IFERROR(J12/J14,0)</f>
        <v>-0.01110546620731262</v>
      </c>
      <c r="K13" s="11">
        <f>IFERROR(K12/K14,0)</f>
        <v>-0.00778962400890062</v>
      </c>
      <c r="L13" s="11">
        <f>IFERROR(L12/L14,0)</f>
        <v>-0.025871326915293986</v>
      </c>
      <c r="M13" s="11">
        <f>IFERROR(M12/M14,0)</f>
        <v>0</v>
      </c>
      <c r="N13" s="11">
        <f>IFERROR(N12/N14,0)</f>
        <v>-0.5080831408775982</v>
      </c>
      <c r="O13" s="11">
        <f>IFERROR(O12/O14,0)</f>
        <v>-1.1524358302776323</v>
      </c>
      <c r="P13" s="11">
        <f>IFERROR(P12/P14,0)</f>
        <v>-1.3412550679552235</v>
      </c>
    </row>
    <row r="14">
      <c r="A14" s="2" t="inlineStr">
        <is>
          <t>Shares</t>
        </is>
      </c>
      <c r="B14" s="23" t="n">
        <v>100.527</v>
      </c>
      <c r="C14" s="23" t="n">
        <v>101.574</v>
      </c>
      <c r="D14" s="23" t="n">
        <v>128.761</v>
      </c>
      <c r="E14" s="23" t="n">
        <v>685.301</v>
      </c>
      <c r="F14" s="23" t="n">
        <v>685.102</v>
      </c>
      <c r="G14" s="23" t="n">
        <v>686.124</v>
      </c>
      <c r="H14" s="23" t="n">
        <v>688.3869999999999</v>
      </c>
      <c r="I14" s="23" t="n">
        <v>763.609</v>
      </c>
      <c r="J14" s="23" t="n">
        <v>755.8440000000001</v>
      </c>
      <c r="K14" s="23" t="n">
        <v>1264.631</v>
      </c>
      <c r="L14" s="23" t="n">
        <v>1255.212</v>
      </c>
      <c r="M14" s="23" t="n"/>
      <c r="N14" s="23" t="n">
        <v>15.155</v>
      </c>
      <c r="O14" s="23" t="n">
        <v>15.272</v>
      </c>
      <c r="P14" s="23" t="n">
        <v>39.217</v>
      </c>
    </row>
    <row r="15"/>
    <row r="16" customFormat="1" s="4">
      <c r="A16" s="3" t="inlineStr">
        <is>
          <t>Revenue Change</t>
        </is>
      </c>
      <c r="C16" s="15">
        <f>IFERROR(C2/B2-1,"")</f>
        <v>2.533980582524272</v>
      </c>
      <c r="D16" s="15">
        <f>IFERROR(D2/C2-1,"")</f>
        <v>2.2719780219780223</v>
      </c>
      <c r="E16" s="15">
        <f>IFERROR(E2/D2-1,"")</f>
        <v>-0.8664987405541562</v>
      </c>
      <c r="F16" s="15">
        <f>IFERROR(F2/E2-1,"")</f>
        <v>-0.6918238993710693</v>
      </c>
      <c r="G16" s="15">
        <f>IFERROR(G2/F2-1,"")</f>
        <v>-1.0</v>
      </c>
      <c r="H16" s="15">
        <f>IFERROR(H2/G2-1,"")</f>
        <v/>
      </c>
      <c r="I16" s="15">
        <f>IFERROR(I2/H2-1,"")</f>
        <v/>
      </c>
      <c r="J16" s="15">
        <f>IFERROR(J2/I2-1,"")</f>
        <v/>
      </c>
      <c r="K16" s="15">
        <f>IFERROR(K2/J2-1,"")</f>
        <v/>
      </c>
      <c r="L16" s="15">
        <f>IFERROR(L2/K2-1,"")</f>
        <v/>
      </c>
      <c r="M16" s="15">
        <f>IFERROR(M2/L2-1,"")</f>
        <v/>
      </c>
      <c r="N16" s="15">
        <f>IFERROR(N2/M2-1,"")</f>
        <v/>
      </c>
      <c r="O16" s="15">
        <f>IFERROR(O2/N2-1,"")</f>
        <v/>
      </c>
      <c r="P16" s="15">
        <f>IFERROR(P2/O2-1,"")</f>
        <v/>
      </c>
    </row>
    <row r="17" customFormat="1" s="4">
      <c r="A17" s="3" t="inlineStr">
        <is>
          <t>Gross Margin</t>
        </is>
      </c>
      <c r="B17" s="15">
        <f>IFERROR(B4/B2,"")</f>
        <v>-1.1262135922330099</v>
      </c>
      <c r="C17" s="15">
        <f>IFERROR(C4/C2,"")</f>
        <v>0.8598901098901099</v>
      </c>
      <c r="D17" s="15">
        <f>IFERROR(D4/D2,"")</f>
        <v>0.9638958858102435</v>
      </c>
      <c r="E17" s="15">
        <f>IFERROR(E4/E2,"")</f>
        <v>0.18238993710691823</v>
      </c>
      <c r="F17" s="15">
        <f>IFERROR(F4/F2,"")</f>
        <v>1.0</v>
      </c>
      <c r="G17" s="15">
        <f>IFERROR(G4/G2,"")</f>
        <v/>
      </c>
      <c r="H17" s="15">
        <f>IFERROR(H4/H2,"")</f>
        <v/>
      </c>
      <c r="I17" s="15">
        <f>IFERROR(I4/I2,"")</f>
        <v/>
      </c>
      <c r="J17" s="15">
        <f>IFERROR(J4/J2,"")</f>
        <v/>
      </c>
      <c r="K17" s="15">
        <f>IFERROR(K4/K2,"")</f>
        <v/>
      </c>
      <c r="L17" s="15">
        <f>IFERROR(L4/L2,"")</f>
        <v/>
      </c>
      <c r="M17" s="15">
        <f>IFERROR(M4/M2,"")</f>
        <v/>
      </c>
      <c r="N17" s="15">
        <f>IFERROR(N4/N2,"")</f>
        <v/>
      </c>
      <c r="O17" s="15">
        <f>IFERROR(O4/O2,"")</f>
        <v/>
      </c>
      <c r="P17" s="15">
        <f>IFERROR(P4/P2,"")</f>
        <v/>
      </c>
    </row>
    <row r="18">
      <c r="A18" s="14" t="inlineStr">
        <is>
          <t>Operating Margin</t>
        </is>
      </c>
      <c r="B18" s="15">
        <f>IFERROR(B8/B2,"")</f>
        <v>102.54368932038835</v>
      </c>
      <c r="C18" s="15">
        <f>IFERROR(C8/C2,"")</f>
        <v>-22.582417582417584</v>
      </c>
      <c r="D18" s="15">
        <f>IFERROR(D8/D2,"")</f>
        <v>-4.356842989084803</v>
      </c>
      <c r="E18" s="15">
        <f>IFERROR(E8/E2,"")</f>
        <v>-104.47798742138363</v>
      </c>
      <c r="F18" s="15">
        <f>IFERROR(F8/F2,"")</f>
        <v>-302.3877551020408</v>
      </c>
      <c r="G18" s="15">
        <f>IFERROR(G8/G2,"")</f>
        <v/>
      </c>
      <c r="H18" s="15">
        <f>IFERROR(H8/H2,"")</f>
        <v/>
      </c>
      <c r="I18" s="15">
        <f>IFERROR(I8/I2,"")</f>
        <v/>
      </c>
      <c r="J18" s="15">
        <f>IFERROR(J8/J2,"")</f>
        <v/>
      </c>
      <c r="K18" s="15">
        <f>IFERROR(K8/K2,"")</f>
        <v/>
      </c>
      <c r="L18" s="15">
        <f>IFERROR(L8/L2,"")</f>
        <v/>
      </c>
      <c r="M18" s="15">
        <f>IFERROR(M8/M2,"")</f>
        <v/>
      </c>
      <c r="N18" s="15">
        <f>IFERROR(N8/N2,"")</f>
        <v/>
      </c>
      <c r="O18" s="15">
        <f>IFERROR(O8/O2,"")</f>
        <v/>
      </c>
      <c r="P18" s="15">
        <f>IFERROR(P8/P2,"")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  <c r="N19" s="20" t="inlineStr">
        <is>
          <t>A</t>
        </is>
      </c>
      <c r="O19" s="20" t="inlineStr">
        <is>
          <t>A</t>
        </is>
      </c>
      <c r="P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2026-10-21T01:06:11Z</dcterms:modified>
  <cp:lastModifiedBy>Wang, Eric</cp:lastModifiedBy>
</cp:coreProperties>
</file>