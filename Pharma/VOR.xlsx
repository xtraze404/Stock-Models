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Vor Biopharma Inc.</t>
        </is>
      </c>
      <c r="C2" s="10" t="n"/>
    </row>
    <row r="3">
      <c r="B3" t="inlineStr">
        <is>
          <t>Price</t>
        </is>
      </c>
      <c r="C3" s="11">
        <f>INDEX([1]Pharma!$F$1:$F$1000,MATCH("VOR",[1]Pharma!$B$1:$B$1000,0))</f>
        <v>19.03</v>
      </c>
      <c r="F3" s="1" t="n"/>
    </row>
    <row r="4">
      <c r="B4" t="inlineStr">
        <is>
          <t>Shares</t>
        </is>
      </c>
      <c r="C4" s="21" t="n">
        <v>59.162294</v>
      </c>
      <c r="F4" s="1" t="n"/>
    </row>
    <row r="5">
      <c r="B5" t="inlineStr">
        <is>
          <t>Market Cap.</t>
        </is>
      </c>
      <c r="C5" s="13">
        <f>C3*C4</f>
        <v>1125.8584548200001</v>
      </c>
      <c r="F5" s="1" t="n"/>
    </row>
    <row r="6"/>
    <row r="7">
      <c r="B7" t="inlineStr">
        <is>
          <t>Cash</t>
        </is>
      </c>
      <c r="C7" s="21">
        <f>107.855+358.274</f>
        <v>466.129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659.7294548200001</v>
      </c>
    </row>
    <row r="10"/>
    <row r="11">
      <c r="B11" s="14" t="inlineStr">
        <is>
          <t>Net Cash / Share</t>
        </is>
      </c>
      <c r="C11" s="11">
        <f>(C7-C8)/C4</f>
        <v>7.878818897725636</v>
      </c>
    </row>
    <row r="12">
      <c r="B12" s="14" t="inlineStr">
        <is>
          <t>Upside</t>
        </is>
      </c>
      <c r="C12" s="15">
        <f>IFERROR(C11/C3-1,"")</f>
        <v>-0.5859790384799981</v>
      </c>
    </row>
    <row r="13">
      <c r="B13" s="14" t="inlineStr">
        <is>
          <t>Cash / Share</t>
        </is>
      </c>
      <c r="C13" s="11">
        <f>IFERROR((C7-C8)/C4,"")</f>
        <v>7.878818897725636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-140.087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3.327425100116357</v>
      </c>
    </row>
    <row r="19">
      <c r="B19" s="14" t="inlineStr">
        <is>
          <t>Implied Pipeline Value</t>
        </is>
      </c>
      <c r="C19" s="13">
        <f>C9</f>
        <v>659.7294548200001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31.618</v>
      </c>
      <c r="C5" s="23" t="n">
        <v>47.529</v>
      </c>
      <c r="D5" s="23" t="n">
        <v>64.55</v>
      </c>
      <c r="E5" s="23" t="n">
        <v>94.315</v>
      </c>
      <c r="F5" s="23" t="n">
        <v>93.31</v>
      </c>
      <c r="G5" s="23" t="n">
        <v>321.532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11.748</v>
      </c>
      <c r="C6" s="23" t="n">
        <v>21.489</v>
      </c>
      <c r="D6" s="23" t="n">
        <v>28.868</v>
      </c>
      <c r="E6" s="23" t="n">
        <v>31.721</v>
      </c>
      <c r="F6" s="23" t="n">
        <v>27.875</v>
      </c>
      <c r="G6" s="23" t="n">
        <v>50.11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43.366</v>
      </c>
      <c r="C7" s="23">
        <f>SUM(C5:C6)</f>
        <v>69.018</v>
      </c>
      <c r="D7" s="23">
        <f>SUM(D5:D6)</f>
        <v>93.41799999999999</v>
      </c>
      <c r="E7" s="23">
        <f>SUM(E5:E6)</f>
        <v>126.036</v>
      </c>
      <c r="F7" s="23">
        <f>SUM(F5:F6)</f>
        <v>121.185</v>
      </c>
      <c r="G7" s="23">
        <f>SUM(G5:G6)</f>
        <v>371.642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-43.366</v>
      </c>
      <c r="C8" s="23">
        <f>C4-C7</f>
        <v>-69.018</v>
      </c>
      <c r="D8" s="23">
        <f>D4-D7</f>
        <v>-93.41799999999999</v>
      </c>
      <c r="E8" s="23">
        <f>E4-E7</f>
        <v>-126.036</v>
      </c>
      <c r="F8" s="23">
        <f>F4-F7</f>
        <v>-121.185</v>
      </c>
      <c r="G8" s="23">
        <f>G4-G7</f>
        <v>-371.642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0.029</v>
      </c>
      <c r="C9" s="23" t="n">
        <v>0.119</v>
      </c>
      <c r="D9" s="23" t="n">
        <v>1.324</v>
      </c>
      <c r="E9" s="23" t="n">
        <v>8.173</v>
      </c>
      <c r="F9" s="23" t="n">
        <v>4.271</v>
      </c>
      <c r="G9" s="23" t="n">
        <v>-324.339</v>
      </c>
    </row>
    <row r="10">
      <c r="A10" s="2" t="inlineStr">
        <is>
          <t>Pretax</t>
        </is>
      </c>
      <c r="B10" s="23">
        <f>B8+B9</f>
        <v>-43.336999999999996</v>
      </c>
      <c r="C10" s="23">
        <f>C8+C9</f>
        <v>-68.899</v>
      </c>
      <c r="D10" s="23">
        <f>D8+D9</f>
        <v>-92.094</v>
      </c>
      <c r="E10" s="23">
        <f>E8+E9</f>
        <v>-117.863</v>
      </c>
      <c r="F10" s="23">
        <f>F8+F9</f>
        <v>-116.914</v>
      </c>
      <c r="G10" s="23">
        <f>G8+G9</f>
        <v>-695.981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-43.337</v>
      </c>
      <c r="C12" s="23" t="n">
        <v>-68.899</v>
      </c>
      <c r="D12" s="23" t="n">
        <v>-92.09399999999999</v>
      </c>
      <c r="E12" s="23" t="n">
        <v>-117.863</v>
      </c>
      <c r="F12" s="23" t="n">
        <v>-116.914</v>
      </c>
      <c r="G12" s="23" t="n">
        <v>-695.981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-1.300201014070985</v>
      </c>
      <c r="C13" s="11">
        <f>IFERROR(C12/C14,0)</f>
        <v>-2.0608081835312415</v>
      </c>
      <c r="D13" s="11">
        <f>IFERROR(D12/D14,0)</f>
        <v>-2.328487269601274</v>
      </c>
      <c r="E13" s="11">
        <f>IFERROR(E12/E14,0)</f>
        <v>-1.7541225145850698</v>
      </c>
      <c r="F13" s="11">
        <f>IFERROR(F12/F14,0)</f>
        <v>-34.02619324796275</v>
      </c>
      <c r="G13" s="11">
        <f>IFERROR(G12/G14,0)</f>
        <v>-70.50050648298217</v>
      </c>
    </row>
    <row r="14">
      <c r="A14" s="2" t="inlineStr">
        <is>
          <t>Shares</t>
        </is>
      </c>
      <c r="B14" s="23" t="n">
        <v>33.331</v>
      </c>
      <c r="C14" s="23" t="n">
        <v>33.433</v>
      </c>
      <c r="D14" s="23" t="n">
        <v>39.551</v>
      </c>
      <c r="E14" s="23" t="n">
        <v>67.19199999999999</v>
      </c>
      <c r="F14" s="23" t="n">
        <v>3.436</v>
      </c>
      <c r="G14" s="23" t="n">
        <v>9.872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2026-10-21T01:04:48Z</dcterms:modified>
  <cp:lastModifiedBy>Wang, Eric</cp:lastModifiedBy>
</cp:coreProperties>
</file>