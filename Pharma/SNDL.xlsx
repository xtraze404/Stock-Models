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SNDL Inc</t>
        </is>
      </c>
      <c r="C2" s="10" t="n"/>
    </row>
    <row r="3">
      <c r="B3" t="inlineStr">
        <is>
          <t>Price</t>
        </is>
      </c>
      <c r="C3" s="11">
        <f>INDEX([1]Pharma!$F$1:$F$1000,MATCH("SNDL",[1]Pharma!$B$1:$B$1000,0))</f>
        <v>1.28</v>
      </c>
      <c r="F3" s="1" t="n"/>
    </row>
    <row r="4">
      <c r="B4" t="inlineStr">
        <is>
          <t>Shares</t>
        </is>
      </c>
      <c r="C4" s="51" t="n">
        <v>263.359123</v>
      </c>
      <c r="F4" s="1" t="n"/>
    </row>
    <row r="5">
      <c r="B5" t="inlineStr">
        <is>
          <t>Market Cap.</t>
        </is>
      </c>
      <c r="C5" s="13">
        <f>C3*C4</f>
        <v>337.09967744</v>
      </c>
      <c r="F5" s="1" t="n"/>
    </row>
    <row r="6"/>
    <row r="7">
      <c r="B7" t="inlineStr">
        <is>
          <t>Cash</t>
        </is>
      </c>
      <c r="C7" s="51">
        <f>(252.243+0.484)/1.4161</f>
        <v>178.466916178236</v>
      </c>
    </row>
    <row r="8">
      <c r="B8" t="inlineStr">
        <is>
          <t>Debt</t>
        </is>
      </c>
      <c r="C8" s="51" t="n"/>
    </row>
    <row r="9">
      <c r="B9" t="inlineStr">
        <is>
          <t>Enterprise V.</t>
        </is>
      </c>
      <c r="C9" s="13">
        <f>C5-C7+C8</f>
        <v>158.632761261764</v>
      </c>
    </row>
    <row r="10"/>
    <row r="11">
      <c r="B11" s="14" t="inlineStr">
        <is>
          <t>NPV / Share</t>
        </is>
      </c>
      <c r="C11" s="11">
        <f>NPV!B28</f>
        <v>3.067570180421663</v>
      </c>
    </row>
    <row r="12">
      <c r="B12" s="14" t="inlineStr">
        <is>
          <t>Upside</t>
        </is>
      </c>
      <c r="C12" s="15">
        <f>IFERROR(C11/C3-1,"")</f>
        <v>1.3965392034544242</v>
      </c>
    </row>
    <row r="13">
      <c r="B13" s="14" t="inlineStr">
        <is>
          <t>Cash / Share</t>
        </is>
      </c>
      <c r="C13" s="11">
        <f>IFERROR((C7-C8)/C4,"")</f>
        <v>0.6776560999492545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47.261</v>
      </c>
      <c r="D2" s="52" t="n">
        <v>51.777</v>
      </c>
      <c r="E2" s="52" t="n">
        <v>47.51</v>
      </c>
      <c r="F2" s="52" t="n">
        <v>515.284</v>
      </c>
      <c r="G2" s="52" t="n">
        <v>676.312</v>
      </c>
      <c r="H2" s="52" t="n">
        <v>688.807</v>
      </c>
      <c r="I2" s="52" t="n">
        <v>708.2380000000001</v>
      </c>
      <c r="J2" s="52">
        <f>I2*(1+NPV!C5)</f>
        <v>724.7399454000001</v>
      </c>
      <c r="K2" s="52">
        <f>J2*(1+NPV!D5)</f>
        <v>741.7632814508402</v>
      </c>
      <c r="L2" s="52">
        <f>K2*(1+NPV!E5)</f>
        <v>759.3265875927483</v>
      </c>
      <c r="M2" s="52">
        <f>L2*(1+NPV!F5)</f>
        <v>777.4491821499619</v>
      </c>
      <c r="N2" s="52">
        <f>M2*(1+NPV!G5)</f>
        <v>796.1511541427915</v>
      </c>
      <c r="O2" s="52">
        <f>N2*(1+NPV!H5)</f>
        <v>815.4533965687867</v>
      </c>
      <c r="P2" s="52">
        <f>O2*(1+NPV!I5)</f>
        <v>835.3776412249507</v>
      </c>
      <c r="Q2" s="52">
        <f>P2*(1+NPV!J5)</f>
        <v>855.9464951466673</v>
      </c>
      <c r="R2" s="52">
        <f>Q2*(1+NPV!K5)</f>
        <v>877.1834787429174</v>
      </c>
      <c r="S2" s="52">
        <f>R2*(1+NPV!L5)</f>
        <v>899.1130657114902</v>
      </c>
    </row>
    <row r="3" customFormat="1" s="1">
      <c r="A3" s="5" t="inlineStr">
        <is>
          <t>Cost of Sales</t>
        </is>
      </c>
      <c r="B3" s="52" t="n">
        <v>0</v>
      </c>
      <c r="C3" s="52" t="n">
        <v>39.649</v>
      </c>
      <c r="D3" s="52" t="n">
        <v>0</v>
      </c>
      <c r="E3" s="52" t="n">
        <v>0</v>
      </c>
      <c r="F3" s="52" t="n">
        <v>0</v>
      </c>
      <c r="G3" s="52" t="n">
        <v>507.444</v>
      </c>
      <c r="H3" s="52" t="n">
        <v>480.275</v>
      </c>
      <c r="I3" s="52" t="n">
        <v>485.667</v>
      </c>
      <c r="J3" s="52">
        <f>J2*(1-Assumptions!$B$19)</f>
        <v>496.95418056078006</v>
      </c>
      <c r="K3" s="52">
        <f>K2*(1-Assumptions!$B$19)</f>
        <v>508.6270820908411</v>
      </c>
      <c r="L3" s="52">
        <f>L2*(1-Assumptions!$B$19)</f>
        <v>520.6702411123475</v>
      </c>
      <c r="M3" s="52">
        <f>M2*(1-Assumptions!$B$19)</f>
        <v>533.0969042002289</v>
      </c>
      <c r="N3" s="52">
        <f>N2*(1-Assumptions!$B$19)</f>
        <v>545.9208463957121</v>
      </c>
      <c r="O3" s="52">
        <f>O2*(1-Assumptions!$B$19)</f>
        <v>559.1563940272171</v>
      </c>
      <c r="P3" s="52">
        <f>P2*(1-Assumptions!$B$19)</f>
        <v>572.8184485879486</v>
      </c>
      <c r="Q3" s="52">
        <f>Q2*(1-Assumptions!$B$19)</f>
        <v>586.9225117220698</v>
      </c>
      <c r="R3" s="52">
        <f>R2*(1-Assumptions!$B$19)</f>
        <v>601.4847113740184</v>
      </c>
      <c r="S3" s="52">
        <f>S2*(1-Assumptions!$B$19)</f>
        <v>616.5218291583689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7.612000000000002</v>
      </c>
      <c r="D4" s="52">
        <f>D2-D3</f>
        <v>51.777</v>
      </c>
      <c r="E4" s="52">
        <f>E2-E3</f>
        <v>47.51</v>
      </c>
      <c r="F4" s="52">
        <f>F2-F3</f>
        <v>515.284</v>
      </c>
      <c r="G4" s="52">
        <f>G2-G3</f>
        <v>168.868</v>
      </c>
      <c r="H4" s="52">
        <f>H2-H3</f>
        <v>208.53200000000004</v>
      </c>
      <c r="I4" s="52">
        <f>I2-I3</f>
        <v>222.57100000000008</v>
      </c>
      <c r="J4" s="52">
        <f>J2-J3</f>
        <v>227.78576483922006</v>
      </c>
      <c r="K4" s="52">
        <f>K2-K3</f>
        <v>233.13619935999907</v>
      </c>
      <c r="L4" s="52">
        <f>L2-L3</f>
        <v>238.65634648040077</v>
      </c>
      <c r="M4" s="52">
        <f>M2-M3</f>
        <v>244.35227794973298</v>
      </c>
      <c r="N4" s="52">
        <f>N2-N3</f>
        <v>250.23030774707934</v>
      </c>
      <c r="O4" s="52">
        <f>O2-O3</f>
        <v>256.29700254156967</v>
      </c>
      <c r="P4" s="52">
        <f>P2-P3</f>
        <v>262.55919263700207</v>
      </c>
      <c r="Q4" s="52">
        <f>Q2-Q3</f>
        <v>269.02398342459753</v>
      </c>
      <c r="R4" s="52">
        <f>R2-R3</f>
        <v>275.698767368899</v>
      </c>
      <c r="S4" s="52">
        <f>S2-S3</f>
        <v>282.59123655312135</v>
      </c>
    </row>
    <row r="5">
      <c r="A5" s="2" t="inlineStr">
        <is>
          <t>Research &amp; Dev.</t>
        </is>
      </c>
      <c r="B5" s="52" t="n">
        <v>0.292</v>
      </c>
      <c r="C5" s="52" t="n">
        <v>1.702</v>
      </c>
      <c r="D5" s="52" t="n">
        <v>0.345</v>
      </c>
      <c r="E5" s="52" t="n">
        <v>1.727</v>
      </c>
      <c r="F5" s="52" t="n">
        <v>1.729</v>
      </c>
      <c r="G5" s="52" t="n">
        <v>0.229</v>
      </c>
      <c r="H5" s="52" t="n">
        <v>0.244</v>
      </c>
      <c r="I5" s="52" t="n">
        <v>0.345</v>
      </c>
      <c r="J5" s="52">
        <f>J7*Assumptions!$B$20</f>
        <v>0.3299813445400741</v>
      </c>
      <c r="K5" s="52">
        <f>K7*Assumptions!$B$20</f>
        <v>0.31875051730505505</v>
      </c>
      <c r="L5" s="52">
        <f>L7*Assumptions!$B$20</f>
        <v>0.3068666538438573</v>
      </c>
      <c r="M5" s="52">
        <f>M7*Assumptions!$B$20</f>
        <v>0.29429561341104654</v>
      </c>
      <c r="N5" s="52">
        <f>N7*Assumptions!$B$20</f>
        <v>0.2810015498546982</v>
      </c>
      <c r="O5" s="52">
        <f>O7*Assumptions!$B$20</f>
        <v>0.266946823900758</v>
      </c>
      <c r="P5" s="52">
        <f>P7*Assumptions!$B$20</f>
        <v>0.25209191079245347</v>
      </c>
      <c r="Q5" s="52">
        <f>Q7*Assumptions!$B$20</f>
        <v>0.23639530302960657</v>
      </c>
      <c r="R5" s="52">
        <f>R7*Assumptions!$B$20</f>
        <v>0.21981340793818774</v>
      </c>
      <c r="S5" s="52">
        <f>S7*Assumptions!$B$20</f>
        <v>0.20230043978508525</v>
      </c>
    </row>
    <row r="6">
      <c r="A6" s="18" t="inlineStr">
        <is>
          <t>SG&amp;A &amp; Other</t>
        </is>
      </c>
      <c r="B6" s="52" t="n">
        <v>8.807</v>
      </c>
      <c r="C6" s="52" t="n">
        <v>42.893</v>
      </c>
      <c r="D6" s="52" t="n">
        <v>182.358</v>
      </c>
      <c r="E6" s="52" t="n">
        <v>140.674</v>
      </c>
      <c r="F6" s="52" t="n">
        <v>759.141</v>
      </c>
      <c r="G6" s="52" t="n">
        <v>283.865</v>
      </c>
      <c r="H6" s="52" t="n">
        <v>281.595</v>
      </c>
      <c r="I6" s="52" t="n">
        <v>226.709</v>
      </c>
      <c r="J6" s="52">
        <f>J7-J5</f>
        <v>219.657581682176</v>
      </c>
      <c r="K6" s="52">
        <f>K7-K5</f>
        <v>212.18159435273162</v>
      </c>
      <c r="L6" s="52">
        <f>L7-L5</f>
        <v>204.27090257539436</v>
      </c>
      <c r="M6" s="52">
        <f>M7-M5</f>
        <v>195.90277999395332</v>
      </c>
      <c r="N6" s="52">
        <f>N7-N5</f>
        <v>187.05336501994412</v>
      </c>
      <c r="O6" s="52">
        <f>O7-O5</f>
        <v>177.69760244327125</v>
      </c>
      <c r="P6" s="52">
        <f>P7-P5</f>
        <v>167.8091819508432</v>
      </c>
      <c r="Q6" s="52">
        <f>Q7-Q5</f>
        <v>157.36047338337477</v>
      </c>
      <c r="R6" s="52">
        <f>R7-R5</f>
        <v>146.32245855085364</v>
      </c>
      <c r="S6" s="52">
        <f>S7-S5</f>
        <v>134.6646594169384</v>
      </c>
    </row>
    <row r="7">
      <c r="A7" s="2" t="inlineStr">
        <is>
          <t>Operating Expense</t>
        </is>
      </c>
      <c r="B7" s="52">
        <f>SUM(B5:B6)</f>
        <v>9.099</v>
      </c>
      <c r="C7" s="52">
        <f>SUM(C5:C6)</f>
        <v>44.595</v>
      </c>
      <c r="D7" s="52">
        <f>SUM(D5:D6)</f>
        <v>182.703</v>
      </c>
      <c r="E7" s="52">
        <f>SUM(E5:E6)</f>
        <v>142.401</v>
      </c>
      <c r="F7" s="52">
        <f>SUM(F5:F6)</f>
        <v>760.87</v>
      </c>
      <c r="G7" s="52">
        <f>SUM(G5:G6)</f>
        <v>284.094</v>
      </c>
      <c r="H7" s="52">
        <f>SUM(H5:H6)</f>
        <v>281.83900000000006</v>
      </c>
      <c r="I7" s="52">
        <f>SUM(I5:I6)</f>
        <v>227.054</v>
      </c>
      <c r="J7" s="52">
        <f>J4-J2*NPV!C6</f>
        <v>219.98756302671606</v>
      </c>
      <c r="K7" s="52">
        <f>K4-K2*NPV!D6</f>
        <v>212.50034487003668</v>
      </c>
      <c r="L7" s="52">
        <f>L4-L2*NPV!E6</f>
        <v>204.5777692292382</v>
      </c>
      <c r="M7" s="52">
        <f>M4-M2*NPV!F6</f>
        <v>196.19707560736435</v>
      </c>
      <c r="N7" s="52">
        <f>N4-N2*NPV!G6</f>
        <v>187.33436656979882</v>
      </c>
      <c r="O7" s="52">
        <f>O4-O2*NPV!H6</f>
        <v>177.964549267172</v>
      </c>
      <c r="P7" s="52">
        <f>P4-P2*NPV!I6</f>
        <v>168.06127386163564</v>
      </c>
      <c r="Q7" s="52">
        <f>Q4-Q2*NPV!J6</f>
        <v>157.59686868640438</v>
      </c>
      <c r="R7" s="52">
        <f>R4-R2*NPV!K6</f>
        <v>146.54227195879182</v>
      </c>
      <c r="S7" s="52">
        <f>S4-S2*NPV!L6</f>
        <v>134.8669598567235</v>
      </c>
    </row>
    <row r="8">
      <c r="A8" s="2" t="inlineStr">
        <is>
          <t>Operating Income</t>
        </is>
      </c>
      <c r="B8" s="52">
        <f>B4-B7</f>
        <v>-9.099</v>
      </c>
      <c r="C8" s="52">
        <f>C4-C7</f>
        <v>-36.983</v>
      </c>
      <c r="D8" s="52">
        <f>D4-D7</f>
        <v>-130.926</v>
      </c>
      <c r="E8" s="52">
        <f>E4-E7</f>
        <v>-94.89100000000002</v>
      </c>
      <c r="F8" s="52">
        <f>F4-F7</f>
        <v>-245.586</v>
      </c>
      <c r="G8" s="52">
        <f>G4-G7</f>
        <v>-115.226</v>
      </c>
      <c r="H8" s="52">
        <f>H4-H7</f>
        <v>-73.30700000000002</v>
      </c>
      <c r="I8" s="52">
        <f>I4-I7</f>
        <v>-4.482999999999919</v>
      </c>
      <c r="J8" s="52">
        <f>J4-J7</f>
        <v>7.798201812504004</v>
      </c>
      <c r="K8" s="52">
        <f>K4-K7</f>
        <v>20.635854489962384</v>
      </c>
      <c r="L8" s="52">
        <f>L4-L7</f>
        <v>34.07857725116256</v>
      </c>
      <c r="M8" s="52">
        <f>M4-M7</f>
        <v>48.155202342368625</v>
      </c>
      <c r="N8" s="52">
        <f>N4-N7</f>
        <v>62.89594117728052</v>
      </c>
      <c r="O8" s="52">
        <f>O4-O7</f>
        <v>78.33245327439766</v>
      </c>
      <c r="P8" s="52">
        <f>P4-P7</f>
        <v>94.49791877536643</v>
      </c>
      <c r="Q8" s="52">
        <f>Q4-Q7</f>
        <v>111.42711473819315</v>
      </c>
      <c r="R8" s="52">
        <f>R4-R7</f>
        <v>129.15649541010717</v>
      </c>
      <c r="S8" s="52">
        <f>S4-S7</f>
        <v>147.72427669639785</v>
      </c>
    </row>
    <row r="9">
      <c r="A9" s="18" t="inlineStr">
        <is>
          <t>Interest &amp; Other</t>
        </is>
      </c>
      <c r="B9" s="52" t="n">
        <v>-0.078</v>
      </c>
      <c r="C9" s="52" t="n">
        <v>-154.716</v>
      </c>
      <c r="D9" s="52" t="n">
        <v>-33.784</v>
      </c>
      <c r="E9" s="52" t="n">
        <v>-65.39700000000001</v>
      </c>
      <c r="F9" s="52" t="n">
        <v>8.94</v>
      </c>
      <c r="G9" s="52" t="n">
        <v>-6.701</v>
      </c>
      <c r="H9" s="52" t="n">
        <v>6.366</v>
      </c>
      <c r="I9" s="52" t="n">
        <v>-6.656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-9.177</v>
      </c>
      <c r="C10" s="52">
        <f>C8+C9</f>
        <v>-191.699</v>
      </c>
      <c r="D10" s="52">
        <f>D8+D9</f>
        <v>-164.70999999999998</v>
      </c>
      <c r="E10" s="52">
        <f>E8+E9</f>
        <v>-160.288</v>
      </c>
      <c r="F10" s="52">
        <f>F8+F9</f>
        <v>-236.64600000000002</v>
      </c>
      <c r="G10" s="52">
        <f>G8+G9</f>
        <v>-121.92699999999999</v>
      </c>
      <c r="H10" s="52">
        <f>H8+H9</f>
        <v>-66.94100000000002</v>
      </c>
      <c r="I10" s="52">
        <f>I8+I9</f>
        <v>-11.138999999999918</v>
      </c>
      <c r="J10" s="52">
        <f>J8+J9</f>
        <v>7.798201812504004</v>
      </c>
      <c r="K10" s="52">
        <f>K8+K9</f>
        <v>20.635854489962384</v>
      </c>
      <c r="L10" s="52">
        <f>L8+L9</f>
        <v>34.07857725116256</v>
      </c>
      <c r="M10" s="52">
        <f>M8+M9</f>
        <v>48.155202342368625</v>
      </c>
      <c r="N10" s="52">
        <f>N8+N9</f>
        <v>62.89594117728052</v>
      </c>
      <c r="O10" s="52">
        <f>O8+O9</f>
        <v>78.33245327439766</v>
      </c>
      <c r="P10" s="52">
        <f>P8+P9</f>
        <v>94.49791877536643</v>
      </c>
      <c r="Q10" s="52">
        <f>Q8+Q9</f>
        <v>111.42711473819315</v>
      </c>
      <c r="R10" s="52">
        <f>R8+R9</f>
        <v>129.15649541010717</v>
      </c>
      <c r="S10" s="52">
        <f>S8+S9</f>
        <v>147.72427669639785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>
        <f>MAX(0,J10)*Assumptions!$E$14</f>
        <v>1.325694308125681</v>
      </c>
      <c r="K11" s="52">
        <f>MAX(0,K10)*Assumptions!$E$14</f>
        <v>3.5080952632936055</v>
      </c>
      <c r="L11" s="52">
        <f>MAX(0,L10)*Assumptions!$E$14</f>
        <v>5.793358132697635</v>
      </c>
      <c r="M11" s="52">
        <f>MAX(0,M10)*Assumptions!$E$14</f>
        <v>8.186384398202668</v>
      </c>
      <c r="N11" s="52">
        <f>MAX(0,N10)*Assumptions!$E$14</f>
        <v>10.69231000013769</v>
      </c>
      <c r="O11" s="52">
        <f>MAX(0,O10)*Assumptions!$E$14</f>
        <v>13.316517056647603</v>
      </c>
      <c r="P11" s="52">
        <f>MAX(0,P10)*Assumptions!$E$14</f>
        <v>16.064646191812294</v>
      </c>
      <c r="Q11" s="52">
        <f>MAX(0,Q10)*Assumptions!$E$14</f>
        <v>18.942609505492836</v>
      </c>
      <c r="R11" s="52">
        <f>MAX(0,R10)*Assumptions!$E$14</f>
        <v>21.95660421971822</v>
      </c>
      <c r="S11" s="52">
        <f>MAX(0,S10)*Assumptions!$E$14</f>
        <v>25.113127038387635</v>
      </c>
    </row>
    <row r="12">
      <c r="A12" s="2" t="inlineStr">
        <is>
          <t>Net Income</t>
        </is>
      </c>
      <c r="B12" s="52" t="n">
        <v>-9.177</v>
      </c>
      <c r="C12" s="52" t="n">
        <v>-191.698</v>
      </c>
      <c r="D12" s="52" t="n">
        <v>-164.71</v>
      </c>
      <c r="E12" s="52" t="n">
        <v>-160.288</v>
      </c>
      <c r="F12" s="52" t="n">
        <v>-236.646</v>
      </c>
      <c r="G12" s="52" t="n">
        <v>-121.926</v>
      </c>
      <c r="H12" s="52" t="n">
        <v>-66.94199999999999</v>
      </c>
      <c r="I12" s="52" t="n">
        <v>-11.139</v>
      </c>
      <c r="J12" s="52">
        <f>J10-J11</f>
        <v>6.472507504378323</v>
      </c>
      <c r="K12" s="52">
        <f>K10-K11</f>
        <v>17.12775922666878</v>
      </c>
      <c r="L12" s="52">
        <f>L10-L11</f>
        <v>28.285219118464923</v>
      </c>
      <c r="M12" s="52">
        <f>M10-M11</f>
        <v>39.968817944165956</v>
      </c>
      <c r="N12" s="52">
        <f>N10-N11</f>
        <v>52.20363117714283</v>
      </c>
      <c r="O12" s="52">
        <f>O10-O11</f>
        <v>65.01593621775007</v>
      </c>
      <c r="P12" s="52">
        <f>P10-P11</f>
        <v>78.43327258355413</v>
      </c>
      <c r="Q12" s="52">
        <f>Q10-Q11</f>
        <v>92.48450523270031</v>
      </c>
      <c r="R12" s="52">
        <f>R10-R11</f>
        <v>107.19989119038895</v>
      </c>
      <c r="S12" s="52">
        <f>S10-S11</f>
        <v>122.61114965801022</v>
      </c>
    </row>
    <row r="13">
      <c r="A13" s="2" t="inlineStr">
        <is>
          <t>Earnings per Share</t>
        </is>
      </c>
      <c r="B13" s="11">
        <f>IFERROR(B12/B14,0)</f>
        <v>-0.07579724628942869</v>
      </c>
      <c r="C13" s="11">
        <f>IFERROR(C12/C14,0)</f>
        <v>-1.051033499643621</v>
      </c>
      <c r="D13" s="11">
        <f>IFERROR(D12/D14,0)</f>
        <v>-0.8854091072801261</v>
      </c>
      <c r="E13" s="11">
        <f>IFERROR(E12/E14,0)</f>
        <v>-0.8615874176243563</v>
      </c>
      <c r="F13" s="11">
        <f>IFERROR(F12/F14,0)</f>
        <v>-1.0294730522771467</v>
      </c>
      <c r="G13" s="11">
        <f>IFERROR(G12/G14,0)</f>
        <v>-0.47008339405716143</v>
      </c>
      <c r="H13" s="11">
        <f>IFERROR(H12/H14,0)</f>
        <v>-0.2533800663144029</v>
      </c>
      <c r="I13" s="11">
        <f>IFERROR(I12/I14,0)</f>
        <v>-0.04316538398939757</v>
      </c>
      <c r="J13" s="11">
        <f>IFERROR(J12/J14,0)</f>
        <v>0.02457673548821137</v>
      </c>
      <c r="K13" s="11">
        <f>IFERROR(K12/K14,0)</f>
        <v>0.06503575434016302</v>
      </c>
      <c r="L13" s="11">
        <f>IFERROR(L12/L14,0)</f>
        <v>0.10740170606683301</v>
      </c>
      <c r="M13" s="11">
        <f>IFERROR(M12/M14,0)</f>
        <v>0.15176545808958344</v>
      </c>
      <c r="N13" s="11">
        <f>IFERROR(N12/N14,0)</f>
        <v>0.19822222440018844</v>
      </c>
      <c r="O13" s="11">
        <f>IFERROR(O12/O14,0)</f>
        <v>0.2468717828231455</v>
      </c>
      <c r="P13" s="11">
        <f>IFERROR(P12/P14,0)</f>
        <v>0.2978187035637802</v>
      </c>
      <c r="Q13" s="11">
        <f>IFERROR(Q12/Q14,0)</f>
        <v>0.3511725896531798</v>
      </c>
      <c r="R13" s="11">
        <f>IFERROR(R12/R14,0)</f>
        <v>0.407048329935352</v>
      </c>
      <c r="S13" s="11">
        <f>IFERROR(S12/S14,0)</f>
        <v>0.465566365278374</v>
      </c>
    </row>
    <row r="14">
      <c r="A14" s="2" t="inlineStr">
        <is>
          <t>Shares</t>
        </is>
      </c>
      <c r="B14" s="52" t="n">
        <v>121.073</v>
      </c>
      <c r="C14" s="52" t="n">
        <v>182.39</v>
      </c>
      <c r="D14" s="52" t="n">
        <v>186.027</v>
      </c>
      <c r="E14" s="52" t="n">
        <v>186.038</v>
      </c>
      <c r="F14" s="52" t="n">
        <v>229.871</v>
      </c>
      <c r="G14" s="52" t="n">
        <v>259.371</v>
      </c>
      <c r="H14" s="52" t="n">
        <v>264.196</v>
      </c>
      <c r="I14" s="52" t="n">
        <v>258.054</v>
      </c>
      <c r="J14" s="52">
        <f>Main!$C$4</f>
        <v>263.359123</v>
      </c>
      <c r="K14" s="52">
        <f>Main!$C$4</f>
        <v>263.359123</v>
      </c>
      <c r="L14" s="52">
        <f>Main!$C$4</f>
        <v>263.359123</v>
      </c>
      <c r="M14" s="52">
        <f>Main!$C$4</f>
        <v>263.359123</v>
      </c>
      <c r="N14" s="52">
        <f>Main!$C$4</f>
        <v>263.359123</v>
      </c>
      <c r="O14" s="52">
        <f>Main!$C$4</f>
        <v>263.359123</v>
      </c>
      <c r="P14" s="52">
        <f>Main!$C$4</f>
        <v>263.359123</v>
      </c>
      <c r="Q14" s="52">
        <f>Main!$C$4</f>
        <v>263.359123</v>
      </c>
      <c r="R14" s="52">
        <f>Main!$C$4</f>
        <v>263.359123</v>
      </c>
      <c r="S14" s="52">
        <f>Main!$C$4</f>
        <v>263.359123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0.09555447409068774</v>
      </c>
      <c r="E16" s="15">
        <f>IFERROR(E2/D2-1,"")</f>
        <v>-0.0824111091797517</v>
      </c>
      <c r="F16" s="15">
        <f>IFERROR(F2/E2-1,"")</f>
        <v>9.845800884024417</v>
      </c>
      <c r="G16" s="15">
        <f>IFERROR(G2/F2-1,"")</f>
        <v>0.3125033961854047</v>
      </c>
      <c r="H16" s="15">
        <f>IFERROR(H2/G2-1,"")</f>
        <v>0.018475200794899393</v>
      </c>
      <c r="I16" s="15">
        <f>IFERROR(I2/H2-1,"")</f>
        <v>0.028209643630218606</v>
      </c>
      <c r="J16" s="15">
        <f>IFERROR(J2/I2-1,"")</f>
        <v>0.0233000000000001</v>
      </c>
      <c r="K16" s="15">
        <f>IFERROR(K2/J2-1,"")</f>
        <v>0.023488888888888892</v>
      </c>
      <c r="L16" s="15">
        <f>IFERROR(L2/K2-1,"")</f>
        <v>0.023677777777777687</v>
      </c>
      <c r="M16" s="15">
        <f>IFERROR(M2/L2-1,"")</f>
        <v>0.023866666666666703</v>
      </c>
      <c r="N16" s="15">
        <f>IFERROR(N2/M2-1,"")</f>
        <v>0.024055555555555497</v>
      </c>
      <c r="O16" s="15">
        <f>IFERROR(O2/N2-1,"")</f>
        <v>0.024244444444444513</v>
      </c>
      <c r="P16" s="15">
        <f>IFERROR(P2/O2-1,"")</f>
        <v>0.024433333333333307</v>
      </c>
      <c r="Q16" s="15">
        <f>IFERROR(Q2/P2-1,"")</f>
        <v>0.024622222222222323</v>
      </c>
      <c r="R16" s="15">
        <f>IFERROR(R2/Q2-1,"")</f>
        <v>0.024811111111111117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0.1610630329447113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0.24968949242361513</v>
      </c>
      <c r="H17" s="15">
        <f>IFERROR(H4/H2,"")</f>
        <v>0.3027437293755726</v>
      </c>
      <c r="I17" s="15">
        <f>IFERROR(I4/I2,"")</f>
        <v>0.3142601780757317</v>
      </c>
      <c r="J17" s="15">
        <f>IFERROR(J4/J2,"")</f>
        <v>0.3143</v>
      </c>
      <c r="K17" s="15">
        <f>IFERROR(K4/K2,"")</f>
        <v>0.3143</v>
      </c>
      <c r="L17" s="15">
        <f>IFERROR(L4/L2,"")</f>
        <v>0.31429999999999997</v>
      </c>
      <c r="M17" s="15">
        <f>IFERROR(M4/M2,"")</f>
        <v>0.31429999999999997</v>
      </c>
      <c r="N17" s="15">
        <f>IFERROR(N4/N2,"")</f>
        <v>0.31429999999999997</v>
      </c>
      <c r="O17" s="15">
        <f>IFERROR(O4/O2,"")</f>
        <v>0.3143</v>
      </c>
      <c r="P17" s="15">
        <f>IFERROR(P4/P2,"")</f>
        <v>0.3143000000000001</v>
      </c>
      <c r="Q17" s="15">
        <f>IFERROR(Q4/Q2,"")</f>
        <v>0.3143</v>
      </c>
      <c r="R17" s="15">
        <f>IFERROR(R4/R2,"")</f>
        <v>0.3143000000000001</v>
      </c>
      <c r="S17" s="15">
        <f>IFERROR(S4/S2,"")</f>
        <v>0.31429999999999997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-0.7825268191532129</v>
      </c>
      <c r="D18" s="15">
        <f>IFERROR(D8/D2,"")</f>
        <v>-2.5286517179442605</v>
      </c>
      <c r="E18" s="15">
        <f>IFERROR(E8/E2,"")</f>
        <v>-1.9972847821511266</v>
      </c>
      <c r="F18" s="15">
        <f>IFERROR(F8/F2,"")</f>
        <v>-0.47660319357868675</v>
      </c>
      <c r="G18" s="15">
        <f>IFERROR(G8/G2,"")</f>
        <v>-0.17037402855486816</v>
      </c>
      <c r="H18" s="15">
        <f>IFERROR(H8/H2,"")</f>
        <v>-0.10642603806291169</v>
      </c>
      <c r="I18" s="15">
        <f>IFERROR(I8/I2,"")</f>
        <v>-0.006329793092152523</v>
      </c>
      <c r="J18" s="15">
        <f>IFERROR(J8/J2,"")</f>
        <v>0.010760000000000004</v>
      </c>
      <c r="K18" s="15">
        <f>IFERROR(K8/K2,"")</f>
        <v>0.027820000000000015</v>
      </c>
      <c r="L18" s="15">
        <f>IFERROR(L8/L2,"")</f>
        <v>0.04488000000000002</v>
      </c>
      <c r="M18" s="15">
        <f>IFERROR(M8/M2,"")</f>
        <v>0.06193999999999998</v>
      </c>
      <c r="N18" s="15">
        <f>IFERROR(N8/N2,"")</f>
        <v>0.07899999999999999</v>
      </c>
      <c r="O18" s="15">
        <f>IFERROR(O8/O2,"")</f>
        <v>0.09606000000000002</v>
      </c>
      <c r="P18" s="15">
        <f>IFERROR(P8/P2,"")</f>
        <v>0.11312000000000001</v>
      </c>
      <c r="Q18" s="15">
        <f>IFERROR(Q8/Q2,"")</f>
        <v>0.13018000000000002</v>
      </c>
      <c r="R18" s="15">
        <f>IFERROR(R8/R2,"")</f>
        <v>0.14724</v>
      </c>
      <c r="S18" s="15">
        <f>IFERROR(S8/S2,"")</f>
        <v>0.1643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SNDL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-0.0267</v>
      </c>
      <c r="C12" s="53" t="n">
        <v>0.0233</v>
      </c>
      <c r="D12" s="53" t="n">
        <v>0.0733</v>
      </c>
      <c r="E12" s="54">
        <f>CHOOSE($B$4,B12,C12,D12)</f>
        <v>0.0233</v>
      </c>
    </row>
    <row r="13">
      <c r="A13" s="14" t="inlineStr">
        <is>
          <t>Operating margin, year 10</t>
        </is>
      </c>
      <c r="B13" s="53" t="n">
        <v>0.1143</v>
      </c>
      <c r="C13" s="53" t="n">
        <v>0.1643</v>
      </c>
      <c r="D13" s="53" t="n">
        <v>0.2143</v>
      </c>
      <c r="E13" s="54">
        <f>CHOOSE($B$4,B13,C13,D13)</f>
        <v>0.1643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-0.0063</v>
      </c>
    </row>
    <row r="19">
      <c r="A19" s="14" t="inlineStr">
        <is>
          <t>Gross margin (forecast)</t>
        </is>
      </c>
      <c r="B19" s="53" t="n">
        <v>0.3143</v>
      </c>
    </row>
    <row r="20">
      <c r="A20" s="14" t="inlineStr">
        <is>
          <t>R&amp;D share of operating expense (forecast)</t>
        </is>
      </c>
      <c r="B20" s="53" t="n">
        <v>0.0015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(CAD)</t>
        </is>
      </c>
      <c r="B24" s="32" t="n">
        <v>1.4161</v>
      </c>
    </row>
    <row r="25">
      <c r="A25" s="14" t="inlineStr">
        <is>
          <t>Base revenue, FY2025</t>
        </is>
      </c>
      <c r="B25" s="55">
        <f>'Yearly Model'!I2</f>
        <v>708.238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629.4056762785649</v>
      </c>
      <c r="C29" s="56">
        <f>NPV!B26</f>
        <v>807.8725924568009</v>
      </c>
      <c r="D29" s="35">
        <f>NPV!B28</f>
        <v>3.067570180421663</v>
      </c>
      <c r="E29" s="57">
        <f>NPV!B30</f>
        <v>1.3965392034544242</v>
      </c>
    </row>
    <row r="30">
      <c r="A30" s="58" t="n">
        <v>1</v>
      </c>
      <c r="B30" s="59">
        <f t="dataTable" ref="B30:E32" r1="B4"/>
        <v>311.4020088709908</v>
      </c>
      <c r="C30" s="59">
        <v>489.86892504922685</v>
      </c>
      <c r="D30" s="39">
        <v>1.8600795729762012</v>
      </c>
      <c r="E30" s="60">
        <v>0.4531871663876572</v>
      </c>
    </row>
    <row r="31">
      <c r="A31" s="58" t="n">
        <v>2</v>
      </c>
      <c r="B31" s="59">
        <v>629.4056762785649</v>
      </c>
      <c r="C31" s="59">
        <v>807.8725924568009</v>
      </c>
      <c r="D31" s="39">
        <v>3.067570180421663</v>
      </c>
      <c r="E31" s="60">
        <v>1.3965392034544242</v>
      </c>
    </row>
    <row r="32">
      <c r="A32" s="58" t="n">
        <v>3</v>
      </c>
      <c r="B32" s="59">
        <v>1236.0062324599683</v>
      </c>
      <c r="C32" s="59">
        <v>1414.4731486382043</v>
      </c>
      <c r="D32" s="39">
        <v>5.370891019553571</v>
      </c>
      <c r="E32" s="60">
        <v>3.1960086090262267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3.067570180421663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3.565835562807679</v>
      </c>
      <c r="C37" s="39">
        <v>3.714010971554141</v>
      </c>
      <c r="D37" s="39">
        <v>3.8808740781103315</v>
      </c>
      <c r="E37" s="39">
        <v>4.070165238767111</v>
      </c>
      <c r="F37" s="39">
        <v>4.286693530300182</v>
      </c>
    </row>
    <row r="38">
      <c r="A38" s="62" t="n">
        <v>0.115</v>
      </c>
      <c r="B38" s="39">
        <v>3.1874488581634015</v>
      </c>
      <c r="C38" s="39">
        <v>3.3003137257406685</v>
      </c>
      <c r="D38" s="39">
        <v>3.4258588896443056</v>
      </c>
      <c r="E38" s="39">
        <v>3.566324377420731</v>
      </c>
      <c r="F38" s="39">
        <v>3.7245102623629895</v>
      </c>
    </row>
    <row r="39">
      <c r="A39" s="62" t="n">
        <v>0.125</v>
      </c>
      <c r="B39" s="39">
        <v>2.88303328893654</v>
      </c>
      <c r="C39" s="39">
        <v>2.970851066090205</v>
      </c>
      <c r="D39" s="39">
        <v>3.067570180421663</v>
      </c>
      <c r="E39" s="39">
        <v>3.17459806008315</v>
      </c>
      <c r="F39" s="39">
        <v>3.2936549275146034</v>
      </c>
    </row>
    <row r="40">
      <c r="A40" s="62" t="n">
        <v>0.135</v>
      </c>
      <c r="B40" s="39">
        <v>2.6337021577509305</v>
      </c>
      <c r="C40" s="39">
        <v>2.703234846939116</v>
      </c>
      <c r="D40" s="39">
        <v>2.779192223651887</v>
      </c>
      <c r="E40" s="39">
        <v>2.862493760512957</v>
      </c>
      <c r="F40" s="39">
        <v>2.9542428521637603</v>
      </c>
    </row>
    <row r="41">
      <c r="A41" s="62" t="n">
        <v>0.145</v>
      </c>
      <c r="B41" s="39">
        <v>2.4264160444210643</v>
      </c>
      <c r="C41" s="39">
        <v>2.4822789366706517</v>
      </c>
      <c r="D41" s="39">
        <v>2.5428876560990665</v>
      </c>
      <c r="E41" s="39">
        <v>2.6088626487929427</v>
      </c>
      <c r="F41" s="39">
        <v>2.680937192738819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SNDL Inc: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0.0233</v>
      </c>
      <c r="D5" s="63">
        <f>Assumptions!$E$12+(Assumptions!$E$11-Assumptions!$E$12)*(D4-1)/(Assumptions!$B$21-1)</f>
        <v>0.02348888888888889</v>
      </c>
      <c r="E5" s="63">
        <f>Assumptions!$E$12+(Assumptions!$E$11-Assumptions!$E$12)*(E4-1)/(Assumptions!$B$21-1)</f>
        <v>0.02367777777777778</v>
      </c>
      <c r="F5" s="63">
        <f>Assumptions!$E$12+(Assumptions!$E$11-Assumptions!$E$12)*(F4-1)/(Assumptions!$B$21-1)</f>
        <v>0.023866666666666668</v>
      </c>
      <c r="G5" s="63">
        <f>Assumptions!$E$12+(Assumptions!$E$11-Assumptions!$E$12)*(G4-1)/(Assumptions!$B$21-1)</f>
        <v>0.024055555555555556</v>
      </c>
      <c r="H5" s="63">
        <f>Assumptions!$E$12+(Assumptions!$E$11-Assumptions!$E$12)*(H4-1)/(Assumptions!$B$21-1)</f>
        <v>0.024244444444444447</v>
      </c>
      <c r="I5" s="63">
        <f>Assumptions!$E$12+(Assumptions!$E$11-Assumptions!$E$12)*(I4-1)/(Assumptions!$B$21-1)</f>
        <v>0.024433333333333335</v>
      </c>
      <c r="J5" s="63">
        <f>Assumptions!$E$12+(Assumptions!$E$11-Assumptions!$E$12)*(J4-1)/(Assumptions!$B$21-1)</f>
        <v>0.024622222222222222</v>
      </c>
      <c r="K5" s="63">
        <f>Assumptions!$E$12+(Assumptions!$E$11-Assumptions!$E$12)*(K4-1)/(Assumptions!$B$21-1)</f>
        <v>0.024811111111111114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-0.006329793092152523</v>
      </c>
      <c r="C6" s="63">
        <f>Assumptions!$B$18+(Assumptions!$E$13-Assumptions!$B$18)*C4/Assumptions!$B$21</f>
        <v>0.010759999999999999</v>
      </c>
      <c r="D6" s="63">
        <f>Assumptions!$B$18+(Assumptions!$E$13-Assumptions!$B$18)*D4/Assumptions!$B$21</f>
        <v>0.027819999999999998</v>
      </c>
      <c r="E6" s="63">
        <f>Assumptions!$B$18+(Assumptions!$E$13-Assumptions!$B$18)*E4/Assumptions!$B$21</f>
        <v>0.04488</v>
      </c>
      <c r="F6" s="63">
        <f>Assumptions!$B$18+(Assumptions!$E$13-Assumptions!$B$18)*F4/Assumptions!$B$21</f>
        <v>0.061939999999999995</v>
      </c>
      <c r="G6" s="63">
        <f>Assumptions!$B$18+(Assumptions!$E$13-Assumptions!$B$18)*G4/Assumptions!$B$21</f>
        <v>0.079</v>
      </c>
      <c r="H6" s="63">
        <f>Assumptions!$B$18+(Assumptions!$E$13-Assumptions!$B$18)*H4/Assumptions!$B$21</f>
        <v>0.09606</v>
      </c>
      <c r="I6" s="63">
        <f>Assumptions!$B$18+(Assumptions!$E$13-Assumptions!$B$18)*I4/Assumptions!$B$21</f>
        <v>0.11312</v>
      </c>
      <c r="J6" s="63">
        <f>Assumptions!$B$18+(Assumptions!$E$13-Assumptions!$B$18)*J4/Assumptions!$B$21</f>
        <v>0.13018</v>
      </c>
      <c r="K6" s="63">
        <f>Assumptions!$B$18+(Assumptions!$E$13-Assumptions!$B$18)*K4/Assumptions!$B$21</f>
        <v>0.14724</v>
      </c>
      <c r="L6" s="63">
        <f>Assumptions!$B$18+(Assumptions!$E$13-Assumptions!$B$18)*L4/Assumptions!$B$21</f>
        <v>0.1643</v>
      </c>
    </row>
    <row r="7">
      <c r="A7" s="14" t="inlineStr">
        <is>
          <t>Revenue</t>
        </is>
      </c>
      <c r="B7" s="55">
        <f>'Yearly Model'!I2</f>
        <v>708.238</v>
      </c>
      <c r="C7" s="55">
        <f>'Yearly Model'!J2</f>
        <v>724.7399454000001</v>
      </c>
      <c r="D7" s="55">
        <f>'Yearly Model'!K2</f>
        <v>741.7632814508402</v>
      </c>
      <c r="E7" s="55">
        <f>'Yearly Model'!L2</f>
        <v>759.3265875927483</v>
      </c>
      <c r="F7" s="55">
        <f>'Yearly Model'!M2</f>
        <v>777.4491821499619</v>
      </c>
      <c r="G7" s="55">
        <f>'Yearly Model'!N2</f>
        <v>796.1511541427915</v>
      </c>
      <c r="H7" s="55">
        <f>'Yearly Model'!O2</f>
        <v>815.4533965687867</v>
      </c>
      <c r="I7" s="55">
        <f>'Yearly Model'!P2</f>
        <v>835.3776412249507</v>
      </c>
      <c r="J7" s="55">
        <f>'Yearly Model'!Q2</f>
        <v>855.9464951466673</v>
      </c>
      <c r="K7" s="55">
        <f>'Yearly Model'!R2</f>
        <v>877.1834787429174</v>
      </c>
      <c r="L7" s="55">
        <f>'Yearly Model'!S2</f>
        <v>899.1130657114902</v>
      </c>
    </row>
    <row r="8">
      <c r="A8" s="14" t="inlineStr">
        <is>
          <t>Operating income</t>
        </is>
      </c>
      <c r="B8" s="55">
        <f>'Yearly Model'!I8</f>
        <v>-4.482999999999919</v>
      </c>
      <c r="C8" s="55">
        <f>'Yearly Model'!J8</f>
        <v>7.798201812504004</v>
      </c>
      <c r="D8" s="55">
        <f>'Yearly Model'!K8</f>
        <v>20.635854489962384</v>
      </c>
      <c r="E8" s="55">
        <f>'Yearly Model'!L8</f>
        <v>34.07857725116256</v>
      </c>
      <c r="F8" s="55">
        <f>'Yearly Model'!M8</f>
        <v>48.155202342368625</v>
      </c>
      <c r="G8" s="55">
        <f>'Yearly Model'!N8</f>
        <v>62.89594117728052</v>
      </c>
      <c r="H8" s="55">
        <f>'Yearly Model'!O8</f>
        <v>78.33245327439766</v>
      </c>
      <c r="I8" s="55">
        <f>'Yearly Model'!P8</f>
        <v>94.49791877536643</v>
      </c>
      <c r="J8" s="55">
        <f>'Yearly Model'!Q8</f>
        <v>111.42711473819315</v>
      </c>
      <c r="K8" s="55">
        <f>'Yearly Model'!R8</f>
        <v>129.15649541010717</v>
      </c>
      <c r="L8" s="55">
        <f>'Yearly Model'!S8</f>
        <v>147.72427669639785</v>
      </c>
    </row>
    <row r="9">
      <c r="A9" s="14" t="inlineStr">
        <is>
          <t>Tax on operating income</t>
        </is>
      </c>
      <c r="C9" s="52">
        <f>MAX(0,C8)*Assumptions!$E$14</f>
        <v>1.325694308125681</v>
      </c>
      <c r="D9" s="52">
        <f>MAX(0,D8)*Assumptions!$E$14</f>
        <v>3.5080952632936055</v>
      </c>
      <c r="E9" s="52">
        <f>MAX(0,E8)*Assumptions!$E$14</f>
        <v>5.793358132697635</v>
      </c>
      <c r="F9" s="52">
        <f>MAX(0,F8)*Assumptions!$E$14</f>
        <v>8.186384398202668</v>
      </c>
      <c r="G9" s="52">
        <f>MAX(0,G8)*Assumptions!$E$14</f>
        <v>10.69231000013769</v>
      </c>
      <c r="H9" s="52">
        <f>MAX(0,H8)*Assumptions!$E$14</f>
        <v>13.316517056647603</v>
      </c>
      <c r="I9" s="52">
        <f>MAX(0,I8)*Assumptions!$E$14</f>
        <v>16.064646191812294</v>
      </c>
      <c r="J9" s="52">
        <f>MAX(0,J8)*Assumptions!$E$14</f>
        <v>18.942609505492836</v>
      </c>
      <c r="K9" s="52">
        <f>MAX(0,K8)*Assumptions!$E$14</f>
        <v>21.95660421971822</v>
      </c>
      <c r="L9" s="52">
        <f>MAX(0,L8)*Assumptions!$E$14</f>
        <v>25.113127038387635</v>
      </c>
    </row>
    <row r="10">
      <c r="A10" s="14" t="inlineStr">
        <is>
          <t>NOPAT</t>
        </is>
      </c>
      <c r="C10" s="52">
        <f>C8-C9</f>
        <v>6.472507504378323</v>
      </c>
      <c r="D10" s="52">
        <f>D8-D9</f>
        <v>17.12775922666878</v>
      </c>
      <c r="E10" s="52">
        <f>E8-E9</f>
        <v>28.285219118464923</v>
      </c>
      <c r="F10" s="52">
        <f>F8-F9</f>
        <v>39.968817944165956</v>
      </c>
      <c r="G10" s="52">
        <f>G8-G9</f>
        <v>52.20363117714283</v>
      </c>
      <c r="H10" s="52">
        <f>H8-H9</f>
        <v>65.01593621775007</v>
      </c>
      <c r="I10" s="52">
        <f>I8-I9</f>
        <v>78.43327258355413</v>
      </c>
      <c r="J10" s="52">
        <f>J8-J9</f>
        <v>92.48450523270031</v>
      </c>
      <c r="K10" s="52">
        <f>K8-K9</f>
        <v>107.19989119038895</v>
      </c>
      <c r="L10" s="52">
        <f>L8-L9</f>
        <v>122.61114965801022</v>
      </c>
    </row>
    <row r="11">
      <c r="A11" s="14" t="inlineStr">
        <is>
          <t>Reinvestment</t>
        </is>
      </c>
      <c r="C11" s="52">
        <f>(C7-B7)*Assumptions!$E$15</f>
        <v>4.125486350000017</v>
      </c>
      <c r="D11" s="52">
        <f>(D7-C7)*Assumptions!$E$15</f>
        <v>4.255834012710011</v>
      </c>
      <c r="E11" s="52">
        <f>(E7-D7)*Assumptions!$E$15</f>
        <v>4.390826535477032</v>
      </c>
      <c r="F11" s="52">
        <f>(F7-E7)*Assumptions!$E$15</f>
        <v>4.530648639303394</v>
      </c>
      <c r="G11" s="52">
        <f>(G7-F7)*Assumptions!$E$15</f>
        <v>4.675492998207403</v>
      </c>
      <c r="H11" s="52">
        <f>(H7-G7)*Assumptions!$E$15</f>
        <v>4.8255606064988115</v>
      </c>
      <c r="I11" s="52">
        <f>(I7-H7)*Assumptions!$E$15</f>
        <v>4.9810611640409945</v>
      </c>
      <c r="J11" s="52">
        <f>(J7-I7)*Assumptions!$E$15</f>
        <v>5.142213480429149</v>
      </c>
      <c r="K11" s="52">
        <f>(K7-J7)*Assumptions!$E$15</f>
        <v>5.3092458990625175</v>
      </c>
      <c r="L11" s="52">
        <f>(L7-K7)*Assumptions!$E$15</f>
        <v>5.482396742143209</v>
      </c>
    </row>
    <row r="12">
      <c r="A12" s="20" t="inlineStr">
        <is>
          <t>Free cash flow</t>
        </is>
      </c>
      <c r="C12" s="64">
        <f>C10-C11</f>
        <v>2.3470211543783064</v>
      </c>
      <c r="D12" s="64">
        <f>D10-D11</f>
        <v>12.871925213958768</v>
      </c>
      <c r="E12" s="64">
        <f>E10-E11</f>
        <v>23.89439258298789</v>
      </c>
      <c r="F12" s="64">
        <f>F10-F11</f>
        <v>35.43816930486256</v>
      </c>
      <c r="G12" s="64">
        <f>G10-G11</f>
        <v>47.52813817893543</v>
      </c>
      <c r="H12" s="64">
        <f>H10-H11</f>
        <v>60.190375611251255</v>
      </c>
      <c r="I12" s="64">
        <f>I10-I11</f>
        <v>73.45221141951313</v>
      </c>
      <c r="J12" s="64">
        <f>J10-J11</f>
        <v>87.34229175227117</v>
      </c>
      <c r="K12" s="64">
        <f>K10-K11</f>
        <v>101.89064529132644</v>
      </c>
      <c r="L12" s="64">
        <f>L10-L11</f>
        <v>117.12875291586701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2.212792765132239</v>
      </c>
      <c r="D16" s="64">
        <f>D12*D13*D15</f>
        <v>10.787348866034188</v>
      </c>
      <c r="E16" s="64">
        <f>E12*E13*E15</f>
        <v>17.79978221855003</v>
      </c>
      <c r="F16" s="64">
        <f>F12*F13*F15</f>
        <v>23.46591266957897</v>
      </c>
      <c r="G16" s="64">
        <f>G12*G13*G15</f>
        <v>27.974636431259793</v>
      </c>
      <c r="H16" s="64">
        <f>H12*H13*H15</f>
        <v>31.491125307173846</v>
      </c>
      <c r="I16" s="64">
        <f>I12*I13*I15</f>
        <v>34.159655303482445</v>
      </c>
      <c r="J16" s="64">
        <f>J12*J13*J15</f>
        <v>36.1061069898561</v>
      </c>
      <c r="K16" s="64">
        <f>K12*K13*K15</f>
        <v>37.44017516318693</v>
      </c>
      <c r="L16" s="64">
        <f>L12*L13*L15</f>
        <v>38.25732110060774</v>
      </c>
    </row>
    <row r="19">
      <c r="A19" s="14" t="inlineStr">
        <is>
          <t>PV of forecast free cash flow</t>
        </is>
      </c>
      <c r="B19" s="52">
        <f>SUM(C16:L16)</f>
        <v>259.6948568148623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120.05697173876365</v>
      </c>
    </row>
    <row r="21">
      <c r="A21" s="14" t="inlineStr">
        <is>
          <t>Terminal value</t>
        </is>
      </c>
      <c r="B21" s="52">
        <f>B20/(Assumptions!$E$10-Assumptions!$E$11)</f>
        <v>1200.5697173876365</v>
      </c>
    </row>
    <row r="22">
      <c r="A22" s="14" t="inlineStr">
        <is>
          <t>PV of terminal value</t>
        </is>
      </c>
      <c r="B22" s="52">
        <f>B21/(1+Assumptions!$E$10)^(L14+0.5)</f>
        <v>369.7108194637026</v>
      </c>
    </row>
    <row r="23">
      <c r="A23" s="20" t="inlineStr">
        <is>
          <t>Enterprise value</t>
        </is>
      </c>
      <c r="B23" s="66">
        <f>B19+B22</f>
        <v>629.4056762785649</v>
      </c>
    </row>
    <row r="24">
      <c r="A24" s="14" t="inlineStr">
        <is>
          <t>Cash &amp; investments</t>
        </is>
      </c>
      <c r="B24" s="55">
        <f>Main!C7</f>
        <v>178.466916178236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807.8725924568009</v>
      </c>
    </row>
    <row r="27">
      <c r="A27" s="14" t="inlineStr">
        <is>
          <t>Shares (mm)</t>
        </is>
      </c>
      <c r="B27" s="55">
        <f>Main!C4</f>
        <v>263.359123</v>
      </c>
    </row>
    <row r="28">
      <c r="A28" s="20" t="inlineStr">
        <is>
          <t>NPV / share</t>
        </is>
      </c>
      <c r="B28" s="49">
        <f>B26/B27</f>
        <v>3.067570180421663</v>
      </c>
    </row>
    <row r="29">
      <c r="A29" s="14" t="inlineStr">
        <is>
          <t>Price</t>
        </is>
      </c>
      <c r="B29" s="50">
        <f>Main!C3</f>
        <v>1.28</v>
      </c>
    </row>
    <row r="30">
      <c r="A30" s="14" t="inlineStr">
        <is>
          <t>Upside</t>
        </is>
      </c>
      <c r="B30" s="63">
        <f>B28/B29-1</f>
        <v>1.3965392034544242</v>
      </c>
    </row>
    <row r="31">
      <c r="A31" s="14" t="inlineStr">
        <is>
          <t>Terminal value, % of EV</t>
        </is>
      </c>
      <c r="B31" s="63">
        <f>IFERROR(B22/B23,0)</f>
        <v>0.5873967035849776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2026-10-21T01:05:21Z</dcterms:modified>
  <cp:lastModifiedBy>Wang, Eric</cp:lastModifiedBy>
</cp:coreProperties>
</file>