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NuCana PLC</t>
        </is>
      </c>
      <c r="C2" s="10" t="n"/>
    </row>
    <row r="3">
      <c r="B3" t="inlineStr">
        <is>
          <t>Price</t>
        </is>
      </c>
      <c r="C3" s="11">
        <f>INDEX([1]Pharma!$F$1:$F$1000,MATCH("NCNA",[1]Pharma!$B$1:$B$1000,0))</f>
        <v>1.0056</v>
      </c>
      <c r="F3" s="1" t="n"/>
    </row>
    <row r="4">
      <c r="B4" t="inlineStr">
        <is>
          <t>Shares</t>
        </is>
      </c>
      <c r="C4" s="21">
        <f>20809.854947/5000</f>
        <v>4.1619709894</v>
      </c>
      <c r="F4" s="1" t="n"/>
    </row>
    <row r="5">
      <c r="B5" t="inlineStr">
        <is>
          <t>Market Cap.</t>
        </is>
      </c>
      <c r="C5" s="13">
        <f>C3*C4</f>
        <v>4.18527802694064</v>
      </c>
      <c r="F5" s="1" t="n"/>
    </row>
    <row r="6"/>
    <row r="7">
      <c r="B7" t="inlineStr">
        <is>
          <t>Cash</t>
        </is>
      </c>
      <c r="C7" s="21">
        <f>(24.251)/0.74989</f>
        <v>32.339409780101086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-28.154131753160446</v>
      </c>
    </row>
    <row r="10"/>
    <row r="11">
      <c r="B11" s="14" t="inlineStr">
        <is>
          <t>rNPV / Share</t>
        </is>
      </c>
      <c r="C11" s="11">
        <f>NPV!B27</f>
        <v>11.935244826240773</v>
      </c>
    </row>
    <row r="12">
      <c r="B12" s="14" t="inlineStr">
        <is>
          <t>Upside</t>
        </is>
      </c>
      <c r="C12" s="15">
        <f>IFERROR(C11/C3-1,"")</f>
        <v>10.868779660143966</v>
      </c>
    </row>
    <row r="13">
      <c r="B13" s="14" t="inlineStr">
        <is>
          <t>Cash / Share</t>
        </is>
      </c>
      <c r="C13" s="11">
        <f>IFERROR((C7-C8)/C4,"")</f>
        <v>7.770215088587922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-9.957000000000001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3.247906978015575</v>
      </c>
    </row>
    <row r="19">
      <c r="B19" s="14" t="inlineStr">
        <is>
          <t>Implied Pipeline Value</t>
        </is>
      </c>
      <c r="C19" s="13">
        <f>C9</f>
        <v>-28.154131753160446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7.541</v>
      </c>
      <c r="C5" s="23" t="n">
        <v>10.54</v>
      </c>
      <c r="D5" s="23" t="n">
        <v>23.567</v>
      </c>
      <c r="E5" s="23" t="n">
        <v>22.465</v>
      </c>
      <c r="F5" s="23" t="n">
        <v>26.308</v>
      </c>
      <c r="G5" s="23" t="n">
        <v>34.537</v>
      </c>
      <c r="H5" s="23" t="n">
        <v>49.119</v>
      </c>
      <c r="I5" s="23" t="n">
        <v>48.575</v>
      </c>
      <c r="J5" s="23" t="n">
        <v>33.421</v>
      </c>
      <c r="K5" s="23" t="n">
        <v>24.026</v>
      </c>
      <c r="L5" s="23" t="n">
        <v>16.985</v>
      </c>
    </row>
    <row r="6">
      <c r="A6" s="19" t="inlineStr">
        <is>
          <t>SG&amp;A &amp; Other</t>
        </is>
      </c>
      <c r="B6" s="23" t="n">
        <v>1.679</v>
      </c>
      <c r="C6" s="23" t="n">
        <v>0.725</v>
      </c>
      <c r="D6" s="23" t="n">
        <v>10.696</v>
      </c>
      <c r="E6" s="23" t="n">
        <v>3.043</v>
      </c>
      <c r="F6" s="23" t="n">
        <v>9.297000000000001</v>
      </c>
      <c r="G6" s="23" t="n">
        <v>14.031</v>
      </c>
      <c r="H6" s="23" t="n">
        <v>14.763</v>
      </c>
      <c r="I6" s="23" t="n">
        <v>3.595</v>
      </c>
      <c r="J6" s="23" t="n">
        <v>10.298</v>
      </c>
      <c r="K6" s="23" t="n">
        <v>6.39</v>
      </c>
      <c r="L6" s="23" t="n">
        <v>9.832000000000001</v>
      </c>
    </row>
    <row r="7">
      <c r="A7" s="2" t="inlineStr">
        <is>
          <t>Operating Expense</t>
        </is>
      </c>
      <c r="B7" s="23">
        <f>SUM(B5:B6)</f>
        <v>9.22</v>
      </c>
      <c r="C7" s="23">
        <f>SUM(C5:C6)</f>
        <v>11.264999999999999</v>
      </c>
      <c r="D7" s="23">
        <f>SUM(D5:D6)</f>
        <v>34.263</v>
      </c>
      <c r="E7" s="23">
        <f>SUM(E5:E6)</f>
        <v>25.508</v>
      </c>
      <c r="F7" s="23">
        <f>SUM(F5:F6)</f>
        <v>35.605000000000004</v>
      </c>
      <c r="G7" s="23">
        <f>SUM(G5:G6)</f>
        <v>48.568</v>
      </c>
      <c r="H7" s="23">
        <f>SUM(H5:H6)</f>
        <v>63.882</v>
      </c>
      <c r="I7" s="23">
        <f>SUM(I5:I6)</f>
        <v>52.17</v>
      </c>
      <c r="J7" s="23">
        <f>SUM(J5:J6)</f>
        <v>43.719</v>
      </c>
      <c r="K7" s="23">
        <f>SUM(K5:K6)</f>
        <v>30.416</v>
      </c>
      <c r="L7" s="23">
        <f>SUM(L5:L6)</f>
        <v>26.817</v>
      </c>
    </row>
    <row r="8">
      <c r="A8" s="2" t="inlineStr">
        <is>
          <t>Operating Income</t>
        </is>
      </c>
      <c r="B8" s="23">
        <f>B4-B7</f>
        <v>-9.22</v>
      </c>
      <c r="C8" s="23">
        <f>C4-C7</f>
        <v>-11.264999999999999</v>
      </c>
      <c r="D8" s="23">
        <f>D4-D7</f>
        <v>-34.263</v>
      </c>
      <c r="E8" s="23">
        <f>E4-E7</f>
        <v>-25.508</v>
      </c>
      <c r="F8" s="23">
        <f>F4-F7</f>
        <v>-35.605000000000004</v>
      </c>
      <c r="G8" s="23">
        <f>G4-G7</f>
        <v>-48.568</v>
      </c>
      <c r="H8" s="23">
        <f>H4-H7</f>
        <v>-63.882</v>
      </c>
      <c r="I8" s="23">
        <f>I4-I7</f>
        <v>-52.17</v>
      </c>
      <c r="J8" s="23">
        <f>J4-J7</f>
        <v>-43.719</v>
      </c>
      <c r="K8" s="23">
        <f>K4-K7</f>
        <v>-30.416</v>
      </c>
      <c r="L8" s="23">
        <f>L4-L7</f>
        <v>-26.817</v>
      </c>
    </row>
    <row r="9">
      <c r="A9" s="19" t="inlineStr">
        <is>
          <t>Interest &amp; Other</t>
        </is>
      </c>
      <c r="B9" s="23" t="n">
        <v>0.541</v>
      </c>
      <c r="C9" s="23" t="n">
        <v>0.377</v>
      </c>
      <c r="D9" s="23" t="n">
        <v>0.277</v>
      </c>
      <c r="E9" s="23" t="n">
        <v>1.42</v>
      </c>
      <c r="F9" s="23" t="n">
        <v>1.399</v>
      </c>
      <c r="G9" s="23" t="n">
        <v>0.328</v>
      </c>
      <c r="H9" s="23" t="n">
        <v>0.137</v>
      </c>
      <c r="I9" s="23" t="n">
        <v>0.892</v>
      </c>
      <c r="J9" s="23" t="n">
        <v>1.005</v>
      </c>
      <c r="K9" s="23" t="n">
        <v>0.477</v>
      </c>
      <c r="L9" s="23" t="n">
        <v>-13.883</v>
      </c>
    </row>
    <row r="10">
      <c r="A10" s="2" t="inlineStr">
        <is>
          <t>Pretax</t>
        </is>
      </c>
      <c r="B10" s="23">
        <f>B8+B9</f>
        <v>-8.679</v>
      </c>
      <c r="C10" s="23">
        <f>C8+C9</f>
        <v>-10.887999999999998</v>
      </c>
      <c r="D10" s="23">
        <f>D8+D9</f>
        <v>-33.986</v>
      </c>
      <c r="E10" s="23">
        <f>E8+E9</f>
        <v>-24.088</v>
      </c>
      <c r="F10" s="23">
        <f>F8+F9</f>
        <v>-34.206</v>
      </c>
      <c r="G10" s="23">
        <f>G8+G9</f>
        <v>-48.239999999999995</v>
      </c>
      <c r="H10" s="23">
        <f>H8+H9</f>
        <v>-63.745</v>
      </c>
      <c r="I10" s="23">
        <f>I8+I9</f>
        <v>-51.278</v>
      </c>
      <c r="J10" s="23">
        <f>J8+J9</f>
        <v>-42.714</v>
      </c>
      <c r="K10" s="23">
        <f>K8+K9</f>
        <v>-29.939</v>
      </c>
      <c r="L10" s="23">
        <f>L8+L9</f>
        <v>-40.7</v>
      </c>
    </row>
    <row r="11">
      <c r="A11" s="2" t="inlineStr">
        <is>
          <t>Taxes</t>
        </is>
      </c>
      <c r="B11" s="23" t="n">
        <v>-1.568</v>
      </c>
      <c r="C11" s="23" t="n">
        <v>-2.822</v>
      </c>
      <c r="D11" s="23" t="n">
        <v>-3.202</v>
      </c>
      <c r="E11" s="23" t="n">
        <v>-5.631</v>
      </c>
      <c r="F11" s="23" t="n">
        <v>-5.653</v>
      </c>
      <c r="G11" s="23" t="n">
        <v>-7.325</v>
      </c>
      <c r="H11" s="23" t="n">
        <v>-9.693</v>
      </c>
      <c r="I11" s="23" t="n">
        <v>-8.577</v>
      </c>
      <c r="J11" s="23" t="n">
        <v>-5.865</v>
      </c>
      <c r="K11" s="23" t="n">
        <v>-4.606</v>
      </c>
      <c r="L11" s="23" t="n">
        <v>-1.558</v>
      </c>
    </row>
    <row r="12">
      <c r="A12" s="2" t="inlineStr">
        <is>
          <t>Net Income</t>
        </is>
      </c>
      <c r="B12" s="23" t="n">
        <v>-7.11</v>
      </c>
      <c r="C12" s="23" t="n">
        <v>-8.067</v>
      </c>
      <c r="D12" s="23" t="n">
        <v>-30.785</v>
      </c>
      <c r="E12" s="23" t="n">
        <v>-18.456</v>
      </c>
      <c r="F12" s="23" t="n">
        <v>-28.554</v>
      </c>
      <c r="G12" s="23" t="n">
        <v>-40.915</v>
      </c>
      <c r="H12" s="23" t="n">
        <v>-54.052</v>
      </c>
      <c r="I12" s="23" t="n">
        <v>-42.701</v>
      </c>
      <c r="J12" s="23" t="n">
        <v>-36.848</v>
      </c>
      <c r="K12" s="23" t="n">
        <v>-25.333</v>
      </c>
      <c r="L12" s="23" t="n">
        <v>-39.143</v>
      </c>
    </row>
    <row r="13">
      <c r="A13" s="2" t="inlineStr">
        <is>
          <t>Earnings per Share</t>
        </is>
      </c>
      <c r="B13" s="11">
        <f>IFERROR(B12/B14,0)</f>
        <v>-0.001953698714378316</v>
      </c>
      <c r="C13" s="11">
        <f>IFERROR(C12/C14,0)</f>
        <v>-0.0022161132061062202</v>
      </c>
      <c r="D13" s="11">
        <f>IFERROR(D12/D14,0)</f>
        <v>-0.007820559752404406</v>
      </c>
      <c r="E13" s="11">
        <f>IFERROR(E12/E14,0)</f>
        <v>-0.003822881445105527</v>
      </c>
      <c r="F13" s="11">
        <f>IFERROR(F12/F14,0)</f>
        <v>-0.005849578920046535</v>
      </c>
      <c r="G13" s="11">
        <f>IFERROR(G12/G14,0)</f>
        <v>-0.007152744440648917</v>
      </c>
      <c r="H13" s="11">
        <f>IFERROR(H12/H14,0)</f>
        <v>-0.006878427872267294</v>
      </c>
      <c r="I13" s="11">
        <f>IFERROR(I12/I14,0)</f>
        <v>-0.005413766238541183</v>
      </c>
      <c r="J13" s="11">
        <f>IFERROR(J12/J14,0)</f>
        <v>-0.00464166948939998</v>
      </c>
      <c r="K13" s="11">
        <f>IFERROR(K12/K14,0)</f>
        <v>-0.0022613013966725046</v>
      </c>
      <c r="L13" s="11">
        <f>IFERROR(L12/L14,0)</f>
        <v>-0.003485102639713948</v>
      </c>
    </row>
    <row r="14">
      <c r="A14" s="2" t="inlineStr">
        <is>
          <t>Shares</t>
        </is>
      </c>
      <c r="B14" s="23" t="n">
        <v>3639.251</v>
      </c>
      <c r="C14" s="23" t="n">
        <v>3640.157</v>
      </c>
      <c r="D14" s="23" t="n">
        <v>3936.419</v>
      </c>
      <c r="E14" s="23" t="n">
        <v>4827.772</v>
      </c>
      <c r="F14" s="23" t="n">
        <v>4881.377</v>
      </c>
      <c r="G14" s="23" t="n">
        <v>5720.182</v>
      </c>
      <c r="H14" s="23" t="n">
        <v>7858.191</v>
      </c>
      <c r="I14" s="23" t="n">
        <v>7887.485</v>
      </c>
      <c r="J14" s="23" t="n">
        <v>7938.523</v>
      </c>
      <c r="K14" s="23" t="n">
        <v>11202.841</v>
      </c>
      <c r="L14" s="23" t="n">
        <v>11231.52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NuCana PLC: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26.817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332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17.33473293809946</v>
      </c>
      <c r="C29" s="42">
        <f>NPV!B25</f>
        <v>49.67414271820054</v>
      </c>
      <c r="D29" s="43">
        <f>NPV!B27</f>
        <v>11.935244826240773</v>
      </c>
      <c r="E29" s="44">
        <f>NPV!B29</f>
        <v>10.868779660143966</v>
      </c>
    </row>
    <row r="30">
      <c r="A30" s="45" t="n">
        <v>1</v>
      </c>
      <c r="B30" s="46">
        <f t="dataTable" ref="B30:E32" r1="B4"/>
        <v>-44.161476451891176</v>
      </c>
      <c r="C30" s="46">
        <v>-11.82206667179009</v>
      </c>
      <c r="D30" s="47">
        <v>-2.8404971351072263</v>
      </c>
      <c r="E30" s="48">
        <v>-3.8246789330819673</v>
      </c>
    </row>
    <row r="31">
      <c r="A31" s="45" t="n">
        <v>2</v>
      </c>
      <c r="B31" s="46">
        <v>17.33473293809946</v>
      </c>
      <c r="C31" s="46">
        <v>49.67414271820054</v>
      </c>
      <c r="D31" s="47">
        <v>11.935244826240773</v>
      </c>
      <c r="E31" s="48">
        <v>10.868779660143966</v>
      </c>
    </row>
    <row r="32">
      <c r="A32" s="45" t="n">
        <v>3</v>
      </c>
      <c r="B32" s="46">
        <v>110.90927948822771</v>
      </c>
      <c r="C32" s="46">
        <v>143.2486892683288</v>
      </c>
      <c r="D32" s="47">
        <v>34.4184737551426</v>
      </c>
      <c r="E32" s="48">
        <v>33.22680365467641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11.935244826240773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-5.614224562611747</v>
      </c>
      <c r="C37" s="47">
        <v>-1.74552526831324</v>
      </c>
      <c r="D37" s="47">
        <v>2.1231740259852767</v>
      </c>
      <c r="E37" s="47">
        <v>9.860572614582301</v>
      </c>
      <c r="F37" s="47">
        <v>16.6896977500261</v>
      </c>
    </row>
    <row r="38">
      <c r="A38" s="50" t="n">
        <v>0.8</v>
      </c>
      <c r="B38" s="47">
        <v>-3.17181789884534</v>
      </c>
      <c r="C38" s="47">
        <v>1.9864478268860122</v>
      </c>
      <c r="D38" s="47">
        <v>7.144713552617359</v>
      </c>
      <c r="E38" s="47">
        <v>16.567503639007192</v>
      </c>
      <c r="F38" s="47">
        <v>25.33830638044465</v>
      </c>
    </row>
    <row r="39">
      <c r="A39" s="50" t="n">
        <v>1</v>
      </c>
      <c r="B39" s="47">
        <v>-0.7294112350789248</v>
      </c>
      <c r="C39" s="47">
        <v>5.718420922085259</v>
      </c>
      <c r="D39" s="47">
        <v>11.935244826240773</v>
      </c>
      <c r="E39" s="47">
        <v>23.045100712441172</v>
      </c>
      <c r="F39" s="47">
        <v>33.79685208395374</v>
      </c>
    </row>
    <row r="40">
      <c r="A40" s="50" t="n">
        <v>1.2</v>
      </c>
      <c r="B40" s="47">
        <v>1.7129954286874824</v>
      </c>
      <c r="C40" s="47">
        <v>9.450394017284506</v>
      </c>
      <c r="D40" s="47">
        <v>16.323115416969387</v>
      </c>
      <c r="E40" s="47">
        <v>29.40844303091227</v>
      </c>
      <c r="F40" s="47">
        <v>42.156978251038254</v>
      </c>
    </row>
    <row r="41">
      <c r="A41" s="50" t="n">
        <v>1.4</v>
      </c>
      <c r="B41" s="47">
        <v>4.155402092453891</v>
      </c>
      <c r="C41" s="47">
        <v>12.824556793440507</v>
      </c>
      <c r="D41" s="47">
        <v>20.619130003777375</v>
      </c>
      <c r="E41" s="47">
        <v>35.687250693647044</v>
      </c>
      <c r="F41" s="47">
        <v>50.4441203690092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NuCana PLC: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NUC-7738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107.34276153055107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11.309999999999999</v>
      </c>
      <c r="T4" s="23">
        <f>IF(T$3&lt;$I4,0,$G4*Assumptions!$E$11*INDEX(Assumptions!$B$24:$G$24,MIN(6,T$3-$I4+1))*IF(T$3&gt;$J4,(1-Assumptions!$B$26)^(T$3-$J4),1)*IF($H4&gt;=1,1,MIN(0.97,$H4*Assumptions!$E$12)))</f>
        <v>28.275</v>
      </c>
      <c r="U4" s="23">
        <f>IF(U$3&lt;$I4,0,$G4*Assumptions!$E$11*INDEX(Assumptions!$B$24:$G$24,MIN(6,U$3-$I4+1))*IF(U$3&gt;$J4,(1-Assumptions!$B$26)^(U$3-$J4),1)*IF($H4&gt;=1,1,MIN(0.97,$H4*Assumptions!$E$12)))</f>
        <v>50.894999999999996</v>
      </c>
      <c r="V4" s="23">
        <f>IF(V$3&lt;$I4,0,$G4*Assumptions!$E$11*INDEX(Assumptions!$B$24:$G$24,MIN(6,V$3-$I4+1))*IF(V$3&gt;$J4,(1-Assumptions!$B$26)^(V$3-$J4),1)*IF($H4&gt;=1,1,MIN(0.97,$H4*Assumptions!$E$12)))</f>
        <v>73.515</v>
      </c>
      <c r="W4" s="23">
        <f>IF(W$3&lt;$I4,0,$G4*Assumptions!$E$11*INDEX(Assumptions!$B$24:$G$24,MIN(6,W$3-$I4+1))*IF(W$3&gt;$J4,(1-Assumptions!$B$26)^(W$3-$J4),1)*IF($H4&gt;=1,1,MIN(0.97,$H4*Assumptions!$E$12)))</f>
        <v>96.13499999999999</v>
      </c>
      <c r="X4" s="23">
        <f>IF(X$3&lt;$I4,0,$G4*Assumptions!$E$11*INDEX(Assumptions!$B$24:$G$24,MIN(6,X$3-$I4+1))*IF(X$3&gt;$J4,(1-Assumptions!$B$26)^(X$3-$J4),1)*IF($H4&gt;=1,1,MIN(0.97,$H4*Assumptions!$E$12)))</f>
        <v>113.1</v>
      </c>
      <c r="Y4" s="23">
        <f>IF(Y$3&lt;$I4,0,$G4*Assumptions!$E$11*INDEX(Assumptions!$B$24:$G$24,MIN(6,Y$3-$I4+1))*IF(Y$3&gt;$J4,(1-Assumptions!$B$26)^(Y$3-$J4),1)*IF($H4&gt;=1,1,MIN(0.97,$H4*Assumptions!$E$12)))</f>
        <v>113.1</v>
      </c>
      <c r="Z4" s="23">
        <f>IF(Z$3&lt;$I4,0,$G4*Assumptions!$E$11*INDEX(Assumptions!$B$24:$G$24,MIN(6,Z$3-$I4+1))*IF(Z$3&gt;$J4,(1-Assumptions!$B$26)^(Z$3-$J4),1)*IF($H4&gt;=1,1,MIN(0.97,$H4*Assumptions!$E$12)))</f>
        <v>113.1</v>
      </c>
      <c r="AA4" s="23">
        <f>IF(AA$3&lt;$I4,0,$G4*Assumptions!$E$11*INDEX(Assumptions!$B$24:$G$24,MIN(6,AA$3-$I4+1))*IF(AA$3&gt;$J4,(1-Assumptions!$B$26)^(AA$3-$J4),1)*IF($H4&gt;=1,1,MIN(0.97,$H4*Assumptions!$E$12)))</f>
        <v>113.1</v>
      </c>
      <c r="AB4" s="23">
        <f>IF(AB$3&lt;$I4,0,$G4*Assumptions!$E$11*INDEX(Assumptions!$B$24:$G$24,MIN(6,AB$3-$I4+1))*IF(AB$3&gt;$J4,(1-Assumptions!$B$26)^(AB$3-$J4),1)*IF($H4&gt;=1,1,MIN(0.97,$H4*Assumptions!$E$12)))</f>
        <v>113.1</v>
      </c>
      <c r="AC4" s="23">
        <f>IF(AC$3&lt;$I4,0,$G4*Assumptions!$E$11*INDEX(Assumptions!$B$24:$G$24,MIN(6,AC$3-$I4+1))*IF(AC$3&gt;$J4,(1-Assumptions!$B$26)^(AC$3-$J4),1)*IF($H4&gt;=1,1,MIN(0.97,$H4*Assumptions!$E$12)))</f>
        <v>113.1</v>
      </c>
      <c r="AD4" s="23">
        <f>IF(AD$3&lt;$I4,0,$G4*Assumptions!$E$11*INDEX(Assumptions!$B$24:$G$24,MIN(6,AD$3-$I4+1))*IF(AD$3&gt;$J4,(1-Assumptions!$B$26)^(AD$3-$J4),1)*IF($H4&gt;=1,1,MIN(0.97,$H4*Assumptions!$E$12)))</f>
        <v>113.1</v>
      </c>
      <c r="AE4" s="23">
        <f>IF(AE$3&lt;$I4,0,$G4*Assumptions!$E$11*INDEX(Assumptions!$B$24:$G$24,MIN(6,AE$3-$I4+1))*IF(AE$3&gt;$J4,(1-Assumptions!$B$26)^(AE$3-$J4),1)*IF($H4&gt;=1,1,MIN(0.97,$H4*Assumptions!$E$12)))</f>
        <v>113.1</v>
      </c>
      <c r="AF4" s="23">
        <f>IF(AF$3&lt;$I4,0,$G4*Assumptions!$E$11*INDEX(Assumptions!$B$24:$G$24,MIN(6,AF$3-$I4+1))*IF(AF$3&gt;$J4,(1-Assumptions!$B$26)^(AF$3-$J4),1)*IF($H4&gt;=1,1,MIN(0.97,$H4*Assumptions!$E$12)))</f>
        <v>56.55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107.34276153055107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11.309999999999999</v>
      </c>
      <c r="T5" s="54">
        <f>SUM(T4:T4)</f>
        <v>28.275</v>
      </c>
      <c r="U5" s="54">
        <f>SUM(U4:U4)</f>
        <v>50.894999999999996</v>
      </c>
      <c r="V5" s="54">
        <f>SUM(V4:V4)</f>
        <v>73.515</v>
      </c>
      <c r="W5" s="54">
        <f>SUM(W4:W4)</f>
        <v>96.13499999999999</v>
      </c>
      <c r="X5" s="54">
        <f>SUM(X4:X4)</f>
        <v>113.1</v>
      </c>
      <c r="Y5" s="54">
        <f>SUM(Y4:Y4)</f>
        <v>113.1</v>
      </c>
      <c r="Z5" s="54">
        <f>SUM(Z4:Z4)</f>
        <v>113.1</v>
      </c>
      <c r="AA5" s="54">
        <f>SUM(AA4:AA4)</f>
        <v>113.1</v>
      </c>
      <c r="AB5" s="54">
        <f>SUM(AB4:AB4)</f>
        <v>113.1</v>
      </c>
      <c r="AC5" s="54">
        <f>SUM(AC4:AC4)</f>
        <v>113.1</v>
      </c>
      <c r="AD5" s="54">
        <f>SUM(AD4:AD4)</f>
        <v>113.1</v>
      </c>
      <c r="AE5" s="54">
        <f>SUM(AE4:AE4)</f>
        <v>113.1</v>
      </c>
      <c r="AF5" s="54">
        <f>SUM(AF4:AF4)</f>
        <v>56.55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4.524</v>
      </c>
      <c r="T6" s="55">
        <f>SUMPRODUCT(T4:T4,$K$4:$K$4)</f>
        <v>11.31</v>
      </c>
      <c r="U6" s="55">
        <f>SUMPRODUCT(U4:U4,$K$4:$K$4)</f>
        <v>20.358</v>
      </c>
      <c r="V6" s="55">
        <f>SUMPRODUCT(V4:V4,$K$4:$K$4)</f>
        <v>29.406000000000002</v>
      </c>
      <c r="W6" s="55">
        <f>SUMPRODUCT(W4:W4,$K$4:$K$4)</f>
        <v>38.454</v>
      </c>
      <c r="X6" s="55">
        <f>SUMPRODUCT(X4:X4,$K$4:$K$4)</f>
        <v>45.24</v>
      </c>
      <c r="Y6" s="55">
        <f>SUMPRODUCT(Y4:Y4,$K$4:$K$4)</f>
        <v>45.24</v>
      </c>
      <c r="Z6" s="55">
        <f>SUMPRODUCT(Z4:Z4,$K$4:$K$4)</f>
        <v>45.24</v>
      </c>
      <c r="AA6" s="55">
        <f>SUMPRODUCT(AA4:AA4,$K$4:$K$4)</f>
        <v>45.24</v>
      </c>
      <c r="AB6" s="55">
        <f>SUMPRODUCT(AB4:AB4,$K$4:$K$4)</f>
        <v>45.24</v>
      </c>
      <c r="AC6" s="55">
        <f>SUMPRODUCT(AC4:AC4,$K$4:$K$4)</f>
        <v>45.24</v>
      </c>
      <c r="AD6" s="55">
        <f>SUMPRODUCT(AD4:AD4,$K$4:$K$4)</f>
        <v>45.24</v>
      </c>
      <c r="AE6" s="55">
        <f>SUMPRODUCT(AE4:AE4,$K$4:$K$4)</f>
        <v>45.24</v>
      </c>
      <c r="AF6" s="55">
        <f>SUMPRODUCT(AF4:AF4,$K$4:$K$4)</f>
        <v>22.62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NuCana PLC: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11.309999999999999</v>
      </c>
      <c r="J4" s="57">
        <f>Pipeline!T5</f>
        <v>28.275</v>
      </c>
      <c r="K4" s="57">
        <f>Pipeline!U5</f>
        <v>50.894999999999996</v>
      </c>
      <c r="L4" s="57">
        <f>Pipeline!V5</f>
        <v>73.515</v>
      </c>
      <c r="M4" s="57">
        <f>Pipeline!W5</f>
        <v>96.13499999999999</v>
      </c>
      <c r="N4" s="57">
        <f>Pipeline!X5</f>
        <v>113.1</v>
      </c>
      <c r="O4" s="57">
        <f>Pipeline!Y5</f>
        <v>113.1</v>
      </c>
      <c r="P4" s="57">
        <f>Pipeline!Z5</f>
        <v>113.1</v>
      </c>
      <c r="Q4" s="57">
        <f>Pipeline!AA5</f>
        <v>113.1</v>
      </c>
      <c r="R4" s="57">
        <f>Pipeline!AB5</f>
        <v>113.1</v>
      </c>
      <c r="S4" s="57">
        <f>Pipeline!AC5</f>
        <v>113.1</v>
      </c>
      <c r="T4" s="57">
        <f>Pipeline!AD5</f>
        <v>113.1</v>
      </c>
      <c r="U4" s="57">
        <f>Pipeline!AE5</f>
        <v>113.1</v>
      </c>
      <c r="V4" s="57">
        <f>Pipeline!AF5</f>
        <v>56.55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4.524</v>
      </c>
      <c r="J5" s="57">
        <f>Pipeline!T6</f>
        <v>11.31</v>
      </c>
      <c r="K5" s="57">
        <f>Pipeline!U6</f>
        <v>20.358</v>
      </c>
      <c r="L5" s="57">
        <f>Pipeline!V6</f>
        <v>29.406000000000002</v>
      </c>
      <c r="M5" s="57">
        <f>Pipeline!W6</f>
        <v>38.454</v>
      </c>
      <c r="N5" s="57">
        <f>Pipeline!X6</f>
        <v>45.24</v>
      </c>
      <c r="O5" s="57">
        <f>Pipeline!Y6</f>
        <v>45.24</v>
      </c>
      <c r="P5" s="57">
        <f>Pipeline!Z6</f>
        <v>45.24</v>
      </c>
      <c r="Q5" s="57">
        <f>Pipeline!AA6</f>
        <v>45.24</v>
      </c>
      <c r="R5" s="57">
        <f>Pipeline!AB6</f>
        <v>45.24</v>
      </c>
      <c r="S5" s="57">
        <f>Pipeline!AC6</f>
        <v>45.24</v>
      </c>
      <c r="T5" s="57">
        <f>Pipeline!AD6</f>
        <v>45.24</v>
      </c>
      <c r="U5" s="57">
        <f>Pipeline!AE6</f>
        <v>45.24</v>
      </c>
      <c r="V5" s="57">
        <f>Pipeline!AF6</f>
        <v>22.62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-26.817</v>
      </c>
      <c r="D6" s="23">
        <f>-IF(D3-2026&lt;Assumptions!$B$19,Assumptions!$B$18,Assumptions!$B$18*Assumptions!$B$20*Assumptions!$B$16)</f>
        <v>-26.817</v>
      </c>
      <c r="E6" s="23">
        <f>-IF(E3-2026&lt;Assumptions!$B$19,Assumptions!$B$18,Assumptions!$B$18*Assumptions!$B$20*Assumptions!$B$16)</f>
        <v>-26.817</v>
      </c>
      <c r="F6" s="23">
        <f>-IF(F3-2026&lt;Assumptions!$B$19,Assumptions!$B$18,Assumptions!$B$18*Assumptions!$B$20*Assumptions!$B$16)</f>
        <v>-26.817</v>
      </c>
      <c r="G6" s="23">
        <f>-IF(G3-2026&lt;Assumptions!$B$19,Assumptions!$B$18,Assumptions!$B$18*Assumptions!$B$20*Assumptions!$B$16)</f>
        <v>-0.6066005400000002</v>
      </c>
      <c r="H6" s="23">
        <f>-IF(H3-2026&lt;Assumptions!$B$19,Assumptions!$B$18,Assumptions!$B$18*Assumptions!$B$20*Assumptions!$B$16)</f>
        <v>-0.6066005400000002</v>
      </c>
      <c r="I6" s="23">
        <f>-IF(I3-2026&lt;Assumptions!$B$19,Assumptions!$B$18,Assumptions!$B$18*Assumptions!$B$20*Assumptions!$B$16)</f>
        <v>-0.6066005400000002</v>
      </c>
      <c r="J6" s="23">
        <f>-IF(J3-2026&lt;Assumptions!$B$19,Assumptions!$B$18,Assumptions!$B$18*Assumptions!$B$20*Assumptions!$B$16)</f>
        <v>-0.6066005400000002</v>
      </c>
      <c r="K6" s="23">
        <f>-IF(K3-2026&lt;Assumptions!$B$19,Assumptions!$B$18,Assumptions!$B$18*Assumptions!$B$20*Assumptions!$B$16)</f>
        <v>-0.6066005400000002</v>
      </c>
      <c r="L6" s="23">
        <f>-IF(L3-2026&lt;Assumptions!$B$19,Assumptions!$B$18,Assumptions!$B$18*Assumptions!$B$20*Assumptions!$B$16)</f>
        <v>-0.6066005400000002</v>
      </c>
      <c r="M6" s="23">
        <f>-IF(M3-2026&lt;Assumptions!$B$19,Assumptions!$B$18,Assumptions!$B$18*Assumptions!$B$20*Assumptions!$B$16)</f>
        <v>-0.6066005400000002</v>
      </c>
      <c r="N6" s="23">
        <f>-IF(N3-2026&lt;Assumptions!$B$19,Assumptions!$B$18,Assumptions!$B$18*Assumptions!$B$20*Assumptions!$B$16)</f>
        <v>-0.6066005400000002</v>
      </c>
      <c r="O6" s="23">
        <f>-IF(O3-2026&lt;Assumptions!$B$19,Assumptions!$B$18,Assumptions!$B$18*Assumptions!$B$20*Assumptions!$B$16)</f>
        <v>-0.6066005400000002</v>
      </c>
      <c r="P6" s="23">
        <f>-IF(P3-2026&lt;Assumptions!$B$19,Assumptions!$B$18,Assumptions!$B$18*Assumptions!$B$20*Assumptions!$B$16)</f>
        <v>-0.6066005400000002</v>
      </c>
      <c r="Q6" s="23">
        <f>-IF(Q3-2026&lt;Assumptions!$B$19,Assumptions!$B$18,Assumptions!$B$18*Assumptions!$B$20*Assumptions!$B$16)</f>
        <v>-0.6066005400000002</v>
      </c>
      <c r="R6" s="23">
        <f>-IF(R3-2026&lt;Assumptions!$B$19,Assumptions!$B$18,Assumptions!$B$18*Assumptions!$B$20*Assumptions!$B$16)</f>
        <v>-0.6066005400000002</v>
      </c>
      <c r="S6" s="23">
        <f>-IF(S3-2026&lt;Assumptions!$B$19,Assumptions!$B$18,Assumptions!$B$18*Assumptions!$B$20*Assumptions!$B$16)</f>
        <v>-0.6066005400000002</v>
      </c>
      <c r="T6" s="23">
        <f>-IF(T3-2026&lt;Assumptions!$B$19,Assumptions!$B$18,Assumptions!$B$18*Assumptions!$B$20*Assumptions!$B$16)</f>
        <v>-0.6066005400000002</v>
      </c>
      <c r="U6" s="23">
        <f>-IF(U3-2026&lt;Assumptions!$B$19,Assumptions!$B$18,Assumptions!$B$18*Assumptions!$B$20*Assumptions!$B$16)</f>
        <v>-0.6066005400000002</v>
      </c>
      <c r="V6" s="23">
        <f>-IF(V3-2026&lt;Assumptions!$B$19,Assumptions!$B$18,Assumptions!$B$18*Assumptions!$B$20*Assumptions!$B$16)</f>
        <v>-0.6066005400000002</v>
      </c>
    </row>
    <row r="7">
      <c r="A7" s="14" t="inlineStr">
        <is>
          <t>Pre-tax cash flow</t>
        </is>
      </c>
      <c r="C7" s="23">
        <f>C5+C6</f>
        <v>-26.817</v>
      </c>
      <c r="D7" s="23">
        <f>D5+D6</f>
        <v>-26.817</v>
      </c>
      <c r="E7" s="23">
        <f>E5+E6</f>
        <v>-26.817</v>
      </c>
      <c r="F7" s="23">
        <f>F5+F6</f>
        <v>-26.817</v>
      </c>
      <c r="G7" s="23">
        <f>G5+G6</f>
        <v>-0.6066005400000002</v>
      </c>
      <c r="H7" s="23">
        <f>H5+H6</f>
        <v>-0.6066005400000002</v>
      </c>
      <c r="I7" s="23">
        <f>I5+I6</f>
        <v>3.91739946</v>
      </c>
      <c r="J7" s="23">
        <f>J5+J6</f>
        <v>10.70339946</v>
      </c>
      <c r="K7" s="23">
        <f>K5+K6</f>
        <v>19.751399460000002</v>
      </c>
      <c r="L7" s="23">
        <f>L5+L6</f>
        <v>28.799399460000004</v>
      </c>
      <c r="M7" s="23">
        <f>M5+M6</f>
        <v>37.84739946</v>
      </c>
      <c r="N7" s="23">
        <f>N5+N6</f>
        <v>44.63339946</v>
      </c>
      <c r="O7" s="23">
        <f>O5+O6</f>
        <v>44.63339946</v>
      </c>
      <c r="P7" s="23">
        <f>P5+P6</f>
        <v>44.63339946</v>
      </c>
      <c r="Q7" s="23">
        <f>Q5+Q6</f>
        <v>44.63339946</v>
      </c>
      <c r="R7" s="23">
        <f>R5+R6</f>
        <v>44.63339946</v>
      </c>
      <c r="S7" s="23">
        <f>S5+S6</f>
        <v>44.63339946</v>
      </c>
      <c r="T7" s="23">
        <f>T5+T6</f>
        <v>44.63339946</v>
      </c>
      <c r="U7" s="23">
        <f>U5+U6</f>
        <v>44.63339946</v>
      </c>
      <c r="V7" s="23">
        <f>V5+V6</f>
        <v>22.013399460000002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3.91739946</v>
      </c>
      <c r="J8" s="23">
        <f>MIN(I17,MAX(0,J7))</f>
        <v>10.70339946</v>
      </c>
      <c r="K8" s="23">
        <f>MIN(J17,MAX(0,K7))</f>
        <v>19.751399460000002</v>
      </c>
      <c r="L8" s="23">
        <f>MIN(K17,MAX(0,L7))</f>
        <v>28.799399460000004</v>
      </c>
      <c r="M8" s="23">
        <f>MIN(L17,MAX(0,M7))</f>
        <v>37.84739946</v>
      </c>
      <c r="N8" s="23">
        <f>MIN(M17,MAX(0,N7))</f>
        <v>44.63339946</v>
      </c>
      <c r="O8" s="23">
        <f>MIN(N17,MAX(0,O7))</f>
        <v>44.63339946</v>
      </c>
      <c r="P8" s="23">
        <f>MIN(O17,MAX(0,P7))</f>
        <v>44.63339946</v>
      </c>
      <c r="Q8" s="23">
        <f>MIN(P17,MAX(0,Q7))</f>
        <v>44.63339946</v>
      </c>
      <c r="R8" s="23">
        <f>MIN(Q17,MAX(0,R7))</f>
        <v>44.63339946</v>
      </c>
      <c r="S8" s="23">
        <f>MIN(R17,MAX(0,S7))</f>
        <v>44.63339946</v>
      </c>
      <c r="T8" s="23">
        <f>MIN(S17,MAX(0,T7))</f>
        <v>44.63339946</v>
      </c>
      <c r="U8" s="23">
        <f>MIN(T17,MAX(0,U7))</f>
        <v>27.02840755999994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17.60499190000006</v>
      </c>
      <c r="V9" s="23">
        <f>MAX(0,V7)-V8</f>
        <v>22.013399460000002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3.697048299000012</v>
      </c>
      <c r="V10" s="23">
        <f>V9*Assumptions!$E$15</f>
        <v>4.6228138866</v>
      </c>
    </row>
    <row r="11">
      <c r="A11" s="24" t="inlineStr">
        <is>
          <t>Free cash flow</t>
        </is>
      </c>
      <c r="C11" s="55">
        <f>C7-C10</f>
        <v>-26.817</v>
      </c>
      <c r="D11" s="55">
        <f>D7-D10</f>
        <v>-26.817</v>
      </c>
      <c r="E11" s="55">
        <f>E7-E10</f>
        <v>-26.817</v>
      </c>
      <c r="F11" s="55">
        <f>F7-F10</f>
        <v>-26.817</v>
      </c>
      <c r="G11" s="55">
        <f>G7-G10</f>
        <v>-0.6066005400000002</v>
      </c>
      <c r="H11" s="55">
        <f>H7-H10</f>
        <v>-0.6066005400000002</v>
      </c>
      <c r="I11" s="55">
        <f>I7-I10</f>
        <v>3.91739946</v>
      </c>
      <c r="J11" s="55">
        <f>J7-J10</f>
        <v>10.70339946</v>
      </c>
      <c r="K11" s="55">
        <f>K7-K10</f>
        <v>19.751399460000002</v>
      </c>
      <c r="L11" s="55">
        <f>L7-L10</f>
        <v>28.799399460000004</v>
      </c>
      <c r="M11" s="55">
        <f>M7-M10</f>
        <v>37.84739946</v>
      </c>
      <c r="N11" s="55">
        <f>N7-N10</f>
        <v>44.63339946</v>
      </c>
      <c r="O11" s="55">
        <f>O7-O10</f>
        <v>44.63339946</v>
      </c>
      <c r="P11" s="55">
        <f>P7-P10</f>
        <v>44.63339946</v>
      </c>
      <c r="Q11" s="55">
        <f>Q7-Q10</f>
        <v>44.63339946</v>
      </c>
      <c r="R11" s="55">
        <f>R7-R10</f>
        <v>44.63339946</v>
      </c>
      <c r="S11" s="55">
        <f>S7-S10</f>
        <v>44.63339946</v>
      </c>
      <c r="T11" s="55">
        <f>T7-T10</f>
        <v>44.63339946</v>
      </c>
      <c r="U11" s="55">
        <f>U7-U10</f>
        <v>40.93635116099999</v>
      </c>
      <c r="V11" s="55">
        <f>V7-V10</f>
        <v>17.390585573400003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-25.339683181721114</v>
      </c>
      <c r="D16" s="55">
        <f>D11*D15</f>
        <v>-22.62471712653671</v>
      </c>
      <c r="E16" s="55">
        <f>E11*E15</f>
        <v>-20.20064029155063</v>
      </c>
      <c r="F16" s="55">
        <f>F11*F15</f>
        <v>-18.036285974598773</v>
      </c>
      <c r="G16" s="55">
        <f>G11*G15</f>
        <v>-0.36426856137984315</v>
      </c>
      <c r="H16" s="55">
        <f>H11*H15</f>
        <v>-0.3252397869462886</v>
      </c>
      <c r="I16" s="55">
        <f>I11*I15</f>
        <v>1.8753430001331464</v>
      </c>
      <c r="J16" s="55">
        <f>J11*J15</f>
        <v>4.574952232774428</v>
      </c>
      <c r="K16" s="55">
        <f>K11*K15</f>
        <v>7.537801207594316</v>
      </c>
      <c r="L16" s="55">
        <f>L11*L15</f>
        <v>9.81323538921942</v>
      </c>
      <c r="M16" s="55">
        <f>M11*M15</f>
        <v>11.514545650715224</v>
      </c>
      <c r="N16" s="55">
        <f>N11*N15</f>
        <v>12.124189200802997</v>
      </c>
      <c r="O16" s="55">
        <f>O11*O15</f>
        <v>10.825168929288388</v>
      </c>
      <c r="P16" s="55">
        <f>P11*P15</f>
        <v>9.665329401150347</v>
      </c>
      <c r="Q16" s="55">
        <f>Q11*Q15</f>
        <v>8.629758393884236</v>
      </c>
      <c r="R16" s="55">
        <f>R11*R15</f>
        <v>7.705141423110926</v>
      </c>
      <c r="S16" s="55">
        <f>S11*S15</f>
        <v>6.879590556349039</v>
      </c>
      <c r="T16" s="55">
        <f>T11*T15</f>
        <v>6.1424915681687855</v>
      </c>
      <c r="U16" s="55">
        <f>U11*U15</f>
        <v>5.030089471758437</v>
      </c>
      <c r="V16" s="55">
        <f>V11*V15</f>
        <v>1.9079314358831305</v>
      </c>
    </row>
    <row r="17">
      <c r="A17" s="14" t="inlineStr">
        <is>
          <t>Tax-loss carryforward, end of year</t>
        </is>
      </c>
      <c r="C17" s="23">
        <f>Assumptions!$B$21-C8+MAX(0,-C7)</f>
        <v>358.817</v>
      </c>
      <c r="D17" s="23">
        <f>C17-D8+MAX(0,-D7)</f>
        <v>385.634</v>
      </c>
      <c r="E17" s="23">
        <f>D17-E8+MAX(0,-E7)</f>
        <v>412.451</v>
      </c>
      <c r="F17" s="23">
        <f>E17-F8+MAX(0,-F7)</f>
        <v>439.26800000000003</v>
      </c>
      <c r="G17" s="23">
        <f>F17-G8+MAX(0,-G7)</f>
        <v>439.87460054</v>
      </c>
      <c r="H17" s="23">
        <f>G17-H8+MAX(0,-H7)</f>
        <v>440.48120108</v>
      </c>
      <c r="I17" s="23">
        <f>H17-I8+MAX(0,-I7)</f>
        <v>436.56380162</v>
      </c>
      <c r="J17" s="23">
        <f>I17-J8+MAX(0,-J7)</f>
        <v>425.86040216</v>
      </c>
      <c r="K17" s="23">
        <f>J17-K8+MAX(0,-K7)</f>
        <v>406.10900269999996</v>
      </c>
      <c r="L17" s="23">
        <f>K17-L8+MAX(0,-L7)</f>
        <v>377.30960323999994</v>
      </c>
      <c r="M17" s="23">
        <f>L17-M8+MAX(0,-M7)</f>
        <v>339.4622037799999</v>
      </c>
      <c r="N17" s="23">
        <f>M17-N8+MAX(0,-N7)</f>
        <v>294.8288043199999</v>
      </c>
      <c r="O17" s="23">
        <f>N17-O8+MAX(0,-O7)</f>
        <v>250.1954048599999</v>
      </c>
      <c r="P17" s="23">
        <f>O17-P8+MAX(0,-P7)</f>
        <v>205.56200539999992</v>
      </c>
      <c r="Q17" s="23">
        <f>P17-Q8+MAX(0,-Q7)</f>
        <v>160.92860593999993</v>
      </c>
      <c r="R17" s="23">
        <f>Q17-R8+MAX(0,-R7)</f>
        <v>116.29520647999993</v>
      </c>
      <c r="S17" s="23">
        <f>R17-S8+MAX(0,-S7)</f>
        <v>71.66180701999994</v>
      </c>
      <c r="T17" s="23">
        <f>S17-T8+MAX(0,-T7)</f>
        <v>27.02840755999994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107.34276153055107</v>
      </c>
    </row>
    <row r="20">
      <c r="A20" s="14" t="inlineStr">
        <is>
          <t>PV of corporate burn</t>
        </is>
      </c>
      <c r="B20" s="23">
        <f>SUMPRODUCT(C6:V6,C15:V15)</f>
        <v>-89.04657894511755</v>
      </c>
    </row>
    <row r="21">
      <c r="A21" s="14" t="inlineStr">
        <is>
          <t>PV of taxes</t>
        </is>
      </c>
      <c r="B21" s="23">
        <f>-SUMPRODUCT(C10:V10,C15:V15)</f>
        <v>-0.9614496473340723</v>
      </c>
    </row>
    <row r="22">
      <c r="A22" s="24" t="inlineStr">
        <is>
          <t>Pipeline rNPV (operations)</t>
        </is>
      </c>
      <c r="B22" s="54">
        <f>SUM(C16:V16)</f>
        <v>17.33473293809946</v>
      </c>
    </row>
    <row r="23">
      <c r="A23" s="14" t="inlineStr">
        <is>
          <t>Cash &amp; investments</t>
        </is>
      </c>
      <c r="B23" s="57">
        <f>Main!C7</f>
        <v>32.339409780101086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49.67414271820054</v>
      </c>
    </row>
    <row r="26">
      <c r="A26" s="14" t="inlineStr">
        <is>
          <t>Shares (mm)</t>
        </is>
      </c>
      <c r="B26" s="57">
        <f>Main!C4</f>
        <v>4.1619709894</v>
      </c>
    </row>
    <row r="27">
      <c r="A27" s="24" t="inlineStr">
        <is>
          <t>rNPV / share</t>
        </is>
      </c>
      <c r="B27" s="60">
        <f>B25/B26</f>
        <v>11.935244826240773</v>
      </c>
    </row>
    <row r="28">
      <c r="A28" s="14" t="inlineStr">
        <is>
          <t>Price</t>
        </is>
      </c>
      <c r="B28" s="61">
        <f>Main!C3</f>
        <v>1.0056</v>
      </c>
    </row>
    <row r="29">
      <c r="A29" s="14" t="inlineStr">
        <is>
          <t>Upside</t>
        </is>
      </c>
      <c r="B29" s="62">
        <f>B27/B28-1</f>
        <v>10.868779660143966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2026-10-21T06:31:30Z</dcterms:modified>
  <cp:lastModifiedBy>Wang, Eric</cp:lastModifiedBy>
</cp:coreProperties>
</file>