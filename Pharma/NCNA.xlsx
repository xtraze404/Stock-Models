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NuCana PLC</t>
        </is>
      </c>
      <c r="C2" s="10" t="n"/>
    </row>
    <row r="3">
      <c r="B3" t="inlineStr">
        <is>
          <t>Price</t>
        </is>
      </c>
      <c r="C3" s="11">
        <f>INDEX([1]Pharma!$F$1:$F$1000,MATCH("NCNA",[1]Pharma!$B$1:$B$1000,0))</f>
        <v>1.0056</v>
      </c>
      <c r="F3" s="1" t="n"/>
    </row>
    <row r="4">
      <c r="B4" t="inlineStr">
        <is>
          <t>Shares</t>
        </is>
      </c>
      <c r="C4" s="21">
        <f>20809.854947/5000</f>
        <v>4.1619709894</v>
      </c>
      <c r="F4" s="1" t="n"/>
    </row>
    <row r="5">
      <c r="B5" t="inlineStr">
        <is>
          <t>Market Cap.</t>
        </is>
      </c>
      <c r="C5" s="13">
        <f>C3*C4</f>
        <v>4.18527802694064</v>
      </c>
      <c r="F5" s="1" t="n"/>
    </row>
    <row r="6"/>
    <row r="7">
      <c r="B7" t="inlineStr">
        <is>
          <t>Cash</t>
        </is>
      </c>
      <c r="C7" s="21">
        <f>(24.251)/0.74989</f>
        <v>32.339409780101086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-28.154131753160446</v>
      </c>
    </row>
    <row r="10"/>
    <row r="11">
      <c r="B11" s="14" t="inlineStr">
        <is>
          <t>Net Cash / Share</t>
        </is>
      </c>
      <c r="C11" s="11">
        <f>(C7-C8)/C4</f>
        <v>7.770215088587922</v>
      </c>
    </row>
    <row r="12">
      <c r="B12" s="14" t="inlineStr">
        <is>
          <t>Upside</t>
        </is>
      </c>
      <c r="C12" s="15">
        <f>IFERROR(C11/C3-1,"")</f>
        <v>6.726944201061975</v>
      </c>
    </row>
    <row r="13">
      <c r="B13" s="14" t="inlineStr">
        <is>
          <t>Cash / Share</t>
        </is>
      </c>
      <c r="C13" s="11">
        <f>IFERROR((C7-C8)/C4,"")</f>
        <v>7.770215088587922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-9.957000000000001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3.247906978015575</v>
      </c>
    </row>
    <row r="19">
      <c r="B19" s="14" t="inlineStr">
        <is>
          <t>Implied Pipeline Value</t>
        </is>
      </c>
      <c r="C19" s="13">
        <f>C9</f>
        <v>-28.154131753160446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7.541</v>
      </c>
      <c r="C5" s="23" t="n">
        <v>10.54</v>
      </c>
      <c r="D5" s="23" t="n">
        <v>23.567</v>
      </c>
      <c r="E5" s="23" t="n">
        <v>22.465</v>
      </c>
      <c r="F5" s="23" t="n">
        <v>26.308</v>
      </c>
      <c r="G5" s="23" t="n">
        <v>34.537</v>
      </c>
      <c r="H5" s="23" t="n">
        <v>49.119</v>
      </c>
      <c r="I5" s="23" t="n">
        <v>48.575</v>
      </c>
      <c r="J5" s="23" t="n">
        <v>33.421</v>
      </c>
      <c r="K5" s="23" t="n">
        <v>24.026</v>
      </c>
      <c r="L5" s="23" t="n">
        <v>16.985</v>
      </c>
    </row>
    <row r="6">
      <c r="A6" s="19" t="inlineStr">
        <is>
          <t>SG&amp;A &amp; Other</t>
        </is>
      </c>
      <c r="B6" s="23" t="n">
        <v>1.679</v>
      </c>
      <c r="C6" s="23" t="n">
        <v>0.725</v>
      </c>
      <c r="D6" s="23" t="n">
        <v>10.696</v>
      </c>
      <c r="E6" s="23" t="n">
        <v>3.043</v>
      </c>
      <c r="F6" s="23" t="n">
        <v>9.297000000000001</v>
      </c>
      <c r="G6" s="23" t="n">
        <v>14.031</v>
      </c>
      <c r="H6" s="23" t="n">
        <v>14.763</v>
      </c>
      <c r="I6" s="23" t="n">
        <v>3.595</v>
      </c>
      <c r="J6" s="23" t="n">
        <v>10.298</v>
      </c>
      <c r="K6" s="23" t="n">
        <v>6.39</v>
      </c>
      <c r="L6" s="23" t="n">
        <v>9.832000000000001</v>
      </c>
    </row>
    <row r="7">
      <c r="A7" s="2" t="inlineStr">
        <is>
          <t>Operating Expense</t>
        </is>
      </c>
      <c r="B7" s="23">
        <f>SUM(B5:B6)</f>
        <v>9.22</v>
      </c>
      <c r="C7" s="23">
        <f>SUM(C5:C6)</f>
        <v>11.264999999999999</v>
      </c>
      <c r="D7" s="23">
        <f>SUM(D5:D6)</f>
        <v>34.263</v>
      </c>
      <c r="E7" s="23">
        <f>SUM(E5:E6)</f>
        <v>25.508</v>
      </c>
      <c r="F7" s="23">
        <f>SUM(F5:F6)</f>
        <v>35.605000000000004</v>
      </c>
      <c r="G7" s="23">
        <f>SUM(G5:G6)</f>
        <v>48.568</v>
      </c>
      <c r="H7" s="23">
        <f>SUM(H5:H6)</f>
        <v>63.882</v>
      </c>
      <c r="I7" s="23">
        <f>SUM(I5:I6)</f>
        <v>52.17</v>
      </c>
      <c r="J7" s="23">
        <f>SUM(J5:J6)</f>
        <v>43.719</v>
      </c>
      <c r="K7" s="23">
        <f>SUM(K5:K6)</f>
        <v>30.416</v>
      </c>
      <c r="L7" s="23">
        <f>SUM(L5:L6)</f>
        <v>26.817</v>
      </c>
    </row>
    <row r="8">
      <c r="A8" s="2" t="inlineStr">
        <is>
          <t>Operating Income</t>
        </is>
      </c>
      <c r="B8" s="23">
        <f>B4-B7</f>
        <v>-9.22</v>
      </c>
      <c r="C8" s="23">
        <f>C4-C7</f>
        <v>-11.264999999999999</v>
      </c>
      <c r="D8" s="23">
        <f>D4-D7</f>
        <v>-34.263</v>
      </c>
      <c r="E8" s="23">
        <f>E4-E7</f>
        <v>-25.508</v>
      </c>
      <c r="F8" s="23">
        <f>F4-F7</f>
        <v>-35.605000000000004</v>
      </c>
      <c r="G8" s="23">
        <f>G4-G7</f>
        <v>-48.568</v>
      </c>
      <c r="H8" s="23">
        <f>H4-H7</f>
        <v>-63.882</v>
      </c>
      <c r="I8" s="23">
        <f>I4-I7</f>
        <v>-52.17</v>
      </c>
      <c r="J8" s="23">
        <f>J4-J7</f>
        <v>-43.719</v>
      </c>
      <c r="K8" s="23">
        <f>K4-K7</f>
        <v>-30.416</v>
      </c>
      <c r="L8" s="23">
        <f>L4-L7</f>
        <v>-26.817</v>
      </c>
    </row>
    <row r="9">
      <c r="A9" s="19" t="inlineStr">
        <is>
          <t>Interest &amp; Other</t>
        </is>
      </c>
      <c r="B9" s="23" t="n">
        <v>0.541</v>
      </c>
      <c r="C9" s="23" t="n">
        <v>0.377</v>
      </c>
      <c r="D9" s="23" t="n">
        <v>0.277</v>
      </c>
      <c r="E9" s="23" t="n">
        <v>1.42</v>
      </c>
      <c r="F9" s="23" t="n">
        <v>1.399</v>
      </c>
      <c r="G9" s="23" t="n">
        <v>0.328</v>
      </c>
      <c r="H9" s="23" t="n">
        <v>0.137</v>
      </c>
      <c r="I9" s="23" t="n">
        <v>0.892</v>
      </c>
      <c r="J9" s="23" t="n">
        <v>1.005</v>
      </c>
      <c r="K9" s="23" t="n">
        <v>0.477</v>
      </c>
      <c r="L9" s="23" t="n">
        <v>-13.883</v>
      </c>
    </row>
    <row r="10">
      <c r="A10" s="2" t="inlineStr">
        <is>
          <t>Pretax</t>
        </is>
      </c>
      <c r="B10" s="23">
        <f>B8+B9</f>
        <v>-8.679</v>
      </c>
      <c r="C10" s="23">
        <f>C8+C9</f>
        <v>-10.887999999999998</v>
      </c>
      <c r="D10" s="23">
        <f>D8+D9</f>
        <v>-33.986</v>
      </c>
      <c r="E10" s="23">
        <f>E8+E9</f>
        <v>-24.088</v>
      </c>
      <c r="F10" s="23">
        <f>F8+F9</f>
        <v>-34.206</v>
      </c>
      <c r="G10" s="23">
        <f>G8+G9</f>
        <v>-48.239999999999995</v>
      </c>
      <c r="H10" s="23">
        <f>H8+H9</f>
        <v>-63.745</v>
      </c>
      <c r="I10" s="23">
        <f>I8+I9</f>
        <v>-51.278</v>
      </c>
      <c r="J10" s="23">
        <f>J8+J9</f>
        <v>-42.714</v>
      </c>
      <c r="K10" s="23">
        <f>K8+K9</f>
        <v>-29.939</v>
      </c>
      <c r="L10" s="23">
        <f>L8+L9</f>
        <v>-40.7</v>
      </c>
    </row>
    <row r="11">
      <c r="A11" s="2" t="inlineStr">
        <is>
          <t>Taxes</t>
        </is>
      </c>
      <c r="B11" s="23" t="n">
        <v>-1.568</v>
      </c>
      <c r="C11" s="23" t="n">
        <v>-2.822</v>
      </c>
      <c r="D11" s="23" t="n">
        <v>-3.202</v>
      </c>
      <c r="E11" s="23" t="n">
        <v>-5.631</v>
      </c>
      <c r="F11" s="23" t="n">
        <v>-5.653</v>
      </c>
      <c r="G11" s="23" t="n">
        <v>-7.325</v>
      </c>
      <c r="H11" s="23" t="n">
        <v>-9.693</v>
      </c>
      <c r="I11" s="23" t="n">
        <v>-8.577</v>
      </c>
      <c r="J11" s="23" t="n">
        <v>-5.865</v>
      </c>
      <c r="K11" s="23" t="n">
        <v>-4.606</v>
      </c>
      <c r="L11" s="23" t="n">
        <v>-1.558</v>
      </c>
    </row>
    <row r="12">
      <c r="A12" s="2" t="inlineStr">
        <is>
          <t>Net Income</t>
        </is>
      </c>
      <c r="B12" s="23" t="n">
        <v>-7.11</v>
      </c>
      <c r="C12" s="23" t="n">
        <v>-8.067</v>
      </c>
      <c r="D12" s="23" t="n">
        <v>-30.785</v>
      </c>
      <c r="E12" s="23" t="n">
        <v>-18.456</v>
      </c>
      <c r="F12" s="23" t="n">
        <v>-28.554</v>
      </c>
      <c r="G12" s="23" t="n">
        <v>-40.915</v>
      </c>
      <c r="H12" s="23" t="n">
        <v>-54.052</v>
      </c>
      <c r="I12" s="23" t="n">
        <v>-42.701</v>
      </c>
      <c r="J12" s="23" t="n">
        <v>-36.848</v>
      </c>
      <c r="K12" s="23" t="n">
        <v>-25.333</v>
      </c>
      <c r="L12" s="23" t="n">
        <v>-39.143</v>
      </c>
    </row>
    <row r="13">
      <c r="A13" s="2" t="inlineStr">
        <is>
          <t>Earnings per Share</t>
        </is>
      </c>
      <c r="B13" s="11">
        <f>IFERROR(B12/B14,0)</f>
        <v>-0.001953698714378316</v>
      </c>
      <c r="C13" s="11">
        <f>IFERROR(C12/C14,0)</f>
        <v>-0.0022161132061062202</v>
      </c>
      <c r="D13" s="11">
        <f>IFERROR(D12/D14,0)</f>
        <v>-0.007820559752404406</v>
      </c>
      <c r="E13" s="11">
        <f>IFERROR(E12/E14,0)</f>
        <v>-0.003822881445105527</v>
      </c>
      <c r="F13" s="11">
        <f>IFERROR(F12/F14,0)</f>
        <v>-0.005849578920046535</v>
      </c>
      <c r="G13" s="11">
        <f>IFERROR(G12/G14,0)</f>
        <v>-0.007152744440648917</v>
      </c>
      <c r="H13" s="11">
        <f>IFERROR(H12/H14,0)</f>
        <v>-0.006878427872267294</v>
      </c>
      <c r="I13" s="11">
        <f>IFERROR(I12/I14,0)</f>
        <v>-0.005413766238541183</v>
      </c>
      <c r="J13" s="11">
        <f>IFERROR(J12/J14,0)</f>
        <v>-0.00464166948939998</v>
      </c>
      <c r="K13" s="11">
        <f>IFERROR(K12/K14,0)</f>
        <v>-0.0022613013966725046</v>
      </c>
      <c r="L13" s="11">
        <f>IFERROR(L12/L14,0)</f>
        <v>-0.003485102639713948</v>
      </c>
    </row>
    <row r="14">
      <c r="A14" s="2" t="inlineStr">
        <is>
          <t>Shares</t>
        </is>
      </c>
      <c r="B14" s="23" t="n">
        <v>3639.251</v>
      </c>
      <c r="C14" s="23" t="n">
        <v>3640.157</v>
      </c>
      <c r="D14" s="23" t="n">
        <v>3936.419</v>
      </c>
      <c r="E14" s="23" t="n">
        <v>4827.772</v>
      </c>
      <c r="F14" s="23" t="n">
        <v>4881.377</v>
      </c>
      <c r="G14" s="23" t="n">
        <v>5720.182</v>
      </c>
      <c r="H14" s="23" t="n">
        <v>7858.191</v>
      </c>
      <c r="I14" s="23" t="n">
        <v>7887.485</v>
      </c>
      <c r="J14" s="23" t="n">
        <v>7938.523</v>
      </c>
      <c r="K14" s="23" t="n">
        <v>11202.841</v>
      </c>
      <c r="L14" s="23" t="n">
        <v>11231.52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2026-10-21T01:06:47Z</dcterms:modified>
  <cp:lastModifiedBy>Wang, Eric</cp:lastModifiedBy>
</cp:coreProperties>
</file>