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Avalo Therapeutics, Inc.</t>
        </is>
      </c>
      <c r="C2" s="10" t="n"/>
    </row>
    <row r="3">
      <c r="B3" t="inlineStr">
        <is>
          <t>Price</t>
        </is>
      </c>
      <c r="C3" s="11">
        <f>INDEX([1]Pharma!$F$1:$F$1000,MATCH("AVTX",[1]Pharma!$B$1:$B$1000,0))</f>
        <v>12.36</v>
      </c>
      <c r="F3" s="1" t="n"/>
    </row>
    <row r="4">
      <c r="B4" t="inlineStr">
        <is>
          <t>Shares</t>
        </is>
      </c>
      <c r="C4" s="21" t="n">
        <v>53.629989</v>
      </c>
      <c r="F4" s="1" t="n"/>
    </row>
    <row r="5">
      <c r="B5" t="inlineStr">
        <is>
          <t>Market Cap.</t>
        </is>
      </c>
      <c r="C5" s="13">
        <f>C3*C4</f>
        <v>662.86666404</v>
      </c>
      <c r="F5" s="1" t="n"/>
    </row>
    <row r="6"/>
    <row r="7">
      <c r="B7" t="inlineStr">
        <is>
          <t>Cash</t>
        </is>
      </c>
      <c r="C7" s="21" t="n">
        <v>472.2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190.66666404000006</v>
      </c>
    </row>
    <row r="10"/>
    <row r="11">
      <c r="B11" s="14" t="inlineStr">
        <is>
          <t>rNPV / Share</t>
        </is>
      </c>
      <c r="C11" s="11">
        <f>NPV!B27</f>
        <v>9.288885217086749</v>
      </c>
    </row>
    <row r="12">
      <c r="B12" s="14" t="inlineStr">
        <is>
          <t>Upside</t>
        </is>
      </c>
      <c r="C12" s="15">
        <f>IFERROR(C11/C3-1,"")</f>
        <v>-0.24847206981498793</v>
      </c>
    </row>
    <row r="13">
      <c r="B13" s="14" t="inlineStr">
        <is>
          <t>Cash / Share</t>
        </is>
      </c>
      <c r="C13" s="11">
        <f>IFERROR((C7-C8)/C4,"")</f>
        <v>8.804775253636542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-68.29000000000001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6.914628788988138</v>
      </c>
    </row>
    <row r="19">
      <c r="B19" s="14" t="inlineStr">
        <is>
          <t>Implied Pipeline Value</t>
        </is>
      </c>
      <c r="C19" s="13">
        <f>C9</f>
        <v>190.66666404000006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1.153</v>
      </c>
      <c r="F2" s="23" t="n">
        <v>27.813</v>
      </c>
      <c r="G2" s="23" t="n">
        <v>7.028</v>
      </c>
      <c r="H2" s="23" t="n">
        <v>6.75</v>
      </c>
      <c r="I2" s="23" t="n">
        <v>6.699</v>
      </c>
      <c r="J2" s="23" t="n">
        <v>5.398</v>
      </c>
      <c r="K2" s="23" t="n">
        <v>18.051</v>
      </c>
      <c r="L2" s="23" t="n">
        <v>1.924</v>
      </c>
      <c r="M2" s="23" t="n">
        <v>0.441</v>
      </c>
      <c r="N2" s="23" t="n">
        <v>0.059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0.636</v>
      </c>
      <c r="G3" s="23" t="n">
        <v>3.261</v>
      </c>
      <c r="H3" s="23" t="n">
        <v>-0.5669999999999999</v>
      </c>
      <c r="I3" s="23" t="n">
        <v>0.3</v>
      </c>
      <c r="J3" s="23" t="n">
        <v>1.491</v>
      </c>
      <c r="K3" s="23" t="n">
        <v>3.434</v>
      </c>
      <c r="L3" s="23" t="n">
        <v>1.284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1.153</v>
      </c>
      <c r="F4" s="23">
        <f>F2-F3</f>
        <v>27.177</v>
      </c>
      <c r="G4" s="23">
        <f>G2-G3</f>
        <v>3.7669999999999995</v>
      </c>
      <c r="H4" s="23">
        <f>H2-H3</f>
        <v>7.317</v>
      </c>
      <c r="I4" s="23">
        <f>I2-I3</f>
        <v>6.399</v>
      </c>
      <c r="J4" s="23">
        <f>J2-J3</f>
        <v>3.9069999999999996</v>
      </c>
      <c r="K4" s="23">
        <f>K2-K3</f>
        <v>14.616999999999997</v>
      </c>
      <c r="L4" s="23">
        <f>L2-L3</f>
        <v>0.6399999999999999</v>
      </c>
      <c r="M4" s="23">
        <f>M2-M3</f>
        <v>0.441</v>
      </c>
      <c r="N4" s="23">
        <f>N2-N3</f>
        <v>0.059</v>
      </c>
    </row>
    <row r="5">
      <c r="A5" s="2" t="inlineStr">
        <is>
          <t>Research &amp; Dev.</t>
        </is>
      </c>
      <c r="B5" s="23" t="n">
        <v>8.914</v>
      </c>
      <c r="C5" s="23" t="n">
        <v>12.241</v>
      </c>
      <c r="D5" s="23" t="n">
        <v>6.587</v>
      </c>
      <c r="E5" s="23" t="n">
        <v>10.15</v>
      </c>
      <c r="F5" s="23" t="n">
        <v>4.373</v>
      </c>
      <c r="G5" s="23" t="n">
        <v>5.787</v>
      </c>
      <c r="H5" s="23" t="n">
        <v>11.764</v>
      </c>
      <c r="I5" s="23" t="n">
        <v>32.193</v>
      </c>
      <c r="J5" s="23" t="n">
        <v>59.835</v>
      </c>
      <c r="K5" s="23" t="n">
        <v>31.308</v>
      </c>
      <c r="L5" s="23" t="n">
        <v>13.784</v>
      </c>
      <c r="M5" s="23" t="n">
        <v>24.437</v>
      </c>
      <c r="N5" s="23" t="n">
        <v>50.084</v>
      </c>
    </row>
    <row r="6">
      <c r="A6" s="19" t="inlineStr">
        <is>
          <t>SG&amp;A &amp; Other</t>
        </is>
      </c>
      <c r="B6" s="23" t="n">
        <v>4.02</v>
      </c>
      <c r="C6" s="23" t="n">
        <v>4.875</v>
      </c>
      <c r="D6" s="23" t="n">
        <v>4.423</v>
      </c>
      <c r="E6" s="23" t="n">
        <v>7.083</v>
      </c>
      <c r="F6" s="23" t="n">
        <v>8.914999999999999</v>
      </c>
      <c r="G6" s="23" t="n">
        <v>33.36</v>
      </c>
      <c r="H6" s="23" t="n">
        <v>11.69</v>
      </c>
      <c r="I6" s="23" t="n">
        <v>47.049</v>
      </c>
      <c r="J6" s="23" t="n">
        <v>26.206</v>
      </c>
      <c r="K6" s="23" t="n">
        <v>20.749</v>
      </c>
      <c r="L6" s="23" t="n">
        <v>14.207</v>
      </c>
      <c r="M6" s="23" t="n">
        <v>44.516</v>
      </c>
      <c r="N6" s="23" t="n">
        <v>22.9</v>
      </c>
    </row>
    <row r="7">
      <c r="A7" s="2" t="inlineStr">
        <is>
          <t>Operating Expense</t>
        </is>
      </c>
      <c r="B7" s="23">
        <f>SUM(B5:B6)</f>
        <v>12.934</v>
      </c>
      <c r="C7" s="23">
        <f>SUM(C5:C6)</f>
        <v>17.116</v>
      </c>
      <c r="D7" s="23">
        <f>SUM(D5:D6)</f>
        <v>11.01</v>
      </c>
      <c r="E7" s="23">
        <f>SUM(E5:E6)</f>
        <v>17.233</v>
      </c>
      <c r="F7" s="23">
        <f>SUM(F5:F6)</f>
        <v>13.288</v>
      </c>
      <c r="G7" s="23">
        <f>SUM(G5:G6)</f>
        <v>39.147</v>
      </c>
      <c r="H7" s="23">
        <f>SUM(H5:H6)</f>
        <v>23.454</v>
      </c>
      <c r="I7" s="23">
        <f>SUM(I5:I6)</f>
        <v>79.24199999999999</v>
      </c>
      <c r="J7" s="23">
        <f>SUM(J5:J6)</f>
        <v>86.041</v>
      </c>
      <c r="K7" s="23">
        <f>SUM(K5:K6)</f>
        <v>52.057</v>
      </c>
      <c r="L7" s="23">
        <f>SUM(L5:L6)</f>
        <v>27.991</v>
      </c>
      <c r="M7" s="23">
        <f>SUM(M5:M6)</f>
        <v>68.953</v>
      </c>
      <c r="N7" s="23">
        <f>SUM(N5:N6)</f>
        <v>72.98400000000001</v>
      </c>
    </row>
    <row r="8">
      <c r="A8" s="2" t="inlineStr">
        <is>
          <t>Operating Income</t>
        </is>
      </c>
      <c r="B8" s="23">
        <f>B4-B7</f>
        <v>-12.934</v>
      </c>
      <c r="C8" s="23">
        <f>C4-C7</f>
        <v>-17.116</v>
      </c>
      <c r="D8" s="23">
        <f>D4-D7</f>
        <v>-11.01</v>
      </c>
      <c r="E8" s="23">
        <f>E4-E7</f>
        <v>-16.080000000000002</v>
      </c>
      <c r="F8" s="23">
        <f>F4-F7</f>
        <v>13.889</v>
      </c>
      <c r="G8" s="23">
        <f>G4-G7</f>
        <v>-35.379999999999995</v>
      </c>
      <c r="H8" s="23">
        <f>H4-H7</f>
        <v>-16.137</v>
      </c>
      <c r="I8" s="23">
        <f>I4-I7</f>
        <v>-72.84299999999999</v>
      </c>
      <c r="J8" s="23">
        <f>J4-J7</f>
        <v>-82.134</v>
      </c>
      <c r="K8" s="23">
        <f>K4-K7</f>
        <v>-37.440000000000005</v>
      </c>
      <c r="L8" s="23">
        <f>L4-L7</f>
        <v>-27.351</v>
      </c>
      <c r="M8" s="23">
        <f>M4-M7</f>
        <v>-68.512</v>
      </c>
      <c r="N8" s="23">
        <f>N4-N7</f>
        <v>-72.92500000000001</v>
      </c>
    </row>
    <row r="9">
      <c r="A9" s="19" t="inlineStr">
        <is>
          <t>Interest &amp; Other</t>
        </is>
      </c>
      <c r="B9" s="23" t="n">
        <v>-0.111</v>
      </c>
      <c r="C9" s="23" t="n">
        <v>1.06</v>
      </c>
      <c r="D9" s="23" t="n">
        <v>0.52</v>
      </c>
      <c r="E9" s="23" t="n">
        <v>-0.392</v>
      </c>
      <c r="F9" s="23" t="n">
        <v>-0.054</v>
      </c>
      <c r="G9" s="23" t="n">
        <v>-4.724</v>
      </c>
      <c r="H9" s="23" t="n">
        <v>0.345</v>
      </c>
      <c r="I9" s="23" t="n">
        <v>6.55</v>
      </c>
      <c r="J9" s="23" t="n">
        <v>-2.438</v>
      </c>
      <c r="K9" s="23" t="n">
        <v>-4.19</v>
      </c>
      <c r="L9" s="23" t="n">
        <v>-4.179</v>
      </c>
      <c r="M9" s="23" t="n">
        <v>33.497</v>
      </c>
      <c r="N9" s="23" t="n">
        <v>-5.169</v>
      </c>
    </row>
    <row r="10">
      <c r="A10" s="2" t="inlineStr">
        <is>
          <t>Pretax</t>
        </is>
      </c>
      <c r="B10" s="23">
        <f>B8+B9</f>
        <v>-13.045</v>
      </c>
      <c r="C10" s="23">
        <f>C8+C9</f>
        <v>-16.056</v>
      </c>
      <c r="D10" s="23">
        <f>D8+D9</f>
        <v>-10.49</v>
      </c>
      <c r="E10" s="23">
        <f>E8+E9</f>
        <v>-16.472</v>
      </c>
      <c r="F10" s="23">
        <f>F8+F9</f>
        <v>13.834999999999999</v>
      </c>
      <c r="G10" s="23">
        <f>G8+G9</f>
        <v>-40.104</v>
      </c>
      <c r="H10" s="23">
        <f>H8+H9</f>
        <v>-15.792</v>
      </c>
      <c r="I10" s="23">
        <f>I8+I9</f>
        <v>-66.29299999999999</v>
      </c>
      <c r="J10" s="23">
        <f>J8+J9</f>
        <v>-84.572</v>
      </c>
      <c r="K10" s="23">
        <f>K8+K9</f>
        <v>-41.63</v>
      </c>
      <c r="L10" s="23">
        <f>L8+L9</f>
        <v>-31.53</v>
      </c>
      <c r="M10" s="23">
        <f>M8+M9</f>
        <v>-35.015</v>
      </c>
      <c r="N10" s="23">
        <f>N8+N9</f>
        <v>-78.09400000000001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1.967</v>
      </c>
      <c r="G11" s="23" t="n">
        <v>-0.049</v>
      </c>
      <c r="H11" s="23" t="n">
        <v>0.28</v>
      </c>
      <c r="I11" s="23" t="n">
        <v>-2.793</v>
      </c>
      <c r="J11" s="23" t="n">
        <v>-0.196</v>
      </c>
      <c r="K11" s="23" t="n">
        <v>0.028</v>
      </c>
      <c r="L11" s="23" t="n">
        <v>0.014</v>
      </c>
      <c r="M11" s="23" t="n">
        <v>0.114</v>
      </c>
      <c r="N11" s="23" t="n">
        <v>0.165</v>
      </c>
    </row>
    <row r="12">
      <c r="A12" s="2" t="inlineStr">
        <is>
          <t>Net Income</t>
        </is>
      </c>
      <c r="B12" s="23" t="n">
        <v>-13.045</v>
      </c>
      <c r="C12" s="23" t="n">
        <v>-16.056</v>
      </c>
      <c r="D12" s="23" t="n">
        <v>-10.49</v>
      </c>
      <c r="E12" s="23" t="n">
        <v>-16.472</v>
      </c>
      <c r="F12" s="23" t="n">
        <v>11.87</v>
      </c>
      <c r="G12" s="23" t="n">
        <v>-40.053</v>
      </c>
      <c r="H12" s="23" t="n">
        <v>-16.073</v>
      </c>
      <c r="I12" s="23" t="n">
        <v>-63.5</v>
      </c>
      <c r="J12" s="23" t="n">
        <v>-84.376</v>
      </c>
      <c r="K12" s="23" t="n">
        <v>-41.658</v>
      </c>
      <c r="L12" s="23" t="n">
        <v>-31.544</v>
      </c>
      <c r="M12" s="23" t="n">
        <v>-35.129</v>
      </c>
      <c r="N12" s="23" t="n">
        <v>-78.259</v>
      </c>
    </row>
    <row r="13">
      <c r="A13" s="2" t="inlineStr">
        <is>
          <t>Earnings per Share</t>
        </is>
      </c>
      <c r="B13" s="11">
        <f>IFERROR(B12/B14,0)</f>
        <v>-26.896907216494846</v>
      </c>
      <c r="C13" s="11">
        <f>IFERROR(C12/C14,0)</f>
        <v>-32.63414634146342</v>
      </c>
      <c r="D13" s="11">
        <f>IFERROR(D12/D14,0)</f>
        <v>-6.152492668621701</v>
      </c>
      <c r="E13" s="11">
        <f>IFERROR(E12/E14,0)</f>
        <v>-9.740981667652278</v>
      </c>
      <c r="F13" s="11">
        <f>IFERROR(F12/F14,0)</f>
        <v>3.305485937064884</v>
      </c>
      <c r="G13" s="11">
        <f>IFERROR(G12/G14,0)</f>
        <v>-6.014867097161736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-5.549220727321167</v>
      </c>
      <c r="L13" s="11">
        <f>IFERROR(L12/L14,0)</f>
        <v>-4.206427523669823</v>
      </c>
      <c r="M13" s="11">
        <f>IFERROR(M12/M14,0)</f>
        <v>-4.68636606189968</v>
      </c>
      <c r="N13" s="11">
        <f>IFERROR(N12/N14,0)</f>
        <v>-5.83804550540843</v>
      </c>
    </row>
    <row r="14">
      <c r="A14" s="2" t="inlineStr">
        <is>
          <t>Shares</t>
        </is>
      </c>
      <c r="B14" s="23" t="n">
        <v>0.485</v>
      </c>
      <c r="C14" s="23" t="n">
        <v>0.492</v>
      </c>
      <c r="D14" s="23" t="n">
        <v>1.705</v>
      </c>
      <c r="E14" s="23" t="n">
        <v>1.691</v>
      </c>
      <c r="F14" s="23" t="n">
        <v>3.591</v>
      </c>
      <c r="G14" s="23" t="n">
        <v>6.659</v>
      </c>
      <c r="H14" s="23" t="n"/>
      <c r="I14" s="23" t="n"/>
      <c r="J14" s="23" t="n"/>
      <c r="K14" s="23" t="n">
        <v>7.507</v>
      </c>
      <c r="L14" s="23" t="n">
        <v>7.499</v>
      </c>
      <c r="M14" s="23" t="n">
        <v>7.496</v>
      </c>
      <c r="N14" s="23" t="n">
        <v>13.405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23.122289679098003</v>
      </c>
      <c r="G16" s="15">
        <f>IFERROR(G2/F2-1,"")</f>
        <v>-0.7473124078668248</v>
      </c>
      <c r="H16" s="15">
        <f>IFERROR(H2/G2-1,"")</f>
        <v>-0.03955606146841206</v>
      </c>
      <c r="I16" s="15">
        <f>IFERROR(I2/H2-1,"")</f>
        <v>-0.007555555555555538</v>
      </c>
      <c r="J16" s="15">
        <f>IFERROR(J2/I2-1,"")</f>
        <v>-0.19420809075981493</v>
      </c>
      <c r="K16" s="15">
        <f>IFERROR(K2/J2-1,"")</f>
        <v>2.3440163023341976</v>
      </c>
      <c r="L16" s="15">
        <f>IFERROR(L2/K2-1,"")</f>
        <v>-0.8934131073070744</v>
      </c>
      <c r="M16" s="15">
        <f>IFERROR(M2/L2-1,"")</f>
        <v>-0.7707900207900208</v>
      </c>
      <c r="N16" s="15">
        <f>IFERROR(N2/M2-1,"")</f>
        <v>-0.8662131519274376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0.9771329953618811</v>
      </c>
      <c r="G17" s="15">
        <f>IFERROR(G4/G2,"")</f>
        <v>0.5359988616960728</v>
      </c>
      <c r="H17" s="15">
        <f>IFERROR(H4/H2,"")</f>
        <v>1.084</v>
      </c>
      <c r="I17" s="15">
        <f>IFERROR(I4/I2,"")</f>
        <v>0.955217196596507</v>
      </c>
      <c r="J17" s="15">
        <f>IFERROR(J4/J2,"")</f>
        <v>0.7237865876250463</v>
      </c>
      <c r="K17" s="15">
        <f>IFERROR(K4/K2,"")</f>
        <v>0.8097612320647055</v>
      </c>
      <c r="L17" s="15">
        <f>IFERROR(L4/L2,"")</f>
        <v>0.3326403326403326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-13.946227233304425</v>
      </c>
      <c r="F18" s="15">
        <f>IFERROR(F8/F2,"")</f>
        <v>0.49937079782835364</v>
      </c>
      <c r="G18" s="15">
        <f>IFERROR(G8/G2,"")</f>
        <v>-5.034149117814456</v>
      </c>
      <c r="H18" s="15">
        <f>IFERROR(H8/H2,"")</f>
        <v>-2.3906666666666667</v>
      </c>
      <c r="I18" s="15">
        <f>IFERROR(I8/I2,"")</f>
        <v>-10.873712494402149</v>
      </c>
      <c r="J18" s="15">
        <f>IFERROR(J8/J2,"")</f>
        <v>-15.215635420526121</v>
      </c>
      <c r="K18" s="15">
        <f>IFERROR(K8/K2,"")</f>
        <v>-2.074123317267742</v>
      </c>
      <c r="L18" s="15">
        <f>IFERROR(L8/L2,"")</f>
        <v>-14.215696465696466</v>
      </c>
      <c r="M18" s="15">
        <f>IFERROR(M8/M2,"")</f>
        <v>-155.3560090702948</v>
      </c>
      <c r="N18" s="15">
        <f>IFERROR(N8/N2,"")</f>
        <v>-1236.0169491525426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Avalo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0.19289999999999996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91.36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446.7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25.962812014625023</v>
      </c>
      <c r="C29" s="42">
        <f>NPV!B25</f>
        <v>498.162812014625</v>
      </c>
      <c r="D29" s="43">
        <f>NPV!B27</f>
        <v>9.288885217086749</v>
      </c>
      <c r="E29" s="44">
        <f>NPV!B29</f>
        <v>-0.24847206981498793</v>
      </c>
    </row>
    <row r="30">
      <c r="A30" s="45" t="n">
        <v>1</v>
      </c>
      <c r="B30" s="46">
        <f t="dataTable" ref="B30:E32" r1="B4"/>
        <v>-145.08316754104897</v>
      </c>
      <c r="C30" s="46">
        <v>327.116832458951</v>
      </c>
      <c r="D30" s="47">
        <v>6.099513323766503</v>
      </c>
      <c r="E30" s="48">
        <v>-0.5065118670091826</v>
      </c>
    </row>
    <row r="31">
      <c r="A31" s="45" t="n">
        <v>2</v>
      </c>
      <c r="B31" s="46">
        <v>25.962812014625023</v>
      </c>
      <c r="C31" s="46">
        <v>498.162812014625</v>
      </c>
      <c r="D31" s="47">
        <v>9.288885217086749</v>
      </c>
      <c r="E31" s="48">
        <v>-0.24847206981498793</v>
      </c>
    </row>
    <row r="32">
      <c r="A32" s="45" t="n">
        <v>3</v>
      </c>
      <c r="B32" s="46">
        <v>284.0403720723417</v>
      </c>
      <c r="C32" s="46">
        <v>756.2403720723416</v>
      </c>
      <c r="D32" s="47">
        <v>14.101072667986966</v>
      </c>
      <c r="E32" s="48">
        <v>0.140863484464965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9.288885217086749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5.425842194346303</v>
      </c>
      <c r="C37" s="47">
        <v>6.345236485460872</v>
      </c>
      <c r="D37" s="47">
        <v>7.264630776575444</v>
      </c>
      <c r="E37" s="47">
        <v>8.935807861450769</v>
      </c>
      <c r="F37" s="47">
        <v>10.496472682987784</v>
      </c>
    </row>
    <row r="38">
      <c r="A38" s="50" t="n">
        <v>0.8</v>
      </c>
      <c r="B38" s="47">
        <v>5.940945094713405</v>
      </c>
      <c r="C38" s="47">
        <v>7.166804149532834</v>
      </c>
      <c r="D38" s="47">
        <v>8.315717221272275</v>
      </c>
      <c r="E38" s="47">
        <v>10.412030039522433</v>
      </c>
      <c r="F38" s="47">
        <v>12.444836140642114</v>
      </c>
    </row>
    <row r="39">
      <c r="A39" s="50" t="n">
        <v>1</v>
      </c>
      <c r="B39" s="47">
        <v>6.456047995080509</v>
      </c>
      <c r="C39" s="47">
        <v>7.956990973676891</v>
      </c>
      <c r="D39" s="47">
        <v>9.288885217086749</v>
      </c>
      <c r="E39" s="47">
        <v>11.856286611197827</v>
      </c>
      <c r="F39" s="47">
        <v>14.364953515730816</v>
      </c>
    </row>
    <row r="40">
      <c r="A40" s="50" t="n">
        <v>1.2</v>
      </c>
      <c r="B40" s="47">
        <v>6.9711508954476145</v>
      </c>
      <c r="C40" s="47">
        <v>8.674621833430352</v>
      </c>
      <c r="D40" s="47">
        <v>10.24308808634077</v>
      </c>
      <c r="E40" s="47">
        <v>13.284291869423738</v>
      </c>
      <c r="F40" s="47">
        <v>16.27096523584902</v>
      </c>
    </row>
    <row r="41">
      <c r="A41" s="50" t="n">
        <v>1.4</v>
      </c>
      <c r="B41" s="47">
        <v>7.486253795814719</v>
      </c>
      <c r="C41" s="47">
        <v>9.378967002042259</v>
      </c>
      <c r="D41" s="47">
        <v>11.182169769618033</v>
      </c>
      <c r="E41" s="47">
        <v>14.699287986190562</v>
      </c>
      <c r="F41" s="47">
        <v>18.165464613508497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Avalo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Hidradenitis / alopecia / vitiligo</t>
        </is>
      </c>
      <c r="C4" s="14" t="inlineStr"/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0.1929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328.71403812758155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28.935</v>
      </c>
      <c r="S4" s="23">
        <f>IF(S$3&lt;$I4,0,$G4*Assumptions!$E$11*INDEX(Assumptions!$B$24:$G$24,MIN(6,S$3-$I4+1))*IF(S$3&gt;$J4,(1-Assumptions!$B$26)^(S$3-$J4),1)*IF($H4&gt;=1,1,MIN(0.97,$H4*Assumptions!$E$12)))</f>
        <v>72.33749999999999</v>
      </c>
      <c r="T4" s="23">
        <f>IF(T$3&lt;$I4,0,$G4*Assumptions!$E$11*INDEX(Assumptions!$B$24:$G$24,MIN(6,T$3-$I4+1))*IF(T$3&gt;$J4,(1-Assumptions!$B$26)^(T$3-$J4),1)*IF($H4&gt;=1,1,MIN(0.97,$H4*Assumptions!$E$12)))</f>
        <v>130.20749999999998</v>
      </c>
      <c r="U4" s="23">
        <f>IF(U$3&lt;$I4,0,$G4*Assumptions!$E$11*INDEX(Assumptions!$B$24:$G$24,MIN(6,U$3-$I4+1))*IF(U$3&gt;$J4,(1-Assumptions!$B$26)^(U$3-$J4),1)*IF($H4&gt;=1,1,MIN(0.97,$H4*Assumptions!$E$12)))</f>
        <v>188.0775</v>
      </c>
      <c r="V4" s="23">
        <f>IF(V$3&lt;$I4,0,$G4*Assumptions!$E$11*INDEX(Assumptions!$B$24:$G$24,MIN(6,V$3-$I4+1))*IF(V$3&gt;$J4,(1-Assumptions!$B$26)^(V$3-$J4),1)*IF($H4&gt;=1,1,MIN(0.97,$H4*Assumptions!$E$12)))</f>
        <v>245.9475</v>
      </c>
      <c r="W4" s="23">
        <f>IF(W$3&lt;$I4,0,$G4*Assumptions!$E$11*INDEX(Assumptions!$B$24:$G$24,MIN(6,W$3-$I4+1))*IF(W$3&gt;$J4,(1-Assumptions!$B$26)^(W$3-$J4),1)*IF($H4&gt;=1,1,MIN(0.97,$H4*Assumptions!$E$12)))</f>
        <v>289.34999999999997</v>
      </c>
      <c r="X4" s="23">
        <f>IF(X$3&lt;$I4,0,$G4*Assumptions!$E$11*INDEX(Assumptions!$B$24:$G$24,MIN(6,X$3-$I4+1))*IF(X$3&gt;$J4,(1-Assumptions!$B$26)^(X$3-$J4),1)*IF($H4&gt;=1,1,MIN(0.97,$H4*Assumptions!$E$12)))</f>
        <v>289.34999999999997</v>
      </c>
      <c r="Y4" s="23">
        <f>IF(Y$3&lt;$I4,0,$G4*Assumptions!$E$11*INDEX(Assumptions!$B$24:$G$24,MIN(6,Y$3-$I4+1))*IF(Y$3&gt;$J4,(1-Assumptions!$B$26)^(Y$3-$J4),1)*IF($H4&gt;=1,1,MIN(0.97,$H4*Assumptions!$E$12)))</f>
        <v>289.34999999999997</v>
      </c>
      <c r="Z4" s="23">
        <f>IF(Z$3&lt;$I4,0,$G4*Assumptions!$E$11*INDEX(Assumptions!$B$24:$G$24,MIN(6,Z$3-$I4+1))*IF(Z$3&gt;$J4,(1-Assumptions!$B$26)^(Z$3-$J4),1)*IF($H4&gt;=1,1,MIN(0.97,$H4*Assumptions!$E$12)))</f>
        <v>289.34999999999997</v>
      </c>
      <c r="AA4" s="23">
        <f>IF(AA$3&lt;$I4,0,$G4*Assumptions!$E$11*INDEX(Assumptions!$B$24:$G$24,MIN(6,AA$3-$I4+1))*IF(AA$3&gt;$J4,(1-Assumptions!$B$26)^(AA$3-$J4),1)*IF($H4&gt;=1,1,MIN(0.97,$H4*Assumptions!$E$12)))</f>
        <v>289.34999999999997</v>
      </c>
      <c r="AB4" s="23">
        <f>IF(AB$3&lt;$I4,0,$G4*Assumptions!$E$11*INDEX(Assumptions!$B$24:$G$24,MIN(6,AB$3-$I4+1))*IF(AB$3&gt;$J4,(1-Assumptions!$B$26)^(AB$3-$J4),1)*IF($H4&gt;=1,1,MIN(0.97,$H4*Assumptions!$E$12)))</f>
        <v>289.34999999999997</v>
      </c>
      <c r="AC4" s="23">
        <f>IF(AC$3&lt;$I4,0,$G4*Assumptions!$E$11*INDEX(Assumptions!$B$24:$G$24,MIN(6,AC$3-$I4+1))*IF(AC$3&gt;$J4,(1-Assumptions!$B$26)^(AC$3-$J4),1)*IF($H4&gt;=1,1,MIN(0.97,$H4*Assumptions!$E$12)))</f>
        <v>289.34999999999997</v>
      </c>
      <c r="AD4" s="23">
        <f>IF(AD$3&lt;$I4,0,$G4*Assumptions!$E$11*INDEX(Assumptions!$B$24:$G$24,MIN(6,AD$3-$I4+1))*IF(AD$3&gt;$J4,(1-Assumptions!$B$26)^(AD$3-$J4),1)*IF($H4&gt;=1,1,MIN(0.97,$H4*Assumptions!$E$12)))</f>
        <v>289.34999999999997</v>
      </c>
      <c r="AE4" s="23">
        <f>IF(AE$3&lt;$I4,0,$G4*Assumptions!$E$11*INDEX(Assumptions!$B$24:$G$24,MIN(6,AE$3-$I4+1))*IF(AE$3&gt;$J4,(1-Assumptions!$B$26)^(AE$3-$J4),1)*IF($H4&gt;=1,1,MIN(0.97,$H4*Assumptions!$E$12)))</f>
        <v>144.67499999999998</v>
      </c>
      <c r="AF4" s="23">
        <f>IF(AF$3&lt;$I4,0,$G4*Assumptions!$E$11*INDEX(Assumptions!$B$24:$G$24,MIN(6,AF$3-$I4+1))*IF(AF$3&gt;$J4,(1-Assumptions!$B$26)^(AF$3-$J4),1)*IF($H4&gt;=1,1,MIN(0.97,$H4*Assumptions!$E$12)))</f>
        <v>72.33749999999999</v>
      </c>
      <c r="AG4" s="35">
        <f>IF(F4="Owned",1-IF(H4&gt;=1,1,MIN(0.97,H4*Assumptions!$E$12)),1)</f>
        <v>0.8071</v>
      </c>
    </row>
    <row r="5">
      <c r="B5" s="24" t="inlineStr">
        <is>
          <t>Risked revenue</t>
        </is>
      </c>
      <c r="L5" s="54">
        <f>SUM(L4:L4)</f>
        <v>328.71403812758155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28.935</v>
      </c>
      <c r="S5" s="54">
        <f>SUM(S4:S4)</f>
        <v>72.33749999999999</v>
      </c>
      <c r="T5" s="54">
        <f>SUM(T4:T4)</f>
        <v>130.20749999999998</v>
      </c>
      <c r="U5" s="54">
        <f>SUM(U4:U4)</f>
        <v>188.0775</v>
      </c>
      <c r="V5" s="54">
        <f>SUM(V4:V4)</f>
        <v>245.9475</v>
      </c>
      <c r="W5" s="54">
        <f>SUM(W4:W4)</f>
        <v>289.34999999999997</v>
      </c>
      <c r="X5" s="54">
        <f>SUM(X4:X4)</f>
        <v>289.34999999999997</v>
      </c>
      <c r="Y5" s="54">
        <f>SUM(Y4:Y4)</f>
        <v>289.34999999999997</v>
      </c>
      <c r="Z5" s="54">
        <f>SUM(Z4:Z4)</f>
        <v>289.34999999999997</v>
      </c>
      <c r="AA5" s="54">
        <f>SUM(AA4:AA4)</f>
        <v>289.34999999999997</v>
      </c>
      <c r="AB5" s="54">
        <f>SUM(AB4:AB4)</f>
        <v>289.34999999999997</v>
      </c>
      <c r="AC5" s="54">
        <f>SUM(AC4:AC4)</f>
        <v>289.34999999999997</v>
      </c>
      <c r="AD5" s="54">
        <f>SUM(AD4:AD4)</f>
        <v>289.34999999999997</v>
      </c>
      <c r="AE5" s="54">
        <f>SUM(AE4:AE4)</f>
        <v>144.67499999999998</v>
      </c>
      <c r="AF5" s="54">
        <f>SUM(AF4:AF4)</f>
        <v>72.33749999999999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11.574</v>
      </c>
      <c r="S6" s="55">
        <f>SUMPRODUCT(S4:S4,$K$4:$K$4)</f>
        <v>28.935</v>
      </c>
      <c r="T6" s="55">
        <f>SUMPRODUCT(T4:T4,$K$4:$K$4)</f>
        <v>52.083</v>
      </c>
      <c r="U6" s="55">
        <f>SUMPRODUCT(U4:U4,$K$4:$K$4)</f>
        <v>75.231</v>
      </c>
      <c r="V6" s="55">
        <f>SUMPRODUCT(V4:V4,$K$4:$K$4)</f>
        <v>98.379</v>
      </c>
      <c r="W6" s="55">
        <f>SUMPRODUCT(W4:W4,$K$4:$K$4)</f>
        <v>115.74</v>
      </c>
      <c r="X6" s="55">
        <f>SUMPRODUCT(X4:X4,$K$4:$K$4)</f>
        <v>115.74</v>
      </c>
      <c r="Y6" s="55">
        <f>SUMPRODUCT(Y4:Y4,$K$4:$K$4)</f>
        <v>115.74</v>
      </c>
      <c r="Z6" s="55">
        <f>SUMPRODUCT(Z4:Z4,$K$4:$K$4)</f>
        <v>115.74</v>
      </c>
      <c r="AA6" s="55">
        <f>SUMPRODUCT(AA4:AA4,$K$4:$K$4)</f>
        <v>115.74</v>
      </c>
      <c r="AB6" s="55">
        <f>SUMPRODUCT(AB4:AB4,$K$4:$K$4)</f>
        <v>115.74</v>
      </c>
      <c r="AC6" s="55">
        <f>SUMPRODUCT(AC4:AC4,$K$4:$K$4)</f>
        <v>115.74</v>
      </c>
      <c r="AD6" s="55">
        <f>SUMPRODUCT(AD4:AD4,$K$4:$K$4)</f>
        <v>115.74</v>
      </c>
      <c r="AE6" s="55">
        <f>SUMPRODUCT(AE4:AE4,$K$4:$K$4)</f>
        <v>57.87</v>
      </c>
      <c r="AF6" s="55">
        <f>SUMPRODUCT(AF4:AF4,$K$4:$K$4)</f>
        <v>28.935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Avalo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28.935</v>
      </c>
      <c r="I4" s="57">
        <f>Pipeline!S5</f>
        <v>72.33749999999999</v>
      </c>
      <c r="J4" s="57">
        <f>Pipeline!T5</f>
        <v>130.20749999999998</v>
      </c>
      <c r="K4" s="57">
        <f>Pipeline!U5</f>
        <v>188.0775</v>
      </c>
      <c r="L4" s="57">
        <f>Pipeline!V5</f>
        <v>245.9475</v>
      </c>
      <c r="M4" s="57">
        <f>Pipeline!W5</f>
        <v>289.34999999999997</v>
      </c>
      <c r="N4" s="57">
        <f>Pipeline!X5</f>
        <v>289.34999999999997</v>
      </c>
      <c r="O4" s="57">
        <f>Pipeline!Y5</f>
        <v>289.34999999999997</v>
      </c>
      <c r="P4" s="57">
        <f>Pipeline!Z5</f>
        <v>289.34999999999997</v>
      </c>
      <c r="Q4" s="57">
        <f>Pipeline!AA5</f>
        <v>289.34999999999997</v>
      </c>
      <c r="R4" s="57">
        <f>Pipeline!AB5</f>
        <v>289.34999999999997</v>
      </c>
      <c r="S4" s="57">
        <f>Pipeline!AC5</f>
        <v>289.34999999999997</v>
      </c>
      <c r="T4" s="57">
        <f>Pipeline!AD5</f>
        <v>289.34999999999997</v>
      </c>
      <c r="U4" s="57">
        <f>Pipeline!AE5</f>
        <v>144.67499999999998</v>
      </c>
      <c r="V4" s="57">
        <f>Pipeline!AF5</f>
        <v>72.33749999999999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11.574</v>
      </c>
      <c r="I5" s="57">
        <f>Pipeline!S6</f>
        <v>28.935</v>
      </c>
      <c r="J5" s="57">
        <f>Pipeline!T6</f>
        <v>52.083</v>
      </c>
      <c r="K5" s="57">
        <f>Pipeline!U6</f>
        <v>75.231</v>
      </c>
      <c r="L5" s="57">
        <f>Pipeline!V6</f>
        <v>98.379</v>
      </c>
      <c r="M5" s="57">
        <f>Pipeline!W6</f>
        <v>115.74</v>
      </c>
      <c r="N5" s="57">
        <f>Pipeline!X6</f>
        <v>115.74</v>
      </c>
      <c r="O5" s="57">
        <f>Pipeline!Y6</f>
        <v>115.74</v>
      </c>
      <c r="P5" s="57">
        <f>Pipeline!Z6</f>
        <v>115.74</v>
      </c>
      <c r="Q5" s="57">
        <f>Pipeline!AA6</f>
        <v>115.74</v>
      </c>
      <c r="R5" s="57">
        <f>Pipeline!AB6</f>
        <v>115.74</v>
      </c>
      <c r="S5" s="57">
        <f>Pipeline!AC6</f>
        <v>115.74</v>
      </c>
      <c r="T5" s="57">
        <f>Pipeline!AD6</f>
        <v>115.74</v>
      </c>
      <c r="U5" s="57">
        <f>Pipeline!AE6</f>
        <v>57.87</v>
      </c>
      <c r="V5" s="57">
        <f>Pipeline!AF6</f>
        <v>28.935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-91.36</v>
      </c>
      <c r="D6" s="23">
        <f>-IF(D3-2026&lt;Assumptions!$B$19,Assumptions!$B$18,Assumptions!$B$18*Assumptions!$B$20*Assumptions!$B$16)</f>
        <v>-91.36</v>
      </c>
      <c r="E6" s="23">
        <f>-IF(E3-2026&lt;Assumptions!$B$19,Assumptions!$B$18,Assumptions!$B$18*Assumptions!$B$20*Assumptions!$B$16)</f>
        <v>-91.36</v>
      </c>
      <c r="F6" s="23">
        <f>-IF(F3-2026&lt;Assumptions!$B$19,Assumptions!$B$18,Assumptions!$B$18*Assumptions!$B$20*Assumptions!$B$16)</f>
        <v>-91.36</v>
      </c>
      <c r="G6" s="23">
        <f>-IF(G3-2026&lt;Assumptions!$B$19,Assumptions!$B$18,Assumptions!$B$18*Assumptions!$B$20*Assumptions!$B$16)</f>
        <v>-5.287003199999998</v>
      </c>
      <c r="H6" s="23">
        <f>-IF(H3-2026&lt;Assumptions!$B$19,Assumptions!$B$18,Assumptions!$B$18*Assumptions!$B$20*Assumptions!$B$16)</f>
        <v>-5.287003199999998</v>
      </c>
      <c r="I6" s="23">
        <f>-IF(I3-2026&lt;Assumptions!$B$19,Assumptions!$B$18,Assumptions!$B$18*Assumptions!$B$20*Assumptions!$B$16)</f>
        <v>-5.287003199999998</v>
      </c>
      <c r="J6" s="23">
        <f>-IF(J3-2026&lt;Assumptions!$B$19,Assumptions!$B$18,Assumptions!$B$18*Assumptions!$B$20*Assumptions!$B$16)</f>
        <v>-5.287003199999998</v>
      </c>
      <c r="K6" s="23">
        <f>-IF(K3-2026&lt;Assumptions!$B$19,Assumptions!$B$18,Assumptions!$B$18*Assumptions!$B$20*Assumptions!$B$16)</f>
        <v>-5.287003199999998</v>
      </c>
      <c r="L6" s="23">
        <f>-IF(L3-2026&lt;Assumptions!$B$19,Assumptions!$B$18,Assumptions!$B$18*Assumptions!$B$20*Assumptions!$B$16)</f>
        <v>-5.287003199999998</v>
      </c>
      <c r="M6" s="23">
        <f>-IF(M3-2026&lt;Assumptions!$B$19,Assumptions!$B$18,Assumptions!$B$18*Assumptions!$B$20*Assumptions!$B$16)</f>
        <v>-5.287003199999998</v>
      </c>
      <c r="N6" s="23">
        <f>-IF(N3-2026&lt;Assumptions!$B$19,Assumptions!$B$18,Assumptions!$B$18*Assumptions!$B$20*Assumptions!$B$16)</f>
        <v>-5.287003199999998</v>
      </c>
      <c r="O6" s="23">
        <f>-IF(O3-2026&lt;Assumptions!$B$19,Assumptions!$B$18,Assumptions!$B$18*Assumptions!$B$20*Assumptions!$B$16)</f>
        <v>-5.287003199999998</v>
      </c>
      <c r="P6" s="23">
        <f>-IF(P3-2026&lt;Assumptions!$B$19,Assumptions!$B$18,Assumptions!$B$18*Assumptions!$B$20*Assumptions!$B$16)</f>
        <v>-5.287003199999998</v>
      </c>
      <c r="Q6" s="23">
        <f>-IF(Q3-2026&lt;Assumptions!$B$19,Assumptions!$B$18,Assumptions!$B$18*Assumptions!$B$20*Assumptions!$B$16)</f>
        <v>-5.287003199999998</v>
      </c>
      <c r="R6" s="23">
        <f>-IF(R3-2026&lt;Assumptions!$B$19,Assumptions!$B$18,Assumptions!$B$18*Assumptions!$B$20*Assumptions!$B$16)</f>
        <v>-5.287003199999998</v>
      </c>
      <c r="S6" s="23">
        <f>-IF(S3-2026&lt;Assumptions!$B$19,Assumptions!$B$18,Assumptions!$B$18*Assumptions!$B$20*Assumptions!$B$16)</f>
        <v>-5.287003199999998</v>
      </c>
      <c r="T6" s="23">
        <f>-IF(T3-2026&lt;Assumptions!$B$19,Assumptions!$B$18,Assumptions!$B$18*Assumptions!$B$20*Assumptions!$B$16)</f>
        <v>-5.287003199999998</v>
      </c>
      <c r="U6" s="23">
        <f>-IF(U3-2026&lt;Assumptions!$B$19,Assumptions!$B$18,Assumptions!$B$18*Assumptions!$B$20*Assumptions!$B$16)</f>
        <v>-5.287003199999998</v>
      </c>
      <c r="V6" s="23">
        <f>-IF(V3-2026&lt;Assumptions!$B$19,Assumptions!$B$18,Assumptions!$B$18*Assumptions!$B$20*Assumptions!$B$16)</f>
        <v>-5.287003199999998</v>
      </c>
    </row>
    <row r="7">
      <c r="A7" s="14" t="inlineStr">
        <is>
          <t>Pre-tax cash flow</t>
        </is>
      </c>
      <c r="C7" s="23">
        <f>C5+C6</f>
        <v>-91.36</v>
      </c>
      <c r="D7" s="23">
        <f>D5+D6</f>
        <v>-91.36</v>
      </c>
      <c r="E7" s="23">
        <f>E5+E6</f>
        <v>-91.36</v>
      </c>
      <c r="F7" s="23">
        <f>F5+F6</f>
        <v>-91.36</v>
      </c>
      <c r="G7" s="23">
        <f>G5+G6</f>
        <v>-5.287003199999998</v>
      </c>
      <c r="H7" s="23">
        <f>H5+H6</f>
        <v>6.286996800000002</v>
      </c>
      <c r="I7" s="23">
        <f>I5+I6</f>
        <v>23.6479968</v>
      </c>
      <c r="J7" s="23">
        <f>J5+J6</f>
        <v>46.7959968</v>
      </c>
      <c r="K7" s="23">
        <f>K5+K6</f>
        <v>69.9439968</v>
      </c>
      <c r="L7" s="23">
        <f>L5+L6</f>
        <v>93.0919968</v>
      </c>
      <c r="M7" s="23">
        <f>M5+M6</f>
        <v>110.4529968</v>
      </c>
      <c r="N7" s="23">
        <f>N5+N6</f>
        <v>110.4529968</v>
      </c>
      <c r="O7" s="23">
        <f>O5+O6</f>
        <v>110.4529968</v>
      </c>
      <c r="P7" s="23">
        <f>P5+P6</f>
        <v>110.4529968</v>
      </c>
      <c r="Q7" s="23">
        <f>Q5+Q6</f>
        <v>110.4529968</v>
      </c>
      <c r="R7" s="23">
        <f>R5+R6</f>
        <v>110.4529968</v>
      </c>
      <c r="S7" s="23">
        <f>S5+S6</f>
        <v>110.4529968</v>
      </c>
      <c r="T7" s="23">
        <f>T5+T6</f>
        <v>110.4529968</v>
      </c>
      <c r="U7" s="23">
        <f>U5+U6</f>
        <v>52.5829968</v>
      </c>
      <c r="V7" s="23">
        <f>V5+V6</f>
        <v>23.6479968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6.286996800000002</v>
      </c>
      <c r="I8" s="23">
        <f>MIN(H17,MAX(0,I7))</f>
        <v>23.6479968</v>
      </c>
      <c r="J8" s="23">
        <f>MIN(I17,MAX(0,J7))</f>
        <v>46.7959968</v>
      </c>
      <c r="K8" s="23">
        <f>MIN(J17,MAX(0,K7))</f>
        <v>69.9439968</v>
      </c>
      <c r="L8" s="23">
        <f>MIN(K17,MAX(0,L7))</f>
        <v>93.0919968</v>
      </c>
      <c r="M8" s="23">
        <f>MIN(L17,MAX(0,M7))</f>
        <v>110.4529968</v>
      </c>
      <c r="N8" s="23">
        <f>MIN(M17,MAX(0,N7))</f>
        <v>110.4529968</v>
      </c>
      <c r="O8" s="23">
        <f>MIN(N17,MAX(0,O7))</f>
        <v>110.4529968</v>
      </c>
      <c r="P8" s="23">
        <f>MIN(O17,MAX(0,P7))</f>
        <v>110.4529968</v>
      </c>
      <c r="Q8" s="23">
        <f>MIN(P17,MAX(0,Q7))</f>
        <v>110.4529968</v>
      </c>
      <c r="R8" s="23">
        <f>MIN(Q17,MAX(0,R7))</f>
        <v>25.39503519999988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85.05796160000011</v>
      </c>
      <c r="S9" s="23">
        <f>MAX(0,S7)-S8</f>
        <v>110.4529968</v>
      </c>
      <c r="T9" s="23">
        <f>MAX(0,T7)-T8</f>
        <v>110.4529968</v>
      </c>
      <c r="U9" s="23">
        <f>MAX(0,U7)-U8</f>
        <v>52.5829968</v>
      </c>
      <c r="V9" s="23">
        <f>MAX(0,V7)-V8</f>
        <v>23.6479968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17.862171936000024</v>
      </c>
      <c r="S10" s="23">
        <f>S9*Assumptions!$E$15</f>
        <v>23.195129327999997</v>
      </c>
      <c r="T10" s="23">
        <f>T9*Assumptions!$E$15</f>
        <v>23.195129327999997</v>
      </c>
      <c r="U10" s="23">
        <f>U9*Assumptions!$E$15</f>
        <v>11.042429327999999</v>
      </c>
      <c r="V10" s="23">
        <f>V9*Assumptions!$E$15</f>
        <v>4.966079328</v>
      </c>
    </row>
    <row r="11">
      <c r="A11" s="24" t="inlineStr">
        <is>
          <t>Free cash flow</t>
        </is>
      </c>
      <c r="C11" s="55">
        <f>C7-C10</f>
        <v>-91.36</v>
      </c>
      <c r="D11" s="55">
        <f>D7-D10</f>
        <v>-91.36</v>
      </c>
      <c r="E11" s="55">
        <f>E7-E10</f>
        <v>-91.36</v>
      </c>
      <c r="F11" s="55">
        <f>F7-F10</f>
        <v>-91.36</v>
      </c>
      <c r="G11" s="55">
        <f>G7-G10</f>
        <v>-5.287003199999998</v>
      </c>
      <c r="H11" s="55">
        <f>H7-H10</f>
        <v>6.286996800000002</v>
      </c>
      <c r="I11" s="55">
        <f>I7-I10</f>
        <v>23.6479968</v>
      </c>
      <c r="J11" s="55">
        <f>J7-J10</f>
        <v>46.7959968</v>
      </c>
      <c r="K11" s="55">
        <f>K7-K10</f>
        <v>69.9439968</v>
      </c>
      <c r="L11" s="55">
        <f>L7-L10</f>
        <v>93.0919968</v>
      </c>
      <c r="M11" s="55">
        <f>M7-M10</f>
        <v>110.4529968</v>
      </c>
      <c r="N11" s="55">
        <f>N7-N10</f>
        <v>110.4529968</v>
      </c>
      <c r="O11" s="55">
        <f>O7-O10</f>
        <v>110.4529968</v>
      </c>
      <c r="P11" s="55">
        <f>P7-P10</f>
        <v>110.4529968</v>
      </c>
      <c r="Q11" s="55">
        <f>Q7-Q10</f>
        <v>110.4529968</v>
      </c>
      <c r="R11" s="55">
        <f>R7-R10</f>
        <v>92.59082486399997</v>
      </c>
      <c r="S11" s="55">
        <f>S7-S10</f>
        <v>87.257867472</v>
      </c>
      <c r="T11" s="55">
        <f>T7-T10</f>
        <v>87.257867472</v>
      </c>
      <c r="U11" s="55">
        <f>U7-U10</f>
        <v>41.540567472</v>
      </c>
      <c r="V11" s="55">
        <f>V7-V10</f>
        <v>18.681917472000002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-44.75766132597945</v>
      </c>
      <c r="D16" s="55">
        <f>D11*D15</f>
        <v>-81.53353540628432</v>
      </c>
      <c r="E16" s="55">
        <f>E11*E15</f>
        <v>-72.79779946989669</v>
      </c>
      <c r="F16" s="55">
        <f>F11*F15</f>
        <v>-64.99803524097918</v>
      </c>
      <c r="G16" s="55">
        <f>G11*G15</f>
        <v>-3.3584252673173784</v>
      </c>
      <c r="H16" s="55">
        <f>H11*H15</f>
        <v>3.5657536222612287</v>
      </c>
      <c r="I16" s="55">
        <f>I11*I15</f>
        <v>11.975245570238764</v>
      </c>
      <c r="J16" s="55">
        <f>J11*J15</f>
        <v>21.158298995968057</v>
      </c>
      <c r="K16" s="55">
        <f>K11*K15</f>
        <v>28.23608432775006</v>
      </c>
      <c r="L16" s="55">
        <f>L11*L15</f>
        <v>33.554312737716906</v>
      </c>
      <c r="M16" s="55">
        <f>M11*M15</f>
        <v>35.546388488610155</v>
      </c>
      <c r="N16" s="55">
        <f>N11*N15</f>
        <v>31.737846864830487</v>
      </c>
      <c r="O16" s="55">
        <f>O11*O15</f>
        <v>28.337363272170077</v>
      </c>
      <c r="P16" s="55">
        <f>P11*P15</f>
        <v>25.30121720729471</v>
      </c>
      <c r="Q16" s="55">
        <f>Q11*Q15</f>
        <v>22.59037250651313</v>
      </c>
      <c r="R16" s="55">
        <f>R11*R15</f>
        <v>16.9081393779792</v>
      </c>
      <c r="S16" s="55">
        <f>S11*S15</f>
        <v>14.22703625649344</v>
      </c>
      <c r="T16" s="55">
        <f>T11*T15</f>
        <v>12.702710943297713</v>
      </c>
      <c r="U16" s="55">
        <f>U11*U15</f>
        <v>5.399408961877695</v>
      </c>
      <c r="V16" s="55">
        <f>V11*V15</f>
        <v>2.168089592080414</v>
      </c>
    </row>
    <row r="17">
      <c r="A17" s="14" t="inlineStr">
        <is>
          <t>Tax-loss carryforward, end of year</t>
        </is>
      </c>
      <c r="C17" s="23">
        <f>Assumptions!$B$21-C8+MAX(0,-C7)</f>
        <v>538.06</v>
      </c>
      <c r="D17" s="23">
        <f>C17-D8+MAX(0,-D7)</f>
        <v>629.42</v>
      </c>
      <c r="E17" s="23">
        <f>D17-E8+MAX(0,-E7)</f>
        <v>720.78</v>
      </c>
      <c r="F17" s="23">
        <f>E17-F8+MAX(0,-F7)</f>
        <v>812.14</v>
      </c>
      <c r="G17" s="23">
        <f>F17-G8+MAX(0,-G7)</f>
        <v>817.4270032</v>
      </c>
      <c r="H17" s="23">
        <f>G17-H8+MAX(0,-H7)</f>
        <v>811.1400064</v>
      </c>
      <c r="I17" s="23">
        <f>H17-I8+MAX(0,-I7)</f>
        <v>787.4920096</v>
      </c>
      <c r="J17" s="23">
        <f>I17-J8+MAX(0,-J7)</f>
        <v>740.6960128</v>
      </c>
      <c r="K17" s="23">
        <f>J17-K8+MAX(0,-K7)</f>
        <v>670.7520159999999</v>
      </c>
      <c r="L17" s="23">
        <f>K17-L8+MAX(0,-L7)</f>
        <v>577.6600191999999</v>
      </c>
      <c r="M17" s="23">
        <f>L17-M8+MAX(0,-M7)</f>
        <v>467.20702239999986</v>
      </c>
      <c r="N17" s="23">
        <f>M17-N8+MAX(0,-N7)</f>
        <v>356.75402559999986</v>
      </c>
      <c r="O17" s="23">
        <f>N17-O8+MAX(0,-O7)</f>
        <v>246.30102879999987</v>
      </c>
      <c r="P17" s="23">
        <f>O17-P8+MAX(0,-P7)</f>
        <v>135.84803199999988</v>
      </c>
      <c r="Q17" s="23">
        <f>P17-Q8+MAX(0,-Q7)</f>
        <v>25.39503519999988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328.71403812758155</v>
      </c>
    </row>
    <row r="20">
      <c r="A20" s="14" t="inlineStr">
        <is>
          <t>PV of corporate burn</t>
        </is>
      </c>
      <c r="B20" s="23">
        <f>SUMPRODUCT(C6:V6,C15:V15)</f>
        <v>-290.31923610415095</v>
      </c>
    </row>
    <row r="21">
      <c r="A21" s="14" t="inlineStr">
        <is>
          <t>PV of taxes</t>
        </is>
      </c>
      <c r="B21" s="23">
        <f>-SUMPRODUCT(C10:V10,C15:V15)</f>
        <v>-12.43199000880561</v>
      </c>
    </row>
    <row r="22">
      <c r="A22" s="24" t="inlineStr">
        <is>
          <t>Pipeline rNPV (operations)</t>
        </is>
      </c>
      <c r="B22" s="54">
        <f>SUM(C16:V16)</f>
        <v>25.962812014625023</v>
      </c>
    </row>
    <row r="23">
      <c r="A23" s="14" t="inlineStr">
        <is>
          <t>Cash &amp; investments</t>
        </is>
      </c>
      <c r="B23" s="57">
        <f>Main!C7</f>
        <v>472.2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498.162812014625</v>
      </c>
    </row>
    <row r="26">
      <c r="A26" s="14" t="inlineStr">
        <is>
          <t>Shares (mm)</t>
        </is>
      </c>
      <c r="B26" s="57">
        <f>Main!C4</f>
        <v>53.629989</v>
      </c>
    </row>
    <row r="27">
      <c r="A27" s="24" t="inlineStr">
        <is>
          <t>rNPV / share</t>
        </is>
      </c>
      <c r="B27" s="60">
        <f>B25/B26</f>
        <v>9.288885217086749</v>
      </c>
    </row>
    <row r="28">
      <c r="A28" s="14" t="inlineStr">
        <is>
          <t>Price</t>
        </is>
      </c>
      <c r="B28" s="61">
        <f>Main!C3</f>
        <v>12.36</v>
      </c>
    </row>
    <row r="29">
      <c r="A29" s="14" t="inlineStr">
        <is>
          <t>Upside</t>
        </is>
      </c>
      <c r="B29" s="62">
        <f>B27/B28-1</f>
        <v>-0.24847206981498793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2026-10-21T06:24:41Z</dcterms:modified>
  <cp:lastModifiedBy>Wang, Eric</cp:lastModifiedBy>
</cp:coreProperties>
</file>