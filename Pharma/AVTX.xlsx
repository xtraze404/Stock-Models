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Avalo Therapeutics, Inc.</t>
        </is>
      </c>
      <c r="C2" s="10" t="n"/>
    </row>
    <row r="3">
      <c r="B3" t="inlineStr">
        <is>
          <t>Price</t>
        </is>
      </c>
      <c r="C3" s="11">
        <f>INDEX([1]Pharma!$F$1:$F$1000,MATCH("AVTX",[1]Pharma!$B$1:$B$1000,0))</f>
        <v>12.36</v>
      </c>
      <c r="F3" s="1" t="n"/>
    </row>
    <row r="4">
      <c r="B4" t="inlineStr">
        <is>
          <t>Shares</t>
        </is>
      </c>
      <c r="C4" s="21" t="n">
        <v>53.629989</v>
      </c>
      <c r="F4" s="1" t="n"/>
    </row>
    <row r="5">
      <c r="B5" t="inlineStr">
        <is>
          <t>Market Cap.</t>
        </is>
      </c>
      <c r="C5" s="13">
        <f>C3*C4</f>
        <v>662.86666404</v>
      </c>
      <c r="F5" s="1" t="n"/>
    </row>
    <row r="6"/>
    <row r="7">
      <c r="B7" t="inlineStr">
        <is>
          <t>Cash</t>
        </is>
      </c>
      <c r="C7" s="21" t="n">
        <v>472.2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190.66666404000006</v>
      </c>
    </row>
    <row r="10"/>
    <row r="11">
      <c r="B11" s="14" t="inlineStr">
        <is>
          <t>Net Cash / Share</t>
        </is>
      </c>
      <c r="C11" s="11">
        <f>(C7-C8)/C4</f>
        <v>8.804775253636542</v>
      </c>
    </row>
    <row r="12">
      <c r="B12" s="14" t="inlineStr">
        <is>
          <t>Upside</t>
        </is>
      </c>
      <c r="C12" s="15">
        <f>IFERROR(C11/C3-1,"")</f>
        <v>-0.2876395425860402</v>
      </c>
    </row>
    <row r="13">
      <c r="B13" s="14" t="inlineStr">
        <is>
          <t>Cash / Share</t>
        </is>
      </c>
      <c r="C13" s="11">
        <f>IFERROR((C7-C8)/C4,"")</f>
        <v>8.804775253636542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-68.29000000000001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6.914628788988138</v>
      </c>
    </row>
    <row r="19">
      <c r="B19" s="14" t="inlineStr">
        <is>
          <t>Implied Pipeline Value</t>
        </is>
      </c>
      <c r="C19" s="13">
        <f>C9</f>
        <v>190.66666404000006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1.153</v>
      </c>
      <c r="F2" s="23" t="n">
        <v>27.813</v>
      </c>
      <c r="G2" s="23" t="n">
        <v>7.028</v>
      </c>
      <c r="H2" s="23" t="n">
        <v>6.75</v>
      </c>
      <c r="I2" s="23" t="n">
        <v>6.699</v>
      </c>
      <c r="J2" s="23" t="n">
        <v>5.398</v>
      </c>
      <c r="K2" s="23" t="n">
        <v>18.051</v>
      </c>
      <c r="L2" s="23" t="n">
        <v>1.924</v>
      </c>
      <c r="M2" s="23" t="n">
        <v>0.441</v>
      </c>
      <c r="N2" s="23" t="n">
        <v>0.059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0.636</v>
      </c>
      <c r="G3" s="23" t="n">
        <v>3.261</v>
      </c>
      <c r="H3" s="23" t="n">
        <v>-0.5669999999999999</v>
      </c>
      <c r="I3" s="23" t="n">
        <v>0.3</v>
      </c>
      <c r="J3" s="23" t="n">
        <v>1.491</v>
      </c>
      <c r="K3" s="23" t="n">
        <v>3.434</v>
      </c>
      <c r="L3" s="23" t="n">
        <v>1.284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1.153</v>
      </c>
      <c r="F4" s="23">
        <f>F2-F3</f>
        <v>27.177</v>
      </c>
      <c r="G4" s="23">
        <f>G2-G3</f>
        <v>3.7669999999999995</v>
      </c>
      <c r="H4" s="23">
        <f>H2-H3</f>
        <v>7.317</v>
      </c>
      <c r="I4" s="23">
        <f>I2-I3</f>
        <v>6.399</v>
      </c>
      <c r="J4" s="23">
        <f>J2-J3</f>
        <v>3.9069999999999996</v>
      </c>
      <c r="K4" s="23">
        <f>K2-K3</f>
        <v>14.616999999999997</v>
      </c>
      <c r="L4" s="23">
        <f>L2-L3</f>
        <v>0.6399999999999999</v>
      </c>
      <c r="M4" s="23">
        <f>M2-M3</f>
        <v>0.441</v>
      </c>
      <c r="N4" s="23">
        <f>N2-N3</f>
        <v>0.059</v>
      </c>
    </row>
    <row r="5">
      <c r="A5" s="2" t="inlineStr">
        <is>
          <t>Research &amp; Dev.</t>
        </is>
      </c>
      <c r="B5" s="23" t="n">
        <v>8.914</v>
      </c>
      <c r="C5" s="23" t="n">
        <v>12.241</v>
      </c>
      <c r="D5" s="23" t="n">
        <v>6.587</v>
      </c>
      <c r="E5" s="23" t="n">
        <v>10.15</v>
      </c>
      <c r="F5" s="23" t="n">
        <v>4.373</v>
      </c>
      <c r="G5" s="23" t="n">
        <v>5.787</v>
      </c>
      <c r="H5" s="23" t="n">
        <v>11.764</v>
      </c>
      <c r="I5" s="23" t="n">
        <v>32.193</v>
      </c>
      <c r="J5" s="23" t="n">
        <v>59.835</v>
      </c>
      <c r="K5" s="23" t="n">
        <v>31.308</v>
      </c>
      <c r="L5" s="23" t="n">
        <v>13.784</v>
      </c>
      <c r="M5" s="23" t="n">
        <v>24.437</v>
      </c>
      <c r="N5" s="23" t="n">
        <v>50.084</v>
      </c>
    </row>
    <row r="6">
      <c r="A6" s="19" t="inlineStr">
        <is>
          <t>SG&amp;A &amp; Other</t>
        </is>
      </c>
      <c r="B6" s="23" t="n">
        <v>4.02</v>
      </c>
      <c r="C6" s="23" t="n">
        <v>4.875</v>
      </c>
      <c r="D6" s="23" t="n">
        <v>4.423</v>
      </c>
      <c r="E6" s="23" t="n">
        <v>7.083</v>
      </c>
      <c r="F6" s="23" t="n">
        <v>8.914999999999999</v>
      </c>
      <c r="G6" s="23" t="n">
        <v>33.36</v>
      </c>
      <c r="H6" s="23" t="n">
        <v>11.69</v>
      </c>
      <c r="I6" s="23" t="n">
        <v>47.049</v>
      </c>
      <c r="J6" s="23" t="n">
        <v>26.206</v>
      </c>
      <c r="K6" s="23" t="n">
        <v>20.749</v>
      </c>
      <c r="L6" s="23" t="n">
        <v>14.207</v>
      </c>
      <c r="M6" s="23" t="n">
        <v>44.516</v>
      </c>
      <c r="N6" s="23" t="n">
        <v>22.9</v>
      </c>
    </row>
    <row r="7">
      <c r="A7" s="2" t="inlineStr">
        <is>
          <t>Operating Expense</t>
        </is>
      </c>
      <c r="B7" s="23">
        <f>SUM(B5:B6)</f>
        <v>12.934</v>
      </c>
      <c r="C7" s="23">
        <f>SUM(C5:C6)</f>
        <v>17.116</v>
      </c>
      <c r="D7" s="23">
        <f>SUM(D5:D6)</f>
        <v>11.01</v>
      </c>
      <c r="E7" s="23">
        <f>SUM(E5:E6)</f>
        <v>17.233</v>
      </c>
      <c r="F7" s="23">
        <f>SUM(F5:F6)</f>
        <v>13.288</v>
      </c>
      <c r="G7" s="23">
        <f>SUM(G5:G6)</f>
        <v>39.147</v>
      </c>
      <c r="H7" s="23">
        <f>SUM(H5:H6)</f>
        <v>23.454</v>
      </c>
      <c r="I7" s="23">
        <f>SUM(I5:I6)</f>
        <v>79.24199999999999</v>
      </c>
      <c r="J7" s="23">
        <f>SUM(J5:J6)</f>
        <v>86.041</v>
      </c>
      <c r="K7" s="23">
        <f>SUM(K5:K6)</f>
        <v>52.057</v>
      </c>
      <c r="L7" s="23">
        <f>SUM(L5:L6)</f>
        <v>27.991</v>
      </c>
      <c r="M7" s="23">
        <f>SUM(M5:M6)</f>
        <v>68.953</v>
      </c>
      <c r="N7" s="23">
        <f>SUM(N5:N6)</f>
        <v>72.98400000000001</v>
      </c>
    </row>
    <row r="8">
      <c r="A8" s="2" t="inlineStr">
        <is>
          <t>Operating Income</t>
        </is>
      </c>
      <c r="B8" s="23">
        <f>B4-B7</f>
        <v>-12.934</v>
      </c>
      <c r="C8" s="23">
        <f>C4-C7</f>
        <v>-17.116</v>
      </c>
      <c r="D8" s="23">
        <f>D4-D7</f>
        <v>-11.01</v>
      </c>
      <c r="E8" s="23">
        <f>E4-E7</f>
        <v>-16.080000000000002</v>
      </c>
      <c r="F8" s="23">
        <f>F4-F7</f>
        <v>13.889</v>
      </c>
      <c r="G8" s="23">
        <f>G4-G7</f>
        <v>-35.379999999999995</v>
      </c>
      <c r="H8" s="23">
        <f>H4-H7</f>
        <v>-16.137</v>
      </c>
      <c r="I8" s="23">
        <f>I4-I7</f>
        <v>-72.84299999999999</v>
      </c>
      <c r="J8" s="23">
        <f>J4-J7</f>
        <v>-82.134</v>
      </c>
      <c r="K8" s="23">
        <f>K4-K7</f>
        <v>-37.440000000000005</v>
      </c>
      <c r="L8" s="23">
        <f>L4-L7</f>
        <v>-27.351</v>
      </c>
      <c r="M8" s="23">
        <f>M4-M7</f>
        <v>-68.512</v>
      </c>
      <c r="N8" s="23">
        <f>N4-N7</f>
        <v>-72.92500000000001</v>
      </c>
    </row>
    <row r="9">
      <c r="A9" s="19" t="inlineStr">
        <is>
          <t>Interest &amp; Other</t>
        </is>
      </c>
      <c r="B9" s="23" t="n">
        <v>-0.111</v>
      </c>
      <c r="C9" s="23" t="n">
        <v>1.06</v>
      </c>
      <c r="D9" s="23" t="n">
        <v>0.52</v>
      </c>
      <c r="E9" s="23" t="n">
        <v>-0.392</v>
      </c>
      <c r="F9" s="23" t="n">
        <v>-0.054</v>
      </c>
      <c r="G9" s="23" t="n">
        <v>-4.724</v>
      </c>
      <c r="H9" s="23" t="n">
        <v>0.345</v>
      </c>
      <c r="I9" s="23" t="n">
        <v>6.55</v>
      </c>
      <c r="J9" s="23" t="n">
        <v>-2.438</v>
      </c>
      <c r="K9" s="23" t="n">
        <v>-4.19</v>
      </c>
      <c r="L9" s="23" t="n">
        <v>-4.179</v>
      </c>
      <c r="M9" s="23" t="n">
        <v>33.497</v>
      </c>
      <c r="N9" s="23" t="n">
        <v>-5.169</v>
      </c>
    </row>
    <row r="10">
      <c r="A10" s="2" t="inlineStr">
        <is>
          <t>Pretax</t>
        </is>
      </c>
      <c r="B10" s="23">
        <f>B8+B9</f>
        <v>-13.045</v>
      </c>
      <c r="C10" s="23">
        <f>C8+C9</f>
        <v>-16.056</v>
      </c>
      <c r="D10" s="23">
        <f>D8+D9</f>
        <v>-10.49</v>
      </c>
      <c r="E10" s="23">
        <f>E8+E9</f>
        <v>-16.472</v>
      </c>
      <c r="F10" s="23">
        <f>F8+F9</f>
        <v>13.834999999999999</v>
      </c>
      <c r="G10" s="23">
        <f>G8+G9</f>
        <v>-40.104</v>
      </c>
      <c r="H10" s="23">
        <f>H8+H9</f>
        <v>-15.792</v>
      </c>
      <c r="I10" s="23">
        <f>I8+I9</f>
        <v>-66.29299999999999</v>
      </c>
      <c r="J10" s="23">
        <f>J8+J9</f>
        <v>-84.572</v>
      </c>
      <c r="K10" s="23">
        <f>K8+K9</f>
        <v>-41.63</v>
      </c>
      <c r="L10" s="23">
        <f>L8+L9</f>
        <v>-31.53</v>
      </c>
      <c r="M10" s="23">
        <f>M8+M9</f>
        <v>-35.015</v>
      </c>
      <c r="N10" s="23">
        <f>N8+N9</f>
        <v>-78.09400000000001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1.967</v>
      </c>
      <c r="G11" s="23" t="n">
        <v>-0.049</v>
      </c>
      <c r="H11" s="23" t="n">
        <v>0.28</v>
      </c>
      <c r="I11" s="23" t="n">
        <v>-2.793</v>
      </c>
      <c r="J11" s="23" t="n">
        <v>-0.196</v>
      </c>
      <c r="K11" s="23" t="n">
        <v>0.028</v>
      </c>
      <c r="L11" s="23" t="n">
        <v>0.014</v>
      </c>
      <c r="M11" s="23" t="n">
        <v>0.114</v>
      </c>
      <c r="N11" s="23" t="n">
        <v>0.165</v>
      </c>
    </row>
    <row r="12">
      <c r="A12" s="2" t="inlineStr">
        <is>
          <t>Net Income</t>
        </is>
      </c>
      <c r="B12" s="23" t="n">
        <v>-13.045</v>
      </c>
      <c r="C12" s="23" t="n">
        <v>-16.056</v>
      </c>
      <c r="D12" s="23" t="n">
        <v>-10.49</v>
      </c>
      <c r="E12" s="23" t="n">
        <v>-16.472</v>
      </c>
      <c r="F12" s="23" t="n">
        <v>11.87</v>
      </c>
      <c r="G12" s="23" t="n">
        <v>-40.053</v>
      </c>
      <c r="H12" s="23" t="n">
        <v>-16.073</v>
      </c>
      <c r="I12" s="23" t="n">
        <v>-63.5</v>
      </c>
      <c r="J12" s="23" t="n">
        <v>-84.376</v>
      </c>
      <c r="K12" s="23" t="n">
        <v>-41.658</v>
      </c>
      <c r="L12" s="23" t="n">
        <v>-31.544</v>
      </c>
      <c r="M12" s="23" t="n">
        <v>-35.129</v>
      </c>
      <c r="N12" s="23" t="n">
        <v>-78.259</v>
      </c>
    </row>
    <row r="13">
      <c r="A13" s="2" t="inlineStr">
        <is>
          <t>Earnings per Share</t>
        </is>
      </c>
      <c r="B13" s="11">
        <f>IFERROR(B12/B14,0)</f>
        <v>-26.896907216494846</v>
      </c>
      <c r="C13" s="11">
        <f>IFERROR(C12/C14,0)</f>
        <v>-32.63414634146342</v>
      </c>
      <c r="D13" s="11">
        <f>IFERROR(D12/D14,0)</f>
        <v>-6.152492668621701</v>
      </c>
      <c r="E13" s="11">
        <f>IFERROR(E12/E14,0)</f>
        <v>-9.740981667652278</v>
      </c>
      <c r="F13" s="11">
        <f>IFERROR(F12/F14,0)</f>
        <v>3.305485937064884</v>
      </c>
      <c r="G13" s="11">
        <f>IFERROR(G12/G14,0)</f>
        <v>-6.014867097161736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-5.549220727321167</v>
      </c>
      <c r="L13" s="11">
        <f>IFERROR(L12/L14,0)</f>
        <v>-4.206427523669823</v>
      </c>
      <c r="M13" s="11">
        <f>IFERROR(M12/M14,0)</f>
        <v>-4.68636606189968</v>
      </c>
      <c r="N13" s="11">
        <f>IFERROR(N12/N14,0)</f>
        <v>-5.83804550540843</v>
      </c>
    </row>
    <row r="14">
      <c r="A14" s="2" t="inlineStr">
        <is>
          <t>Shares</t>
        </is>
      </c>
      <c r="B14" s="23" t="n">
        <v>0.485</v>
      </c>
      <c r="C14" s="23" t="n">
        <v>0.492</v>
      </c>
      <c r="D14" s="23" t="n">
        <v>1.705</v>
      </c>
      <c r="E14" s="23" t="n">
        <v>1.691</v>
      </c>
      <c r="F14" s="23" t="n">
        <v>3.591</v>
      </c>
      <c r="G14" s="23" t="n">
        <v>6.659</v>
      </c>
      <c r="H14" s="23" t="n"/>
      <c r="I14" s="23" t="n"/>
      <c r="J14" s="23" t="n"/>
      <c r="K14" s="23" t="n">
        <v>7.507</v>
      </c>
      <c r="L14" s="23" t="n">
        <v>7.499</v>
      </c>
      <c r="M14" s="23" t="n">
        <v>7.496</v>
      </c>
      <c r="N14" s="23" t="n">
        <v>13.405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23.122289679098003</v>
      </c>
      <c r="G16" s="15">
        <f>IFERROR(G2/F2-1,"")</f>
        <v>-0.7473124078668248</v>
      </c>
      <c r="H16" s="15">
        <f>IFERROR(H2/G2-1,"")</f>
        <v>-0.03955606146841206</v>
      </c>
      <c r="I16" s="15">
        <f>IFERROR(I2/H2-1,"")</f>
        <v>-0.007555555555555538</v>
      </c>
      <c r="J16" s="15">
        <f>IFERROR(J2/I2-1,"")</f>
        <v>-0.19420809075981493</v>
      </c>
      <c r="K16" s="15">
        <f>IFERROR(K2/J2-1,"")</f>
        <v>2.3440163023341976</v>
      </c>
      <c r="L16" s="15">
        <f>IFERROR(L2/K2-1,"")</f>
        <v>-0.8934131073070744</v>
      </c>
      <c r="M16" s="15">
        <f>IFERROR(M2/L2-1,"")</f>
        <v>-0.7707900207900208</v>
      </c>
      <c r="N16" s="15">
        <f>IFERROR(N2/M2-1,"")</f>
        <v>-0.8662131519274376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0.9771329953618811</v>
      </c>
      <c r="G17" s="15">
        <f>IFERROR(G4/G2,"")</f>
        <v>0.5359988616960728</v>
      </c>
      <c r="H17" s="15">
        <f>IFERROR(H4/H2,"")</f>
        <v>1.084</v>
      </c>
      <c r="I17" s="15">
        <f>IFERROR(I4/I2,"")</f>
        <v>0.955217196596507</v>
      </c>
      <c r="J17" s="15">
        <f>IFERROR(J4/J2,"")</f>
        <v>0.7237865876250463</v>
      </c>
      <c r="K17" s="15">
        <f>IFERROR(K4/K2,"")</f>
        <v>0.8097612320647055</v>
      </c>
      <c r="L17" s="15">
        <f>IFERROR(L4/L2,"")</f>
        <v>0.3326403326403326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-13.946227233304425</v>
      </c>
      <c r="F18" s="15">
        <f>IFERROR(F8/F2,"")</f>
        <v>0.49937079782835364</v>
      </c>
      <c r="G18" s="15">
        <f>IFERROR(G8/G2,"")</f>
        <v>-5.034149117814456</v>
      </c>
      <c r="H18" s="15">
        <f>IFERROR(H8/H2,"")</f>
        <v>-2.3906666666666667</v>
      </c>
      <c r="I18" s="15">
        <f>IFERROR(I8/I2,"")</f>
        <v>-10.873712494402149</v>
      </c>
      <c r="J18" s="15">
        <f>IFERROR(J8/J2,"")</f>
        <v>-15.215635420526121</v>
      </c>
      <c r="K18" s="15">
        <f>IFERROR(K8/K2,"")</f>
        <v>-2.074123317267742</v>
      </c>
      <c r="L18" s="15">
        <f>IFERROR(L8/L2,"")</f>
        <v>-14.215696465696466</v>
      </c>
      <c r="M18" s="15">
        <f>IFERROR(M8/M2,"")</f>
        <v>-155.3560090702948</v>
      </c>
      <c r="N18" s="15">
        <f>IFERROR(N8/N2,"")</f>
        <v>-1236.0169491525426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2026-10-21T01:05:01Z</dcterms:modified>
  <cp:lastModifiedBy>Wang, Eric</cp:lastModifiedBy>
</cp:coreProperties>
</file>