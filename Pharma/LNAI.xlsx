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Lunai Bioworks Inc</t>
        </is>
      </c>
      <c r="C2" s="10" t="n"/>
    </row>
    <row r="3">
      <c r="B3" t="inlineStr">
        <is>
          <t>Price</t>
        </is>
      </c>
      <c r="C3" s="11">
        <f>INDEX([1]Pharma!$F$1:$F$1000,MATCH("LNAI",[1]Pharma!$B$1:$B$1000,0))</f>
        <v>0.515</v>
      </c>
      <c r="F3" s="1" t="n"/>
    </row>
    <row r="4">
      <c r="B4" t="inlineStr">
        <is>
          <t>Shares</t>
        </is>
      </c>
      <c r="C4" s="21" t="n">
        <v>36.271119</v>
      </c>
      <c r="F4" s="1" t="n"/>
    </row>
    <row r="5">
      <c r="B5" t="inlineStr">
        <is>
          <t>Market Cap.</t>
        </is>
      </c>
      <c r="C5" s="13">
        <f>C3*C4</f>
        <v>18.679626285</v>
      </c>
      <c r="F5" s="1" t="n"/>
    </row>
    <row r="6"/>
    <row r="7">
      <c r="B7" t="inlineStr">
        <is>
          <t>Cash</t>
        </is>
      </c>
      <c r="C7" s="21" t="n">
        <v>3.155272</v>
      </c>
    </row>
    <row r="8">
      <c r="B8" t="inlineStr">
        <is>
          <t>Debt</t>
        </is>
      </c>
      <c r="C8" s="21" t="n">
        <v>0.12</v>
      </c>
    </row>
    <row r="9">
      <c r="B9" t="inlineStr">
        <is>
          <t>Enterprise V.</t>
        </is>
      </c>
      <c r="C9" s="13">
        <f>C5-C7+C8</f>
        <v>15.644354285</v>
      </c>
    </row>
    <row r="10"/>
    <row r="11">
      <c r="B11" s="14" t="inlineStr">
        <is>
          <t>Net Cash / Share</t>
        </is>
      </c>
      <c r="C11" s="11">
        <f>(C7-C8)/C4</f>
        <v>0.0836828883057068</v>
      </c>
    </row>
    <row r="12">
      <c r="B12" s="14" t="inlineStr">
        <is>
          <t>Upside</t>
        </is>
      </c>
      <c r="C12" s="15">
        <f>IFERROR(C11/C3-1,"")</f>
        <v>-0.8375089547462004</v>
      </c>
    </row>
    <row r="13">
      <c r="B13" s="14" t="inlineStr">
        <is>
          <t>Cash / Share</t>
        </is>
      </c>
      <c r="C13" s="11">
        <f>IFERROR((C7-C8)/C4,"")</f>
        <v>0.0836828883057068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-5.288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0.5739924357034796</v>
      </c>
    </row>
    <row r="19">
      <c r="B19" s="14" t="inlineStr">
        <is>
          <t>Implied Pipeline Value</t>
        </is>
      </c>
      <c r="C19" s="13">
        <f>C9</f>
        <v>15.644354285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2012</v>
      </c>
      <c r="C1" s="17" t="n">
        <v>2013</v>
      </c>
      <c r="D1" s="17" t="n">
        <v>2014</v>
      </c>
      <c r="E1" s="17" t="n">
        <v>2016</v>
      </c>
      <c r="F1" s="17" t="n">
        <v>2017</v>
      </c>
      <c r="G1" s="17" t="n">
        <v>2018</v>
      </c>
      <c r="H1" s="17" t="n">
        <v>2019</v>
      </c>
      <c r="I1" s="17" t="n">
        <v>2020</v>
      </c>
      <c r="J1" s="17" t="n">
        <v>2021</v>
      </c>
      <c r="K1" s="17" t="n">
        <v>2022</v>
      </c>
      <c r="L1" s="17" t="n">
        <v>2023</v>
      </c>
      <c r="M1" s="17" t="n">
        <v>2024</v>
      </c>
      <c r="N1" s="17" t="n">
        <v>2025</v>
      </c>
      <c r="O1" s="17" t="n">
        <v>2026</v>
      </c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0.063</v>
      </c>
      <c r="C2" s="23" t="n">
        <v>0.033</v>
      </c>
      <c r="D2" s="23" t="n">
        <v>0</v>
      </c>
      <c r="E2" s="23" t="n">
        <v>0.043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0.052</v>
      </c>
    </row>
    <row r="3" customFormat="1" s="1">
      <c r="A3" s="5" t="inlineStr">
        <is>
          <t>Cost of Sales</t>
        </is>
      </c>
      <c r="B3" s="23" t="n">
        <v>0.064</v>
      </c>
      <c r="C3" s="23" t="n">
        <v>0.109</v>
      </c>
      <c r="D3" s="23" t="n">
        <v>0.296</v>
      </c>
      <c r="E3" s="23" t="n">
        <v>0.005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</row>
    <row r="4" customFormat="1" s="1">
      <c r="A4" s="5" t="inlineStr">
        <is>
          <t>Gross Margin</t>
        </is>
      </c>
      <c r="B4" s="23">
        <f>B2-B3</f>
        <v>-0.0010000000000000009</v>
      </c>
      <c r="C4" s="23">
        <f>C2-C3</f>
        <v>-0.076</v>
      </c>
      <c r="D4" s="23">
        <f>D2-D3</f>
        <v>-0.296</v>
      </c>
      <c r="E4" s="23">
        <f>E2-E3</f>
        <v>0.038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0.052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0.804</v>
      </c>
      <c r="F5" s="23" t="n">
        <v>0.063</v>
      </c>
      <c r="G5" s="23" t="n">
        <v>0.617</v>
      </c>
      <c r="H5" s="23" t="n">
        <v>2.498</v>
      </c>
      <c r="I5" s="23" t="n">
        <v>4.694</v>
      </c>
      <c r="J5" s="23" t="n">
        <v>15.72</v>
      </c>
      <c r="K5" s="23" t="n">
        <v>8.372999999999999</v>
      </c>
      <c r="L5" s="23" t="n">
        <v>4.165</v>
      </c>
      <c r="M5" s="23" t="n">
        <v>2.709</v>
      </c>
      <c r="N5" s="23" t="n">
        <v>0.537</v>
      </c>
      <c r="O5" s="23" t="n">
        <v>0.025</v>
      </c>
    </row>
    <row r="6">
      <c r="A6" s="19" t="inlineStr">
        <is>
          <t>SG&amp;A &amp; Other</t>
        </is>
      </c>
      <c r="B6" s="23" t="n">
        <v>1.922</v>
      </c>
      <c r="C6" s="23" t="n">
        <v>1.662</v>
      </c>
      <c r="D6" s="23" t="n">
        <v>2.134</v>
      </c>
      <c r="E6" s="23" t="n">
        <v>1.354</v>
      </c>
      <c r="F6" s="23" t="n">
        <v>2.338</v>
      </c>
      <c r="G6" s="23" t="n">
        <v>4.712</v>
      </c>
      <c r="H6" s="23" t="n">
        <v>8.492000000000001</v>
      </c>
      <c r="I6" s="23" t="n">
        <v>7.229</v>
      </c>
      <c r="J6" s="23" t="n">
        <v>7.682</v>
      </c>
      <c r="K6" s="23" t="n">
        <v>107.706</v>
      </c>
      <c r="L6" s="23" t="n">
        <v>34.392</v>
      </c>
      <c r="M6" s="23" t="n">
        <v>78.93000000000001</v>
      </c>
      <c r="N6" s="23" t="n">
        <v>188.429</v>
      </c>
      <c r="O6" s="23" t="n">
        <v>8.725</v>
      </c>
    </row>
    <row r="7">
      <c r="A7" s="2" t="inlineStr">
        <is>
          <t>Operating Expense</t>
        </is>
      </c>
      <c r="B7" s="23">
        <f>SUM(B5:B6)</f>
        <v>1.922</v>
      </c>
      <c r="C7" s="23">
        <f>SUM(C5:C6)</f>
        <v>1.662</v>
      </c>
      <c r="D7" s="23">
        <f>SUM(D5:D6)</f>
        <v>2.134</v>
      </c>
      <c r="E7" s="23">
        <f>SUM(E5:E6)</f>
        <v>2.1580000000000004</v>
      </c>
      <c r="F7" s="23">
        <f>SUM(F5:F6)</f>
        <v>2.4010000000000002</v>
      </c>
      <c r="G7" s="23">
        <f>SUM(G5:G6)</f>
        <v>5.329</v>
      </c>
      <c r="H7" s="23">
        <f>SUM(H5:H6)</f>
        <v>10.990000000000002</v>
      </c>
      <c r="I7" s="23">
        <f>SUM(I5:I6)</f>
        <v>11.923</v>
      </c>
      <c r="J7" s="23">
        <f>SUM(J5:J6)</f>
        <v>23.402</v>
      </c>
      <c r="K7" s="23">
        <f>SUM(K5:K6)</f>
        <v>116.07900000000001</v>
      </c>
      <c r="L7" s="23">
        <f>SUM(L5:L6)</f>
        <v>38.557</v>
      </c>
      <c r="M7" s="23">
        <f>SUM(M5:M6)</f>
        <v>81.63900000000001</v>
      </c>
      <c r="N7" s="23">
        <f>SUM(N5:N6)</f>
        <v>188.966</v>
      </c>
      <c r="O7" s="23">
        <f>SUM(O5:O6)</f>
        <v>8.75</v>
      </c>
    </row>
    <row r="8">
      <c r="A8" s="2" t="inlineStr">
        <is>
          <t>Operating Income</t>
        </is>
      </c>
      <c r="B8" s="23">
        <f>B4-B7</f>
        <v>-1.923</v>
      </c>
      <c r="C8" s="23">
        <f>C4-C7</f>
        <v>-1.738</v>
      </c>
      <c r="D8" s="23">
        <f>D4-D7</f>
        <v>-2.4299999999999997</v>
      </c>
      <c r="E8" s="23">
        <f>E4-E7</f>
        <v>-2.1200000000000006</v>
      </c>
      <c r="F8" s="23">
        <f>F4-F7</f>
        <v>-2.4010000000000002</v>
      </c>
      <c r="G8" s="23">
        <f>G4-G7</f>
        <v>-5.329</v>
      </c>
      <c r="H8" s="23">
        <f>H4-H7</f>
        <v>-10.990000000000002</v>
      </c>
      <c r="I8" s="23">
        <f>I4-I7</f>
        <v>-11.923</v>
      </c>
      <c r="J8" s="23">
        <f>J4-J7</f>
        <v>-23.402</v>
      </c>
      <c r="K8" s="23">
        <f>K4-K7</f>
        <v>-116.07900000000001</v>
      </c>
      <c r="L8" s="23">
        <f>L4-L7</f>
        <v>-38.557</v>
      </c>
      <c r="M8" s="23">
        <f>M4-M7</f>
        <v>-81.63900000000001</v>
      </c>
      <c r="N8" s="23">
        <f>N4-N7</f>
        <v>-188.966</v>
      </c>
      <c r="O8" s="23">
        <f>O4-O7</f>
        <v>-8.698</v>
      </c>
    </row>
    <row r="9">
      <c r="A9" s="19" t="inlineStr">
        <is>
          <t>Interest &amp; Other</t>
        </is>
      </c>
      <c r="B9" s="23" t="n">
        <v>-0.504</v>
      </c>
      <c r="C9" s="23" t="n">
        <v>-0.408</v>
      </c>
      <c r="D9" s="23" t="n">
        <v>-0.119</v>
      </c>
      <c r="E9" s="23" t="n">
        <v>-0.077</v>
      </c>
      <c r="F9" s="23" t="n">
        <v>0.193</v>
      </c>
      <c r="G9" s="23" t="n">
        <v>-1.094</v>
      </c>
      <c r="H9" s="23" t="n">
        <v>-7.026</v>
      </c>
      <c r="I9" s="23" t="n">
        <v>0.507</v>
      </c>
      <c r="J9" s="23" t="n">
        <v>-3.447</v>
      </c>
      <c r="K9" s="23" t="n">
        <v>2.646</v>
      </c>
      <c r="L9" s="23" t="n">
        <v>-1.127</v>
      </c>
      <c r="M9" s="23" t="n">
        <v>-6.787</v>
      </c>
      <c r="N9" s="23" t="n">
        <v>10.96</v>
      </c>
      <c r="O9" s="23" t="n">
        <v>5.137</v>
      </c>
    </row>
    <row r="10">
      <c r="A10" s="2" t="inlineStr">
        <is>
          <t>Pretax</t>
        </is>
      </c>
      <c r="B10" s="23">
        <f>B8+B9</f>
        <v>-2.427</v>
      </c>
      <c r="C10" s="23">
        <f>C8+C9</f>
        <v>-2.146</v>
      </c>
      <c r="D10" s="23">
        <f>D8+D9</f>
        <v>-2.5489999999999995</v>
      </c>
      <c r="E10" s="23">
        <f>E8+E9</f>
        <v>-2.1970000000000005</v>
      </c>
      <c r="F10" s="23">
        <f>F8+F9</f>
        <v>-2.208</v>
      </c>
      <c r="G10" s="23">
        <f>G8+G9</f>
        <v>-6.423</v>
      </c>
      <c r="H10" s="23">
        <f>H8+H9</f>
        <v>-18.016000000000002</v>
      </c>
      <c r="I10" s="23">
        <f>I8+I9</f>
        <v>-11.416</v>
      </c>
      <c r="J10" s="23">
        <f>J8+J9</f>
        <v>-26.849</v>
      </c>
      <c r="K10" s="23">
        <f>K8+K9</f>
        <v>-113.433</v>
      </c>
      <c r="L10" s="23">
        <f>L8+L9</f>
        <v>-39.684000000000005</v>
      </c>
      <c r="M10" s="23">
        <f>M8+M9</f>
        <v>-88.42600000000002</v>
      </c>
      <c r="N10" s="23">
        <f>N8+N9</f>
        <v>-178.006</v>
      </c>
      <c r="O10" s="23">
        <f>O8+O9</f>
        <v>-3.561000000000001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-0.178</v>
      </c>
      <c r="E11" s="23" t="n">
        <v>-0.463</v>
      </c>
      <c r="F11" s="23" t="n">
        <v>-0.065</v>
      </c>
      <c r="G11" s="23" t="n">
        <v>-0.112</v>
      </c>
      <c r="H11" s="23" t="n">
        <v>0</v>
      </c>
      <c r="I11" s="23" t="n">
        <v>0</v>
      </c>
      <c r="J11" s="23" t="n">
        <v>-0.125</v>
      </c>
      <c r="K11" s="23" t="n">
        <v>0</v>
      </c>
      <c r="L11" s="23" t="n">
        <v>0</v>
      </c>
      <c r="M11" s="23" t="n">
        <v>0</v>
      </c>
      <c r="N11" s="23" t="n">
        <v>0.001</v>
      </c>
      <c r="O11" s="23" t="n">
        <v>0.001</v>
      </c>
    </row>
    <row r="12">
      <c r="A12" s="2" t="inlineStr">
        <is>
          <t>Net Income</t>
        </is>
      </c>
      <c r="B12" s="23" t="n">
        <v>-2.428</v>
      </c>
      <c r="C12" s="23" t="n">
        <v>-2.147</v>
      </c>
      <c r="D12" s="23" t="n">
        <v>-2.371</v>
      </c>
      <c r="E12" s="23" t="n">
        <v>-1.735</v>
      </c>
      <c r="F12" s="23" t="n">
        <v>-2.143</v>
      </c>
      <c r="G12" s="23" t="n">
        <v>-6.312</v>
      </c>
      <c r="H12" s="23" t="n">
        <v>-18.016</v>
      </c>
      <c r="I12" s="23" t="n">
        <v>-11.416</v>
      </c>
      <c r="J12" s="23" t="n">
        <v>-26.724</v>
      </c>
      <c r="K12" s="23" t="n">
        <v>-113.433</v>
      </c>
      <c r="L12" s="23" t="n">
        <v>-39.684</v>
      </c>
      <c r="M12" s="23" t="n">
        <v>-88.426</v>
      </c>
      <c r="N12" s="23" t="n">
        <v>-178.007</v>
      </c>
      <c r="O12" s="23" t="n">
        <v>-3.562</v>
      </c>
    </row>
    <row r="13">
      <c r="A13" s="2" t="inlineStr">
        <is>
          <t>Earnings per Share</t>
        </is>
      </c>
      <c r="B13" s="11">
        <f>IFERROR(B12/B14,0)</f>
        <v>-21.486725663716815</v>
      </c>
      <c r="C13" s="11">
        <f>IFERROR(C12/C14,0)</f>
        <v>-18.999999999999996</v>
      </c>
      <c r="D13" s="11">
        <f>IFERROR(D12/D14,0)</f>
        <v>-14.81875</v>
      </c>
      <c r="E13" s="11">
        <f>IFERROR(E12/E14,0)</f>
        <v>-8.54679802955665</v>
      </c>
      <c r="F13" s="11">
        <f>IFERROR(F12/F14,0)</f>
        <v>-8.210727969348659</v>
      </c>
      <c r="G13" s="11">
        <f>IFERROR(G12/G14,0)</f>
        <v>-13.516059957173447</v>
      </c>
      <c r="H13" s="11">
        <f>IFERROR(H12/H14,0)</f>
        <v>-22.54818523153942</v>
      </c>
      <c r="I13" s="11">
        <f>IFERROR(I12/I14,0)</f>
        <v>-11.578093306288032</v>
      </c>
      <c r="J13" s="11">
        <f>IFERROR(J12/J14,0)</f>
        <v>-26.617529880478088</v>
      </c>
      <c r="K13" s="11">
        <f>IFERROR(K12/K14,0)</f>
        <v>-101.46064400715564</v>
      </c>
      <c r="L13" s="11">
        <f>IFERROR(L12/L14,0)</f>
        <v>-33.152882205513784</v>
      </c>
      <c r="M13" s="11">
        <f>IFERROR(M12/M14,0)</f>
        <v>-42.61493975903614</v>
      </c>
      <c r="N13" s="11">
        <f>IFERROR(N12/N14,0)</f>
        <v>-86.28550654386815</v>
      </c>
      <c r="O13" s="11">
        <f>IFERROR(O12/O14,0)</f>
        <v>-1.0598036298720617</v>
      </c>
    </row>
    <row r="14">
      <c r="A14" s="2" t="inlineStr">
        <is>
          <t>Shares</t>
        </is>
      </c>
      <c r="B14" s="23" t="n">
        <v>0.113</v>
      </c>
      <c r="C14" s="23" t="n">
        <v>0.113</v>
      </c>
      <c r="D14" s="23" t="n">
        <v>0.16</v>
      </c>
      <c r="E14" s="23" t="n">
        <v>0.203</v>
      </c>
      <c r="F14" s="23" t="n">
        <v>0.261</v>
      </c>
      <c r="G14" s="23" t="n">
        <v>0.467</v>
      </c>
      <c r="H14" s="23" t="n">
        <v>0.799</v>
      </c>
      <c r="I14" s="23" t="n">
        <v>0.986</v>
      </c>
      <c r="J14" s="23" t="n">
        <v>1.004</v>
      </c>
      <c r="K14" s="23" t="n">
        <v>1.118</v>
      </c>
      <c r="L14" s="23" t="n">
        <v>1.197</v>
      </c>
      <c r="M14" s="23" t="n">
        <v>2.075</v>
      </c>
      <c r="N14" s="23" t="n">
        <v>2.063</v>
      </c>
      <c r="O14" s="23" t="n">
        <v>3.361</v>
      </c>
    </row>
    <row r="15"/>
    <row r="16" customFormat="1" s="4">
      <c r="A16" s="3" t="inlineStr">
        <is>
          <t>Revenue Change</t>
        </is>
      </c>
      <c r="C16" s="15">
        <f>IFERROR(C2/B2-1,"")</f>
        <v>-0.47619047619047616</v>
      </c>
      <c r="D16" s="15">
        <f>IFERROR(D2/C2-1,"")</f>
        <v>-1.0</v>
      </c>
      <c r="E16" s="15">
        <f>IFERROR(E2/D2-1,"")</f>
        <v/>
      </c>
      <c r="F16" s="15">
        <f>IFERROR(F2/E2-1,"")</f>
        <v>-1.0</v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</row>
    <row r="17" customFormat="1" s="4">
      <c r="A17" s="3" t="inlineStr">
        <is>
          <t>Gross Margin</t>
        </is>
      </c>
      <c r="B17" s="15">
        <f>IFERROR(B4/B2,"")</f>
        <v>-0.015873015873015886</v>
      </c>
      <c r="C17" s="15">
        <f>IFERROR(C4/C2,"")</f>
        <v>-2.3030303030303028</v>
      </c>
      <c r="D17" s="15">
        <f>IFERROR(D4/D2,"")</f>
        <v/>
      </c>
      <c r="E17" s="15">
        <f>IFERROR(E4/E2,"")</f>
        <v>0.8837209302325582</v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>1.0</v>
      </c>
    </row>
    <row r="18">
      <c r="A18" s="14" t="inlineStr">
        <is>
          <t>Operating Margin</t>
        </is>
      </c>
      <c r="B18" s="15">
        <f>IFERROR(B8/B2,"")</f>
        <v>-30.523809523809526</v>
      </c>
      <c r="C18" s="15">
        <f>IFERROR(C8/C2,"")</f>
        <v>-52.666666666666664</v>
      </c>
      <c r="D18" s="15">
        <f>IFERROR(D8/D2,"")</f>
        <v/>
      </c>
      <c r="E18" s="15">
        <f>IFERROR(E8/E2,"")</f>
        <v>-49.302325581395365</v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>-167.26923076923077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2026-10-21T01:06:25Z</dcterms:modified>
  <cp:lastModifiedBy>Wang, Eric</cp:lastModifiedBy>
</cp:coreProperties>
</file>