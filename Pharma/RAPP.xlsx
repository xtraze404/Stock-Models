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Rapport Therapeutics, Inc.</t>
        </is>
      </c>
      <c r="C2" s="10" t="n"/>
    </row>
    <row r="3">
      <c r="B3" t="inlineStr">
        <is>
          <t>Price</t>
        </is>
      </c>
      <c r="C3" s="11">
        <f>INDEX([1]Pharma!$F$1:$F$1000,MATCH("RAPP",[1]Pharma!$B$1:$B$1000,0))</f>
        <v>29.37</v>
      </c>
      <c r="F3" s="1" t="n"/>
    </row>
    <row r="4">
      <c r="B4" t="inlineStr">
        <is>
          <t>Shares</t>
        </is>
      </c>
      <c r="C4" s="21" t="n">
        <v>47.978286</v>
      </c>
      <c r="F4" s="1" t="n"/>
    </row>
    <row r="5">
      <c r="B5" t="inlineStr">
        <is>
          <t>Market Cap.</t>
        </is>
      </c>
      <c r="C5" s="13">
        <f>C3*C4</f>
        <v>1409.12225982</v>
      </c>
      <c r="F5" s="1" t="n"/>
    </row>
    <row r="6"/>
    <row r="7">
      <c r="B7" t="inlineStr">
        <is>
          <t>Cash</t>
        </is>
      </c>
      <c r="C7" s="21">
        <f>63.612+372.465</f>
        <v>436.077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973.04525982</v>
      </c>
    </row>
    <row r="10"/>
    <row r="11">
      <c r="B11" s="14" t="inlineStr">
        <is>
          <t>Net Cash / Share</t>
        </is>
      </c>
      <c r="C11" s="11">
        <f>(C7-C8)/C4</f>
        <v>9.089049158613129</v>
      </c>
    </row>
    <row r="12">
      <c r="B12" s="14" t="inlineStr">
        <is>
          <t>Upside</t>
        </is>
      </c>
      <c r="C12" s="15">
        <f>IFERROR(C11/C3-1,"")</f>
        <v>-0.6905328853042857</v>
      </c>
    </row>
    <row r="13">
      <c r="B13" s="14" t="inlineStr">
        <is>
          <t>Cash / Share</t>
        </is>
      </c>
      <c r="C13" s="11">
        <f>IFERROR((C7-C8)/C4,"")</f>
        <v>9.089049158613129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-96.682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4.510425932438303</v>
      </c>
    </row>
    <row r="19">
      <c r="B19" s="14" t="inlineStr">
        <is>
          <t>Implied Pipeline Value</t>
        </is>
      </c>
      <c r="C19" s="13">
        <f>C9</f>
        <v>973.04525982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27.999</v>
      </c>
      <c r="C5" s="23" t="n">
        <v>60.935</v>
      </c>
      <c r="D5" s="23" t="n">
        <v>94.789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8.18</v>
      </c>
      <c r="C6" s="23" t="n">
        <v>22.12</v>
      </c>
      <c r="D6" s="23" t="n">
        <v>30.31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36.179</v>
      </c>
      <c r="C7" s="23">
        <f>SUM(C5:C6)</f>
        <v>83.055</v>
      </c>
      <c r="D7" s="23">
        <f>SUM(D5:D6)</f>
        <v>125.099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-36.179</v>
      </c>
      <c r="C8" s="23">
        <f>C4-C7</f>
        <v>-83.055</v>
      </c>
      <c r="D8" s="23">
        <f>D4-D7</f>
        <v>-125.099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1.403</v>
      </c>
      <c r="C9" s="23" t="n">
        <v>4.748</v>
      </c>
      <c r="D9" s="23" t="n">
        <v>13.616</v>
      </c>
    </row>
    <row r="10">
      <c r="A10" s="2" t="inlineStr">
        <is>
          <t>Pretax</t>
        </is>
      </c>
      <c r="B10" s="23">
        <f>B8+B9</f>
        <v>-34.776</v>
      </c>
      <c r="C10" s="23">
        <f>C8+C9</f>
        <v>-78.307</v>
      </c>
      <c r="D10" s="23">
        <f>D8+D9</f>
        <v>-111.483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0.01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-34.786</v>
      </c>
      <c r="C12" s="23" t="n">
        <v>-78.307</v>
      </c>
      <c r="D12" s="23" t="n">
        <v>-111.483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-1.6501114747877237</v>
      </c>
      <c r="C13" s="11">
        <f>IFERROR(C12/C14,0)</f>
        <v>-3.7760150448452117</v>
      </c>
      <c r="D13" s="11">
        <f>IFERROR(D12/D14,0)</f>
        <v>-2.8633106459483755</v>
      </c>
    </row>
    <row r="14">
      <c r="A14" s="2" t="inlineStr">
        <is>
          <t>Shares</t>
        </is>
      </c>
      <c r="B14" s="23" t="n">
        <v>21.081</v>
      </c>
      <c r="C14" s="23" t="n">
        <v>20.738</v>
      </c>
      <c r="D14" s="23" t="n">
        <v>38.935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2026-10-21T01:04:45Z</dcterms:modified>
  <cp:lastModifiedBy>Wang, Eric</cp:lastModifiedBy>
</cp:coreProperties>
</file>