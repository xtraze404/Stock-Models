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Senestech Inc</t>
        </is>
      </c>
      <c r="C2" s="10" t="n"/>
    </row>
    <row r="3">
      <c r="B3" t="inlineStr">
        <is>
          <t>Price</t>
        </is>
      </c>
      <c r="C3" s="11">
        <f>INDEX([1]Pharma!$F$1:$F$1000,MATCH("SNES",[1]Pharma!$B$1:$B$1000,0))</f>
        <v>0.6893</v>
      </c>
      <c r="F3" s="1" t="n"/>
    </row>
    <row r="4">
      <c r="B4" t="inlineStr">
        <is>
          <t>Shares</t>
        </is>
      </c>
      <c r="C4" s="21" t="n">
        <v>5.423542</v>
      </c>
      <c r="F4" s="1" t="n"/>
    </row>
    <row r="5">
      <c r="B5" t="inlineStr">
        <is>
          <t>Market Cap.</t>
        </is>
      </c>
      <c r="C5" s="13">
        <f>C3*C4</f>
        <v>3.7384475006000004</v>
      </c>
      <c r="F5" s="1" t="n"/>
    </row>
    <row r="6"/>
    <row r="7">
      <c r="B7" t="inlineStr">
        <is>
          <t>Cash</t>
        </is>
      </c>
      <c r="C7" s="21" t="n">
        <v>5.1</v>
      </c>
    </row>
    <row r="8">
      <c r="B8" t="inlineStr">
        <is>
          <t>Debt</t>
        </is>
      </c>
      <c r="C8" s="21">
        <f>0.065+0.111</f>
        <v>0.176</v>
      </c>
    </row>
    <row r="9">
      <c r="B9" t="inlineStr">
        <is>
          <t>Enterprise V.</t>
        </is>
      </c>
      <c r="C9" s="13">
        <f>C5-C7+C8</f>
        <v>-1.1855524993999993</v>
      </c>
    </row>
    <row r="10"/>
    <row r="11">
      <c r="B11" s="14" t="inlineStr">
        <is>
          <t>Net Cash / Share</t>
        </is>
      </c>
      <c r="C11" s="11">
        <f>(C7-C8)/C4</f>
        <v>0.907893771266084</v>
      </c>
    </row>
    <row r="12">
      <c r="B12" s="14" t="inlineStr">
        <is>
          <t>Upside</t>
        </is>
      </c>
      <c r="C12" s="15">
        <f>IFERROR(C11/C3-1,"")</f>
        <v>0.3171242873438038</v>
      </c>
    </row>
    <row r="13">
      <c r="B13" s="14" t="inlineStr">
        <is>
          <t>Cash / Share</t>
        </is>
      </c>
      <c r="C13" s="11">
        <f>IFERROR((C7-C8)/C4,"")</f>
        <v>0.907893771266084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-6.681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0.7370154168537644</v>
      </c>
    </row>
    <row r="19">
      <c r="B19" s="14" t="inlineStr">
        <is>
          <t>Implied Pipeline Value</t>
        </is>
      </c>
      <c r="C19" s="13">
        <f>C9</f>
        <v>-1.1855524993999993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0.241</v>
      </c>
      <c r="C2" s="23" t="n">
        <v>0.318</v>
      </c>
      <c r="D2" s="23" t="n">
        <v>0.052</v>
      </c>
      <c r="E2" s="23" t="n">
        <v>0.297</v>
      </c>
      <c r="F2" s="23" t="n">
        <v>0.143</v>
      </c>
      <c r="G2" s="23" t="n">
        <v>0.282</v>
      </c>
      <c r="H2" s="23" t="n">
        <v>0.6</v>
      </c>
      <c r="I2" s="23" t="n">
        <v>1.019</v>
      </c>
      <c r="J2" s="23" t="n">
        <v>1.193</v>
      </c>
      <c r="K2" s="23" t="n">
        <v>1.857</v>
      </c>
      <c r="L2" s="23" t="n">
        <v>2.221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0.045</v>
      </c>
      <c r="E3" s="23" t="n">
        <v>0.241</v>
      </c>
      <c r="F3" s="23" t="n">
        <v>0.101</v>
      </c>
      <c r="G3" s="23" t="n">
        <v>0.281</v>
      </c>
      <c r="H3" s="23" t="n">
        <v>0.356</v>
      </c>
      <c r="I3" s="23" t="n">
        <v>0.555</v>
      </c>
      <c r="J3" s="23" t="n">
        <v>0.654</v>
      </c>
      <c r="K3" s="23" t="n">
        <v>0.853</v>
      </c>
      <c r="L3" s="23" t="n">
        <v>0.833</v>
      </c>
    </row>
    <row r="4" customFormat="1" s="1">
      <c r="A4" s="5" t="inlineStr">
        <is>
          <t>Gross Margin</t>
        </is>
      </c>
      <c r="B4" s="23">
        <f>B2-B3</f>
        <v>0.241</v>
      </c>
      <c r="C4" s="23">
        <f>C2-C3</f>
        <v>0.318</v>
      </c>
      <c r="D4" s="23">
        <f>D2-D3</f>
        <v>0.006999999999999999</v>
      </c>
      <c r="E4" s="23">
        <f>E2-E3</f>
        <v>0.055999999999999994</v>
      </c>
      <c r="F4" s="23">
        <f>F2-F3</f>
        <v>0.04199999999999998</v>
      </c>
      <c r="G4" s="23">
        <f>G2-G3</f>
        <v>0.0009999999999999454</v>
      </c>
      <c r="H4" s="23">
        <f>H2-H3</f>
        <v>0.244</v>
      </c>
      <c r="I4" s="23">
        <f>I2-I3</f>
        <v>0.46399999999999986</v>
      </c>
      <c r="J4" s="23">
        <f>J2-J3</f>
        <v>0.539</v>
      </c>
      <c r="K4" s="23">
        <f>K2-K3</f>
        <v>1.004</v>
      </c>
      <c r="L4" s="23">
        <f>L2-L3</f>
        <v>1.3880000000000001</v>
      </c>
    </row>
    <row r="5">
      <c r="A5" s="2" t="inlineStr">
        <is>
          <t>Research &amp; Dev.</t>
        </is>
      </c>
      <c r="B5" s="23" t="n">
        <v>7.221</v>
      </c>
      <c r="C5" s="23" t="n">
        <v>2.705</v>
      </c>
      <c r="D5" s="23" t="n">
        <v>3.191</v>
      </c>
      <c r="E5" s="23" t="n">
        <v>2.404</v>
      </c>
      <c r="F5" s="23" t="n">
        <v>1.908</v>
      </c>
      <c r="G5" s="23" t="n">
        <v>1.494</v>
      </c>
      <c r="H5" s="23" t="n">
        <v>1.954</v>
      </c>
      <c r="I5" s="23" t="n">
        <v>1.859</v>
      </c>
      <c r="J5" s="23" t="n">
        <v>1.228</v>
      </c>
      <c r="K5" s="23" t="n">
        <v>1.712</v>
      </c>
      <c r="L5" s="23" t="n">
        <v>1.698</v>
      </c>
    </row>
    <row r="6">
      <c r="A6" s="19" t="inlineStr">
        <is>
          <t>SG&amp;A &amp; Other</t>
        </is>
      </c>
      <c r="B6" s="23" t="n">
        <v>8.664999999999999</v>
      </c>
      <c r="C6" s="23" t="n">
        <v>8.129</v>
      </c>
      <c r="D6" s="23" t="n">
        <v>9.132</v>
      </c>
      <c r="E6" s="23" t="n">
        <v>9.532</v>
      </c>
      <c r="F6" s="23" t="n">
        <v>8.420999999999999</v>
      </c>
      <c r="G6" s="23" t="n">
        <v>6.44</v>
      </c>
      <c r="H6" s="23" t="n">
        <v>7.224</v>
      </c>
      <c r="I6" s="23" t="n">
        <v>8.279</v>
      </c>
      <c r="J6" s="23" t="n">
        <v>7.043</v>
      </c>
      <c r="K6" s="23" t="n">
        <v>5.541</v>
      </c>
      <c r="L6" s="23" t="n">
        <v>6.195</v>
      </c>
    </row>
    <row r="7">
      <c r="A7" s="2" t="inlineStr">
        <is>
          <t>Operating Expense</t>
        </is>
      </c>
      <c r="B7" s="23">
        <f>SUM(B5:B6)</f>
        <v>15.886</v>
      </c>
      <c r="C7" s="23">
        <f>SUM(C5:C6)</f>
        <v>10.834</v>
      </c>
      <c r="D7" s="23">
        <f>SUM(D5:D6)</f>
        <v>12.323</v>
      </c>
      <c r="E7" s="23">
        <f>SUM(E5:E6)</f>
        <v>11.936</v>
      </c>
      <c r="F7" s="23">
        <f>SUM(F5:F6)</f>
        <v>10.328999999999999</v>
      </c>
      <c r="G7" s="23">
        <f>SUM(G5:G6)</f>
        <v>7.934</v>
      </c>
      <c r="H7" s="23">
        <f>SUM(H5:H6)</f>
        <v>9.178</v>
      </c>
      <c r="I7" s="23">
        <f>SUM(I5:I6)</f>
        <v>10.138</v>
      </c>
      <c r="J7" s="23">
        <f>SUM(J5:J6)</f>
        <v>8.271</v>
      </c>
      <c r="K7" s="23">
        <f>SUM(K5:K6)</f>
        <v>7.253</v>
      </c>
      <c r="L7" s="23">
        <f>SUM(L5:L6)</f>
        <v>7.893000000000001</v>
      </c>
    </row>
    <row r="8">
      <c r="A8" s="2" t="inlineStr">
        <is>
          <t>Operating Income</t>
        </is>
      </c>
      <c r="B8" s="23">
        <f>B4-B7</f>
        <v>-15.645</v>
      </c>
      <c r="C8" s="23">
        <f>C4-C7</f>
        <v>-10.516</v>
      </c>
      <c r="D8" s="23">
        <f>D4-D7</f>
        <v>-12.316</v>
      </c>
      <c r="E8" s="23">
        <f>E4-E7</f>
        <v>-11.88</v>
      </c>
      <c r="F8" s="23">
        <f>F4-F7</f>
        <v>-10.286999999999999</v>
      </c>
      <c r="G8" s="23">
        <f>G4-G7</f>
        <v>-7.933</v>
      </c>
      <c r="H8" s="23">
        <f>H4-H7</f>
        <v>-8.934000000000001</v>
      </c>
      <c r="I8" s="23">
        <f>I4-I7</f>
        <v>-9.674</v>
      </c>
      <c r="J8" s="23">
        <f>J4-J7</f>
        <v>-7.732000000000001</v>
      </c>
      <c r="K8" s="23">
        <f>K4-K7</f>
        <v>-6.2490000000000006</v>
      </c>
      <c r="L8" s="23">
        <f>L4-L7</f>
        <v>-6.505000000000001</v>
      </c>
    </row>
    <row r="9">
      <c r="A9" s="19" t="inlineStr">
        <is>
          <t>Interest &amp; Other</t>
        </is>
      </c>
      <c r="B9" s="23" t="n">
        <v>-2.528</v>
      </c>
      <c r="C9" s="23" t="n">
        <v>-0.279</v>
      </c>
      <c r="D9" s="23" t="n">
        <v>0.03</v>
      </c>
      <c r="E9" s="23" t="n">
        <v>-0.028</v>
      </c>
      <c r="F9" s="23" t="n">
        <v>0.269</v>
      </c>
      <c r="G9" s="23" t="n">
        <v>-0.44</v>
      </c>
      <c r="H9" s="23" t="n">
        <v>0.666</v>
      </c>
      <c r="I9" s="23" t="n">
        <v>-0.021</v>
      </c>
      <c r="J9" s="23" t="n">
        <v>0.022</v>
      </c>
      <c r="K9" s="23" t="n">
        <v>0.065</v>
      </c>
      <c r="L9" s="23" t="n">
        <v>0.122</v>
      </c>
    </row>
    <row r="10">
      <c r="A10" s="2" t="inlineStr">
        <is>
          <t>Pretax</t>
        </is>
      </c>
      <c r="B10" s="23">
        <f>B8+B9</f>
        <v>-18.173</v>
      </c>
      <c r="C10" s="23">
        <f>C8+C9</f>
        <v>-10.795</v>
      </c>
      <c r="D10" s="23">
        <f>D8+D9</f>
        <v>-12.286000000000001</v>
      </c>
      <c r="E10" s="23">
        <f>E8+E9</f>
        <v>-11.908000000000001</v>
      </c>
      <c r="F10" s="23">
        <f>F8+F9</f>
        <v>-10.017999999999999</v>
      </c>
      <c r="G10" s="23">
        <f>G8+G9</f>
        <v>-8.373</v>
      </c>
      <c r="H10" s="23">
        <f>H8+H9</f>
        <v>-8.268</v>
      </c>
      <c r="I10" s="23">
        <f>I8+I9</f>
        <v>-9.695</v>
      </c>
      <c r="J10" s="23">
        <f>J8+J9</f>
        <v>-7.710000000000001</v>
      </c>
      <c r="K10" s="23">
        <f>K8+K9</f>
        <v>-6.184</v>
      </c>
      <c r="L10" s="23">
        <f>L8+L9</f>
        <v>-6.383000000000001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-18.173</v>
      </c>
      <c r="C12" s="23" t="n">
        <v>-10.795</v>
      </c>
      <c r="D12" s="23" t="n">
        <v>-12.286</v>
      </c>
      <c r="E12" s="23" t="n">
        <v>-11.908</v>
      </c>
      <c r="F12" s="23" t="n">
        <v>-10.018</v>
      </c>
      <c r="G12" s="23" t="n">
        <v>-8.372999999999999</v>
      </c>
      <c r="H12" s="23" t="n">
        <v>-8.268000000000001</v>
      </c>
      <c r="I12" s="23" t="n">
        <v>-9.695</v>
      </c>
      <c r="J12" s="23" t="n">
        <v>-7.71</v>
      </c>
      <c r="K12" s="23" t="n">
        <v>-6.184</v>
      </c>
      <c r="L12" s="23" t="n">
        <v>-6.383</v>
      </c>
    </row>
    <row r="13">
      <c r="A13" s="2" t="inlineStr">
        <is>
          <t>Earnings per Share</t>
        </is>
      </c>
      <c r="B13" s="11">
        <f>IFERROR(B12/B14,0)</f>
        <v>-4.717808930425752</v>
      </c>
      <c r="C13" s="11">
        <f>IFERROR(C12/C14,0)</f>
        <v>-1.6819881583047678</v>
      </c>
      <c r="D13" s="11">
        <f>IFERROR(D12/D14,0)</f>
        <v>-1.1249885541617068</v>
      </c>
      <c r="E13" s="11">
        <f>IFERROR(E12/E14,0)</f>
        <v>-12.276288659793813</v>
      </c>
      <c r="F13" s="11">
        <f>IFERROR(F12/F14,0)</f>
        <v>-7.682515337423313</v>
      </c>
      <c r="G13" s="11">
        <f>IFERROR(G12/G14,0)</f>
        <v>-2.7854291417165666</v>
      </c>
      <c r="H13" s="11">
        <f>IFERROR(H12/H14,0)</f>
        <v>-14.764285714285714</v>
      </c>
      <c r="I13" s="11">
        <f>IFERROR(I12/I14,0)</f>
        <v>-149.15384615384616</v>
      </c>
      <c r="J13" s="11">
        <f>IFERROR(J12/J14,0)</f>
        <v>-115.07462686567163</v>
      </c>
      <c r="K13" s="11">
        <f>IFERROR(K12/K14,0)</f>
        <v>-8.859598853868196</v>
      </c>
      <c r="L13" s="11">
        <f>IFERROR(L12/L14,0)</f>
        <v>-1.9484126984126986</v>
      </c>
    </row>
    <row r="14">
      <c r="A14" s="2" t="inlineStr">
        <is>
          <t>Shares</t>
        </is>
      </c>
      <c r="B14" s="23" t="n">
        <v>3.852</v>
      </c>
      <c r="C14" s="23" t="n">
        <v>6.418</v>
      </c>
      <c r="D14" s="23" t="n">
        <v>10.921</v>
      </c>
      <c r="E14" s="23" t="n">
        <v>0.97</v>
      </c>
      <c r="F14" s="23" t="n">
        <v>1.304</v>
      </c>
      <c r="G14" s="23" t="n">
        <v>3.006</v>
      </c>
      <c r="H14" s="23" t="n">
        <v>0.5600000000000001</v>
      </c>
      <c r="I14" s="23" t="n">
        <v>0.065</v>
      </c>
      <c r="J14" s="23" t="n">
        <v>0.067</v>
      </c>
      <c r="K14" s="23" t="n">
        <v>0.698</v>
      </c>
      <c r="L14" s="23" t="n">
        <v>3.276</v>
      </c>
    </row>
    <row r="15"/>
    <row r="16" customFormat="1" s="4">
      <c r="A16" s="3" t="inlineStr">
        <is>
          <t>Revenue Change</t>
        </is>
      </c>
      <c r="C16" s="15">
        <f>IFERROR(C2/B2-1,"")</f>
        <v>0.31950207468879666</v>
      </c>
      <c r="D16" s="15">
        <f>IFERROR(D2/C2-1,"")</f>
        <v>-0.8364779874213837</v>
      </c>
      <c r="E16" s="15">
        <f>IFERROR(E2/D2-1,"")</f>
        <v>4.711538461538462</v>
      </c>
      <c r="F16" s="15">
        <f>IFERROR(F2/E2-1,"")</f>
        <v>-0.5185185185185186</v>
      </c>
      <c r="G16" s="15">
        <f>IFERROR(G2/F2-1,"")</f>
        <v>0.9720279720279721</v>
      </c>
      <c r="H16" s="15">
        <f>IFERROR(H2/G2-1,"")</f>
        <v>1.127659574468085</v>
      </c>
      <c r="I16" s="15">
        <f>IFERROR(I2/H2-1,"")</f>
        <v>0.6983333333333333</v>
      </c>
      <c r="J16" s="15">
        <f>IFERROR(J2/I2-1,"")</f>
        <v>0.17075564278704625</v>
      </c>
      <c r="K16" s="15">
        <f>IFERROR(K2/J2-1,"")</f>
        <v>0.556580050293378</v>
      </c>
      <c r="L16" s="15">
        <f>IFERROR(L2/K2-1,"")</f>
        <v>0.1960150780829295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0.1346153846153846</v>
      </c>
      <c r="E17" s="15">
        <f>IFERROR(E4/E2,"")</f>
        <v>0.18855218855218855</v>
      </c>
      <c r="F17" s="15">
        <f>IFERROR(F4/F2,"")</f>
        <v>0.2937062937062936</v>
      </c>
      <c r="G17" s="15">
        <f>IFERROR(G4/G2,"")</f>
        <v>0.0035460992907799483</v>
      </c>
      <c r="H17" s="15">
        <f>IFERROR(H4/H2,"")</f>
        <v>0.4066666666666667</v>
      </c>
      <c r="I17" s="15">
        <f>IFERROR(I4/I2,"")</f>
        <v>0.45534838076545625</v>
      </c>
      <c r="J17" s="15">
        <f>IFERROR(J4/J2,"")</f>
        <v>0.451802179379715</v>
      </c>
      <c r="K17" s="15">
        <f>IFERROR(K4/K2,"")</f>
        <v>0.5406569736133549</v>
      </c>
      <c r="L17" s="15">
        <f>IFERROR(L4/L2,"")</f>
        <v>0.6249437190454751</v>
      </c>
    </row>
    <row r="18">
      <c r="A18" s="14" t="inlineStr">
        <is>
          <t>Operating Margin</t>
        </is>
      </c>
      <c r="B18" s="15">
        <f>IFERROR(B8/B2,"")</f>
        <v>-64.91701244813278</v>
      </c>
      <c r="C18" s="15">
        <f>IFERROR(C8/C2,"")</f>
        <v>-33.069182389937104</v>
      </c>
      <c r="D18" s="15">
        <f>IFERROR(D8/D2,"")</f>
        <v>-236.84615384615387</v>
      </c>
      <c r="E18" s="15">
        <f>IFERROR(E8/E2,"")</f>
        <v>-40.00000000000001</v>
      </c>
      <c r="F18" s="15">
        <f>IFERROR(F8/F2,"")</f>
        <v>-71.93706293706293</v>
      </c>
      <c r="G18" s="15">
        <f>IFERROR(G8/G2,"")</f>
        <v>-28.131205673758867</v>
      </c>
      <c r="H18" s="15">
        <f>IFERROR(H8/H2,"")</f>
        <v>-14.890000000000002</v>
      </c>
      <c r="I18" s="15">
        <f>IFERROR(I8/I2,"")</f>
        <v>-9.493621197252208</v>
      </c>
      <c r="J18" s="15">
        <f>IFERROR(J8/J2,"")</f>
        <v>-6.481139983235542</v>
      </c>
      <c r="K18" s="15">
        <f>IFERROR(K8/K2,"")</f>
        <v>-3.3651050080775446</v>
      </c>
      <c r="L18" s="15">
        <f>IFERROR(L8/L2,"")</f>
        <v>-2.9288608734804145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2026-10-21T01:06:49Z</dcterms:modified>
  <cp:lastModifiedBy>Wang, Eric</cp:lastModifiedBy>
</cp:coreProperties>
</file>