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" fontId="6" fillId="0" borderId="0" applyAlignment="1" pivotButton="0" quotePrefix="0" xfId="0">
      <alignment horizontal="center"/>
    </xf>
    <xf numFmtId="170" fontId="4" fillId="0" borderId="0" pivotButton="0" quotePrefix="0" xfId="0"/>
    <xf numFmtId="171" fontId="4" fillId="0" borderId="0" pivotButton="0" quotePrefix="0" xfId="0"/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(Nov 20, 2026)</a:t>
            </a:r>
          </a:p>
        </rich>
      </tx>
    </title>
    <plotArea>
      <scatterChart>
        <ser>
          <idx val="0"/>
          <order val="0"/>
          <tx>
            <strRef>
              <f>'Options'!B64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'Options'!$B$65:$B$95</f>
            </numRef>
          </yVal>
        </ser>
        <ser>
          <idx val="1"/>
          <order val="1"/>
          <tx>
            <strRef>
              <f>'Options'!C64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'Options'!$C$65:$C$95</f>
            </numRef>
          </yVal>
        </ser>
        <ser>
          <idx val="2"/>
          <order val="2"/>
          <tx>
            <strRef>
              <f>'Options'!D64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'Options'!$D$65:$D$95</f>
            </numRef>
          </yVal>
        </ser>
        <ser>
          <idx val="3"/>
          <order val="3"/>
          <tx>
            <strRef>
              <f>'Options'!E64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'Options'!$E$65:$E$95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SMMT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Summit Therapeutics Inc.</t>
        </is>
      </c>
      <c r="C2" s="10" t="n"/>
    </row>
    <row r="3">
      <c r="B3" t="inlineStr">
        <is>
          <t>Price</t>
        </is>
      </c>
      <c r="C3" s="11">
        <f>INDEX([1]Pharma!$F$1:$F$1000,MATCH("SMMT",[1]Pharma!$B$1:$B$1000,0))</f>
        <v>16.09</v>
      </c>
      <c r="F3" s="1" t="n"/>
    </row>
    <row r="4">
      <c r="B4" t="inlineStr">
        <is>
          <t>Shares</t>
        </is>
      </c>
      <c r="C4" s="12">
        <f>797.749602+108.956</f>
        <v>906.705602</v>
      </c>
      <c r="F4" s="1" t="n"/>
    </row>
    <row r="5">
      <c r="B5" t="inlineStr">
        <is>
          <t>Market Cap.</t>
        </is>
      </c>
      <c r="C5" s="1">
        <f>C3*C4</f>
        <v>14588.89313618</v>
      </c>
      <c r="F5" s="1" t="n"/>
    </row>
    <row r="6"/>
    <row r="7">
      <c r="B7" t="inlineStr">
        <is>
          <t>Cash</t>
        </is>
      </c>
      <c r="C7" s="12">
        <f>419.365+271.313+2000</f>
        <v>2690.678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">
        <f>C5-C7+C8</f>
        <v>11898.21513618</v>
      </c>
    </row>
    <row r="11">
      <c r="B11" s="13" t="inlineStr">
        <is>
          <t>rNPV / Share</t>
        </is>
      </c>
      <c r="C11" s="11">
        <f>NPV!C43</f>
        <v>5.475264046248677</v>
      </c>
    </row>
    <row r="12">
      <c r="B12" s="13" t="inlineStr">
        <is>
          <t>Upside</t>
        </is>
      </c>
      <c r="C12" s="14">
        <f>C11/C3-1</f>
        <v>-0.6597101276414744</v>
      </c>
    </row>
    <row r="13">
      <c r="B13" s="13" t="inlineStr">
        <is>
          <t>Cash / Share</t>
        </is>
      </c>
      <c r="C13" s="11">
        <f>(C7-C8)/C4</f>
        <v>2.9675321229569285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46340</v>
      </c>
    </row>
    <row r="17">
      <c r="B17" s="13" t="inlineStr">
        <is>
          <t>P(Approval)</t>
        </is>
      </c>
      <c r="C17" s="16">
        <f>Assumptions!$B$32</f>
        <v>0.4</v>
      </c>
    </row>
    <row r="18">
      <c r="B18" s="13" t="inlineStr">
        <is>
          <t>If Approved</t>
        </is>
      </c>
      <c r="C18" s="11">
        <f>Assumptions!$D$121</f>
        <v>7.3408048391776815</v>
      </c>
    </row>
    <row r="19">
      <c r="B19" s="13" t="inlineStr">
        <is>
          <t>If CRL</t>
        </is>
      </c>
      <c r="C19" s="11">
        <f>Assumptions!$D$120</f>
        <v>4.047792016612757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1.809</v>
      </c>
      <c r="C2" s="18" t="n">
        <v>0.705</v>
      </c>
      <c r="D2" s="18" t="n">
        <v>0</v>
      </c>
      <c r="E2" s="18" t="n">
        <v>0</v>
      </c>
      <c r="F2" s="18" t="n">
        <v>0</v>
      </c>
      <c r="G2" s="18">
        <f>SUM('Quarterly Model'!F2:I2)</f>
        <v>0.0</v>
      </c>
      <c r="H2" s="18">
        <f>Pipeline!C47</f>
        <v>28.0</v>
      </c>
      <c r="I2" s="18">
        <f>Pipeline!D47</f>
        <v>70.0</v>
      </c>
      <c r="J2" s="18">
        <f>Pipeline!E47</f>
        <v>463.5</v>
      </c>
      <c r="K2" s="18">
        <f>Pipeline!F47</f>
        <v>1036.25</v>
      </c>
      <c r="L2" s="18">
        <f>Pipeline!G47</f>
        <v>1849.6</v>
      </c>
      <c r="M2" s="18">
        <f>Pipeline!H47</f>
        <v>2688.9</v>
      </c>
      <c r="N2" s="18">
        <f>Pipeline!I47</f>
        <v>3453.25</v>
      </c>
      <c r="O2" s="18">
        <f>Pipeline!J47</f>
        <v>3992.35</v>
      </c>
      <c r="P2" s="18">
        <f>Pipeline!K47</f>
        <v>4367.65</v>
      </c>
      <c r="Q2" s="18">
        <f>Pipeline!L47</f>
        <v>4457.5</v>
      </c>
      <c r="R2" s="18">
        <f>Pipeline!M47</f>
        <v>4510.0</v>
      </c>
      <c r="S2" s="18">
        <f>Pipeline!N47</f>
        <v>4510.0</v>
      </c>
      <c r="T2" s="18">
        <f>Pipeline!O47</f>
        <v>4510.0</v>
      </c>
      <c r="U2" s="18">
        <f>Pipeline!P47</f>
        <v>4510.0</v>
      </c>
      <c r="V2" s="18">
        <f>Pipeline!Q47</f>
        <v>4317.5</v>
      </c>
      <c r="W2" s="18">
        <f>Pipeline!R47</f>
        <v>2533.75</v>
      </c>
      <c r="X2" s="18">
        <f>Pipeline!S47</f>
        <v>1266.875</v>
      </c>
      <c r="Y2" s="18">
        <f>Pipeline!T47</f>
        <v>633.4375</v>
      </c>
      <c r="Z2" s="18">
        <f>Pipeline!U47</f>
        <v>316.71875</v>
      </c>
      <c r="AA2" s="18">
        <f>Pipeline!V47</f>
        <v>158.359375</v>
      </c>
      <c r="AB2" s="18">
        <f>Pipeline!W47</f>
        <v>79.1796875</v>
      </c>
      <c r="AC2" s="18">
        <f>Pipeline!X47</f>
        <v>39.58984375</v>
      </c>
      <c r="AD2" s="18">
        <f>Pipeline!Y47</f>
        <v>19.794921875</v>
      </c>
      <c r="AE2" s="18">
        <f>Pipeline!Z47</f>
        <v>9.8974609375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Pipeline!C48</f>
        <v>5.04</v>
      </c>
      <c r="I3" s="18">
        <f>Pipeline!D48</f>
        <v>12.6</v>
      </c>
      <c r="J3" s="18">
        <f>Pipeline!E48</f>
        <v>90.18</v>
      </c>
      <c r="K3" s="18">
        <f>Pipeline!F48</f>
        <v>203.4</v>
      </c>
      <c r="L3" s="18">
        <f>Pipeline!G48</f>
        <v>364.803</v>
      </c>
      <c r="M3" s="18">
        <f>Pipeline!H48</f>
        <v>531.627</v>
      </c>
      <c r="N3" s="18">
        <f>Pipeline!I48</f>
        <v>683.685</v>
      </c>
      <c r="O3" s="18">
        <f>Pipeline!J48</f>
        <v>791.148</v>
      </c>
      <c r="P3" s="18">
        <f>Pipeline!K48</f>
        <v>865.977</v>
      </c>
      <c r="Q3" s="18">
        <f>Pipeline!L48</f>
        <v>883.8</v>
      </c>
      <c r="R3" s="18">
        <f>Pipeline!M48</f>
        <v>894.3</v>
      </c>
      <c r="S3" s="18">
        <f>Pipeline!N48</f>
        <v>894.3</v>
      </c>
      <c r="T3" s="18">
        <f>Pipeline!O48</f>
        <v>894.3</v>
      </c>
      <c r="U3" s="18">
        <f>Pipeline!P48</f>
        <v>894.3</v>
      </c>
      <c r="V3" s="18">
        <f>Pipeline!Q48</f>
        <v>859.65</v>
      </c>
      <c r="W3" s="18">
        <f>Pipeline!R48</f>
        <v>504.825</v>
      </c>
      <c r="X3" s="18">
        <f>Pipeline!S48</f>
        <v>252.4125</v>
      </c>
      <c r="Y3" s="18">
        <f>Pipeline!T48</f>
        <v>126.20625</v>
      </c>
      <c r="Z3" s="18">
        <f>Pipeline!U48</f>
        <v>63.103125</v>
      </c>
      <c r="AA3" s="18">
        <f>Pipeline!V48</f>
        <v>31.5515625</v>
      </c>
      <c r="AB3" s="18">
        <f>Pipeline!W48</f>
        <v>15.77578125</v>
      </c>
      <c r="AC3" s="18">
        <f>Pipeline!X48</f>
        <v>7.887890625</v>
      </c>
      <c r="AD3" s="18">
        <f>Pipeline!Y48</f>
        <v>3.9439453125</v>
      </c>
      <c r="AE3" s="18">
        <f>Pipeline!Z48</f>
        <v>1.97197265625</v>
      </c>
    </row>
    <row r="4" customFormat="1" s="1">
      <c r="A4" s="5" t="inlineStr">
        <is>
          <t>Gross Margin</t>
        </is>
      </c>
      <c r="B4" s="18">
        <f>B2-B3</f>
        <v>1.809</v>
      </c>
      <c r="C4" s="18">
        <f>C2-C3</f>
        <v>0.705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22.96</v>
      </c>
      <c r="I4" s="18">
        <f>I2-I3</f>
        <v>57.4</v>
      </c>
      <c r="J4" s="18">
        <f>J2-J3</f>
        <v>373.32</v>
      </c>
      <c r="K4" s="18">
        <f>K2-K3</f>
        <v>832.85</v>
      </c>
      <c r="L4" s="18">
        <f>L2-L3</f>
        <v>1484.797</v>
      </c>
      <c r="M4" s="18">
        <f>M2-M3</f>
        <v>2157.273</v>
      </c>
      <c r="N4" s="18">
        <f>N2-N3</f>
        <v>2769.565</v>
      </c>
      <c r="O4" s="18">
        <f>O2-O3</f>
        <v>3201.2019999999998</v>
      </c>
      <c r="P4" s="18">
        <f>P2-P3</f>
        <v>3501.673</v>
      </c>
      <c r="Q4" s="18">
        <f>Q2-Q3</f>
        <v>3573.7</v>
      </c>
      <c r="R4" s="18">
        <f>R2-R3</f>
        <v>3615.7</v>
      </c>
      <c r="S4" s="18">
        <f>S2-S3</f>
        <v>3615.7</v>
      </c>
      <c r="T4" s="18">
        <f>T2-T3</f>
        <v>3615.7</v>
      </c>
      <c r="U4" s="18">
        <f>U2-U3</f>
        <v>3615.7</v>
      </c>
      <c r="V4" s="18">
        <f>V2-V3</f>
        <v>3457.85</v>
      </c>
      <c r="W4" s="18">
        <f>W2-W3</f>
        <v>2028.925</v>
      </c>
      <c r="X4" s="18">
        <f>X2-X3</f>
        <v>1014.4625</v>
      </c>
      <c r="Y4" s="18">
        <f>Y2-Y3</f>
        <v>507.23125</v>
      </c>
      <c r="Z4" s="18">
        <f>Z2-Z3</f>
        <v>253.615625</v>
      </c>
      <c r="AA4" s="18">
        <f>AA2-AA3</f>
        <v>126.8078125</v>
      </c>
      <c r="AB4" s="18">
        <f>AB2-AB3</f>
        <v>63.40390625</v>
      </c>
      <c r="AC4" s="18">
        <f>AC2-AC3</f>
        <v>31.701953125</v>
      </c>
      <c r="AD4" s="18">
        <f>AD2-AD3</f>
        <v>15.8509765625</v>
      </c>
      <c r="AE4" s="18">
        <f>AE2-AE3</f>
        <v>7.92548828125</v>
      </c>
    </row>
    <row r="5">
      <c r="A5" s="2" t="inlineStr">
        <is>
          <t>Research &amp; Dev.</t>
        </is>
      </c>
      <c r="B5" s="18" t="n">
        <v>64.39</v>
      </c>
      <c r="C5" s="18" t="n">
        <v>51.999</v>
      </c>
      <c r="D5" s="18" t="n">
        <v>59.471</v>
      </c>
      <c r="E5" s="18" t="n">
        <v>150.777</v>
      </c>
      <c r="F5" s="18" t="n">
        <v>537.674</v>
      </c>
      <c r="G5" s="18">
        <f>SUM('Quarterly Model'!F5:I5)</f>
        <v>615.36</v>
      </c>
      <c r="H5" s="18">
        <f>Pipeline!C51</f>
        <v>670.0</v>
      </c>
      <c r="I5" s="18">
        <f>Pipeline!D51</f>
        <v>634.5</v>
      </c>
      <c r="J5" s="18">
        <f>Pipeline!E51</f>
        <v>331.635</v>
      </c>
      <c r="K5" s="18">
        <f>Pipeline!F51</f>
        <v>223.90905</v>
      </c>
      <c r="L5" s="18">
        <f>Pipeline!G51</f>
        <v>221.95199999999997</v>
      </c>
      <c r="M5" s="18">
        <f>Pipeline!H51</f>
        <v>322.668</v>
      </c>
      <c r="N5" s="18">
        <f>Pipeline!I51</f>
        <v>414.39</v>
      </c>
      <c r="O5" s="18">
        <f>Pipeline!J51</f>
        <v>479.082</v>
      </c>
      <c r="P5" s="18">
        <f>Pipeline!K51</f>
        <v>524.1179999999999</v>
      </c>
      <c r="Q5" s="18">
        <f>Pipeline!L51</f>
        <v>534.9</v>
      </c>
      <c r="R5" s="18">
        <f>Pipeline!M51</f>
        <v>541.1999999999999</v>
      </c>
      <c r="S5" s="18">
        <f>Pipeline!N51</f>
        <v>541.1999999999999</v>
      </c>
      <c r="T5" s="18">
        <f>Pipeline!O51</f>
        <v>541.1999999999999</v>
      </c>
      <c r="U5" s="18">
        <f>Pipeline!P51</f>
        <v>541.1999999999999</v>
      </c>
      <c r="V5" s="18">
        <f>Pipeline!Q51</f>
        <v>518.1</v>
      </c>
      <c r="W5" s="18">
        <f>Pipeline!R51</f>
        <v>304.05</v>
      </c>
      <c r="X5" s="18">
        <f>Pipeline!S51</f>
        <v>152.025</v>
      </c>
      <c r="Y5" s="18">
        <f>Pipeline!T51</f>
        <v>76.0125</v>
      </c>
      <c r="Z5" s="18">
        <f>Pipeline!U51</f>
        <v>38.00625</v>
      </c>
      <c r="AA5" s="18">
        <f>Pipeline!V51</f>
        <v>19.003125</v>
      </c>
      <c r="AB5" s="18">
        <f>Pipeline!W51</f>
        <v>9.5015625</v>
      </c>
      <c r="AC5" s="18">
        <f>Pipeline!X51</f>
        <v>4.75078125</v>
      </c>
      <c r="AD5" s="18">
        <f>Pipeline!Y51</f>
        <v>2.375390625</v>
      </c>
      <c r="AE5" s="18">
        <f>Pipeline!Z51</f>
        <v>1.1876953125</v>
      </c>
    </row>
    <row r="6">
      <c r="A6" s="2" t="inlineStr">
        <is>
          <t>General &amp; Admin</t>
        </is>
      </c>
      <c r="B6" s="18" t="n">
        <v>23.61</v>
      </c>
      <c r="C6" s="18" t="n">
        <v>20.795</v>
      </c>
      <c r="D6" s="18" t="n">
        <v>550.179</v>
      </c>
      <c r="E6" s="18" t="n">
        <v>75.221</v>
      </c>
      <c r="F6" s="18" t="n">
        <v>556.75</v>
      </c>
      <c r="G6" s="18">
        <f>SUM('Quarterly Model'!F6:I6)</f>
        <v>260.35</v>
      </c>
      <c r="H6" s="18">
        <f>Pipeline!C54</f>
        <v>225.2</v>
      </c>
      <c r="I6" s="18">
        <f>Pipeline!D54</f>
        <v>298.5</v>
      </c>
      <c r="J6" s="18">
        <f>Pipeline!E54</f>
        <v>575.3299999999999</v>
      </c>
      <c r="K6" s="18">
        <f>Pipeline!F54</f>
        <v>757.7979</v>
      </c>
      <c r="L6" s="18">
        <f>Pipeline!G54</f>
        <v>983.419262</v>
      </c>
      <c r="M6" s="18">
        <f>Pipeline!H54</f>
        <v>1133.99981486</v>
      </c>
      <c r="N6" s="18">
        <f>Pipeline!I54</f>
        <v>1254.5504593058001</v>
      </c>
      <c r="O6" s="18">
        <f>Pipeline!J54</f>
        <v>1244.1797730849742</v>
      </c>
      <c r="P6" s="18">
        <f>Pipeline!K54</f>
        <v>1335.0539999999999</v>
      </c>
      <c r="Q6" s="18">
        <f>Pipeline!L54</f>
        <v>1309.95</v>
      </c>
      <c r="R6" s="18">
        <f>Pipeline!M54</f>
        <v>1323.6</v>
      </c>
      <c r="S6" s="18">
        <f>Pipeline!N54</f>
        <v>1329.8467741448892</v>
      </c>
      <c r="T6" s="18">
        <f>Pipeline!O54</f>
        <v>1338.152177369236</v>
      </c>
      <c r="U6" s="18">
        <f>Pipeline!P54</f>
        <v>1346.706742690313</v>
      </c>
      <c r="V6" s="18">
        <f>Pipeline!Q54</f>
        <v>1297.7679449710224</v>
      </c>
      <c r="W6" s="18">
        <f>Pipeline!R54</f>
        <v>884.218483320153</v>
      </c>
      <c r="X6" s="18">
        <f>Pipeline!S54</f>
        <v>362.325</v>
      </c>
      <c r="Y6" s="18">
        <f>Pipeline!T54</f>
        <v>181.1625</v>
      </c>
      <c r="Z6" s="18">
        <f>Pipeline!U54</f>
        <v>90.58125</v>
      </c>
      <c r="AA6" s="18">
        <f>Pipeline!V54</f>
        <v>45.290625</v>
      </c>
      <c r="AB6" s="18">
        <f>Pipeline!W54</f>
        <v>22.6453125</v>
      </c>
      <c r="AC6" s="18">
        <f>Pipeline!X54</f>
        <v>11.32265625</v>
      </c>
      <c r="AD6" s="18">
        <f>Pipeline!Y54</f>
        <v>5.661328125</v>
      </c>
      <c r="AE6" s="18">
        <f>Pipeline!Z54</f>
        <v>2.8306640625</v>
      </c>
    </row>
    <row r="7">
      <c r="A7" s="2" t="inlineStr">
        <is>
          <t>Operating Expense</t>
        </is>
      </c>
      <c r="B7" s="18">
        <f>SUM(B5:B6)</f>
        <v>88.0</v>
      </c>
      <c r="C7" s="18">
        <f>SUM(C5:C6)</f>
        <v>72.79400000000001</v>
      </c>
      <c r="D7" s="18">
        <f>SUM(D5:D6)</f>
        <v>609.65</v>
      </c>
      <c r="E7" s="18">
        <f>SUM(E5:E6)</f>
        <v>225.998</v>
      </c>
      <c r="F7" s="18">
        <f>SUM(F5:F6)</f>
        <v>1094.424</v>
      </c>
      <c r="G7" s="18">
        <f>SUM(G5:G6)</f>
        <v>875.71</v>
      </c>
      <c r="H7" s="18">
        <f>SUM(H5:H6)</f>
        <v>895.2</v>
      </c>
      <c r="I7" s="18">
        <f>SUM(I5:I6)</f>
        <v>933.0</v>
      </c>
      <c r="J7" s="18">
        <f>SUM(J5:J6)</f>
        <v>906.9649999999999</v>
      </c>
      <c r="K7" s="18">
        <f>SUM(K5:K6)</f>
        <v>981.70695</v>
      </c>
      <c r="L7" s="18">
        <f>SUM(L5:L6)</f>
        <v>1205.371262</v>
      </c>
      <c r="M7" s="18">
        <f>SUM(M5:M6)</f>
        <v>1456.66781486</v>
      </c>
      <c r="N7" s="18">
        <f>SUM(N5:N6)</f>
        <v>1668.9404593058002</v>
      </c>
      <c r="O7" s="18">
        <f>SUM(O5:O6)</f>
        <v>1723.2617730849743</v>
      </c>
      <c r="P7" s="18">
        <f>SUM(P5:P6)</f>
        <v>1859.1719999999998</v>
      </c>
      <c r="Q7" s="18">
        <f>SUM(Q5:Q6)</f>
        <v>1844.85</v>
      </c>
      <c r="R7" s="18">
        <f>SUM(R5:R6)</f>
        <v>1864.7999999999997</v>
      </c>
      <c r="S7" s="18">
        <f>SUM(S5:S6)</f>
        <v>1871.0467741448892</v>
      </c>
      <c r="T7" s="18">
        <f>SUM(T5:T6)</f>
        <v>1879.352177369236</v>
      </c>
      <c r="U7" s="18">
        <f>SUM(U5:U6)</f>
        <v>1887.906742690313</v>
      </c>
      <c r="V7" s="18">
        <f>SUM(V5:V6)</f>
        <v>1815.8679449710226</v>
      </c>
      <c r="W7" s="18">
        <f>SUM(W5:W6)</f>
        <v>1188.268483320153</v>
      </c>
      <c r="X7" s="18">
        <f>SUM(X5:X6)</f>
        <v>514.35</v>
      </c>
      <c r="Y7" s="18">
        <f>SUM(Y5:Y6)</f>
        <v>257.175</v>
      </c>
      <c r="Z7" s="18">
        <f>SUM(Z5:Z6)</f>
        <v>128.5875</v>
      </c>
      <c r="AA7" s="18">
        <f>SUM(AA5:AA6)</f>
        <v>64.29375</v>
      </c>
      <c r="AB7" s="18">
        <f>SUM(AB5:AB6)</f>
        <v>32.146875</v>
      </c>
      <c r="AC7" s="18">
        <f>SUM(AC5:AC6)</f>
        <v>16.0734375</v>
      </c>
      <c r="AD7" s="18">
        <f>SUM(AD5:AD6)</f>
        <v>8.03671875</v>
      </c>
      <c r="AE7" s="18">
        <f>SUM(AE5:AE6)</f>
        <v>4.018359375</v>
      </c>
    </row>
    <row r="8">
      <c r="A8" s="2" t="inlineStr">
        <is>
          <t>Operating Income</t>
        </is>
      </c>
      <c r="B8" s="18">
        <f>B4-B7</f>
        <v>-86.191</v>
      </c>
      <c r="C8" s="18">
        <f>C4-C7</f>
        <v>-72.08900000000001</v>
      </c>
      <c r="D8" s="18">
        <f>D4-D7</f>
        <v>-609.65</v>
      </c>
      <c r="E8" s="18">
        <f>E4-E7</f>
        <v>-225.998</v>
      </c>
      <c r="F8" s="18">
        <f>F4-F7</f>
        <v>-1094.424</v>
      </c>
      <c r="G8" s="18">
        <f>G4-G7</f>
        <v>-875.71</v>
      </c>
      <c r="H8" s="18">
        <f>H4-H7</f>
        <v>-872.24</v>
      </c>
      <c r="I8" s="18">
        <f>I4-I7</f>
        <v>-875.6</v>
      </c>
      <c r="J8" s="18">
        <f>J4-J7</f>
        <v>-533.645</v>
      </c>
      <c r="K8" s="18">
        <f>K4-K7</f>
        <v>-148.85694999999998</v>
      </c>
      <c r="L8" s="18">
        <f>L4-L7</f>
        <v>279.42573800000014</v>
      </c>
      <c r="M8" s="18">
        <f>M4-M7</f>
        <v>700.6051851400002</v>
      </c>
      <c r="N8" s="18">
        <f>N4-N7</f>
        <v>1100.6245406941998</v>
      </c>
      <c r="O8" s="18">
        <f>O4-O7</f>
        <v>1477.9402269150255</v>
      </c>
      <c r="P8" s="18">
        <f>P4-P7</f>
        <v>1642.501</v>
      </c>
      <c r="Q8" s="18">
        <f>Q4-Q7</f>
        <v>1728.85</v>
      </c>
      <c r="R8" s="18">
        <f>R4-R7</f>
        <v>1750.9</v>
      </c>
      <c r="S8" s="18">
        <f>S4-S7</f>
        <v>1744.6532258551106</v>
      </c>
      <c r="T8" s="18">
        <f>T4-T7</f>
        <v>1736.3478226307639</v>
      </c>
      <c r="U8" s="18">
        <f>U4-U7</f>
        <v>1727.7932573096869</v>
      </c>
      <c r="V8" s="18">
        <f>V4-V7</f>
        <v>1641.9820550289774</v>
      </c>
      <c r="W8" s="18">
        <f>W4-W7</f>
        <v>840.6565166798468</v>
      </c>
      <c r="X8" s="18">
        <f>X4-X7</f>
        <v>500.11249999999995</v>
      </c>
      <c r="Y8" s="18">
        <f>Y4-Y7</f>
        <v>250.05624999999998</v>
      </c>
      <c r="Z8" s="18">
        <f>Z4-Z7</f>
        <v>125.02812499999999</v>
      </c>
      <c r="AA8" s="18">
        <f>AA4-AA7</f>
        <v>62.514062499999994</v>
      </c>
      <c r="AB8" s="18">
        <f>AB4-AB7</f>
        <v>31.257031249999997</v>
      </c>
      <c r="AC8" s="18">
        <f>AC4-AC7</f>
        <v>15.628515624999999</v>
      </c>
      <c r="AD8" s="18">
        <f>AD4-AD7</f>
        <v>7.814257812499999</v>
      </c>
      <c r="AE8" s="18">
        <f>AE4-AE7</f>
        <v>3.9071289062499996</v>
      </c>
    </row>
    <row r="9">
      <c r="A9" s="19" t="inlineStr">
        <is>
          <t>Interest &amp; Other</t>
        </is>
      </c>
      <c r="B9" s="18" t="n">
        <v>-2.416</v>
      </c>
      <c r="C9" s="18" t="n">
        <v>-6.693</v>
      </c>
      <c r="D9" s="18" t="n">
        <v>-5.278</v>
      </c>
      <c r="E9" s="18" t="n">
        <v>4.683</v>
      </c>
      <c r="F9" s="18" t="n">
        <v>14.838</v>
      </c>
      <c r="G9" s="18">
        <f>SUM('Quarterly Model'!F9:I9)</f>
        <v>30.59</v>
      </c>
      <c r="H9" s="18">
        <f>Assumptions!$B$16*MAX(0,G20)-Assumptions!$B$17*Main!$C$8</f>
        <v>84.400425</v>
      </c>
      <c r="I9" s="18">
        <f>Assumptions!$B$16*MAX(0,H20)-Assumptions!$B$17*Main!$C$8</f>
        <v>54.8564409375</v>
      </c>
      <c r="J9" s="18">
        <f>Assumptions!$B$16*MAX(0,I20)-Assumptions!$B$17*Main!$C$8</f>
        <v>24.078557472656247</v>
      </c>
      <c r="K9" s="18">
        <f>Assumptions!$B$16*MAX(0,J20)-Assumptions!$B$17*Main!$C$8</f>
        <v>4.969815877880856</v>
      </c>
      <c r="L9" s="18">
        <f>Assumptions!$B$16*MAX(0,K20)-Assumptions!$B$17*Main!$C$8</f>
        <v>0.0</v>
      </c>
      <c r="M9" s="18">
        <f>Assumptions!$B$16*MAX(0,L20)-Assumptions!$B$17*Main!$C$8</f>
        <v>10.052513523301393</v>
      </c>
      <c r="N9" s="18">
        <f>Assumptions!$B$16*MAX(0,M20)-Assumptions!$B$17*Main!$C$8</f>
        <v>36.702177223175205</v>
      </c>
      <c r="O9" s="18">
        <f>Assumptions!$B$16*MAX(0,N20)-Assumptions!$B$17*Main!$C$8</f>
        <v>79.35192914507677</v>
      </c>
      <c r="P9" s="18">
        <f>Assumptions!$B$16*MAX(0,O20)-Assumptions!$B$17*Main!$C$8</f>
        <v>137.7503849973306</v>
      </c>
      <c r="Q9" s="18">
        <f>Assumptions!$B$16*MAX(0,P20)-Assumptions!$B$17*Main!$C$8</f>
        <v>195.39216067843708</v>
      </c>
      <c r="R9" s="18">
        <f>Assumptions!$B$16*MAX(0,Q20)-Assumptions!$B$17*Main!$C$8</f>
        <v>252.39783468853577</v>
      </c>
      <c r="S9" s="18">
        <f>Assumptions!$B$16*MAX(0,R20)-Assumptions!$B$17*Main!$C$8</f>
        <v>311.74553304118365</v>
      </c>
      <c r="T9" s="18">
        <f>Assumptions!$B$16*MAX(0,S20)-Assumptions!$B$17*Main!$C$8</f>
        <v>372.66634627348634</v>
      </c>
      <c r="U9" s="18">
        <f>Assumptions!$B$16*MAX(0,T20)-Assumptions!$B$17*Main!$C$8</f>
        <v>435.14589102727473</v>
      </c>
      <c r="V9" s="18">
        <f>Assumptions!$B$16*MAX(0,U20)-Assumptions!$B$17*Main!$C$8</f>
        <v>499.2229632967572</v>
      </c>
      <c r="W9" s="18">
        <f>Assumptions!$B$16*MAX(0,V20)-Assumptions!$B$17*Main!$C$8</f>
        <v>562.6561619646571</v>
      </c>
      <c r="X9" s="18">
        <f>Assumptions!$B$16*MAX(0,W20)-Assumptions!$B$17*Main!$C$8</f>
        <v>604.2293000695005</v>
      </c>
      <c r="Y9" s="18">
        <f>Assumptions!$B$16*MAX(0,X20)-Assumptions!$B$17*Main!$C$8</f>
        <v>636.9454258965595</v>
      </c>
      <c r="Z9" s="18">
        <f>Assumptions!$B$16*MAX(0,Y20)-Assumptions!$B$17*Main!$C$8</f>
        <v>663.2228505449951</v>
      </c>
      <c r="AA9" s="18">
        <f>Assumptions!$B$16*MAX(0,Z20)-Assumptions!$B$17*Main!$C$8</f>
        <v>686.5747856955156</v>
      </c>
      <c r="AB9" s="18">
        <f>Assumptions!$B$16*MAX(0,AA20)-Assumptions!$B$17*Main!$C$8</f>
        <v>708.7665428233078</v>
      </c>
      <c r="AC9" s="18">
        <f>Assumptions!$B$16*MAX(0,AB20)-Assumptions!$B$17*Main!$C$8</f>
        <v>730.6897412052294</v>
      </c>
      <c r="AD9" s="18">
        <f>Assumptions!$B$16*MAX(0,AC20)-Assumptions!$B$17*Main!$C$8</f>
        <v>752.799419563825</v>
      </c>
      <c r="AE9" s="18">
        <f>Assumptions!$B$16*MAX(0,AD20)-Assumptions!$B$17*Main!$C$8</f>
        <v>775.3325997560987</v>
      </c>
    </row>
    <row r="10">
      <c r="A10" s="2" t="inlineStr">
        <is>
          <t>Pretax</t>
        </is>
      </c>
      <c r="B10" s="18">
        <f>B8+B9</f>
        <v>-88.607</v>
      </c>
      <c r="C10" s="18">
        <f>C8+C9</f>
        <v>-78.78200000000001</v>
      </c>
      <c r="D10" s="18">
        <f>D8+D9</f>
        <v>-614.928</v>
      </c>
      <c r="E10" s="18">
        <f>E8+E9</f>
        <v>-221.315</v>
      </c>
      <c r="F10" s="18">
        <f>F8+F9</f>
        <v>-1079.586</v>
      </c>
      <c r="G10" s="18">
        <f>G8+G9</f>
        <v>-845.12</v>
      </c>
      <c r="H10" s="18">
        <f>H8+H9</f>
        <v>-787.839575</v>
      </c>
      <c r="I10" s="18">
        <f>I8+I9</f>
        <v>-820.7435590625</v>
      </c>
      <c r="J10" s="18">
        <f>J8+J9</f>
        <v>-509.5664425273437</v>
      </c>
      <c r="K10" s="18">
        <f>K8+K9</f>
        <v>-143.88713412211914</v>
      </c>
      <c r="L10" s="18">
        <f>L8+L9</f>
        <v>279.42573800000014</v>
      </c>
      <c r="M10" s="18">
        <f>M8+M9</f>
        <v>710.6576986633016</v>
      </c>
      <c r="N10" s="18">
        <f>N8+N9</f>
        <v>1137.326717917375</v>
      </c>
      <c r="O10" s="18">
        <f>O8+O9</f>
        <v>1557.2921560601023</v>
      </c>
      <c r="P10" s="18">
        <f>P8+P9</f>
        <v>1780.2513849973307</v>
      </c>
      <c r="Q10" s="18">
        <f>Q8+Q9</f>
        <v>1924.242160678437</v>
      </c>
      <c r="R10" s="18">
        <f>R8+R9</f>
        <v>2003.2978346885359</v>
      </c>
      <c r="S10" s="18">
        <f>S8+S9</f>
        <v>2056.398758896294</v>
      </c>
      <c r="T10" s="18">
        <f>T8+T9</f>
        <v>2109.0141689042503</v>
      </c>
      <c r="U10" s="18">
        <f>U8+U9</f>
        <v>2162.939148336962</v>
      </c>
      <c r="V10" s="18">
        <f>V8+V9</f>
        <v>2141.2050183257347</v>
      </c>
      <c r="W10" s="18">
        <f>W8+W9</f>
        <v>1403.312678644504</v>
      </c>
      <c r="X10" s="18">
        <f>X8+X9</f>
        <v>1104.3418000695006</v>
      </c>
      <c r="Y10" s="18">
        <f>Y8+Y9</f>
        <v>887.0016758965595</v>
      </c>
      <c r="Z10" s="18">
        <f>Z8+Z9</f>
        <v>788.2509755449951</v>
      </c>
      <c r="AA10" s="18">
        <f>AA8+AA9</f>
        <v>749.0888481955157</v>
      </c>
      <c r="AB10" s="18">
        <f>AB8+AB9</f>
        <v>740.0235740733077</v>
      </c>
      <c r="AC10" s="18">
        <f>AC8+AC9</f>
        <v>746.3182568302294</v>
      </c>
      <c r="AD10" s="18">
        <f>AD8+AD9</f>
        <v>760.6136773763251</v>
      </c>
      <c r="AE10" s="18">
        <f>AE8+AE9</f>
        <v>779.2397286623487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0.0</v>
      </c>
      <c r="N11" s="18">
        <f>MAX(0,N10-M21)*Assumptions!$B$15</f>
        <v>0.0</v>
      </c>
      <c r="O11" s="18">
        <f>MAX(0,O10-N21)*Assumptions!$B$15</f>
        <v>0.0</v>
      </c>
      <c r="P11" s="18">
        <f>MAX(0,P10-O21)*Assumptions!$B$15</f>
        <v>243.13736683449085</v>
      </c>
      <c r="Q11" s="18">
        <f>MAX(0,Q10-P21)*Assumptions!$B$15</f>
        <v>404.0908537424717</v>
      </c>
      <c r="R11" s="18">
        <f>MAX(0,R10-Q21)*Assumptions!$B$15</f>
        <v>420.69254528459254</v>
      </c>
      <c r="S11" s="18">
        <f>MAX(0,S10-R21)*Assumptions!$B$15</f>
        <v>431.84373936822175</v>
      </c>
      <c r="T11" s="18">
        <f>MAX(0,T10-S21)*Assumptions!$B$15</f>
        <v>442.8929754698925</v>
      </c>
      <c r="U11" s="18">
        <f>MAX(0,U10-T21)*Assumptions!$B$15</f>
        <v>454.217221150762</v>
      </c>
      <c r="V11" s="18">
        <f>MAX(0,V10-U21)*Assumptions!$B$15</f>
        <v>449.6530538484043</v>
      </c>
      <c r="W11" s="18">
        <f>MAX(0,W10-V21)*Assumptions!$B$15</f>
        <v>294.6956625153459</v>
      </c>
      <c r="X11" s="18">
        <f>MAX(0,X10-W21)*Assumptions!$B$15</f>
        <v>231.91177801459511</v>
      </c>
      <c r="Y11" s="18">
        <f>MAX(0,Y10-X21)*Assumptions!$B$15</f>
        <v>186.27035193827749</v>
      </c>
      <c r="Z11" s="18">
        <f>MAX(0,Z10-Y21)*Assumptions!$B$15</f>
        <v>165.53270486444896</v>
      </c>
      <c r="AA11" s="18">
        <f>MAX(0,AA10-Z21)*Assumptions!$B$15</f>
        <v>157.30865812105827</v>
      </c>
      <c r="AB11" s="18">
        <f>MAX(0,AB10-AA21)*Assumptions!$B$15</f>
        <v>155.4049505553946</v>
      </c>
      <c r="AC11" s="18">
        <f>MAX(0,AC10-AB21)*Assumptions!$B$15</f>
        <v>156.72683393434818</v>
      </c>
      <c r="AD11" s="18">
        <f>MAX(0,AD10-AC21)*Assumptions!$B$15</f>
        <v>159.72887224902826</v>
      </c>
      <c r="AE11" s="18">
        <f>MAX(0,AE10-AD21)*Assumptions!$B$15</f>
        <v>163.64034301909322</v>
      </c>
    </row>
    <row r="12">
      <c r="A12" s="2" t="inlineStr">
        <is>
          <t>Net Income</t>
        </is>
      </c>
      <c r="B12" s="18" t="n">
        <v>-88.602</v>
      </c>
      <c r="C12" s="18" t="n">
        <v>-78.782</v>
      </c>
      <c r="D12" s="18" t="n">
        <v>-614.928</v>
      </c>
      <c r="E12" s="18" t="n">
        <v>-221.315</v>
      </c>
      <c r="F12" s="18" t="n">
        <v>-1079.586</v>
      </c>
      <c r="G12" s="18">
        <f>G10-G11</f>
        <v>-845.12</v>
      </c>
      <c r="H12" s="18">
        <f>H10-H11</f>
        <v>-787.839575</v>
      </c>
      <c r="I12" s="18">
        <f>I10-I11</f>
        <v>-820.7435590625</v>
      </c>
      <c r="J12" s="18">
        <f>J10-J11</f>
        <v>-509.5664425273437</v>
      </c>
      <c r="K12" s="18">
        <f>K10-K11</f>
        <v>-143.88713412211914</v>
      </c>
      <c r="L12" s="18">
        <f>L10-L11</f>
        <v>279.42573800000014</v>
      </c>
      <c r="M12" s="18">
        <f>M10-M11</f>
        <v>710.6576986633016</v>
      </c>
      <c r="N12" s="18">
        <f>N10-N11</f>
        <v>1137.326717917375</v>
      </c>
      <c r="O12" s="18">
        <f>O10-O11</f>
        <v>1557.2921560601023</v>
      </c>
      <c r="P12" s="18">
        <f>P10-P11</f>
        <v>1537.1140181628398</v>
      </c>
      <c r="Q12" s="18">
        <f>Q10-Q11</f>
        <v>1520.1513069359653</v>
      </c>
      <c r="R12" s="18">
        <f>R10-R11</f>
        <v>1582.6052894039433</v>
      </c>
      <c r="S12" s="18">
        <f>S10-S11</f>
        <v>1624.5550195280723</v>
      </c>
      <c r="T12" s="18">
        <f>T10-T11</f>
        <v>1666.1211934343578</v>
      </c>
      <c r="U12" s="18">
        <f>U10-U11</f>
        <v>1708.7219271861998</v>
      </c>
      <c r="V12" s="18">
        <f>V10-V11</f>
        <v>1691.5519644773303</v>
      </c>
      <c r="W12" s="18">
        <f>W10-W11</f>
        <v>1108.6170161291582</v>
      </c>
      <c r="X12" s="18">
        <f>X10-X11</f>
        <v>872.4300220549054</v>
      </c>
      <c r="Y12" s="18">
        <f>Y10-Y11</f>
        <v>700.731323958282</v>
      </c>
      <c r="Z12" s="18">
        <f>Z10-Z11</f>
        <v>622.7182706805461</v>
      </c>
      <c r="AA12" s="18">
        <f>AA10-AA11</f>
        <v>591.7801900744573</v>
      </c>
      <c r="AB12" s="18">
        <f>AB10-AB11</f>
        <v>584.6186235179131</v>
      </c>
      <c r="AC12" s="18">
        <f>AC10-AC11</f>
        <v>589.5914228958812</v>
      </c>
      <c r="AD12" s="18">
        <f>AD10-AD11</f>
        <v>600.8848051272969</v>
      </c>
      <c r="AE12" s="18">
        <f>AE10-AE11</f>
        <v>615.5993856432556</v>
      </c>
    </row>
    <row r="13">
      <c r="A13" s="2" t="inlineStr">
        <is>
          <t>Earnings per Share</t>
        </is>
      </c>
      <c r="B13" s="11">
        <f>IFERROR(B12/B14,0)</f>
        <v>-0.672684756366066</v>
      </c>
      <c r="C13" s="11">
        <f>IFERROR(C12/C14,0)</f>
        <v>-0.40748748293126985</v>
      </c>
      <c r="D13" s="11">
        <f>IFERROR(D12/D14,0)</f>
        <v>-0.9923859752181085</v>
      </c>
      <c r="E13" s="11">
        <f>IFERROR(E12/E14,0)</f>
        <v>-0.3080056558976371</v>
      </c>
      <c r="F13" s="11">
        <f>IFERROR(F12/F14,0)</f>
        <v>-1.443872023881172</v>
      </c>
      <c r="G13" s="11">
        <f>IFERROR(G12/G14,0)</f>
        <v>-1.070909824139125</v>
      </c>
      <c r="H13" s="11">
        <f>IFERROR(H12/H14,0)</f>
        <v>-0.8689033940699089</v>
      </c>
      <c r="I13" s="11">
        <f>IFERROR(I12/I14,0)</f>
        <v>-0.9051929945641827</v>
      </c>
      <c r="J13" s="11">
        <f>IFERROR(J12/J14,0)</f>
        <v>-0.5619976775298933</v>
      </c>
      <c r="K13" s="11">
        <f>IFERROR(K12/K14,0)</f>
        <v>-0.1586922302065132</v>
      </c>
      <c r="L13" s="11">
        <f>IFERROR(L12/L14,0)</f>
        <v>0.3081769180466585</v>
      </c>
      <c r="M13" s="11">
        <f>IFERROR(M12/M14,0)</f>
        <v>0.783779980068218</v>
      </c>
      <c r="N13" s="11">
        <f>IFERROR(N12/N14,0)</f>
        <v>1.254350602233706</v>
      </c>
      <c r="O13" s="11">
        <f>IFERROR(O12/O14,0)</f>
        <v>1.7175278862566268</v>
      </c>
      <c r="P13" s="11">
        <f>IFERROR(P12/P14,0)</f>
        <v>1.6952735427820151</v>
      </c>
      <c r="Q13" s="11">
        <f>IFERROR(Q12/Q14,0)</f>
        <v>1.676565473493088</v>
      </c>
      <c r="R13" s="11">
        <f>IFERROR(R12/R14,0)</f>
        <v>1.7454455844466519</v>
      </c>
      <c r="S13" s="11">
        <f>IFERROR(S12/S14,0)</f>
        <v>1.7917116823196515</v>
      </c>
      <c r="T13" s="11">
        <f>IFERROR(T12/T14,0)</f>
        <v>1.837554758412486</v>
      </c>
      <c r="U13" s="11">
        <f>IFERROR(U12/U14,0)</f>
        <v>1.8845388441596942</v>
      </c>
      <c r="V13" s="11">
        <f>IFERROR(V12/V14,0)</f>
        <v>1.865602198493233</v>
      </c>
      <c r="W13" s="11">
        <f>IFERROR(W12/W14,0)</f>
        <v>1.2226868497159216</v>
      </c>
      <c r="X13" s="11">
        <f>IFERROR(X12/X14,0)</f>
        <v>0.9621976748908466</v>
      </c>
      <c r="Y13" s="11">
        <f>IFERROR(Y12/Y14,0)</f>
        <v>0.772832242805843</v>
      </c>
      <c r="Z13" s="11">
        <f>IFERROR(Z12/Z14,0)</f>
        <v>0.6867921288971435</v>
      </c>
      <c r="AA13" s="11">
        <f>IFERROR(AA12/AA14,0)</f>
        <v>0.6526707111648101</v>
      </c>
      <c r="AB13" s="11">
        <f>IFERROR(AB12/AB14,0)</f>
        <v>0.644772263707612</v>
      </c>
      <c r="AC13" s="11">
        <f>IFERROR(AC12/AC14,0)</f>
        <v>0.6502567333822221</v>
      </c>
      <c r="AD13" s="11">
        <f>IFERROR(AD12/AD14,0)</f>
        <v>0.6627121347898067</v>
      </c>
      <c r="AE13" s="11">
        <f>IFERROR(AE12/AE14,0)</f>
        <v>0.6789407546235229</v>
      </c>
    </row>
    <row r="14">
      <c r="A14" s="2" t="inlineStr">
        <is>
          <t>Shares</t>
        </is>
      </c>
      <c r="B14" s="18" t="n">
        <v>131.714</v>
      </c>
      <c r="C14" s="18" t="n">
        <v>193.336</v>
      </c>
      <c r="D14" s="18" t="n">
        <v>619.646</v>
      </c>
      <c r="E14" s="18" t="n">
        <v>718.542</v>
      </c>
      <c r="F14" s="18" t="n">
        <v>747.702</v>
      </c>
      <c r="G14" s="18">
        <f>AVERAGE('Quarterly Model'!F14:I14)</f>
        <v>789.16075</v>
      </c>
      <c r="H14" s="18">
        <f>Main!$C$4*(1+Assumptions!$B$26)^(H1-2026)</f>
        <v>906.705602</v>
      </c>
      <c r="I14" s="18">
        <f>Main!$C$4*(1+Assumptions!$B$26)^(I1-2026)</f>
        <v>906.705602</v>
      </c>
      <c r="J14" s="18">
        <f>Main!$C$4*(1+Assumptions!$B$26)^(J1-2026)</f>
        <v>906.705602</v>
      </c>
      <c r="K14" s="18">
        <f>Main!$C$4*(1+Assumptions!$B$26)^(K1-2026)</f>
        <v>906.705602</v>
      </c>
      <c r="L14" s="18">
        <f>Main!$C$4*(1+Assumptions!$B$26)^(L1-2026)</f>
        <v>906.705602</v>
      </c>
      <c r="M14" s="18">
        <f>Main!$C$4*(1+Assumptions!$B$26)^(M1-2026)</f>
        <v>906.705602</v>
      </c>
      <c r="N14" s="18">
        <f>Main!$C$4*(1+Assumptions!$B$26)^(N1-2026)</f>
        <v>906.705602</v>
      </c>
      <c r="O14" s="18">
        <f>Main!$C$4*(1+Assumptions!$B$26)^(O1-2026)</f>
        <v>906.705602</v>
      </c>
      <c r="P14" s="18">
        <f>Main!$C$4*(1+Assumptions!$B$26)^(P1-2026)</f>
        <v>906.705602</v>
      </c>
      <c r="Q14" s="18">
        <f>Main!$C$4*(1+Assumptions!$B$26)^(Q1-2026)</f>
        <v>906.705602</v>
      </c>
      <c r="R14" s="18">
        <f>Main!$C$4*(1+Assumptions!$B$26)^(R1-2026)</f>
        <v>906.705602</v>
      </c>
      <c r="S14" s="18">
        <f>Main!$C$4*(1+Assumptions!$B$26)^(S1-2026)</f>
        <v>906.705602</v>
      </c>
      <c r="T14" s="18">
        <f>Main!$C$4*(1+Assumptions!$B$26)^(T1-2026)</f>
        <v>906.705602</v>
      </c>
      <c r="U14" s="18">
        <f>Main!$C$4*(1+Assumptions!$B$26)^(U1-2026)</f>
        <v>906.705602</v>
      </c>
      <c r="V14" s="18">
        <f>Main!$C$4*(1+Assumptions!$B$26)^(V1-2026)</f>
        <v>906.705602</v>
      </c>
      <c r="W14" s="18">
        <f>Main!$C$4*(1+Assumptions!$B$26)^(W1-2026)</f>
        <v>906.705602</v>
      </c>
      <c r="X14" s="18">
        <f>Main!$C$4*(1+Assumptions!$B$26)^(X1-2026)</f>
        <v>906.705602</v>
      </c>
      <c r="Y14" s="18">
        <f>Main!$C$4*(1+Assumptions!$B$26)^(Y1-2026)</f>
        <v>906.705602</v>
      </c>
      <c r="Z14" s="18">
        <f>Main!$C$4*(1+Assumptions!$B$26)^(Z1-2026)</f>
        <v>906.705602</v>
      </c>
      <c r="AA14" s="18">
        <f>Main!$C$4*(1+Assumptions!$B$26)^(AA1-2026)</f>
        <v>906.705602</v>
      </c>
      <c r="AB14" s="18">
        <f>Main!$C$4*(1+Assumptions!$B$26)^(AB1-2026)</f>
        <v>906.705602</v>
      </c>
      <c r="AC14" s="18">
        <f>Main!$C$4*(1+Assumptions!$B$26)^(AC1-2026)</f>
        <v>906.705602</v>
      </c>
      <c r="AD14" s="18">
        <f>Main!$C$4*(1+Assumptions!$B$26)^(AD1-2026)</f>
        <v>906.705602</v>
      </c>
      <c r="AE14" s="18">
        <f>Main!$C$4*(1+Assumptions!$B$26)^(AE1-2026)</f>
        <v>906.705602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>-0.6102819237147595</v>
      </c>
      <c r="D16" s="14">
        <f>IFERROR(D2/C2-1,"")</f>
        <v>-1.0</v>
      </c>
      <c r="E16" s="14">
        <f>IFERROR(E2/D2-1,"")</f>
        <v/>
      </c>
      <c r="F16" s="14">
        <f>IFERROR(F2/E2-1,"")</f>
        <v/>
      </c>
      <c r="G16" s="14">
        <f>IFERROR(G2/F2-1,"")</f>
        <v/>
      </c>
      <c r="H16" s="14">
        <f>IFERROR(H2/G2-1,"")</f>
        <v/>
      </c>
      <c r="I16" s="14">
        <f>IFERROR(I2/H2-1,"")</f>
        <v>1.5</v>
      </c>
      <c r="J16" s="14">
        <f>IFERROR(J2/I2-1,"")</f>
        <v>5.621428571428571</v>
      </c>
      <c r="K16" s="14">
        <f>IFERROR(K2/J2-1,"")</f>
        <v>1.2357065803667746</v>
      </c>
      <c r="L16" s="14">
        <f>IFERROR(L2/K2-1,"")</f>
        <v>0.7848974668275028</v>
      </c>
      <c r="M16" s="14">
        <f>IFERROR(M2/L2-1,"")</f>
        <v>0.45377378892733566</v>
      </c>
      <c r="N16" s="14">
        <f>IFERROR(N2/M2-1,"")</f>
        <v>0.28426122206106585</v>
      </c>
      <c r="O16" s="14">
        <f>IFERROR(O2/N2-1,"")</f>
        <v>0.15611380583508283</v>
      </c>
      <c r="P16" s="14">
        <f>IFERROR(P2/O2-1,"")</f>
        <v>0.09400478414968627</v>
      </c>
      <c r="Q16" s="14">
        <f>IFERROR(Q2/P2-1,"")</f>
        <v>0.020571703318718493</v>
      </c>
      <c r="R16" s="14">
        <f>IFERROR(R2/Q2-1,"")</f>
        <v>0.011777902411665764</v>
      </c>
      <c r="S16" s="14">
        <f>IFERROR(S2/R2-1,"")</f>
        <v>0.0</v>
      </c>
      <c r="T16" s="14">
        <f>IFERROR(T2/S2-1,"")</f>
        <v>0.0</v>
      </c>
      <c r="U16" s="14">
        <f>IFERROR(U2/T2-1,"")</f>
        <v>0.0</v>
      </c>
      <c r="V16" s="14">
        <f>IFERROR(V2/U2-1,"")</f>
        <v>-0.04268292682926833</v>
      </c>
      <c r="W16" s="14">
        <f>IFERROR(W2/V2-1,"")</f>
        <v>-0.4131441806601043</v>
      </c>
      <c r="X16" s="14">
        <f>IFERROR(X2/W2-1,"")</f>
        <v>-0.5</v>
      </c>
      <c r="Y16" s="14">
        <f>IFERROR(Y2/X2-1,"")</f>
        <v>-0.5</v>
      </c>
      <c r="Z16" s="14">
        <f>IFERROR(Z2/Y2-1,"")</f>
        <v>-0.5</v>
      </c>
      <c r="AA16" s="14">
        <f>IFERROR(AA2/Z2-1,"")</f>
        <v>-0.5</v>
      </c>
      <c r="AB16" s="14">
        <f>IFERROR(AB2/AA2-1,"")</f>
        <v>-0.5</v>
      </c>
      <c r="AC16" s="14">
        <f>IFERROR(AC2/AB2-1,"")</f>
        <v>-0.5</v>
      </c>
      <c r="AD16" s="14">
        <f>IFERROR(AD2/AC2-1,"")</f>
        <v>-0.5</v>
      </c>
      <c r="AE16" s="14">
        <f>IFERROR(AE2/AD2-1,"")</f>
        <v>-0.5</v>
      </c>
    </row>
    <row r="17" customFormat="1" s="4">
      <c r="A17" s="3" t="inlineStr">
        <is>
          <t>Gross Margin</t>
        </is>
      </c>
      <c r="B17" s="14">
        <f>IFERROR(B4/B2,"")</f>
        <v>1.0</v>
      </c>
      <c r="C17" s="14">
        <f>IFERROR(C4/C2,"")</f>
        <v>1.0</v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>0.8200000000000001</v>
      </c>
      <c r="I17" s="14">
        <f>IFERROR(I4/I2,"")</f>
        <v>0.82</v>
      </c>
      <c r="J17" s="14">
        <f>IFERROR(J4/J2,"")</f>
        <v>0.8054368932038835</v>
      </c>
      <c r="K17" s="14">
        <f>IFERROR(K4/K2,"")</f>
        <v>0.8037153196622437</v>
      </c>
      <c r="L17" s="14">
        <f>IFERROR(L4/L2,"")</f>
        <v>0.8027665441176471</v>
      </c>
      <c r="M17" s="14">
        <f>IFERROR(M4/M2,"")</f>
        <v>0.8022882963293541</v>
      </c>
      <c r="N17" s="14">
        <f>IFERROR(N4/N2,"")</f>
        <v>0.8020169405632376</v>
      </c>
      <c r="O17" s="14">
        <f>IFERROR(O4/O2,"")</f>
        <v>0.8018340075394191</v>
      </c>
      <c r="P17" s="14">
        <f>IFERROR(P4/P2,"")</f>
        <v>0.8017293052327911</v>
      </c>
      <c r="Q17" s="14">
        <f>IFERROR(Q4/Q2,"")</f>
        <v>0.8017274256870442</v>
      </c>
      <c r="R17" s="14">
        <f>IFERROR(R4/R2,"")</f>
        <v>0.8017073170731707</v>
      </c>
      <c r="S17" s="14">
        <f>IFERROR(S4/S2,"")</f>
        <v>0.8017073170731707</v>
      </c>
      <c r="T17" s="14">
        <f>IFERROR(T4/T2,"")</f>
        <v>0.8017073170731707</v>
      </c>
      <c r="U17" s="14">
        <f>IFERROR(U4/U2,"")</f>
        <v>0.8017073170731707</v>
      </c>
      <c r="V17" s="14">
        <f>IFERROR(V4/V2,"")</f>
        <v>0.8008917197452229</v>
      </c>
      <c r="W17" s="14">
        <f>IFERROR(W4/W2,"")</f>
        <v>0.8007597434632462</v>
      </c>
      <c r="X17" s="14">
        <f>IFERROR(X4/X2,"")</f>
        <v>0.8007597434632462</v>
      </c>
      <c r="Y17" s="14">
        <f>IFERROR(Y4/Y2,"")</f>
        <v>0.8007597434632462</v>
      </c>
      <c r="Z17" s="14">
        <f>IFERROR(Z4/Z2,"")</f>
        <v>0.8007597434632462</v>
      </c>
      <c r="AA17" s="14">
        <f>IFERROR(AA4/AA2,"")</f>
        <v>0.8007597434632462</v>
      </c>
      <c r="AB17" s="14">
        <f>IFERROR(AB4/AB2,"")</f>
        <v>0.8007597434632462</v>
      </c>
      <c r="AC17" s="14">
        <f>IFERROR(AC4/AC2,"")</f>
        <v>0.8007597434632462</v>
      </c>
      <c r="AD17" s="14">
        <f>IFERROR(AD4/AD2,"")</f>
        <v>0.8007597434632462</v>
      </c>
      <c r="AE17" s="14">
        <f>IFERROR(AE4/AE2,"")</f>
        <v>0.8007597434632462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2250.678</v>
      </c>
      <c r="H20" s="18">
        <f>G20+H12</f>
        <v>1462.838425</v>
      </c>
      <c r="I20" s="18">
        <f>H20+I12</f>
        <v>642.0948659374999</v>
      </c>
      <c r="J20" s="18">
        <f>I20+J12</f>
        <v>132.52842341015617</v>
      </c>
      <c r="K20" s="18">
        <f>J20+K12</f>
        <v>-11.35871071196297</v>
      </c>
      <c r="L20" s="18">
        <f>K20+L12</f>
        <v>268.06702728803714</v>
      </c>
      <c r="M20" s="18">
        <f>L20+M12</f>
        <v>978.7247259513388</v>
      </c>
      <c r="N20" s="18">
        <f>M20+N12</f>
        <v>2116.0514438687137</v>
      </c>
      <c r="O20" s="18">
        <f>N20+O12</f>
        <v>3673.343599928816</v>
      </c>
      <c r="P20" s="18">
        <f>O20+P12</f>
        <v>5210.457618091656</v>
      </c>
      <c r="Q20" s="18">
        <f>P20+Q12</f>
        <v>6730.608925027621</v>
      </c>
      <c r="R20" s="18">
        <f>Q20+R12</f>
        <v>8313.214214431564</v>
      </c>
      <c r="S20" s="18">
        <f>R20+S12</f>
        <v>9937.769233959636</v>
      </c>
      <c r="T20" s="18">
        <f>S20+T12</f>
        <v>11603.890427393993</v>
      </c>
      <c r="U20" s="18">
        <f>T20+U12</f>
        <v>13312.612354580193</v>
      </c>
      <c r="V20" s="18">
        <f>U20+V12</f>
        <v>15004.164319057523</v>
      </c>
      <c r="W20" s="18">
        <f>V20+W12</f>
        <v>16112.78133518668</v>
      </c>
      <c r="X20" s="18">
        <f>W20+X12</f>
        <v>16985.211357241587</v>
      </c>
      <c r="Y20" s="18">
        <f>X20+Y12</f>
        <v>17685.94268119987</v>
      </c>
      <c r="Z20" s="18">
        <f>Y20+Z12</f>
        <v>18308.660951880418</v>
      </c>
      <c r="AA20" s="18">
        <f>Z20+AA12</f>
        <v>18900.441141954874</v>
      </c>
      <c r="AB20" s="18">
        <f>AA20+AB12</f>
        <v>19485.059765472786</v>
      </c>
      <c r="AC20" s="18">
        <f>AB20+AC12</f>
        <v>20074.65118836867</v>
      </c>
      <c r="AD20" s="18">
        <f>AC20+AD12</f>
        <v>20675.535993495967</v>
      </c>
      <c r="AE20" s="18">
        <f>AD20+AE12</f>
        <v>21291.13537913922</v>
      </c>
    </row>
    <row r="21">
      <c r="A21" s="13" t="inlineStr">
        <is>
          <t>Tax-Loss Pool</t>
        </is>
      </c>
      <c r="F21" s="18">
        <f>Assumptions!$B$18</f>
        <v>1200</v>
      </c>
      <c r="G21" s="18">
        <f>F21-MIN(F21,MAX(0,G10))+MAX(0,-G10)</f>
        <v>2045.12</v>
      </c>
      <c r="H21" s="18">
        <f>G21-MIN(G21,MAX(0,H10))+MAX(0,-H10)</f>
        <v>2832.959575</v>
      </c>
      <c r="I21" s="18">
        <f>H21-MIN(H21,MAX(0,I10))+MAX(0,-I10)</f>
        <v>3653.7031340625</v>
      </c>
      <c r="J21" s="18">
        <f>I21-MIN(I21,MAX(0,J10))+MAX(0,-J10)</f>
        <v>4163.269576589843</v>
      </c>
      <c r="K21" s="18">
        <f>J21-MIN(J21,MAX(0,K10))+MAX(0,-K10)</f>
        <v>4307.156710711963</v>
      </c>
      <c r="L21" s="18">
        <f>K21-MIN(K21,MAX(0,L10))+MAX(0,-L10)</f>
        <v>4027.7309727119627</v>
      </c>
      <c r="M21" s="18">
        <f>L21-MIN(L21,MAX(0,M10))+MAX(0,-M10)</f>
        <v>3317.073274048661</v>
      </c>
      <c r="N21" s="18">
        <f>M21-MIN(M21,MAX(0,N10))+MAX(0,-N10)</f>
        <v>2179.746556131286</v>
      </c>
      <c r="O21" s="18">
        <f>N21-MIN(N21,MAX(0,O10))+MAX(0,-O10)</f>
        <v>622.4544000711837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51.265</v>
      </c>
      <c r="C5" s="18" t="n">
        <v>208.021</v>
      </c>
      <c r="D5" s="18" t="n">
        <v>131.096</v>
      </c>
      <c r="E5" s="18" t="n">
        <v>147.292</v>
      </c>
      <c r="F5" s="18" t="n">
        <v>132.62</v>
      </c>
      <c r="G5" s="18" t="n">
        <v>157.74</v>
      </c>
      <c r="H5" s="18" t="n">
        <v>160</v>
      </c>
      <c r="I5" s="18" t="n">
        <v>165</v>
      </c>
    </row>
    <row r="6">
      <c r="A6" s="13" t="inlineStr">
        <is>
          <t>General &amp; Admin</t>
        </is>
      </c>
      <c r="B6" s="18" t="n">
        <v>15.586</v>
      </c>
      <c r="C6" s="18" t="n">
        <v>360.416</v>
      </c>
      <c r="D6" s="18" t="n">
        <v>103.115</v>
      </c>
      <c r="E6" s="18" t="n">
        <v>77.633</v>
      </c>
      <c r="F6" s="18" t="n">
        <v>62.59</v>
      </c>
      <c r="G6" s="18" t="n">
        <v>62.76</v>
      </c>
      <c r="H6" s="18" t="n">
        <v>65</v>
      </c>
      <c r="I6" s="18" t="n">
        <v>70</v>
      </c>
    </row>
    <row r="7">
      <c r="A7" s="13" t="inlineStr">
        <is>
          <t>Operating Expense</t>
        </is>
      </c>
      <c r="B7" s="18">
        <f>SUM(B5:B6)</f>
        <v>66.851</v>
      </c>
      <c r="C7" s="18">
        <f>SUM(C5:C6)</f>
        <v>568.437</v>
      </c>
      <c r="D7" s="18">
        <f>SUM(D5:D6)</f>
        <v>234.211</v>
      </c>
      <c r="E7" s="18">
        <f>SUM(E5:E6)</f>
        <v>224.925</v>
      </c>
      <c r="F7" s="18">
        <f>SUM(F5:F6)</f>
        <v>195.21</v>
      </c>
      <c r="G7" s="18">
        <f>SUM(G5:G6)</f>
        <v>220.5</v>
      </c>
      <c r="H7" s="18">
        <f>SUM(H5:H6)</f>
        <v>225.0</v>
      </c>
      <c r="I7" s="18">
        <f>SUM(I5:I6)</f>
        <v>235.0</v>
      </c>
    </row>
    <row r="8">
      <c r="A8" s="13" t="inlineStr">
        <is>
          <t>Operating Income</t>
        </is>
      </c>
      <c r="B8" s="18">
        <f>B4-B7</f>
        <v>-66.851</v>
      </c>
      <c r="C8" s="18">
        <f>C4-C7</f>
        <v>-568.437</v>
      </c>
      <c r="D8" s="18">
        <f>D4-D7</f>
        <v>-234.211</v>
      </c>
      <c r="E8" s="18">
        <f>E4-E7</f>
        <v>-224.925</v>
      </c>
      <c r="F8" s="18">
        <f>F4-F7</f>
        <v>-195.21</v>
      </c>
      <c r="G8" s="18">
        <f>G4-G7</f>
        <v>-220.5</v>
      </c>
      <c r="H8" s="18">
        <f>H4-H7</f>
        <v>-225.0</v>
      </c>
      <c r="I8" s="18">
        <f>I4-I7</f>
        <v>-235.0</v>
      </c>
    </row>
    <row r="9">
      <c r="A9" s="13" t="inlineStr">
        <is>
          <t>Interest &amp; Other</t>
        </is>
      </c>
      <c r="B9" s="18" t="n">
        <v>3.938</v>
      </c>
      <c r="C9" s="18" t="n">
        <v>2.729</v>
      </c>
      <c r="D9" s="18" t="n">
        <v>2.418</v>
      </c>
      <c r="E9" s="18" t="n">
        <v>5.753</v>
      </c>
      <c r="F9" s="18" t="n">
        <v>5.79</v>
      </c>
      <c r="G9" s="18" t="n">
        <v>4.8</v>
      </c>
      <c r="H9" s="18" t="n">
        <v>5</v>
      </c>
      <c r="I9" s="18" t="n">
        <v>15</v>
      </c>
    </row>
    <row r="10">
      <c r="A10" s="13" t="inlineStr">
        <is>
          <t>Pretax</t>
        </is>
      </c>
      <c r="B10" s="18">
        <f>B8+B9</f>
        <v>-62.913</v>
      </c>
      <c r="C10" s="18">
        <f>C8+C9</f>
        <v>-565.708</v>
      </c>
      <c r="D10" s="18">
        <f>D8+D9</f>
        <v>-231.793</v>
      </c>
      <c r="E10" s="18">
        <f>E8+E9</f>
        <v>-219.17200000000003</v>
      </c>
      <c r="F10" s="18">
        <f>F8+F9</f>
        <v>-189.42000000000002</v>
      </c>
      <c r="G10" s="18">
        <f>G8+G9</f>
        <v>-215.7</v>
      </c>
      <c r="H10" s="18">
        <f>H8+H9</f>
        <v>-220.0</v>
      </c>
      <c r="I10" s="18">
        <f>I8+I9</f>
        <v>-220.0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-62.913</v>
      </c>
      <c r="C12" s="18">
        <f>C10-C11</f>
        <v>-565.708</v>
      </c>
      <c r="D12" s="18">
        <f>D10-D11</f>
        <v>-231.793</v>
      </c>
      <c r="E12" s="18">
        <f>E10-E11</f>
        <v>-219.17200000000003</v>
      </c>
      <c r="F12" s="18">
        <f>F10-F11</f>
        <v>-189.42000000000002</v>
      </c>
      <c r="G12" s="18">
        <f>G10-G11</f>
        <v>-215.7</v>
      </c>
      <c r="H12" s="18">
        <f>H10-H11</f>
        <v>-220.0</v>
      </c>
      <c r="I12" s="18">
        <f>I10-I11</f>
        <v>-220.0</v>
      </c>
    </row>
    <row r="13">
      <c r="A13" s="13" t="inlineStr">
        <is>
          <t>Earnings per Share</t>
        </is>
      </c>
      <c r="B13" s="11">
        <f>IFERROR(B12/B14,0)</f>
        <v>-0.08523918946016398</v>
      </c>
      <c r="C13" s="11">
        <f>IFERROR(C12/C14,0)</f>
        <v>-0.7617783104300344</v>
      </c>
      <c r="D13" s="11">
        <f>IFERROR(D12/D14,0)</f>
        <v>-0.3117944730810206</v>
      </c>
      <c r="E13" s="11">
        <f>IFERROR(E12/E14,0)</f>
        <v>-0.2858633471674784</v>
      </c>
      <c r="F13" s="11">
        <f>IFERROR(F12/F14,0)</f>
        <v>-0.24426854839333662</v>
      </c>
      <c r="G13" s="11">
        <f>IFERROR(G12/G14,0)</f>
        <v>-0.27718344609572276</v>
      </c>
      <c r="H13" s="11">
        <f>IFERROR(H12/H14,0)</f>
        <v>-0.275</v>
      </c>
      <c r="I13" s="11">
        <f>IFERROR(I12/I14,0)</f>
        <v>-0.273972602739726</v>
      </c>
    </row>
    <row r="14">
      <c r="A14" s="13" t="inlineStr">
        <is>
          <t>Shares</t>
        </is>
      </c>
      <c r="B14" s="18" t="n">
        <v>738.076</v>
      </c>
      <c r="C14" s="18" t="n">
        <v>742.615</v>
      </c>
      <c r="D14" s="18" t="n">
        <v>743.4160000000001</v>
      </c>
      <c r="E14" s="18" t="n">
        <v>766.702</v>
      </c>
      <c r="F14" s="18" t="n">
        <v>775.458</v>
      </c>
      <c r="G14" s="18" t="n">
        <v>778.1849999999999</v>
      </c>
      <c r="H14" s="18" t="n">
        <v>800</v>
      </c>
      <c r="I14" s="18" t="n">
        <v>803</v>
      </c>
    </row>
    <row r="16">
      <c r="A16" s="13" t="inlineStr">
        <is>
          <t>Revenue Change (YoY)</t>
        </is>
      </c>
      <c r="F16" s="14">
        <f>IFERROR(F2/B2-1,"")</f>
        <v/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690.678</v>
      </c>
      <c r="H20" s="18">
        <f>G20+H12+H21</f>
        <v>470.678</v>
      </c>
      <c r="I20" s="18">
        <f>H20+I12+I21</f>
        <v>2250.678</v>
      </c>
    </row>
    <row r="21">
      <c r="A21" s="13" t="inlineStr">
        <is>
          <t>Other Cash Flows (est.)</t>
        </is>
      </c>
      <c r="H21" s="18" t="n">
        <v>0</v>
      </c>
      <c r="I21" s="18" t="n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SMMT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0.11</v>
      </c>
      <c r="C14" s="34" t="n">
        <v>0.13</v>
      </c>
      <c r="D14" s="34" t="n">
        <v>0.11</v>
      </c>
      <c r="E14" s="34" t="n">
        <v>0.095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1200</v>
      </c>
      <c r="C18" s="37" t="n">
        <v>1200</v>
      </c>
      <c r="D18" s="37" t="n">
        <v>1200</v>
      </c>
      <c r="E18" s="37" t="n">
        <v>1200</v>
      </c>
    </row>
    <row r="19">
      <c r="A19" s="13" t="inlineStr">
        <is>
          <t>Corporate G&amp;A, 2027</t>
        </is>
      </c>
      <c r="B19" s="36">
        <f>CHOOSE($B$4,C19,D19,E19)</f>
        <v>200</v>
      </c>
      <c r="C19" s="37" t="n">
        <v>200</v>
      </c>
      <c r="D19" s="37" t="n">
        <v>200</v>
      </c>
      <c r="E19" s="37" t="n">
        <v>200</v>
      </c>
    </row>
    <row r="20">
      <c r="A20" s="13" t="inlineStr">
        <is>
          <t>Platform / unallocated R&amp;D, 2027</t>
        </is>
      </c>
      <c r="B20" s="36">
        <f>CHOOSE($B$4,C20,D20,E20)</f>
        <v>150</v>
      </c>
      <c r="C20" s="37" t="n">
        <v>150</v>
      </c>
      <c r="D20" s="37" t="n">
        <v>150</v>
      </c>
      <c r="E20" s="37" t="n">
        <v>150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0.06</v>
      </c>
      <c r="C22" s="35" t="n">
        <v>0.06</v>
      </c>
      <c r="D22" s="35" t="n">
        <v>0.06</v>
      </c>
      <c r="E22" s="35" t="n">
        <v>0.06</v>
      </c>
    </row>
    <row r="23">
      <c r="A23" s="13" t="inlineStr">
        <is>
          <t>Platform R&amp;D floor, % of revenue</t>
        </is>
      </c>
      <c r="B23" s="33">
        <f>CHOOSE($B$4,C23,D23,E23)</f>
        <v>0.12</v>
      </c>
      <c r="C23" s="35" t="n">
        <v>0.12</v>
      </c>
      <c r="D23" s="35" t="n">
        <v>0.12</v>
      </c>
      <c r="E23" s="35" t="n">
        <v>0.12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2042</v>
      </c>
      <c r="C25" s="39" t="n">
        <v>2042</v>
      </c>
      <c r="D25" s="39" t="n">
        <v>2042</v>
      </c>
      <c r="E25" s="39" t="n">
        <v>2042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150</v>
      </c>
      <c r="C27" s="37" t="n">
        <v>150</v>
      </c>
      <c r="D27" s="37" t="n">
        <v>150</v>
      </c>
      <c r="E27" s="37" t="n">
        <v>150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DATE(2026,11,14)</f>
        <v>46340</v>
      </c>
    </row>
    <row r="31">
      <c r="A31" s="13" t="inlineStr">
        <is>
          <t>Application</t>
        </is>
      </c>
      <c r="B31" s="25" t="inlineStr">
        <is>
          <t>Ivonescimab + chemo BLA, EGFRm NSCLC after TKI (HARMONi)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0.4</v>
      </c>
      <c r="C32" s="34" t="n">
        <v>0.25</v>
      </c>
      <c r="D32" s="34" t="n">
        <v>0.4</v>
      </c>
      <c r="E32" s="34" t="n">
        <v>0.55</v>
      </c>
    </row>
    <row r="33">
      <c r="A33" s="13" t="inlineStr">
        <is>
          <t>Probability of approval later, after a CRL</t>
        </is>
      </c>
      <c r="B33" s="33">
        <f>CHOOSE($B$4,C33,D33,E33)</f>
        <v>0.25</v>
      </c>
      <c r="C33" s="35" t="n">
        <v>0.15</v>
      </c>
      <c r="D33" s="35" t="n">
        <v>0.25</v>
      </c>
      <c r="E33" s="35" t="n">
        <v>0.35</v>
      </c>
    </row>
    <row r="34">
      <c r="A34" s="13" t="inlineStr">
        <is>
          <t>Launch delay after a CRL (years)</t>
        </is>
      </c>
      <c r="B34" s="38">
        <f>CHOOSE($B$4,C34,D34,E34)</f>
        <v>3</v>
      </c>
      <c r="C34" s="39" t="n">
        <v>3</v>
      </c>
      <c r="D34" s="39" t="n">
        <v>3</v>
      </c>
      <c r="E34" s="39" t="n">
        <v>3</v>
      </c>
    </row>
    <row r="35">
      <c r="A35" s="13" t="inlineStr">
        <is>
          <t>Probability of approval, scenario value (before override)</t>
        </is>
      </c>
      <c r="B35" s="40">
        <f>CHOOSE($B$4,C32,D32,E32)</f>
        <v>0.4</v>
      </c>
    </row>
    <row r="36">
      <c r="A36" s="13" t="inlineStr">
        <is>
          <t>Read-through: relative cut to other programs' PoS after a CRL</t>
        </is>
      </c>
      <c r="B36" s="33">
        <f>CHOOSE($B$4,C36,D36,E36)</f>
        <v>0.2</v>
      </c>
      <c r="C36" s="35" t="n">
        <v>0.2</v>
      </c>
      <c r="D36" s="35" t="n">
        <v>0.2</v>
      </c>
      <c r="E36" s="35" t="n">
        <v>0.2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Ivonescimab — EGFRm NSCLC after TKI (HARMONi)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700</v>
      </c>
      <c r="C48" s="44" t="n">
        <v>400</v>
      </c>
      <c r="D48" s="44" t="n">
        <v>700</v>
      </c>
      <c r="E48" s="44" t="n">
        <v>1100</v>
      </c>
    </row>
    <row r="49">
      <c r="A49" s="13" t="inlineStr">
        <is>
          <t>Probability of approval (PDUFA event above)</t>
        </is>
      </c>
      <c r="B49" s="33">
        <f>$B$32</f>
        <v>0.4</v>
      </c>
    </row>
    <row r="50">
      <c r="A50" s="13" t="inlineStr">
        <is>
          <t>Company revenue, % of product net sales</t>
        </is>
      </c>
      <c r="B50" s="35" t="n">
        <v>1</v>
      </c>
    </row>
    <row r="51">
      <c r="A51" s="13" t="inlineStr">
        <is>
          <t>Cost of goods, % of product sales</t>
        </is>
      </c>
      <c r="B51" s="35" t="n">
        <v>0.08</v>
      </c>
    </row>
    <row r="52">
      <c r="A52" s="13" t="inlineStr">
        <is>
          <t>Royalties owed, % of product sales</t>
        </is>
      </c>
      <c r="B52" s="35" t="n">
        <v>0.1</v>
      </c>
    </row>
    <row r="53">
      <c r="A53" s="13" t="inlineStr">
        <is>
          <t>Commercial SG&amp;A at maturity, % of sales</t>
        </is>
      </c>
      <c r="B53" s="35" t="n">
        <v>0.3</v>
      </c>
    </row>
    <row r="54">
      <c r="A54" s="13" t="inlineStr">
        <is>
          <t>Pre-launch commercial spend, year before launch</t>
        </is>
      </c>
      <c r="B54" s="37" t="n">
        <v>60</v>
      </c>
    </row>
    <row r="55">
      <c r="A55" s="13" t="inlineStr">
        <is>
          <t>Launch ramp (1 = standard, 2 = orphan)</t>
        </is>
      </c>
      <c r="B55" s="39" t="n">
        <v>1</v>
      </c>
    </row>
    <row r="56">
      <c r="A56" s="13" t="inlineStr">
        <is>
          <t>Loss of exclusivity (year)</t>
        </is>
      </c>
      <c r="B56" s="38">
        <f>CHOOSE($B$4,C56,D56,E56)</f>
        <v>2040</v>
      </c>
      <c r="C56" s="39" t="n">
        <v>2040</v>
      </c>
      <c r="D56" s="39" t="n">
        <v>2040</v>
      </c>
      <c r="E56" s="39" t="n">
        <v>2040</v>
      </c>
    </row>
    <row r="57">
      <c r="A57" s="13" t="inlineStr">
        <is>
          <t>Post-LOE annual sales erosion</t>
        </is>
      </c>
      <c r="B57" s="35" t="n">
        <v>0.5</v>
      </c>
    </row>
    <row r="59">
      <c r="A59" s="30" t="inlineStr">
        <is>
          <t>Ivonescimab — 1L NSCLC with chemo (HARMONi-3)  (pipeline)</t>
        </is>
      </c>
      <c r="B59" s="31" t="n"/>
      <c r="C59" s="31" t="n"/>
      <c r="D59" s="31" t="n"/>
      <c r="E59" s="31" t="n"/>
    </row>
    <row r="60">
      <c r="A60" s="13" t="inlineStr">
        <is>
          <t>Launch year (first full year of sales)</t>
        </is>
      </c>
      <c r="B60" s="38">
        <f>CHOOSE($B$4,C60,D60,E60)</f>
        <v>2029</v>
      </c>
      <c r="C60" s="39" t="n">
        <v>2029</v>
      </c>
      <c r="D60" s="39" t="n">
        <v>2029</v>
      </c>
      <c r="E60" s="39" t="n">
        <v>2029</v>
      </c>
    </row>
    <row r="61">
      <c r="A61" s="13" t="inlineStr">
        <is>
          <t>Peak net sales, unrisked</t>
        </is>
      </c>
      <c r="B61" s="36">
        <f>CHOOSE($B$4,C61,D61,E61)</f>
        <v>5000</v>
      </c>
      <c r="C61" s="44" t="n">
        <v>2500</v>
      </c>
      <c r="D61" s="44" t="n">
        <v>5000</v>
      </c>
      <c r="E61" s="44" t="n">
        <v>9000</v>
      </c>
    </row>
    <row r="62">
      <c r="A62" s="13" t="inlineStr">
        <is>
          <t>Probability of reaching market</t>
        </is>
      </c>
      <c r="B62" s="33">
        <f>CHOOSE($B$4,C62,D62,E62)</f>
        <v>0.45</v>
      </c>
      <c r="C62" s="34" t="n">
        <v>0.3</v>
      </c>
      <c r="D62" s="34" t="n">
        <v>0.45</v>
      </c>
      <c r="E62" s="34" t="n">
        <v>0.55</v>
      </c>
    </row>
    <row r="63">
      <c r="A63" s="13" t="inlineStr">
        <is>
          <t>Company revenue, % of product net sales</t>
        </is>
      </c>
      <c r="B63" s="35" t="n">
        <v>1</v>
      </c>
    </row>
    <row r="64">
      <c r="A64" s="13" t="inlineStr">
        <is>
          <t>Cost of goods, % of product sales</t>
        </is>
      </c>
      <c r="B64" s="35" t="n">
        <v>0.08</v>
      </c>
    </row>
    <row r="65">
      <c r="A65" s="13" t="inlineStr">
        <is>
          <t>Royalties owed, % of product sales</t>
        </is>
      </c>
      <c r="B65" s="35" t="n">
        <v>0.12</v>
      </c>
    </row>
    <row r="66">
      <c r="A66" s="13" t="inlineStr">
        <is>
          <t>Commercial SG&amp;A at maturity, % of sales</t>
        </is>
      </c>
      <c r="B66" s="35" t="n">
        <v>0.25</v>
      </c>
    </row>
    <row r="67">
      <c r="A67" s="13" t="inlineStr">
        <is>
          <t>Pre-launch commercial spend, year before launch</t>
        </is>
      </c>
      <c r="B67" s="37" t="n">
        <v>100</v>
      </c>
    </row>
    <row r="68">
      <c r="A68" s="13" t="inlineStr">
        <is>
          <t>Launch ramp (1 = standard, 2 = orphan)</t>
        </is>
      </c>
      <c r="B68" s="39" t="n">
        <v>1</v>
      </c>
    </row>
    <row r="69">
      <c r="A69" s="13" t="inlineStr">
        <is>
          <t>Loss of exclusivity (year)</t>
        </is>
      </c>
      <c r="B69" s="38">
        <f>CHOOSE($B$4,C69,D69,E69)</f>
        <v>2041</v>
      </c>
      <c r="C69" s="39" t="n">
        <v>2041</v>
      </c>
      <c r="D69" s="39" t="n">
        <v>2041</v>
      </c>
      <c r="E69" s="39" t="n">
        <v>2041</v>
      </c>
    </row>
    <row r="70">
      <c r="A70" s="13" t="inlineStr">
        <is>
          <t>Post-LOE annual sales erosion</t>
        </is>
      </c>
      <c r="B70" s="35" t="n">
        <v>0.5</v>
      </c>
    </row>
    <row r="71">
      <c r="A71" s="25" t="inlineStr">
        <is>
          <t>Development spend, unrisked ($mm) by year</t>
        </is>
      </c>
      <c r="B71" s="42" t="n">
        <v>2027</v>
      </c>
      <c r="C71" s="42" t="n">
        <v>2028</v>
      </c>
      <c r="D71" s="42" t="n">
        <v>2029</v>
      </c>
      <c r="E71" s="42" t="n">
        <v>2030</v>
      </c>
      <c r="F71" s="42" t="n">
        <v>2031</v>
      </c>
      <c r="G71" s="42" t="n">
        <v>2032</v>
      </c>
      <c r="H71" s="42" t="n">
        <v>2033</v>
      </c>
      <c r="I71" s="42" t="n">
        <v>2034</v>
      </c>
    </row>
    <row r="72">
      <c r="A72" s="13" t="inlineStr">
        <is>
          <t xml:space="preserve">  Cost</t>
        </is>
      </c>
      <c r="B72" s="37" t="n">
        <v>250</v>
      </c>
      <c r="C72" s="37" t="n">
        <v>150</v>
      </c>
      <c r="D72" s="37" t="n">
        <v>50</v>
      </c>
      <c r="E72" s="37" t="n">
        <v>0</v>
      </c>
      <c r="F72" s="37" t="n">
        <v>0</v>
      </c>
      <c r="G72" s="37" t="n">
        <v>0</v>
      </c>
      <c r="H72" s="37" t="n">
        <v>0</v>
      </c>
      <c r="I72" s="37" t="n">
        <v>0</v>
      </c>
    </row>
    <row r="73">
      <c r="A73" s="13" t="inlineStr">
        <is>
          <t xml:space="preserve">  Probability the cost is incurred</t>
        </is>
      </c>
      <c r="B73" s="43" t="n">
        <v>1</v>
      </c>
      <c r="C73" s="43" t="n">
        <v>1</v>
      </c>
      <c r="D73" s="43" t="n">
        <v>0.45</v>
      </c>
      <c r="E73" s="43" t="n">
        <v>1</v>
      </c>
      <c r="F73" s="43" t="n">
        <v>1</v>
      </c>
      <c r="G73" s="43" t="n">
        <v>1</v>
      </c>
      <c r="H73" s="43" t="n">
        <v>1</v>
      </c>
      <c r="I73" s="43" t="n">
        <v>1</v>
      </c>
    </row>
    <row r="75">
      <c r="A75" s="30" t="inlineStr">
        <is>
          <t>Ivonescimab — PD-L1-high 1L monotherapy (HARMONi-7)  (pipeline)</t>
        </is>
      </c>
      <c r="B75" s="31" t="n"/>
      <c r="C75" s="31" t="n"/>
      <c r="D75" s="31" t="n"/>
      <c r="E75" s="31" t="n"/>
    </row>
    <row r="76">
      <c r="A76" s="13" t="inlineStr">
        <is>
          <t>Launch year (first full year of sales)</t>
        </is>
      </c>
      <c r="B76" s="38">
        <f>CHOOSE($B$4,C76,D76,E76)</f>
        <v>2029</v>
      </c>
      <c r="C76" s="39" t="n">
        <v>2029</v>
      </c>
      <c r="D76" s="39" t="n">
        <v>2029</v>
      </c>
      <c r="E76" s="39" t="n">
        <v>2029</v>
      </c>
    </row>
    <row r="77">
      <c r="A77" s="13" t="inlineStr">
        <is>
          <t>Peak net sales, unrisked</t>
        </is>
      </c>
      <c r="B77" s="36">
        <f>CHOOSE($B$4,C77,D77,E77)</f>
        <v>2500</v>
      </c>
      <c r="C77" s="44" t="n">
        <v>1000</v>
      </c>
      <c r="D77" s="44" t="n">
        <v>2500</v>
      </c>
      <c r="E77" s="44" t="n">
        <v>4500</v>
      </c>
    </row>
    <row r="78">
      <c r="A78" s="13" t="inlineStr">
        <is>
          <t>Probability of reaching market</t>
        </is>
      </c>
      <c r="B78" s="33">
        <f>CHOOSE($B$4,C78,D78,E78)</f>
        <v>0.45</v>
      </c>
      <c r="C78" s="34" t="n">
        <v>0.3</v>
      </c>
      <c r="D78" s="34" t="n">
        <v>0.45</v>
      </c>
      <c r="E78" s="34" t="n">
        <v>0.55</v>
      </c>
    </row>
    <row r="79">
      <c r="A79" s="13" t="inlineStr">
        <is>
          <t>Company revenue, % of product net sales</t>
        </is>
      </c>
      <c r="B79" s="35" t="n">
        <v>1</v>
      </c>
    </row>
    <row r="80">
      <c r="A80" s="13" t="inlineStr">
        <is>
          <t>Cost of goods, % of product sales</t>
        </is>
      </c>
      <c r="B80" s="35" t="n">
        <v>0.08</v>
      </c>
    </row>
    <row r="81">
      <c r="A81" s="13" t="inlineStr">
        <is>
          <t>Royalties owed, % of product sales</t>
        </is>
      </c>
      <c r="B81" s="35" t="n">
        <v>0.12</v>
      </c>
    </row>
    <row r="82">
      <c r="A82" s="13" t="inlineStr">
        <is>
          <t>Commercial SG&amp;A at maturity, % of sales</t>
        </is>
      </c>
      <c r="B82" s="35" t="n">
        <v>0.2</v>
      </c>
    </row>
    <row r="83">
      <c r="A83" s="13" t="inlineStr">
        <is>
          <t>Pre-launch commercial spend, year before launch</t>
        </is>
      </c>
      <c r="B83" s="37" t="n">
        <v>20</v>
      </c>
    </row>
    <row r="84">
      <c r="A84" s="13" t="inlineStr">
        <is>
          <t>Launch ramp (1 = standard, 2 = orphan)</t>
        </is>
      </c>
      <c r="B84" s="39" t="n">
        <v>1</v>
      </c>
    </row>
    <row r="85">
      <c r="A85" s="13" t="inlineStr">
        <is>
          <t>Loss of exclusivity (year)</t>
        </is>
      </c>
      <c r="B85" s="38">
        <f>CHOOSE($B$4,C85,D85,E85)</f>
        <v>2041</v>
      </c>
      <c r="C85" s="39" t="n">
        <v>2041</v>
      </c>
      <c r="D85" s="39" t="n">
        <v>2041</v>
      </c>
      <c r="E85" s="39" t="n">
        <v>2041</v>
      </c>
    </row>
    <row r="86">
      <c r="A86" s="13" t="inlineStr">
        <is>
          <t>Post-LOE annual sales erosion</t>
        </is>
      </c>
      <c r="B86" s="35" t="n">
        <v>0.5</v>
      </c>
    </row>
    <row r="87">
      <c r="A87" s="25" t="inlineStr">
        <is>
          <t>Development spend, unrisked ($mm) by year</t>
        </is>
      </c>
      <c r="B87" s="42" t="n">
        <v>2027</v>
      </c>
      <c r="C87" s="42" t="n">
        <v>2028</v>
      </c>
      <c r="D87" s="42" t="n">
        <v>2029</v>
      </c>
      <c r="E87" s="42" t="n">
        <v>2030</v>
      </c>
      <c r="F87" s="42" t="n">
        <v>2031</v>
      </c>
      <c r="G87" s="42" t="n">
        <v>2032</v>
      </c>
      <c r="H87" s="42" t="n">
        <v>2033</v>
      </c>
      <c r="I87" s="42" t="n">
        <v>2034</v>
      </c>
    </row>
    <row r="88">
      <c r="A88" s="13" t="inlineStr">
        <is>
          <t xml:space="preserve">  Cost</t>
        </is>
      </c>
      <c r="B88" s="37" t="n">
        <v>120</v>
      </c>
      <c r="C88" s="37" t="n">
        <v>80</v>
      </c>
      <c r="D88" s="37" t="n">
        <v>0</v>
      </c>
      <c r="E88" s="37" t="n">
        <v>0</v>
      </c>
      <c r="F88" s="37" t="n">
        <v>0</v>
      </c>
      <c r="G88" s="37" t="n">
        <v>0</v>
      </c>
      <c r="H88" s="37" t="n">
        <v>0</v>
      </c>
      <c r="I88" s="37" t="n">
        <v>0</v>
      </c>
    </row>
    <row r="89">
      <c r="A89" s="13" t="inlineStr">
        <is>
          <t xml:space="preserve">  Probability the cost is incurred</t>
        </is>
      </c>
      <c r="B89" s="43" t="n">
        <v>1</v>
      </c>
      <c r="C89" s="43" t="n">
        <v>1</v>
      </c>
      <c r="D89" s="43" t="n">
        <v>1</v>
      </c>
      <c r="E89" s="43" t="n">
        <v>1</v>
      </c>
      <c r="F89" s="43" t="n">
        <v>1</v>
      </c>
      <c r="G89" s="43" t="n">
        <v>1</v>
      </c>
      <c r="H89" s="43" t="n">
        <v>1</v>
      </c>
      <c r="I89" s="43" t="n">
        <v>1</v>
      </c>
    </row>
    <row r="91">
      <c r="A91" s="30" t="inlineStr">
        <is>
          <t>Ivonescimab — other tumors (CRC, bladder, BTC, ADC combos)  (pipeline)</t>
        </is>
      </c>
      <c r="B91" s="31" t="n"/>
      <c r="C91" s="31" t="n"/>
      <c r="D91" s="31" t="n"/>
      <c r="E91" s="31" t="n"/>
    </row>
    <row r="92">
      <c r="A92" s="13" t="inlineStr">
        <is>
          <t>Launch year (first full year of sales)</t>
        </is>
      </c>
      <c r="B92" s="38">
        <f>CHOOSE($B$4,C92,D92,E92)</f>
        <v>2031</v>
      </c>
      <c r="C92" s="39" t="n">
        <v>2031</v>
      </c>
      <c r="D92" s="39" t="n">
        <v>2031</v>
      </c>
      <c r="E92" s="39" t="n">
        <v>2031</v>
      </c>
    </row>
    <row r="93">
      <c r="A93" s="13" t="inlineStr">
        <is>
          <t>Peak net sales, unrisked</t>
        </is>
      </c>
      <c r="B93" s="36">
        <f>CHOOSE($B$4,C93,D93,E93)</f>
        <v>3000</v>
      </c>
      <c r="C93" s="44" t="n">
        <v>1000</v>
      </c>
      <c r="D93" s="44" t="n">
        <v>3000</v>
      </c>
      <c r="E93" s="44" t="n">
        <v>6000</v>
      </c>
    </row>
    <row r="94">
      <c r="A94" s="13" t="inlineStr">
        <is>
          <t>Probability of reaching market</t>
        </is>
      </c>
      <c r="B94" s="33">
        <f>CHOOSE($B$4,C94,D94,E94)</f>
        <v>0.25</v>
      </c>
      <c r="C94" s="34" t="n">
        <v>0.15</v>
      </c>
      <c r="D94" s="34" t="n">
        <v>0.25</v>
      </c>
      <c r="E94" s="34" t="n">
        <v>0.35</v>
      </c>
    </row>
    <row r="95">
      <c r="A95" s="13" t="inlineStr">
        <is>
          <t>Company revenue, % of product net sales</t>
        </is>
      </c>
      <c r="B95" s="35" t="n">
        <v>1</v>
      </c>
    </row>
    <row r="96">
      <c r="A96" s="13" t="inlineStr">
        <is>
          <t>Cost of goods, % of product sales</t>
        </is>
      </c>
      <c r="B96" s="35" t="n">
        <v>0.08</v>
      </c>
    </row>
    <row r="97">
      <c r="A97" s="13" t="inlineStr">
        <is>
          <t>Royalties owed, % of product sales</t>
        </is>
      </c>
      <c r="B97" s="35" t="n">
        <v>0.12</v>
      </c>
    </row>
    <row r="98">
      <c r="A98" s="13" t="inlineStr">
        <is>
          <t>Commercial SG&amp;A at maturity, % of sales</t>
        </is>
      </c>
      <c r="B98" s="35" t="n">
        <v>0.2</v>
      </c>
    </row>
    <row r="99">
      <c r="A99" s="13" t="inlineStr">
        <is>
          <t>Pre-launch commercial spend, year before launch</t>
        </is>
      </c>
      <c r="B99" s="37" t="n">
        <v>30</v>
      </c>
    </row>
    <row r="100">
      <c r="A100" s="13" t="inlineStr">
        <is>
          <t>Launch ramp (1 = standard, 2 = orphan)</t>
        </is>
      </c>
      <c r="B100" s="39" t="n">
        <v>1</v>
      </c>
    </row>
    <row r="101">
      <c r="A101" s="13" t="inlineStr">
        <is>
          <t>Loss of exclusivity (year)</t>
        </is>
      </c>
      <c r="B101" s="38">
        <f>CHOOSE($B$4,C101,D101,E101)</f>
        <v>2042</v>
      </c>
      <c r="C101" s="39" t="n">
        <v>2042</v>
      </c>
      <c r="D101" s="39" t="n">
        <v>2042</v>
      </c>
      <c r="E101" s="39" t="n">
        <v>2042</v>
      </c>
    </row>
    <row r="102">
      <c r="A102" s="13" t="inlineStr">
        <is>
          <t>Post-LOE annual sales erosion</t>
        </is>
      </c>
      <c r="B102" s="35" t="n">
        <v>0.5</v>
      </c>
    </row>
    <row r="103">
      <c r="A103" s="25" t="inlineStr">
        <is>
          <t>Development spend, unrisked ($mm) by year</t>
        </is>
      </c>
      <c r="B103" s="42" t="n">
        <v>2027</v>
      </c>
      <c r="C103" s="42" t="n">
        <v>2028</v>
      </c>
      <c r="D103" s="42" t="n">
        <v>2029</v>
      </c>
      <c r="E103" s="42" t="n">
        <v>2030</v>
      </c>
      <c r="F103" s="42" t="n">
        <v>2031</v>
      </c>
      <c r="G103" s="42" t="n">
        <v>2032</v>
      </c>
      <c r="H103" s="42" t="n">
        <v>2033</v>
      </c>
      <c r="I103" s="42" t="n">
        <v>2034</v>
      </c>
    </row>
    <row r="104">
      <c r="A104" s="13" t="inlineStr">
        <is>
          <t xml:space="preserve">  Cost</t>
        </is>
      </c>
      <c r="B104" s="37" t="n">
        <v>150</v>
      </c>
      <c r="C104" s="37" t="n">
        <v>250</v>
      </c>
      <c r="D104" s="37" t="n">
        <v>250</v>
      </c>
      <c r="E104" s="37" t="n">
        <v>150</v>
      </c>
      <c r="F104" s="37" t="n">
        <v>0</v>
      </c>
      <c r="G104" s="37" t="n">
        <v>0</v>
      </c>
      <c r="H104" s="37" t="n">
        <v>0</v>
      </c>
      <c r="I104" s="37" t="n">
        <v>0</v>
      </c>
    </row>
    <row r="105">
      <c r="A105" s="13" t="inlineStr">
        <is>
          <t xml:space="preserve">  Probability the cost is incurred</t>
        </is>
      </c>
      <c r="B105" s="43" t="n">
        <v>1</v>
      </c>
      <c r="C105" s="43" t="n">
        <v>1</v>
      </c>
      <c r="D105" s="43" t="n">
        <v>0.6</v>
      </c>
      <c r="E105" s="43" t="n">
        <v>0.4</v>
      </c>
      <c r="F105" s="43" t="n">
        <v>1</v>
      </c>
      <c r="G105" s="43" t="n">
        <v>1</v>
      </c>
      <c r="H105" s="43" t="n">
        <v>1</v>
      </c>
      <c r="I105" s="43" t="n">
        <v>1</v>
      </c>
    </row>
    <row r="108">
      <c r="A108" s="45" t="inlineStr">
        <is>
          <t>Sensitivity tables (Excel data tables)</t>
        </is>
      </c>
    </row>
    <row r="110">
      <c r="A110" s="30" t="inlineStr">
        <is>
          <t>Scenario summary</t>
        </is>
      </c>
    </row>
    <row r="111">
      <c r="A111" s="13" t="inlineStr">
        <is>
          <t>Scenario</t>
        </is>
      </c>
      <c r="B111" s="42" t="inlineStr">
        <is>
          <t>Case</t>
        </is>
      </c>
      <c r="C111" s="42" t="inlineStr">
        <is>
          <t>Equity value</t>
        </is>
      </c>
      <c r="D111" s="42" t="inlineStr">
        <is>
          <t>rNPV / share</t>
        </is>
      </c>
      <c r="E111" s="42" t="inlineStr">
        <is>
          <t>Upside</t>
        </is>
      </c>
      <c r="F111" s="42" t="inlineStr">
        <is>
          <t>Ivonescimab EGFRm PV / share</t>
        </is>
      </c>
      <c r="G111" s="42" t="inlineStr">
        <is>
          <t>P(approval)</t>
        </is>
      </c>
      <c r="H111" s="42" t="inlineStr">
        <is>
          <t>Discount rate</t>
        </is>
      </c>
    </row>
    <row r="112">
      <c r="A112" s="25" t="inlineStr">
        <is>
          <t>Live (active scenario)</t>
        </is>
      </c>
      <c r="C112" s="46">
        <f>NPV!C31</f>
        <v>5104.232533471919</v>
      </c>
      <c r="D112" s="47">
        <f>NPV!C43</f>
        <v>5.475264046248677</v>
      </c>
      <c r="E112" s="48">
        <f>NPV!C45</f>
        <v>-0.6597101276414744</v>
      </c>
      <c r="F112" s="47">
        <f>NPV!C52</f>
        <v>0.924732940526309</v>
      </c>
      <c r="G112" s="49">
        <f>$B$32</f>
        <v>0.4</v>
      </c>
      <c r="H112" s="50">
        <f>$B$14</f>
        <v>0.11</v>
      </c>
    </row>
    <row r="113">
      <c r="A113" s="23" t="inlineStr">
        <is>
          <t>Bear</t>
        </is>
      </c>
      <c r="B113" s="51" t="n">
        <v>1</v>
      </c>
      <c r="C113" s="52">
        <f t="dataTable" ref="C113:H115" r1="B4"/>
        <v>641.4679602283768</v>
      </c>
      <c r="D113" s="53">
        <v>0.7069019099697796</v>
      </c>
      <c r="E113" s="54">
        <v>-0.9560657607228229</v>
      </c>
      <c r="F113" s="53">
        <v>0.3010167100056685</v>
      </c>
      <c r="G113" s="55">
        <v>0.25</v>
      </c>
      <c r="H113" s="54">
        <v>0.13</v>
      </c>
    </row>
    <row r="114">
      <c r="A114" s="23" t="inlineStr">
        <is>
          <t>Base</t>
        </is>
      </c>
      <c r="B114" s="51" t="n">
        <v>2</v>
      </c>
      <c r="C114" s="56">
        <v>5104.232533471919</v>
      </c>
      <c r="D114" s="57">
        <v>5.475264046248677</v>
      </c>
      <c r="E114" s="58">
        <v>-0.6597101276414744</v>
      </c>
      <c r="F114" s="57">
        <v>0.924732940526309</v>
      </c>
      <c r="G114" s="59">
        <v>0.4</v>
      </c>
      <c r="H114" s="58">
        <v>0.11</v>
      </c>
    </row>
    <row r="115">
      <c r="A115" s="23" t="inlineStr">
        <is>
          <t>Bull</t>
        </is>
      </c>
      <c r="B115" s="51" t="n">
        <v>3</v>
      </c>
      <c r="C115" s="52">
        <v>12938.34233651898</v>
      </c>
      <c r="D115" s="53">
        <v>13.083698955823557</v>
      </c>
      <c r="E115" s="54">
        <v>-0.1868428243739243</v>
      </c>
      <c r="F115" s="53">
        <v>2.0227241974793424</v>
      </c>
      <c r="G115" s="55">
        <v>0.55</v>
      </c>
      <c r="H115" s="54">
        <v>0.095</v>
      </c>
    </row>
    <row r="117">
      <c r="A117" s="30" t="inlineStr">
        <is>
          <t>PDUFA outcome (Ivonescimab EGFRm): value if the FDA approves vs. issues a CRL</t>
        </is>
      </c>
    </row>
    <row r="118">
      <c r="A118" s="13" t="inlineStr">
        <is>
          <t>Outcome</t>
        </is>
      </c>
      <c r="B118" s="42" t="inlineStr">
        <is>
          <t>P(approval)</t>
        </is>
      </c>
      <c r="C118" s="42" t="inlineStr">
        <is>
          <t>Equity value</t>
        </is>
      </c>
      <c r="D118" s="42" t="inlineStr">
        <is>
          <t>rNPV / share</t>
        </is>
      </c>
      <c r="E118" s="42" t="inlineStr">
        <is>
          <t>Upside</t>
        </is>
      </c>
      <c r="F118" s="42" t="inlineStr">
        <is>
          <t>Ivonescimab EGFRm PV / share</t>
        </is>
      </c>
    </row>
    <row r="119">
      <c r="A119" s="25" t="inlineStr">
        <is>
          <t>Live (probability-weighted)</t>
        </is>
      </c>
      <c r="B119" s="60">
        <f>$B$32</f>
        <v>0.4</v>
      </c>
      <c r="C119" s="46">
        <f>NPV!C31</f>
        <v>5104.232533471919</v>
      </c>
      <c r="D119" s="47">
        <f>NPV!C43</f>
        <v>5.475264046248677</v>
      </c>
      <c r="E119" s="48">
        <f>NPV!C45</f>
        <v>-0.6597101276414744</v>
      </c>
      <c r="F119" s="47">
        <f>NPV!C52</f>
        <v>0.924732940526309</v>
      </c>
    </row>
    <row r="120">
      <c r="A120" s="23" t="inlineStr">
        <is>
          <t>Complete response letter (CRL)</t>
        </is>
      </c>
      <c r="B120" s="61" t="n">
        <v>0</v>
      </c>
      <c r="C120" s="56">
        <f t="dataTable" ref="C120:F121" r1="B7"/>
        <v>3673.1105853657914</v>
      </c>
      <c r="D120" s="57">
        <v>4.047792016612757</v>
      </c>
      <c r="E120" s="58">
        <v>-0.7484280909501083</v>
      </c>
      <c r="F120" s="57">
        <v>0.2890863436646011</v>
      </c>
    </row>
    <row r="121">
      <c r="A121" s="23" t="inlineStr">
        <is>
          <t>Approved on time</t>
        </is>
      </c>
      <c r="B121" s="61" t="n">
        <v>1</v>
      </c>
      <c r="C121" s="56">
        <v>7031.627894571615</v>
      </c>
      <c r="D121" s="57">
        <v>7.3408048391776815</v>
      </c>
      <c r="E121" s="58">
        <v>-0.5437660137241963</v>
      </c>
      <c r="F121" s="57">
        <v>1.8391402053950145</v>
      </c>
    </row>
    <row r="123">
      <c r="A123" s="30" t="inlineStr">
        <is>
          <t>rNPV / share: Ivonescimab EGFRm peak sales × probability of approval</t>
        </is>
      </c>
    </row>
    <row r="124">
      <c r="C124" s="25" t="inlineStr">
        <is>
          <t>Probability of approval →</t>
        </is>
      </c>
    </row>
    <row r="125">
      <c r="A125" s="25" t="inlineStr">
        <is>
          <t>Peak sales ($mm) ↓</t>
        </is>
      </c>
      <c r="B125" s="47">
        <f>NPV!C43</f>
        <v>5.475264046248677</v>
      </c>
      <c r="C125" s="62" t="n">
        <v>0</v>
      </c>
      <c r="D125" s="62" t="n">
        <v>0.25</v>
      </c>
      <c r="E125" s="62" t="n">
        <v>0.5</v>
      </c>
      <c r="F125" s="62" t="n">
        <v>0.75</v>
      </c>
      <c r="G125" s="62" t="n">
        <v>1</v>
      </c>
    </row>
    <row r="126">
      <c r="B126" s="56" t="n">
        <v>275</v>
      </c>
      <c r="C126" s="53">
        <f t="dataTable" ref="C126:G132" dt2D="1" r1="B7" r2="B8"/>
        <v>3.934304984630355</v>
      </c>
      <c r="D126" s="53">
        <v>4.72202603863217</v>
      </c>
      <c r="E126" s="53">
        <v>5.427675018190801</v>
      </c>
      <c r="F126" s="53">
        <v>6.088657925701879</v>
      </c>
      <c r="G126" s="53">
        <v>6.732096749694223</v>
      </c>
    </row>
    <row r="127">
      <c r="B127" s="56" t="n">
        <v>425</v>
      </c>
      <c r="C127" s="53">
        <v>3.974359231212379</v>
      </c>
      <c r="D127" s="53">
        <v>4.8111245700261</v>
      </c>
      <c r="E127" s="53">
        <v>5.560613347587399</v>
      </c>
      <c r="F127" s="53">
        <v>6.27282994818444</v>
      </c>
      <c r="G127" s="53">
        <v>6.950757698418673</v>
      </c>
    </row>
    <row r="128">
      <c r="B128" s="56" t="n">
        <v>550</v>
      </c>
      <c r="C128" s="53">
        <v>4.007737770030733</v>
      </c>
      <c r="D128" s="53">
        <v>4.882460393828529</v>
      </c>
      <c r="E128" s="53">
        <v>5.669804757628209</v>
      </c>
      <c r="F128" s="53">
        <v>6.4160122443471215</v>
      </c>
      <c r="G128" s="53">
        <v>7.128018847047098</v>
      </c>
    </row>
    <row r="129">
      <c r="B129" s="56" t="n">
        <v>700</v>
      </c>
      <c r="C129" s="53">
        <v>4.047792016612757</v>
      </c>
      <c r="D129" s="53">
        <v>4.968110372101868</v>
      </c>
      <c r="E129" s="53">
        <v>5.799387246535155</v>
      </c>
      <c r="F129" s="53">
        <v>6.587633451273511</v>
      </c>
      <c r="G129" s="53">
        <v>7.3408048391776815</v>
      </c>
    </row>
    <row r="130">
      <c r="B130" s="56" t="n">
        <v>875</v>
      </c>
      <c r="C130" s="53">
        <v>4.094521970958452</v>
      </c>
      <c r="D130" s="53">
        <v>5.068096031581138</v>
      </c>
      <c r="E130" s="53">
        <v>5.949516199877449</v>
      </c>
      <c r="F130" s="53">
        <v>6.784103020995253</v>
      </c>
      <c r="G130" s="53">
        <v>7.587953670287739</v>
      </c>
    </row>
    <row r="131">
      <c r="B131" s="56" t="n">
        <v>1050</v>
      </c>
      <c r="C131" s="53">
        <v>4.141251925304147</v>
      </c>
      <c r="D131" s="53">
        <v>5.168142554819075</v>
      </c>
      <c r="E131" s="53">
        <v>6.106586064551114</v>
      </c>
      <c r="F131" s="53">
        <v>6.97872453766982</v>
      </c>
      <c r="G131" s="53">
        <v>7.832081336982653</v>
      </c>
    </row>
    <row r="132">
      <c r="B132" s="56" t="n">
        <v>1400</v>
      </c>
      <c r="C132" s="53">
        <v>4.2347118339955365</v>
      </c>
      <c r="D132" s="53">
        <v>5.36668935662259</v>
      </c>
      <c r="E132" s="53">
        <v>6.3999918305773</v>
      </c>
      <c r="F132" s="53">
        <v>7.3681765379858</v>
      </c>
      <c r="G132" s="53">
        <v>8.327352593337631</v>
      </c>
    </row>
    <row r="134">
      <c r="A134" s="30" t="inlineStr">
        <is>
          <t>rNPV / share: discount rate × scenario</t>
        </is>
      </c>
    </row>
    <row r="135">
      <c r="C135" s="25" t="inlineStr">
        <is>
          <t>Scenario →</t>
        </is>
      </c>
    </row>
    <row r="136">
      <c r="A136" s="25" t="inlineStr">
        <is>
          <t>Discount rate ↓</t>
        </is>
      </c>
      <c r="B136" s="47">
        <f>NPV!C43</f>
        <v>5.475264046248677</v>
      </c>
      <c r="C136" s="38" t="n">
        <v>1</v>
      </c>
      <c r="D136" s="38" t="n">
        <v>2</v>
      </c>
      <c r="E136" s="38" t="n">
        <v>3</v>
      </c>
      <c r="F136" s="25" t="inlineStr">
        <is>
          <t>1 = Bear, 2 = Base, 3 = Bull</t>
        </is>
      </c>
    </row>
    <row r="137">
      <c r="B137" s="58" t="n">
        <v>0.08</v>
      </c>
      <c r="C137" s="53">
        <f t="dataTable" ref="C137:E143" dt2D="1" r1="B4" r2="B6"/>
        <v>0.9073316426497696</v>
      </c>
      <c r="D137" s="53">
        <v>6.889531678599931</v>
      </c>
      <c r="E137" s="53">
        <v>14.901113552456266</v>
      </c>
    </row>
    <row r="138">
      <c r="B138" s="58" t="n">
        <v>0.09</v>
      </c>
      <c r="C138" s="53">
        <v>0.8505909202766946</v>
      </c>
      <c r="D138" s="53">
        <v>6.362167530412821</v>
      </c>
      <c r="E138" s="53">
        <v>13.655147946147512</v>
      </c>
    </row>
    <row r="139">
      <c r="B139" s="58" t="n">
        <v>0.1</v>
      </c>
      <c r="C139" s="53">
        <v>0.8033463692826358</v>
      </c>
      <c r="D139" s="53">
        <v>5.89307026217911</v>
      </c>
      <c r="E139" s="53">
        <v>12.543749323814525</v>
      </c>
    </row>
    <row r="140">
      <c r="B140" s="58" t="n">
        <v>0.11</v>
      </c>
      <c r="C140" s="53">
        <v>0.764346181732036</v>
      </c>
      <c r="D140" s="53">
        <v>5.475264046248677</v>
      </c>
      <c r="E140" s="53">
        <v>11.550658033296537</v>
      </c>
    </row>
    <row r="141">
      <c r="B141" s="58" t="n">
        <v>0.12</v>
      </c>
      <c r="C141" s="53">
        <v>0.7325096066129406</v>
      </c>
      <c r="D141" s="53">
        <v>5.102696606530757</v>
      </c>
      <c r="E141" s="53">
        <v>10.661785949756656</v>
      </c>
    </row>
    <row r="142">
      <c r="B142" s="58" t="n">
        <v>0.13</v>
      </c>
      <c r="C142" s="53">
        <v>0.7069019099697796</v>
      </c>
      <c r="D142" s="53">
        <v>4.770105775317025</v>
      </c>
      <c r="E142" s="53">
        <v>9.864901266841619</v>
      </c>
    </row>
    <row r="143">
      <c r="B143" s="58" t="n">
        <v>0.14</v>
      </c>
      <c r="C143" s="53">
        <v>0.6867132695318013</v>
      </c>
      <c r="D143" s="53">
        <v>4.4729066779933415</v>
      </c>
      <c r="E143" s="53">
        <v>9.149362403514976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SMMT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Ivonescimab — EGFRm NSCLC after TKI (HARMONi)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70.0</v>
      </c>
      <c r="D6" s="52">
        <f>IF(D$2&gt;Assumptions!$B$56,C6*(1-Assumptions!$B$57),IF(D5&gt;=1,Assumptions!$B$48*CHOOSE(Assumptions!$B$55,INDEX(Assumptions!$B$42:$H$42,MIN(D5,7)),INDEX(Assumptions!$B$43:$H$43,MIN(D5,7))),0))</f>
        <v>175.0</v>
      </c>
      <c r="E6" s="52">
        <f>IF(E$2&gt;Assumptions!$B$56,D6*(1-Assumptions!$B$57),IF(E5&gt;=1,Assumptions!$B$48*CHOOSE(Assumptions!$B$55,INDEX(Assumptions!$B$42:$H$42,MIN(E5,7)),INDEX(Assumptions!$B$43:$H$43,MIN(E5,7))),0))</f>
        <v>315.0</v>
      </c>
      <c r="F6" s="52">
        <f>IF(F$2&gt;Assumptions!$B$56,E6*(1-Assumptions!$B$57),IF(F5&gt;=1,Assumptions!$B$48*CHOOSE(Assumptions!$B$55,INDEX(Assumptions!$B$42:$H$42,MIN(F5,7)),INDEX(Assumptions!$B$43:$H$43,MIN(F5,7))),0))</f>
        <v>455.0</v>
      </c>
      <c r="G6" s="52">
        <f>IF(G$2&gt;Assumptions!$B$56,F6*(1-Assumptions!$B$57),IF(G5&gt;=1,Assumptions!$B$48*CHOOSE(Assumptions!$B$55,INDEX(Assumptions!$B$42:$H$42,MIN(G5,7)),INDEX(Assumptions!$B$43:$H$43,MIN(G5,7))),0))</f>
        <v>574.0</v>
      </c>
      <c r="H6" s="52">
        <f>IF(H$2&gt;Assumptions!$B$56,G6*(1-Assumptions!$B$57),IF(H5&gt;=1,Assumptions!$B$48*CHOOSE(Assumptions!$B$55,INDEX(Assumptions!$B$42:$H$42,MIN(H5,7)),INDEX(Assumptions!$B$43:$H$43,MIN(H5,7))),0))</f>
        <v>651.0</v>
      </c>
      <c r="I6" s="52">
        <f>IF(I$2&gt;Assumptions!$B$56,H6*(1-Assumptions!$B$57),IF(I5&gt;=1,Assumptions!$B$48*CHOOSE(Assumptions!$B$55,INDEX(Assumptions!$B$42:$H$42,MIN(I5,7)),INDEX(Assumptions!$B$43:$H$43,MIN(I5,7))),0))</f>
        <v>700.0</v>
      </c>
      <c r="J6" s="52">
        <f>IF(J$2&gt;Assumptions!$B$56,I6*(1-Assumptions!$B$57),IF(J5&gt;=1,Assumptions!$B$48*CHOOSE(Assumptions!$B$55,INDEX(Assumptions!$B$42:$H$42,MIN(J5,7)),INDEX(Assumptions!$B$43:$H$43,MIN(J5,7))),0))</f>
        <v>700.0</v>
      </c>
      <c r="K6" s="52">
        <f>IF(K$2&gt;Assumptions!$B$56,J6*(1-Assumptions!$B$57),IF(K5&gt;=1,Assumptions!$B$48*CHOOSE(Assumptions!$B$55,INDEX(Assumptions!$B$42:$H$42,MIN(K5,7)),INDEX(Assumptions!$B$43:$H$43,MIN(K5,7))),0))</f>
        <v>700.0</v>
      </c>
      <c r="L6" s="52">
        <f>IF(L$2&gt;Assumptions!$B$56,K6*(1-Assumptions!$B$57),IF(L5&gt;=1,Assumptions!$B$48*CHOOSE(Assumptions!$B$55,INDEX(Assumptions!$B$42:$H$42,MIN(L5,7)),INDEX(Assumptions!$B$43:$H$43,MIN(L5,7))),0))</f>
        <v>700.0</v>
      </c>
      <c r="M6" s="52">
        <f>IF(M$2&gt;Assumptions!$B$56,L6*(1-Assumptions!$B$57),IF(M5&gt;=1,Assumptions!$B$48*CHOOSE(Assumptions!$B$55,INDEX(Assumptions!$B$42:$H$42,MIN(M5,7)),INDEX(Assumptions!$B$43:$H$43,MIN(M5,7))),0))</f>
        <v>700.0</v>
      </c>
      <c r="N6" s="52">
        <f>IF(N$2&gt;Assumptions!$B$56,M6*(1-Assumptions!$B$57),IF(N5&gt;=1,Assumptions!$B$48*CHOOSE(Assumptions!$B$55,INDEX(Assumptions!$B$42:$H$42,MIN(N5,7)),INDEX(Assumptions!$B$43:$H$43,MIN(N5,7))),0))</f>
        <v>700.0</v>
      </c>
      <c r="O6" s="52">
        <f>IF(O$2&gt;Assumptions!$B$56,N6*(1-Assumptions!$B$57),IF(O5&gt;=1,Assumptions!$B$48*CHOOSE(Assumptions!$B$55,INDEX(Assumptions!$B$42:$H$42,MIN(O5,7)),INDEX(Assumptions!$B$43:$H$43,MIN(O5,7))),0))</f>
        <v>700.0</v>
      </c>
      <c r="P6" s="52">
        <f>IF(P$2&gt;Assumptions!$B$56,O6*(1-Assumptions!$B$57),IF(P5&gt;=1,Assumptions!$B$48*CHOOSE(Assumptions!$B$55,INDEX(Assumptions!$B$42:$H$42,MIN(P5,7)),INDEX(Assumptions!$B$43:$H$43,MIN(P5,7))),0))</f>
        <v>700.0</v>
      </c>
      <c r="Q6" s="52">
        <f>IF(Q$2&gt;Assumptions!$B$56,P6*(1-Assumptions!$B$57),IF(Q5&gt;=1,Assumptions!$B$48*CHOOSE(Assumptions!$B$55,INDEX(Assumptions!$B$42:$H$42,MIN(Q5,7)),INDEX(Assumptions!$B$43:$H$43,MIN(Q5,7))),0))</f>
        <v>350.0</v>
      </c>
      <c r="R6" s="52">
        <f>IF(R$2&gt;Assumptions!$B$56,Q6*(1-Assumptions!$B$57),IF(R5&gt;=1,Assumptions!$B$48*CHOOSE(Assumptions!$B$55,INDEX(Assumptions!$B$42:$H$42,MIN(R5,7)),INDEX(Assumptions!$B$43:$H$43,MIN(R5,7))),0))</f>
        <v>175.0</v>
      </c>
      <c r="S6" s="52">
        <f>IF(S$2&gt;Assumptions!$B$56,R6*(1-Assumptions!$B$57),IF(S5&gt;=1,Assumptions!$B$48*CHOOSE(Assumptions!$B$55,INDEX(Assumptions!$B$42:$H$42,MIN(S5,7)),INDEX(Assumptions!$B$43:$H$43,MIN(S5,7))),0))</f>
        <v>87.5</v>
      </c>
      <c r="T6" s="52">
        <f>IF(T$2&gt;Assumptions!$B$56,S6*(1-Assumptions!$B$57),IF(T5&gt;=1,Assumptions!$B$48*CHOOSE(Assumptions!$B$55,INDEX(Assumptions!$B$42:$H$42,MIN(T5,7)),INDEX(Assumptions!$B$43:$H$43,MIN(T5,7))),0))</f>
        <v>43.75</v>
      </c>
      <c r="U6" s="52">
        <f>IF(U$2&gt;Assumptions!$B$56,T6*(1-Assumptions!$B$57),IF(U5&gt;=1,Assumptions!$B$48*CHOOSE(Assumptions!$B$55,INDEX(Assumptions!$B$42:$H$42,MIN(U5,7)),INDEX(Assumptions!$B$43:$H$43,MIN(U5,7))),0))</f>
        <v>21.875</v>
      </c>
      <c r="V6" s="52">
        <f>IF(V$2&gt;Assumptions!$B$56,U6*(1-Assumptions!$B$57),IF(V5&gt;=1,Assumptions!$B$48*CHOOSE(Assumptions!$B$55,INDEX(Assumptions!$B$42:$H$42,MIN(V5,7)),INDEX(Assumptions!$B$43:$H$43,MIN(V5,7))),0))</f>
        <v>10.9375</v>
      </c>
      <c r="W6" s="52">
        <f>IF(W$2&gt;Assumptions!$B$56,V6*(1-Assumptions!$B$57),IF(W5&gt;=1,Assumptions!$B$48*CHOOSE(Assumptions!$B$55,INDEX(Assumptions!$B$42:$H$42,MIN(W5,7)),INDEX(Assumptions!$B$43:$H$43,MIN(W5,7))),0))</f>
        <v>5.46875</v>
      </c>
      <c r="X6" s="52">
        <f>IF(X$2&gt;Assumptions!$B$56,W6*(1-Assumptions!$B$57),IF(X5&gt;=1,Assumptions!$B$48*CHOOSE(Assumptions!$B$55,INDEX(Assumptions!$B$42:$H$42,MIN(X5,7)),INDEX(Assumptions!$B$43:$H$43,MIN(X5,7))),0))</f>
        <v>2.734375</v>
      </c>
      <c r="Y6" s="52">
        <f>IF(Y$2&gt;Assumptions!$B$56,X6*(1-Assumptions!$B$57),IF(Y5&gt;=1,Assumptions!$B$48*CHOOSE(Assumptions!$B$55,INDEX(Assumptions!$B$42:$H$42,MIN(Y5,7)),INDEX(Assumptions!$B$43:$H$43,MIN(Y5,7))),0))</f>
        <v>1.3671875</v>
      </c>
      <c r="Z6" s="52">
        <f>IF(Z$2&gt;Assumptions!$B$56,Y6*(1-Assumptions!$B$57),IF(Z5&gt;=1,Assumptions!$B$48*CHOOSE(Assumptions!$B$55,INDEX(Assumptions!$B$42:$H$42,MIN(Z5,7)),INDEX(Assumptions!$B$43:$H$43,MIN(Z5,7))),0))</f>
        <v>0.68359375</v>
      </c>
    </row>
    <row r="7">
      <c r="A7" s="13" t="inlineStr">
        <is>
          <t>Years since launch (approved after a CRL)</t>
        </is>
      </c>
      <c r="C7" s="63">
        <f>C$2-(Assumptions!$B$47+Assumptions!$B$34)+1</f>
        <v>-2.0</v>
      </c>
      <c r="D7" s="63">
        <f>D$2-(Assumptions!$B$47+Assumptions!$B$34)+1</f>
        <v>-1.0</v>
      </c>
      <c r="E7" s="63">
        <f>E$2-(Assumptions!$B$47+Assumptions!$B$34)+1</f>
        <v>0.0</v>
      </c>
      <c r="F7" s="63">
        <f>F$2-(Assumptions!$B$47+Assumptions!$B$34)+1</f>
        <v>1.0</v>
      </c>
      <c r="G7" s="63">
        <f>G$2-(Assumptions!$B$47+Assumptions!$B$34)+1</f>
        <v>2.0</v>
      </c>
      <c r="H7" s="63">
        <f>H$2-(Assumptions!$B$47+Assumptions!$B$34)+1</f>
        <v>3.0</v>
      </c>
      <c r="I7" s="63">
        <f>I$2-(Assumptions!$B$47+Assumptions!$B$34)+1</f>
        <v>4.0</v>
      </c>
      <c r="J7" s="63">
        <f>J$2-(Assumptions!$B$47+Assumptions!$B$34)+1</f>
        <v>5.0</v>
      </c>
      <c r="K7" s="63">
        <f>K$2-(Assumptions!$B$47+Assumptions!$B$34)+1</f>
        <v>6.0</v>
      </c>
      <c r="L7" s="63">
        <f>L$2-(Assumptions!$B$47+Assumptions!$B$34)+1</f>
        <v>7.0</v>
      </c>
      <c r="M7" s="63">
        <f>M$2-(Assumptions!$B$47+Assumptions!$B$34)+1</f>
        <v>8.0</v>
      </c>
      <c r="N7" s="63">
        <f>N$2-(Assumptions!$B$47+Assumptions!$B$34)+1</f>
        <v>9.0</v>
      </c>
      <c r="O7" s="63">
        <f>O$2-(Assumptions!$B$47+Assumptions!$B$34)+1</f>
        <v>10.0</v>
      </c>
      <c r="P7" s="63">
        <f>P$2-(Assumptions!$B$47+Assumptions!$B$34)+1</f>
        <v>11.0</v>
      </c>
      <c r="Q7" s="63">
        <f>Q$2-(Assumptions!$B$47+Assumptions!$B$34)+1</f>
        <v>12.0</v>
      </c>
      <c r="R7" s="63">
        <f>R$2-(Assumptions!$B$47+Assumptions!$B$34)+1</f>
        <v>13.0</v>
      </c>
      <c r="S7" s="63">
        <f>S$2-(Assumptions!$B$47+Assumptions!$B$34)+1</f>
        <v>14.0</v>
      </c>
      <c r="T7" s="63">
        <f>T$2-(Assumptions!$B$47+Assumptions!$B$34)+1</f>
        <v>15.0</v>
      </c>
      <c r="U7" s="63">
        <f>U$2-(Assumptions!$B$47+Assumptions!$B$34)+1</f>
        <v>16.0</v>
      </c>
      <c r="V7" s="63">
        <f>V$2-(Assumptions!$B$47+Assumptions!$B$34)+1</f>
        <v>17.0</v>
      </c>
      <c r="W7" s="63">
        <f>W$2-(Assumptions!$B$47+Assumptions!$B$34)+1</f>
        <v>18.0</v>
      </c>
      <c r="X7" s="63">
        <f>X$2-(Assumptions!$B$47+Assumptions!$B$34)+1</f>
        <v>19.0</v>
      </c>
      <c r="Y7" s="63">
        <f>Y$2-(Assumptions!$B$47+Assumptions!$B$34)+1</f>
        <v>20.0</v>
      </c>
      <c r="Z7" s="63">
        <f>Z$2-(Assumptions!$B$47+Assumptions!$B$34)+1</f>
        <v>21.0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0</v>
      </c>
      <c r="E8" s="52">
        <f>IF(E$2&gt;Assumptions!$B$56,D8*(1-Assumptions!$B$57),IF(E7&gt;=1,Assumptions!$B$48*CHOOSE(Assumptions!$B$55,INDEX(Assumptions!$B$42:$H$42,MIN(E7,7)),INDEX(Assumptions!$B$43:$H$43,MIN(E7,7))),0))</f>
        <v>0</v>
      </c>
      <c r="F8" s="52">
        <f>IF(F$2&gt;Assumptions!$B$56,E8*(1-Assumptions!$B$57),IF(F7&gt;=1,Assumptions!$B$48*CHOOSE(Assumptions!$B$55,INDEX(Assumptions!$B$42:$H$42,MIN(F7,7)),INDEX(Assumptions!$B$43:$H$43,MIN(F7,7))),0))</f>
        <v>70.0</v>
      </c>
      <c r="G8" s="52">
        <f>IF(G$2&gt;Assumptions!$B$56,F8*(1-Assumptions!$B$57),IF(G7&gt;=1,Assumptions!$B$48*CHOOSE(Assumptions!$B$55,INDEX(Assumptions!$B$42:$H$42,MIN(G7,7)),INDEX(Assumptions!$B$43:$H$43,MIN(G7,7))),0))</f>
        <v>175.0</v>
      </c>
      <c r="H8" s="52">
        <f>IF(H$2&gt;Assumptions!$B$56,G8*(1-Assumptions!$B$57),IF(H7&gt;=1,Assumptions!$B$48*CHOOSE(Assumptions!$B$55,INDEX(Assumptions!$B$42:$H$42,MIN(H7,7)),INDEX(Assumptions!$B$43:$H$43,MIN(H7,7))),0))</f>
        <v>315.0</v>
      </c>
      <c r="I8" s="52">
        <f>IF(I$2&gt;Assumptions!$B$56,H8*(1-Assumptions!$B$57),IF(I7&gt;=1,Assumptions!$B$48*CHOOSE(Assumptions!$B$55,INDEX(Assumptions!$B$42:$H$42,MIN(I7,7)),INDEX(Assumptions!$B$43:$H$43,MIN(I7,7))),0))</f>
        <v>455.0</v>
      </c>
      <c r="J8" s="52">
        <f>IF(J$2&gt;Assumptions!$B$56,I8*(1-Assumptions!$B$57),IF(J7&gt;=1,Assumptions!$B$48*CHOOSE(Assumptions!$B$55,INDEX(Assumptions!$B$42:$H$42,MIN(J7,7)),INDEX(Assumptions!$B$43:$H$43,MIN(J7,7))),0))</f>
        <v>574.0</v>
      </c>
      <c r="K8" s="52">
        <f>IF(K$2&gt;Assumptions!$B$56,J8*(1-Assumptions!$B$57),IF(K7&gt;=1,Assumptions!$B$48*CHOOSE(Assumptions!$B$55,INDEX(Assumptions!$B$42:$H$42,MIN(K7,7)),INDEX(Assumptions!$B$43:$H$43,MIN(K7,7))),0))</f>
        <v>651.0</v>
      </c>
      <c r="L8" s="52">
        <f>IF(L$2&gt;Assumptions!$B$56,K8*(1-Assumptions!$B$57),IF(L7&gt;=1,Assumptions!$B$48*CHOOSE(Assumptions!$B$55,INDEX(Assumptions!$B$42:$H$42,MIN(L7,7)),INDEX(Assumptions!$B$43:$H$43,MIN(L7,7))),0))</f>
        <v>700.0</v>
      </c>
      <c r="M8" s="52">
        <f>IF(M$2&gt;Assumptions!$B$56,L8*(1-Assumptions!$B$57),IF(M7&gt;=1,Assumptions!$B$48*CHOOSE(Assumptions!$B$55,INDEX(Assumptions!$B$42:$H$42,MIN(M7,7)),INDEX(Assumptions!$B$43:$H$43,MIN(M7,7))),0))</f>
        <v>700.0</v>
      </c>
      <c r="N8" s="52">
        <f>IF(N$2&gt;Assumptions!$B$56,M8*(1-Assumptions!$B$57),IF(N7&gt;=1,Assumptions!$B$48*CHOOSE(Assumptions!$B$55,INDEX(Assumptions!$B$42:$H$42,MIN(N7,7)),INDEX(Assumptions!$B$43:$H$43,MIN(N7,7))),0))</f>
        <v>700.0</v>
      </c>
      <c r="O8" s="52">
        <f>IF(O$2&gt;Assumptions!$B$56,N8*(1-Assumptions!$B$57),IF(O7&gt;=1,Assumptions!$B$48*CHOOSE(Assumptions!$B$55,INDEX(Assumptions!$B$42:$H$42,MIN(O7,7)),INDEX(Assumptions!$B$43:$H$43,MIN(O7,7))),0))</f>
        <v>700.0</v>
      </c>
      <c r="P8" s="52">
        <f>IF(P$2&gt;Assumptions!$B$56,O8*(1-Assumptions!$B$57),IF(P7&gt;=1,Assumptions!$B$48*CHOOSE(Assumptions!$B$55,INDEX(Assumptions!$B$42:$H$42,MIN(P7,7)),INDEX(Assumptions!$B$43:$H$43,MIN(P7,7))),0))</f>
        <v>700.0</v>
      </c>
      <c r="Q8" s="52">
        <f>IF(Q$2&gt;Assumptions!$B$56,P8*(1-Assumptions!$B$57),IF(Q7&gt;=1,Assumptions!$B$48*CHOOSE(Assumptions!$B$55,INDEX(Assumptions!$B$42:$H$42,MIN(Q7,7)),INDEX(Assumptions!$B$43:$H$43,MIN(Q7,7))),0))</f>
        <v>350.0</v>
      </c>
      <c r="R8" s="52">
        <f>IF(R$2&gt;Assumptions!$B$56,Q8*(1-Assumptions!$B$57),IF(R7&gt;=1,Assumptions!$B$48*CHOOSE(Assumptions!$B$55,INDEX(Assumptions!$B$42:$H$42,MIN(R7,7)),INDEX(Assumptions!$B$43:$H$43,MIN(R7,7))),0))</f>
        <v>175.0</v>
      </c>
      <c r="S8" s="52">
        <f>IF(S$2&gt;Assumptions!$B$56,R8*(1-Assumptions!$B$57),IF(S7&gt;=1,Assumptions!$B$48*CHOOSE(Assumptions!$B$55,INDEX(Assumptions!$B$42:$H$42,MIN(S7,7)),INDEX(Assumptions!$B$43:$H$43,MIN(S7,7))),0))</f>
        <v>87.5</v>
      </c>
      <c r="T8" s="52">
        <f>IF(T$2&gt;Assumptions!$B$56,S8*(1-Assumptions!$B$57),IF(T7&gt;=1,Assumptions!$B$48*CHOOSE(Assumptions!$B$55,INDEX(Assumptions!$B$42:$H$42,MIN(T7,7)),INDEX(Assumptions!$B$43:$H$43,MIN(T7,7))),0))</f>
        <v>43.75</v>
      </c>
      <c r="U8" s="52">
        <f>IF(U$2&gt;Assumptions!$B$56,T8*(1-Assumptions!$B$57),IF(U7&gt;=1,Assumptions!$B$48*CHOOSE(Assumptions!$B$55,INDEX(Assumptions!$B$42:$H$42,MIN(U7,7)),INDEX(Assumptions!$B$43:$H$43,MIN(U7,7))),0))</f>
        <v>21.875</v>
      </c>
      <c r="V8" s="52">
        <f>IF(V$2&gt;Assumptions!$B$56,U8*(1-Assumptions!$B$57),IF(V7&gt;=1,Assumptions!$B$48*CHOOSE(Assumptions!$B$55,INDEX(Assumptions!$B$42:$H$42,MIN(V7,7)),INDEX(Assumptions!$B$43:$H$43,MIN(V7,7))),0))</f>
        <v>10.9375</v>
      </c>
      <c r="W8" s="52">
        <f>IF(W$2&gt;Assumptions!$B$56,V8*(1-Assumptions!$B$57),IF(W7&gt;=1,Assumptions!$B$48*CHOOSE(Assumptions!$B$55,INDEX(Assumptions!$B$42:$H$42,MIN(W7,7)),INDEX(Assumptions!$B$43:$H$43,MIN(W7,7))),0))</f>
        <v>5.46875</v>
      </c>
      <c r="X8" s="52">
        <f>IF(X$2&gt;Assumptions!$B$56,W8*(1-Assumptions!$B$57),IF(X7&gt;=1,Assumptions!$B$48*CHOOSE(Assumptions!$B$55,INDEX(Assumptions!$B$42:$H$42,MIN(X7,7)),INDEX(Assumptions!$B$43:$H$43,MIN(X7,7))),0))</f>
        <v>2.734375</v>
      </c>
      <c r="Y8" s="52">
        <f>IF(Y$2&gt;Assumptions!$B$56,X8*(1-Assumptions!$B$57),IF(Y7&gt;=1,Assumptions!$B$48*CHOOSE(Assumptions!$B$55,INDEX(Assumptions!$B$42:$H$42,MIN(Y7,7)),INDEX(Assumptions!$B$43:$H$43,MIN(Y7,7))),0))</f>
        <v>1.3671875</v>
      </c>
      <c r="Z8" s="52">
        <f>IF(Z$2&gt;Assumptions!$B$56,Y8*(1-Assumptions!$B$57),IF(Z7&gt;=1,Assumptions!$B$48*CHOOSE(Assumptions!$B$55,INDEX(Assumptions!$B$42:$H$42,MIN(Z7,7)),INDEX(Assumptions!$B$43:$H$43,MIN(Z7,7))),0))</f>
        <v>0.68359375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28.0</v>
      </c>
      <c r="D9" s="52">
        <f>Assumptions!$B$32*D6+(1-Assumptions!$B$32)*Assumptions!$B$33*D8</f>
        <v>70.0</v>
      </c>
      <c r="E9" s="52">
        <f>Assumptions!$B$32*E6+(1-Assumptions!$B$32)*Assumptions!$B$33*E8</f>
        <v>126.0</v>
      </c>
      <c r="F9" s="52">
        <f>Assumptions!$B$32*F6+(1-Assumptions!$B$32)*Assumptions!$B$33*F8</f>
        <v>192.5</v>
      </c>
      <c r="G9" s="52">
        <f>Assumptions!$B$32*G6+(1-Assumptions!$B$32)*Assumptions!$B$33*G8</f>
        <v>255.85000000000002</v>
      </c>
      <c r="H9" s="52">
        <f>Assumptions!$B$32*H6+(1-Assumptions!$B$32)*Assumptions!$B$33*H8</f>
        <v>307.65000000000003</v>
      </c>
      <c r="I9" s="52">
        <f>Assumptions!$B$32*I6+(1-Assumptions!$B$32)*Assumptions!$B$33*I8</f>
        <v>348.25</v>
      </c>
      <c r="J9" s="52">
        <f>Assumptions!$B$32*J6+(1-Assumptions!$B$32)*Assumptions!$B$33*J8</f>
        <v>366.1</v>
      </c>
      <c r="K9" s="52">
        <f>Assumptions!$B$32*K6+(1-Assumptions!$B$32)*Assumptions!$B$33*K8</f>
        <v>377.65</v>
      </c>
      <c r="L9" s="52">
        <f>Assumptions!$B$32*L6+(1-Assumptions!$B$32)*Assumptions!$B$33*L8</f>
        <v>385.0</v>
      </c>
      <c r="M9" s="52">
        <f>Assumptions!$B$32*M6+(1-Assumptions!$B$32)*Assumptions!$B$33*M8</f>
        <v>385.0</v>
      </c>
      <c r="N9" s="52">
        <f>Assumptions!$B$32*N6+(1-Assumptions!$B$32)*Assumptions!$B$33*N8</f>
        <v>385.0</v>
      </c>
      <c r="O9" s="52">
        <f>Assumptions!$B$32*O6+(1-Assumptions!$B$32)*Assumptions!$B$33*O8</f>
        <v>385.0</v>
      </c>
      <c r="P9" s="52">
        <f>Assumptions!$B$32*P6+(1-Assumptions!$B$32)*Assumptions!$B$33*P8</f>
        <v>385.0</v>
      </c>
      <c r="Q9" s="52">
        <f>Assumptions!$B$32*Q6+(1-Assumptions!$B$32)*Assumptions!$B$33*Q8</f>
        <v>192.5</v>
      </c>
      <c r="R9" s="52">
        <f>Assumptions!$B$32*R6+(1-Assumptions!$B$32)*Assumptions!$B$33*R8</f>
        <v>96.25</v>
      </c>
      <c r="S9" s="52">
        <f>Assumptions!$B$32*S6+(1-Assumptions!$B$32)*Assumptions!$B$33*S8</f>
        <v>48.125</v>
      </c>
      <c r="T9" s="52">
        <f>Assumptions!$B$32*T6+(1-Assumptions!$B$32)*Assumptions!$B$33*T8</f>
        <v>24.0625</v>
      </c>
      <c r="U9" s="52">
        <f>Assumptions!$B$32*U6+(1-Assumptions!$B$32)*Assumptions!$B$33*U8</f>
        <v>12.03125</v>
      </c>
      <c r="V9" s="52">
        <f>Assumptions!$B$32*V6+(1-Assumptions!$B$32)*Assumptions!$B$33*V8</f>
        <v>6.015625</v>
      </c>
      <c r="W9" s="52">
        <f>Assumptions!$B$32*W6+(1-Assumptions!$B$32)*Assumptions!$B$33*W8</f>
        <v>3.0078125</v>
      </c>
      <c r="X9" s="52">
        <f>Assumptions!$B$32*X6+(1-Assumptions!$B$32)*Assumptions!$B$33*X8</f>
        <v>1.50390625</v>
      </c>
      <c r="Y9" s="52">
        <f>Assumptions!$B$32*Y6+(1-Assumptions!$B$32)*Assumptions!$B$33*Y8</f>
        <v>0.751953125</v>
      </c>
      <c r="Z9" s="52">
        <f>Assumptions!$B$32*Z6+(1-Assumptions!$B$32)*Assumptions!$B$33*Z8</f>
        <v>0.3759765625</v>
      </c>
    </row>
    <row r="10">
      <c r="A10" s="13" t="inlineStr">
        <is>
          <t>Company revenue, risk-adjusted (incl. milestones)</t>
        </is>
      </c>
      <c r="C10" s="52">
        <f>C9*Assumptions!$B$50</f>
        <v>28.0</v>
      </c>
      <c r="D10" s="52">
        <f>D9*Assumptions!$B$50</f>
        <v>70.0</v>
      </c>
      <c r="E10" s="52">
        <f>E9*Assumptions!$B$50</f>
        <v>126.0</v>
      </c>
      <c r="F10" s="52">
        <f>F9*Assumptions!$B$50</f>
        <v>192.5</v>
      </c>
      <c r="G10" s="52">
        <f>G9*Assumptions!$B$50</f>
        <v>255.85000000000002</v>
      </c>
      <c r="H10" s="52">
        <f>H9*Assumptions!$B$50</f>
        <v>307.65000000000003</v>
      </c>
      <c r="I10" s="52">
        <f>I9*Assumptions!$B$50</f>
        <v>348.25</v>
      </c>
      <c r="J10" s="52">
        <f>J9*Assumptions!$B$50</f>
        <v>366.1</v>
      </c>
      <c r="K10" s="52">
        <f>K9*Assumptions!$B$50</f>
        <v>377.65</v>
      </c>
      <c r="L10" s="52">
        <f>L9*Assumptions!$B$50</f>
        <v>385.0</v>
      </c>
      <c r="M10" s="52">
        <f>M9*Assumptions!$B$50</f>
        <v>385.0</v>
      </c>
      <c r="N10" s="52">
        <f>N9*Assumptions!$B$50</f>
        <v>385.0</v>
      </c>
      <c r="O10" s="52">
        <f>O9*Assumptions!$B$50</f>
        <v>385.0</v>
      </c>
      <c r="P10" s="52">
        <f>P9*Assumptions!$B$50</f>
        <v>385.0</v>
      </c>
      <c r="Q10" s="52">
        <f>Q9*Assumptions!$B$50</f>
        <v>192.5</v>
      </c>
      <c r="R10" s="52">
        <f>R9*Assumptions!$B$50</f>
        <v>96.25</v>
      </c>
      <c r="S10" s="52">
        <f>S9*Assumptions!$B$50</f>
        <v>48.125</v>
      </c>
      <c r="T10" s="52">
        <f>T9*Assumptions!$B$50</f>
        <v>24.0625</v>
      </c>
      <c r="U10" s="52">
        <f>U9*Assumptions!$B$50</f>
        <v>12.03125</v>
      </c>
      <c r="V10" s="52">
        <f>V9*Assumptions!$B$50</f>
        <v>6.015625</v>
      </c>
      <c r="W10" s="52">
        <f>W9*Assumptions!$B$50</f>
        <v>3.0078125</v>
      </c>
      <c r="X10" s="52">
        <f>X9*Assumptions!$B$50</f>
        <v>1.50390625</v>
      </c>
      <c r="Y10" s="52">
        <f>Y9*Assumptions!$B$50</f>
        <v>0.751953125</v>
      </c>
      <c r="Z10" s="52">
        <f>Z9*Assumptions!$B$50</f>
        <v>0.3759765625</v>
      </c>
    </row>
    <row r="11">
      <c r="A11" s="13" t="inlineStr">
        <is>
          <t>COGS + royalties, risk-adjusted</t>
        </is>
      </c>
      <c r="C11" s="52">
        <f>C9*(Assumptions!$B$51+Assumptions!$B$52)</f>
        <v>5.04</v>
      </c>
      <c r="D11" s="52">
        <f>D9*(Assumptions!$B$51+Assumptions!$B$52)</f>
        <v>12.6</v>
      </c>
      <c r="E11" s="52">
        <f>E9*(Assumptions!$B$51+Assumptions!$B$52)</f>
        <v>22.68</v>
      </c>
      <c r="F11" s="52">
        <f>F9*(Assumptions!$B$51+Assumptions!$B$52)</f>
        <v>34.65</v>
      </c>
      <c r="G11" s="52">
        <f>G9*(Assumptions!$B$51+Assumptions!$B$52)</f>
        <v>46.053000000000004</v>
      </c>
      <c r="H11" s="52">
        <f>H9*(Assumptions!$B$51+Assumptions!$B$52)</f>
        <v>55.377</v>
      </c>
      <c r="I11" s="52">
        <f>I9*(Assumptions!$B$51+Assumptions!$B$52)</f>
        <v>62.684999999999995</v>
      </c>
      <c r="J11" s="52">
        <f>J9*(Assumptions!$B$51+Assumptions!$B$52)</f>
        <v>65.898</v>
      </c>
      <c r="K11" s="52">
        <f>K9*(Assumptions!$B$51+Assumptions!$B$52)</f>
        <v>67.97699999999999</v>
      </c>
      <c r="L11" s="52">
        <f>L9*(Assumptions!$B$51+Assumptions!$B$52)</f>
        <v>69.3</v>
      </c>
      <c r="M11" s="52">
        <f>M9*(Assumptions!$B$51+Assumptions!$B$52)</f>
        <v>69.3</v>
      </c>
      <c r="N11" s="52">
        <f>N9*(Assumptions!$B$51+Assumptions!$B$52)</f>
        <v>69.3</v>
      </c>
      <c r="O11" s="52">
        <f>O9*(Assumptions!$B$51+Assumptions!$B$52)</f>
        <v>69.3</v>
      </c>
      <c r="P11" s="52">
        <f>P9*(Assumptions!$B$51+Assumptions!$B$52)</f>
        <v>69.3</v>
      </c>
      <c r="Q11" s="52">
        <f>Q9*(Assumptions!$B$51+Assumptions!$B$52)</f>
        <v>34.65</v>
      </c>
      <c r="R11" s="52">
        <f>R9*(Assumptions!$B$51+Assumptions!$B$52)</f>
        <v>17.325</v>
      </c>
      <c r="S11" s="52">
        <f>S9*(Assumptions!$B$51+Assumptions!$B$52)</f>
        <v>8.6625</v>
      </c>
      <c r="T11" s="52">
        <f>T9*(Assumptions!$B$51+Assumptions!$B$52)</f>
        <v>4.33125</v>
      </c>
      <c r="U11" s="52">
        <f>U9*(Assumptions!$B$51+Assumptions!$B$52)</f>
        <v>2.165625</v>
      </c>
      <c r="V11" s="52">
        <f>V9*(Assumptions!$B$51+Assumptions!$B$52)</f>
        <v>1.0828125</v>
      </c>
      <c r="W11" s="52">
        <f>W9*(Assumptions!$B$51+Assumptions!$B$52)</f>
        <v>0.54140625</v>
      </c>
      <c r="X11" s="52">
        <f>X9*(Assumptions!$B$51+Assumptions!$B$52)</f>
        <v>0.270703125</v>
      </c>
      <c r="Y11" s="52">
        <f>Y9*(Assumptions!$B$51+Assumptions!$B$52)</f>
        <v>0.1353515625</v>
      </c>
      <c r="Z11" s="52">
        <f>Z9*(Assumptions!$B$51+Assumptions!$B$52)</f>
        <v>0.06767578125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25.200000000000003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38.50000000000001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59.400000000000006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67.69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83.3175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97.02000000000001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105.84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109.83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113.29499999999999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115.5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115.5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115.5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115.5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115.5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57.75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28.875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14.4375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7.21875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3.609375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1.8046875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0.90234375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0.451171875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0.2255859375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0.11279296875</v>
      </c>
    </row>
    <row r="13">
      <c r="A13" s="13" t="inlineStr">
        <is>
          <t>Development R&amp;D, risk-adjusted</t>
        </is>
      </c>
      <c r="C13" s="52">
        <f>0</f>
        <v>0</v>
      </c>
      <c r="D13" s="52">
        <f>0</f>
        <v>0</v>
      </c>
      <c r="E13" s="52">
        <f>0</f>
        <v>0</v>
      </c>
      <c r="F13" s="52">
        <f>0</f>
        <v>0</v>
      </c>
      <c r="G13" s="52">
        <f>0</f>
        <v>0</v>
      </c>
      <c r="H13" s="52">
        <f>0</f>
        <v>0</v>
      </c>
      <c r="I13" s="52">
        <f>0</f>
        <v>0</v>
      </c>
      <c r="J13" s="52">
        <f>0</f>
        <v>0</v>
      </c>
      <c r="K13" s="52">
        <f>0</f>
        <v>0</v>
      </c>
      <c r="L13" s="52">
        <f>0</f>
        <v>0</v>
      </c>
      <c r="M13" s="52">
        <f>0</f>
        <v>0</v>
      </c>
      <c r="N13" s="52">
        <f>0</f>
        <v>0</v>
      </c>
      <c r="O13" s="52">
        <f>0</f>
        <v>0</v>
      </c>
      <c r="P13" s="52">
        <f>0</f>
        <v>0</v>
      </c>
      <c r="Q13" s="52">
        <f>0</f>
        <v>0</v>
      </c>
      <c r="R13" s="52">
        <f>0</f>
        <v>0</v>
      </c>
      <c r="S13" s="52">
        <f>0</f>
        <v>0</v>
      </c>
      <c r="T13" s="52">
        <f>0</f>
        <v>0</v>
      </c>
      <c r="U13" s="52">
        <f>0</f>
        <v>0</v>
      </c>
      <c r="V13" s="52">
        <f>0</f>
        <v>0</v>
      </c>
      <c r="W13" s="52">
        <f>0</f>
        <v>0</v>
      </c>
      <c r="X13" s="52">
        <f>0</f>
        <v>0</v>
      </c>
      <c r="Y13" s="52">
        <f>0</f>
        <v>0</v>
      </c>
      <c r="Z13" s="52">
        <f>0</f>
        <v>0</v>
      </c>
    </row>
    <row r="14">
      <c r="A14" s="23" t="inlineStr">
        <is>
          <t>Program contribution (pre-tax)</t>
        </is>
      </c>
      <c r="C14" s="56">
        <f>C10-C11-C12-C13</f>
        <v>-2.240000000000002</v>
      </c>
      <c r="D14" s="56">
        <f>D10-D11-D12-D13</f>
        <v>18.89999999999999</v>
      </c>
      <c r="E14" s="56">
        <f>E10-E11-E12-E13</f>
        <v>43.91999999999999</v>
      </c>
      <c r="F14" s="56">
        <f>F10-F11-F12-F13</f>
        <v>90.16</v>
      </c>
      <c r="G14" s="56">
        <f>G10-G11-G12-G13</f>
        <v>126.47950000000003</v>
      </c>
      <c r="H14" s="56">
        <f>H10-H11-H12-H13</f>
        <v>155.25300000000001</v>
      </c>
      <c r="I14" s="56">
        <f>I10-I11-I12-I13</f>
        <v>179.725</v>
      </c>
      <c r="J14" s="56">
        <f>J10-J11-J12-J13</f>
        <v>190.372</v>
      </c>
      <c r="K14" s="56">
        <f>K10-K11-K12-K13</f>
        <v>196.37800000000001</v>
      </c>
      <c r="L14" s="56">
        <f>L10-L11-L12-L13</f>
        <v>200.2</v>
      </c>
      <c r="M14" s="56">
        <f>M10-M11-M12-M13</f>
        <v>200.2</v>
      </c>
      <c r="N14" s="56">
        <f>N10-N11-N12-N13</f>
        <v>200.2</v>
      </c>
      <c r="O14" s="56">
        <f>O10-O11-O12-O13</f>
        <v>200.2</v>
      </c>
      <c r="P14" s="56">
        <f>P10-P11-P12-P13</f>
        <v>200.2</v>
      </c>
      <c r="Q14" s="56">
        <f>Q10-Q11-Q12-Q13</f>
        <v>100.1</v>
      </c>
      <c r="R14" s="56">
        <f>R10-R11-R12-R13</f>
        <v>50.05</v>
      </c>
      <c r="S14" s="56">
        <f>S10-S11-S12-S13</f>
        <v>25.025</v>
      </c>
      <c r="T14" s="56">
        <f>T10-T11-T12-T13</f>
        <v>12.5125</v>
      </c>
      <c r="U14" s="56">
        <f>U10-U11-U12-U13</f>
        <v>6.25625</v>
      </c>
      <c r="V14" s="56">
        <f>V10-V11-V12-V13</f>
        <v>3.128125</v>
      </c>
      <c r="W14" s="56">
        <f>W10-W11-W12-W13</f>
        <v>1.5640625</v>
      </c>
      <c r="X14" s="56">
        <f>X10-X11-X12-X13</f>
        <v>0.78203125</v>
      </c>
      <c r="Y14" s="56">
        <f>Y10-Y11-Y12-Y13</f>
        <v>0.391015625</v>
      </c>
      <c r="Z14" s="56">
        <f>Z10-Z11-Z12-Z13</f>
        <v>0.1955078125</v>
      </c>
    </row>
    <row r="16">
      <c r="A16" s="30" t="inlineStr">
        <is>
          <t>Ivonescimab — 1L NSCLC with chemo (HARMONi-3)</t>
        </is>
      </c>
    </row>
    <row r="17">
      <c r="A17" s="13" t="inlineStr">
        <is>
          <t>Years since launch</t>
        </is>
      </c>
      <c r="C17" s="63">
        <f>C$2-Assumptions!$B$60+1</f>
        <v>-1.0</v>
      </c>
      <c r="D17" s="63">
        <f>D$2-Assumptions!$B$60+1</f>
        <v>0.0</v>
      </c>
      <c r="E17" s="63">
        <f>E$2-Assumptions!$B$60+1</f>
        <v>1.0</v>
      </c>
      <c r="F17" s="63">
        <f>F$2-Assumptions!$B$60+1</f>
        <v>2.0</v>
      </c>
      <c r="G17" s="63">
        <f>G$2-Assumptions!$B$60+1</f>
        <v>3.0</v>
      </c>
      <c r="H17" s="63">
        <f>H$2-Assumptions!$B$60+1</f>
        <v>4.0</v>
      </c>
      <c r="I17" s="63">
        <f>I$2-Assumptions!$B$60+1</f>
        <v>5.0</v>
      </c>
      <c r="J17" s="63">
        <f>J$2-Assumptions!$B$60+1</f>
        <v>6.0</v>
      </c>
      <c r="K17" s="63">
        <f>K$2-Assumptions!$B$60+1</f>
        <v>7.0</v>
      </c>
      <c r="L17" s="63">
        <f>L$2-Assumptions!$B$60+1</f>
        <v>8.0</v>
      </c>
      <c r="M17" s="63">
        <f>M$2-Assumptions!$B$60+1</f>
        <v>9.0</v>
      </c>
      <c r="N17" s="63">
        <f>N$2-Assumptions!$B$60+1</f>
        <v>10.0</v>
      </c>
      <c r="O17" s="63">
        <f>O$2-Assumptions!$B$60+1</f>
        <v>11.0</v>
      </c>
      <c r="P17" s="63">
        <f>P$2-Assumptions!$B$60+1</f>
        <v>12.0</v>
      </c>
      <c r="Q17" s="63">
        <f>Q$2-Assumptions!$B$60+1</f>
        <v>13.0</v>
      </c>
      <c r="R17" s="63">
        <f>R$2-Assumptions!$B$60+1</f>
        <v>14.0</v>
      </c>
      <c r="S17" s="63">
        <f>S$2-Assumptions!$B$60+1</f>
        <v>15.0</v>
      </c>
      <c r="T17" s="63">
        <f>T$2-Assumptions!$B$60+1</f>
        <v>16.0</v>
      </c>
      <c r="U17" s="63">
        <f>U$2-Assumptions!$B$60+1</f>
        <v>17.0</v>
      </c>
      <c r="V17" s="63">
        <f>V$2-Assumptions!$B$60+1</f>
        <v>18.0</v>
      </c>
      <c r="W17" s="63">
        <f>W$2-Assumptions!$B$60+1</f>
        <v>19.0</v>
      </c>
      <c r="X17" s="63">
        <f>X$2-Assumptions!$B$60+1</f>
        <v>20.0</v>
      </c>
      <c r="Y17" s="63">
        <f>Y$2-Assumptions!$B$60+1</f>
        <v>21.0</v>
      </c>
      <c r="Z17" s="63">
        <f>Z$2-Assumptions!$B$60+1</f>
        <v>22.0</v>
      </c>
    </row>
    <row r="18">
      <c r="A18" s="13" t="inlineStr">
        <is>
          <t>Net sales, unrisked</t>
        </is>
      </c>
      <c r="C18" s="52">
        <f>IF(C$2&gt;Assumptions!$B$69,0*(1-Assumptions!$B$70),IF(C17&gt;=1,Assumptions!$B$61*CHOOSE(Assumptions!$B$68,INDEX(Assumptions!$B$42:$H$42,MIN(C17,7)),INDEX(Assumptions!$B$43:$H$43,MIN(C17,7))),0))</f>
        <v>0</v>
      </c>
      <c r="D18" s="52">
        <f>IF(D$2&gt;Assumptions!$B$69,C18*(1-Assumptions!$B$70),IF(D17&gt;=1,Assumptions!$B$61*CHOOSE(Assumptions!$B$68,INDEX(Assumptions!$B$42:$H$42,MIN(D17,7)),INDEX(Assumptions!$B$43:$H$43,MIN(D17,7))),0))</f>
        <v>0</v>
      </c>
      <c r="E18" s="52">
        <f>IF(E$2&gt;Assumptions!$B$69,D18*(1-Assumptions!$B$70),IF(E17&gt;=1,Assumptions!$B$61*CHOOSE(Assumptions!$B$68,INDEX(Assumptions!$B$42:$H$42,MIN(E17,7)),INDEX(Assumptions!$B$43:$H$43,MIN(E17,7))),0))</f>
        <v>500.0</v>
      </c>
      <c r="F18" s="52">
        <f>IF(F$2&gt;Assumptions!$B$69,E18*(1-Assumptions!$B$70),IF(F17&gt;=1,Assumptions!$B$61*CHOOSE(Assumptions!$B$68,INDEX(Assumptions!$B$42:$H$42,MIN(F17,7)),INDEX(Assumptions!$B$43:$H$43,MIN(F17,7))),0))</f>
        <v>1250.0</v>
      </c>
      <c r="G18" s="52">
        <f>IF(G$2&gt;Assumptions!$B$69,F18*(1-Assumptions!$B$70),IF(G17&gt;=1,Assumptions!$B$61*CHOOSE(Assumptions!$B$68,INDEX(Assumptions!$B$42:$H$42,MIN(G17,7)),INDEX(Assumptions!$B$43:$H$43,MIN(G17,7))),0))</f>
        <v>2250.0</v>
      </c>
      <c r="H18" s="52">
        <f>IF(H$2&gt;Assumptions!$B$69,G18*(1-Assumptions!$B$70),IF(H17&gt;=1,Assumptions!$B$61*CHOOSE(Assumptions!$B$68,INDEX(Assumptions!$B$42:$H$42,MIN(H17,7)),INDEX(Assumptions!$B$43:$H$43,MIN(H17,7))),0))</f>
        <v>3250.0</v>
      </c>
      <c r="I18" s="52">
        <f>IF(I$2&gt;Assumptions!$B$69,H18*(1-Assumptions!$B$70),IF(I17&gt;=1,Assumptions!$B$61*CHOOSE(Assumptions!$B$68,INDEX(Assumptions!$B$42:$H$42,MIN(I17,7)),INDEX(Assumptions!$B$43:$H$43,MIN(I17,7))),0))</f>
        <v>4100.0</v>
      </c>
      <c r="J18" s="52">
        <f>IF(J$2&gt;Assumptions!$B$69,I18*(1-Assumptions!$B$70),IF(J17&gt;=1,Assumptions!$B$61*CHOOSE(Assumptions!$B$68,INDEX(Assumptions!$B$42:$H$42,MIN(J17,7)),INDEX(Assumptions!$B$43:$H$43,MIN(J17,7))),0))</f>
        <v>4650.0</v>
      </c>
      <c r="K18" s="52">
        <f>IF(K$2&gt;Assumptions!$B$69,J18*(1-Assumptions!$B$70),IF(K17&gt;=1,Assumptions!$B$61*CHOOSE(Assumptions!$B$68,INDEX(Assumptions!$B$42:$H$42,MIN(K17,7)),INDEX(Assumptions!$B$43:$H$43,MIN(K17,7))),0))</f>
        <v>5000.0</v>
      </c>
      <c r="L18" s="52">
        <f>IF(L$2&gt;Assumptions!$B$69,K18*(1-Assumptions!$B$70),IF(L17&gt;=1,Assumptions!$B$61*CHOOSE(Assumptions!$B$68,INDEX(Assumptions!$B$42:$H$42,MIN(L17,7)),INDEX(Assumptions!$B$43:$H$43,MIN(L17,7))),0))</f>
        <v>5000.0</v>
      </c>
      <c r="M18" s="52">
        <f>IF(M$2&gt;Assumptions!$B$69,L18*(1-Assumptions!$B$70),IF(M17&gt;=1,Assumptions!$B$61*CHOOSE(Assumptions!$B$68,INDEX(Assumptions!$B$42:$H$42,MIN(M17,7)),INDEX(Assumptions!$B$43:$H$43,MIN(M17,7))),0))</f>
        <v>5000.0</v>
      </c>
      <c r="N18" s="52">
        <f>IF(N$2&gt;Assumptions!$B$69,M18*(1-Assumptions!$B$70),IF(N17&gt;=1,Assumptions!$B$61*CHOOSE(Assumptions!$B$68,INDEX(Assumptions!$B$42:$H$42,MIN(N17,7)),INDEX(Assumptions!$B$43:$H$43,MIN(N17,7))),0))</f>
        <v>5000.0</v>
      </c>
      <c r="O18" s="52">
        <f>IF(O$2&gt;Assumptions!$B$69,N18*(1-Assumptions!$B$70),IF(O17&gt;=1,Assumptions!$B$61*CHOOSE(Assumptions!$B$68,INDEX(Assumptions!$B$42:$H$42,MIN(O17,7)),INDEX(Assumptions!$B$43:$H$43,MIN(O17,7))),0))</f>
        <v>5000.0</v>
      </c>
      <c r="P18" s="52">
        <f>IF(P$2&gt;Assumptions!$B$69,O18*(1-Assumptions!$B$70),IF(P17&gt;=1,Assumptions!$B$61*CHOOSE(Assumptions!$B$68,INDEX(Assumptions!$B$42:$H$42,MIN(P17,7)),INDEX(Assumptions!$B$43:$H$43,MIN(P17,7))),0))</f>
        <v>5000.0</v>
      </c>
      <c r="Q18" s="52">
        <f>IF(Q$2&gt;Assumptions!$B$69,P18*(1-Assumptions!$B$70),IF(Q17&gt;=1,Assumptions!$B$61*CHOOSE(Assumptions!$B$68,INDEX(Assumptions!$B$42:$H$42,MIN(Q17,7)),INDEX(Assumptions!$B$43:$H$43,MIN(Q17,7))),0))</f>
        <v>5000.0</v>
      </c>
      <c r="R18" s="52">
        <f>IF(R$2&gt;Assumptions!$B$69,Q18*(1-Assumptions!$B$70),IF(R17&gt;=1,Assumptions!$B$61*CHOOSE(Assumptions!$B$68,INDEX(Assumptions!$B$42:$H$42,MIN(R17,7)),INDEX(Assumptions!$B$43:$H$43,MIN(R17,7))),0))</f>
        <v>2500.0</v>
      </c>
      <c r="S18" s="52">
        <f>IF(S$2&gt;Assumptions!$B$69,R18*(1-Assumptions!$B$70),IF(S17&gt;=1,Assumptions!$B$61*CHOOSE(Assumptions!$B$68,INDEX(Assumptions!$B$42:$H$42,MIN(S17,7)),INDEX(Assumptions!$B$43:$H$43,MIN(S17,7))),0))</f>
        <v>1250.0</v>
      </c>
      <c r="T18" s="52">
        <f>IF(T$2&gt;Assumptions!$B$69,S18*(1-Assumptions!$B$70),IF(T17&gt;=1,Assumptions!$B$61*CHOOSE(Assumptions!$B$68,INDEX(Assumptions!$B$42:$H$42,MIN(T17,7)),INDEX(Assumptions!$B$43:$H$43,MIN(T17,7))),0))</f>
        <v>625.0</v>
      </c>
      <c r="U18" s="52">
        <f>IF(U$2&gt;Assumptions!$B$69,T18*(1-Assumptions!$B$70),IF(U17&gt;=1,Assumptions!$B$61*CHOOSE(Assumptions!$B$68,INDEX(Assumptions!$B$42:$H$42,MIN(U17,7)),INDEX(Assumptions!$B$43:$H$43,MIN(U17,7))),0))</f>
        <v>312.5</v>
      </c>
      <c r="V18" s="52">
        <f>IF(V$2&gt;Assumptions!$B$69,U18*(1-Assumptions!$B$70),IF(V17&gt;=1,Assumptions!$B$61*CHOOSE(Assumptions!$B$68,INDEX(Assumptions!$B$42:$H$42,MIN(V17,7)),INDEX(Assumptions!$B$43:$H$43,MIN(V17,7))),0))</f>
        <v>156.25</v>
      </c>
      <c r="W18" s="52">
        <f>IF(W$2&gt;Assumptions!$B$69,V18*(1-Assumptions!$B$70),IF(W17&gt;=1,Assumptions!$B$61*CHOOSE(Assumptions!$B$68,INDEX(Assumptions!$B$42:$H$42,MIN(W17,7)),INDEX(Assumptions!$B$43:$H$43,MIN(W17,7))),0))</f>
        <v>78.125</v>
      </c>
      <c r="X18" s="52">
        <f>IF(X$2&gt;Assumptions!$B$69,W18*(1-Assumptions!$B$70),IF(X17&gt;=1,Assumptions!$B$61*CHOOSE(Assumptions!$B$68,INDEX(Assumptions!$B$42:$H$42,MIN(X17,7)),INDEX(Assumptions!$B$43:$H$43,MIN(X17,7))),0))</f>
        <v>39.0625</v>
      </c>
      <c r="Y18" s="52">
        <f>IF(Y$2&gt;Assumptions!$B$69,X18*(1-Assumptions!$B$70),IF(Y17&gt;=1,Assumptions!$B$61*CHOOSE(Assumptions!$B$68,INDEX(Assumptions!$B$42:$H$42,MIN(Y17,7)),INDEX(Assumptions!$B$43:$H$43,MIN(Y17,7))),0))</f>
        <v>19.53125</v>
      </c>
      <c r="Z18" s="52">
        <f>IF(Z$2&gt;Assumptions!$B$69,Y18*(1-Assumptions!$B$70),IF(Z17&gt;=1,Assumptions!$B$61*CHOOSE(Assumptions!$B$68,INDEX(Assumptions!$B$42:$H$42,MIN(Z17,7)),INDEX(Assumptions!$B$43:$H$43,MIN(Z17,7))),0))</f>
        <v>9.765625</v>
      </c>
    </row>
    <row r="19">
      <c r="A19" s="13" t="inlineStr">
        <is>
          <t>Product net sales, risk-adjusted</t>
        </is>
      </c>
      <c r="C19" s="52">
        <f>C18*MIN(1,Assumptions!$B$62*Assumptions!$B$37)</f>
        <v>0.0</v>
      </c>
      <c r="D19" s="52">
        <f>D18*MIN(1,Assumptions!$B$62*Assumptions!$B$37)</f>
        <v>0.0</v>
      </c>
      <c r="E19" s="52">
        <f>E18*MIN(1,Assumptions!$B$62*Assumptions!$B$37)</f>
        <v>225.0</v>
      </c>
      <c r="F19" s="52">
        <f>F18*MIN(1,Assumptions!$B$62*Assumptions!$B$37)</f>
        <v>562.5</v>
      </c>
      <c r="G19" s="52">
        <f>G18*MIN(1,Assumptions!$B$62*Assumptions!$B$37)</f>
        <v>1012.5</v>
      </c>
      <c r="H19" s="52">
        <f>H18*MIN(1,Assumptions!$B$62*Assumptions!$B$37)</f>
        <v>1462.5</v>
      </c>
      <c r="I19" s="52">
        <f>I18*MIN(1,Assumptions!$B$62*Assumptions!$B$37)</f>
        <v>1845.0</v>
      </c>
      <c r="J19" s="52">
        <f>J18*MIN(1,Assumptions!$B$62*Assumptions!$B$37)</f>
        <v>2092.5</v>
      </c>
      <c r="K19" s="52">
        <f>K18*MIN(1,Assumptions!$B$62*Assumptions!$B$37)</f>
        <v>2250.0</v>
      </c>
      <c r="L19" s="52">
        <f>L18*MIN(1,Assumptions!$B$62*Assumptions!$B$37)</f>
        <v>2250.0</v>
      </c>
      <c r="M19" s="52">
        <f>M18*MIN(1,Assumptions!$B$62*Assumptions!$B$37)</f>
        <v>2250.0</v>
      </c>
      <c r="N19" s="52">
        <f>N18*MIN(1,Assumptions!$B$62*Assumptions!$B$37)</f>
        <v>2250.0</v>
      </c>
      <c r="O19" s="52">
        <f>O18*MIN(1,Assumptions!$B$62*Assumptions!$B$37)</f>
        <v>2250.0</v>
      </c>
      <c r="P19" s="52">
        <f>P18*MIN(1,Assumptions!$B$62*Assumptions!$B$37)</f>
        <v>2250.0</v>
      </c>
      <c r="Q19" s="52">
        <f>Q18*MIN(1,Assumptions!$B$62*Assumptions!$B$37)</f>
        <v>2250.0</v>
      </c>
      <c r="R19" s="52">
        <f>R18*MIN(1,Assumptions!$B$62*Assumptions!$B$37)</f>
        <v>1125.0</v>
      </c>
      <c r="S19" s="52">
        <f>S18*MIN(1,Assumptions!$B$62*Assumptions!$B$37)</f>
        <v>562.5</v>
      </c>
      <c r="T19" s="52">
        <f>T18*MIN(1,Assumptions!$B$62*Assumptions!$B$37)</f>
        <v>281.25</v>
      </c>
      <c r="U19" s="52">
        <f>U18*MIN(1,Assumptions!$B$62*Assumptions!$B$37)</f>
        <v>140.625</v>
      </c>
      <c r="V19" s="52">
        <f>V18*MIN(1,Assumptions!$B$62*Assumptions!$B$37)</f>
        <v>70.3125</v>
      </c>
      <c r="W19" s="52">
        <f>W18*MIN(1,Assumptions!$B$62*Assumptions!$B$37)</f>
        <v>35.15625</v>
      </c>
      <c r="X19" s="52">
        <f>X18*MIN(1,Assumptions!$B$62*Assumptions!$B$37)</f>
        <v>17.578125</v>
      </c>
      <c r="Y19" s="52">
        <f>Y18*MIN(1,Assumptions!$B$62*Assumptions!$B$37)</f>
        <v>8.7890625</v>
      </c>
      <c r="Z19" s="52">
        <f>Z18*MIN(1,Assumptions!$B$62*Assumptions!$B$37)</f>
        <v>4.39453125</v>
      </c>
    </row>
    <row r="20">
      <c r="A20" s="13" t="inlineStr">
        <is>
          <t>Company revenue, risk-adjusted (incl. milestones)</t>
        </is>
      </c>
      <c r="C20" s="52">
        <f>C19*Assumptions!$B$63</f>
        <v>0.0</v>
      </c>
      <c r="D20" s="52">
        <f>D19*Assumptions!$B$63</f>
        <v>0.0</v>
      </c>
      <c r="E20" s="52">
        <f>E19*Assumptions!$B$63</f>
        <v>225.0</v>
      </c>
      <c r="F20" s="52">
        <f>F19*Assumptions!$B$63</f>
        <v>562.5</v>
      </c>
      <c r="G20" s="52">
        <f>G19*Assumptions!$B$63</f>
        <v>1012.5</v>
      </c>
      <c r="H20" s="52">
        <f>H19*Assumptions!$B$63</f>
        <v>1462.5</v>
      </c>
      <c r="I20" s="52">
        <f>I19*Assumptions!$B$63</f>
        <v>1845.0</v>
      </c>
      <c r="J20" s="52">
        <f>J19*Assumptions!$B$63</f>
        <v>2092.5</v>
      </c>
      <c r="K20" s="52">
        <f>K19*Assumptions!$B$63</f>
        <v>2250.0</v>
      </c>
      <c r="L20" s="52">
        <f>L19*Assumptions!$B$63</f>
        <v>2250.0</v>
      </c>
      <c r="M20" s="52">
        <f>M19*Assumptions!$B$63</f>
        <v>2250.0</v>
      </c>
      <c r="N20" s="52">
        <f>N19*Assumptions!$B$63</f>
        <v>2250.0</v>
      </c>
      <c r="O20" s="52">
        <f>O19*Assumptions!$B$63</f>
        <v>2250.0</v>
      </c>
      <c r="P20" s="52">
        <f>P19*Assumptions!$B$63</f>
        <v>2250.0</v>
      </c>
      <c r="Q20" s="52">
        <f>Q19*Assumptions!$B$63</f>
        <v>2250.0</v>
      </c>
      <c r="R20" s="52">
        <f>R19*Assumptions!$B$63</f>
        <v>1125.0</v>
      </c>
      <c r="S20" s="52">
        <f>S19*Assumptions!$B$63</f>
        <v>562.5</v>
      </c>
      <c r="T20" s="52">
        <f>T19*Assumptions!$B$63</f>
        <v>281.25</v>
      </c>
      <c r="U20" s="52">
        <f>U19*Assumptions!$B$63</f>
        <v>140.625</v>
      </c>
      <c r="V20" s="52">
        <f>V19*Assumptions!$B$63</f>
        <v>70.3125</v>
      </c>
      <c r="W20" s="52">
        <f>W19*Assumptions!$B$63</f>
        <v>35.15625</v>
      </c>
      <c r="X20" s="52">
        <f>X19*Assumptions!$B$63</f>
        <v>17.578125</v>
      </c>
      <c r="Y20" s="52">
        <f>Y19*Assumptions!$B$63</f>
        <v>8.7890625</v>
      </c>
      <c r="Z20" s="52">
        <f>Z19*Assumptions!$B$63</f>
        <v>4.39453125</v>
      </c>
    </row>
    <row r="21">
      <c r="A21" s="13" t="inlineStr">
        <is>
          <t>COGS + royalties, risk-adjusted</t>
        </is>
      </c>
      <c r="C21" s="52">
        <f>C19*(Assumptions!$B$64+Assumptions!$B$65)</f>
        <v>0.0</v>
      </c>
      <c r="D21" s="52">
        <f>D19*(Assumptions!$B$64+Assumptions!$B$65)</f>
        <v>0.0</v>
      </c>
      <c r="E21" s="52">
        <f>E19*(Assumptions!$B$64+Assumptions!$B$65)</f>
        <v>45.0</v>
      </c>
      <c r="F21" s="52">
        <f>F19*(Assumptions!$B$64+Assumptions!$B$65)</f>
        <v>112.5</v>
      </c>
      <c r="G21" s="52">
        <f>G19*(Assumptions!$B$64+Assumptions!$B$65)</f>
        <v>202.5</v>
      </c>
      <c r="H21" s="52">
        <f>H19*(Assumptions!$B$64+Assumptions!$B$65)</f>
        <v>292.5</v>
      </c>
      <c r="I21" s="52">
        <f>I19*(Assumptions!$B$64+Assumptions!$B$65)</f>
        <v>369.0</v>
      </c>
      <c r="J21" s="52">
        <f>J19*(Assumptions!$B$64+Assumptions!$B$65)</f>
        <v>418.5</v>
      </c>
      <c r="K21" s="52">
        <f>K19*(Assumptions!$B$64+Assumptions!$B$65)</f>
        <v>450.0</v>
      </c>
      <c r="L21" s="52">
        <f>L19*(Assumptions!$B$64+Assumptions!$B$65)</f>
        <v>450.0</v>
      </c>
      <c r="M21" s="52">
        <f>M19*(Assumptions!$B$64+Assumptions!$B$65)</f>
        <v>450.0</v>
      </c>
      <c r="N21" s="52">
        <f>N19*(Assumptions!$B$64+Assumptions!$B$65)</f>
        <v>450.0</v>
      </c>
      <c r="O21" s="52">
        <f>O19*(Assumptions!$B$64+Assumptions!$B$65)</f>
        <v>450.0</v>
      </c>
      <c r="P21" s="52">
        <f>P19*(Assumptions!$B$64+Assumptions!$B$65)</f>
        <v>450.0</v>
      </c>
      <c r="Q21" s="52">
        <f>Q19*(Assumptions!$B$64+Assumptions!$B$65)</f>
        <v>450.0</v>
      </c>
      <c r="R21" s="52">
        <f>R19*(Assumptions!$B$64+Assumptions!$B$65)</f>
        <v>225.0</v>
      </c>
      <c r="S21" s="52">
        <f>S19*(Assumptions!$B$64+Assumptions!$B$65)</f>
        <v>112.5</v>
      </c>
      <c r="T21" s="52">
        <f>T19*(Assumptions!$B$64+Assumptions!$B$65)</f>
        <v>56.25</v>
      </c>
      <c r="U21" s="52">
        <f>U19*(Assumptions!$B$64+Assumptions!$B$65)</f>
        <v>28.125</v>
      </c>
      <c r="V21" s="52">
        <f>V19*(Assumptions!$B$64+Assumptions!$B$65)</f>
        <v>14.0625</v>
      </c>
      <c r="W21" s="52">
        <f>W19*(Assumptions!$B$64+Assumptions!$B$65)</f>
        <v>7.03125</v>
      </c>
      <c r="X21" s="52">
        <f>X19*(Assumptions!$B$64+Assumptions!$B$65)</f>
        <v>3.515625</v>
      </c>
      <c r="Y21" s="52">
        <f>Y19*(Assumptions!$B$64+Assumptions!$B$65)</f>
        <v>1.7578125</v>
      </c>
      <c r="Z21" s="52">
        <f>Z19*(Assumptions!$B$64+Assumptions!$B$65)</f>
        <v>0.87890625</v>
      </c>
    </row>
    <row r="22">
      <c r="A22" s="13" t="inlineStr">
        <is>
          <t>Commercial SG&amp;A, risk-adjusted</t>
        </is>
      </c>
      <c r="C22" s="52">
        <f>MIN(1,Assumptions!$B$62*Assumptions!$B$37)*IF(Assumptions!$B$66=0,0,IF(C17=0,Assumptions!$B$67,IF(C17&gt;=1,C18*IF(OR(Assumptions!$B$63&lt;1,C17&gt;5),Assumptions!$B$66,MAX(Assumptions!$B$66,INDEX(Assumptions!$B$44:$F$44,C17))),0)))</f>
        <v>0.0</v>
      </c>
      <c r="D22" s="52">
        <f>MIN(1,Assumptions!$B$62*Assumptions!$B$37)*IF(Assumptions!$B$66=0,0,IF(D17=0,Assumptions!$B$67,IF(D17&gt;=1,D18*IF(OR(Assumptions!$B$63&lt;1,D17&gt;5),Assumptions!$B$66,MAX(Assumptions!$B$66,INDEX(Assumptions!$B$44:$F$44,D17))),0)))</f>
        <v>45.0</v>
      </c>
      <c r="E22" s="52">
        <f>MIN(1,Assumptions!$B$62*Assumptions!$B$37)*IF(Assumptions!$B$66=0,0,IF(E17=0,Assumptions!$B$67,IF(E17&gt;=1,E18*IF(OR(Assumptions!$B$63&lt;1,E17&gt;5),Assumptions!$B$66,MAX(Assumptions!$B$66,INDEX(Assumptions!$B$44:$F$44,E17))),0)))</f>
        <v>202.5</v>
      </c>
      <c r="F22" s="52">
        <f>MIN(1,Assumptions!$B$62*Assumptions!$B$37)*IF(Assumptions!$B$66=0,0,IF(F17=0,Assumptions!$B$67,IF(F17&gt;=1,F18*IF(OR(Assumptions!$B$63&lt;1,F17&gt;5),Assumptions!$B$66,MAX(Assumptions!$B$66,INDEX(Assumptions!$B$44:$F$44,F17))),0)))</f>
        <v>309.375</v>
      </c>
      <c r="G22" s="52">
        <f>MIN(1,Assumptions!$B$62*Assumptions!$B$37)*IF(Assumptions!$B$66=0,0,IF(G17=0,Assumptions!$B$67,IF(G17&gt;=1,G18*IF(OR(Assumptions!$B$63&lt;1,G17&gt;5),Assumptions!$B$66,MAX(Assumptions!$B$66,INDEX(Assumptions!$B$44:$F$44,G17))),0)))</f>
        <v>405.0</v>
      </c>
      <c r="H22" s="52">
        <f>MIN(1,Assumptions!$B$62*Assumptions!$B$37)*IF(Assumptions!$B$66=0,0,IF(H17=0,Assumptions!$B$67,IF(H17&gt;=1,H18*IF(OR(Assumptions!$B$63&lt;1,H17&gt;5),Assumptions!$B$66,MAX(Assumptions!$B$66,INDEX(Assumptions!$B$44:$F$44,H17))),0)))</f>
        <v>468.0</v>
      </c>
      <c r="I22" s="52">
        <f>MIN(1,Assumptions!$B$62*Assumptions!$B$37)*IF(Assumptions!$B$66=0,0,IF(I17=0,Assumptions!$B$67,IF(I17&gt;=1,I18*IF(OR(Assumptions!$B$63&lt;1,I17&gt;5),Assumptions!$B$66,MAX(Assumptions!$B$66,INDEX(Assumptions!$B$44:$F$44,I17))),0)))</f>
        <v>516.6</v>
      </c>
      <c r="J22" s="52">
        <f>MIN(1,Assumptions!$B$62*Assumptions!$B$37)*IF(Assumptions!$B$66=0,0,IF(J17=0,Assumptions!$B$67,IF(J17&gt;=1,J18*IF(OR(Assumptions!$B$63&lt;1,J17&gt;5),Assumptions!$B$66,MAX(Assumptions!$B$66,INDEX(Assumptions!$B$44:$F$44,J17))),0)))</f>
        <v>523.125</v>
      </c>
      <c r="K22" s="52">
        <f>MIN(1,Assumptions!$B$62*Assumptions!$B$37)*IF(Assumptions!$B$66=0,0,IF(K17=0,Assumptions!$B$67,IF(K17&gt;=1,K18*IF(OR(Assumptions!$B$63&lt;1,K17&gt;5),Assumptions!$B$66,MAX(Assumptions!$B$66,INDEX(Assumptions!$B$44:$F$44,K17))),0)))</f>
        <v>562.5</v>
      </c>
      <c r="L22" s="52">
        <f>MIN(1,Assumptions!$B$62*Assumptions!$B$37)*IF(Assumptions!$B$66=0,0,IF(L17=0,Assumptions!$B$67,IF(L17&gt;=1,L18*IF(OR(Assumptions!$B$63&lt;1,L17&gt;5),Assumptions!$B$66,MAX(Assumptions!$B$66,INDEX(Assumptions!$B$44:$F$44,L17))),0)))</f>
        <v>562.5</v>
      </c>
      <c r="M22" s="52">
        <f>MIN(1,Assumptions!$B$62*Assumptions!$B$37)*IF(Assumptions!$B$66=0,0,IF(M17=0,Assumptions!$B$67,IF(M17&gt;=1,M18*IF(OR(Assumptions!$B$63&lt;1,M17&gt;5),Assumptions!$B$66,MAX(Assumptions!$B$66,INDEX(Assumptions!$B$44:$F$44,M17))),0)))</f>
        <v>562.5</v>
      </c>
      <c r="N22" s="52">
        <f>MIN(1,Assumptions!$B$62*Assumptions!$B$37)*IF(Assumptions!$B$66=0,0,IF(N17=0,Assumptions!$B$67,IF(N17&gt;=1,N18*IF(OR(Assumptions!$B$63&lt;1,N17&gt;5),Assumptions!$B$66,MAX(Assumptions!$B$66,INDEX(Assumptions!$B$44:$F$44,N17))),0)))</f>
        <v>562.5</v>
      </c>
      <c r="O22" s="52">
        <f>MIN(1,Assumptions!$B$62*Assumptions!$B$37)*IF(Assumptions!$B$66=0,0,IF(O17=0,Assumptions!$B$67,IF(O17&gt;=1,O18*IF(OR(Assumptions!$B$63&lt;1,O17&gt;5),Assumptions!$B$66,MAX(Assumptions!$B$66,INDEX(Assumptions!$B$44:$F$44,O17))),0)))</f>
        <v>562.5</v>
      </c>
      <c r="P22" s="52">
        <f>MIN(1,Assumptions!$B$62*Assumptions!$B$37)*IF(Assumptions!$B$66=0,0,IF(P17=0,Assumptions!$B$67,IF(P17&gt;=1,P18*IF(OR(Assumptions!$B$63&lt;1,P17&gt;5),Assumptions!$B$66,MAX(Assumptions!$B$66,INDEX(Assumptions!$B$44:$F$44,P17))),0)))</f>
        <v>562.5</v>
      </c>
      <c r="Q22" s="52">
        <f>MIN(1,Assumptions!$B$62*Assumptions!$B$37)*IF(Assumptions!$B$66=0,0,IF(Q17=0,Assumptions!$B$67,IF(Q17&gt;=1,Q18*IF(OR(Assumptions!$B$63&lt;1,Q17&gt;5),Assumptions!$B$66,MAX(Assumptions!$B$66,INDEX(Assumptions!$B$44:$F$44,Q17))),0)))</f>
        <v>562.5</v>
      </c>
      <c r="R22" s="52">
        <f>MIN(1,Assumptions!$B$62*Assumptions!$B$37)*IF(Assumptions!$B$66=0,0,IF(R17=0,Assumptions!$B$67,IF(R17&gt;=1,R18*IF(OR(Assumptions!$B$63&lt;1,R17&gt;5),Assumptions!$B$66,MAX(Assumptions!$B$66,INDEX(Assumptions!$B$44:$F$44,R17))),0)))</f>
        <v>281.25</v>
      </c>
      <c r="S22" s="52">
        <f>MIN(1,Assumptions!$B$62*Assumptions!$B$37)*IF(Assumptions!$B$66=0,0,IF(S17=0,Assumptions!$B$67,IF(S17&gt;=1,S18*IF(OR(Assumptions!$B$63&lt;1,S17&gt;5),Assumptions!$B$66,MAX(Assumptions!$B$66,INDEX(Assumptions!$B$44:$F$44,S17))),0)))</f>
        <v>140.625</v>
      </c>
      <c r="T22" s="52">
        <f>MIN(1,Assumptions!$B$62*Assumptions!$B$37)*IF(Assumptions!$B$66=0,0,IF(T17=0,Assumptions!$B$67,IF(T17&gt;=1,T18*IF(OR(Assumptions!$B$63&lt;1,T17&gt;5),Assumptions!$B$66,MAX(Assumptions!$B$66,INDEX(Assumptions!$B$44:$F$44,T17))),0)))</f>
        <v>70.3125</v>
      </c>
      <c r="U22" s="52">
        <f>MIN(1,Assumptions!$B$62*Assumptions!$B$37)*IF(Assumptions!$B$66=0,0,IF(U17=0,Assumptions!$B$67,IF(U17&gt;=1,U18*IF(OR(Assumptions!$B$63&lt;1,U17&gt;5),Assumptions!$B$66,MAX(Assumptions!$B$66,INDEX(Assumptions!$B$44:$F$44,U17))),0)))</f>
        <v>35.15625</v>
      </c>
      <c r="V22" s="52">
        <f>MIN(1,Assumptions!$B$62*Assumptions!$B$37)*IF(Assumptions!$B$66=0,0,IF(V17=0,Assumptions!$B$67,IF(V17&gt;=1,V18*IF(OR(Assumptions!$B$63&lt;1,V17&gt;5),Assumptions!$B$66,MAX(Assumptions!$B$66,INDEX(Assumptions!$B$44:$F$44,V17))),0)))</f>
        <v>17.578125</v>
      </c>
      <c r="W22" s="52">
        <f>MIN(1,Assumptions!$B$62*Assumptions!$B$37)*IF(Assumptions!$B$66=0,0,IF(W17=0,Assumptions!$B$67,IF(W17&gt;=1,W18*IF(OR(Assumptions!$B$63&lt;1,W17&gt;5),Assumptions!$B$66,MAX(Assumptions!$B$66,INDEX(Assumptions!$B$44:$F$44,W17))),0)))</f>
        <v>8.7890625</v>
      </c>
      <c r="X22" s="52">
        <f>MIN(1,Assumptions!$B$62*Assumptions!$B$37)*IF(Assumptions!$B$66=0,0,IF(X17=0,Assumptions!$B$67,IF(X17&gt;=1,X18*IF(OR(Assumptions!$B$63&lt;1,X17&gt;5),Assumptions!$B$66,MAX(Assumptions!$B$66,INDEX(Assumptions!$B$44:$F$44,X17))),0)))</f>
        <v>4.39453125</v>
      </c>
      <c r="Y22" s="52">
        <f>MIN(1,Assumptions!$B$62*Assumptions!$B$37)*IF(Assumptions!$B$66=0,0,IF(Y17=0,Assumptions!$B$67,IF(Y17&gt;=1,Y18*IF(OR(Assumptions!$B$63&lt;1,Y17&gt;5),Assumptions!$B$66,MAX(Assumptions!$B$66,INDEX(Assumptions!$B$44:$F$44,Y17))),0)))</f>
        <v>2.197265625</v>
      </c>
      <c r="Z22" s="52">
        <f>MIN(1,Assumptions!$B$62*Assumptions!$B$37)*IF(Assumptions!$B$66=0,0,IF(Z17=0,Assumptions!$B$67,IF(Z17&gt;=1,Z18*IF(OR(Assumptions!$B$63&lt;1,Z17&gt;5),Assumptions!$B$66,MAX(Assumptions!$B$66,INDEX(Assumptions!$B$44:$F$44,Z17))),0)))</f>
        <v>1.0986328125</v>
      </c>
    </row>
    <row r="23">
      <c r="A23" s="13" t="inlineStr">
        <is>
          <t>Development R&amp;D, risk-adjusted</t>
        </is>
      </c>
      <c r="C23" s="52">
        <f>IFERROR(INDEX(Assumptions!$B$72:$I$72,MATCH(C$2,Assumptions!$B$71:$I$71,0))*INDEX(Assumptions!$B$73:$I$73,MATCH(C$2,Assumptions!$B$71:$I$71,0)),0)</f>
        <v>250.0</v>
      </c>
      <c r="D23" s="52">
        <f>IFERROR(INDEX(Assumptions!$B$72:$I$72,MATCH(D$2,Assumptions!$B$71:$I$71,0))*INDEX(Assumptions!$B$73:$I$73,MATCH(D$2,Assumptions!$B$71:$I$71,0)),0)</f>
        <v>150.0</v>
      </c>
      <c r="E23" s="52">
        <f>IFERROR(INDEX(Assumptions!$B$72:$I$72,MATCH(E$2,Assumptions!$B$71:$I$71,0))*INDEX(Assumptions!$B$73:$I$73,MATCH(E$2,Assumptions!$B$71:$I$71,0)),0)</f>
        <v>22.5</v>
      </c>
      <c r="F23" s="52">
        <f>IFERROR(INDEX(Assumptions!$B$72:$I$72,MATCH(F$2,Assumptions!$B$71:$I$71,0))*INDEX(Assumptions!$B$73:$I$73,MATCH(F$2,Assumptions!$B$71:$I$71,0)),0)</f>
        <v>0.0</v>
      </c>
      <c r="G23" s="52">
        <f>IFERROR(INDEX(Assumptions!$B$72:$I$72,MATCH(G$2,Assumptions!$B$71:$I$71,0))*INDEX(Assumptions!$B$73:$I$73,MATCH(G$2,Assumptions!$B$71:$I$71,0)),0)</f>
        <v>0.0</v>
      </c>
      <c r="H23" s="52">
        <f>IFERROR(INDEX(Assumptions!$B$72:$I$72,MATCH(H$2,Assumptions!$B$71:$I$71,0))*INDEX(Assumptions!$B$73:$I$73,MATCH(H$2,Assumptions!$B$71:$I$71,0)),0)</f>
        <v>0.0</v>
      </c>
      <c r="I23" s="52">
        <f>IFERROR(INDEX(Assumptions!$B$72:$I$72,MATCH(I$2,Assumptions!$B$71:$I$71,0))*INDEX(Assumptions!$B$73:$I$73,MATCH(I$2,Assumptions!$B$71:$I$71,0)),0)</f>
        <v>0.0</v>
      </c>
      <c r="J23" s="52">
        <f>IFERROR(INDEX(Assumptions!$B$72:$I$72,MATCH(J$2,Assumptions!$B$71:$I$71,0))*INDEX(Assumptions!$B$73:$I$73,MATCH(J$2,Assumptions!$B$71:$I$71,0)),0)</f>
        <v>0.0</v>
      </c>
      <c r="K23" s="52">
        <f>IFERROR(INDEX(Assumptions!$B$72:$I$72,MATCH(K$2,Assumptions!$B$71:$I$71,0))*INDEX(Assumptions!$B$73:$I$73,MATCH(K$2,Assumptions!$B$71:$I$71,0)),0)</f>
        <v>0</v>
      </c>
      <c r="L23" s="52">
        <f>IFERROR(INDEX(Assumptions!$B$72:$I$72,MATCH(L$2,Assumptions!$B$71:$I$71,0))*INDEX(Assumptions!$B$73:$I$73,MATCH(L$2,Assumptions!$B$71:$I$71,0)),0)</f>
        <v>0</v>
      </c>
      <c r="M23" s="52">
        <f>IFERROR(INDEX(Assumptions!$B$72:$I$72,MATCH(M$2,Assumptions!$B$71:$I$71,0))*INDEX(Assumptions!$B$73:$I$73,MATCH(M$2,Assumptions!$B$71:$I$71,0)),0)</f>
        <v>0</v>
      </c>
      <c r="N23" s="52">
        <f>IFERROR(INDEX(Assumptions!$B$72:$I$72,MATCH(N$2,Assumptions!$B$71:$I$71,0))*INDEX(Assumptions!$B$73:$I$73,MATCH(N$2,Assumptions!$B$71:$I$71,0)),0)</f>
        <v>0</v>
      </c>
      <c r="O23" s="52">
        <f>IFERROR(INDEX(Assumptions!$B$72:$I$72,MATCH(O$2,Assumptions!$B$71:$I$71,0))*INDEX(Assumptions!$B$73:$I$73,MATCH(O$2,Assumptions!$B$71:$I$71,0)),0)</f>
        <v>0</v>
      </c>
      <c r="P23" s="52">
        <f>IFERROR(INDEX(Assumptions!$B$72:$I$72,MATCH(P$2,Assumptions!$B$71:$I$71,0))*INDEX(Assumptions!$B$73:$I$73,MATCH(P$2,Assumptions!$B$71:$I$71,0)),0)</f>
        <v>0</v>
      </c>
      <c r="Q23" s="52">
        <f>IFERROR(INDEX(Assumptions!$B$72:$I$72,MATCH(Q$2,Assumptions!$B$71:$I$71,0))*INDEX(Assumptions!$B$73:$I$73,MATCH(Q$2,Assumptions!$B$71:$I$71,0)),0)</f>
        <v>0</v>
      </c>
      <c r="R23" s="52">
        <f>IFERROR(INDEX(Assumptions!$B$72:$I$72,MATCH(R$2,Assumptions!$B$71:$I$71,0))*INDEX(Assumptions!$B$73:$I$73,MATCH(R$2,Assumptions!$B$71:$I$71,0)),0)</f>
        <v>0</v>
      </c>
      <c r="S23" s="52">
        <f>IFERROR(INDEX(Assumptions!$B$72:$I$72,MATCH(S$2,Assumptions!$B$71:$I$71,0))*INDEX(Assumptions!$B$73:$I$73,MATCH(S$2,Assumptions!$B$71:$I$71,0)),0)</f>
        <v>0</v>
      </c>
      <c r="T23" s="52">
        <f>IFERROR(INDEX(Assumptions!$B$72:$I$72,MATCH(T$2,Assumptions!$B$71:$I$71,0))*INDEX(Assumptions!$B$73:$I$73,MATCH(T$2,Assumptions!$B$71:$I$71,0)),0)</f>
        <v>0</v>
      </c>
      <c r="U23" s="52">
        <f>IFERROR(INDEX(Assumptions!$B$72:$I$72,MATCH(U$2,Assumptions!$B$71:$I$71,0))*INDEX(Assumptions!$B$73:$I$73,MATCH(U$2,Assumptions!$B$71:$I$71,0)),0)</f>
        <v>0</v>
      </c>
      <c r="V23" s="52">
        <f>IFERROR(INDEX(Assumptions!$B$72:$I$72,MATCH(V$2,Assumptions!$B$71:$I$71,0))*INDEX(Assumptions!$B$73:$I$73,MATCH(V$2,Assumptions!$B$71:$I$71,0)),0)</f>
        <v>0</v>
      </c>
      <c r="W23" s="52">
        <f>IFERROR(INDEX(Assumptions!$B$72:$I$72,MATCH(W$2,Assumptions!$B$71:$I$71,0))*INDEX(Assumptions!$B$73:$I$73,MATCH(W$2,Assumptions!$B$71:$I$71,0)),0)</f>
        <v>0</v>
      </c>
      <c r="X23" s="52">
        <f>IFERROR(INDEX(Assumptions!$B$72:$I$72,MATCH(X$2,Assumptions!$B$71:$I$71,0))*INDEX(Assumptions!$B$73:$I$73,MATCH(X$2,Assumptions!$B$71:$I$71,0)),0)</f>
        <v>0</v>
      </c>
      <c r="Y23" s="52">
        <f>IFERROR(INDEX(Assumptions!$B$72:$I$72,MATCH(Y$2,Assumptions!$B$71:$I$71,0))*INDEX(Assumptions!$B$73:$I$73,MATCH(Y$2,Assumptions!$B$71:$I$71,0)),0)</f>
        <v>0</v>
      </c>
      <c r="Z23" s="52">
        <f>IFERROR(INDEX(Assumptions!$B$72:$I$72,MATCH(Z$2,Assumptions!$B$71:$I$71,0))*INDEX(Assumptions!$B$73:$I$73,MATCH(Z$2,Assumptions!$B$71:$I$71,0)),0)</f>
        <v>0</v>
      </c>
    </row>
    <row r="24">
      <c r="A24" s="23" t="inlineStr">
        <is>
          <t>Program contribution (pre-tax)</t>
        </is>
      </c>
      <c r="C24" s="56">
        <f>C20-C21-C22-C23</f>
        <v>-250.0</v>
      </c>
      <c r="D24" s="56">
        <f>D20-D21-D22-D23</f>
        <v>-195.0</v>
      </c>
      <c r="E24" s="56">
        <f>E20-E21-E22-E23</f>
        <v>-45.0</v>
      </c>
      <c r="F24" s="56">
        <f>F20-F21-F22-F23</f>
        <v>140.625</v>
      </c>
      <c r="G24" s="56">
        <f>G20-G21-G22-G23</f>
        <v>405.0</v>
      </c>
      <c r="H24" s="56">
        <f>H20-H21-H22-H23</f>
        <v>702.0</v>
      </c>
      <c r="I24" s="56">
        <f>I20-I21-I22-I23</f>
        <v>959.4</v>
      </c>
      <c r="J24" s="56">
        <f>J20-J21-J22-J23</f>
        <v>1150.875</v>
      </c>
      <c r="K24" s="56">
        <f>K20-K21-K22-K23</f>
        <v>1237.5</v>
      </c>
      <c r="L24" s="56">
        <f>L20-L21-L22-L23</f>
        <v>1237.5</v>
      </c>
      <c r="M24" s="56">
        <f>M20-M21-M22-M23</f>
        <v>1237.5</v>
      </c>
      <c r="N24" s="56">
        <f>N20-N21-N22-N23</f>
        <v>1237.5</v>
      </c>
      <c r="O24" s="56">
        <f>O20-O21-O22-O23</f>
        <v>1237.5</v>
      </c>
      <c r="P24" s="56">
        <f>P20-P21-P22-P23</f>
        <v>1237.5</v>
      </c>
      <c r="Q24" s="56">
        <f>Q20-Q21-Q22-Q23</f>
        <v>1237.5</v>
      </c>
      <c r="R24" s="56">
        <f>R20-R21-R22-R23</f>
        <v>618.75</v>
      </c>
      <c r="S24" s="56">
        <f>S20-S21-S22-S23</f>
        <v>309.375</v>
      </c>
      <c r="T24" s="56">
        <f>T20-T21-T22-T23</f>
        <v>154.6875</v>
      </c>
      <c r="U24" s="56">
        <f>U20-U21-U22-U23</f>
        <v>77.34375</v>
      </c>
      <c r="V24" s="56">
        <f>V20-V21-V22-V23</f>
        <v>38.671875</v>
      </c>
      <c r="W24" s="56">
        <f>W20-W21-W22-W23</f>
        <v>19.3359375</v>
      </c>
      <c r="X24" s="56">
        <f>X20-X21-X22-X23</f>
        <v>9.66796875</v>
      </c>
      <c r="Y24" s="56">
        <f>Y20-Y21-Y22-Y23</f>
        <v>4.833984375</v>
      </c>
      <c r="Z24" s="56">
        <f>Z20-Z21-Z22-Z23</f>
        <v>2.4169921875</v>
      </c>
    </row>
    <row r="26">
      <c r="A26" s="30" t="inlineStr">
        <is>
          <t>Ivonescimab — PD-L1-high 1L monotherapy (HARMONi-7)</t>
        </is>
      </c>
    </row>
    <row r="27">
      <c r="A27" s="13" t="inlineStr">
        <is>
          <t>Years since launch</t>
        </is>
      </c>
      <c r="C27" s="63">
        <f>C$2-Assumptions!$B$76+1</f>
        <v>-1.0</v>
      </c>
      <c r="D27" s="63">
        <f>D$2-Assumptions!$B$76+1</f>
        <v>0.0</v>
      </c>
      <c r="E27" s="63">
        <f>E$2-Assumptions!$B$76+1</f>
        <v>1.0</v>
      </c>
      <c r="F27" s="63">
        <f>F$2-Assumptions!$B$76+1</f>
        <v>2.0</v>
      </c>
      <c r="G27" s="63">
        <f>G$2-Assumptions!$B$76+1</f>
        <v>3.0</v>
      </c>
      <c r="H27" s="63">
        <f>H$2-Assumptions!$B$76+1</f>
        <v>4.0</v>
      </c>
      <c r="I27" s="63">
        <f>I$2-Assumptions!$B$76+1</f>
        <v>5.0</v>
      </c>
      <c r="J27" s="63">
        <f>J$2-Assumptions!$B$76+1</f>
        <v>6.0</v>
      </c>
      <c r="K27" s="63">
        <f>K$2-Assumptions!$B$76+1</f>
        <v>7.0</v>
      </c>
      <c r="L27" s="63">
        <f>L$2-Assumptions!$B$76+1</f>
        <v>8.0</v>
      </c>
      <c r="M27" s="63">
        <f>M$2-Assumptions!$B$76+1</f>
        <v>9.0</v>
      </c>
      <c r="N27" s="63">
        <f>N$2-Assumptions!$B$76+1</f>
        <v>10.0</v>
      </c>
      <c r="O27" s="63">
        <f>O$2-Assumptions!$B$76+1</f>
        <v>11.0</v>
      </c>
      <c r="P27" s="63">
        <f>P$2-Assumptions!$B$76+1</f>
        <v>12.0</v>
      </c>
      <c r="Q27" s="63">
        <f>Q$2-Assumptions!$B$76+1</f>
        <v>13.0</v>
      </c>
      <c r="R27" s="63">
        <f>R$2-Assumptions!$B$76+1</f>
        <v>14.0</v>
      </c>
      <c r="S27" s="63">
        <f>S$2-Assumptions!$B$76+1</f>
        <v>15.0</v>
      </c>
      <c r="T27" s="63">
        <f>T$2-Assumptions!$B$76+1</f>
        <v>16.0</v>
      </c>
      <c r="U27" s="63">
        <f>U$2-Assumptions!$B$76+1</f>
        <v>17.0</v>
      </c>
      <c r="V27" s="63">
        <f>V$2-Assumptions!$B$76+1</f>
        <v>18.0</v>
      </c>
      <c r="W27" s="63">
        <f>W$2-Assumptions!$B$76+1</f>
        <v>19.0</v>
      </c>
      <c r="X27" s="63">
        <f>X$2-Assumptions!$B$76+1</f>
        <v>20.0</v>
      </c>
      <c r="Y27" s="63">
        <f>Y$2-Assumptions!$B$76+1</f>
        <v>21.0</v>
      </c>
      <c r="Z27" s="63">
        <f>Z$2-Assumptions!$B$76+1</f>
        <v>22.0</v>
      </c>
    </row>
    <row r="28">
      <c r="A28" s="13" t="inlineStr">
        <is>
          <t>Net sales, unrisked</t>
        </is>
      </c>
      <c r="C28" s="52">
        <f>IF(C$2&gt;Assumptions!$B$85,0*(1-Assumptions!$B$86),IF(C27&gt;=1,Assumptions!$B$77*CHOOSE(Assumptions!$B$84,INDEX(Assumptions!$B$42:$H$42,MIN(C27,7)),INDEX(Assumptions!$B$43:$H$43,MIN(C27,7))),0))</f>
        <v>0</v>
      </c>
      <c r="D28" s="52">
        <f>IF(D$2&gt;Assumptions!$B$85,C28*(1-Assumptions!$B$86),IF(D27&gt;=1,Assumptions!$B$77*CHOOSE(Assumptions!$B$84,INDEX(Assumptions!$B$42:$H$42,MIN(D27,7)),INDEX(Assumptions!$B$43:$H$43,MIN(D27,7))),0))</f>
        <v>0</v>
      </c>
      <c r="E28" s="52">
        <f>IF(E$2&gt;Assumptions!$B$85,D28*(1-Assumptions!$B$86),IF(E27&gt;=1,Assumptions!$B$77*CHOOSE(Assumptions!$B$84,INDEX(Assumptions!$B$42:$H$42,MIN(E27,7)),INDEX(Assumptions!$B$43:$H$43,MIN(E27,7))),0))</f>
        <v>250.0</v>
      </c>
      <c r="F28" s="52">
        <f>IF(F$2&gt;Assumptions!$B$85,E28*(1-Assumptions!$B$86),IF(F27&gt;=1,Assumptions!$B$77*CHOOSE(Assumptions!$B$84,INDEX(Assumptions!$B$42:$H$42,MIN(F27,7)),INDEX(Assumptions!$B$43:$H$43,MIN(F27,7))),0))</f>
        <v>625.0</v>
      </c>
      <c r="G28" s="52">
        <f>IF(G$2&gt;Assumptions!$B$85,F28*(1-Assumptions!$B$86),IF(G27&gt;=1,Assumptions!$B$77*CHOOSE(Assumptions!$B$84,INDEX(Assumptions!$B$42:$H$42,MIN(G27,7)),INDEX(Assumptions!$B$43:$H$43,MIN(G27,7))),0))</f>
        <v>1125.0</v>
      </c>
      <c r="H28" s="52">
        <f>IF(H$2&gt;Assumptions!$B$85,G28*(1-Assumptions!$B$86),IF(H27&gt;=1,Assumptions!$B$77*CHOOSE(Assumptions!$B$84,INDEX(Assumptions!$B$42:$H$42,MIN(H27,7)),INDEX(Assumptions!$B$43:$H$43,MIN(H27,7))),0))</f>
        <v>1625.0</v>
      </c>
      <c r="I28" s="52">
        <f>IF(I$2&gt;Assumptions!$B$85,H28*(1-Assumptions!$B$86),IF(I27&gt;=1,Assumptions!$B$77*CHOOSE(Assumptions!$B$84,INDEX(Assumptions!$B$42:$H$42,MIN(I27,7)),INDEX(Assumptions!$B$43:$H$43,MIN(I27,7))),0))</f>
        <v>2050.0</v>
      </c>
      <c r="J28" s="52">
        <f>IF(J$2&gt;Assumptions!$B$85,I28*(1-Assumptions!$B$86),IF(J27&gt;=1,Assumptions!$B$77*CHOOSE(Assumptions!$B$84,INDEX(Assumptions!$B$42:$H$42,MIN(J27,7)),INDEX(Assumptions!$B$43:$H$43,MIN(J27,7))),0))</f>
        <v>2325.0</v>
      </c>
      <c r="K28" s="52">
        <f>IF(K$2&gt;Assumptions!$B$85,J28*(1-Assumptions!$B$86),IF(K27&gt;=1,Assumptions!$B$77*CHOOSE(Assumptions!$B$84,INDEX(Assumptions!$B$42:$H$42,MIN(K27,7)),INDEX(Assumptions!$B$43:$H$43,MIN(K27,7))),0))</f>
        <v>2500.0</v>
      </c>
      <c r="L28" s="52">
        <f>IF(L$2&gt;Assumptions!$B$85,K28*(1-Assumptions!$B$86),IF(L27&gt;=1,Assumptions!$B$77*CHOOSE(Assumptions!$B$84,INDEX(Assumptions!$B$42:$H$42,MIN(L27,7)),INDEX(Assumptions!$B$43:$H$43,MIN(L27,7))),0))</f>
        <v>2500.0</v>
      </c>
      <c r="M28" s="52">
        <f>IF(M$2&gt;Assumptions!$B$85,L28*(1-Assumptions!$B$86),IF(M27&gt;=1,Assumptions!$B$77*CHOOSE(Assumptions!$B$84,INDEX(Assumptions!$B$42:$H$42,MIN(M27,7)),INDEX(Assumptions!$B$43:$H$43,MIN(M27,7))),0))</f>
        <v>2500.0</v>
      </c>
      <c r="N28" s="52">
        <f>IF(N$2&gt;Assumptions!$B$85,M28*(1-Assumptions!$B$86),IF(N27&gt;=1,Assumptions!$B$77*CHOOSE(Assumptions!$B$84,INDEX(Assumptions!$B$42:$H$42,MIN(N27,7)),INDEX(Assumptions!$B$43:$H$43,MIN(N27,7))),0))</f>
        <v>2500.0</v>
      </c>
      <c r="O28" s="52">
        <f>IF(O$2&gt;Assumptions!$B$85,N28*(1-Assumptions!$B$86),IF(O27&gt;=1,Assumptions!$B$77*CHOOSE(Assumptions!$B$84,INDEX(Assumptions!$B$42:$H$42,MIN(O27,7)),INDEX(Assumptions!$B$43:$H$43,MIN(O27,7))),0))</f>
        <v>2500.0</v>
      </c>
      <c r="P28" s="52">
        <f>IF(P$2&gt;Assumptions!$B$85,O28*(1-Assumptions!$B$86),IF(P27&gt;=1,Assumptions!$B$77*CHOOSE(Assumptions!$B$84,INDEX(Assumptions!$B$42:$H$42,MIN(P27,7)),INDEX(Assumptions!$B$43:$H$43,MIN(P27,7))),0))</f>
        <v>2500.0</v>
      </c>
      <c r="Q28" s="52">
        <f>IF(Q$2&gt;Assumptions!$B$85,P28*(1-Assumptions!$B$86),IF(Q27&gt;=1,Assumptions!$B$77*CHOOSE(Assumptions!$B$84,INDEX(Assumptions!$B$42:$H$42,MIN(Q27,7)),INDEX(Assumptions!$B$43:$H$43,MIN(Q27,7))),0))</f>
        <v>2500.0</v>
      </c>
      <c r="R28" s="52">
        <f>IF(R$2&gt;Assumptions!$B$85,Q28*(1-Assumptions!$B$86),IF(R27&gt;=1,Assumptions!$B$77*CHOOSE(Assumptions!$B$84,INDEX(Assumptions!$B$42:$H$42,MIN(R27,7)),INDEX(Assumptions!$B$43:$H$43,MIN(R27,7))),0))</f>
        <v>1250.0</v>
      </c>
      <c r="S28" s="52">
        <f>IF(S$2&gt;Assumptions!$B$85,R28*(1-Assumptions!$B$86),IF(S27&gt;=1,Assumptions!$B$77*CHOOSE(Assumptions!$B$84,INDEX(Assumptions!$B$42:$H$42,MIN(S27,7)),INDEX(Assumptions!$B$43:$H$43,MIN(S27,7))),0))</f>
        <v>625.0</v>
      </c>
      <c r="T28" s="52">
        <f>IF(T$2&gt;Assumptions!$B$85,S28*(1-Assumptions!$B$86),IF(T27&gt;=1,Assumptions!$B$77*CHOOSE(Assumptions!$B$84,INDEX(Assumptions!$B$42:$H$42,MIN(T27,7)),INDEX(Assumptions!$B$43:$H$43,MIN(T27,7))),0))</f>
        <v>312.5</v>
      </c>
      <c r="U28" s="52">
        <f>IF(U$2&gt;Assumptions!$B$85,T28*(1-Assumptions!$B$86),IF(U27&gt;=1,Assumptions!$B$77*CHOOSE(Assumptions!$B$84,INDEX(Assumptions!$B$42:$H$42,MIN(U27,7)),INDEX(Assumptions!$B$43:$H$43,MIN(U27,7))),0))</f>
        <v>156.25</v>
      </c>
      <c r="V28" s="52">
        <f>IF(V$2&gt;Assumptions!$B$85,U28*(1-Assumptions!$B$86),IF(V27&gt;=1,Assumptions!$B$77*CHOOSE(Assumptions!$B$84,INDEX(Assumptions!$B$42:$H$42,MIN(V27,7)),INDEX(Assumptions!$B$43:$H$43,MIN(V27,7))),0))</f>
        <v>78.125</v>
      </c>
      <c r="W28" s="52">
        <f>IF(W$2&gt;Assumptions!$B$85,V28*(1-Assumptions!$B$86),IF(W27&gt;=1,Assumptions!$B$77*CHOOSE(Assumptions!$B$84,INDEX(Assumptions!$B$42:$H$42,MIN(W27,7)),INDEX(Assumptions!$B$43:$H$43,MIN(W27,7))),0))</f>
        <v>39.0625</v>
      </c>
      <c r="X28" s="52">
        <f>IF(X$2&gt;Assumptions!$B$85,W28*(1-Assumptions!$B$86),IF(X27&gt;=1,Assumptions!$B$77*CHOOSE(Assumptions!$B$84,INDEX(Assumptions!$B$42:$H$42,MIN(X27,7)),INDEX(Assumptions!$B$43:$H$43,MIN(X27,7))),0))</f>
        <v>19.53125</v>
      </c>
      <c r="Y28" s="52">
        <f>IF(Y$2&gt;Assumptions!$B$85,X28*(1-Assumptions!$B$86),IF(Y27&gt;=1,Assumptions!$B$77*CHOOSE(Assumptions!$B$84,INDEX(Assumptions!$B$42:$H$42,MIN(Y27,7)),INDEX(Assumptions!$B$43:$H$43,MIN(Y27,7))),0))</f>
        <v>9.765625</v>
      </c>
      <c r="Z28" s="52">
        <f>IF(Z$2&gt;Assumptions!$B$85,Y28*(1-Assumptions!$B$86),IF(Z27&gt;=1,Assumptions!$B$77*CHOOSE(Assumptions!$B$84,INDEX(Assumptions!$B$42:$H$42,MIN(Z27,7)),INDEX(Assumptions!$B$43:$H$43,MIN(Z27,7))),0))</f>
        <v>4.8828125</v>
      </c>
    </row>
    <row r="29">
      <c r="A29" s="13" t="inlineStr">
        <is>
          <t>Product net sales, risk-adjusted</t>
        </is>
      </c>
      <c r="C29" s="52">
        <f>C28*MIN(1,Assumptions!$B$78*Assumptions!$B$37)</f>
        <v>0.0</v>
      </c>
      <c r="D29" s="52">
        <f>D28*MIN(1,Assumptions!$B$78*Assumptions!$B$37)</f>
        <v>0.0</v>
      </c>
      <c r="E29" s="52">
        <f>E28*MIN(1,Assumptions!$B$78*Assumptions!$B$37)</f>
        <v>112.5</v>
      </c>
      <c r="F29" s="52">
        <f>F28*MIN(1,Assumptions!$B$78*Assumptions!$B$37)</f>
        <v>281.25</v>
      </c>
      <c r="G29" s="52">
        <f>G28*MIN(1,Assumptions!$B$78*Assumptions!$B$37)</f>
        <v>506.25</v>
      </c>
      <c r="H29" s="52">
        <f>H28*MIN(1,Assumptions!$B$78*Assumptions!$B$37)</f>
        <v>731.25</v>
      </c>
      <c r="I29" s="52">
        <f>I28*MIN(1,Assumptions!$B$78*Assumptions!$B$37)</f>
        <v>922.5</v>
      </c>
      <c r="J29" s="52">
        <f>J28*MIN(1,Assumptions!$B$78*Assumptions!$B$37)</f>
        <v>1046.25</v>
      </c>
      <c r="K29" s="52">
        <f>K28*MIN(1,Assumptions!$B$78*Assumptions!$B$37)</f>
        <v>1125.0</v>
      </c>
      <c r="L29" s="52">
        <f>L28*MIN(1,Assumptions!$B$78*Assumptions!$B$37)</f>
        <v>1125.0</v>
      </c>
      <c r="M29" s="52">
        <f>M28*MIN(1,Assumptions!$B$78*Assumptions!$B$37)</f>
        <v>1125.0</v>
      </c>
      <c r="N29" s="52">
        <f>N28*MIN(1,Assumptions!$B$78*Assumptions!$B$37)</f>
        <v>1125.0</v>
      </c>
      <c r="O29" s="52">
        <f>O28*MIN(1,Assumptions!$B$78*Assumptions!$B$37)</f>
        <v>1125.0</v>
      </c>
      <c r="P29" s="52">
        <f>P28*MIN(1,Assumptions!$B$78*Assumptions!$B$37)</f>
        <v>1125.0</v>
      </c>
      <c r="Q29" s="52">
        <f>Q28*MIN(1,Assumptions!$B$78*Assumptions!$B$37)</f>
        <v>1125.0</v>
      </c>
      <c r="R29" s="52">
        <f>R28*MIN(1,Assumptions!$B$78*Assumptions!$B$37)</f>
        <v>562.5</v>
      </c>
      <c r="S29" s="52">
        <f>S28*MIN(1,Assumptions!$B$78*Assumptions!$B$37)</f>
        <v>281.25</v>
      </c>
      <c r="T29" s="52">
        <f>T28*MIN(1,Assumptions!$B$78*Assumptions!$B$37)</f>
        <v>140.625</v>
      </c>
      <c r="U29" s="52">
        <f>U28*MIN(1,Assumptions!$B$78*Assumptions!$B$37)</f>
        <v>70.3125</v>
      </c>
      <c r="V29" s="52">
        <f>V28*MIN(1,Assumptions!$B$78*Assumptions!$B$37)</f>
        <v>35.15625</v>
      </c>
      <c r="W29" s="52">
        <f>W28*MIN(1,Assumptions!$B$78*Assumptions!$B$37)</f>
        <v>17.578125</v>
      </c>
      <c r="X29" s="52">
        <f>X28*MIN(1,Assumptions!$B$78*Assumptions!$B$37)</f>
        <v>8.7890625</v>
      </c>
      <c r="Y29" s="52">
        <f>Y28*MIN(1,Assumptions!$B$78*Assumptions!$B$37)</f>
        <v>4.39453125</v>
      </c>
      <c r="Z29" s="52">
        <f>Z28*MIN(1,Assumptions!$B$78*Assumptions!$B$37)</f>
        <v>2.197265625</v>
      </c>
    </row>
    <row r="30">
      <c r="A30" s="13" t="inlineStr">
        <is>
          <t>Company revenue, risk-adjusted (incl. milestones)</t>
        </is>
      </c>
      <c r="C30" s="52">
        <f>C29*Assumptions!$B$79</f>
        <v>0.0</v>
      </c>
      <c r="D30" s="52">
        <f>D29*Assumptions!$B$79</f>
        <v>0.0</v>
      </c>
      <c r="E30" s="52">
        <f>E29*Assumptions!$B$79</f>
        <v>112.5</v>
      </c>
      <c r="F30" s="52">
        <f>F29*Assumptions!$B$79</f>
        <v>281.25</v>
      </c>
      <c r="G30" s="52">
        <f>G29*Assumptions!$B$79</f>
        <v>506.25</v>
      </c>
      <c r="H30" s="52">
        <f>H29*Assumptions!$B$79</f>
        <v>731.25</v>
      </c>
      <c r="I30" s="52">
        <f>I29*Assumptions!$B$79</f>
        <v>922.5</v>
      </c>
      <c r="J30" s="52">
        <f>J29*Assumptions!$B$79</f>
        <v>1046.25</v>
      </c>
      <c r="K30" s="52">
        <f>K29*Assumptions!$B$79</f>
        <v>1125.0</v>
      </c>
      <c r="L30" s="52">
        <f>L29*Assumptions!$B$79</f>
        <v>1125.0</v>
      </c>
      <c r="M30" s="52">
        <f>M29*Assumptions!$B$79</f>
        <v>1125.0</v>
      </c>
      <c r="N30" s="52">
        <f>N29*Assumptions!$B$79</f>
        <v>1125.0</v>
      </c>
      <c r="O30" s="52">
        <f>O29*Assumptions!$B$79</f>
        <v>1125.0</v>
      </c>
      <c r="P30" s="52">
        <f>P29*Assumptions!$B$79</f>
        <v>1125.0</v>
      </c>
      <c r="Q30" s="52">
        <f>Q29*Assumptions!$B$79</f>
        <v>1125.0</v>
      </c>
      <c r="R30" s="52">
        <f>R29*Assumptions!$B$79</f>
        <v>562.5</v>
      </c>
      <c r="S30" s="52">
        <f>S29*Assumptions!$B$79</f>
        <v>281.25</v>
      </c>
      <c r="T30" s="52">
        <f>T29*Assumptions!$B$79</f>
        <v>140.625</v>
      </c>
      <c r="U30" s="52">
        <f>U29*Assumptions!$B$79</f>
        <v>70.3125</v>
      </c>
      <c r="V30" s="52">
        <f>V29*Assumptions!$B$79</f>
        <v>35.15625</v>
      </c>
      <c r="W30" s="52">
        <f>W29*Assumptions!$B$79</f>
        <v>17.578125</v>
      </c>
      <c r="X30" s="52">
        <f>X29*Assumptions!$B$79</f>
        <v>8.7890625</v>
      </c>
      <c r="Y30" s="52">
        <f>Y29*Assumptions!$B$79</f>
        <v>4.39453125</v>
      </c>
      <c r="Z30" s="52">
        <f>Z29*Assumptions!$B$79</f>
        <v>2.197265625</v>
      </c>
    </row>
    <row r="31">
      <c r="A31" s="13" t="inlineStr">
        <is>
          <t>COGS + royalties, risk-adjusted</t>
        </is>
      </c>
      <c r="C31" s="52">
        <f>C29*(Assumptions!$B$80+Assumptions!$B$81)</f>
        <v>0.0</v>
      </c>
      <c r="D31" s="52">
        <f>D29*(Assumptions!$B$80+Assumptions!$B$81)</f>
        <v>0.0</v>
      </c>
      <c r="E31" s="52">
        <f>E29*(Assumptions!$B$80+Assumptions!$B$81)</f>
        <v>22.5</v>
      </c>
      <c r="F31" s="52">
        <f>F29*(Assumptions!$B$80+Assumptions!$B$81)</f>
        <v>56.25</v>
      </c>
      <c r="G31" s="52">
        <f>G29*(Assumptions!$B$80+Assumptions!$B$81)</f>
        <v>101.25</v>
      </c>
      <c r="H31" s="52">
        <f>H29*(Assumptions!$B$80+Assumptions!$B$81)</f>
        <v>146.25</v>
      </c>
      <c r="I31" s="52">
        <f>I29*(Assumptions!$B$80+Assumptions!$B$81)</f>
        <v>184.5</v>
      </c>
      <c r="J31" s="52">
        <f>J29*(Assumptions!$B$80+Assumptions!$B$81)</f>
        <v>209.25</v>
      </c>
      <c r="K31" s="52">
        <f>K29*(Assumptions!$B$80+Assumptions!$B$81)</f>
        <v>225.0</v>
      </c>
      <c r="L31" s="52">
        <f>L29*(Assumptions!$B$80+Assumptions!$B$81)</f>
        <v>225.0</v>
      </c>
      <c r="M31" s="52">
        <f>M29*(Assumptions!$B$80+Assumptions!$B$81)</f>
        <v>225.0</v>
      </c>
      <c r="N31" s="52">
        <f>N29*(Assumptions!$B$80+Assumptions!$B$81)</f>
        <v>225.0</v>
      </c>
      <c r="O31" s="52">
        <f>O29*(Assumptions!$B$80+Assumptions!$B$81)</f>
        <v>225.0</v>
      </c>
      <c r="P31" s="52">
        <f>P29*(Assumptions!$B$80+Assumptions!$B$81)</f>
        <v>225.0</v>
      </c>
      <c r="Q31" s="52">
        <f>Q29*(Assumptions!$B$80+Assumptions!$B$81)</f>
        <v>225.0</v>
      </c>
      <c r="R31" s="52">
        <f>R29*(Assumptions!$B$80+Assumptions!$B$81)</f>
        <v>112.5</v>
      </c>
      <c r="S31" s="52">
        <f>S29*(Assumptions!$B$80+Assumptions!$B$81)</f>
        <v>56.25</v>
      </c>
      <c r="T31" s="52">
        <f>T29*(Assumptions!$B$80+Assumptions!$B$81)</f>
        <v>28.125</v>
      </c>
      <c r="U31" s="52">
        <f>U29*(Assumptions!$B$80+Assumptions!$B$81)</f>
        <v>14.0625</v>
      </c>
      <c r="V31" s="52">
        <f>V29*(Assumptions!$B$80+Assumptions!$B$81)</f>
        <v>7.03125</v>
      </c>
      <c r="W31" s="52">
        <f>W29*(Assumptions!$B$80+Assumptions!$B$81)</f>
        <v>3.515625</v>
      </c>
      <c r="X31" s="52">
        <f>X29*(Assumptions!$B$80+Assumptions!$B$81)</f>
        <v>1.7578125</v>
      </c>
      <c r="Y31" s="52">
        <f>Y29*(Assumptions!$B$80+Assumptions!$B$81)</f>
        <v>0.87890625</v>
      </c>
      <c r="Z31" s="52">
        <f>Z29*(Assumptions!$B$80+Assumptions!$B$81)</f>
        <v>0.439453125</v>
      </c>
    </row>
    <row r="32">
      <c r="A32" s="13" t="inlineStr">
        <is>
          <t>Commercial SG&amp;A, risk-adjusted</t>
        </is>
      </c>
      <c r="C32" s="52">
        <f>MIN(1,Assumptions!$B$78*Assumptions!$B$37)*IF(Assumptions!$B$82=0,0,IF(C27=0,Assumptions!$B$83,IF(C27&gt;=1,C28*IF(OR(Assumptions!$B$79&lt;1,C27&gt;5),Assumptions!$B$82,MAX(Assumptions!$B$82,INDEX(Assumptions!$B$44:$F$44,C27))),0)))</f>
        <v>0.0</v>
      </c>
      <c r="D32" s="52">
        <f>MIN(1,Assumptions!$B$78*Assumptions!$B$37)*IF(Assumptions!$B$82=0,0,IF(D27=0,Assumptions!$B$83,IF(D27&gt;=1,D28*IF(OR(Assumptions!$B$79&lt;1,D27&gt;5),Assumptions!$B$82,MAX(Assumptions!$B$82,INDEX(Assumptions!$B$44:$F$44,D27))),0)))</f>
        <v>9.0</v>
      </c>
      <c r="E32" s="52">
        <f>MIN(1,Assumptions!$B$78*Assumptions!$B$37)*IF(Assumptions!$B$82=0,0,IF(E27=0,Assumptions!$B$83,IF(E27&gt;=1,E28*IF(OR(Assumptions!$B$79&lt;1,E27&gt;5),Assumptions!$B$82,MAX(Assumptions!$B$82,INDEX(Assumptions!$B$44:$F$44,E27))),0)))</f>
        <v>101.25</v>
      </c>
      <c r="F32" s="52">
        <f>MIN(1,Assumptions!$B$78*Assumptions!$B$37)*IF(Assumptions!$B$82=0,0,IF(F27=0,Assumptions!$B$83,IF(F27&gt;=1,F28*IF(OR(Assumptions!$B$79&lt;1,F27&gt;5),Assumptions!$B$82,MAX(Assumptions!$B$82,INDEX(Assumptions!$B$44:$F$44,F27))),0)))</f>
        <v>154.6875</v>
      </c>
      <c r="G32" s="52">
        <f>MIN(1,Assumptions!$B$78*Assumptions!$B$37)*IF(Assumptions!$B$82=0,0,IF(G27=0,Assumptions!$B$83,IF(G27&gt;=1,G28*IF(OR(Assumptions!$B$79&lt;1,G27&gt;5),Assumptions!$B$82,MAX(Assumptions!$B$82,INDEX(Assumptions!$B$44:$F$44,G27))),0)))</f>
        <v>202.5</v>
      </c>
      <c r="H32" s="52">
        <f>MIN(1,Assumptions!$B$78*Assumptions!$B$37)*IF(Assumptions!$B$82=0,0,IF(H27=0,Assumptions!$B$83,IF(H27&gt;=1,H28*IF(OR(Assumptions!$B$79&lt;1,H27&gt;5),Assumptions!$B$82,MAX(Assumptions!$B$82,INDEX(Assumptions!$B$44:$F$44,H27))),0)))</f>
        <v>234.0</v>
      </c>
      <c r="I32" s="52">
        <f>MIN(1,Assumptions!$B$78*Assumptions!$B$37)*IF(Assumptions!$B$82=0,0,IF(I27=0,Assumptions!$B$83,IF(I27&gt;=1,I28*IF(OR(Assumptions!$B$79&lt;1,I27&gt;5),Assumptions!$B$82,MAX(Assumptions!$B$82,INDEX(Assumptions!$B$44:$F$44,I27))),0)))</f>
        <v>258.3</v>
      </c>
      <c r="J32" s="52">
        <f>MIN(1,Assumptions!$B$78*Assumptions!$B$37)*IF(Assumptions!$B$82=0,0,IF(J27=0,Assumptions!$B$83,IF(J27&gt;=1,J28*IF(OR(Assumptions!$B$79&lt;1,J27&gt;5),Assumptions!$B$82,MAX(Assumptions!$B$82,INDEX(Assumptions!$B$44:$F$44,J27))),0)))</f>
        <v>209.25</v>
      </c>
      <c r="K32" s="52">
        <f>MIN(1,Assumptions!$B$78*Assumptions!$B$37)*IF(Assumptions!$B$82=0,0,IF(K27=0,Assumptions!$B$83,IF(K27&gt;=1,K28*IF(OR(Assumptions!$B$79&lt;1,K27&gt;5),Assumptions!$B$82,MAX(Assumptions!$B$82,INDEX(Assumptions!$B$44:$F$44,K27))),0)))</f>
        <v>225.0</v>
      </c>
      <c r="L32" s="52">
        <f>MIN(1,Assumptions!$B$78*Assumptions!$B$37)*IF(Assumptions!$B$82=0,0,IF(L27=0,Assumptions!$B$83,IF(L27&gt;=1,L28*IF(OR(Assumptions!$B$79&lt;1,L27&gt;5),Assumptions!$B$82,MAX(Assumptions!$B$82,INDEX(Assumptions!$B$44:$F$44,L27))),0)))</f>
        <v>225.0</v>
      </c>
      <c r="M32" s="52">
        <f>MIN(1,Assumptions!$B$78*Assumptions!$B$37)*IF(Assumptions!$B$82=0,0,IF(M27=0,Assumptions!$B$83,IF(M27&gt;=1,M28*IF(OR(Assumptions!$B$79&lt;1,M27&gt;5),Assumptions!$B$82,MAX(Assumptions!$B$82,INDEX(Assumptions!$B$44:$F$44,M27))),0)))</f>
        <v>225.0</v>
      </c>
      <c r="N32" s="52">
        <f>MIN(1,Assumptions!$B$78*Assumptions!$B$37)*IF(Assumptions!$B$82=0,0,IF(N27=0,Assumptions!$B$83,IF(N27&gt;=1,N28*IF(OR(Assumptions!$B$79&lt;1,N27&gt;5),Assumptions!$B$82,MAX(Assumptions!$B$82,INDEX(Assumptions!$B$44:$F$44,N27))),0)))</f>
        <v>225.0</v>
      </c>
      <c r="O32" s="52">
        <f>MIN(1,Assumptions!$B$78*Assumptions!$B$37)*IF(Assumptions!$B$82=0,0,IF(O27=0,Assumptions!$B$83,IF(O27&gt;=1,O28*IF(OR(Assumptions!$B$79&lt;1,O27&gt;5),Assumptions!$B$82,MAX(Assumptions!$B$82,INDEX(Assumptions!$B$44:$F$44,O27))),0)))</f>
        <v>225.0</v>
      </c>
      <c r="P32" s="52">
        <f>MIN(1,Assumptions!$B$78*Assumptions!$B$37)*IF(Assumptions!$B$82=0,0,IF(P27=0,Assumptions!$B$83,IF(P27&gt;=1,P28*IF(OR(Assumptions!$B$79&lt;1,P27&gt;5),Assumptions!$B$82,MAX(Assumptions!$B$82,INDEX(Assumptions!$B$44:$F$44,P27))),0)))</f>
        <v>225.0</v>
      </c>
      <c r="Q32" s="52">
        <f>MIN(1,Assumptions!$B$78*Assumptions!$B$37)*IF(Assumptions!$B$82=0,0,IF(Q27=0,Assumptions!$B$83,IF(Q27&gt;=1,Q28*IF(OR(Assumptions!$B$79&lt;1,Q27&gt;5),Assumptions!$B$82,MAX(Assumptions!$B$82,INDEX(Assumptions!$B$44:$F$44,Q27))),0)))</f>
        <v>225.0</v>
      </c>
      <c r="R32" s="52">
        <f>MIN(1,Assumptions!$B$78*Assumptions!$B$37)*IF(Assumptions!$B$82=0,0,IF(R27=0,Assumptions!$B$83,IF(R27&gt;=1,R28*IF(OR(Assumptions!$B$79&lt;1,R27&gt;5),Assumptions!$B$82,MAX(Assumptions!$B$82,INDEX(Assumptions!$B$44:$F$44,R27))),0)))</f>
        <v>112.5</v>
      </c>
      <c r="S32" s="52">
        <f>MIN(1,Assumptions!$B$78*Assumptions!$B$37)*IF(Assumptions!$B$82=0,0,IF(S27=0,Assumptions!$B$83,IF(S27&gt;=1,S28*IF(OR(Assumptions!$B$79&lt;1,S27&gt;5),Assumptions!$B$82,MAX(Assumptions!$B$82,INDEX(Assumptions!$B$44:$F$44,S27))),0)))</f>
        <v>56.25</v>
      </c>
      <c r="T32" s="52">
        <f>MIN(1,Assumptions!$B$78*Assumptions!$B$37)*IF(Assumptions!$B$82=0,0,IF(T27=0,Assumptions!$B$83,IF(T27&gt;=1,T28*IF(OR(Assumptions!$B$79&lt;1,T27&gt;5),Assumptions!$B$82,MAX(Assumptions!$B$82,INDEX(Assumptions!$B$44:$F$44,T27))),0)))</f>
        <v>28.125</v>
      </c>
      <c r="U32" s="52">
        <f>MIN(1,Assumptions!$B$78*Assumptions!$B$37)*IF(Assumptions!$B$82=0,0,IF(U27=0,Assumptions!$B$83,IF(U27&gt;=1,U28*IF(OR(Assumptions!$B$79&lt;1,U27&gt;5),Assumptions!$B$82,MAX(Assumptions!$B$82,INDEX(Assumptions!$B$44:$F$44,U27))),0)))</f>
        <v>14.0625</v>
      </c>
      <c r="V32" s="52">
        <f>MIN(1,Assumptions!$B$78*Assumptions!$B$37)*IF(Assumptions!$B$82=0,0,IF(V27=0,Assumptions!$B$83,IF(V27&gt;=1,V28*IF(OR(Assumptions!$B$79&lt;1,V27&gt;5),Assumptions!$B$82,MAX(Assumptions!$B$82,INDEX(Assumptions!$B$44:$F$44,V27))),0)))</f>
        <v>7.03125</v>
      </c>
      <c r="W32" s="52">
        <f>MIN(1,Assumptions!$B$78*Assumptions!$B$37)*IF(Assumptions!$B$82=0,0,IF(W27=0,Assumptions!$B$83,IF(W27&gt;=1,W28*IF(OR(Assumptions!$B$79&lt;1,W27&gt;5),Assumptions!$B$82,MAX(Assumptions!$B$82,INDEX(Assumptions!$B$44:$F$44,W27))),0)))</f>
        <v>3.515625</v>
      </c>
      <c r="X32" s="52">
        <f>MIN(1,Assumptions!$B$78*Assumptions!$B$37)*IF(Assumptions!$B$82=0,0,IF(X27=0,Assumptions!$B$83,IF(X27&gt;=1,X28*IF(OR(Assumptions!$B$79&lt;1,X27&gt;5),Assumptions!$B$82,MAX(Assumptions!$B$82,INDEX(Assumptions!$B$44:$F$44,X27))),0)))</f>
        <v>1.7578125</v>
      </c>
      <c r="Y32" s="52">
        <f>MIN(1,Assumptions!$B$78*Assumptions!$B$37)*IF(Assumptions!$B$82=0,0,IF(Y27=0,Assumptions!$B$83,IF(Y27&gt;=1,Y28*IF(OR(Assumptions!$B$79&lt;1,Y27&gt;5),Assumptions!$B$82,MAX(Assumptions!$B$82,INDEX(Assumptions!$B$44:$F$44,Y27))),0)))</f>
        <v>0.87890625</v>
      </c>
      <c r="Z32" s="52">
        <f>MIN(1,Assumptions!$B$78*Assumptions!$B$37)*IF(Assumptions!$B$82=0,0,IF(Z27=0,Assumptions!$B$83,IF(Z27&gt;=1,Z28*IF(OR(Assumptions!$B$79&lt;1,Z27&gt;5),Assumptions!$B$82,MAX(Assumptions!$B$82,INDEX(Assumptions!$B$44:$F$44,Z27))),0)))</f>
        <v>0.439453125</v>
      </c>
    </row>
    <row r="33">
      <c r="A33" s="13" t="inlineStr">
        <is>
          <t>Development R&amp;D, risk-adjusted</t>
        </is>
      </c>
      <c r="C33" s="52">
        <f>IFERROR(INDEX(Assumptions!$B$88:$I$88,MATCH(C$2,Assumptions!$B$87:$I$87,0))*INDEX(Assumptions!$B$89:$I$89,MATCH(C$2,Assumptions!$B$87:$I$87,0)),0)</f>
        <v>120.0</v>
      </c>
      <c r="D33" s="52">
        <f>IFERROR(INDEX(Assumptions!$B$88:$I$88,MATCH(D$2,Assumptions!$B$87:$I$87,0))*INDEX(Assumptions!$B$89:$I$89,MATCH(D$2,Assumptions!$B$87:$I$87,0)),0)</f>
        <v>80.0</v>
      </c>
      <c r="E33" s="52">
        <f>IFERROR(INDEX(Assumptions!$B$88:$I$88,MATCH(E$2,Assumptions!$B$87:$I$87,0))*INDEX(Assumptions!$B$89:$I$89,MATCH(E$2,Assumptions!$B$87:$I$87,0)),0)</f>
        <v>0.0</v>
      </c>
      <c r="F33" s="52">
        <f>IFERROR(INDEX(Assumptions!$B$88:$I$88,MATCH(F$2,Assumptions!$B$87:$I$87,0))*INDEX(Assumptions!$B$89:$I$89,MATCH(F$2,Assumptions!$B$87:$I$87,0)),0)</f>
        <v>0.0</v>
      </c>
      <c r="G33" s="52">
        <f>IFERROR(INDEX(Assumptions!$B$88:$I$88,MATCH(G$2,Assumptions!$B$87:$I$87,0))*INDEX(Assumptions!$B$89:$I$89,MATCH(G$2,Assumptions!$B$87:$I$87,0)),0)</f>
        <v>0.0</v>
      </c>
      <c r="H33" s="52">
        <f>IFERROR(INDEX(Assumptions!$B$88:$I$88,MATCH(H$2,Assumptions!$B$87:$I$87,0))*INDEX(Assumptions!$B$89:$I$89,MATCH(H$2,Assumptions!$B$87:$I$87,0)),0)</f>
        <v>0.0</v>
      </c>
      <c r="I33" s="52">
        <f>IFERROR(INDEX(Assumptions!$B$88:$I$88,MATCH(I$2,Assumptions!$B$87:$I$87,0))*INDEX(Assumptions!$B$89:$I$89,MATCH(I$2,Assumptions!$B$87:$I$87,0)),0)</f>
        <v>0.0</v>
      </c>
      <c r="J33" s="52">
        <f>IFERROR(INDEX(Assumptions!$B$88:$I$88,MATCH(J$2,Assumptions!$B$87:$I$87,0))*INDEX(Assumptions!$B$89:$I$89,MATCH(J$2,Assumptions!$B$87:$I$87,0)),0)</f>
        <v>0.0</v>
      </c>
      <c r="K33" s="52">
        <f>IFERROR(INDEX(Assumptions!$B$88:$I$88,MATCH(K$2,Assumptions!$B$87:$I$87,0))*INDEX(Assumptions!$B$89:$I$89,MATCH(K$2,Assumptions!$B$87:$I$87,0)),0)</f>
        <v>0</v>
      </c>
      <c r="L33" s="52">
        <f>IFERROR(INDEX(Assumptions!$B$88:$I$88,MATCH(L$2,Assumptions!$B$87:$I$87,0))*INDEX(Assumptions!$B$89:$I$89,MATCH(L$2,Assumptions!$B$87:$I$87,0)),0)</f>
        <v>0</v>
      </c>
      <c r="M33" s="52">
        <f>IFERROR(INDEX(Assumptions!$B$88:$I$88,MATCH(M$2,Assumptions!$B$87:$I$87,0))*INDEX(Assumptions!$B$89:$I$89,MATCH(M$2,Assumptions!$B$87:$I$87,0)),0)</f>
        <v>0</v>
      </c>
      <c r="N33" s="52">
        <f>IFERROR(INDEX(Assumptions!$B$88:$I$88,MATCH(N$2,Assumptions!$B$87:$I$87,0))*INDEX(Assumptions!$B$89:$I$89,MATCH(N$2,Assumptions!$B$87:$I$87,0)),0)</f>
        <v>0</v>
      </c>
      <c r="O33" s="52">
        <f>IFERROR(INDEX(Assumptions!$B$88:$I$88,MATCH(O$2,Assumptions!$B$87:$I$87,0))*INDEX(Assumptions!$B$89:$I$89,MATCH(O$2,Assumptions!$B$87:$I$87,0)),0)</f>
        <v>0</v>
      </c>
      <c r="P33" s="52">
        <f>IFERROR(INDEX(Assumptions!$B$88:$I$88,MATCH(P$2,Assumptions!$B$87:$I$87,0))*INDEX(Assumptions!$B$89:$I$89,MATCH(P$2,Assumptions!$B$87:$I$87,0)),0)</f>
        <v>0</v>
      </c>
      <c r="Q33" s="52">
        <f>IFERROR(INDEX(Assumptions!$B$88:$I$88,MATCH(Q$2,Assumptions!$B$87:$I$87,0))*INDEX(Assumptions!$B$89:$I$89,MATCH(Q$2,Assumptions!$B$87:$I$87,0)),0)</f>
        <v>0</v>
      </c>
      <c r="R33" s="52">
        <f>IFERROR(INDEX(Assumptions!$B$88:$I$88,MATCH(R$2,Assumptions!$B$87:$I$87,0))*INDEX(Assumptions!$B$89:$I$89,MATCH(R$2,Assumptions!$B$87:$I$87,0)),0)</f>
        <v>0</v>
      </c>
      <c r="S33" s="52">
        <f>IFERROR(INDEX(Assumptions!$B$88:$I$88,MATCH(S$2,Assumptions!$B$87:$I$87,0))*INDEX(Assumptions!$B$89:$I$89,MATCH(S$2,Assumptions!$B$87:$I$87,0)),0)</f>
        <v>0</v>
      </c>
      <c r="T33" s="52">
        <f>IFERROR(INDEX(Assumptions!$B$88:$I$88,MATCH(T$2,Assumptions!$B$87:$I$87,0))*INDEX(Assumptions!$B$89:$I$89,MATCH(T$2,Assumptions!$B$87:$I$87,0)),0)</f>
        <v>0</v>
      </c>
      <c r="U33" s="52">
        <f>IFERROR(INDEX(Assumptions!$B$88:$I$88,MATCH(U$2,Assumptions!$B$87:$I$87,0))*INDEX(Assumptions!$B$89:$I$89,MATCH(U$2,Assumptions!$B$87:$I$87,0)),0)</f>
        <v>0</v>
      </c>
      <c r="V33" s="52">
        <f>IFERROR(INDEX(Assumptions!$B$88:$I$88,MATCH(V$2,Assumptions!$B$87:$I$87,0))*INDEX(Assumptions!$B$89:$I$89,MATCH(V$2,Assumptions!$B$87:$I$87,0)),0)</f>
        <v>0</v>
      </c>
      <c r="W33" s="52">
        <f>IFERROR(INDEX(Assumptions!$B$88:$I$88,MATCH(W$2,Assumptions!$B$87:$I$87,0))*INDEX(Assumptions!$B$89:$I$89,MATCH(W$2,Assumptions!$B$87:$I$87,0)),0)</f>
        <v>0</v>
      </c>
      <c r="X33" s="52">
        <f>IFERROR(INDEX(Assumptions!$B$88:$I$88,MATCH(X$2,Assumptions!$B$87:$I$87,0))*INDEX(Assumptions!$B$89:$I$89,MATCH(X$2,Assumptions!$B$87:$I$87,0)),0)</f>
        <v>0</v>
      </c>
      <c r="Y33" s="52">
        <f>IFERROR(INDEX(Assumptions!$B$88:$I$88,MATCH(Y$2,Assumptions!$B$87:$I$87,0))*INDEX(Assumptions!$B$89:$I$89,MATCH(Y$2,Assumptions!$B$87:$I$87,0)),0)</f>
        <v>0</v>
      </c>
      <c r="Z33" s="52">
        <f>IFERROR(INDEX(Assumptions!$B$88:$I$88,MATCH(Z$2,Assumptions!$B$87:$I$87,0))*INDEX(Assumptions!$B$89:$I$89,MATCH(Z$2,Assumptions!$B$87:$I$87,0)),0)</f>
        <v>0</v>
      </c>
    </row>
    <row r="34">
      <c r="A34" s="23" t="inlineStr">
        <is>
          <t>Program contribution (pre-tax)</t>
        </is>
      </c>
      <c r="C34" s="56">
        <f>C30-C31-C32-C33</f>
        <v>-120.0</v>
      </c>
      <c r="D34" s="56">
        <f>D30-D31-D32-D33</f>
        <v>-89.0</v>
      </c>
      <c r="E34" s="56">
        <f>E30-E31-E32-E33</f>
        <v>-11.25</v>
      </c>
      <c r="F34" s="56">
        <f>F30-F31-F32-F33</f>
        <v>70.3125</v>
      </c>
      <c r="G34" s="56">
        <f>G30-G31-G32-G33</f>
        <v>202.5</v>
      </c>
      <c r="H34" s="56">
        <f>H30-H31-H32-H33</f>
        <v>351.0</v>
      </c>
      <c r="I34" s="56">
        <f>I30-I31-I32-I33</f>
        <v>479.7</v>
      </c>
      <c r="J34" s="56">
        <f>J30-J31-J32-J33</f>
        <v>627.75</v>
      </c>
      <c r="K34" s="56">
        <f>K30-K31-K32-K33</f>
        <v>675.0</v>
      </c>
      <c r="L34" s="56">
        <f>L30-L31-L32-L33</f>
        <v>675.0</v>
      </c>
      <c r="M34" s="56">
        <f>M30-M31-M32-M33</f>
        <v>675.0</v>
      </c>
      <c r="N34" s="56">
        <f>N30-N31-N32-N33</f>
        <v>675.0</v>
      </c>
      <c r="O34" s="56">
        <f>O30-O31-O32-O33</f>
        <v>675.0</v>
      </c>
      <c r="P34" s="56">
        <f>P30-P31-P32-P33</f>
        <v>675.0</v>
      </c>
      <c r="Q34" s="56">
        <f>Q30-Q31-Q32-Q33</f>
        <v>675.0</v>
      </c>
      <c r="R34" s="56">
        <f>R30-R31-R32-R33</f>
        <v>337.5</v>
      </c>
      <c r="S34" s="56">
        <f>S30-S31-S32-S33</f>
        <v>168.75</v>
      </c>
      <c r="T34" s="56">
        <f>T30-T31-T32-T33</f>
        <v>84.375</v>
      </c>
      <c r="U34" s="56">
        <f>U30-U31-U32-U33</f>
        <v>42.1875</v>
      </c>
      <c r="V34" s="56">
        <f>V30-V31-V32-V33</f>
        <v>21.09375</v>
      </c>
      <c r="W34" s="56">
        <f>W30-W31-W32-W33</f>
        <v>10.546875</v>
      </c>
      <c r="X34" s="56">
        <f>X30-X31-X32-X33</f>
        <v>5.2734375</v>
      </c>
      <c r="Y34" s="56">
        <f>Y30-Y31-Y32-Y33</f>
        <v>2.63671875</v>
      </c>
      <c r="Z34" s="56">
        <f>Z30-Z31-Z32-Z33</f>
        <v>1.318359375</v>
      </c>
    </row>
    <row r="36">
      <c r="A36" s="30" t="inlineStr">
        <is>
          <t>Ivonescimab — other tumors (CRC, bladder, BTC, ADC combos)</t>
        </is>
      </c>
    </row>
    <row r="37">
      <c r="A37" s="13" t="inlineStr">
        <is>
          <t>Years since launch</t>
        </is>
      </c>
      <c r="C37" s="63">
        <f>C$2-Assumptions!$B$92+1</f>
        <v>-3.0</v>
      </c>
      <c r="D37" s="63">
        <f>D$2-Assumptions!$B$92+1</f>
        <v>-2.0</v>
      </c>
      <c r="E37" s="63">
        <f>E$2-Assumptions!$B$92+1</f>
        <v>-1.0</v>
      </c>
      <c r="F37" s="63">
        <f>F$2-Assumptions!$B$92+1</f>
        <v>0.0</v>
      </c>
      <c r="G37" s="63">
        <f>G$2-Assumptions!$B$92+1</f>
        <v>1.0</v>
      </c>
      <c r="H37" s="63">
        <f>H$2-Assumptions!$B$92+1</f>
        <v>2.0</v>
      </c>
      <c r="I37" s="63">
        <f>I$2-Assumptions!$B$92+1</f>
        <v>3.0</v>
      </c>
      <c r="J37" s="63">
        <f>J$2-Assumptions!$B$92+1</f>
        <v>4.0</v>
      </c>
      <c r="K37" s="63">
        <f>K$2-Assumptions!$B$92+1</f>
        <v>5.0</v>
      </c>
      <c r="L37" s="63">
        <f>L$2-Assumptions!$B$92+1</f>
        <v>6.0</v>
      </c>
      <c r="M37" s="63">
        <f>M$2-Assumptions!$B$92+1</f>
        <v>7.0</v>
      </c>
      <c r="N37" s="63">
        <f>N$2-Assumptions!$B$92+1</f>
        <v>8.0</v>
      </c>
      <c r="O37" s="63">
        <f>O$2-Assumptions!$B$92+1</f>
        <v>9.0</v>
      </c>
      <c r="P37" s="63">
        <f>P$2-Assumptions!$B$92+1</f>
        <v>10.0</v>
      </c>
      <c r="Q37" s="63">
        <f>Q$2-Assumptions!$B$92+1</f>
        <v>11.0</v>
      </c>
      <c r="R37" s="63">
        <f>R$2-Assumptions!$B$92+1</f>
        <v>12.0</v>
      </c>
      <c r="S37" s="63">
        <f>S$2-Assumptions!$B$92+1</f>
        <v>13.0</v>
      </c>
      <c r="T37" s="63">
        <f>T$2-Assumptions!$B$92+1</f>
        <v>14.0</v>
      </c>
      <c r="U37" s="63">
        <f>U$2-Assumptions!$B$92+1</f>
        <v>15.0</v>
      </c>
      <c r="V37" s="63">
        <f>V$2-Assumptions!$B$92+1</f>
        <v>16.0</v>
      </c>
      <c r="W37" s="63">
        <f>W$2-Assumptions!$B$92+1</f>
        <v>17.0</v>
      </c>
      <c r="X37" s="63">
        <f>X$2-Assumptions!$B$92+1</f>
        <v>18.0</v>
      </c>
      <c r="Y37" s="63">
        <f>Y$2-Assumptions!$B$92+1</f>
        <v>19.0</v>
      </c>
      <c r="Z37" s="63">
        <f>Z$2-Assumptions!$B$92+1</f>
        <v>20.0</v>
      </c>
    </row>
    <row r="38">
      <c r="A38" s="13" t="inlineStr">
        <is>
          <t>Net sales, unrisked</t>
        </is>
      </c>
      <c r="C38" s="52">
        <f>IF(C$2&gt;Assumptions!$B$101,0*(1-Assumptions!$B$102),IF(C37&gt;=1,Assumptions!$B$93*CHOOSE(Assumptions!$B$100,INDEX(Assumptions!$B$42:$H$42,MIN(C37,7)),INDEX(Assumptions!$B$43:$H$43,MIN(C37,7))),0))</f>
        <v>0</v>
      </c>
      <c r="D38" s="52">
        <f>IF(D$2&gt;Assumptions!$B$101,C38*(1-Assumptions!$B$102),IF(D37&gt;=1,Assumptions!$B$93*CHOOSE(Assumptions!$B$100,INDEX(Assumptions!$B$42:$H$42,MIN(D37,7)),INDEX(Assumptions!$B$43:$H$43,MIN(D37,7))),0))</f>
        <v>0</v>
      </c>
      <c r="E38" s="52">
        <f>IF(E$2&gt;Assumptions!$B$101,D38*(1-Assumptions!$B$102),IF(E37&gt;=1,Assumptions!$B$93*CHOOSE(Assumptions!$B$100,INDEX(Assumptions!$B$42:$H$42,MIN(E37,7)),INDEX(Assumptions!$B$43:$H$43,MIN(E37,7))),0))</f>
        <v>0</v>
      </c>
      <c r="F38" s="52">
        <f>IF(F$2&gt;Assumptions!$B$101,E38*(1-Assumptions!$B$102),IF(F37&gt;=1,Assumptions!$B$93*CHOOSE(Assumptions!$B$100,INDEX(Assumptions!$B$42:$H$42,MIN(F37,7)),INDEX(Assumptions!$B$43:$H$43,MIN(F37,7))),0))</f>
        <v>0</v>
      </c>
      <c r="G38" s="52">
        <f>IF(G$2&gt;Assumptions!$B$101,F38*(1-Assumptions!$B$102),IF(G37&gt;=1,Assumptions!$B$93*CHOOSE(Assumptions!$B$100,INDEX(Assumptions!$B$42:$H$42,MIN(G37,7)),INDEX(Assumptions!$B$43:$H$43,MIN(G37,7))),0))</f>
        <v>300.0</v>
      </c>
      <c r="H38" s="52">
        <f>IF(H$2&gt;Assumptions!$B$101,G38*(1-Assumptions!$B$102),IF(H37&gt;=1,Assumptions!$B$93*CHOOSE(Assumptions!$B$100,INDEX(Assumptions!$B$42:$H$42,MIN(H37,7)),INDEX(Assumptions!$B$43:$H$43,MIN(H37,7))),0))</f>
        <v>750.0</v>
      </c>
      <c r="I38" s="52">
        <f>IF(I$2&gt;Assumptions!$B$101,H38*(1-Assumptions!$B$102),IF(I37&gt;=1,Assumptions!$B$93*CHOOSE(Assumptions!$B$100,INDEX(Assumptions!$B$42:$H$42,MIN(I37,7)),INDEX(Assumptions!$B$43:$H$43,MIN(I37,7))),0))</f>
        <v>1350.0</v>
      </c>
      <c r="J38" s="52">
        <f>IF(J$2&gt;Assumptions!$B$101,I38*(1-Assumptions!$B$102),IF(J37&gt;=1,Assumptions!$B$93*CHOOSE(Assumptions!$B$100,INDEX(Assumptions!$B$42:$H$42,MIN(J37,7)),INDEX(Assumptions!$B$43:$H$43,MIN(J37,7))),0))</f>
        <v>1950.0</v>
      </c>
      <c r="K38" s="52">
        <f>IF(K$2&gt;Assumptions!$B$101,J38*(1-Assumptions!$B$102),IF(K37&gt;=1,Assumptions!$B$93*CHOOSE(Assumptions!$B$100,INDEX(Assumptions!$B$42:$H$42,MIN(K37,7)),INDEX(Assumptions!$B$43:$H$43,MIN(K37,7))),0))</f>
        <v>2460.0</v>
      </c>
      <c r="L38" s="52">
        <f>IF(L$2&gt;Assumptions!$B$101,K38*(1-Assumptions!$B$102),IF(L37&gt;=1,Assumptions!$B$93*CHOOSE(Assumptions!$B$100,INDEX(Assumptions!$B$42:$H$42,MIN(L37,7)),INDEX(Assumptions!$B$43:$H$43,MIN(L37,7))),0))</f>
        <v>2790.0</v>
      </c>
      <c r="M38" s="52">
        <f>IF(M$2&gt;Assumptions!$B$101,L38*(1-Assumptions!$B$102),IF(M37&gt;=1,Assumptions!$B$93*CHOOSE(Assumptions!$B$100,INDEX(Assumptions!$B$42:$H$42,MIN(M37,7)),INDEX(Assumptions!$B$43:$H$43,MIN(M37,7))),0))</f>
        <v>3000.0</v>
      </c>
      <c r="N38" s="52">
        <f>IF(N$2&gt;Assumptions!$B$101,M38*(1-Assumptions!$B$102),IF(N37&gt;=1,Assumptions!$B$93*CHOOSE(Assumptions!$B$100,INDEX(Assumptions!$B$42:$H$42,MIN(N37,7)),INDEX(Assumptions!$B$43:$H$43,MIN(N37,7))),0))</f>
        <v>3000.0</v>
      </c>
      <c r="O38" s="52">
        <f>IF(O$2&gt;Assumptions!$B$101,N38*(1-Assumptions!$B$102),IF(O37&gt;=1,Assumptions!$B$93*CHOOSE(Assumptions!$B$100,INDEX(Assumptions!$B$42:$H$42,MIN(O37,7)),INDEX(Assumptions!$B$43:$H$43,MIN(O37,7))),0))</f>
        <v>3000.0</v>
      </c>
      <c r="P38" s="52">
        <f>IF(P$2&gt;Assumptions!$B$101,O38*(1-Assumptions!$B$102),IF(P37&gt;=1,Assumptions!$B$93*CHOOSE(Assumptions!$B$100,INDEX(Assumptions!$B$42:$H$42,MIN(P37,7)),INDEX(Assumptions!$B$43:$H$43,MIN(P37,7))),0))</f>
        <v>3000.0</v>
      </c>
      <c r="Q38" s="52">
        <f>IF(Q$2&gt;Assumptions!$B$101,P38*(1-Assumptions!$B$102),IF(Q37&gt;=1,Assumptions!$B$93*CHOOSE(Assumptions!$B$100,INDEX(Assumptions!$B$42:$H$42,MIN(Q37,7)),INDEX(Assumptions!$B$43:$H$43,MIN(Q37,7))),0))</f>
        <v>3000.0</v>
      </c>
      <c r="R38" s="52">
        <f>IF(R$2&gt;Assumptions!$B$101,Q38*(1-Assumptions!$B$102),IF(R37&gt;=1,Assumptions!$B$93*CHOOSE(Assumptions!$B$100,INDEX(Assumptions!$B$42:$H$42,MIN(R37,7)),INDEX(Assumptions!$B$43:$H$43,MIN(R37,7))),0))</f>
        <v>3000.0</v>
      </c>
      <c r="S38" s="52">
        <f>IF(S$2&gt;Assumptions!$B$101,R38*(1-Assumptions!$B$102),IF(S37&gt;=1,Assumptions!$B$93*CHOOSE(Assumptions!$B$100,INDEX(Assumptions!$B$42:$H$42,MIN(S37,7)),INDEX(Assumptions!$B$43:$H$43,MIN(S37,7))),0))</f>
        <v>1500.0</v>
      </c>
      <c r="T38" s="52">
        <f>IF(T$2&gt;Assumptions!$B$101,S38*(1-Assumptions!$B$102),IF(T37&gt;=1,Assumptions!$B$93*CHOOSE(Assumptions!$B$100,INDEX(Assumptions!$B$42:$H$42,MIN(T37,7)),INDEX(Assumptions!$B$43:$H$43,MIN(T37,7))),0))</f>
        <v>750.0</v>
      </c>
      <c r="U38" s="52">
        <f>IF(U$2&gt;Assumptions!$B$101,T38*(1-Assumptions!$B$102),IF(U37&gt;=1,Assumptions!$B$93*CHOOSE(Assumptions!$B$100,INDEX(Assumptions!$B$42:$H$42,MIN(U37,7)),INDEX(Assumptions!$B$43:$H$43,MIN(U37,7))),0))</f>
        <v>375.0</v>
      </c>
      <c r="V38" s="52">
        <f>IF(V$2&gt;Assumptions!$B$101,U38*(1-Assumptions!$B$102),IF(V37&gt;=1,Assumptions!$B$93*CHOOSE(Assumptions!$B$100,INDEX(Assumptions!$B$42:$H$42,MIN(V37,7)),INDEX(Assumptions!$B$43:$H$43,MIN(V37,7))),0))</f>
        <v>187.5</v>
      </c>
      <c r="W38" s="52">
        <f>IF(W$2&gt;Assumptions!$B$101,V38*(1-Assumptions!$B$102),IF(W37&gt;=1,Assumptions!$B$93*CHOOSE(Assumptions!$B$100,INDEX(Assumptions!$B$42:$H$42,MIN(W37,7)),INDEX(Assumptions!$B$43:$H$43,MIN(W37,7))),0))</f>
        <v>93.75</v>
      </c>
      <c r="X38" s="52">
        <f>IF(X$2&gt;Assumptions!$B$101,W38*(1-Assumptions!$B$102),IF(X37&gt;=1,Assumptions!$B$93*CHOOSE(Assumptions!$B$100,INDEX(Assumptions!$B$42:$H$42,MIN(X37,7)),INDEX(Assumptions!$B$43:$H$43,MIN(X37,7))),0))</f>
        <v>46.875</v>
      </c>
      <c r="Y38" s="52">
        <f>IF(Y$2&gt;Assumptions!$B$101,X38*(1-Assumptions!$B$102),IF(Y37&gt;=1,Assumptions!$B$93*CHOOSE(Assumptions!$B$100,INDEX(Assumptions!$B$42:$H$42,MIN(Y37,7)),INDEX(Assumptions!$B$43:$H$43,MIN(Y37,7))),0))</f>
        <v>23.4375</v>
      </c>
      <c r="Z38" s="52">
        <f>IF(Z$2&gt;Assumptions!$B$101,Y38*(1-Assumptions!$B$102),IF(Z37&gt;=1,Assumptions!$B$93*CHOOSE(Assumptions!$B$100,INDEX(Assumptions!$B$42:$H$42,MIN(Z37,7)),INDEX(Assumptions!$B$43:$H$43,MIN(Z37,7))),0))</f>
        <v>11.71875</v>
      </c>
    </row>
    <row r="39">
      <c r="A39" s="13" t="inlineStr">
        <is>
          <t>Product net sales, risk-adjusted</t>
        </is>
      </c>
      <c r="C39" s="52">
        <f>C38*MIN(1,Assumptions!$B$94*Assumptions!$B$37)</f>
        <v>0.0</v>
      </c>
      <c r="D39" s="52">
        <f>D38*MIN(1,Assumptions!$B$94*Assumptions!$B$37)</f>
        <v>0.0</v>
      </c>
      <c r="E39" s="52">
        <f>E38*MIN(1,Assumptions!$B$94*Assumptions!$B$37)</f>
        <v>0.0</v>
      </c>
      <c r="F39" s="52">
        <f>F38*MIN(1,Assumptions!$B$94*Assumptions!$B$37)</f>
        <v>0.0</v>
      </c>
      <c r="G39" s="52">
        <f>G38*MIN(1,Assumptions!$B$94*Assumptions!$B$37)</f>
        <v>75.0</v>
      </c>
      <c r="H39" s="52">
        <f>H38*MIN(1,Assumptions!$B$94*Assumptions!$B$37)</f>
        <v>187.5</v>
      </c>
      <c r="I39" s="52">
        <f>I38*MIN(1,Assumptions!$B$94*Assumptions!$B$37)</f>
        <v>337.5</v>
      </c>
      <c r="J39" s="52">
        <f>J38*MIN(1,Assumptions!$B$94*Assumptions!$B$37)</f>
        <v>487.5</v>
      </c>
      <c r="K39" s="52">
        <f>K38*MIN(1,Assumptions!$B$94*Assumptions!$B$37)</f>
        <v>615.0</v>
      </c>
      <c r="L39" s="52">
        <f>L38*MIN(1,Assumptions!$B$94*Assumptions!$B$37)</f>
        <v>697.5</v>
      </c>
      <c r="M39" s="52">
        <f>M38*MIN(1,Assumptions!$B$94*Assumptions!$B$37)</f>
        <v>750.0</v>
      </c>
      <c r="N39" s="52">
        <f>N38*MIN(1,Assumptions!$B$94*Assumptions!$B$37)</f>
        <v>750.0</v>
      </c>
      <c r="O39" s="52">
        <f>O38*MIN(1,Assumptions!$B$94*Assumptions!$B$37)</f>
        <v>750.0</v>
      </c>
      <c r="P39" s="52">
        <f>P38*MIN(1,Assumptions!$B$94*Assumptions!$B$37)</f>
        <v>750.0</v>
      </c>
      <c r="Q39" s="52">
        <f>Q38*MIN(1,Assumptions!$B$94*Assumptions!$B$37)</f>
        <v>750.0</v>
      </c>
      <c r="R39" s="52">
        <f>R38*MIN(1,Assumptions!$B$94*Assumptions!$B$37)</f>
        <v>750.0</v>
      </c>
      <c r="S39" s="52">
        <f>S38*MIN(1,Assumptions!$B$94*Assumptions!$B$37)</f>
        <v>375.0</v>
      </c>
      <c r="T39" s="52">
        <f>T38*MIN(1,Assumptions!$B$94*Assumptions!$B$37)</f>
        <v>187.5</v>
      </c>
      <c r="U39" s="52">
        <f>U38*MIN(1,Assumptions!$B$94*Assumptions!$B$37)</f>
        <v>93.75</v>
      </c>
      <c r="V39" s="52">
        <f>V38*MIN(1,Assumptions!$B$94*Assumptions!$B$37)</f>
        <v>46.875</v>
      </c>
      <c r="W39" s="52">
        <f>W38*MIN(1,Assumptions!$B$94*Assumptions!$B$37)</f>
        <v>23.4375</v>
      </c>
      <c r="X39" s="52">
        <f>X38*MIN(1,Assumptions!$B$94*Assumptions!$B$37)</f>
        <v>11.71875</v>
      </c>
      <c r="Y39" s="52">
        <f>Y38*MIN(1,Assumptions!$B$94*Assumptions!$B$37)</f>
        <v>5.859375</v>
      </c>
      <c r="Z39" s="52">
        <f>Z38*MIN(1,Assumptions!$B$94*Assumptions!$B$37)</f>
        <v>2.9296875</v>
      </c>
    </row>
    <row r="40">
      <c r="A40" s="13" t="inlineStr">
        <is>
          <t>Company revenue, risk-adjusted (incl. milestones)</t>
        </is>
      </c>
      <c r="C40" s="52">
        <f>C39*Assumptions!$B$95</f>
        <v>0.0</v>
      </c>
      <c r="D40" s="52">
        <f>D39*Assumptions!$B$95</f>
        <v>0.0</v>
      </c>
      <c r="E40" s="52">
        <f>E39*Assumptions!$B$95</f>
        <v>0.0</v>
      </c>
      <c r="F40" s="52">
        <f>F39*Assumptions!$B$95</f>
        <v>0.0</v>
      </c>
      <c r="G40" s="52">
        <f>G39*Assumptions!$B$95</f>
        <v>75.0</v>
      </c>
      <c r="H40" s="52">
        <f>H39*Assumptions!$B$95</f>
        <v>187.5</v>
      </c>
      <c r="I40" s="52">
        <f>I39*Assumptions!$B$95</f>
        <v>337.5</v>
      </c>
      <c r="J40" s="52">
        <f>J39*Assumptions!$B$95</f>
        <v>487.5</v>
      </c>
      <c r="K40" s="52">
        <f>K39*Assumptions!$B$95</f>
        <v>615.0</v>
      </c>
      <c r="L40" s="52">
        <f>L39*Assumptions!$B$95</f>
        <v>697.5</v>
      </c>
      <c r="M40" s="52">
        <f>M39*Assumptions!$B$95</f>
        <v>750.0</v>
      </c>
      <c r="N40" s="52">
        <f>N39*Assumptions!$B$95</f>
        <v>750.0</v>
      </c>
      <c r="O40" s="52">
        <f>O39*Assumptions!$B$95</f>
        <v>750.0</v>
      </c>
      <c r="P40" s="52">
        <f>P39*Assumptions!$B$95</f>
        <v>750.0</v>
      </c>
      <c r="Q40" s="52">
        <f>Q39*Assumptions!$B$95</f>
        <v>750.0</v>
      </c>
      <c r="R40" s="52">
        <f>R39*Assumptions!$B$95</f>
        <v>750.0</v>
      </c>
      <c r="S40" s="52">
        <f>S39*Assumptions!$B$95</f>
        <v>375.0</v>
      </c>
      <c r="T40" s="52">
        <f>T39*Assumptions!$B$95</f>
        <v>187.5</v>
      </c>
      <c r="U40" s="52">
        <f>U39*Assumptions!$B$95</f>
        <v>93.75</v>
      </c>
      <c r="V40" s="52">
        <f>V39*Assumptions!$B$95</f>
        <v>46.875</v>
      </c>
      <c r="W40" s="52">
        <f>W39*Assumptions!$B$95</f>
        <v>23.4375</v>
      </c>
      <c r="X40" s="52">
        <f>X39*Assumptions!$B$95</f>
        <v>11.71875</v>
      </c>
      <c r="Y40" s="52">
        <f>Y39*Assumptions!$B$95</f>
        <v>5.859375</v>
      </c>
      <c r="Z40" s="52">
        <f>Z39*Assumptions!$B$95</f>
        <v>2.9296875</v>
      </c>
    </row>
    <row r="41">
      <c r="A41" s="13" t="inlineStr">
        <is>
          <t>COGS + royalties, risk-adjusted</t>
        </is>
      </c>
      <c r="C41" s="52">
        <f>C39*(Assumptions!$B$96+Assumptions!$B$97)</f>
        <v>0.0</v>
      </c>
      <c r="D41" s="52">
        <f>D39*(Assumptions!$B$96+Assumptions!$B$97)</f>
        <v>0.0</v>
      </c>
      <c r="E41" s="52">
        <f>E39*(Assumptions!$B$96+Assumptions!$B$97)</f>
        <v>0.0</v>
      </c>
      <c r="F41" s="52">
        <f>F39*(Assumptions!$B$96+Assumptions!$B$97)</f>
        <v>0.0</v>
      </c>
      <c r="G41" s="52">
        <f>G39*(Assumptions!$B$96+Assumptions!$B$97)</f>
        <v>15.0</v>
      </c>
      <c r="H41" s="52">
        <f>H39*(Assumptions!$B$96+Assumptions!$B$97)</f>
        <v>37.5</v>
      </c>
      <c r="I41" s="52">
        <f>I39*(Assumptions!$B$96+Assumptions!$B$97)</f>
        <v>67.5</v>
      </c>
      <c r="J41" s="52">
        <f>J39*(Assumptions!$B$96+Assumptions!$B$97)</f>
        <v>97.5</v>
      </c>
      <c r="K41" s="52">
        <f>K39*(Assumptions!$B$96+Assumptions!$B$97)</f>
        <v>123.0</v>
      </c>
      <c r="L41" s="52">
        <f>L39*(Assumptions!$B$96+Assumptions!$B$97)</f>
        <v>139.5</v>
      </c>
      <c r="M41" s="52">
        <f>M39*(Assumptions!$B$96+Assumptions!$B$97)</f>
        <v>150.0</v>
      </c>
      <c r="N41" s="52">
        <f>N39*(Assumptions!$B$96+Assumptions!$B$97)</f>
        <v>150.0</v>
      </c>
      <c r="O41" s="52">
        <f>O39*(Assumptions!$B$96+Assumptions!$B$97)</f>
        <v>150.0</v>
      </c>
      <c r="P41" s="52">
        <f>P39*(Assumptions!$B$96+Assumptions!$B$97)</f>
        <v>150.0</v>
      </c>
      <c r="Q41" s="52">
        <f>Q39*(Assumptions!$B$96+Assumptions!$B$97)</f>
        <v>150.0</v>
      </c>
      <c r="R41" s="52">
        <f>R39*(Assumptions!$B$96+Assumptions!$B$97)</f>
        <v>150.0</v>
      </c>
      <c r="S41" s="52">
        <f>S39*(Assumptions!$B$96+Assumptions!$B$97)</f>
        <v>75.0</v>
      </c>
      <c r="T41" s="52">
        <f>T39*(Assumptions!$B$96+Assumptions!$B$97)</f>
        <v>37.5</v>
      </c>
      <c r="U41" s="52">
        <f>U39*(Assumptions!$B$96+Assumptions!$B$97)</f>
        <v>18.75</v>
      </c>
      <c r="V41" s="52">
        <f>V39*(Assumptions!$B$96+Assumptions!$B$97)</f>
        <v>9.375</v>
      </c>
      <c r="W41" s="52">
        <f>W39*(Assumptions!$B$96+Assumptions!$B$97)</f>
        <v>4.6875</v>
      </c>
      <c r="X41" s="52">
        <f>X39*(Assumptions!$B$96+Assumptions!$B$97)</f>
        <v>2.34375</v>
      </c>
      <c r="Y41" s="52">
        <f>Y39*(Assumptions!$B$96+Assumptions!$B$97)</f>
        <v>1.171875</v>
      </c>
      <c r="Z41" s="52">
        <f>Z39*(Assumptions!$B$96+Assumptions!$B$97)</f>
        <v>0.5859375</v>
      </c>
    </row>
    <row r="42">
      <c r="A42" s="13" t="inlineStr">
        <is>
          <t>Commercial SG&amp;A, risk-adjusted</t>
        </is>
      </c>
      <c r="C42" s="52">
        <f>MIN(1,Assumptions!$B$94*Assumptions!$B$37)*IF(Assumptions!$B$98=0,0,IF(C37=0,Assumptions!$B$99,IF(C37&gt;=1,C38*IF(OR(Assumptions!$B$95&lt;1,C37&gt;5),Assumptions!$B$98,MAX(Assumptions!$B$98,INDEX(Assumptions!$B$44:$F$44,C37))),0)))</f>
        <v>0.0</v>
      </c>
      <c r="D42" s="52">
        <f>MIN(1,Assumptions!$B$94*Assumptions!$B$37)*IF(Assumptions!$B$98=0,0,IF(D37=0,Assumptions!$B$99,IF(D37&gt;=1,D38*IF(OR(Assumptions!$B$95&lt;1,D37&gt;5),Assumptions!$B$98,MAX(Assumptions!$B$98,INDEX(Assumptions!$B$44:$F$44,D37))),0)))</f>
        <v>0.0</v>
      </c>
      <c r="E42" s="52">
        <f>MIN(1,Assumptions!$B$94*Assumptions!$B$37)*IF(Assumptions!$B$98=0,0,IF(E37=0,Assumptions!$B$99,IF(E37&gt;=1,E38*IF(OR(Assumptions!$B$95&lt;1,E37&gt;5),Assumptions!$B$98,MAX(Assumptions!$B$98,INDEX(Assumptions!$B$44:$F$44,E37))),0)))</f>
        <v>0.0</v>
      </c>
      <c r="F42" s="52">
        <f>MIN(1,Assumptions!$B$94*Assumptions!$B$37)*IF(Assumptions!$B$98=0,0,IF(F37=0,Assumptions!$B$99,IF(F37&gt;=1,F38*IF(OR(Assumptions!$B$95&lt;1,F37&gt;5),Assumptions!$B$98,MAX(Assumptions!$B$98,INDEX(Assumptions!$B$44:$F$44,F37))),0)))</f>
        <v>7.5</v>
      </c>
      <c r="G42" s="52">
        <f>MIN(1,Assumptions!$B$94*Assumptions!$B$37)*IF(Assumptions!$B$98=0,0,IF(G37=0,Assumptions!$B$99,IF(G37&gt;=1,G38*IF(OR(Assumptions!$B$95&lt;1,G37&gt;5),Assumptions!$B$98,MAX(Assumptions!$B$98,INDEX(Assumptions!$B$44:$F$44,G37))),0)))</f>
        <v>67.5</v>
      </c>
      <c r="H42" s="52">
        <f>MIN(1,Assumptions!$B$94*Assumptions!$B$37)*IF(Assumptions!$B$98=0,0,IF(H37=0,Assumptions!$B$99,IF(H37&gt;=1,H38*IF(OR(Assumptions!$B$95&lt;1,H37&gt;5),Assumptions!$B$98,MAX(Assumptions!$B$98,INDEX(Assumptions!$B$44:$F$44,H37))),0)))</f>
        <v>103.12500000000001</v>
      </c>
      <c r="I42" s="52">
        <f>MIN(1,Assumptions!$B$94*Assumptions!$B$37)*IF(Assumptions!$B$98=0,0,IF(I37=0,Assumptions!$B$99,IF(I37&gt;=1,I38*IF(OR(Assumptions!$B$95&lt;1,I37&gt;5),Assumptions!$B$98,MAX(Assumptions!$B$98,INDEX(Assumptions!$B$44:$F$44,I37))),0)))</f>
        <v>135.0</v>
      </c>
      <c r="J42" s="52">
        <f>MIN(1,Assumptions!$B$94*Assumptions!$B$37)*IF(Assumptions!$B$98=0,0,IF(J37=0,Assumptions!$B$99,IF(J37&gt;=1,J38*IF(OR(Assumptions!$B$95&lt;1,J37&gt;5),Assumptions!$B$98,MAX(Assumptions!$B$98,INDEX(Assumptions!$B$44:$F$44,J37))),0)))</f>
        <v>156.0</v>
      </c>
      <c r="K42" s="52">
        <f>MIN(1,Assumptions!$B$94*Assumptions!$B$37)*IF(Assumptions!$B$98=0,0,IF(K37=0,Assumptions!$B$99,IF(K37&gt;=1,K38*IF(OR(Assumptions!$B$95&lt;1,K37&gt;5),Assumptions!$B$98,MAX(Assumptions!$B$98,INDEX(Assumptions!$B$44:$F$44,K37))),0)))</f>
        <v>172.20000000000002</v>
      </c>
      <c r="L42" s="52">
        <f>MIN(1,Assumptions!$B$94*Assumptions!$B$37)*IF(Assumptions!$B$98=0,0,IF(L37=0,Assumptions!$B$99,IF(L37&gt;=1,L38*IF(OR(Assumptions!$B$95&lt;1,L37&gt;5),Assumptions!$B$98,MAX(Assumptions!$B$98,INDEX(Assumptions!$B$44:$F$44,L37))),0)))</f>
        <v>139.5</v>
      </c>
      <c r="M42" s="52">
        <f>MIN(1,Assumptions!$B$94*Assumptions!$B$37)*IF(Assumptions!$B$98=0,0,IF(M37=0,Assumptions!$B$99,IF(M37&gt;=1,M38*IF(OR(Assumptions!$B$95&lt;1,M37&gt;5),Assumptions!$B$98,MAX(Assumptions!$B$98,INDEX(Assumptions!$B$44:$F$44,M37))),0)))</f>
        <v>150.0</v>
      </c>
      <c r="N42" s="52">
        <f>MIN(1,Assumptions!$B$94*Assumptions!$B$37)*IF(Assumptions!$B$98=0,0,IF(N37=0,Assumptions!$B$99,IF(N37&gt;=1,N38*IF(OR(Assumptions!$B$95&lt;1,N37&gt;5),Assumptions!$B$98,MAX(Assumptions!$B$98,INDEX(Assumptions!$B$44:$F$44,N37))),0)))</f>
        <v>150.0</v>
      </c>
      <c r="O42" s="52">
        <f>MIN(1,Assumptions!$B$94*Assumptions!$B$37)*IF(Assumptions!$B$98=0,0,IF(O37=0,Assumptions!$B$99,IF(O37&gt;=1,O38*IF(OR(Assumptions!$B$95&lt;1,O37&gt;5),Assumptions!$B$98,MAX(Assumptions!$B$98,INDEX(Assumptions!$B$44:$F$44,O37))),0)))</f>
        <v>150.0</v>
      </c>
      <c r="P42" s="52">
        <f>MIN(1,Assumptions!$B$94*Assumptions!$B$37)*IF(Assumptions!$B$98=0,0,IF(P37=0,Assumptions!$B$99,IF(P37&gt;=1,P38*IF(OR(Assumptions!$B$95&lt;1,P37&gt;5),Assumptions!$B$98,MAX(Assumptions!$B$98,INDEX(Assumptions!$B$44:$F$44,P37))),0)))</f>
        <v>150.0</v>
      </c>
      <c r="Q42" s="52">
        <f>MIN(1,Assumptions!$B$94*Assumptions!$B$37)*IF(Assumptions!$B$98=0,0,IF(Q37=0,Assumptions!$B$99,IF(Q37&gt;=1,Q38*IF(OR(Assumptions!$B$95&lt;1,Q37&gt;5),Assumptions!$B$98,MAX(Assumptions!$B$98,INDEX(Assumptions!$B$44:$F$44,Q37))),0)))</f>
        <v>150.0</v>
      </c>
      <c r="R42" s="52">
        <f>MIN(1,Assumptions!$B$94*Assumptions!$B$37)*IF(Assumptions!$B$98=0,0,IF(R37=0,Assumptions!$B$99,IF(R37&gt;=1,R38*IF(OR(Assumptions!$B$95&lt;1,R37&gt;5),Assumptions!$B$98,MAX(Assumptions!$B$98,INDEX(Assumptions!$B$44:$F$44,R37))),0)))</f>
        <v>150.0</v>
      </c>
      <c r="S42" s="52">
        <f>MIN(1,Assumptions!$B$94*Assumptions!$B$37)*IF(Assumptions!$B$98=0,0,IF(S37=0,Assumptions!$B$99,IF(S37&gt;=1,S38*IF(OR(Assumptions!$B$95&lt;1,S37&gt;5),Assumptions!$B$98,MAX(Assumptions!$B$98,INDEX(Assumptions!$B$44:$F$44,S37))),0)))</f>
        <v>75.0</v>
      </c>
      <c r="T42" s="52">
        <f>MIN(1,Assumptions!$B$94*Assumptions!$B$37)*IF(Assumptions!$B$98=0,0,IF(T37=0,Assumptions!$B$99,IF(T37&gt;=1,T38*IF(OR(Assumptions!$B$95&lt;1,T37&gt;5),Assumptions!$B$98,MAX(Assumptions!$B$98,INDEX(Assumptions!$B$44:$F$44,T37))),0)))</f>
        <v>37.5</v>
      </c>
      <c r="U42" s="52">
        <f>MIN(1,Assumptions!$B$94*Assumptions!$B$37)*IF(Assumptions!$B$98=0,0,IF(U37=0,Assumptions!$B$99,IF(U37&gt;=1,U38*IF(OR(Assumptions!$B$95&lt;1,U37&gt;5),Assumptions!$B$98,MAX(Assumptions!$B$98,INDEX(Assumptions!$B$44:$F$44,U37))),0)))</f>
        <v>18.75</v>
      </c>
      <c r="V42" s="52">
        <f>MIN(1,Assumptions!$B$94*Assumptions!$B$37)*IF(Assumptions!$B$98=0,0,IF(V37=0,Assumptions!$B$99,IF(V37&gt;=1,V38*IF(OR(Assumptions!$B$95&lt;1,V37&gt;5),Assumptions!$B$98,MAX(Assumptions!$B$98,INDEX(Assumptions!$B$44:$F$44,V37))),0)))</f>
        <v>9.375</v>
      </c>
      <c r="W42" s="52">
        <f>MIN(1,Assumptions!$B$94*Assumptions!$B$37)*IF(Assumptions!$B$98=0,0,IF(W37=0,Assumptions!$B$99,IF(W37&gt;=1,W38*IF(OR(Assumptions!$B$95&lt;1,W37&gt;5),Assumptions!$B$98,MAX(Assumptions!$B$98,INDEX(Assumptions!$B$44:$F$44,W37))),0)))</f>
        <v>4.6875</v>
      </c>
      <c r="X42" s="52">
        <f>MIN(1,Assumptions!$B$94*Assumptions!$B$37)*IF(Assumptions!$B$98=0,0,IF(X37=0,Assumptions!$B$99,IF(X37&gt;=1,X38*IF(OR(Assumptions!$B$95&lt;1,X37&gt;5),Assumptions!$B$98,MAX(Assumptions!$B$98,INDEX(Assumptions!$B$44:$F$44,X37))),0)))</f>
        <v>2.34375</v>
      </c>
      <c r="Y42" s="52">
        <f>MIN(1,Assumptions!$B$94*Assumptions!$B$37)*IF(Assumptions!$B$98=0,0,IF(Y37=0,Assumptions!$B$99,IF(Y37&gt;=1,Y38*IF(OR(Assumptions!$B$95&lt;1,Y37&gt;5),Assumptions!$B$98,MAX(Assumptions!$B$98,INDEX(Assumptions!$B$44:$F$44,Y37))),0)))</f>
        <v>1.171875</v>
      </c>
      <c r="Z42" s="52">
        <f>MIN(1,Assumptions!$B$94*Assumptions!$B$37)*IF(Assumptions!$B$98=0,0,IF(Z37=0,Assumptions!$B$99,IF(Z37&gt;=1,Z38*IF(OR(Assumptions!$B$95&lt;1,Z37&gt;5),Assumptions!$B$98,MAX(Assumptions!$B$98,INDEX(Assumptions!$B$44:$F$44,Z37))),0)))</f>
        <v>0.5859375</v>
      </c>
    </row>
    <row r="43">
      <c r="A43" s="13" t="inlineStr">
        <is>
          <t>Development R&amp;D, risk-adjusted</t>
        </is>
      </c>
      <c r="C43" s="52">
        <f>IFERROR(INDEX(Assumptions!$B$104:$I$104,MATCH(C$2,Assumptions!$B$103:$I$103,0))*INDEX(Assumptions!$B$105:$I$105,MATCH(C$2,Assumptions!$B$103:$I$103,0)),0)</f>
        <v>150.0</v>
      </c>
      <c r="D43" s="52">
        <f>IFERROR(INDEX(Assumptions!$B$104:$I$104,MATCH(D$2,Assumptions!$B$103:$I$103,0))*INDEX(Assumptions!$B$105:$I$105,MATCH(D$2,Assumptions!$B$103:$I$103,0)),0)</f>
        <v>250.0</v>
      </c>
      <c r="E43" s="52">
        <f>IFERROR(INDEX(Assumptions!$B$104:$I$104,MATCH(E$2,Assumptions!$B$103:$I$103,0))*INDEX(Assumptions!$B$105:$I$105,MATCH(E$2,Assumptions!$B$103:$I$103,0)),0)</f>
        <v>150.0</v>
      </c>
      <c r="F43" s="52">
        <f>IFERROR(INDEX(Assumptions!$B$104:$I$104,MATCH(F$2,Assumptions!$B$103:$I$103,0))*INDEX(Assumptions!$B$105:$I$105,MATCH(F$2,Assumptions!$B$103:$I$103,0)),0)</f>
        <v>60.0</v>
      </c>
      <c r="G43" s="52">
        <f>IFERROR(INDEX(Assumptions!$B$104:$I$104,MATCH(G$2,Assumptions!$B$103:$I$103,0))*INDEX(Assumptions!$B$105:$I$105,MATCH(G$2,Assumptions!$B$103:$I$103,0)),0)</f>
        <v>0.0</v>
      </c>
      <c r="H43" s="52">
        <f>IFERROR(INDEX(Assumptions!$B$104:$I$104,MATCH(H$2,Assumptions!$B$103:$I$103,0))*INDEX(Assumptions!$B$105:$I$105,MATCH(H$2,Assumptions!$B$103:$I$103,0)),0)</f>
        <v>0.0</v>
      </c>
      <c r="I43" s="52">
        <f>IFERROR(INDEX(Assumptions!$B$104:$I$104,MATCH(I$2,Assumptions!$B$103:$I$103,0))*INDEX(Assumptions!$B$105:$I$105,MATCH(I$2,Assumptions!$B$103:$I$103,0)),0)</f>
        <v>0.0</v>
      </c>
      <c r="J43" s="52">
        <f>IFERROR(INDEX(Assumptions!$B$104:$I$104,MATCH(J$2,Assumptions!$B$103:$I$103,0))*INDEX(Assumptions!$B$105:$I$105,MATCH(J$2,Assumptions!$B$103:$I$103,0)),0)</f>
        <v>0.0</v>
      </c>
      <c r="K43" s="52">
        <f>IFERROR(INDEX(Assumptions!$B$104:$I$104,MATCH(K$2,Assumptions!$B$103:$I$103,0))*INDEX(Assumptions!$B$105:$I$105,MATCH(K$2,Assumptions!$B$103:$I$103,0)),0)</f>
        <v>0</v>
      </c>
      <c r="L43" s="52">
        <f>IFERROR(INDEX(Assumptions!$B$104:$I$104,MATCH(L$2,Assumptions!$B$103:$I$103,0))*INDEX(Assumptions!$B$105:$I$105,MATCH(L$2,Assumptions!$B$103:$I$103,0)),0)</f>
        <v>0</v>
      </c>
      <c r="M43" s="52">
        <f>IFERROR(INDEX(Assumptions!$B$104:$I$104,MATCH(M$2,Assumptions!$B$103:$I$103,0))*INDEX(Assumptions!$B$105:$I$105,MATCH(M$2,Assumptions!$B$103:$I$103,0)),0)</f>
        <v>0</v>
      </c>
      <c r="N43" s="52">
        <f>IFERROR(INDEX(Assumptions!$B$104:$I$104,MATCH(N$2,Assumptions!$B$103:$I$103,0))*INDEX(Assumptions!$B$105:$I$105,MATCH(N$2,Assumptions!$B$103:$I$103,0)),0)</f>
        <v>0</v>
      </c>
      <c r="O43" s="52">
        <f>IFERROR(INDEX(Assumptions!$B$104:$I$104,MATCH(O$2,Assumptions!$B$103:$I$103,0))*INDEX(Assumptions!$B$105:$I$105,MATCH(O$2,Assumptions!$B$103:$I$103,0)),0)</f>
        <v>0</v>
      </c>
      <c r="P43" s="52">
        <f>IFERROR(INDEX(Assumptions!$B$104:$I$104,MATCH(P$2,Assumptions!$B$103:$I$103,0))*INDEX(Assumptions!$B$105:$I$105,MATCH(P$2,Assumptions!$B$103:$I$103,0)),0)</f>
        <v>0</v>
      </c>
      <c r="Q43" s="52">
        <f>IFERROR(INDEX(Assumptions!$B$104:$I$104,MATCH(Q$2,Assumptions!$B$103:$I$103,0))*INDEX(Assumptions!$B$105:$I$105,MATCH(Q$2,Assumptions!$B$103:$I$103,0)),0)</f>
        <v>0</v>
      </c>
      <c r="R43" s="52">
        <f>IFERROR(INDEX(Assumptions!$B$104:$I$104,MATCH(R$2,Assumptions!$B$103:$I$103,0))*INDEX(Assumptions!$B$105:$I$105,MATCH(R$2,Assumptions!$B$103:$I$103,0)),0)</f>
        <v>0</v>
      </c>
      <c r="S43" s="52">
        <f>IFERROR(INDEX(Assumptions!$B$104:$I$104,MATCH(S$2,Assumptions!$B$103:$I$103,0))*INDEX(Assumptions!$B$105:$I$105,MATCH(S$2,Assumptions!$B$103:$I$103,0)),0)</f>
        <v>0</v>
      </c>
      <c r="T43" s="52">
        <f>IFERROR(INDEX(Assumptions!$B$104:$I$104,MATCH(T$2,Assumptions!$B$103:$I$103,0))*INDEX(Assumptions!$B$105:$I$105,MATCH(T$2,Assumptions!$B$103:$I$103,0)),0)</f>
        <v>0</v>
      </c>
      <c r="U43" s="52">
        <f>IFERROR(INDEX(Assumptions!$B$104:$I$104,MATCH(U$2,Assumptions!$B$103:$I$103,0))*INDEX(Assumptions!$B$105:$I$105,MATCH(U$2,Assumptions!$B$103:$I$103,0)),0)</f>
        <v>0</v>
      </c>
      <c r="V43" s="52">
        <f>IFERROR(INDEX(Assumptions!$B$104:$I$104,MATCH(V$2,Assumptions!$B$103:$I$103,0))*INDEX(Assumptions!$B$105:$I$105,MATCH(V$2,Assumptions!$B$103:$I$103,0)),0)</f>
        <v>0</v>
      </c>
      <c r="W43" s="52">
        <f>IFERROR(INDEX(Assumptions!$B$104:$I$104,MATCH(W$2,Assumptions!$B$103:$I$103,0))*INDEX(Assumptions!$B$105:$I$105,MATCH(W$2,Assumptions!$B$103:$I$103,0)),0)</f>
        <v>0</v>
      </c>
      <c r="X43" s="52">
        <f>IFERROR(INDEX(Assumptions!$B$104:$I$104,MATCH(X$2,Assumptions!$B$103:$I$103,0))*INDEX(Assumptions!$B$105:$I$105,MATCH(X$2,Assumptions!$B$103:$I$103,0)),0)</f>
        <v>0</v>
      </c>
      <c r="Y43" s="52">
        <f>IFERROR(INDEX(Assumptions!$B$104:$I$104,MATCH(Y$2,Assumptions!$B$103:$I$103,0))*INDEX(Assumptions!$B$105:$I$105,MATCH(Y$2,Assumptions!$B$103:$I$103,0)),0)</f>
        <v>0</v>
      </c>
      <c r="Z43" s="52">
        <f>IFERROR(INDEX(Assumptions!$B$104:$I$104,MATCH(Z$2,Assumptions!$B$103:$I$103,0))*INDEX(Assumptions!$B$105:$I$105,MATCH(Z$2,Assumptions!$B$103:$I$103,0)),0)</f>
        <v>0</v>
      </c>
    </row>
    <row r="44">
      <c r="A44" s="23" t="inlineStr">
        <is>
          <t>Program contribution (pre-tax)</t>
        </is>
      </c>
      <c r="C44" s="56">
        <f>C40-C41-C42-C43</f>
        <v>-150.0</v>
      </c>
      <c r="D44" s="56">
        <f>D40-D41-D42-D43</f>
        <v>-250.0</v>
      </c>
      <c r="E44" s="56">
        <f>E40-E41-E42-E43</f>
        <v>-150.0</v>
      </c>
      <c r="F44" s="56">
        <f>F40-F41-F42-F43</f>
        <v>-67.5</v>
      </c>
      <c r="G44" s="56">
        <f>G40-G41-G42-G43</f>
        <v>-7.5</v>
      </c>
      <c r="H44" s="56">
        <f>H40-H41-H42-H43</f>
        <v>46.874999999999986</v>
      </c>
      <c r="I44" s="56">
        <f>I40-I41-I42-I43</f>
        <v>135.0</v>
      </c>
      <c r="J44" s="56">
        <f>J40-J41-J42-J43</f>
        <v>234.0</v>
      </c>
      <c r="K44" s="56">
        <f>K40-K41-K42-K43</f>
        <v>319.79999999999995</v>
      </c>
      <c r="L44" s="56">
        <f>L40-L41-L42-L43</f>
        <v>418.5</v>
      </c>
      <c r="M44" s="56">
        <f>M40-M41-M42-M43</f>
        <v>450.0</v>
      </c>
      <c r="N44" s="56">
        <f>N40-N41-N42-N43</f>
        <v>450.0</v>
      </c>
      <c r="O44" s="56">
        <f>O40-O41-O42-O43</f>
        <v>450.0</v>
      </c>
      <c r="P44" s="56">
        <f>P40-P41-P42-P43</f>
        <v>450.0</v>
      </c>
      <c r="Q44" s="56">
        <f>Q40-Q41-Q42-Q43</f>
        <v>450.0</v>
      </c>
      <c r="R44" s="56">
        <f>R40-R41-R42-R43</f>
        <v>450.0</v>
      </c>
      <c r="S44" s="56">
        <f>S40-S41-S42-S43</f>
        <v>225.0</v>
      </c>
      <c r="T44" s="56">
        <f>T40-T41-T42-T43</f>
        <v>112.5</v>
      </c>
      <c r="U44" s="56">
        <f>U40-U41-U42-U43</f>
        <v>56.25</v>
      </c>
      <c r="V44" s="56">
        <f>V40-V41-V42-V43</f>
        <v>28.125</v>
      </c>
      <c r="W44" s="56">
        <f>W40-W41-W42-W43</f>
        <v>14.0625</v>
      </c>
      <c r="X44" s="56">
        <f>X40-X41-X42-X43</f>
        <v>7.03125</v>
      </c>
      <c r="Y44" s="56">
        <f>Y40-Y41-Y42-Y43</f>
        <v>3.515625</v>
      </c>
      <c r="Z44" s="56">
        <f>Z40-Z41-Z42-Z43</f>
        <v>1.7578125</v>
      </c>
    </row>
    <row r="46">
      <c r="A46" s="30" t="inlineStr">
        <is>
          <t>Company totals (risk-adjusted)</t>
        </is>
      </c>
    </row>
    <row r="47">
      <c r="A47" s="23" t="inlineStr">
        <is>
          <t>Revenue</t>
        </is>
      </c>
      <c r="C47" s="56">
        <f>C10+C20+C30+C40</f>
        <v>28.0</v>
      </c>
      <c r="D47" s="56">
        <f>D10+D20+D30+D40</f>
        <v>70.0</v>
      </c>
      <c r="E47" s="56">
        <f>E10+E20+E30+E40</f>
        <v>463.5</v>
      </c>
      <c r="F47" s="56">
        <f>F10+F20+F30+F40</f>
        <v>1036.25</v>
      </c>
      <c r="G47" s="56">
        <f>G10+G20+G30+G40</f>
        <v>1849.6</v>
      </c>
      <c r="H47" s="56">
        <f>H10+H20+H30+H40</f>
        <v>2688.9</v>
      </c>
      <c r="I47" s="56">
        <f>I10+I20+I30+I40</f>
        <v>3453.25</v>
      </c>
      <c r="J47" s="56">
        <f>J10+J20+J30+J40</f>
        <v>3992.35</v>
      </c>
      <c r="K47" s="56">
        <f>K10+K20+K30+K40</f>
        <v>4367.65</v>
      </c>
      <c r="L47" s="56">
        <f>L10+L20+L30+L40</f>
        <v>4457.5</v>
      </c>
      <c r="M47" s="56">
        <f>M10+M20+M30+M40</f>
        <v>4510.0</v>
      </c>
      <c r="N47" s="56">
        <f>N10+N20+N30+N40</f>
        <v>4510.0</v>
      </c>
      <c r="O47" s="56">
        <f>O10+O20+O30+O40</f>
        <v>4510.0</v>
      </c>
      <c r="P47" s="56">
        <f>P10+P20+P30+P40</f>
        <v>4510.0</v>
      </c>
      <c r="Q47" s="56">
        <f>Q10+Q20+Q30+Q40</f>
        <v>4317.5</v>
      </c>
      <c r="R47" s="56">
        <f>R10+R20+R30+R40</f>
        <v>2533.75</v>
      </c>
      <c r="S47" s="56">
        <f>S10+S20+S30+S40</f>
        <v>1266.875</v>
      </c>
      <c r="T47" s="56">
        <f>T10+T20+T30+T40</f>
        <v>633.4375</v>
      </c>
      <c r="U47" s="56">
        <f>U10+U20+U30+U40</f>
        <v>316.71875</v>
      </c>
      <c r="V47" s="56">
        <f>V10+V20+V30+V40</f>
        <v>158.359375</v>
      </c>
      <c r="W47" s="56">
        <f>W10+W20+W30+W40</f>
        <v>79.1796875</v>
      </c>
      <c r="X47" s="56">
        <f>X10+X20+X30+X40</f>
        <v>39.58984375</v>
      </c>
      <c r="Y47" s="56">
        <f>Y10+Y20+Y30+Y40</f>
        <v>19.794921875</v>
      </c>
      <c r="Z47" s="56">
        <f>Z10+Z20+Z30+Z40</f>
        <v>9.8974609375</v>
      </c>
    </row>
    <row r="48">
      <c r="A48" s="13" t="inlineStr">
        <is>
          <t>Cost of sales (COGS + royalties)</t>
        </is>
      </c>
      <c r="C48" s="52">
        <f>C11+C21+C31+C41</f>
        <v>5.04</v>
      </c>
      <c r="D48" s="52">
        <f>D11+D21+D31+D41</f>
        <v>12.6</v>
      </c>
      <c r="E48" s="52">
        <f>E11+E21+E31+E41</f>
        <v>90.18</v>
      </c>
      <c r="F48" s="52">
        <f>F11+F21+F31+F41</f>
        <v>203.4</v>
      </c>
      <c r="G48" s="52">
        <f>G11+G21+G31+G41</f>
        <v>364.803</v>
      </c>
      <c r="H48" s="52">
        <f>H11+H21+H31+H41</f>
        <v>531.627</v>
      </c>
      <c r="I48" s="52">
        <f>I11+I21+I31+I41</f>
        <v>683.685</v>
      </c>
      <c r="J48" s="52">
        <f>J11+J21+J31+J41</f>
        <v>791.148</v>
      </c>
      <c r="K48" s="52">
        <f>K11+K21+K31+K41</f>
        <v>865.977</v>
      </c>
      <c r="L48" s="52">
        <f>L11+L21+L31+L41</f>
        <v>883.8</v>
      </c>
      <c r="M48" s="52">
        <f>M11+M21+M31+M41</f>
        <v>894.3</v>
      </c>
      <c r="N48" s="52">
        <f>N11+N21+N31+N41</f>
        <v>894.3</v>
      </c>
      <c r="O48" s="52">
        <f>O11+O21+O31+O41</f>
        <v>894.3</v>
      </c>
      <c r="P48" s="52">
        <f>P11+P21+P31+P41</f>
        <v>894.3</v>
      </c>
      <c r="Q48" s="52">
        <f>Q11+Q21+Q31+Q41</f>
        <v>859.65</v>
      </c>
      <c r="R48" s="52">
        <f>R11+R21+R31+R41</f>
        <v>504.825</v>
      </c>
      <c r="S48" s="52">
        <f>S11+S21+S31+S41</f>
        <v>252.4125</v>
      </c>
      <c r="T48" s="52">
        <f>T11+T21+T31+T41</f>
        <v>126.20625</v>
      </c>
      <c r="U48" s="52">
        <f>U11+U21+U31+U41</f>
        <v>63.103125</v>
      </c>
      <c r="V48" s="52">
        <f>V11+V21+V31+V41</f>
        <v>31.5515625</v>
      </c>
      <c r="W48" s="52">
        <f>W11+W21+W31+W41</f>
        <v>15.77578125</v>
      </c>
      <c r="X48" s="52">
        <f>X11+X21+X31+X41</f>
        <v>7.887890625</v>
      </c>
      <c r="Y48" s="52">
        <f>Y11+Y21+Y31+Y41</f>
        <v>3.9439453125</v>
      </c>
      <c r="Z48" s="52">
        <f>Z11+Z21+Z31+Z41</f>
        <v>1.97197265625</v>
      </c>
    </row>
    <row r="49">
      <c r="A49" s="13" t="inlineStr">
        <is>
          <t>Program development R&amp;D</t>
        </is>
      </c>
      <c r="C49" s="52">
        <f>C13+C23+C33+C43</f>
        <v>520.0</v>
      </c>
      <c r="D49" s="52">
        <f>D13+D23+D33+D43</f>
        <v>480.0</v>
      </c>
      <c r="E49" s="52">
        <f>E13+E23+E33+E43</f>
        <v>172.5</v>
      </c>
      <c r="F49" s="52">
        <f>F13+F23+F33+F43</f>
        <v>60.0</v>
      </c>
      <c r="G49" s="52">
        <f>G13+G23+G33+G43</f>
        <v>0.0</v>
      </c>
      <c r="H49" s="52">
        <f>H13+H23+H33+H43</f>
        <v>0.0</v>
      </c>
      <c r="I49" s="52">
        <f>I13+I23+I33+I43</f>
        <v>0.0</v>
      </c>
      <c r="J49" s="52">
        <f>J13+J23+J33+J43</f>
        <v>0.0</v>
      </c>
      <c r="K49" s="52">
        <f>K13+K23+K33+K43</f>
        <v>0.0</v>
      </c>
      <c r="L49" s="52">
        <f>L13+L23+L33+L43</f>
        <v>0.0</v>
      </c>
      <c r="M49" s="52">
        <f>M13+M23+M33+M43</f>
        <v>0.0</v>
      </c>
      <c r="N49" s="52">
        <f>N13+N23+N33+N43</f>
        <v>0.0</v>
      </c>
      <c r="O49" s="52">
        <f>O13+O23+O33+O43</f>
        <v>0.0</v>
      </c>
      <c r="P49" s="52">
        <f>P13+P23+P33+P43</f>
        <v>0.0</v>
      </c>
      <c r="Q49" s="52">
        <f>Q13+Q23+Q33+Q43</f>
        <v>0.0</v>
      </c>
      <c r="R49" s="52">
        <f>R13+R23+R33+R43</f>
        <v>0.0</v>
      </c>
      <c r="S49" s="52">
        <f>S13+S23+S33+S43</f>
        <v>0.0</v>
      </c>
      <c r="T49" s="52">
        <f>T13+T23+T33+T43</f>
        <v>0.0</v>
      </c>
      <c r="U49" s="52">
        <f>U13+U23+U33+U43</f>
        <v>0.0</v>
      </c>
      <c r="V49" s="52">
        <f>V13+V23+V33+V43</f>
        <v>0.0</v>
      </c>
      <c r="W49" s="52">
        <f>W13+W23+W33+W43</f>
        <v>0.0</v>
      </c>
      <c r="X49" s="52">
        <f>X13+X23+X33+X43</f>
        <v>0.0</v>
      </c>
      <c r="Y49" s="52">
        <f>Y13+Y23+Y33+Y43</f>
        <v>0.0</v>
      </c>
      <c r="Z49" s="52">
        <f>Z13+Z23+Z33+Z43</f>
        <v>0.0</v>
      </c>
    </row>
    <row r="50">
      <c r="A50" s="13" t="inlineStr">
        <is>
          <t>Platform / unallocated R&amp;D</t>
        </is>
      </c>
      <c r="C50" s="52">
        <f>IF(C$2&gt;Assumptions!$B$25,Assumptions!$B$23*C47,MAX(Assumptions!$B$20*(1+Assumptions!$B$21)^(C$2-2027)*Assumptions!$B$38,Assumptions!$B$23*C47))</f>
        <v>150.0</v>
      </c>
      <c r="D50" s="52">
        <f>IF(D$2&gt;Assumptions!$B$25,Assumptions!$B$23*D47,MAX(Assumptions!$B$20*(1+Assumptions!$B$21)^(D$2-2027)*Assumptions!$B$38,Assumptions!$B$23*D47))</f>
        <v>154.5</v>
      </c>
      <c r="E50" s="52">
        <f>IF(E$2&gt;Assumptions!$B$25,Assumptions!$B$23*E47,MAX(Assumptions!$B$20*(1+Assumptions!$B$21)^(E$2-2027)*Assumptions!$B$38,Assumptions!$B$23*E47))</f>
        <v>159.135</v>
      </c>
      <c r="F50" s="52">
        <f>IF(F$2&gt;Assumptions!$B$25,Assumptions!$B$23*F47,MAX(Assumptions!$B$20*(1+Assumptions!$B$21)^(F$2-2027)*Assumptions!$B$38,Assumptions!$B$23*F47))</f>
        <v>163.90905</v>
      </c>
      <c r="G50" s="52">
        <f>IF(G$2&gt;Assumptions!$B$25,Assumptions!$B$23*G47,MAX(Assumptions!$B$20*(1+Assumptions!$B$21)^(G$2-2027)*Assumptions!$B$38,Assumptions!$B$23*G47))</f>
        <v>221.95199999999997</v>
      </c>
      <c r="H50" s="52">
        <f>IF(H$2&gt;Assumptions!$B$25,Assumptions!$B$23*H47,MAX(Assumptions!$B$20*(1+Assumptions!$B$21)^(H$2-2027)*Assumptions!$B$38,Assumptions!$B$23*H47))</f>
        <v>322.668</v>
      </c>
      <c r="I50" s="52">
        <f>IF(I$2&gt;Assumptions!$B$25,Assumptions!$B$23*I47,MAX(Assumptions!$B$20*(1+Assumptions!$B$21)^(I$2-2027)*Assumptions!$B$38,Assumptions!$B$23*I47))</f>
        <v>414.39</v>
      </c>
      <c r="J50" s="52">
        <f>IF(J$2&gt;Assumptions!$B$25,Assumptions!$B$23*J47,MAX(Assumptions!$B$20*(1+Assumptions!$B$21)^(J$2-2027)*Assumptions!$B$38,Assumptions!$B$23*J47))</f>
        <v>479.082</v>
      </c>
      <c r="K50" s="52">
        <f>IF(K$2&gt;Assumptions!$B$25,Assumptions!$B$23*K47,MAX(Assumptions!$B$20*(1+Assumptions!$B$21)^(K$2-2027)*Assumptions!$B$38,Assumptions!$B$23*K47))</f>
        <v>524.1179999999999</v>
      </c>
      <c r="L50" s="52">
        <f>IF(L$2&gt;Assumptions!$B$25,Assumptions!$B$23*L47,MAX(Assumptions!$B$20*(1+Assumptions!$B$21)^(L$2-2027)*Assumptions!$B$38,Assumptions!$B$23*L47))</f>
        <v>534.9</v>
      </c>
      <c r="M50" s="52">
        <f>IF(M$2&gt;Assumptions!$B$25,Assumptions!$B$23*M47,MAX(Assumptions!$B$20*(1+Assumptions!$B$21)^(M$2-2027)*Assumptions!$B$38,Assumptions!$B$23*M47))</f>
        <v>541.1999999999999</v>
      </c>
      <c r="N50" s="52">
        <f>IF(N$2&gt;Assumptions!$B$25,Assumptions!$B$23*N47,MAX(Assumptions!$B$20*(1+Assumptions!$B$21)^(N$2-2027)*Assumptions!$B$38,Assumptions!$B$23*N47))</f>
        <v>541.1999999999999</v>
      </c>
      <c r="O50" s="52">
        <f>IF(O$2&gt;Assumptions!$B$25,Assumptions!$B$23*O47,MAX(Assumptions!$B$20*(1+Assumptions!$B$21)^(O$2-2027)*Assumptions!$B$38,Assumptions!$B$23*O47))</f>
        <v>541.1999999999999</v>
      </c>
      <c r="P50" s="52">
        <f>IF(P$2&gt;Assumptions!$B$25,Assumptions!$B$23*P47,MAX(Assumptions!$B$20*(1+Assumptions!$B$21)^(P$2-2027)*Assumptions!$B$38,Assumptions!$B$23*P47))</f>
        <v>541.1999999999999</v>
      </c>
      <c r="Q50" s="52">
        <f>IF(Q$2&gt;Assumptions!$B$25,Assumptions!$B$23*Q47,MAX(Assumptions!$B$20*(1+Assumptions!$B$21)^(Q$2-2027)*Assumptions!$B$38,Assumptions!$B$23*Q47))</f>
        <v>518.1</v>
      </c>
      <c r="R50" s="52">
        <f>IF(R$2&gt;Assumptions!$B$25,Assumptions!$B$23*R47,MAX(Assumptions!$B$20*(1+Assumptions!$B$21)^(R$2-2027)*Assumptions!$B$38,Assumptions!$B$23*R47))</f>
        <v>304.05</v>
      </c>
      <c r="S50" s="52">
        <f>IF(S$2&gt;Assumptions!$B$25,Assumptions!$B$23*S47,MAX(Assumptions!$B$20*(1+Assumptions!$B$21)^(S$2-2027)*Assumptions!$B$38,Assumptions!$B$23*S47))</f>
        <v>152.025</v>
      </c>
      <c r="T50" s="52">
        <f>IF(T$2&gt;Assumptions!$B$25,Assumptions!$B$23*T47,MAX(Assumptions!$B$20*(1+Assumptions!$B$21)^(T$2-2027)*Assumptions!$B$38,Assumptions!$B$23*T47))</f>
        <v>76.0125</v>
      </c>
      <c r="U50" s="52">
        <f>IF(U$2&gt;Assumptions!$B$25,Assumptions!$B$23*U47,MAX(Assumptions!$B$20*(1+Assumptions!$B$21)^(U$2-2027)*Assumptions!$B$38,Assumptions!$B$23*U47))</f>
        <v>38.00625</v>
      </c>
      <c r="V50" s="52">
        <f>IF(V$2&gt;Assumptions!$B$25,Assumptions!$B$23*V47,MAX(Assumptions!$B$20*(1+Assumptions!$B$21)^(V$2-2027)*Assumptions!$B$38,Assumptions!$B$23*V47))</f>
        <v>19.003125</v>
      </c>
      <c r="W50" s="52">
        <f>IF(W$2&gt;Assumptions!$B$25,Assumptions!$B$23*W47,MAX(Assumptions!$B$20*(1+Assumptions!$B$21)^(W$2-2027)*Assumptions!$B$38,Assumptions!$B$23*W47))</f>
        <v>9.5015625</v>
      </c>
      <c r="X50" s="52">
        <f>IF(X$2&gt;Assumptions!$B$25,Assumptions!$B$23*X47,MAX(Assumptions!$B$20*(1+Assumptions!$B$21)^(X$2-2027)*Assumptions!$B$38,Assumptions!$B$23*X47))</f>
        <v>4.75078125</v>
      </c>
      <c r="Y50" s="52">
        <f>IF(Y$2&gt;Assumptions!$B$25,Assumptions!$B$23*Y47,MAX(Assumptions!$B$20*(1+Assumptions!$B$21)^(Y$2-2027)*Assumptions!$B$38,Assumptions!$B$23*Y47))</f>
        <v>2.375390625</v>
      </c>
      <c r="Z50" s="52">
        <f>IF(Z$2&gt;Assumptions!$B$25,Assumptions!$B$23*Z47,MAX(Assumptions!$B$20*(1+Assumptions!$B$21)^(Z$2-2027)*Assumptions!$B$38,Assumptions!$B$23*Z47))</f>
        <v>1.1876953125</v>
      </c>
    </row>
    <row r="51">
      <c r="A51" s="13" t="inlineStr">
        <is>
          <t>Total R&amp;D</t>
        </is>
      </c>
      <c r="C51" s="52">
        <f>C49+C50</f>
        <v>670.0</v>
      </c>
      <c r="D51" s="52">
        <f>D49+D50</f>
        <v>634.5</v>
      </c>
      <c r="E51" s="52">
        <f>E49+E50</f>
        <v>331.635</v>
      </c>
      <c r="F51" s="52">
        <f>F49+F50</f>
        <v>223.90905</v>
      </c>
      <c r="G51" s="52">
        <f>G49+G50</f>
        <v>221.95199999999997</v>
      </c>
      <c r="H51" s="52">
        <f>H49+H50</f>
        <v>322.668</v>
      </c>
      <c r="I51" s="52">
        <f>I49+I50</f>
        <v>414.39</v>
      </c>
      <c r="J51" s="52">
        <f>J49+J50</f>
        <v>479.082</v>
      </c>
      <c r="K51" s="52">
        <f>K49+K50</f>
        <v>524.1179999999999</v>
      </c>
      <c r="L51" s="52">
        <f>L49+L50</f>
        <v>534.9</v>
      </c>
      <c r="M51" s="52">
        <f>M49+M50</f>
        <v>541.1999999999999</v>
      </c>
      <c r="N51" s="52">
        <f>N49+N50</f>
        <v>541.1999999999999</v>
      </c>
      <c r="O51" s="52">
        <f>O49+O50</f>
        <v>541.1999999999999</v>
      </c>
      <c r="P51" s="52">
        <f>P49+P50</f>
        <v>541.1999999999999</v>
      </c>
      <c r="Q51" s="52">
        <f>Q49+Q50</f>
        <v>518.1</v>
      </c>
      <c r="R51" s="52">
        <f>R49+R50</f>
        <v>304.05</v>
      </c>
      <c r="S51" s="52">
        <f>S49+S50</f>
        <v>152.025</v>
      </c>
      <c r="T51" s="52">
        <f>T49+T50</f>
        <v>76.0125</v>
      </c>
      <c r="U51" s="52">
        <f>U49+U50</f>
        <v>38.00625</v>
      </c>
      <c r="V51" s="52">
        <f>V49+V50</f>
        <v>19.003125</v>
      </c>
      <c r="W51" s="52">
        <f>W49+W50</f>
        <v>9.5015625</v>
      </c>
      <c r="X51" s="52">
        <f>X49+X50</f>
        <v>4.75078125</v>
      </c>
      <c r="Y51" s="52">
        <f>Y49+Y50</f>
        <v>2.375390625</v>
      </c>
      <c r="Z51" s="52">
        <f>Z49+Z50</f>
        <v>1.1876953125</v>
      </c>
    </row>
    <row r="52">
      <c r="A52" s="13" t="inlineStr">
        <is>
          <t>Commercial SG&amp;A</t>
        </is>
      </c>
      <c r="C52" s="52">
        <f>C12+C22+C32+C42</f>
        <v>25.200000000000003</v>
      </c>
      <c r="D52" s="52">
        <f>D12+D22+D32+D42</f>
        <v>92.5</v>
      </c>
      <c r="E52" s="52">
        <f>E12+E22+E32+E42</f>
        <v>363.15</v>
      </c>
      <c r="F52" s="52">
        <f>F12+F22+F32+F42</f>
        <v>539.2525</v>
      </c>
      <c r="G52" s="52">
        <f>G12+G22+G32+G42</f>
        <v>758.3175</v>
      </c>
      <c r="H52" s="52">
        <f>H12+H22+H32+H42</f>
        <v>902.145</v>
      </c>
      <c r="I52" s="52">
        <f>I12+I22+I32+I42</f>
        <v>1015.74</v>
      </c>
      <c r="J52" s="52">
        <f>J12+J22+J32+J42</f>
        <v>998.205</v>
      </c>
      <c r="K52" s="52">
        <f>K12+K22+K32+K42</f>
        <v>1072.995</v>
      </c>
      <c r="L52" s="52">
        <f>L12+L22+L32+L42</f>
        <v>1042.5</v>
      </c>
      <c r="M52" s="52">
        <f>M12+M22+M32+M42</f>
        <v>1053.0</v>
      </c>
      <c r="N52" s="52">
        <f>N12+N22+N32+N42</f>
        <v>1053.0</v>
      </c>
      <c r="O52" s="52">
        <f>O12+O22+O32+O42</f>
        <v>1053.0</v>
      </c>
      <c r="P52" s="52">
        <f>P12+P22+P32+P42</f>
        <v>1053.0</v>
      </c>
      <c r="Q52" s="52">
        <f>Q12+Q22+Q32+Q42</f>
        <v>995.25</v>
      </c>
      <c r="R52" s="52">
        <f>R12+R22+R32+R42</f>
        <v>572.625</v>
      </c>
      <c r="S52" s="52">
        <f>S12+S22+S32+S42</f>
        <v>286.3125</v>
      </c>
      <c r="T52" s="52">
        <f>T12+T22+T32+T42</f>
        <v>143.15625</v>
      </c>
      <c r="U52" s="52">
        <f>U12+U22+U32+U42</f>
        <v>71.578125</v>
      </c>
      <c r="V52" s="52">
        <f>V12+V22+V32+V42</f>
        <v>35.7890625</v>
      </c>
      <c r="W52" s="52">
        <f>W12+W22+W32+W42</f>
        <v>17.89453125</v>
      </c>
      <c r="X52" s="52">
        <f>X12+X22+X32+X42</f>
        <v>8.947265625</v>
      </c>
      <c r="Y52" s="52">
        <f>Y12+Y22+Y32+Y42</f>
        <v>4.4736328125</v>
      </c>
      <c r="Z52" s="52">
        <f>Z12+Z22+Z32+Z42</f>
        <v>2.23681640625</v>
      </c>
    </row>
    <row r="53">
      <c r="A53" s="13" t="inlineStr">
        <is>
          <t>Corporate G&amp;A</t>
        </is>
      </c>
      <c r="C53" s="52">
        <f>IF(C$2&gt;Assumptions!$B$25,Assumptions!$B$22*C47,MAX(Assumptions!$B$19*(1+Assumptions!$B$21)^(C$2-2027)*Assumptions!$B$38,Assumptions!$B$22*C47))</f>
        <v>200.0</v>
      </c>
      <c r="D53" s="52">
        <f>IF(D$2&gt;Assumptions!$B$25,Assumptions!$B$22*D47,MAX(Assumptions!$B$19*(1+Assumptions!$B$21)^(D$2-2027)*Assumptions!$B$38,Assumptions!$B$22*D47))</f>
        <v>206.0</v>
      </c>
      <c r="E53" s="52">
        <f>IF(E$2&gt;Assumptions!$B$25,Assumptions!$B$22*E47,MAX(Assumptions!$B$19*(1+Assumptions!$B$21)^(E$2-2027)*Assumptions!$B$38,Assumptions!$B$22*E47))</f>
        <v>212.17999999999998</v>
      </c>
      <c r="F53" s="52">
        <f>IF(F$2&gt;Assumptions!$B$25,Assumptions!$B$22*F47,MAX(Assumptions!$B$19*(1+Assumptions!$B$21)^(F$2-2027)*Assumptions!$B$38,Assumptions!$B$22*F47))</f>
        <v>218.5454</v>
      </c>
      <c r="G53" s="52">
        <f>IF(G$2&gt;Assumptions!$B$25,Assumptions!$B$22*G47,MAX(Assumptions!$B$19*(1+Assumptions!$B$21)^(G$2-2027)*Assumptions!$B$38,Assumptions!$B$22*G47))</f>
        <v>225.10176200000004</v>
      </c>
      <c r="H53" s="52">
        <f>IF(H$2&gt;Assumptions!$B$25,Assumptions!$B$22*H47,MAX(Assumptions!$B$19*(1+Assumptions!$B$21)^(H$2-2027)*Assumptions!$B$38,Assumptions!$B$22*H47))</f>
        <v>231.85481486</v>
      </c>
      <c r="I53" s="52">
        <f>IF(I$2&gt;Assumptions!$B$25,Assumptions!$B$22*I47,MAX(Assumptions!$B$19*(1+Assumptions!$B$21)^(I$2-2027)*Assumptions!$B$38,Assumptions!$B$22*I47))</f>
        <v>238.81045930580004</v>
      </c>
      <c r="J53" s="52">
        <f>IF(J$2&gt;Assumptions!$B$25,Assumptions!$B$22*J47,MAX(Assumptions!$B$19*(1+Assumptions!$B$21)^(J$2-2027)*Assumptions!$B$38,Assumptions!$B$22*J47))</f>
        <v>245.97477308497403</v>
      </c>
      <c r="K53" s="52">
        <f>IF(K$2&gt;Assumptions!$B$25,Assumptions!$B$22*K47,MAX(Assumptions!$B$19*(1+Assumptions!$B$21)^(K$2-2027)*Assumptions!$B$38,Assumptions!$B$22*K47))</f>
        <v>262.05899999999997</v>
      </c>
      <c r="L53" s="52">
        <f>IF(L$2&gt;Assumptions!$B$25,Assumptions!$B$22*L47,MAX(Assumptions!$B$19*(1+Assumptions!$B$21)^(L$2-2027)*Assumptions!$B$38,Assumptions!$B$22*L47))</f>
        <v>267.45</v>
      </c>
      <c r="M53" s="52">
        <f>IF(M$2&gt;Assumptions!$B$25,Assumptions!$B$22*M47,MAX(Assumptions!$B$19*(1+Assumptions!$B$21)^(M$2-2027)*Assumptions!$B$38,Assumptions!$B$22*M47))</f>
        <v>270.59999999999997</v>
      </c>
      <c r="N53" s="52">
        <f>IF(N$2&gt;Assumptions!$B$25,Assumptions!$B$22*N47,MAX(Assumptions!$B$19*(1+Assumptions!$B$21)^(N$2-2027)*Assumptions!$B$38,Assumptions!$B$22*N47))</f>
        <v>276.8467741448892</v>
      </c>
      <c r="O53" s="52">
        <f>IF(O$2&gt;Assumptions!$B$25,Assumptions!$B$22*O47,MAX(Assumptions!$B$19*(1+Assumptions!$B$21)^(O$2-2027)*Assumptions!$B$38,Assumptions!$B$22*O47))</f>
        <v>285.15217736923586</v>
      </c>
      <c r="P53" s="52">
        <f>IF(P$2&gt;Assumptions!$B$25,Assumptions!$B$22*P47,MAX(Assumptions!$B$19*(1+Assumptions!$B$21)^(P$2-2027)*Assumptions!$B$38,Assumptions!$B$22*P47))</f>
        <v>293.706742690313</v>
      </c>
      <c r="Q53" s="52">
        <f>IF(Q$2&gt;Assumptions!$B$25,Assumptions!$B$22*Q47,MAX(Assumptions!$B$19*(1+Assumptions!$B$21)^(Q$2-2027)*Assumptions!$B$38,Assumptions!$B$22*Q47))</f>
        <v>302.51794497102236</v>
      </c>
      <c r="R53" s="52">
        <f>IF(R$2&gt;Assumptions!$B$25,Assumptions!$B$22*R47,MAX(Assumptions!$B$19*(1+Assumptions!$B$21)^(R$2-2027)*Assumptions!$B$38,Assumptions!$B$22*R47))</f>
        <v>311.59348332015304</v>
      </c>
      <c r="S53" s="52">
        <f>IF(S$2&gt;Assumptions!$B$25,Assumptions!$B$22*S47,MAX(Assumptions!$B$19*(1+Assumptions!$B$21)^(S$2-2027)*Assumptions!$B$38,Assumptions!$B$22*S47))</f>
        <v>76.0125</v>
      </c>
      <c r="T53" s="52">
        <f>IF(T$2&gt;Assumptions!$B$25,Assumptions!$B$22*T47,MAX(Assumptions!$B$19*(1+Assumptions!$B$21)^(T$2-2027)*Assumptions!$B$38,Assumptions!$B$22*T47))</f>
        <v>38.00625</v>
      </c>
      <c r="U53" s="52">
        <f>IF(U$2&gt;Assumptions!$B$25,Assumptions!$B$22*U47,MAX(Assumptions!$B$19*(1+Assumptions!$B$21)^(U$2-2027)*Assumptions!$B$38,Assumptions!$B$22*U47))</f>
        <v>19.003125</v>
      </c>
      <c r="V53" s="52">
        <f>IF(V$2&gt;Assumptions!$B$25,Assumptions!$B$22*V47,MAX(Assumptions!$B$19*(1+Assumptions!$B$21)^(V$2-2027)*Assumptions!$B$38,Assumptions!$B$22*V47))</f>
        <v>9.5015625</v>
      </c>
      <c r="W53" s="52">
        <f>IF(W$2&gt;Assumptions!$B$25,Assumptions!$B$22*W47,MAX(Assumptions!$B$19*(1+Assumptions!$B$21)^(W$2-2027)*Assumptions!$B$38,Assumptions!$B$22*W47))</f>
        <v>4.75078125</v>
      </c>
      <c r="X53" s="52">
        <f>IF(X$2&gt;Assumptions!$B$25,Assumptions!$B$22*X47,MAX(Assumptions!$B$19*(1+Assumptions!$B$21)^(X$2-2027)*Assumptions!$B$38,Assumptions!$B$22*X47))</f>
        <v>2.375390625</v>
      </c>
      <c r="Y53" s="52">
        <f>IF(Y$2&gt;Assumptions!$B$25,Assumptions!$B$22*Y47,MAX(Assumptions!$B$19*(1+Assumptions!$B$21)^(Y$2-2027)*Assumptions!$B$38,Assumptions!$B$22*Y47))</f>
        <v>1.1876953125</v>
      </c>
      <c r="Z53" s="52">
        <f>IF(Z$2&gt;Assumptions!$B$25,Assumptions!$B$22*Z47,MAX(Assumptions!$B$19*(1+Assumptions!$B$21)^(Z$2-2027)*Assumptions!$B$38,Assumptions!$B$22*Z47))</f>
        <v>0.59384765625</v>
      </c>
    </row>
    <row r="54">
      <c r="A54" s="13" t="inlineStr">
        <is>
          <t>Total G&amp;A incl. SG&amp;A</t>
        </is>
      </c>
      <c r="C54" s="52">
        <f>C52+C53</f>
        <v>225.2</v>
      </c>
      <c r="D54" s="52">
        <f>D52+D53</f>
        <v>298.5</v>
      </c>
      <c r="E54" s="52">
        <f>E52+E53</f>
        <v>575.3299999999999</v>
      </c>
      <c r="F54" s="52">
        <f>F52+F53</f>
        <v>757.7979</v>
      </c>
      <c r="G54" s="52">
        <f>G52+G53</f>
        <v>983.419262</v>
      </c>
      <c r="H54" s="52">
        <f>H52+H53</f>
        <v>1133.99981486</v>
      </c>
      <c r="I54" s="52">
        <f>I52+I53</f>
        <v>1254.5504593058001</v>
      </c>
      <c r="J54" s="52">
        <f>J52+J53</f>
        <v>1244.1797730849742</v>
      </c>
      <c r="K54" s="52">
        <f>K52+K53</f>
        <v>1335.0539999999999</v>
      </c>
      <c r="L54" s="52">
        <f>L52+L53</f>
        <v>1309.95</v>
      </c>
      <c r="M54" s="52">
        <f>M52+M53</f>
        <v>1323.6</v>
      </c>
      <c r="N54" s="52">
        <f>N52+N53</f>
        <v>1329.8467741448892</v>
      </c>
      <c r="O54" s="52">
        <f>O52+O53</f>
        <v>1338.152177369236</v>
      </c>
      <c r="P54" s="52">
        <f>P52+P53</f>
        <v>1346.706742690313</v>
      </c>
      <c r="Q54" s="52">
        <f>Q52+Q53</f>
        <v>1297.7679449710224</v>
      </c>
      <c r="R54" s="52">
        <f>R52+R53</f>
        <v>884.218483320153</v>
      </c>
      <c r="S54" s="52">
        <f>S52+S53</f>
        <v>362.325</v>
      </c>
      <c r="T54" s="52">
        <f>T52+T53</f>
        <v>181.1625</v>
      </c>
      <c r="U54" s="52">
        <f>U52+U53</f>
        <v>90.58125</v>
      </c>
      <c r="V54" s="52">
        <f>V52+V53</f>
        <v>45.290625</v>
      </c>
      <c r="W54" s="52">
        <f>W52+W53</f>
        <v>22.6453125</v>
      </c>
      <c r="X54" s="52">
        <f>X52+X53</f>
        <v>11.32265625</v>
      </c>
      <c r="Y54" s="52">
        <f>Y52+Y53</f>
        <v>5.661328125</v>
      </c>
      <c r="Z54" s="52">
        <f>Z52+Z53</f>
        <v>2.8306640625</v>
      </c>
    </row>
    <row r="55">
      <c r="A55" s="23" t="inlineStr">
        <is>
          <t>Operating income (EBIT)</t>
        </is>
      </c>
      <c r="C55" s="64">
        <f>C47-C48-C51-C54</f>
        <v>-872.24</v>
      </c>
      <c r="D55" s="64">
        <f>D47-D48-D51-D54</f>
        <v>-875.6</v>
      </c>
      <c r="E55" s="64">
        <f>E47-E48-E51-E54</f>
        <v>-533.645</v>
      </c>
      <c r="F55" s="64">
        <f>F47-F48-F51-F54</f>
        <v>-148.85694999999998</v>
      </c>
      <c r="G55" s="64">
        <f>G47-G48-G51-G54</f>
        <v>279.425738</v>
      </c>
      <c r="H55" s="64">
        <f>H47-H48-H51-H54</f>
        <v>700.60518514</v>
      </c>
      <c r="I55" s="64">
        <f>I47-I48-I51-I54</f>
        <v>1100.6245406942</v>
      </c>
      <c r="J55" s="64">
        <f>J47-J48-J51-J54</f>
        <v>1477.9402269150257</v>
      </c>
      <c r="K55" s="64">
        <f>K47-K48-K51-K54</f>
        <v>1642.501</v>
      </c>
      <c r="L55" s="64">
        <f>L47-L48-L51-L54</f>
        <v>1728.8499999999997</v>
      </c>
      <c r="M55" s="64">
        <f>M47-M48-M51-M54</f>
        <v>1750.9</v>
      </c>
      <c r="N55" s="64">
        <f>N47-N48-N51-N54</f>
        <v>1744.6532258551108</v>
      </c>
      <c r="O55" s="64">
        <f>O47-O48-O51-O54</f>
        <v>1736.347822630764</v>
      </c>
      <c r="P55" s="64">
        <f>P47-P48-P51-P54</f>
        <v>1727.793257309687</v>
      </c>
      <c r="Q55" s="64">
        <f>Q47-Q48-Q51-Q54</f>
        <v>1641.9820550289776</v>
      </c>
      <c r="R55" s="64">
        <f>R47-R48-R51-R54</f>
        <v>840.656516679847</v>
      </c>
      <c r="S55" s="64">
        <f>S47-S48-S51-S54</f>
        <v>500.1125</v>
      </c>
      <c r="T55" s="64">
        <f>T47-T48-T51-T54</f>
        <v>250.05625</v>
      </c>
      <c r="U55" s="64">
        <f>U47-U48-U51-U54</f>
        <v>125.028125</v>
      </c>
      <c r="V55" s="64">
        <f>V47-V48-V51-V54</f>
        <v>62.5140625</v>
      </c>
      <c r="W55" s="64">
        <f>W47-W48-W51-W54</f>
        <v>31.25703125</v>
      </c>
      <c r="X55" s="64">
        <f>X47-X48-X51-X54</f>
        <v>15.628515625</v>
      </c>
      <c r="Y55" s="64">
        <f>Y47-Y48-Y51-Y54</f>
        <v>7.8142578125</v>
      </c>
      <c r="Z55" s="64">
        <f>Z47-Z48-Z51-Z54</f>
        <v>3.90712890625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SMMT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0.11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28.0</v>
      </c>
      <c r="E8" s="70">
        <f>'Yearly Model'!I2</f>
        <v>70.0</v>
      </c>
      <c r="F8" s="70">
        <f>'Yearly Model'!J2</f>
        <v>463.5</v>
      </c>
      <c r="G8" s="70">
        <f>'Yearly Model'!K2</f>
        <v>1036.25</v>
      </c>
      <c r="H8" s="70">
        <f>'Yearly Model'!L2</f>
        <v>1849.6</v>
      </c>
      <c r="I8" s="70">
        <f>'Yearly Model'!M2</f>
        <v>2688.9</v>
      </c>
      <c r="J8" s="70">
        <f>'Yearly Model'!N2</f>
        <v>3453.25</v>
      </c>
      <c r="K8" s="70">
        <f>'Yearly Model'!O2</f>
        <v>3992.35</v>
      </c>
      <c r="L8" s="70">
        <f>'Yearly Model'!P2</f>
        <v>4367.65</v>
      </c>
      <c r="M8" s="70">
        <f>'Yearly Model'!Q2</f>
        <v>4457.5</v>
      </c>
      <c r="N8" s="70">
        <f>'Yearly Model'!R2</f>
        <v>4510.0</v>
      </c>
      <c r="O8" s="70">
        <f>'Yearly Model'!S2</f>
        <v>4510.0</v>
      </c>
      <c r="P8" s="70">
        <f>'Yearly Model'!T2</f>
        <v>4510.0</v>
      </c>
      <c r="Q8" s="70">
        <f>'Yearly Model'!U2</f>
        <v>4510.0</v>
      </c>
      <c r="R8" s="70">
        <f>'Yearly Model'!V2</f>
        <v>4317.5</v>
      </c>
      <c r="S8" s="70">
        <f>'Yearly Model'!W2</f>
        <v>2533.75</v>
      </c>
      <c r="T8" s="70">
        <f>'Yearly Model'!X2</f>
        <v>1266.875</v>
      </c>
      <c r="U8" s="70">
        <f>'Yearly Model'!Y2</f>
        <v>633.4375</v>
      </c>
      <c r="V8" s="70">
        <f>'Yearly Model'!Z2</f>
        <v>316.71875</v>
      </c>
      <c r="W8" s="70">
        <f>'Yearly Model'!AA2</f>
        <v>158.359375</v>
      </c>
      <c r="X8" s="70">
        <f>'Yearly Model'!AB2</f>
        <v>79.1796875</v>
      </c>
      <c r="Y8" s="70">
        <f>'Yearly Model'!AC2</f>
        <v>39.58984375</v>
      </c>
      <c r="Z8" s="70">
        <f>'Yearly Model'!AD2</f>
        <v>19.794921875</v>
      </c>
      <c r="AA8" s="70">
        <f>'Yearly Model'!AE2</f>
        <v>9.8974609375</v>
      </c>
    </row>
    <row r="9">
      <c r="A9" s="13" t="inlineStr">
        <is>
          <t>Operating income (EBIT)</t>
        </is>
      </c>
      <c r="C9" s="52">
        <f>SUM('Quarterly Model'!H8:I8)</f>
        <v>-460.0</v>
      </c>
      <c r="D9" s="70">
        <f>'Yearly Model'!H8</f>
        <v>-872.24</v>
      </c>
      <c r="E9" s="70">
        <f>'Yearly Model'!I8</f>
        <v>-875.6</v>
      </c>
      <c r="F9" s="70">
        <f>'Yearly Model'!J8</f>
        <v>-533.645</v>
      </c>
      <c r="G9" s="70">
        <f>'Yearly Model'!K8</f>
        <v>-148.85694999999998</v>
      </c>
      <c r="H9" s="70">
        <f>'Yearly Model'!L8</f>
        <v>279.42573800000014</v>
      </c>
      <c r="I9" s="70">
        <f>'Yearly Model'!M8</f>
        <v>700.6051851400002</v>
      </c>
      <c r="J9" s="70">
        <f>'Yearly Model'!N8</f>
        <v>1100.6245406941998</v>
      </c>
      <c r="K9" s="70">
        <f>'Yearly Model'!O8</f>
        <v>1477.9402269150255</v>
      </c>
      <c r="L9" s="70">
        <f>'Yearly Model'!P8</f>
        <v>1642.501</v>
      </c>
      <c r="M9" s="70">
        <f>'Yearly Model'!Q8</f>
        <v>1728.85</v>
      </c>
      <c r="N9" s="70">
        <f>'Yearly Model'!R8</f>
        <v>1750.9</v>
      </c>
      <c r="O9" s="70">
        <f>'Yearly Model'!S8</f>
        <v>1744.6532258551106</v>
      </c>
      <c r="P9" s="70">
        <f>'Yearly Model'!T8</f>
        <v>1736.3478226307639</v>
      </c>
      <c r="Q9" s="70">
        <f>'Yearly Model'!U8</f>
        <v>1727.7932573096869</v>
      </c>
      <c r="R9" s="70">
        <f>'Yearly Model'!V8</f>
        <v>1641.9820550289774</v>
      </c>
      <c r="S9" s="70">
        <f>'Yearly Model'!W8</f>
        <v>840.6565166798468</v>
      </c>
      <c r="T9" s="70">
        <f>'Yearly Model'!X8</f>
        <v>500.11249999999995</v>
      </c>
      <c r="U9" s="70">
        <f>'Yearly Model'!Y8</f>
        <v>250.05624999999998</v>
      </c>
      <c r="V9" s="70">
        <f>'Yearly Model'!Z8</f>
        <v>125.02812499999999</v>
      </c>
      <c r="W9" s="70">
        <f>'Yearly Model'!AA8</f>
        <v>62.514062499999994</v>
      </c>
      <c r="X9" s="70">
        <f>'Yearly Model'!AB8</f>
        <v>31.257031249999997</v>
      </c>
      <c r="Y9" s="70">
        <f>'Yearly Model'!AC8</f>
        <v>15.628515624999999</v>
      </c>
      <c r="Z9" s="70">
        <f>'Yearly Model'!AD8</f>
        <v>7.814257812499999</v>
      </c>
      <c r="AA9" s="70">
        <f>'Yearly Model'!AE8</f>
        <v>3.9071289062499996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</v>
      </c>
      <c r="E10" s="52">
        <f>IF(E9&gt;0,MAX(0,E9-'Yearly Model'!H21)*Assumptions!$B$15,0)</f>
        <v>0</v>
      </c>
      <c r="F10" s="52">
        <f>IF(F9&gt;0,MAX(0,F9-'Yearly Model'!I21)*Assumptions!$B$15,0)</f>
        <v>0</v>
      </c>
      <c r="G10" s="52">
        <f>IF(G9&gt;0,MAX(0,G9-'Yearly Model'!J21)*Assumptions!$B$15,0)</f>
        <v>0</v>
      </c>
      <c r="H10" s="52">
        <f>IF(H9&gt;0,MAX(0,H9-'Yearly Model'!K21)*Assumptions!$B$15,0)</f>
        <v>0.0</v>
      </c>
      <c r="I10" s="52">
        <f>IF(I9&gt;0,MAX(0,I9-'Yearly Model'!L21)*Assumptions!$B$15,0)</f>
        <v>0.0</v>
      </c>
      <c r="J10" s="52">
        <f>IF(J9&gt;0,MAX(0,J9-'Yearly Model'!M21)*Assumptions!$B$15,0)</f>
        <v>0.0</v>
      </c>
      <c r="K10" s="52">
        <f>IF(K9&gt;0,MAX(0,K9-'Yearly Model'!N21)*Assumptions!$B$15,0)</f>
        <v>0.0</v>
      </c>
      <c r="L10" s="52">
        <f>IF(L9&gt;0,MAX(0,L9-'Yearly Model'!O21)*Assumptions!$B$15,0)</f>
        <v>214.2097859850514</v>
      </c>
      <c r="M10" s="52">
        <f>IF(M9&gt;0,MAX(0,M9-'Yearly Model'!P21)*Assumptions!$B$15,0)</f>
        <v>363.0585</v>
      </c>
      <c r="N10" s="52">
        <f>IF(N9&gt;0,MAX(0,N9-'Yearly Model'!Q21)*Assumptions!$B$15,0)</f>
        <v>367.689</v>
      </c>
      <c r="O10" s="52">
        <f>IF(O9&gt;0,MAX(0,O9-'Yearly Model'!R21)*Assumptions!$B$15,0)</f>
        <v>366.3771774295732</v>
      </c>
      <c r="P10" s="52">
        <f>IF(P9&gt;0,MAX(0,P9-'Yearly Model'!S21)*Assumptions!$B$15,0)</f>
        <v>364.63304275246037</v>
      </c>
      <c r="Q10" s="52">
        <f>IF(Q9&gt;0,MAX(0,Q9-'Yearly Model'!T21)*Assumptions!$B$15,0)</f>
        <v>362.8365840350342</v>
      </c>
      <c r="R10" s="52">
        <f>IF(R9&gt;0,MAX(0,R9-'Yearly Model'!U21)*Assumptions!$B$15,0)</f>
        <v>344.81623155608526</v>
      </c>
      <c r="S10" s="52">
        <f>IF(S9&gt;0,MAX(0,S9-'Yearly Model'!V21)*Assumptions!$B$15,0)</f>
        <v>176.53786850276782</v>
      </c>
      <c r="T10" s="52">
        <f>IF(T9&gt;0,MAX(0,T9-'Yearly Model'!W21)*Assumptions!$B$15,0)</f>
        <v>105.02362499999998</v>
      </c>
      <c r="U10" s="52">
        <f>IF(U9&gt;0,MAX(0,U9-'Yearly Model'!X21)*Assumptions!$B$15,0)</f>
        <v>52.51181249999999</v>
      </c>
      <c r="V10" s="52">
        <f>IF(V9&gt;0,MAX(0,V9-'Yearly Model'!Y21)*Assumptions!$B$15,0)</f>
        <v>26.255906249999995</v>
      </c>
      <c r="W10" s="52">
        <f>IF(W9&gt;0,MAX(0,W9-'Yearly Model'!Z21)*Assumptions!$B$15,0)</f>
        <v>13.127953124999998</v>
      </c>
      <c r="X10" s="52">
        <f>IF(X9&gt;0,MAX(0,X9-'Yearly Model'!AA21)*Assumptions!$B$15,0)</f>
        <v>6.563976562499999</v>
      </c>
      <c r="Y10" s="52">
        <f>IF(Y9&gt;0,MAX(0,Y9-'Yearly Model'!AB21)*Assumptions!$B$15,0)</f>
        <v>3.2819882812499994</v>
      </c>
      <c r="Z10" s="52">
        <f>IF(Z9&gt;0,MAX(0,Z9-'Yearly Model'!AC21)*Assumptions!$B$15,0)</f>
        <v>1.6409941406249997</v>
      </c>
      <c r="AA10" s="52">
        <f>IF(AA9&gt;0,MAX(0,AA9-'Yearly Model'!AD21)*Assumptions!$B$15,0)</f>
        <v>0.8204970703124999</v>
      </c>
    </row>
    <row r="11">
      <c r="A11" s="23" t="inlineStr">
        <is>
          <t>Unlevered free cash flow</t>
        </is>
      </c>
      <c r="C11" s="56">
        <f>C9-C10</f>
        <v>-460.0</v>
      </c>
      <c r="D11" s="56">
        <f>D9-D10</f>
        <v>-872.24</v>
      </c>
      <c r="E11" s="56">
        <f>E9-E10</f>
        <v>-875.6</v>
      </c>
      <c r="F11" s="56">
        <f>F9-F10</f>
        <v>-533.645</v>
      </c>
      <c r="G11" s="56">
        <f>G9-G10</f>
        <v>-148.85694999999998</v>
      </c>
      <c r="H11" s="56">
        <f>H9-H10</f>
        <v>279.42573800000014</v>
      </c>
      <c r="I11" s="56">
        <f>I9-I10</f>
        <v>700.6051851400002</v>
      </c>
      <c r="J11" s="56">
        <f>J9-J10</f>
        <v>1100.6245406941998</v>
      </c>
      <c r="K11" s="56">
        <f>K9-K10</f>
        <v>1477.9402269150255</v>
      </c>
      <c r="L11" s="56">
        <f>L9-L10</f>
        <v>1428.2912140149485</v>
      </c>
      <c r="M11" s="56">
        <f>M9-M10</f>
        <v>1365.7914999999998</v>
      </c>
      <c r="N11" s="56">
        <f>N9-N10</f>
        <v>1383.211</v>
      </c>
      <c r="O11" s="56">
        <f>O9-O10</f>
        <v>1378.2760484255373</v>
      </c>
      <c r="P11" s="56">
        <f>P9-P10</f>
        <v>1371.7147798783035</v>
      </c>
      <c r="Q11" s="56">
        <f>Q9-Q10</f>
        <v>1364.9566732746525</v>
      </c>
      <c r="R11" s="56">
        <f>R9-R10</f>
        <v>1297.165823472892</v>
      </c>
      <c r="S11" s="56">
        <f>S9-S10</f>
        <v>664.118648177079</v>
      </c>
      <c r="T11" s="56">
        <f>T9-T10</f>
        <v>395.088875</v>
      </c>
      <c r="U11" s="56">
        <f>U9-U10</f>
        <v>197.5444375</v>
      </c>
      <c r="V11" s="56">
        <f>V9-V10</f>
        <v>98.77221875</v>
      </c>
      <c r="W11" s="56">
        <f>W9-W10</f>
        <v>49.386109375</v>
      </c>
      <c r="X11" s="56">
        <f>X9-X10</f>
        <v>24.6930546875</v>
      </c>
      <c r="Y11" s="56">
        <f>Y9-Y10</f>
        <v>12.34652734375</v>
      </c>
      <c r="Z11" s="56">
        <f>Z9-Z10</f>
        <v>6.173263671875</v>
      </c>
      <c r="AA11" s="56">
        <f>AA9-AA10</f>
        <v>3.0866318359375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0.9289351816972986</v>
      </c>
      <c r="E14" s="72">
        <f>1/(1+$B$5)^E13</f>
        <v>0.8366992252310619</v>
      </c>
      <c r="F14" s="72">
        <f>1/(1+$B$5)^F13</f>
        <v>0.7538369308478127</v>
      </c>
      <c r="G14" s="72">
        <f>1/(1+$B$5)^G13</f>
        <v>0.679180882656031</v>
      </c>
      <c r="H14" s="72">
        <f>1/(1+$B$5)^H13</f>
        <v>0.6119183771570241</v>
      </c>
      <c r="I14" s="72">
        <f>1/(1+$B$5)^I13</f>
        <v>0.5511596957028242</v>
      </c>
      <c r="J14" s="72">
        <f>1/(1+$B$5)^J13</f>
        <v>0.49657573580385667</v>
      </c>
      <c r="K14" s="72">
        <f>1/(1+$B$5)^K13</f>
        <v>0.4473974844526683</v>
      </c>
      <c r="L14" s="72">
        <f>1/(1+$B$5)^L13</f>
        <v>0.40308958868187406</v>
      </c>
      <c r="M14" s="72">
        <f>1/(1+$B$5)^M13</f>
        <v>0.3630659632597832</v>
      </c>
      <c r="N14" s="72">
        <f>1/(1+$B$5)^N13</f>
        <v>0.32710981818284474</v>
      </c>
      <c r="O14" s="72">
        <f>1/(1+$B$5)^O13</f>
        <v>0.29471458076352874</v>
      </c>
      <c r="P14" s="72">
        <f>1/(1+$B$5)^P13</f>
        <v>0.2655275974201183</v>
      </c>
      <c r="Q14" s="72">
        <f>1/(1+$B$5)^Q13</f>
        <v>0.2391627956570098</v>
      </c>
      <c r="R14" s="72">
        <f>1/(1+$B$5)^R13</f>
        <v>0.21547736918397917</v>
      </c>
      <c r="S14" s="72">
        <f>1/(1+$B$5)^S13</f>
        <v>0.1941376228810946</v>
      </c>
      <c r="T14" s="72">
        <f>1/(1+$B$5)^T13</f>
        <v>0.17491125291093593</v>
      </c>
      <c r="U14" s="72">
        <f>1/(1+$B$5)^U13</f>
        <v>0.15754394136238364</v>
      </c>
      <c r="V14" s="72">
        <f>1/(1+$B$5)^V13</f>
        <v>0.14194161730876437</v>
      </c>
      <c r="W14" s="72">
        <f>1/(1+$B$5)^W13</f>
        <v>0.12788446543865808</v>
      </c>
      <c r="X14" s="72">
        <f>1/(1+$B$5)^X13</f>
        <v>0.11521946001894331</v>
      </c>
      <c r="Y14" s="72">
        <f>1/(1+$B$5)^Y13</f>
        <v>0.10377907396428576</v>
      </c>
      <c r="Z14" s="72">
        <f>1/(1+$B$5)^Z13</f>
        <v>0.09350133984151916</v>
      </c>
      <c r="AA14" s="72">
        <f>1/(1+$B$5)^AA13</f>
        <v>0.08424145849641984</v>
      </c>
    </row>
    <row r="15">
      <c r="A15" s="23" t="inlineStr">
        <is>
          <t>PV of free cash flow</t>
        </is>
      </c>
      <c r="C15" s="56">
        <f>C11*C14</f>
        <v>-460.0</v>
      </c>
      <c r="D15" s="56">
        <f>D11*D14</f>
        <v>-810.2544228836517</v>
      </c>
      <c r="E15" s="56">
        <f>E11*E14</f>
        <v>-732.6138416123179</v>
      </c>
      <c r="F15" s="56">
        <f>F11*F14</f>
        <v>-402.281308962281</v>
      </c>
      <c r="G15" s="56">
        <f>G11*G14</f>
        <v>-101.10079469048468</v>
      </c>
      <c r="H15" s="56">
        <f>H11*H14</f>
        <v>170.98574413286389</v>
      </c>
      <c r="I15" s="56">
        <f>I11*I14</f>
        <v>386.1453406495833</v>
      </c>
      <c r="J15" s="56">
        <f>J11*J14</f>
        <v>546.543441139004</v>
      </c>
      <c r="K15" s="56">
        <f>K11*K14</f>
        <v>661.2267396931882</v>
      </c>
      <c r="L15" s="56">
        <f>L11*L14</f>
        <v>575.7293179752202</v>
      </c>
      <c r="M15" s="56">
        <f>M11*M14</f>
        <v>495.8724065595241</v>
      </c>
      <c r="N15" s="56">
        <f>N11*N14</f>
        <v>452.46189871851084</v>
      </c>
      <c r="O15" s="56">
        <f>O11*O14</f>
        <v>406.1980477881453</v>
      </c>
      <c r="P15" s="56">
        <f>P11*P14</f>
        <v>364.2281298467523</v>
      </c>
      <c r="Q15" s="56">
        <f>Q11*Q14</f>
        <v>326.4468539310576</v>
      </c>
      <c r="R15" s="56">
        <f>R11*R14</f>
        <v>279.50987903730874</v>
      </c>
      <c r="S15" s="56">
        <f>S11*S14</f>
        <v>128.9304156681041</v>
      </c>
      <c r="T15" s="56">
        <f>T11*T14</f>
        <v>69.10549013742215</v>
      </c>
      <c r="U15" s="56">
        <f>U11*U14</f>
        <v>31.12192927796506</v>
      </c>
      <c r="V15" s="56">
        <f>V11*V14</f>
        <v>14.01988847455006</v>
      </c>
      <c r="W15" s="56">
        <f>W11*W14</f>
        <v>6.315716197516975</v>
      </c>
      <c r="X15" s="56">
        <f>X11*X14</f>
        <v>2.8451204273119868</v>
      </c>
      <c r="Y15" s="56">
        <f>Y11*Y14</f>
        <v>1.2813111744091077</v>
      </c>
      <c r="Z15" s="56">
        <f>Z11*Z14</f>
        <v>0.5772084245152888</v>
      </c>
      <c r="AA15" s="56">
        <f>AA11*AA14</f>
        <v>0.26002236770085707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2413.5545334719186</v>
      </c>
    </row>
    <row r="19">
      <c r="A19" s="13" t="inlineStr">
        <is>
          <t>Cash &amp; investments (Main; incl. post-quarter financing)</t>
        </is>
      </c>
      <c r="C19" s="70">
        <f>Main!C7</f>
        <v>2690.678</v>
      </c>
    </row>
    <row r="20">
      <c r="A20" s="13" t="inlineStr">
        <is>
          <t>Debt, convertibles &amp; preferred at face (Main)</t>
        </is>
      </c>
      <c r="C20" s="70">
        <f>Main!C8</f>
        <v>0</v>
      </c>
    </row>
    <row r="21">
      <c r="A21" s="13" t="inlineStr">
        <is>
          <t>Equity value, all claims treated as debt</t>
        </is>
      </c>
      <c r="C21" s="52">
        <f>C18+C19-C20</f>
        <v>5104.232533471919</v>
      </c>
    </row>
    <row r="22">
      <c r="A22" s="13" t="inlineStr">
        <is>
          <t>Basic shares incl. pre-funded / as-converted (Main)</t>
        </is>
      </c>
      <c r="C22" s="73">
        <f>Main!C4</f>
        <v>906.705602</v>
      </c>
    </row>
    <row r="23">
      <c r="A23" s="13" t="inlineStr">
        <is>
          <t>Value / share before conversions</t>
        </is>
      </c>
      <c r="C23" s="53">
        <f>C21/C22</f>
        <v>5.629426488832832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3" t="n">
        <v>0</v>
      </c>
      <c r="C26" s="63" t="n">
        <v>0</v>
      </c>
      <c r="D26" s="63" t="n">
        <v>0</v>
      </c>
      <c r="E26" s="74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4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4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4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4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5104.232533471919</v>
      </c>
    </row>
    <row r="32">
      <c r="A32" s="13" t="inlineStr">
        <is>
          <t>Shares after conversions (mm)</t>
        </is>
      </c>
      <c r="C32" s="18">
        <f>C22+SUMPRODUCT(C26:C30,E26:E30)</f>
        <v>906.705602</v>
      </c>
    </row>
    <row r="33">
      <c r="A33" s="13" t="inlineStr">
        <is>
          <t>Value / share before options &amp; warrants</t>
        </is>
      </c>
      <c r="C33" s="53">
        <f>C31/C32</f>
        <v>5.629426488832832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</t>
        </is>
      </c>
      <c r="B36" s="75" t="n">
        <v>118.367815</v>
      </c>
      <c r="C36" s="76" t="n">
        <v>4.45</v>
      </c>
      <c r="D36" s="72">
        <f>IF(AND(B36&gt;0,$C$33&gt;C36),B36*(1-C36/$C$33),0)</f>
        <v>24.799353311248083</v>
      </c>
    </row>
    <row r="37">
      <c r="A37" s="13" t="inlineStr">
        <is>
          <t>RSUs</t>
        </is>
      </c>
      <c r="B37" s="75" t="n">
        <v>0.73</v>
      </c>
      <c r="C37" s="76" t="n">
        <v>0</v>
      </c>
      <c r="D37" s="72">
        <f>IF(AND(B37&gt;0,$C$33&gt;C37),B37*(1-C37/$C$33),0)</f>
        <v>0.73</v>
      </c>
    </row>
    <row r="38">
      <c r="A38" s="13" t="inlineStr">
        <is>
          <t>—</t>
        </is>
      </c>
      <c r="B38" s="63" t="n">
        <v>0</v>
      </c>
      <c r="C38" s="63" t="n">
        <v>0</v>
      </c>
      <c r="D38" s="72">
        <f>IF(AND(B38&gt;0,$C$33&gt;C38),B38*(1-C38/$C$33),0)</f>
        <v>0</v>
      </c>
    </row>
    <row r="39">
      <c r="A39" s="13" t="inlineStr">
        <is>
          <t>—</t>
        </is>
      </c>
      <c r="B39" s="63" t="n">
        <v>0</v>
      </c>
      <c r="C39" s="63" t="n">
        <v>0</v>
      </c>
      <c r="D39" s="72">
        <f>IF(AND(B39&gt;0,$C$33&gt;C39),B39*(1-C39/$C$33),0)</f>
        <v>0</v>
      </c>
    </row>
    <row r="40">
      <c r="A40" s="13" t="inlineStr">
        <is>
          <t>—</t>
        </is>
      </c>
      <c r="B40" s="63" t="n">
        <v>0</v>
      </c>
      <c r="C40" s="63" t="n">
        <v>0</v>
      </c>
      <c r="D40" s="72">
        <f>IF(AND(B40&gt;0,$C$33&gt;C40),B40*(1-C40/$C$33),0)</f>
        <v>0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932.2349553112481</v>
      </c>
    </row>
    <row r="43">
      <c r="A43" s="23" t="inlineStr">
        <is>
          <t>rNPV / share, diluted</t>
        </is>
      </c>
      <c r="C43" s="77">
        <f>C31/C42</f>
        <v>5.475264046248677</v>
      </c>
    </row>
    <row r="44">
      <c r="A44" s="13" t="inlineStr">
        <is>
          <t>Current price (Main)</t>
        </is>
      </c>
      <c r="C44" s="78">
        <f>Main!C3</f>
        <v>16.09</v>
      </c>
    </row>
    <row r="45">
      <c r="A45" s="23" t="inlineStr">
        <is>
          <t>Upside / (downside) to rNPV</t>
        </is>
      </c>
      <c r="C45" s="58">
        <f>C43/C44-1</f>
        <v>-0.6597101276414744</v>
      </c>
    </row>
    <row r="46">
      <c r="A46" s="13" t="inlineStr">
        <is>
          <t>Net cash / share</t>
        </is>
      </c>
      <c r="C46" s="53">
        <f>(C19-C20)/C22</f>
        <v>2.9675321229569285</v>
      </c>
    </row>
    <row r="47">
      <c r="A47" s="13" t="inlineStr">
        <is>
          <t>Est. cash &amp; investments at 12/31/2026</t>
        </is>
      </c>
      <c r="C47" s="70">
        <f>'Quarterly Model'!I20</f>
        <v>2250.678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2.3168247724138356</v>
      </c>
    </row>
    <row r="49">
      <c r="A49" s="13" t="inlineStr">
        <is>
          <t>Market-implied value of pipeline (market cap − net cash)</t>
        </is>
      </c>
      <c r="C49" s="52">
        <f>Main!C5-(C19-C20)</f>
        <v>11898.21513618</v>
      </c>
    </row>
    <row r="51">
      <c r="A51" s="30" t="inlineStr">
        <is>
          <t>Sum of the parts (PV)</t>
        </is>
      </c>
      <c r="B51" s="79" t="inlineStr">
        <is>
          <t>$mm</t>
        </is>
      </c>
      <c r="C51" s="79" t="inlineStr">
        <is>
          <t>$ / share</t>
        </is>
      </c>
    </row>
    <row r="52">
      <c r="A52" s="13" t="inlineStr">
        <is>
          <t>Ivonescimab — EGFRm NSCLC after TKI (HARMONi)</t>
        </is>
      </c>
      <c r="B52" s="52">
        <f>SUMPRODUCT(Pipeline!C14:Z14,$D$14:$AA$14)</f>
        <v>862.0683714863827</v>
      </c>
      <c r="C52" s="53">
        <f>B52/$C$42</f>
        <v>0.924732940526309</v>
      </c>
    </row>
    <row r="53">
      <c r="A53" s="13" t="inlineStr">
        <is>
          <t>Ivonescimab — 1L NSCLC with chemo (HARMONi-3)</t>
        </is>
      </c>
      <c r="B53" s="52">
        <f>SUMPRODUCT(Pipeline!C24:Z24,$D$14:$AA$14)</f>
        <v>4119.500724961379</v>
      </c>
      <c r="C53" s="53">
        <f>B53/$C$42</f>
        <v>4.418951146909085</v>
      </c>
    </row>
    <row r="54">
      <c r="A54" s="13" t="inlineStr">
        <is>
          <t>Ivonescimab — PD-L1-high 1L monotherapy (HARMONi-7)</t>
        </is>
      </c>
      <c r="B54" s="52">
        <f>SUMPRODUCT(Pipeline!C34:Z34,$D$14:$AA$14)</f>
        <v>2231.9034613442327</v>
      </c>
      <c r="C54" s="53">
        <f>B54/$C$42</f>
        <v>2.3941426446502003</v>
      </c>
    </row>
    <row r="55">
      <c r="A55" s="13" t="inlineStr">
        <is>
          <t>Ivonescimab — other tumors (CRC, bladder, BTC, ADC combos)</t>
        </is>
      </c>
      <c r="B55" s="52">
        <f>SUMPRODUCT(Pipeline!C44:Z44,$D$14:$AA$14)</f>
        <v>729.1356432378448</v>
      </c>
      <c r="C55" s="53">
        <f>B55/$C$42</f>
        <v>0.7821372059519116</v>
      </c>
    </row>
    <row r="56">
      <c r="A56" s="13" t="inlineStr">
        <is>
          <t>Corporate G&amp;A + platform R&amp;D (2027+)</t>
        </is>
      </c>
      <c r="B56" s="52">
        <f>-SUMPRODUCT(Pipeline!C50:Z50,$D$14:$AA$14)-SUMPRODUCT(Pipeline!C53:Z53,$D$14:$AA$14)</f>
        <v>-4297.1046333038685</v>
      </c>
      <c r="C56" s="53">
        <f>B56/$C$42</f>
        <v>-4.609465252103941</v>
      </c>
    </row>
    <row r="57">
      <c r="A57" s="13" t="inlineStr">
        <is>
          <t>2H 2026 operating result</t>
        </is>
      </c>
      <c r="B57" s="52">
        <f>C11*C14</f>
        <v>-460.0</v>
      </c>
      <c r="C57" s="53">
        <f>B57/$C$42</f>
        <v>-0.4934378370809089</v>
      </c>
    </row>
    <row r="58">
      <c r="A58" s="13" t="inlineStr">
        <is>
          <t>Taxes</t>
        </is>
      </c>
      <c r="B58" s="52">
        <f>-SUMPRODUCT(D10:AA10,D14:AA14)</f>
        <v>-771.9490342540514</v>
      </c>
      <c r="C58" s="53">
        <f>B58/$C$42</f>
        <v>-0.8280627430413382</v>
      </c>
    </row>
    <row r="59">
      <c r="A59" s="13" t="inlineStr">
        <is>
          <t>Net cash (cash − all claims at face)</t>
        </is>
      </c>
      <c r="B59" s="52">
        <f>C19-C20</f>
        <v>2690.678</v>
      </c>
      <c r="C59" s="53">
        <f>B59/$C$42</f>
        <v>2.8862659404373603</v>
      </c>
    </row>
    <row r="60">
      <c r="A60" s="13" t="inlineStr">
        <is>
          <t>Add back converted claims</t>
        </is>
      </c>
      <c r="B60" s="52">
        <f>SUMPRODUCT(B26:B30,E26:E30)</f>
        <v>0.0</v>
      </c>
      <c r="C60" s="53">
        <f>B60/$C$42</f>
        <v>0.0</v>
      </c>
    </row>
    <row r="61">
      <c r="A61" s="23" t="inlineStr">
        <is>
          <t>Equity value</t>
        </is>
      </c>
      <c r="B61" s="64">
        <f>SUM(B52:B60)</f>
        <v>5104.23253347192</v>
      </c>
      <c r="C61" s="80">
        <f>B61/$C$42</f>
        <v>5.475264046248678</v>
      </c>
    </row>
    <row r="62">
      <c r="A62" s="25" t="inlineStr">
        <is>
          <t>Check vs. equity value above (should be 0)</t>
        </is>
      </c>
      <c r="B62" s="81">
        <f>ROUND(B61-C31,6)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SMMT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6" t="n">
        <v>14.63</v>
      </c>
    </row>
    <row r="5">
      <c r="A5" s="13" t="inlineStr">
        <is>
          <t>Pricing date</t>
        </is>
      </c>
      <c r="B5" s="82">
        <f>DATE(2026,10,16)</f>
        <v>46311</v>
      </c>
    </row>
    <row r="6">
      <c r="A6" s="13" t="inlineStr">
        <is>
          <t>PDUFA date</t>
        </is>
      </c>
      <c r="B6" s="66">
        <f>Assumptions!$B$30</f>
        <v>46340</v>
      </c>
    </row>
    <row r="7">
      <c r="A7" s="13" t="inlineStr">
        <is>
          <t>Expiry (first monthly after the PDUFA date)</t>
        </is>
      </c>
      <c r="B7" s="82">
        <f>DATE(2026,11,20)</f>
        <v>46346</v>
      </c>
    </row>
    <row r="8">
      <c r="A8" s="13" t="inlineStr">
        <is>
          <t>Years to expiry (T)</t>
        </is>
      </c>
      <c r="B8" s="72">
        <f>(B7-B5)/365</f>
        <v>0.0958904109589041</v>
      </c>
    </row>
    <row r="9">
      <c r="A9" s="13" t="inlineStr">
        <is>
          <t>Risk-free rate</t>
        </is>
      </c>
      <c r="B9" s="83" t="n">
        <v>0.04</v>
      </c>
    </row>
    <row r="10">
      <c r="A10" s="13" t="inlineStr">
        <is>
          <t>Reference IV for wide quotes (theo prices)</t>
        </is>
      </c>
      <c r="B10" s="83" t="n">
        <v>1.2151</v>
      </c>
    </row>
    <row r="11">
      <c r="A11" s="13" t="inlineStr">
        <is>
          <t>Contract multiplier</t>
        </is>
      </c>
      <c r="B11" s="84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8">
        <f>NPV!C43</f>
        <v>5.475264046248677</v>
      </c>
    </row>
    <row r="15">
      <c r="A15" s="13" t="inlineStr">
        <is>
          <t>Model value / share if approved</t>
        </is>
      </c>
      <c r="B15" s="78">
        <f>Assumptions!$D$121</f>
        <v>7.3408048391776815</v>
      </c>
    </row>
    <row r="16">
      <c r="A16" s="13" t="inlineStr">
        <is>
          <t>Model value / share if CRL</t>
        </is>
      </c>
      <c r="B16" s="78">
        <f>Assumptions!$D$120</f>
        <v>4.047792016612757</v>
      </c>
    </row>
    <row r="17">
      <c r="A17" s="13" t="inlineStr">
        <is>
          <t>Model probability of approval</t>
        </is>
      </c>
      <c r="B17" s="67">
        <f>Assumptions!$B$32</f>
        <v>0.4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1.2411294222929041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19.614757186139865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10.815770107675096</v>
      </c>
    </row>
    <row r="23">
      <c r="A23" s="13" t="inlineStr">
        <is>
          <t>Model expected price after the decision</t>
        </is>
      </c>
      <c r="B23" s="53">
        <f>B17*B21+(1-B17)*B22</f>
        <v>14.335364939061005</v>
      </c>
    </row>
    <row r="24">
      <c r="A24" s="13" t="inlineStr">
        <is>
          <t>Non-event volatility (6-month realized, 3 largest days removed)</t>
        </is>
      </c>
      <c r="B24" s="26" t="n">
        <v>0.625</v>
      </c>
    </row>
    <row r="25">
      <c r="A25" s="13" t="inlineStr">
        <is>
          <t>Model fair ATM straddle, % of spot (jump + non-event volatility)</t>
        </is>
      </c>
      <c r="B25" s="58">
        <f>(B17*((B21*NORMSDIST(((LN(B21/15.0)+$B$24^2*$B$8/2)/($B$24*SQRT($B$8))))-15.0*NORMSDIST((((LN(B21/15.0)+$B$24^2*$B$8/2)/($B$24*SQRT($B$8)))-$B$24*SQRT($B$8))))+(15.0*NORMSDIST(-(((LN(B21/15.0)+$B$24^2*$B$8/2)/($B$24*SQRT($B$8)))-$B$24*SQRT($B$8)))-B21*NORMSDIST(-((LN(B21/15.0)+$B$24^2*$B$8/2)/($B$24*SQRT($B$8))))))+(1-B17)*((B22*NORMSDIST(((LN(B22/15.0)+$B$24^2*$B$8/2)/($B$24*SQRT($B$8))))-15.0*NORMSDIST((((LN(B22/15.0)+$B$24^2*$B$8/2)/($B$24*SQRT($B$8)))-$B$24*SQRT($B$8))))+(15.0*NORMSDIST(-(((LN(B22/15.0)+$B$24^2*$B$8/2)/($B$24*SQRT($B$8)))-$B$24*SQRT($B$8)))-B22*NORMSDIST(-((LN(B22/15.0)+$B$24^2*$B$8/2)/($B$24*SQRT($B$8)))))))/B4</f>
        <v>0.3083943813841994</v>
      </c>
    </row>
    <row r="26">
      <c r="A26" s="13" t="inlineStr">
        <is>
          <t>Market ATM straddle, % of spot</t>
        </is>
      </c>
      <c r="B26" s="58">
        <f>($G$43+$G$44)/B4</f>
        <v>0.3024606971975393</v>
      </c>
    </row>
    <row r="27">
      <c r="A27" s="23" t="inlineStr">
        <is>
          <t>Options richness (market straddle ÷ model straddle)</t>
        </is>
      </c>
      <c r="B27" s="85">
        <f>B26/B25</f>
        <v>0.9807594283656295</v>
      </c>
    </row>
    <row r="28">
      <c r="A28" s="30" t="inlineStr">
        <is>
          <t>Market snapshot — 11/20/2026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6" t="n">
        <v>10</v>
      </c>
      <c r="B30" s="76" t="n">
        <v>4.1</v>
      </c>
      <c r="C30" s="76" t="n">
        <v>7</v>
      </c>
      <c r="D30" s="53">
        <f>(B30+C30)/2</f>
        <v>5.55</v>
      </c>
      <c r="E30" s="83" t="n">
        <v>1.7514</v>
      </c>
      <c r="F30" s="76" t="n">
        <v>0.25</v>
      </c>
      <c r="G30" s="76" t="n">
        <v>0.5</v>
      </c>
      <c r="H30" s="53">
        <f>(F30+G30)/2</f>
        <v>0.375</v>
      </c>
      <c r="I30" s="83" t="n">
        <v>1.229</v>
      </c>
      <c r="J30" s="87" t="n">
        <v>39</v>
      </c>
      <c r="K30" s="87" t="n">
        <v>16</v>
      </c>
    </row>
    <row r="31">
      <c r="A31" s="86" t="n">
        <v>11</v>
      </c>
      <c r="B31" s="76" t="n">
        <v>3.2</v>
      </c>
      <c r="C31" s="76" t="n">
        <v>5.1</v>
      </c>
      <c r="D31" s="53">
        <f>(B31+C31)/2</f>
        <v>4.15</v>
      </c>
      <c r="E31" s="83" t="n">
        <v>1.1254</v>
      </c>
      <c r="F31" s="76" t="n">
        <v>0.35</v>
      </c>
      <c r="G31" s="76" t="n">
        <v>2.4</v>
      </c>
      <c r="H31" s="53">
        <f>(F31+G31)/2</f>
        <v>1.375</v>
      </c>
      <c r="I31" s="83" t="n">
        <v>1.8283</v>
      </c>
      <c r="J31" s="87" t="n">
        <v>1</v>
      </c>
      <c r="K31" s="87" t="n">
        <v>78</v>
      </c>
    </row>
    <row r="32">
      <c r="A32" s="86" t="n">
        <v>12</v>
      </c>
      <c r="B32" s="76" t="n">
        <v>3.1</v>
      </c>
      <c r="C32" s="76" t="n">
        <v>4.6</v>
      </c>
      <c r="D32" s="53">
        <f>(B32+C32)/2</f>
        <v>3.8499999999999996</v>
      </c>
      <c r="E32" s="83" t="n">
        <v>1.4071</v>
      </c>
      <c r="F32" s="76" t="n">
        <v>0.75</v>
      </c>
      <c r="G32" s="76" t="n">
        <v>1</v>
      </c>
      <c r="H32" s="53">
        <f>(F32+G32)/2</f>
        <v>0.875</v>
      </c>
      <c r="I32" s="83" t="n">
        <v>1.1765</v>
      </c>
      <c r="J32" s="87" t="n">
        <v>44</v>
      </c>
      <c r="K32" s="87" t="n">
        <v>209</v>
      </c>
    </row>
    <row r="33">
      <c r="A33" s="86" t="n">
        <v>13</v>
      </c>
      <c r="B33" s="76" t="n">
        <v>2.5</v>
      </c>
      <c r="C33" s="76" t="n">
        <v>4.6</v>
      </c>
      <c r="D33" s="53">
        <f>(B33+C33)/2</f>
        <v>3.55</v>
      </c>
      <c r="E33" s="83" t="n">
        <v>1.5673</v>
      </c>
      <c r="F33" s="76" t="n">
        <v>1.2</v>
      </c>
      <c r="G33" s="76" t="n">
        <v>1.65</v>
      </c>
      <c r="H33" s="53">
        <f>(F33+G33)/2</f>
        <v>1.4249999999999998</v>
      </c>
      <c r="I33" s="83" t="n">
        <v>1.2718</v>
      </c>
      <c r="J33" s="87" t="n">
        <v>175</v>
      </c>
      <c r="K33" s="87" t="n">
        <v>497</v>
      </c>
    </row>
    <row r="34">
      <c r="A34" s="86" t="n">
        <v>14</v>
      </c>
      <c r="B34" s="76" t="n">
        <v>2</v>
      </c>
      <c r="C34" s="76" t="n">
        <v>4.6</v>
      </c>
      <c r="D34" s="53">
        <f>(B34+C34)/2</f>
        <v>3.3</v>
      </c>
      <c r="E34" s="83" t="n">
        <v>1.696</v>
      </c>
      <c r="F34" s="76" t="n">
        <v>1.6</v>
      </c>
      <c r="G34" s="76" t="n">
        <v>1.85</v>
      </c>
      <c r="H34" s="53">
        <f>(F34+G34)/2</f>
        <v>1.725</v>
      </c>
      <c r="I34" s="83" t="n">
        <v>1.1592</v>
      </c>
      <c r="J34" s="87" t="n">
        <v>299</v>
      </c>
      <c r="K34" s="87" t="n">
        <v>274</v>
      </c>
    </row>
    <row r="35">
      <c r="A35" s="86" t="n">
        <v>15</v>
      </c>
      <c r="B35" s="76" t="n">
        <v>1.9</v>
      </c>
      <c r="C35" s="76" t="n">
        <v>2.25</v>
      </c>
      <c r="D35" s="53">
        <f>(B35+C35)/2</f>
        <v>2.075</v>
      </c>
      <c r="E35" s="83" t="n">
        <v>1.2334</v>
      </c>
      <c r="F35" s="76" t="n">
        <v>2.2</v>
      </c>
      <c r="G35" s="76" t="n">
        <v>2.5</v>
      </c>
      <c r="H35" s="53">
        <f>(F35+G35)/2</f>
        <v>2.35</v>
      </c>
      <c r="I35" s="83" t="n">
        <v>1.1967</v>
      </c>
      <c r="J35" s="87" t="n">
        <v>482</v>
      </c>
      <c r="K35" s="87" t="n">
        <v>296</v>
      </c>
    </row>
    <row r="36">
      <c r="A36" s="86" t="n">
        <v>16</v>
      </c>
      <c r="B36" s="76" t="n">
        <v>1.6</v>
      </c>
      <c r="C36" s="76" t="n">
        <v>1.8</v>
      </c>
      <c r="D36" s="53">
        <f>(B36+C36)/2</f>
        <v>1.7000000000000002</v>
      </c>
      <c r="E36" s="83" t="n">
        <v>1.229</v>
      </c>
      <c r="F36" s="76" t="n">
        <v>2.75</v>
      </c>
      <c r="G36" s="76" t="n">
        <v>3.4</v>
      </c>
      <c r="H36" s="53">
        <f>(F36+G36)/2</f>
        <v>3.075</v>
      </c>
      <c r="I36" s="83" t="n">
        <v>1.2495</v>
      </c>
      <c r="J36" s="87" t="n">
        <v>2629</v>
      </c>
      <c r="K36" s="87" t="n">
        <v>547</v>
      </c>
    </row>
    <row r="37">
      <c r="A37" s="86" t="n">
        <v>17</v>
      </c>
      <c r="B37" s="76" t="n">
        <v>1.15</v>
      </c>
      <c r="C37" s="76" t="n">
        <v>1.5</v>
      </c>
      <c r="D37" s="53">
        <f>(B37+C37)/2</f>
        <v>1.325</v>
      </c>
      <c r="E37" s="83" t="n">
        <v>1.1908</v>
      </c>
      <c r="F37" s="76" t="n">
        <v>3.3</v>
      </c>
      <c r="G37" s="76" t="n">
        <v>3.8</v>
      </c>
      <c r="H37" s="53">
        <f>(F37+G37)/2</f>
        <v>3.55</v>
      </c>
      <c r="I37" s="83" t="n">
        <v>1.1276</v>
      </c>
      <c r="J37" s="87" t="n">
        <v>774</v>
      </c>
      <c r="K37" s="87" t="n">
        <v>458</v>
      </c>
    </row>
    <row r="38">
      <c r="A38" s="86" t="n">
        <v>18</v>
      </c>
      <c r="B38" s="76" t="n">
        <v>0.95</v>
      </c>
      <c r="C38" s="76" t="n">
        <v>1.2</v>
      </c>
      <c r="D38" s="53">
        <f>(B38+C38)/2</f>
        <v>1.075</v>
      </c>
      <c r="E38" s="83" t="n">
        <v>1.1925</v>
      </c>
      <c r="F38" s="76" t="n">
        <v>3.4</v>
      </c>
      <c r="G38" s="76" t="n">
        <v>4.7</v>
      </c>
      <c r="H38" s="53">
        <f>(F38+G38)/2</f>
        <v>4.05</v>
      </c>
      <c r="I38" s="83" t="n">
        <v>0.9719</v>
      </c>
      <c r="J38" s="87" t="n">
        <v>1172</v>
      </c>
      <c r="K38" s="87" t="n">
        <v>180</v>
      </c>
    </row>
    <row r="39">
      <c r="A39" s="86" t="n">
        <v>19</v>
      </c>
      <c r="B39" s="76" t="n">
        <v>0.1</v>
      </c>
      <c r="C39" s="76" t="n">
        <v>1.85</v>
      </c>
      <c r="D39" s="53">
        <f>(B39+C39)/2</f>
        <v>0.9750000000000001</v>
      </c>
      <c r="E39" s="83" t="n">
        <v>1.2597</v>
      </c>
      <c r="F39" s="76" t="n">
        <v>3.2</v>
      </c>
      <c r="G39" s="76" t="n">
        <v>6.6</v>
      </c>
      <c r="H39" s="53">
        <f>(F39+G39)/2</f>
        <v>4.9</v>
      </c>
      <c r="I39" s="83" t="n">
        <v>0.9923999999999999</v>
      </c>
      <c r="J39" s="87" t="n">
        <v>374</v>
      </c>
      <c r="K39" s="87" t="n">
        <v>70</v>
      </c>
    </row>
    <row r="41">
      <c r="A41" s="30" t="inlineStr">
        <is>
          <t>Legs (premium = mid when the market is tight, else Black-Scholes at the reference IV)</t>
        </is>
      </c>
    </row>
    <row r="42">
      <c r="A42" s="29" t="inlineStr">
        <is>
          <t>Leg</t>
        </is>
      </c>
      <c r="B42" s="29" t="inlineStr">
        <is>
          <t>Type</t>
        </is>
      </c>
      <c r="C42" s="29" t="inlineStr">
        <is>
          <t>Strike</t>
        </is>
      </c>
      <c r="D42" s="29" t="inlineStr">
        <is>
          <t>Mid</t>
        </is>
      </c>
      <c r="E42" s="29" t="inlineStr">
        <is>
          <t>Spread % of mid</t>
        </is>
      </c>
      <c r="F42" s="29" t="inlineStr">
        <is>
          <t>BS value</t>
        </is>
      </c>
      <c r="G42" s="29" t="inlineStr">
        <is>
          <t>Premium used</t>
        </is>
      </c>
      <c r="H42" s="29" t="inlineStr">
        <is>
          <t>Source</t>
        </is>
      </c>
      <c r="I42" s="29" t="inlineStr">
        <is>
          <t>d1</t>
        </is>
      </c>
      <c r="J42" s="29" t="inlineStr">
        <is>
          <t>Delta</t>
        </is>
      </c>
      <c r="K42" s="29" t="inlineStr">
        <is>
          <t>E[payoff] if approved</t>
        </is>
      </c>
      <c r="L42" s="29" t="inlineStr">
        <is>
          <t>E[payoff] if CRL</t>
        </is>
      </c>
    </row>
    <row r="43">
      <c r="A43" s="13" t="inlineStr">
        <is>
          <t>Nov-26 $15 call</t>
        </is>
      </c>
      <c r="B43" s="88" t="inlineStr">
        <is>
          <t>C</t>
        </is>
      </c>
      <c r="C43" s="11">
        <f>A35</f>
        <v>15</v>
      </c>
      <c r="D43" s="53">
        <f>(B35+C35)/2</f>
        <v>2.075</v>
      </c>
      <c r="E43" s="55">
        <f>IF(B35&gt;0,(C35-B35)/D43,9.99)</f>
        <v>0.16867469879518074</v>
      </c>
      <c r="F43" s="53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2.0536983498964254</v>
      </c>
      <c r="G43" s="57">
        <f>IF(AND(B35&gt;0,E43&lt;=0.6),D43,F43)</f>
        <v>2.075</v>
      </c>
      <c r="H43" s="51" t="str">
        <f>IF(AND(B35&gt;0,E43&lt;=0.6),"market","theo")</f>
        <v>market</v>
      </c>
      <c r="I43" s="72">
        <f>(LN($B$4/C43)+($B$9+$B$10^2/2)*$B$8)/($B$10*SQRT($B$8))</f>
        <v>0.131950967395618</v>
      </c>
      <c r="J43" s="11">
        <f>IF(B43="C",NORMSDIST(I43),NORMSDIST(I43)-1)</f>
        <v>0.5524884625606501</v>
      </c>
      <c r="K43" s="53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4.739892157349514</v>
      </c>
      <c r="L43" s="53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0.04605084402685922</v>
      </c>
    </row>
    <row r="44">
      <c r="A44" s="13" t="inlineStr">
        <is>
          <t>Nov-26 $15 put</t>
        </is>
      </c>
      <c r="B44" s="88" t="inlineStr">
        <is>
          <t>P</t>
        </is>
      </c>
      <c r="C44" s="11">
        <f>A35</f>
        <v>15</v>
      </c>
      <c r="D44" s="53">
        <f>(F35+G35)/2</f>
        <v>2.35</v>
      </c>
      <c r="E44" s="55">
        <f>IF(F35&gt;0,(G35-F35)/D44,9.99)</f>
        <v>0.127659574468085</v>
      </c>
      <c r="F44" s="53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2.366274302033692</v>
      </c>
      <c r="G44" s="57">
        <f>IF(AND(F35&gt;0,E44&lt;=0.6),D44,F44)</f>
        <v>2.35</v>
      </c>
      <c r="H44" s="51" t="str">
        <f>IF(AND(F35&gt;0,E44&lt;=0.6),"market","theo")</f>
        <v>market</v>
      </c>
      <c r="I44" s="72">
        <f>(LN($B$4/C44)+($B$9+$B$10^2/2)*$B$8)/($B$10*SQRT($B$8))</f>
        <v>0.131950967395618</v>
      </c>
      <c r="J44" s="11">
        <f>IF(B44="C",NORMSDIST(I44),NORMSDIST(I44)-1)</f>
        <v>-0.4475115374393499</v>
      </c>
      <c r="K44" s="53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0.12513497120964634</v>
      </c>
      <c r="L44" s="53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4.230280736351764</v>
      </c>
    </row>
    <row r="45">
      <c r="A45" s="13" t="inlineStr">
        <is>
          <t>Nov-26 $19 call</t>
        </is>
      </c>
      <c r="B45" s="88" t="inlineStr">
        <is>
          <t>C</t>
        </is>
      </c>
      <c r="C45" s="11">
        <f>A39</f>
        <v>19</v>
      </c>
      <c r="D45" s="53">
        <f>(B39+C39)/2</f>
        <v>0.9750000000000001</v>
      </c>
      <c r="E45" s="55">
        <f>IF(B39&gt;0,(C39-B39)/D45,9.99)</f>
        <v>1.7948717948717947</v>
      </c>
      <c r="F45" s="53">
        <f>IF(B45="C",$B$4*NORMSDIST((LN($B$4/C45)+($B$9+$B$10^2/2)*$B$8)/($B$10*SQRT($B$8)))-C45*EXP(-$B$9*$B$8)*NORMSDIST((LN($B$4/C45)+($B$9+$B$10^2/2)*$B$8)/($B$10*SQRT($B$8))-$B$10*SQRT($B$8)),C45*EXP(-$B$9*$B$8)*NORMSDIST(-((LN($B$4/C45)+($B$9+$B$10^2/2)*$B$8)/($B$10*SQRT($B$8))-$B$10*SQRT($B$8)))-$B$4*NORMSDIST(-(LN($B$4/C45)+($B$9+$B$10^2/2)*$B$8)/($B$10*SQRT($B$8))))</f>
        <v>0.9093787110955209</v>
      </c>
      <c r="G45" s="57">
        <f>IF(AND(B39&gt;0,E45&lt;=0.6),D45,F45)</f>
        <v>0.9093787110955209</v>
      </c>
      <c r="H45" s="51" t="str">
        <f>IF(AND(B39&gt;0,E45&lt;=0.6),"market","theo")</f>
        <v>theo</v>
      </c>
      <c r="I45" s="72">
        <f>(LN($B$4/C45)+($B$9+$B$10^2/2)*$B$8)/($B$10*SQRT($B$8))</f>
        <v>-0.49629143458109465</v>
      </c>
      <c r="J45" s="11">
        <f>IF(B45="C",NORMSDIST(I45),NORMSDIST(I45)-1)</f>
        <v>0.30984440430242</v>
      </c>
      <c r="K45" s="53">
        <f>IF(B45="C",($B$21*NORMSDIST(((LN($B$21/C45)+$B$24^2*$B$8/2)/($B$24*SQRT($B$8))))-C45*NORMSDIST((((LN($B$21/C45)+$B$24^2*$B$8/2)/($B$24*SQRT($B$8)))-$B$24*SQRT($B$8)))),(C45*NORMSDIST(-(((LN($B$21/C45)+$B$24^2*$B$8/2)/($B$24*SQRT($B$8)))-$B$24*SQRT($B$8)))-$B$21*NORMSDIST(-((LN($B$21/C45)+$B$24^2*$B$8/2)/($B$24*SQRT($B$8))))))</f>
        <v>1.8158281448102933</v>
      </c>
      <c r="L45" s="53">
        <f>IF(B45="C",($B$22*NORMSDIST(((LN($B$22/C45)+$B$24^2*$B$8/2)/($B$24*SQRT($B$8))))-C45*NORMSDIST((((LN($B$22/C45)+$B$24^2*$B$8/2)/($B$24*SQRT($B$8)))-$B$24*SQRT($B$8)))),(C45*NORMSDIST(-(((LN($B$22/C45)+$B$24^2*$B$8/2)/($B$24*SQRT($B$8)))-$B$24*SQRT($B$8)))-$B$22*NORMSDIST(-((LN($B$22/C45)+$B$24^2*$B$8/2)/($B$24*SQRT($B$8))))))</f>
        <v>0.0014399622359973635</v>
      </c>
    </row>
    <row r="46">
      <c r="A46" s="13" t="inlineStr">
        <is>
          <t>Nov-26 $10 put</t>
        </is>
      </c>
      <c r="B46" s="88" t="inlineStr">
        <is>
          <t>P</t>
        </is>
      </c>
      <c r="C46" s="11">
        <f>A30</f>
        <v>10</v>
      </c>
      <c r="D46" s="53">
        <f>(F30+G30)/2</f>
        <v>0.375</v>
      </c>
      <c r="E46" s="55">
        <f>IF(F30&gt;0,(G30-F30)/D46,9.99)</f>
        <v>0.6666666666666666</v>
      </c>
      <c r="F46" s="53">
        <f>IF(B46="C",$B$4*NORMSDIST((LN($B$4/C46)+($B$9+$B$10^2/2)*$B$8)/($B$10*SQRT($B$8)))-C46*EXP(-$B$9*$B$8)*NORMSDIST((LN($B$4/C46)+($B$9+$B$10^2/2)*$B$8)/($B$10*SQRT($B$8))-$B$10*SQRT($B$8)),C46*EXP(-$B$9*$B$8)*NORMSDIST(-((LN($B$4/C46)+($B$9+$B$10^2/2)*$B$8)/($B$10*SQRT($B$8))-$B$10*SQRT($B$8)))-$B$4*NORMSDIST(-(LN($B$4/C46)+($B$9+$B$10^2/2)*$B$8)/($B$10*SQRT($B$8))))</f>
        <v>0.3591943996265159</v>
      </c>
      <c r="G46" s="57">
        <f>IF(AND(F30&gt;0,E46&lt;=0.6),D46,F46)</f>
        <v>0.3591943996265159</v>
      </c>
      <c r="H46" s="51" t="str">
        <f>IF(AND(F30&gt;0,E46&lt;=0.6),"market","theo")</f>
        <v>theo</v>
      </c>
      <c r="I46" s="72">
        <f>(LN($B$4/C46)+($B$9+$B$10^2/2)*$B$8)/($B$10*SQRT($B$8))</f>
        <v>1.209541771500568</v>
      </c>
      <c r="J46" s="11">
        <f>IF(B46="C",NORMSDIST(I46),NORMSDIST(I46)-1)</f>
        <v>-0.11322738660893983</v>
      </c>
      <c r="K46" s="53">
        <f>IF(B46="C",($B$21*NORMSDIST(((LN($B$21/C46)+$B$24^2*$B$8/2)/($B$24*SQRT($B$8))))-C46*NORMSDIST((((LN($B$21/C46)+$B$24^2*$B$8/2)/($B$24*SQRT($B$8)))-$B$24*SQRT($B$8)))),(C46*NORMSDIST(-(((LN($B$21/C46)+$B$24^2*$B$8/2)/($B$24*SQRT($B$8)))-$B$24*SQRT($B$8)))-$B$21*NORMSDIST(-((LN($B$21/C46)+$B$24^2*$B$8/2)/($B$24*SQRT($B$8))))))</f>
        <v>0.00017025992633061798</v>
      </c>
      <c r="L46" s="53">
        <f>IF(B46="C",($B$22*NORMSDIST(((LN($B$22/C46)+$B$24^2*$B$8/2)/($B$24*SQRT($B$8))))-C46*NORMSDIST((((LN($B$22/C46)+$B$24^2*$B$8/2)/($B$24*SQRT($B$8)))-$B$24*SQRT($B$8)))),(C46*NORMSDIST(-(((LN($B$22/C46)+$B$24^2*$B$8/2)/($B$24*SQRT($B$8)))-$B$24*SQRT($B$8)))-$B$22*NORMSDIST(-((LN($B$22/C46)+$B$24^2*$B$8/2)/($B$24*SQRT($B$8))))))</f>
        <v>0.459197173833251</v>
      </c>
    </row>
    <row r="48">
      <c r="A48" s="30" t="inlineStr">
        <is>
          <t>Strategies (+ = credit received, − = debit paid; per share unless noted)</t>
        </is>
      </c>
    </row>
    <row r="49">
      <c r="A49" s="29" t="inlineStr">
        <is>
          <t>Metric</t>
        </is>
      </c>
      <c r="B49" s="29" t="inlineStr">
        <is>
          <t>Long straddle</t>
        </is>
      </c>
      <c r="C49" s="29" t="inlineStr">
        <is>
          <t>Bull call spread</t>
        </is>
      </c>
      <c r="D49" s="29" t="inlineStr">
        <is>
          <t>Bear put spread</t>
        </is>
      </c>
      <c r="E49" s="29" t="inlineStr">
        <is>
          <t>Iron butterfly</t>
        </is>
      </c>
    </row>
    <row r="50" ht="50" customHeight="1" s="9">
      <c r="A50" s="13" t="inlineStr">
        <is>
          <t>Structure</t>
        </is>
      </c>
      <c r="B50" s="89" t="inlineStr">
        <is>
          <t>Buy $15 call + $15 put</t>
        </is>
      </c>
      <c r="C50" s="89" t="inlineStr">
        <is>
          <t>Buy $15 / sell $19 call</t>
        </is>
      </c>
      <c r="D50" s="89" t="inlineStr">
        <is>
          <t>Buy $15 / sell $10 put</t>
        </is>
      </c>
      <c r="E50" s="89" t="inlineStr">
        <is>
          <t>Sell $15 straddle, buy $10 put + $19 call</t>
        </is>
      </c>
    </row>
    <row r="51">
      <c r="A51" s="13" t="inlineStr">
        <is>
          <t>Net premium</t>
        </is>
      </c>
      <c r="B51" s="53">
        <f>-$G$43-$G$44</f>
        <v>-4.425000000000001</v>
      </c>
      <c r="C51" s="53">
        <f>-$G$43+$G$45</f>
        <v>-1.1656212889044792</v>
      </c>
      <c r="D51" s="53">
        <f>-$G$44+$G$46</f>
        <v>-1.9908056003734842</v>
      </c>
      <c r="E51" s="53">
        <f>$G$43+$G$44-$G$45-$G$46</f>
        <v>3.156426889277964</v>
      </c>
    </row>
    <row r="52">
      <c r="A52" s="13" t="inlineStr">
        <is>
          <t>Net premium / contract</t>
        </is>
      </c>
      <c r="B52" s="90">
        <f>B51*$B$11</f>
        <v>-442.50000000000006</v>
      </c>
      <c r="C52" s="90">
        <f>C51*$B$11</f>
        <v>-116.56212889044792</v>
      </c>
      <c r="D52" s="90">
        <f>D51*$B$11</f>
        <v>-199.08056003734842</v>
      </c>
      <c r="E52" s="90">
        <f>E51*$B$11</f>
        <v>315.64268892779637</v>
      </c>
    </row>
    <row r="53">
      <c r="A53" s="13" t="inlineStr">
        <is>
          <t>Max profit / contract</t>
        </is>
      </c>
      <c r="B53" s="91" t="str">
        <f>"Unlimited"</f>
        <v>Unlimited</v>
      </c>
      <c r="C53" s="91">
        <f>(19.0-15.0+C51)*$B$11</f>
        <v>283.4378711095521</v>
      </c>
      <c r="D53" s="91">
        <f>(15.0-10.0+D51)*$B$11</f>
        <v>300.9194399626516</v>
      </c>
      <c r="E53" s="91">
        <f>E51*$B$11</f>
        <v>315.64268892779637</v>
      </c>
    </row>
    <row r="54">
      <c r="A54" s="13" t="inlineStr">
        <is>
          <t>Max loss / contract</t>
        </is>
      </c>
      <c r="B54" s="90">
        <f>B51*$B$11</f>
        <v>-442.50000000000006</v>
      </c>
      <c r="C54" s="90">
        <f>C51*$B$11</f>
        <v>-116.56212889044792</v>
      </c>
      <c r="D54" s="90">
        <f>D51*$B$11</f>
        <v>-199.08056003734842</v>
      </c>
      <c r="E54" s="90">
        <f>-(MAX(19.0-15.0,15.0-10.0)-E51)*$B$11</f>
        <v>-184.3573110722036</v>
      </c>
    </row>
    <row r="55">
      <c r="A55" s="13" t="inlineStr">
        <is>
          <t>Breakeven (low)</t>
        </is>
      </c>
      <c r="B55" s="92">
        <f>15.0+B51</f>
        <v>10.575</v>
      </c>
      <c r="C55" s="92" t="str">
        <f>"—"</f>
        <v>—</v>
      </c>
      <c r="D55" s="92">
        <f>15.0+D51</f>
        <v>13.009194399626516</v>
      </c>
      <c r="E55" s="92">
        <f>15.0-E51</f>
        <v>11.843573110722037</v>
      </c>
    </row>
    <row r="56">
      <c r="A56" s="13" t="inlineStr">
        <is>
          <t>Breakeven (high)</t>
        </is>
      </c>
      <c r="B56" s="92">
        <f>15.0-B51</f>
        <v>19.425</v>
      </c>
      <c r="C56" s="92">
        <f>15.0-C51</f>
        <v>16.16562128890448</v>
      </c>
      <c r="D56" s="92" t="str">
        <f>"—"</f>
        <v>—</v>
      </c>
      <c r="E56" s="92">
        <f>15.0+E51</f>
        <v>18.156426889277963</v>
      </c>
    </row>
    <row r="57">
      <c r="A57" s="13" t="inlineStr">
        <is>
          <t>Prob. of profit (market-implied, lognormal)</t>
        </is>
      </c>
      <c r="B57" s="54">
        <f>(1-NORMSDIST((LN($B$4/B55)+($B$9-IF((($E$35+$I$35)/2)&gt;0,(($E$35+$I$35)/2),$B$10)^2/2)*$B$8)/(IF((($E$35+$I$35)/2)&gt;0,(($E$35+$I$35)/2),$B$10)*SQRT($B$8))))+NORMSDIST((LN($B$4/B56)+($B$9-IF((($E$35+$I$35)/2)&gt;0,(($E$35+$I$35)/2),$B$10)^2/2)*$B$8)/(IF((($E$35+$I$35)/2)&gt;0,(($E$35+$I$35)/2),$B$10)*SQRT($B$8)))</f>
        <v>0.4225859533207459</v>
      </c>
      <c r="C57" s="54">
        <f>NORMSDIST((LN($B$4/C56)+($B$9-IF((($E$35+$I$35)/2)&gt;0,(($E$35+$I$35)/2),$B$10)^2/2)*$B$8)/(IF((($E$35+$I$35)/2)&gt;0,(($E$35+$I$35)/2),$B$10)*SQRT($B$8)))</f>
        <v>0.3288059828032005</v>
      </c>
      <c r="D57" s="54">
        <f>1-NORMSDIST((LN($B$4/D55)+($B$9-IF((($E$35+$I$35)/2)&gt;0,(($E$35+$I$35)/2),$B$10)^2/2)*$B$8)/(IF((($E$35+$I$35)/2)&gt;0,(($E$35+$I$35)/2),$B$10)*SQRT($B$8)))</f>
        <v>0.4466470455544336</v>
      </c>
      <c r="E57" s="54">
        <f>MAX(0,NORMSDIST((LN($B$4/E55)+($B$9-IF((($E$35+$I$35)/2)&gt;0,(($E$35+$I$35)/2),$B$10)^2/2)*$B$8)/(IF((($E$35+$I$35)/2)&gt;0,(($E$35+$I$35)/2),$B$10)*SQRT($B$8)))-NORMSDIST((LN($B$4/E56)+($B$9-IF((($E$35+$I$35)/2)&gt;0,(($E$35+$I$35)/2),$B$10)^2/2)*$B$8)/(IF((($E$35+$I$35)/2)&gt;0,(($E$35+$I$35)/2),$B$10)*SQRT($B$8))))</f>
        <v>0.4233104598721664</v>
      </c>
    </row>
    <row r="58">
      <c r="A58" s="13" t="inlineStr">
        <is>
          <t>Expected P/L if approved</t>
        </is>
      </c>
      <c r="B58" s="90">
        <f>((1)*$K$43+(1)*$K$44+B51)*$B$11</f>
        <v>44.002712855915945</v>
      </c>
      <c r="C58" s="90">
        <f>((1)*$K$43+(-1)*$K$45+C51)*$B$11</f>
        <v>175.84427236347415</v>
      </c>
      <c r="D58" s="90">
        <f>((1)*$K$44+(-1)*$K$46+D51)*$B$11</f>
        <v>-186.58408890901686</v>
      </c>
      <c r="E58" s="90">
        <f>((-1)*$K$43+(-1)*$K$44+(1)*$K$45+(1)*$K$46+E51)*$B$11</f>
        <v>10.739816545542746</v>
      </c>
    </row>
    <row r="59">
      <c r="A59" s="13" t="inlineStr">
        <is>
          <t>Expected P/L if CRL</t>
        </is>
      </c>
      <c r="B59" s="90">
        <f>((1)*$L$43+(1)*$L$44+B51)*$B$11</f>
        <v>-14.866841962137745</v>
      </c>
      <c r="C59" s="90">
        <f>((1)*$L$43+(-1)*$L$45+C51)*$B$11</f>
        <v>-112.10104071136173</v>
      </c>
      <c r="D59" s="90">
        <f>((1)*$L$44+(-1)*$L$46+D51)*$B$11</f>
        <v>178.0277962145029</v>
      </c>
      <c r="E59" s="90">
        <f>((-1)*$L$43+(-1)*$L$44+(1)*$L$45+(1)*$L$46+E51)*$B$11</f>
        <v>-65.92675550314114</v>
      </c>
    </row>
    <row r="60">
      <c r="A60" s="23" t="inlineStr">
        <is>
          <t>Model expected P/L</t>
        </is>
      </c>
      <c r="B60" s="93">
        <f>$B$17*B58+(1-$B$17)*B59</f>
        <v>8.680979965083733</v>
      </c>
      <c r="C60" s="93">
        <f>$B$17*C58+(1-$B$17)*C59</f>
        <v>3.077084518572633</v>
      </c>
      <c r="D60" s="93">
        <f>$B$17*D58+(1-$B$17)*D59</f>
        <v>32.18304216509499</v>
      </c>
      <c r="E60" s="93">
        <f>$B$17*E58+(1-$B$17)*E59</f>
        <v>-35.26012668366758</v>
      </c>
    </row>
    <row r="61">
      <c r="A61" s="13" t="inlineStr">
        <is>
          <t>Expected P/L ÷ max loss</t>
        </is>
      </c>
      <c r="B61" s="54">
        <f>B60/-B54</f>
        <v>0.019618033819398265</v>
      </c>
      <c r="C61" s="54">
        <f>C60/-C54</f>
        <v>0.02639866436777816</v>
      </c>
      <c r="D61" s="54">
        <f>D60/-D54</f>
        <v>0.16165838673076519</v>
      </c>
      <c r="E61" s="54">
        <f>E60/-E54</f>
        <v>-0.19125971451090398</v>
      </c>
    </row>
    <row r="63">
      <c r="A63" s="30" t="inlineStr">
        <is>
          <t>Payoff at expiry per contract ($)</t>
        </is>
      </c>
    </row>
    <row r="64">
      <c r="A64" s="29" t="inlineStr">
        <is>
          <t>Price at expiry</t>
        </is>
      </c>
      <c r="B64" s="29" t="inlineStr">
        <is>
          <t>Long straddle</t>
        </is>
      </c>
      <c r="C64" s="29" t="inlineStr">
        <is>
          <t>Bull call spread</t>
        </is>
      </c>
      <c r="D64" s="29" t="inlineStr">
        <is>
          <t>Bear put spread</t>
        </is>
      </c>
      <c r="E64" s="29" t="inlineStr">
        <is>
          <t>Iron butterfly</t>
        </is>
      </c>
    </row>
    <row r="65">
      <c r="A65" s="94" t="n">
        <v>1.35</v>
      </c>
      <c r="B65" s="52">
        <f>(MAX($A65-15.0,0)+MAX(15.0-$A65,0)-$G$43-$G$44)*$B$11</f>
        <v>922.5</v>
      </c>
      <c r="C65" s="52">
        <f>(MAX($A65-15.0,0)-MAX($A65-19.0,0)-$G$43+$G$45)*$B$11</f>
        <v>-116.56212889044792</v>
      </c>
      <c r="D65" s="52">
        <f>(MAX(15.0-$A65,0)-MAX(10.0-$A65,0)-$G$44+$G$46)*$B$11</f>
        <v>300.9194399626516</v>
      </c>
      <c r="E65" s="52">
        <f>($G$43+$G$44-$G$45-$G$46-MAX($A65-15.0,0)-MAX(15.0-$A65,0)+MAX($A65-19.0,0)+MAX(10.0-$A65,0))*$B$11</f>
        <v>-184.35731107220352</v>
      </c>
    </row>
    <row r="66">
      <c r="A66" s="94" t="n">
        <v>2.24</v>
      </c>
      <c r="B66" s="52">
        <f>(MAX($A66-15.0,0)+MAX(15.0-$A66,0)-$G$43-$G$44)*$B$11</f>
        <v>833.4999999999999</v>
      </c>
      <c r="C66" s="52">
        <f>(MAX($A66-15.0,0)-MAX($A66-19.0,0)-$G$43+$G$45)*$B$11</f>
        <v>-116.56212889044792</v>
      </c>
      <c r="D66" s="52">
        <f>(MAX(15.0-$A66,0)-MAX(10.0-$A66,0)-$G$44+$G$46)*$B$11</f>
        <v>300.9194399626516</v>
      </c>
      <c r="E66" s="52">
        <f>($G$43+$G$44-$G$45-$G$46-MAX($A66-15.0,0)-MAX(15.0-$A66,0)+MAX($A66-19.0,0)+MAX(10.0-$A66,0))*$B$11</f>
        <v>-184.35731107220352</v>
      </c>
    </row>
    <row r="67">
      <c r="A67" s="94" t="n">
        <v>3.12</v>
      </c>
      <c r="B67" s="52">
        <f>(MAX($A67-15.0,0)+MAX(15.0-$A67,0)-$G$43-$G$44)*$B$11</f>
        <v>745.5</v>
      </c>
      <c r="C67" s="52">
        <f>(MAX($A67-15.0,0)-MAX($A67-19.0,0)-$G$43+$G$45)*$B$11</f>
        <v>-116.56212889044792</v>
      </c>
      <c r="D67" s="52">
        <f>(MAX(15.0-$A67,0)-MAX(10.0-$A67,0)-$G$44+$G$46)*$B$11</f>
        <v>300.9194399626515</v>
      </c>
      <c r="E67" s="52">
        <f>($G$43+$G$44-$G$45-$G$46-MAX($A67-15.0,0)-MAX(15.0-$A67,0)+MAX($A67-19.0,0)+MAX(10.0-$A67,0))*$B$11</f>
        <v>-184.3573110722036</v>
      </c>
    </row>
    <row r="68">
      <c r="A68" s="94" t="n">
        <v>4.01</v>
      </c>
      <c r="B68" s="52">
        <f>(MAX($A68-15.0,0)+MAX(15.0-$A68,0)-$G$43-$G$44)*$B$11</f>
        <v>656.5</v>
      </c>
      <c r="C68" s="52">
        <f>(MAX($A68-15.0,0)-MAX($A68-19.0,0)-$G$43+$G$45)*$B$11</f>
        <v>-116.56212889044792</v>
      </c>
      <c r="D68" s="52">
        <f>(MAX(15.0-$A68,0)-MAX(10.0-$A68,0)-$G$44+$G$46)*$B$11</f>
        <v>300.9194399626516</v>
      </c>
      <c r="E68" s="52">
        <f>($G$43+$G$44-$G$45-$G$46-MAX($A68-15.0,0)-MAX(15.0-$A68,0)+MAX($A68-19.0,0)+MAX(10.0-$A68,0))*$B$11</f>
        <v>-184.3573110722036</v>
      </c>
    </row>
    <row r="69">
      <c r="A69" s="94" t="n">
        <v>4.89</v>
      </c>
      <c r="B69" s="52">
        <f>(MAX($A69-15.0,0)+MAX(15.0-$A69,0)-$G$43-$G$44)*$B$11</f>
        <v>568.5</v>
      </c>
      <c r="C69" s="52">
        <f>(MAX($A69-15.0,0)-MAX($A69-19.0,0)-$G$43+$G$45)*$B$11</f>
        <v>-116.56212889044792</v>
      </c>
      <c r="D69" s="52">
        <f>(MAX(15.0-$A69,0)-MAX(10.0-$A69,0)-$G$44+$G$46)*$B$11</f>
        <v>300.9194399626515</v>
      </c>
      <c r="E69" s="52">
        <f>($G$43+$G$44-$G$45-$G$46-MAX($A69-15.0,0)-MAX(15.0-$A69,0)+MAX($A69-19.0,0)+MAX(10.0-$A69,0))*$B$11</f>
        <v>-184.35731107220352</v>
      </c>
    </row>
    <row r="70">
      <c r="A70" s="94" t="n">
        <v>5.78</v>
      </c>
      <c r="B70" s="52">
        <f>(MAX($A70-15.0,0)+MAX(15.0-$A70,0)-$G$43-$G$44)*$B$11</f>
        <v>479.49999999999983</v>
      </c>
      <c r="C70" s="52">
        <f>(MAX($A70-15.0,0)-MAX($A70-19.0,0)-$G$43+$G$45)*$B$11</f>
        <v>-116.56212889044792</v>
      </c>
      <c r="D70" s="52">
        <f>(MAX(15.0-$A70,0)-MAX(10.0-$A70,0)-$G$44+$G$46)*$B$11</f>
        <v>300.9194399626515</v>
      </c>
      <c r="E70" s="52">
        <f>($G$43+$G$44-$G$45-$G$46-MAX($A70-15.0,0)-MAX(15.0-$A70,0)+MAX($A70-19.0,0)+MAX(10.0-$A70,0))*$B$11</f>
        <v>-184.35731107220352</v>
      </c>
    </row>
    <row r="71">
      <c r="A71" s="94" t="n">
        <v>6.67</v>
      </c>
      <c r="B71" s="52">
        <f>(MAX($A71-15.0,0)+MAX(15.0-$A71,0)-$G$43-$G$44)*$B$11</f>
        <v>390.5</v>
      </c>
      <c r="C71" s="52">
        <f>(MAX($A71-15.0,0)-MAX($A71-19.0,0)-$G$43+$G$45)*$B$11</f>
        <v>-116.56212889044792</v>
      </c>
      <c r="D71" s="52">
        <f>(MAX(15.0-$A71,0)-MAX(10.0-$A71,0)-$G$44+$G$46)*$B$11</f>
        <v>300.9194399626516</v>
      </c>
      <c r="E71" s="52">
        <f>($G$43+$G$44-$G$45-$G$46-MAX($A71-15.0,0)-MAX(15.0-$A71,0)+MAX($A71-19.0,0)+MAX(10.0-$A71,0))*$B$11</f>
        <v>-184.3573110722036</v>
      </c>
    </row>
    <row r="72">
      <c r="A72" s="94" t="n">
        <v>7.55</v>
      </c>
      <c r="B72" s="52">
        <f>(MAX($A72-15.0,0)+MAX(15.0-$A72,0)-$G$43-$G$44)*$B$11</f>
        <v>302.5</v>
      </c>
      <c r="C72" s="52">
        <f>(MAX($A72-15.0,0)-MAX($A72-19.0,0)-$G$43+$G$45)*$B$11</f>
        <v>-116.56212889044792</v>
      </c>
      <c r="D72" s="52">
        <f>(MAX(15.0-$A72,0)-MAX(10.0-$A72,0)-$G$44+$G$46)*$B$11</f>
        <v>300.9194399626516</v>
      </c>
      <c r="E72" s="52">
        <f>($G$43+$G$44-$G$45-$G$46-MAX($A72-15.0,0)-MAX(15.0-$A72,0)+MAX($A72-19.0,0)+MAX(10.0-$A72,0))*$B$11</f>
        <v>-184.3573110722036</v>
      </c>
    </row>
    <row r="73">
      <c r="A73" s="94" t="n">
        <v>8.44</v>
      </c>
      <c r="B73" s="52">
        <f>(MAX($A73-15.0,0)+MAX(15.0-$A73,0)-$G$43-$G$44)*$B$11</f>
        <v>213.50000000000003</v>
      </c>
      <c r="C73" s="52">
        <f>(MAX($A73-15.0,0)-MAX($A73-19.0,0)-$G$43+$G$45)*$B$11</f>
        <v>-116.56212889044792</v>
      </c>
      <c r="D73" s="52">
        <f>(MAX(15.0-$A73,0)-MAX(10.0-$A73,0)-$G$44+$G$46)*$B$11</f>
        <v>300.9194399626516</v>
      </c>
      <c r="E73" s="52">
        <f>($G$43+$G$44-$G$45-$G$46-MAX($A73-15.0,0)-MAX(15.0-$A73,0)+MAX($A73-19.0,0)+MAX(10.0-$A73,0))*$B$11</f>
        <v>-184.3573110722036</v>
      </c>
    </row>
    <row r="74">
      <c r="A74" s="94" t="n">
        <v>9.32</v>
      </c>
      <c r="B74" s="52">
        <f>(MAX($A74-15.0,0)+MAX(15.0-$A74,0)-$G$43-$G$44)*$B$11</f>
        <v>125.49999999999994</v>
      </c>
      <c r="C74" s="52">
        <f>(MAX($A74-15.0,0)-MAX($A74-19.0,0)-$G$43+$G$45)*$B$11</f>
        <v>-116.56212889044792</v>
      </c>
      <c r="D74" s="52">
        <f>(MAX(15.0-$A74,0)-MAX(10.0-$A74,0)-$G$44+$G$46)*$B$11</f>
        <v>300.9194399626516</v>
      </c>
      <c r="E74" s="52">
        <f>($G$43+$G$44-$G$45-$G$46-MAX($A74-15.0,0)-MAX(15.0-$A74,0)+MAX($A74-19.0,0)+MAX(10.0-$A74,0))*$B$11</f>
        <v>-184.3573110722036</v>
      </c>
    </row>
    <row r="75">
      <c r="A75" s="94" t="n">
        <v>10.21</v>
      </c>
      <c r="B75" s="52">
        <f>(MAX($A75-15.0,0)+MAX(15.0-$A75,0)-$G$43-$G$44)*$B$11</f>
        <v>36.499999999999886</v>
      </c>
      <c r="C75" s="52">
        <f>(MAX($A75-15.0,0)-MAX($A75-19.0,0)-$G$43+$G$45)*$B$11</f>
        <v>-116.56212889044792</v>
      </c>
      <c r="D75" s="52">
        <f>(MAX(15.0-$A75,0)-MAX(10.0-$A75,0)-$G$44+$G$46)*$B$11</f>
        <v>279.9194399626515</v>
      </c>
      <c r="E75" s="52">
        <f>($G$43+$G$44-$G$45-$G$46-MAX($A75-15.0,0)-MAX(15.0-$A75,0)+MAX($A75-19.0,0)+MAX(10.0-$A75,0))*$B$11</f>
        <v>-163.35731107220352</v>
      </c>
    </row>
    <row r="76">
      <c r="A76" s="94" t="n">
        <v>11.09</v>
      </c>
      <c r="B76" s="52">
        <f>(MAX($A76-15.0,0)+MAX(15.0-$A76,0)-$G$43-$G$44)*$B$11</f>
        <v>-51.500000000000014</v>
      </c>
      <c r="C76" s="52">
        <f>(MAX($A76-15.0,0)-MAX($A76-19.0,0)-$G$43+$G$45)*$B$11</f>
        <v>-116.56212889044792</v>
      </c>
      <c r="D76" s="52">
        <f>(MAX(15.0-$A76,0)-MAX(10.0-$A76,0)-$G$44+$G$46)*$B$11</f>
        <v>191.9194399626516</v>
      </c>
      <c r="E76" s="52">
        <f>($G$43+$G$44-$G$45-$G$46-MAX($A76-15.0,0)-MAX(15.0-$A76,0)+MAX($A76-19.0,0)+MAX(10.0-$A76,0))*$B$11</f>
        <v>-75.35731107220363</v>
      </c>
    </row>
    <row r="77">
      <c r="A77" s="94" t="n">
        <v>11.97</v>
      </c>
      <c r="B77" s="52">
        <f>(MAX($A77-15.0,0)+MAX(15.0-$A77,0)-$G$43-$G$44)*$B$11</f>
        <v>-139.50000000000009</v>
      </c>
      <c r="C77" s="52">
        <f>(MAX($A77-15.0,0)-MAX($A77-19.0,0)-$G$43+$G$45)*$B$11</f>
        <v>-116.56212889044792</v>
      </c>
      <c r="D77" s="52">
        <f>(MAX(15.0-$A77,0)-MAX(10.0-$A77,0)-$G$44+$G$46)*$B$11</f>
        <v>103.91943996265152</v>
      </c>
      <c r="E77" s="52">
        <f>($G$43+$G$44-$G$45-$G$46-MAX($A77-15.0,0)-MAX(15.0-$A77,0)+MAX($A77-19.0,0)+MAX(10.0-$A77,0))*$B$11</f>
        <v>12.642688927796453</v>
      </c>
    </row>
    <row r="78">
      <c r="A78" s="94" t="n">
        <v>12.86</v>
      </c>
      <c r="B78" s="52">
        <f>(MAX($A78-15.0,0)+MAX(15.0-$A78,0)-$G$43-$G$44)*$B$11</f>
        <v>-228.49999999999997</v>
      </c>
      <c r="C78" s="52">
        <f>(MAX($A78-15.0,0)-MAX($A78-19.0,0)-$G$43+$G$45)*$B$11</f>
        <v>-116.56212889044792</v>
      </c>
      <c r="D78" s="52">
        <f>(MAX(15.0-$A78,0)-MAX(10.0-$A78,0)-$G$44+$G$46)*$B$11</f>
        <v>14.919439962651637</v>
      </c>
      <c r="E78" s="52">
        <f>($G$43+$G$44-$G$45-$G$46-MAX($A78-15.0,0)-MAX(15.0-$A78,0)+MAX($A78-19.0,0)+MAX(10.0-$A78,0))*$B$11</f>
        <v>101.64268892779633</v>
      </c>
    </row>
    <row r="79">
      <c r="A79" s="94" t="n">
        <v>13.75</v>
      </c>
      <c r="B79" s="52">
        <f>(MAX($A79-15.0,0)+MAX(15.0-$A79,0)-$G$43-$G$44)*$B$11</f>
        <v>-317.5</v>
      </c>
      <c r="C79" s="52">
        <f>(MAX($A79-15.0,0)-MAX($A79-19.0,0)-$G$43+$G$45)*$B$11</f>
        <v>-116.56212889044792</v>
      </c>
      <c r="D79" s="52">
        <f>(MAX(15.0-$A79,0)-MAX(10.0-$A79,0)-$G$44+$G$46)*$B$11</f>
        <v>-74.08056003734842</v>
      </c>
      <c r="E79" s="52">
        <f>($G$43+$G$44-$G$45-$G$46-MAX($A79-15.0,0)-MAX(15.0-$A79,0)+MAX($A79-19.0,0)+MAX(10.0-$A79,0))*$B$11</f>
        <v>190.6426889277964</v>
      </c>
    </row>
    <row r="80">
      <c r="A80" s="94" t="n">
        <v>14.63</v>
      </c>
      <c r="B80" s="52">
        <f>(MAX($A80-15.0,0)+MAX(15.0-$A80,0)-$G$43-$G$44)*$B$11</f>
        <v>-405.50000000000017</v>
      </c>
      <c r="C80" s="52">
        <f>(MAX($A80-15.0,0)-MAX($A80-19.0,0)-$G$43+$G$45)*$B$11</f>
        <v>-116.56212889044792</v>
      </c>
      <c r="D80" s="52">
        <f>(MAX(15.0-$A80,0)-MAX(10.0-$A80,0)-$G$44+$G$46)*$B$11</f>
        <v>-162.0805600373485</v>
      </c>
      <c r="E80" s="52">
        <f>($G$43+$G$44-$G$45-$G$46-MAX($A80-15.0,0)-MAX(15.0-$A80,0)+MAX($A80-19.0,0)+MAX(10.0-$A80,0))*$B$11</f>
        <v>278.6426889277965</v>
      </c>
    </row>
    <row r="81">
      <c r="A81" s="94" t="n">
        <v>15.52</v>
      </c>
      <c r="B81" s="52">
        <f>(MAX($A81-15.0,0)+MAX(15.0-$A81,0)-$G$43-$G$44)*$B$11</f>
        <v>-390.50000000000006</v>
      </c>
      <c r="C81" s="52">
        <f>(MAX($A81-15.0,0)-MAX($A81-19.0,0)-$G$43+$G$45)*$B$11</f>
        <v>-64.56212889044797</v>
      </c>
      <c r="D81" s="52">
        <f>(MAX(15.0-$A81,0)-MAX(10.0-$A81,0)-$G$44+$G$46)*$B$11</f>
        <v>-199.08056003734842</v>
      </c>
      <c r="E81" s="52">
        <f>($G$43+$G$44-$G$45-$G$46-MAX($A81-15.0,0)-MAX(15.0-$A81,0)+MAX($A81-19.0,0)+MAX(10.0-$A81,0))*$B$11</f>
        <v>263.6426889277964</v>
      </c>
    </row>
    <row r="82">
      <c r="A82" s="94" t="n">
        <v>16.4</v>
      </c>
      <c r="B82" s="52">
        <f>(MAX($A82-15.0,0)+MAX(15.0-$A82,0)-$G$43-$G$44)*$B$11</f>
        <v>-302.50000000000017</v>
      </c>
      <c r="C82" s="52">
        <f>(MAX($A82-15.0,0)-MAX($A82-19.0,0)-$G$43+$G$45)*$B$11</f>
        <v>23.437871109551935</v>
      </c>
      <c r="D82" s="52">
        <f>(MAX(15.0-$A82,0)-MAX(10.0-$A82,0)-$G$44+$G$46)*$B$11</f>
        <v>-199.08056003734842</v>
      </c>
      <c r="E82" s="52">
        <f>($G$43+$G$44-$G$45-$G$46-MAX($A82-15.0,0)-MAX(15.0-$A82,0)+MAX($A82-19.0,0)+MAX(10.0-$A82,0))*$B$11</f>
        <v>175.64268892779654</v>
      </c>
    </row>
    <row r="83">
      <c r="A83" s="94" t="n">
        <v>17.29</v>
      </c>
      <c r="B83" s="52">
        <f>(MAX($A83-15.0,0)+MAX(15.0-$A83,0)-$G$43-$G$44)*$B$11</f>
        <v>-213.5000000000001</v>
      </c>
      <c r="C83" s="52">
        <f>(MAX($A83-15.0,0)-MAX($A83-19.0,0)-$G$43+$G$45)*$B$11</f>
        <v>112.43787110955199</v>
      </c>
      <c r="D83" s="52">
        <f>(MAX(15.0-$A83,0)-MAX(10.0-$A83,0)-$G$44+$G$46)*$B$11</f>
        <v>-199.08056003734842</v>
      </c>
      <c r="E83" s="52">
        <f>($G$43+$G$44-$G$45-$G$46-MAX($A83-15.0,0)-MAX(15.0-$A83,0)+MAX($A83-19.0,0)+MAX(10.0-$A83,0))*$B$11</f>
        <v>86.64268892779647</v>
      </c>
    </row>
    <row r="84">
      <c r="A84" s="94" t="n">
        <v>18.17</v>
      </c>
      <c r="B84" s="52">
        <f>(MAX($A84-15.0,0)+MAX(15.0-$A84,0)-$G$43-$G$44)*$B$11</f>
        <v>-125.49999999999986</v>
      </c>
      <c r="C84" s="52">
        <f>(MAX($A84-15.0,0)-MAX($A84-19.0,0)-$G$43+$G$45)*$B$11</f>
        <v>200.43787110955225</v>
      </c>
      <c r="D84" s="52">
        <f>(MAX(15.0-$A84,0)-MAX(10.0-$A84,0)-$G$44+$G$46)*$B$11</f>
        <v>-199.08056003734842</v>
      </c>
      <c r="E84" s="52">
        <f>($G$43+$G$44-$G$45-$G$46-MAX($A84-15.0,0)-MAX(15.0-$A84,0)+MAX($A84-19.0,0)+MAX(10.0-$A84,0))*$B$11</f>
        <v>-1.3573110722037818</v>
      </c>
    </row>
    <row r="85">
      <c r="A85" s="94" t="n">
        <v>19.06</v>
      </c>
      <c r="B85" s="52">
        <f>(MAX($A85-15.0,0)+MAX(15.0-$A85,0)-$G$43-$G$44)*$B$11</f>
        <v>-36.500000000000156</v>
      </c>
      <c r="C85" s="52">
        <f>(MAX($A85-15.0,0)-MAX($A85-19.0,0)-$G$43+$G$45)*$B$11</f>
        <v>283.4378711095521</v>
      </c>
      <c r="D85" s="52">
        <f>(MAX(15.0-$A85,0)-MAX(10.0-$A85,0)-$G$44+$G$46)*$B$11</f>
        <v>-199.08056003734842</v>
      </c>
      <c r="E85" s="52">
        <f>($G$43+$G$44-$G$45-$G$46-MAX($A85-15.0,0)-MAX(15.0-$A85,0)+MAX($A85-19.0,0)+MAX(10.0-$A85,0))*$B$11</f>
        <v>-84.35731107220361</v>
      </c>
    </row>
    <row r="86">
      <c r="A86" s="94" t="n">
        <v>19.94</v>
      </c>
      <c r="B86" s="52">
        <f>(MAX($A86-15.0,0)+MAX(15.0-$A86,0)-$G$43-$G$44)*$B$11</f>
        <v>51.5000000000001</v>
      </c>
      <c r="C86" s="52">
        <f>(MAX($A86-15.0,0)-MAX($A86-19.0,0)-$G$43+$G$45)*$B$11</f>
        <v>283.4378711095521</v>
      </c>
      <c r="D86" s="52">
        <f>(MAX(15.0-$A86,0)-MAX(10.0-$A86,0)-$G$44+$G$46)*$B$11</f>
        <v>-199.08056003734842</v>
      </c>
      <c r="E86" s="52">
        <f>($G$43+$G$44-$G$45-$G$46-MAX($A86-15.0,0)-MAX(15.0-$A86,0)+MAX($A86-19.0,0)+MAX(10.0-$A86,0))*$B$11</f>
        <v>-84.35731107220361</v>
      </c>
    </row>
    <row r="87">
      <c r="A87" s="94" t="n">
        <v>20.83</v>
      </c>
      <c r="B87" s="52">
        <f>(MAX($A87-15.0,0)+MAX(15.0-$A87,0)-$G$43-$G$44)*$B$11</f>
        <v>140.4999999999998</v>
      </c>
      <c r="C87" s="52">
        <f>(MAX($A87-15.0,0)-MAX($A87-19.0,0)-$G$43+$G$45)*$B$11</f>
        <v>283.4378711095521</v>
      </c>
      <c r="D87" s="52">
        <f>(MAX(15.0-$A87,0)-MAX(10.0-$A87,0)-$G$44+$G$46)*$B$11</f>
        <v>-199.08056003734842</v>
      </c>
      <c r="E87" s="52">
        <f>($G$43+$G$44-$G$45-$G$46-MAX($A87-15.0,0)-MAX(15.0-$A87,0)+MAX($A87-19.0,0)+MAX(10.0-$A87,0))*$B$11</f>
        <v>-84.35731107220361</v>
      </c>
    </row>
    <row r="88">
      <c r="A88" s="94" t="n">
        <v>21.71</v>
      </c>
      <c r="B88" s="52">
        <f>(MAX($A88-15.0,0)+MAX(15.0-$A88,0)-$G$43-$G$44)*$B$11</f>
        <v>228.50000000000006</v>
      </c>
      <c r="C88" s="52">
        <f>(MAX($A88-15.0,0)-MAX($A88-19.0,0)-$G$43+$G$45)*$B$11</f>
        <v>283.4378711095521</v>
      </c>
      <c r="D88" s="52">
        <f>(MAX(15.0-$A88,0)-MAX(10.0-$A88,0)-$G$44+$G$46)*$B$11</f>
        <v>-199.08056003734842</v>
      </c>
      <c r="E88" s="52">
        <f>($G$43+$G$44-$G$45-$G$46-MAX($A88-15.0,0)-MAX(15.0-$A88,0)+MAX($A88-19.0,0)+MAX(10.0-$A88,0))*$B$11</f>
        <v>-84.35731107220361</v>
      </c>
    </row>
    <row r="89">
      <c r="A89" s="94" t="n">
        <v>22.6</v>
      </c>
      <c r="B89" s="52">
        <f>(MAX($A89-15.0,0)+MAX(15.0-$A89,0)-$G$43-$G$44)*$B$11</f>
        <v>317.5000000000001</v>
      </c>
      <c r="C89" s="52">
        <f>(MAX($A89-15.0,0)-MAX($A89-19.0,0)-$G$43+$G$45)*$B$11</f>
        <v>283.4378711095521</v>
      </c>
      <c r="D89" s="52">
        <f>(MAX(15.0-$A89,0)-MAX(10.0-$A89,0)-$G$44+$G$46)*$B$11</f>
        <v>-199.08056003734842</v>
      </c>
      <c r="E89" s="52">
        <f>($G$43+$G$44-$G$45-$G$46-MAX($A89-15.0,0)-MAX(15.0-$A89,0)+MAX($A89-19.0,0)+MAX(10.0-$A89,0))*$B$11</f>
        <v>-84.35731107220361</v>
      </c>
    </row>
    <row r="90">
      <c r="A90" s="94" t="n">
        <v>23.48</v>
      </c>
      <c r="B90" s="52">
        <f>(MAX($A90-15.0,0)+MAX(15.0-$A90,0)-$G$43-$G$44)*$B$11</f>
        <v>405.5</v>
      </c>
      <c r="C90" s="52">
        <f>(MAX($A90-15.0,0)-MAX($A90-19.0,0)-$G$43+$G$45)*$B$11</f>
        <v>283.4378711095521</v>
      </c>
      <c r="D90" s="52">
        <f>(MAX(15.0-$A90,0)-MAX(10.0-$A90,0)-$G$44+$G$46)*$B$11</f>
        <v>-199.08056003734842</v>
      </c>
      <c r="E90" s="52">
        <f>($G$43+$G$44-$G$45-$G$46-MAX($A90-15.0,0)-MAX(15.0-$A90,0)+MAX($A90-19.0,0)+MAX(10.0-$A90,0))*$B$11</f>
        <v>-84.35731107220361</v>
      </c>
    </row>
    <row r="91">
      <c r="A91" s="94" t="n">
        <v>24.37</v>
      </c>
      <c r="B91" s="52">
        <f>(MAX($A91-15.0,0)+MAX(15.0-$A91,0)-$G$43-$G$44)*$B$11</f>
        <v>494.5</v>
      </c>
      <c r="C91" s="52">
        <f>(MAX($A91-15.0,0)-MAX($A91-19.0,0)-$G$43+$G$45)*$B$11</f>
        <v>283.4378711095521</v>
      </c>
      <c r="D91" s="52">
        <f>(MAX(15.0-$A91,0)-MAX(10.0-$A91,0)-$G$44+$G$46)*$B$11</f>
        <v>-199.08056003734842</v>
      </c>
      <c r="E91" s="52">
        <f>($G$43+$G$44-$G$45-$G$46-MAX($A91-15.0,0)-MAX(15.0-$A91,0)+MAX($A91-19.0,0)+MAX(10.0-$A91,0))*$B$11</f>
        <v>-84.35731107220361</v>
      </c>
    </row>
    <row r="92">
      <c r="A92" s="94" t="n">
        <v>25.25</v>
      </c>
      <c r="B92" s="52">
        <f>(MAX($A92-15.0,0)+MAX(15.0-$A92,0)-$G$43-$G$44)*$B$11</f>
        <v>582.5000000000001</v>
      </c>
      <c r="C92" s="52">
        <f>(MAX($A92-15.0,0)-MAX($A92-19.0,0)-$G$43+$G$45)*$B$11</f>
        <v>283.4378711095521</v>
      </c>
      <c r="D92" s="52">
        <f>(MAX(15.0-$A92,0)-MAX(10.0-$A92,0)-$G$44+$G$46)*$B$11</f>
        <v>-199.08056003734842</v>
      </c>
      <c r="E92" s="52">
        <f>($G$43+$G$44-$G$45-$G$46-MAX($A92-15.0,0)-MAX(15.0-$A92,0)+MAX($A92-19.0,0)+MAX(10.0-$A92,0))*$B$11</f>
        <v>-84.35731107220361</v>
      </c>
    </row>
    <row r="93">
      <c r="A93" s="94" t="n">
        <v>26.14</v>
      </c>
      <c r="B93" s="52">
        <f>(MAX($A93-15.0,0)+MAX(15.0-$A93,0)-$G$43-$G$44)*$B$11</f>
        <v>671.5000000000001</v>
      </c>
      <c r="C93" s="52">
        <f>(MAX($A93-15.0,0)-MAX($A93-19.0,0)-$G$43+$G$45)*$B$11</f>
        <v>283.4378711095521</v>
      </c>
      <c r="D93" s="52">
        <f>(MAX(15.0-$A93,0)-MAX(10.0-$A93,0)-$G$44+$G$46)*$B$11</f>
        <v>-199.08056003734842</v>
      </c>
      <c r="E93" s="52">
        <f>($G$43+$G$44-$G$45-$G$46-MAX($A93-15.0,0)-MAX(15.0-$A93,0)+MAX($A93-19.0,0)+MAX(10.0-$A93,0))*$B$11</f>
        <v>-84.35731107220361</v>
      </c>
    </row>
    <row r="94">
      <c r="A94" s="94" t="n">
        <v>27.02</v>
      </c>
      <c r="B94" s="52">
        <f>(MAX($A94-15.0,0)+MAX(15.0-$A94,0)-$G$43-$G$44)*$B$11</f>
        <v>759.5000000000001</v>
      </c>
      <c r="C94" s="52">
        <f>(MAX($A94-15.0,0)-MAX($A94-19.0,0)-$G$43+$G$45)*$B$11</f>
        <v>283.4378711095521</v>
      </c>
      <c r="D94" s="52">
        <f>(MAX(15.0-$A94,0)-MAX(10.0-$A94,0)-$G$44+$G$46)*$B$11</f>
        <v>-199.08056003734842</v>
      </c>
      <c r="E94" s="52">
        <f>($G$43+$G$44-$G$45-$G$46-MAX($A94-15.0,0)-MAX(15.0-$A94,0)+MAX($A94-19.0,0)+MAX(10.0-$A94,0))*$B$11</f>
        <v>-84.3573110722037</v>
      </c>
    </row>
    <row r="95">
      <c r="A95" s="94" t="n">
        <v>27.91</v>
      </c>
      <c r="B95" s="52">
        <f>(MAX($A95-15.0,0)+MAX(15.0-$A95,0)-$G$43-$G$44)*$B$11</f>
        <v>848.5000000000001</v>
      </c>
      <c r="C95" s="52">
        <f>(MAX($A95-15.0,0)-MAX($A95-19.0,0)-$G$43+$G$45)*$B$11</f>
        <v>283.4378711095521</v>
      </c>
      <c r="D95" s="52">
        <f>(MAX(15.0-$A95,0)-MAX(10.0-$A95,0)-$G$44+$G$46)*$B$11</f>
        <v>-199.08056003734842</v>
      </c>
      <c r="E95" s="52">
        <f>($G$43+$G$44-$G$45-$G$46-MAX($A95-15.0,0)-MAX(15.0-$A95,0)+MAX($A95-19.0,0)+MAX(10.0-$A95,0))*$B$11</f>
        <v>-84.3573110722037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2026-10-19T00:51:32Z</dcterms:modified>
  <cp:lastModifiedBy>Wang, Eric</cp:lastModifiedBy>
</cp:coreProperties>
</file>