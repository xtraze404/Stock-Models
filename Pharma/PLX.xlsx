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Protalix BioTherapeutics, Inc.</t>
        </is>
      </c>
      <c r="C2" s="10" t="n"/>
    </row>
    <row r="3">
      <c r="B3" t="inlineStr">
        <is>
          <t>Price</t>
        </is>
      </c>
      <c r="C3" s="11">
        <f>INDEX([1]Pharma!$F$1:$F$1000,MATCH("PLX",[1]Pharma!$B$1:$B$1000,0))</f>
        <v>2.635</v>
      </c>
      <c r="F3" s="1" t="n"/>
    </row>
    <row r="4">
      <c r="B4" t="inlineStr">
        <is>
          <t>Shares</t>
        </is>
      </c>
      <c r="C4" s="51" t="n">
        <v>80.571642</v>
      </c>
      <c r="F4" s="1" t="n"/>
    </row>
    <row r="5">
      <c r="B5" t="inlineStr">
        <is>
          <t>Market Cap.</t>
        </is>
      </c>
      <c r="C5" s="13">
        <f>C3*C4</f>
        <v>212.30627667</v>
      </c>
      <c r="F5" s="1" t="n"/>
    </row>
    <row r="6"/>
    <row r="7">
      <c r="B7" t="inlineStr">
        <is>
          <t>Cash</t>
        </is>
      </c>
      <c r="C7" s="51" t="n">
        <v>27.42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184.88627666999997</v>
      </c>
    </row>
    <row r="10"/>
    <row r="11">
      <c r="B11" s="14" t="inlineStr">
        <is>
          <t>NPV / Share</t>
        </is>
      </c>
      <c r="C11" s="11">
        <f>NPV!B28</f>
        <v>1.4663877795737905</v>
      </c>
    </row>
    <row r="12">
      <c r="B12" s="14" t="inlineStr">
        <is>
          <t>Upside</t>
        </is>
      </c>
      <c r="C12" s="15">
        <f>IFERROR(C11/C3-1,"")</f>
        <v>-0.44349609883347607</v>
      </c>
    </row>
    <row r="13">
      <c r="B13" s="14" t="inlineStr">
        <is>
          <t>Cash / Share</t>
        </is>
      </c>
      <c r="C13" s="11">
        <f>IFERROR((C7-C8)/C4,"")</f>
        <v>0.34031824745485517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0.388</v>
      </c>
      <c r="C2" s="52" t="n">
        <v>6.642</v>
      </c>
      <c r="D2" s="52" t="n">
        <v>8.385999999999999</v>
      </c>
      <c r="E2" s="52" t="n">
        <v>34.87</v>
      </c>
      <c r="F2" s="52" t="n">
        <v>5.916</v>
      </c>
      <c r="G2" s="52" t="n">
        <v>9.087999999999999</v>
      </c>
      <c r="H2" s="52" t="n">
        <v>4.364</v>
      </c>
      <c r="I2" s="52" t="n">
        <v>9.199</v>
      </c>
      <c r="J2" s="52" t="n">
        <v>21.078</v>
      </c>
      <c r="K2" s="52" t="n">
        <v>34.24</v>
      </c>
      <c r="L2" s="52" t="n">
        <v>54.693</v>
      </c>
      <c r="M2" s="52" t="n">
        <v>62.898</v>
      </c>
      <c r="N2" s="52" t="n">
        <v>38.35</v>
      </c>
      <c r="O2" s="52" t="n">
        <v>47.638</v>
      </c>
      <c r="P2" s="52" t="n">
        <v>65.494</v>
      </c>
      <c r="Q2" s="52" t="n">
        <v>53.399</v>
      </c>
      <c r="R2" s="52" t="n">
        <v>52.744</v>
      </c>
      <c r="S2" s="52">
        <f>R2*(1+NPV!C5)</f>
        <v>52.0952488</v>
      </c>
      <c r="T2" s="52">
        <f>S2*(1+NPV!D5)</f>
        <v>51.67038310423111</v>
      </c>
      <c r="U2" s="52">
        <f>T2*(1+NPV!E5)</f>
        <v>51.46312745644636</v>
      </c>
      <c r="V2" s="52">
        <f>U2*(1+NPV!F5)</f>
        <v>51.46998920677388</v>
      </c>
      <c r="W2" s="52">
        <f>V2*(1+NPV!G5)</f>
        <v>51.69016638282508</v>
      </c>
      <c r="X2" s="52">
        <f>W2*(1+NPV!H5)</f>
        <v>52.125512450804884</v>
      </c>
      <c r="Y2" s="52">
        <f>X2*(1+NPV!I5)</f>
        <v>52.78055639060333</v>
      </c>
      <c r="Z2" s="52">
        <f>Y2*(1+NPV!J5)</f>
        <v>53.662578132952966</v>
      </c>
      <c r="AA2" s="52">
        <f>Z2*(1+NPV!K5)</f>
        <v>54.78174101245911</v>
      </c>
      <c r="AB2" s="52">
        <f>AA2*(1+NPV!L5)</f>
        <v>56.15128453777058</v>
      </c>
    </row>
    <row r="3" customFormat="1" s="1">
      <c r="A3" s="5" t="inlineStr">
        <is>
          <t>Cost of Sales</t>
        </is>
      </c>
      <c r="B3" s="52" t="n">
        <v>3.575</v>
      </c>
      <c r="C3" s="52" t="n">
        <v>4.383</v>
      </c>
      <c r="D3" s="52" t="n">
        <v>1.525</v>
      </c>
      <c r="E3" s="52" t="n">
        <v>8.144</v>
      </c>
      <c r="F3" s="52" t="n">
        <v>0</v>
      </c>
      <c r="G3" s="52" t="n">
        <v>0.63</v>
      </c>
      <c r="H3" s="52" t="n">
        <v>0.73</v>
      </c>
      <c r="I3" s="52" t="n">
        <v>8.398</v>
      </c>
      <c r="J3" s="52" t="n">
        <v>15.231</v>
      </c>
      <c r="K3" s="52" t="n">
        <v>9.302</v>
      </c>
      <c r="L3" s="52" t="n">
        <v>10.895</v>
      </c>
      <c r="M3" s="52" t="n">
        <v>10.873</v>
      </c>
      <c r="N3" s="52" t="n">
        <v>16.349</v>
      </c>
      <c r="O3" s="52" t="n">
        <v>19.592</v>
      </c>
      <c r="P3" s="52" t="n">
        <v>22.982</v>
      </c>
      <c r="Q3" s="52" t="n">
        <v>24.319</v>
      </c>
      <c r="R3" s="52" t="n">
        <v>26.993</v>
      </c>
      <c r="S3" s="52">
        <f>S2*(1-Assumptions!$B$19)</f>
        <v>26.66234833584</v>
      </c>
      <c r="T3" s="52">
        <f>T2*(1-Assumptions!$B$19)</f>
        <v>26.44490207274548</v>
      </c>
      <c r="U3" s="52">
        <f>U2*(1-Assumptions!$B$19)</f>
        <v>26.338828632209246</v>
      </c>
      <c r="V3" s="52">
        <f>V2*(1-Assumptions!$B$19)</f>
        <v>26.342340476026873</v>
      </c>
      <c r="W3" s="52">
        <f>W2*(1-Assumptions!$B$19)</f>
        <v>26.45502715472988</v>
      </c>
      <c r="X3" s="52">
        <f>X2*(1-Assumptions!$B$19)</f>
        <v>26.67783727232194</v>
      </c>
      <c r="Y3" s="52">
        <f>Y2*(1-Assumptions!$B$19)</f>
        <v>27.013088760710787</v>
      </c>
      <c r="Z3" s="52">
        <f>Z2*(1-Assumptions!$B$19)</f>
        <v>27.464507488445328</v>
      </c>
      <c r="AA3" s="52">
        <f>AA2*(1-Assumptions!$B$19)</f>
        <v>28.037295050176574</v>
      </c>
      <c r="AB3" s="52">
        <f>AB2*(1-Assumptions!$B$19)</f>
        <v>28.738227426430985</v>
      </c>
    </row>
    <row r="4" customFormat="1" s="1">
      <c r="A4" s="5" t="inlineStr">
        <is>
          <t>Gross Margin</t>
        </is>
      </c>
      <c r="B4" s="52">
        <f>B2-B3</f>
        <v>-3.1870000000000003</v>
      </c>
      <c r="C4" s="52">
        <f>C2-C3</f>
        <v>2.2590000000000003</v>
      </c>
      <c r="D4" s="52">
        <f>D2-D3</f>
        <v>6.860999999999999</v>
      </c>
      <c r="E4" s="52">
        <f>E2-E3</f>
        <v>26.726</v>
      </c>
      <c r="F4" s="52">
        <f>F2-F3</f>
        <v>5.916</v>
      </c>
      <c r="G4" s="52">
        <f>G2-G3</f>
        <v>8.457999999999998</v>
      </c>
      <c r="H4" s="52">
        <f>H2-H3</f>
        <v>3.634</v>
      </c>
      <c r="I4" s="52">
        <f>I2-I3</f>
        <v>0.8010000000000002</v>
      </c>
      <c r="J4" s="52">
        <f>J2-J3</f>
        <v>5.8469999999999995</v>
      </c>
      <c r="K4" s="52">
        <f>K2-K3</f>
        <v>24.938000000000002</v>
      </c>
      <c r="L4" s="52">
        <f>L2-L3</f>
        <v>43.798</v>
      </c>
      <c r="M4" s="52">
        <f>M2-M3</f>
        <v>52.025000000000006</v>
      </c>
      <c r="N4" s="52">
        <f>N2-N3</f>
        <v>22.001</v>
      </c>
      <c r="O4" s="52">
        <f>O2-O3</f>
        <v>28.046</v>
      </c>
      <c r="P4" s="52">
        <f>P2-P3</f>
        <v>42.512</v>
      </c>
      <c r="Q4" s="52">
        <f>Q2-Q3</f>
        <v>29.080000000000002</v>
      </c>
      <c r="R4" s="52">
        <f>R2-R3</f>
        <v>25.751</v>
      </c>
      <c r="S4" s="52">
        <f>S2-S3</f>
        <v>25.43290046416</v>
      </c>
      <c r="T4" s="52">
        <f>T2-T3</f>
        <v>25.225481031485625</v>
      </c>
      <c r="U4" s="52">
        <f>U2-U3</f>
        <v>25.124298824237112</v>
      </c>
      <c r="V4" s="52">
        <f>V2-V3</f>
        <v>25.12764873074701</v>
      </c>
      <c r="W4" s="52">
        <f>W2-W3</f>
        <v>25.235139228095203</v>
      </c>
      <c r="X4" s="52">
        <f>X2-X3</f>
        <v>25.447675178482942</v>
      </c>
      <c r="Y4" s="52">
        <f>Y2-Y3</f>
        <v>25.767467629892543</v>
      </c>
      <c r="Z4" s="52">
        <f>Z2-Z3</f>
        <v>26.198070644507638</v>
      </c>
      <c r="AA4" s="52">
        <f>AA2-AA3</f>
        <v>26.744445962282533</v>
      </c>
      <c r="AB4" s="52">
        <f>AB2-AB3</f>
        <v>27.413057111339594</v>
      </c>
    </row>
    <row r="5">
      <c r="A5" s="2" t="inlineStr">
        <is>
          <t>Research &amp; Dev.</t>
        </is>
      </c>
      <c r="B5" s="52" t="n">
        <v>27.39</v>
      </c>
      <c r="C5" s="52" t="n">
        <v>37.691</v>
      </c>
      <c r="D5" s="52" t="n">
        <v>37.818</v>
      </c>
      <c r="E5" s="52" t="n">
        <v>36.665</v>
      </c>
      <c r="F5" s="52" t="n">
        <v>29.225</v>
      </c>
      <c r="G5" s="52" t="n">
        <v>27.352</v>
      </c>
      <c r="H5" s="52" t="n">
        <v>24.889</v>
      </c>
      <c r="I5" s="52" t="n">
        <v>30.412</v>
      </c>
      <c r="J5" s="52" t="n">
        <v>32.17</v>
      </c>
      <c r="K5" s="52" t="n">
        <v>33.33</v>
      </c>
      <c r="L5" s="52" t="n">
        <v>44.616</v>
      </c>
      <c r="M5" s="52" t="n">
        <v>38.167</v>
      </c>
      <c r="N5" s="52" t="n">
        <v>29.734</v>
      </c>
      <c r="O5" s="52" t="n">
        <v>29.349</v>
      </c>
      <c r="P5" s="52" t="n">
        <v>17.093</v>
      </c>
      <c r="Q5" s="52" t="n">
        <v>12.97</v>
      </c>
      <c r="R5" s="52" t="n">
        <v>19.569</v>
      </c>
      <c r="S5" s="52">
        <f>S7*Assumptions!$B$20</f>
        <v>6.791583506612206</v>
      </c>
      <c r="T5" s="52">
        <f>T7*Assumptions!$B$20</f>
        <v>7.0238391557836755</v>
      </c>
      <c r="U5" s="52">
        <f>U7*Assumptions!$B$20</f>
        <v>7.282156767076838</v>
      </c>
      <c r="V5" s="52">
        <f>V7*Assumptions!$B$20</f>
        <v>7.569656930687444</v>
      </c>
      <c r="W5" s="52">
        <f>W7*Assumptions!$B$20</f>
        <v>7.889793158550483</v>
      </c>
      <c r="X5" s="52">
        <f>X7*Assumptions!$B$20</f>
        <v>8.246421203340775</v>
      </c>
      <c r="Y5" s="52">
        <f>Y7*Assumptions!$B$20</f>
        <v>8.643876259216954</v>
      </c>
      <c r="Z5" s="52">
        <f>Z7*Assumptions!$B$20</f>
        <v>9.087060207950168</v>
      </c>
      <c r="AA5" s="52">
        <f>AA7*Assumptions!$B$20</f>
        <v>9.581541357067346</v>
      </c>
      <c r="AB5" s="52">
        <f>AB7*Assumptions!$B$20</f>
        <v>10.133669487610465</v>
      </c>
    </row>
    <row r="6">
      <c r="A6" s="18" t="inlineStr">
        <is>
          <t>SG&amp;A &amp; Other</t>
        </is>
      </c>
      <c r="B6" s="52" t="n">
        <v>1.392</v>
      </c>
      <c r="C6" s="52" t="n">
        <v>-5.466</v>
      </c>
      <c r="D6" s="52" t="n">
        <v>5.574</v>
      </c>
      <c r="E6" s="52" t="n">
        <v>2.233</v>
      </c>
      <c r="F6" s="52" t="n">
        <v>10.754</v>
      </c>
      <c r="G6" s="52" t="n">
        <v>9.664999999999999</v>
      </c>
      <c r="H6" s="52" t="n">
        <v>2.415</v>
      </c>
      <c r="I6" s="52" t="n">
        <v>3.552</v>
      </c>
      <c r="J6" s="52" t="n">
        <v>8.194000000000001</v>
      </c>
      <c r="K6" s="52" t="n">
        <v>10.916</v>
      </c>
      <c r="L6" s="52" t="n">
        <v>9.898999999999999</v>
      </c>
      <c r="M6" s="52" t="n">
        <v>11.148</v>
      </c>
      <c r="N6" s="52" t="n">
        <v>12.729</v>
      </c>
      <c r="O6" s="52" t="n">
        <v>11.711</v>
      </c>
      <c r="P6" s="52" t="n">
        <v>14.959</v>
      </c>
      <c r="Q6" s="52" t="n">
        <v>12.193</v>
      </c>
      <c r="R6" s="52" t="n">
        <v>11.682</v>
      </c>
      <c r="S6" s="52">
        <f>S7-S5</f>
        <v>4.054126341059794</v>
      </c>
      <c r="T6" s="52">
        <f>T7-T5</f>
        <v>4.192767608482813</v>
      </c>
      <c r="U6" s="52">
        <f>U7-U5</f>
        <v>4.346966144256344</v>
      </c>
      <c r="V6" s="52">
        <f>V7-V5</f>
        <v>4.5185847344154695</v>
      </c>
      <c r="W6" s="52">
        <f>W7-W5</f>
        <v>4.709684897263128</v>
      </c>
      <c r="X6" s="52">
        <f>X7-X5</f>
        <v>4.92256826223057</v>
      </c>
      <c r="Y6" s="52">
        <f>Y7-Y5</f>
        <v>5.159822653617532</v>
      </c>
      <c r="Z6" s="52">
        <f>Z7-Z5</f>
        <v>5.424374170762972</v>
      </c>
      <c r="AA6" s="52">
        <f>AA7-AA5</f>
        <v>5.719546725122603</v>
      </c>
      <c r="AB6" s="52">
        <f>AB7-AB5</f>
        <v>6.049130716175011</v>
      </c>
    </row>
    <row r="7">
      <c r="A7" s="2" t="inlineStr">
        <is>
          <t>Operating Expense</t>
        </is>
      </c>
      <c r="B7" s="52">
        <f>SUM(B5:B6)</f>
        <v>28.782</v>
      </c>
      <c r="C7" s="52">
        <f>SUM(C5:C6)</f>
        <v>32.225</v>
      </c>
      <c r="D7" s="52">
        <f>SUM(D5:D6)</f>
        <v>43.391999999999996</v>
      </c>
      <c r="E7" s="52">
        <f>SUM(E5:E6)</f>
        <v>38.897999999999996</v>
      </c>
      <c r="F7" s="52">
        <f>SUM(F5:F6)</f>
        <v>39.979</v>
      </c>
      <c r="G7" s="52">
        <f>SUM(G5:G6)</f>
        <v>37.016999999999996</v>
      </c>
      <c r="H7" s="52">
        <f>SUM(H5:H6)</f>
        <v>27.304</v>
      </c>
      <c r="I7" s="52">
        <f>SUM(I5:I6)</f>
        <v>33.964</v>
      </c>
      <c r="J7" s="52">
        <f>SUM(J5:J6)</f>
        <v>40.364000000000004</v>
      </c>
      <c r="K7" s="52">
        <f>SUM(K5:K6)</f>
        <v>44.245999999999995</v>
      </c>
      <c r="L7" s="52">
        <f>SUM(L5:L6)</f>
        <v>54.515</v>
      </c>
      <c r="M7" s="52">
        <f>SUM(M5:M6)</f>
        <v>49.315</v>
      </c>
      <c r="N7" s="52">
        <f>SUM(N5:N6)</f>
        <v>42.463</v>
      </c>
      <c r="O7" s="52">
        <f>SUM(O5:O6)</f>
        <v>41.06</v>
      </c>
      <c r="P7" s="52">
        <f>SUM(P5:P6)</f>
        <v>32.052</v>
      </c>
      <c r="Q7" s="52">
        <f>SUM(Q5:Q6)</f>
        <v>25.163</v>
      </c>
      <c r="R7" s="52">
        <f>SUM(R5:R6)</f>
        <v>31.250999999999998</v>
      </c>
      <c r="S7" s="52">
        <f>S4-S2*NPV!C6</f>
        <v>10.845709847672</v>
      </c>
      <c r="T7" s="52">
        <f>T4-T2*NPV!D6</f>
        <v>11.216606764266489</v>
      </c>
      <c r="U7" s="52">
        <f>U4-U2*NPV!E6</f>
        <v>11.629122911333182</v>
      </c>
      <c r="V7" s="52">
        <f>V4-V2*NPV!F6</f>
        <v>12.088241665102913</v>
      </c>
      <c r="W7" s="52">
        <f>W4-W2*NPV!G6</f>
        <v>12.599478055813611</v>
      </c>
      <c r="X7" s="52">
        <f>X4-X2*NPV!H6</f>
        <v>13.168989465571345</v>
      </c>
      <c r="Y7" s="52">
        <f>Y4-Y2*NPV!I6</f>
        <v>13.803698912834486</v>
      </c>
      <c r="Z7" s="52">
        <f>Z4-Z2*NPV!J6</f>
        <v>14.51143437871314</v>
      </c>
      <c r="AA7" s="52">
        <f>AA4-AA2*NPV!K6</f>
        <v>15.301088082189949</v>
      </c>
      <c r="AB7" s="52">
        <f>AB4-AB2*NPV!L6</f>
        <v>16.182800203785476</v>
      </c>
    </row>
    <row r="8">
      <c r="A8" s="2" t="inlineStr">
        <is>
          <t>Operating Income</t>
        </is>
      </c>
      <c r="B8" s="52">
        <f>B4-B7</f>
        <v>-31.969</v>
      </c>
      <c r="C8" s="52">
        <f>C4-C7</f>
        <v>-29.966</v>
      </c>
      <c r="D8" s="52">
        <f>D4-D7</f>
        <v>-36.531</v>
      </c>
      <c r="E8" s="52">
        <f>E4-E7</f>
        <v>-12.171999999999997</v>
      </c>
      <c r="F8" s="52">
        <f>F4-F7</f>
        <v>-34.063</v>
      </c>
      <c r="G8" s="52">
        <f>G4-G7</f>
        <v>-28.558999999999997</v>
      </c>
      <c r="H8" s="52">
        <f>H4-H7</f>
        <v>-23.669999999999998</v>
      </c>
      <c r="I8" s="52">
        <f>I4-I7</f>
        <v>-33.163</v>
      </c>
      <c r="J8" s="52">
        <f>J4-J7</f>
        <v>-34.517</v>
      </c>
      <c r="K8" s="52">
        <f>K4-K7</f>
        <v>-19.307999999999993</v>
      </c>
      <c r="L8" s="52">
        <f>L4-L7</f>
        <v>-10.716999999999999</v>
      </c>
      <c r="M8" s="52">
        <f>M4-M7</f>
        <v>2.710000000000008</v>
      </c>
      <c r="N8" s="52">
        <f>N4-N7</f>
        <v>-20.462</v>
      </c>
      <c r="O8" s="52">
        <f>O4-O7</f>
        <v>-13.014000000000003</v>
      </c>
      <c r="P8" s="52">
        <f>P4-P7</f>
        <v>10.46</v>
      </c>
      <c r="Q8" s="52">
        <f>Q4-Q7</f>
        <v>3.9170000000000016</v>
      </c>
      <c r="R8" s="52">
        <f>R4-R7</f>
        <v>-5.4999999999999964</v>
      </c>
      <c r="S8" s="52">
        <f>S4-S7</f>
        <v>14.587190616488</v>
      </c>
      <c r="T8" s="52">
        <f>T4-T7</f>
        <v>14.008874267219136</v>
      </c>
      <c r="U8" s="52">
        <f>U4-U7</f>
        <v>13.49517591290393</v>
      </c>
      <c r="V8" s="52">
        <f>V4-V7</f>
        <v>13.039407065644095</v>
      </c>
      <c r="W8" s="52">
        <f>W4-W7</f>
        <v>12.635661172281592</v>
      </c>
      <c r="X8" s="52">
        <f>X4-X7</f>
        <v>12.278685712911598</v>
      </c>
      <c r="Y8" s="52">
        <f>Y4-Y7</f>
        <v>11.963768717058057</v>
      </c>
      <c r="Z8" s="52">
        <f>Z4-Z7</f>
        <v>11.686636265794498</v>
      </c>
      <c r="AA8" s="52">
        <f>AA4-AA7</f>
        <v>11.443357880092584</v>
      </c>
      <c r="AB8" s="52">
        <f>AB4-AB7</f>
        <v>11.230256907554118</v>
      </c>
    </row>
    <row r="9">
      <c r="A9" s="18" t="inlineStr">
        <is>
          <t>Interest &amp; Other</t>
        </is>
      </c>
      <c r="B9" s="52" t="n">
        <v>0.529</v>
      </c>
      <c r="C9" s="52" t="n">
        <v>0.968</v>
      </c>
      <c r="D9" s="52" t="n">
        <v>0.002</v>
      </c>
      <c r="E9" s="52" t="n">
        <v>0.554</v>
      </c>
      <c r="F9" s="52" t="n">
        <v>6.273</v>
      </c>
      <c r="G9" s="52" t="n">
        <v>-1.384</v>
      </c>
      <c r="H9" s="52" t="n">
        <v>81.70699999999999</v>
      </c>
      <c r="I9" s="52" t="n">
        <v>3.798</v>
      </c>
      <c r="J9" s="52" t="n">
        <v>-48.923</v>
      </c>
      <c r="K9" s="52" t="n">
        <v>-7.149</v>
      </c>
      <c r="L9" s="52" t="n">
        <v>-7.559</v>
      </c>
      <c r="M9" s="52" t="n">
        <v>-9.233000000000001</v>
      </c>
      <c r="N9" s="52" t="n">
        <v>-7.12</v>
      </c>
      <c r="O9" s="52" t="n">
        <v>-1.383</v>
      </c>
      <c r="P9" s="52" t="n">
        <v>-1.894</v>
      </c>
      <c r="Q9" s="52" t="n">
        <v>0.237</v>
      </c>
      <c r="R9" s="52" t="n">
        <v>-0.108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-31.44</v>
      </c>
      <c r="C10" s="52">
        <f>C8+C9</f>
        <v>-28.998</v>
      </c>
      <c r="D10" s="52">
        <f>D8+D9</f>
        <v>-36.528999999999996</v>
      </c>
      <c r="E10" s="52">
        <f>E8+E9</f>
        <v>-11.617999999999997</v>
      </c>
      <c r="F10" s="52">
        <f>F8+F9</f>
        <v>-27.790000000000003</v>
      </c>
      <c r="G10" s="52">
        <f>G8+G9</f>
        <v>-29.942999999999998</v>
      </c>
      <c r="H10" s="52">
        <f>H8+H9</f>
        <v>58.03699999999999</v>
      </c>
      <c r="I10" s="52">
        <f>I8+I9</f>
        <v>-29.364999999999995</v>
      </c>
      <c r="J10" s="52">
        <f>J8+J9</f>
        <v>-83.44</v>
      </c>
      <c r="K10" s="52">
        <f>K8+K9</f>
        <v>-26.456999999999994</v>
      </c>
      <c r="L10" s="52">
        <f>L8+L9</f>
        <v>-18.276</v>
      </c>
      <c r="M10" s="52">
        <f>M8+M9</f>
        <v>-6.522999999999993</v>
      </c>
      <c r="N10" s="52">
        <f>N8+N9</f>
        <v>-27.582</v>
      </c>
      <c r="O10" s="52">
        <f>O8+O9</f>
        <v>-14.397000000000002</v>
      </c>
      <c r="P10" s="52">
        <f>P8+P9</f>
        <v>8.566</v>
      </c>
      <c r="Q10" s="52">
        <f>Q8+Q9</f>
        <v>4.154000000000002</v>
      </c>
      <c r="R10" s="52">
        <f>R8+R9</f>
        <v>-5.607999999999996</v>
      </c>
      <c r="S10" s="52">
        <f>S8+S9</f>
        <v>14.587190616488</v>
      </c>
      <c r="T10" s="52">
        <f>T8+T9</f>
        <v>14.008874267219136</v>
      </c>
      <c r="U10" s="52">
        <f>U8+U9</f>
        <v>13.49517591290393</v>
      </c>
      <c r="V10" s="52">
        <f>V8+V9</f>
        <v>13.039407065644095</v>
      </c>
      <c r="W10" s="52">
        <f>W8+W9</f>
        <v>12.635661172281592</v>
      </c>
      <c r="X10" s="52">
        <f>X8+X9</f>
        <v>12.278685712911598</v>
      </c>
      <c r="Y10" s="52">
        <f>Y8+Y9</f>
        <v>11.963768717058057</v>
      </c>
      <c r="Z10" s="52">
        <f>Z8+Z9</f>
        <v>11.686636265794498</v>
      </c>
      <c r="AA10" s="52">
        <f>AA8+AA9</f>
        <v>11.443357880092584</v>
      </c>
      <c r="AB10" s="52">
        <f>AB8+AB9</f>
        <v>11.230256907554118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0.53</v>
      </c>
      <c r="P11" s="52" t="n">
        <v>0.254</v>
      </c>
      <c r="Q11" s="52" t="n">
        <v>1.222</v>
      </c>
      <c r="R11" s="52" t="n">
        <v>0.996</v>
      </c>
      <c r="S11" s="52">
        <f>MAX(0,S10)*Assumptions!$E$14</f>
        <v>2.47982240480296</v>
      </c>
      <c r="T11" s="52">
        <f>MAX(0,T10)*Assumptions!$E$14</f>
        <v>2.3815086254272533</v>
      </c>
      <c r="U11" s="52">
        <f>MAX(0,U10)*Assumptions!$E$14</f>
        <v>2.294179905193668</v>
      </c>
      <c r="V11" s="52">
        <f>MAX(0,V10)*Assumptions!$E$14</f>
        <v>2.2166992011594964</v>
      </c>
      <c r="W11" s="52">
        <f>MAX(0,W10)*Assumptions!$E$14</f>
        <v>2.1480623992878707</v>
      </c>
      <c r="X11" s="52">
        <f>MAX(0,X10)*Assumptions!$E$14</f>
        <v>2.0873765711949717</v>
      </c>
      <c r="Y11" s="52">
        <f>MAX(0,Y10)*Assumptions!$E$14</f>
        <v>2.03384068189987</v>
      </c>
      <c r="Z11" s="52">
        <f>MAX(0,Z10)*Assumptions!$E$14</f>
        <v>1.9867281651850648</v>
      </c>
      <c r="AA11" s="52">
        <f>MAX(0,AA10)*Assumptions!$E$14</f>
        <v>1.9453708396157394</v>
      </c>
      <c r="AB11" s="52">
        <f>MAX(0,AB10)*Assumptions!$E$14</f>
        <v>1.9091436742842</v>
      </c>
    </row>
    <row r="12">
      <c r="A12" s="2" t="inlineStr">
        <is>
          <t>Net Income</t>
        </is>
      </c>
      <c r="B12" s="52" t="n">
        <v>-31.44</v>
      </c>
      <c r="C12" s="52" t="n">
        <v>-28.998</v>
      </c>
      <c r="D12" s="52" t="n">
        <v>-36.529</v>
      </c>
      <c r="E12" s="52" t="n">
        <v>-11.618</v>
      </c>
      <c r="F12" s="52" t="n">
        <v>-27.79</v>
      </c>
      <c r="G12" s="52" t="n">
        <v>-29.943</v>
      </c>
      <c r="H12" s="52" t="n">
        <v>58.037</v>
      </c>
      <c r="I12" s="52" t="n">
        <v>-29.365</v>
      </c>
      <c r="J12" s="52" t="n">
        <v>-83.44</v>
      </c>
      <c r="K12" s="52" t="n">
        <v>-26.457</v>
      </c>
      <c r="L12" s="52" t="n">
        <v>-18.276</v>
      </c>
      <c r="M12" s="52" t="n">
        <v>-6.523</v>
      </c>
      <c r="N12" s="52" t="n">
        <v>-27.582</v>
      </c>
      <c r="O12" s="52" t="n">
        <v>-14.927</v>
      </c>
      <c r="P12" s="52" t="n">
        <v>8.311999999999999</v>
      </c>
      <c r="Q12" s="52" t="n">
        <v>2.932</v>
      </c>
      <c r="R12" s="52" t="n">
        <v>-6.604</v>
      </c>
      <c r="S12" s="52">
        <f>S10-S11</f>
        <v>12.10736821168504</v>
      </c>
      <c r="T12" s="52">
        <f>T10-T11</f>
        <v>11.627365641791883</v>
      </c>
      <c r="U12" s="52">
        <f>U10-U11</f>
        <v>11.200996007710263</v>
      </c>
      <c r="V12" s="52">
        <f>V10-V11</f>
        <v>10.822707864484599</v>
      </c>
      <c r="W12" s="52">
        <f>W10-W11</f>
        <v>10.48759877299372</v>
      </c>
      <c r="X12" s="52">
        <f>X10-X11</f>
        <v>10.191309141716626</v>
      </c>
      <c r="Y12" s="52">
        <f>Y10-Y11</f>
        <v>9.929928035158188</v>
      </c>
      <c r="Z12" s="52">
        <f>Z10-Z11</f>
        <v>9.699908100609433</v>
      </c>
      <c r="AA12" s="52">
        <f>AA10-AA11</f>
        <v>9.497987040476845</v>
      </c>
      <c r="AB12" s="52">
        <f>AB10-AB11</f>
        <v>9.321113233269918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-0.179087332711631</v>
      </c>
      <c r="D13" s="11">
        <f>IFERROR(D12/D14,0)</f>
        <v>-0.2157763850411422</v>
      </c>
      <c r="E13" s="11">
        <f>IFERROR(E12/E14,0)</f>
        <v>-0.06394337670343218</v>
      </c>
      <c r="F13" s="11">
        <f>IFERROR(F12/F14,0)</f>
        <v>-0.15043088515503206</v>
      </c>
      <c r="G13" s="11">
        <f>IFERROR(G12/G14,0)</f>
        <v>-0.16117103733367782</v>
      </c>
      <c r="H13" s="11">
        <f>IFERROR(H12/H14,0)</f>
        <v>0.30570728752403276</v>
      </c>
      <c r="I13" s="11">
        <f>IFERROR(I12/I14,0)</f>
        <v>-0.1448156824066083</v>
      </c>
      <c r="J13" s="11">
        <f>IFERROR(J12/J14,0)</f>
        <v>-3.1826677346759737</v>
      </c>
      <c r="K13" s="11">
        <f>IFERROR(K12/K14,0)</f>
        <v>-0.8990722805586706</v>
      </c>
      <c r="L13" s="11">
        <f>IFERROR(L12/L14,0)</f>
        <v>-0.6158511928831379</v>
      </c>
      <c r="M13" s="11">
        <f>IFERROR(M12/M14,0)</f>
        <v>-0.22378893920680665</v>
      </c>
      <c r="N13" s="11">
        <f>IFERROR(N12/N14,0)</f>
        <v>-0.6248753964657907</v>
      </c>
      <c r="O13" s="11">
        <f>IFERROR(O12/O14,0)</f>
        <v>-0.3079509820102327</v>
      </c>
      <c r="P13" s="11">
        <f>IFERROR(P12/P14,0)</f>
        <v>0.10084441424827718</v>
      </c>
      <c r="Q13" s="11">
        <f>IFERROR(Q12/Q14,0)</f>
        <v>0.03617207644003602</v>
      </c>
      <c r="R13" s="11">
        <f>IFERROR(R12/R14,0)</f>
        <v>-0.08407811982787156</v>
      </c>
      <c r="S13" s="11">
        <f>IFERROR(S12/S14,0)</f>
        <v>0.15026835634906188</v>
      </c>
      <c r="T13" s="11">
        <f>IFERROR(T12/T14,0)</f>
        <v>0.1443108934256532</v>
      </c>
      <c r="U13" s="11">
        <f>IFERROR(U12/U14,0)</f>
        <v>0.1390190857437194</v>
      </c>
      <c r="V13" s="11">
        <f>IFERROR(V12/V14,0)</f>
        <v>0.13432403257320485</v>
      </c>
      <c r="W13" s="11">
        <f>IFERROR(W12/W14,0)</f>
        <v>0.13016488819966857</v>
      </c>
      <c r="X13" s="11">
        <f>IFERROR(X12/X14,0)</f>
        <v>0.12648754436103743</v>
      </c>
      <c r="Y13" s="11">
        <f>IFERROR(Y12/Y14,0)</f>
        <v>0.12324346120634092</v>
      </c>
      <c r="Z13" s="11">
        <f>IFERROR(Z12/Z14,0)</f>
        <v>0.12038861142496553</v>
      </c>
      <c r="AA13" s="11">
        <f>IFERROR(AA12/AA14,0)</f>
        <v>0.11788250561502576</v>
      </c>
      <c r="AB13" s="11">
        <f>IFERROR(AB12/AB14,0)</f>
        <v>0.11568726914203781</v>
      </c>
    </row>
    <row r="14">
      <c r="A14" s="2" t="inlineStr">
        <is>
          <t>Shares</t>
        </is>
      </c>
      <c r="B14" s="52" t="n"/>
      <c r="C14" s="52" t="n">
        <v>161.921</v>
      </c>
      <c r="D14" s="52" t="n">
        <v>169.291</v>
      </c>
      <c r="E14" s="52" t="n">
        <v>181.692</v>
      </c>
      <c r="F14" s="52" t="n">
        <v>184.736</v>
      </c>
      <c r="G14" s="52" t="n">
        <v>185.784</v>
      </c>
      <c r="H14" s="52" t="n">
        <v>189.845</v>
      </c>
      <c r="I14" s="52" t="n">
        <v>202.775</v>
      </c>
      <c r="J14" s="52" t="n">
        <v>26.217</v>
      </c>
      <c r="K14" s="52" t="n">
        <v>29.427</v>
      </c>
      <c r="L14" s="52" t="n">
        <v>29.676</v>
      </c>
      <c r="M14" s="52" t="n">
        <v>29.148</v>
      </c>
      <c r="N14" s="52" t="n">
        <v>44.14</v>
      </c>
      <c r="O14" s="52" t="n">
        <v>48.472</v>
      </c>
      <c r="P14" s="52" t="n">
        <v>82.42400000000001</v>
      </c>
      <c r="Q14" s="52" t="n">
        <v>81.057</v>
      </c>
      <c r="R14" s="52" t="n">
        <v>78.54600000000001</v>
      </c>
      <c r="S14" s="52">
        <f>Main!$C$4</f>
        <v>80.571642</v>
      </c>
      <c r="T14" s="52">
        <f>Main!$C$4</f>
        <v>80.571642</v>
      </c>
      <c r="U14" s="52">
        <f>Main!$C$4</f>
        <v>80.571642</v>
      </c>
      <c r="V14" s="52">
        <f>Main!$C$4</f>
        <v>80.571642</v>
      </c>
      <c r="W14" s="52">
        <f>Main!$C$4</f>
        <v>80.571642</v>
      </c>
      <c r="X14" s="52">
        <f>Main!$C$4</f>
        <v>80.571642</v>
      </c>
      <c r="Y14" s="52">
        <f>Main!$C$4</f>
        <v>80.571642</v>
      </c>
      <c r="Z14" s="52">
        <f>Main!$C$4</f>
        <v>80.571642</v>
      </c>
      <c r="AA14" s="52">
        <f>Main!$C$4</f>
        <v>80.571642</v>
      </c>
      <c r="AB14" s="52">
        <f>Main!$C$4</f>
        <v>80.571642</v>
      </c>
    </row>
    <row r="15"/>
    <row r="16" customFormat="1" s="4">
      <c r="A16" s="3" t="inlineStr">
        <is>
          <t>Revenue Change</t>
        </is>
      </c>
      <c r="C16" s="15">
        <f>IFERROR(C2/B2-1,"")</f>
        <v>16.11855670103093</v>
      </c>
      <c r="D16" s="15">
        <f>IFERROR(D2/C2-1,"")</f>
        <v>0.26257151460403483</v>
      </c>
      <c r="E16" s="15">
        <f>IFERROR(E2/D2-1,"")</f>
        <v>3.158120677319342</v>
      </c>
      <c r="F16" s="15">
        <f>IFERROR(F2/E2-1,"")</f>
        <v>-0.8303412675652423</v>
      </c>
      <c r="G16" s="15">
        <f>IFERROR(G2/F2-1,"")</f>
        <v>0.5361730899256252</v>
      </c>
      <c r="H16" s="15">
        <f>IFERROR(H2/G2-1,"")</f>
        <v>-0.519806338028169</v>
      </c>
      <c r="I16" s="15">
        <f>IFERROR(I2/H2-1,"")</f>
        <v>1.1079285059578368</v>
      </c>
      <c r="J16" s="15">
        <f>IFERROR(J2/I2-1,"")</f>
        <v>1.2913360147842154</v>
      </c>
      <c r="K16" s="15">
        <f>IFERROR(K2/J2-1,"")</f>
        <v>0.6244425467311892</v>
      </c>
      <c r="L16" s="15">
        <f>IFERROR(L2/K2-1,"")</f>
        <v>0.5973422897196261</v>
      </c>
      <c r="M16" s="15">
        <f>IFERROR(M2/L2-1,"")</f>
        <v>0.15001919806922293</v>
      </c>
      <c r="N16" s="15">
        <f>IFERROR(N2/M2-1,"")</f>
        <v>-0.3902826798944322</v>
      </c>
      <c r="O16" s="15">
        <f>IFERROR(O2/N2-1,"")</f>
        <v>0.24219035202086037</v>
      </c>
      <c r="P16" s="15">
        <f>IFERROR(P2/O2-1,"")</f>
        <v>0.3748268189260675</v>
      </c>
      <c r="Q16" s="15">
        <f>IFERROR(Q2/P2-1,"")</f>
        <v>-0.1846734051974227</v>
      </c>
      <c r="R16" s="15">
        <f>IFERROR(R2/Q2-1,"")</f>
        <v>-0.012266147306129405</v>
      </c>
      <c r="S16" s="15">
        <f>IFERROR(S2/R2-1,"")</f>
        <v>-0.012299999999999978</v>
      </c>
      <c r="T16" s="15">
        <f>IFERROR(T2/S2-1,"")</f>
        <v>-0.008155555555555694</v>
      </c>
      <c r="U16" s="15">
        <f>IFERROR(U2/T2-1,"")</f>
        <v>-0.004011111111111076</v>
      </c>
      <c r="V16" s="15">
        <f>IFERROR(V2/U2-1,"")</f>
        <v>0.00013333333333331865</v>
      </c>
      <c r="W16" s="15">
        <f>IFERROR(W2/V2-1,"")</f>
        <v>0.004277777777777825</v>
      </c>
      <c r="X16" s="15">
        <f>IFERROR(X2/W2-1,"")</f>
        <v>0.00842222222222233</v>
      </c>
      <c r="Y16" s="15">
        <f>IFERROR(Y2/X2-1,"")</f>
        <v>0.012566666666666615</v>
      </c>
      <c r="Z16" s="15">
        <f>IFERROR(Z2/Y2-1,"")</f>
        <v>0.01671111111111112</v>
      </c>
      <c r="AA16" s="15">
        <f>IFERROR(AA2/Z2-1,"")</f>
        <v>0.020855555555555627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-8.213917525773196</v>
      </c>
      <c r="C17" s="15">
        <f>IFERROR(C4/C2,"")</f>
        <v>0.34010840108401086</v>
      </c>
      <c r="D17" s="15">
        <f>IFERROR(D4/D2,"")</f>
        <v>0.8181492964464583</v>
      </c>
      <c r="E17" s="15">
        <f>IFERROR(E4/E2,"")</f>
        <v>0.7664468024089476</v>
      </c>
      <c r="F17" s="15">
        <f>IFERROR(F4/F2,"")</f>
        <v>1.0</v>
      </c>
      <c r="G17" s="15">
        <f>IFERROR(G4/G2,"")</f>
        <v>0.9306778169014084</v>
      </c>
      <c r="H17" s="15">
        <f>IFERROR(H4/H2,"")</f>
        <v>0.8327222731439047</v>
      </c>
      <c r="I17" s="15">
        <f>IFERROR(I4/I2,"")</f>
        <v>0.08707468203065552</v>
      </c>
      <c r="J17" s="15">
        <f>IFERROR(J4/J2,"")</f>
        <v>0.27739823512667233</v>
      </c>
      <c r="K17" s="15">
        <f>IFERROR(K4/K2,"")</f>
        <v>0.7283294392523365</v>
      </c>
      <c r="L17" s="15">
        <f>IFERROR(L4/L2,"")</f>
        <v>0.8007971769696306</v>
      </c>
      <c r="M17" s="15">
        <f>IFERROR(M4/M2,"")</f>
        <v>0.8271328182136157</v>
      </c>
      <c r="N17" s="15">
        <f>IFERROR(N4/N2,"")</f>
        <v>0.5736897001303781</v>
      </c>
      <c r="O17" s="15">
        <f>IFERROR(O4/O2,"")</f>
        <v>0.5887316847894538</v>
      </c>
      <c r="P17" s="15">
        <f>IFERROR(P4/P2,"")</f>
        <v>0.6490976272635661</v>
      </c>
      <c r="Q17" s="15">
        <f>IFERROR(Q4/Q2,"")</f>
        <v>0.544579486507238</v>
      </c>
      <c r="R17" s="15">
        <f>IFERROR(R4/R2,"")</f>
        <v>0.4882261489458517</v>
      </c>
      <c r="S17" s="15">
        <f>IFERROR(S4/S2,"")</f>
        <v>0.48819999999999997</v>
      </c>
      <c r="T17" s="15">
        <f>IFERROR(T4/T2,"")</f>
        <v>0.48819999999999997</v>
      </c>
      <c r="U17" s="15">
        <f>IFERROR(U4/U2,"")</f>
        <v>0.4882</v>
      </c>
      <c r="V17" s="15">
        <f>IFERROR(V4/V2,"")</f>
        <v>0.48819999999999997</v>
      </c>
      <c r="W17" s="15">
        <f>IFERROR(W4/W2,"")</f>
        <v>0.48819999999999997</v>
      </c>
      <c r="X17" s="15">
        <f>IFERROR(X4/X2,"")</f>
        <v>0.48819999999999997</v>
      </c>
      <c r="Y17" s="15">
        <f>IFERROR(Y4/Y2,"")</f>
        <v>0.48819999999999997</v>
      </c>
      <c r="Z17" s="15">
        <f>IFERROR(Z4/Z2,"")</f>
        <v>0.4882</v>
      </c>
      <c r="AA17" s="15">
        <f>IFERROR(AA4/AA2,"")</f>
        <v>0.48819999999999997</v>
      </c>
      <c r="AB17" s="15">
        <f>IFERROR(AB4/AB2,"")</f>
        <v>0.48819999999999997</v>
      </c>
    </row>
    <row r="18">
      <c r="A18" s="14" t="inlineStr">
        <is>
          <t>Operating Margin</t>
        </is>
      </c>
      <c r="B18" s="15">
        <f>IFERROR(B8/B2,"")</f>
        <v>-82.39432989690722</v>
      </c>
      <c r="C18" s="15">
        <f>IFERROR(C8/C2,"")</f>
        <v>-4.511592893706715</v>
      </c>
      <c r="D18" s="15">
        <f>IFERROR(D8/D2,"")</f>
        <v>-4.35618888623897</v>
      </c>
      <c r="E18" s="15">
        <f>IFERROR(E8/E2,"")</f>
        <v>-0.3490679667335818</v>
      </c>
      <c r="F18" s="15">
        <f>IFERROR(F8/F2,"")</f>
        <v>-5.757775524002705</v>
      </c>
      <c r="G18" s="15">
        <f>IFERROR(G8/G2,"")</f>
        <v>-3.1424955985915495</v>
      </c>
      <c r="H18" s="15">
        <f>IFERROR(H8/H2,"")</f>
        <v>-5.423923006416132</v>
      </c>
      <c r="I18" s="15">
        <f>IFERROR(I8/I2,"")</f>
        <v>-3.6050657680182625</v>
      </c>
      <c r="J18" s="15">
        <f>IFERROR(J8/J2,"")</f>
        <v>-1.6375842110257142</v>
      </c>
      <c r="K18" s="15">
        <f>IFERROR(K8/K2,"")</f>
        <v>-0.5639018691588783</v>
      </c>
      <c r="L18" s="15">
        <f>IFERROR(L8/L2,"")</f>
        <v>-0.1959482932002267</v>
      </c>
      <c r="M18" s="15">
        <f>IFERROR(M8/M2,"")</f>
        <v>0.043085630703679094</v>
      </c>
      <c r="N18" s="15">
        <f>IFERROR(N8/N2,"")</f>
        <v>-0.5335593220338983</v>
      </c>
      <c r="O18" s="15">
        <f>IFERROR(O8/O2,"")</f>
        <v>-0.27318527226163997</v>
      </c>
      <c r="P18" s="15">
        <f>IFERROR(P8/P2,"")</f>
        <v>0.15970928634684095</v>
      </c>
      <c r="Q18" s="15">
        <f>IFERROR(Q8/Q2,"")</f>
        <v>0.07335343358489863</v>
      </c>
      <c r="R18" s="15">
        <f>IFERROR(R8/R2,"")</f>
        <v>-0.10427726376459875</v>
      </c>
      <c r="S18" s="15">
        <f>IFERROR(S8/S2,"")</f>
        <v>0.28001</v>
      </c>
      <c r="T18" s="15">
        <f>IFERROR(T8/T2,"")</f>
        <v>0.27111999999999997</v>
      </c>
      <c r="U18" s="15">
        <f>IFERROR(U8/U2,"")</f>
        <v>0.26223</v>
      </c>
      <c r="V18" s="15">
        <f>IFERROR(V8/V2,"")</f>
        <v>0.25334</v>
      </c>
      <c r="W18" s="15">
        <f>IFERROR(W8/W2,"")</f>
        <v>0.24445000000000003</v>
      </c>
      <c r="X18" s="15">
        <f>IFERROR(X8/X2,"")</f>
        <v>0.23556</v>
      </c>
      <c r="Y18" s="15">
        <f>IFERROR(Y8/Y2,"")</f>
        <v>0.22667</v>
      </c>
      <c r="Z18" s="15">
        <f>IFERROR(Z8/Z2,"")</f>
        <v>0.21778</v>
      </c>
      <c r="AA18" s="15">
        <f>IFERROR(AA8/AA2,"")</f>
        <v>0.20889000000000002</v>
      </c>
      <c r="AB18" s="15">
        <f>IFERROR(AB8/AB2,"")</f>
        <v>0.20000000000000004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Protalix BioTherapeutics,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-0.0623</v>
      </c>
      <c r="C12" s="53" t="n">
        <v>-0.0123</v>
      </c>
      <c r="D12" s="53" t="n">
        <v>0.0377</v>
      </c>
      <c r="E12" s="54">
        <f>CHOOSE($B$4,B12,C12,D12)</f>
        <v>-0.0123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0.2889</v>
      </c>
    </row>
    <row r="19">
      <c r="A19" s="14" t="inlineStr">
        <is>
          <t>Gross margin (forecast)</t>
        </is>
      </c>
      <c r="B19" s="53" t="n">
        <v>0.4882</v>
      </c>
    </row>
    <row r="20">
      <c r="A20" s="14" t="inlineStr">
        <is>
          <t>R&amp;D share of operating expense (forecast)</t>
        </is>
      </c>
      <c r="B20" s="53" t="n">
        <v>0.6262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Model'!R2</f>
        <v>52.744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90.72927120899435</v>
      </c>
      <c r="C29" s="56">
        <f>NPV!B26</f>
        <v>118.14927120899435</v>
      </c>
      <c r="D29" s="35">
        <f>NPV!B28</f>
        <v>1.4663877795737905</v>
      </c>
      <c r="E29" s="57">
        <f>NPV!B30</f>
        <v>-0.44349609883347607</v>
      </c>
    </row>
    <row r="30">
      <c r="A30" s="58" t="n">
        <v>1</v>
      </c>
      <c r="B30" s="59">
        <f t="dataTable" ref="B30:E32" r1="B4"/>
        <v>60.30398327059845</v>
      </c>
      <c r="C30" s="59">
        <v>87.72398327059845</v>
      </c>
      <c r="D30" s="39">
        <v>1.0887699579288512</v>
      </c>
      <c r="E30" s="60">
        <v>-0.5868045700459767</v>
      </c>
    </row>
    <row r="31">
      <c r="A31" s="58" t="n">
        <v>2</v>
      </c>
      <c r="B31" s="59">
        <v>90.72927120899435</v>
      </c>
      <c r="C31" s="59">
        <v>118.14927120899435</v>
      </c>
      <c r="D31" s="39">
        <v>1.4663877795737905</v>
      </c>
      <c r="E31" s="60">
        <v>-0.44349609883347607</v>
      </c>
    </row>
    <row r="32">
      <c r="A32" s="58" t="n">
        <v>3</v>
      </c>
      <c r="B32" s="59">
        <v>143.37332078149208</v>
      </c>
      <c r="C32" s="59">
        <v>170.79332078149207</v>
      </c>
      <c r="D32" s="39">
        <v>2.119769642791841</v>
      </c>
      <c r="E32" s="60">
        <v>-0.19553334239398823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1.4663877795737905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1.6087371679030231</v>
      </c>
      <c r="C37" s="39">
        <v>1.6508610716240368</v>
      </c>
      <c r="D37" s="39">
        <v>1.6980808867954738</v>
      </c>
      <c r="E37" s="39">
        <v>1.751414102568454</v>
      </c>
      <c r="F37" s="39">
        <v>1.8121689026388965</v>
      </c>
    </row>
    <row r="38">
      <c r="A38" s="62" t="n">
        <v>0.115</v>
      </c>
      <c r="B38" s="39">
        <v>1.5007424854683478</v>
      </c>
      <c r="C38" s="39">
        <v>1.5334590290027992</v>
      </c>
      <c r="D38" s="39">
        <v>1.5696671567892897</v>
      </c>
      <c r="E38" s="39">
        <v>1.6099816181387914</v>
      </c>
      <c r="F38" s="39">
        <v>1.6551708359965647</v>
      </c>
    </row>
    <row r="39">
      <c r="A39" s="62" t="n">
        <v>0.125</v>
      </c>
      <c r="B39" s="39">
        <v>1.4119378444373671</v>
      </c>
      <c r="C39" s="39">
        <v>1.437925024759548</v>
      </c>
      <c r="D39" s="39">
        <v>1.4663877795737905</v>
      </c>
      <c r="E39" s="39">
        <v>1.4977157936472216</v>
      </c>
      <c r="F39" s="39">
        <v>1.5323853369111795</v>
      </c>
    </row>
    <row r="40">
      <c r="A40" s="62" t="n">
        <v>0.135</v>
      </c>
      <c r="B40" s="39">
        <v>1.3375376720961767</v>
      </c>
      <c r="C40" s="39">
        <v>1.3585680720261744</v>
      </c>
      <c r="D40" s="39">
        <v>1.3814036110921455</v>
      </c>
      <c r="E40" s="39">
        <v>1.4063011430944492</v>
      </c>
      <c r="F40" s="39">
        <v>1.4335688828951063</v>
      </c>
    </row>
    <row r="41">
      <c r="A41" s="62" t="n">
        <v>0.145</v>
      </c>
      <c r="B41" s="39">
        <v>1.2742294434329229</v>
      </c>
      <c r="C41" s="39">
        <v>1.2915188324515265</v>
      </c>
      <c r="D41" s="39">
        <v>1.3101557202636396</v>
      </c>
      <c r="E41" s="39">
        <v>1.3303149834929595</v>
      </c>
      <c r="F41" s="39">
        <v>1.3522032862127356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Protalix BioTherapeutics, Inc.: free-cash-flow DCF ($mm)</t>
        </is>
      </c>
    </row>
    <row r="3">
      <c r="A3" s="20" t="inlineStr">
        <is>
          <t>Fiscal year</t>
        </is>
      </c>
      <c r="B3" s="43">
        <f>'Yearly Model'!R1</f>
        <v>2025</v>
      </c>
      <c r="C3" s="43">
        <f>'Yearly Model'!S1</f>
        <v>2026</v>
      </c>
      <c r="D3" s="43">
        <f>'Yearly Model'!T1</f>
        <v>2027</v>
      </c>
      <c r="E3" s="43">
        <f>'Yearly Model'!U1</f>
        <v>2028</v>
      </c>
      <c r="F3" s="43">
        <f>'Yearly Model'!V1</f>
        <v>2029</v>
      </c>
      <c r="G3" s="43">
        <f>'Yearly Model'!W1</f>
        <v>2030</v>
      </c>
      <c r="H3" s="43">
        <f>'Yearly Model'!X1</f>
        <v>2031</v>
      </c>
      <c r="I3" s="43">
        <f>'Yearly Model'!Y1</f>
        <v>2032</v>
      </c>
      <c r="J3" s="43">
        <f>'Yearly Model'!Z1</f>
        <v>2033</v>
      </c>
      <c r="K3" s="43">
        <f>'Yearly Model'!AA1</f>
        <v>2034</v>
      </c>
      <c r="L3" s="43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-0.0123</v>
      </c>
      <c r="D5" s="63">
        <f>Assumptions!$E$12+(Assumptions!$E$11-Assumptions!$E$12)*(D4-1)/(Assumptions!$B$21-1)</f>
        <v>-0.008155555555555555</v>
      </c>
      <c r="E5" s="63">
        <f>Assumptions!$E$12+(Assumptions!$E$11-Assumptions!$E$12)*(E4-1)/(Assumptions!$B$21-1)</f>
        <v>-0.004011111111111111</v>
      </c>
      <c r="F5" s="63">
        <f>Assumptions!$E$12+(Assumptions!$E$11-Assumptions!$E$12)*(F4-1)/(Assumptions!$B$21-1)</f>
        <v>0.00013333333333333253</v>
      </c>
      <c r="G5" s="63">
        <f>Assumptions!$E$12+(Assumptions!$E$11-Assumptions!$E$12)*(G4-1)/(Assumptions!$B$21-1)</f>
        <v>0.004277777777777778</v>
      </c>
      <c r="H5" s="63">
        <f>Assumptions!$E$12+(Assumptions!$E$11-Assumptions!$E$12)*(H4-1)/(Assumptions!$B$21-1)</f>
        <v>0.008422222222222222</v>
      </c>
      <c r="I5" s="63">
        <f>Assumptions!$E$12+(Assumptions!$E$11-Assumptions!$E$12)*(I4-1)/(Assumptions!$B$21-1)</f>
        <v>0.012566666666666665</v>
      </c>
      <c r="J5" s="63">
        <f>Assumptions!$E$12+(Assumptions!$E$11-Assumptions!$E$12)*(J4-1)/(Assumptions!$B$21-1)</f>
        <v>0.016711111111111114</v>
      </c>
      <c r="K5" s="63">
        <f>Assumptions!$E$12+(Assumptions!$E$11-Assumptions!$E$12)*(K4-1)/(Assumptions!$B$21-1)</f>
        <v>0.020855555555555558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-0.10427726376459875</v>
      </c>
      <c r="C6" s="63">
        <f>Assumptions!$B$18+(Assumptions!$E$13-Assumptions!$B$18)*C4/Assumptions!$B$21</f>
        <v>0.28001</v>
      </c>
      <c r="D6" s="63">
        <f>Assumptions!$B$18+(Assumptions!$E$13-Assumptions!$B$18)*D4/Assumptions!$B$21</f>
        <v>0.27111999999999997</v>
      </c>
      <c r="E6" s="63">
        <f>Assumptions!$B$18+(Assumptions!$E$13-Assumptions!$B$18)*E4/Assumptions!$B$21</f>
        <v>0.26223</v>
      </c>
      <c r="F6" s="63">
        <f>Assumptions!$B$18+(Assumptions!$E$13-Assumptions!$B$18)*F4/Assumptions!$B$21</f>
        <v>0.25334</v>
      </c>
      <c r="G6" s="63">
        <f>Assumptions!$B$18+(Assumptions!$E$13-Assumptions!$B$18)*G4/Assumptions!$B$21</f>
        <v>0.24445</v>
      </c>
      <c r="H6" s="63">
        <f>Assumptions!$B$18+(Assumptions!$E$13-Assumptions!$B$18)*H4/Assumptions!$B$21</f>
        <v>0.23556</v>
      </c>
      <c r="I6" s="63">
        <f>Assumptions!$B$18+(Assumptions!$E$13-Assumptions!$B$18)*I4/Assumptions!$B$21</f>
        <v>0.22667</v>
      </c>
      <c r="J6" s="63">
        <f>Assumptions!$B$18+(Assumptions!$E$13-Assumptions!$B$18)*J4/Assumptions!$B$21</f>
        <v>0.21778</v>
      </c>
      <c r="K6" s="63">
        <f>Assumptions!$B$18+(Assumptions!$E$13-Assumptions!$B$18)*K4/Assumptions!$B$21</f>
        <v>0.20889000000000002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Model'!R2</f>
        <v>52.744</v>
      </c>
      <c r="C7" s="55">
        <f>'Yearly Model'!S2</f>
        <v>52.0952488</v>
      </c>
      <c r="D7" s="55">
        <f>'Yearly Model'!T2</f>
        <v>51.67038310423111</v>
      </c>
      <c r="E7" s="55">
        <f>'Yearly Model'!U2</f>
        <v>51.46312745644636</v>
      </c>
      <c r="F7" s="55">
        <f>'Yearly Model'!V2</f>
        <v>51.46998920677388</v>
      </c>
      <c r="G7" s="55">
        <f>'Yearly Model'!W2</f>
        <v>51.69016638282508</v>
      </c>
      <c r="H7" s="55">
        <f>'Yearly Model'!X2</f>
        <v>52.125512450804884</v>
      </c>
      <c r="I7" s="55">
        <f>'Yearly Model'!Y2</f>
        <v>52.78055639060333</v>
      </c>
      <c r="J7" s="55">
        <f>'Yearly Model'!Z2</f>
        <v>53.662578132952966</v>
      </c>
      <c r="K7" s="55">
        <f>'Yearly Model'!AA2</f>
        <v>54.78174101245911</v>
      </c>
      <c r="L7" s="55">
        <f>'Yearly Model'!AB2</f>
        <v>56.15128453777058</v>
      </c>
    </row>
    <row r="8">
      <c r="A8" s="14" t="inlineStr">
        <is>
          <t>Operating income</t>
        </is>
      </c>
      <c r="B8" s="55">
        <f>'Yearly Model'!R8</f>
        <v>-5.4999999999999964</v>
      </c>
      <c r="C8" s="55">
        <f>'Yearly Model'!S8</f>
        <v>14.587190616488</v>
      </c>
      <c r="D8" s="55">
        <f>'Yearly Model'!T8</f>
        <v>14.008874267219136</v>
      </c>
      <c r="E8" s="55">
        <f>'Yearly Model'!U8</f>
        <v>13.49517591290393</v>
      </c>
      <c r="F8" s="55">
        <f>'Yearly Model'!V8</f>
        <v>13.039407065644095</v>
      </c>
      <c r="G8" s="55">
        <f>'Yearly Model'!W8</f>
        <v>12.635661172281592</v>
      </c>
      <c r="H8" s="55">
        <f>'Yearly Model'!X8</f>
        <v>12.278685712911598</v>
      </c>
      <c r="I8" s="55">
        <f>'Yearly Model'!Y8</f>
        <v>11.963768717058057</v>
      </c>
      <c r="J8" s="55">
        <f>'Yearly Model'!Z8</f>
        <v>11.686636265794498</v>
      </c>
      <c r="K8" s="55">
        <f>'Yearly Model'!AA8</f>
        <v>11.443357880092584</v>
      </c>
      <c r="L8" s="55">
        <f>'Yearly Model'!AB8</f>
        <v>11.230256907554118</v>
      </c>
    </row>
    <row r="9">
      <c r="A9" s="14" t="inlineStr">
        <is>
          <t>Tax on operating income</t>
        </is>
      </c>
      <c r="C9" s="52">
        <f>MAX(0,C8)*Assumptions!$E$14</f>
        <v>2.47982240480296</v>
      </c>
      <c r="D9" s="52">
        <f>MAX(0,D8)*Assumptions!$E$14</f>
        <v>2.3815086254272533</v>
      </c>
      <c r="E9" s="52">
        <f>MAX(0,E8)*Assumptions!$E$14</f>
        <v>2.294179905193668</v>
      </c>
      <c r="F9" s="52">
        <f>MAX(0,F8)*Assumptions!$E$14</f>
        <v>2.2166992011594964</v>
      </c>
      <c r="G9" s="52">
        <f>MAX(0,G8)*Assumptions!$E$14</f>
        <v>2.1480623992878707</v>
      </c>
      <c r="H9" s="52">
        <f>MAX(0,H8)*Assumptions!$E$14</f>
        <v>2.0873765711949717</v>
      </c>
      <c r="I9" s="52">
        <f>MAX(0,I8)*Assumptions!$E$14</f>
        <v>2.03384068189987</v>
      </c>
      <c r="J9" s="52">
        <f>MAX(0,J8)*Assumptions!$E$14</f>
        <v>1.9867281651850648</v>
      </c>
      <c r="K9" s="52">
        <f>MAX(0,K8)*Assumptions!$E$14</f>
        <v>1.9453708396157394</v>
      </c>
      <c r="L9" s="52">
        <f>MAX(0,L8)*Assumptions!$E$14</f>
        <v>1.9091436742842</v>
      </c>
    </row>
    <row r="10">
      <c r="A10" s="14" t="inlineStr">
        <is>
          <t>NOPAT</t>
        </is>
      </c>
      <c r="C10" s="52">
        <f>C8-C9</f>
        <v>12.10736821168504</v>
      </c>
      <c r="D10" s="52">
        <f>D8-D9</f>
        <v>11.627365641791883</v>
      </c>
      <c r="E10" s="52">
        <f>E8-E9</f>
        <v>11.200996007710263</v>
      </c>
      <c r="F10" s="52">
        <f>F8-F9</f>
        <v>10.822707864484599</v>
      </c>
      <c r="G10" s="52">
        <f>G8-G9</f>
        <v>10.48759877299372</v>
      </c>
      <c r="H10" s="52">
        <f>H8-H9</f>
        <v>10.191309141716626</v>
      </c>
      <c r="I10" s="52">
        <f>I8-I9</f>
        <v>9.929928035158188</v>
      </c>
      <c r="J10" s="52">
        <f>J8-J9</f>
        <v>9.699908100609433</v>
      </c>
      <c r="K10" s="52">
        <f>K8-K9</f>
        <v>9.497987040476845</v>
      </c>
      <c r="L10" s="52">
        <f>L8-L9</f>
        <v>9.321113233269918</v>
      </c>
    </row>
    <row r="11">
      <c r="A11" s="14" t="inlineStr">
        <is>
          <t>Reinvestment</t>
        </is>
      </c>
      <c r="C11" s="52">
        <f>(C7-B7)*Assumptions!$E$15</f>
        <v>-0.16218779999999988</v>
      </c>
      <c r="D11" s="52">
        <f>(D7-C7)*Assumptions!$E$15</f>
        <v>-0.10621642394222341</v>
      </c>
      <c r="E11" s="52">
        <f>(E7-D7)*Assumptions!$E$15</f>
        <v>-0.05181391194618712</v>
      </c>
      <c r="F11" s="52">
        <f>(F7-E7)*Assumptions!$E$15</f>
        <v>0.0017154375818808631</v>
      </c>
      <c r="G11" s="52">
        <f>(G7-F7)*Assumptions!$E$15</f>
        <v>0.05504429401280042</v>
      </c>
      <c r="H11" s="52">
        <f>(H7-G7)*Assumptions!$E$15</f>
        <v>0.10883651699495012</v>
      </c>
      <c r="I11" s="52">
        <f>(I7-H7)*Assumptions!$E$15</f>
        <v>0.16376098494961155</v>
      </c>
      <c r="J11" s="52">
        <f>(J7-I7)*Assumptions!$E$15</f>
        <v>0.22050543558740898</v>
      </c>
      <c r="K11" s="52">
        <f>(K7-J7)*Assumptions!$E$15</f>
        <v>0.2797907198765355</v>
      </c>
      <c r="L11" s="52">
        <f>(L7-K7)*Assumptions!$E$15</f>
        <v>0.34238588132786774</v>
      </c>
    </row>
    <row r="12">
      <c r="A12" s="20" t="inlineStr">
        <is>
          <t>Free cash flow</t>
        </is>
      </c>
      <c r="C12" s="64">
        <f>C10-C11</f>
        <v>12.26955601168504</v>
      </c>
      <c r="D12" s="64">
        <f>D10-D11</f>
        <v>11.733582065734106</v>
      </c>
      <c r="E12" s="64">
        <f>E10-E11</f>
        <v>11.25280991965645</v>
      </c>
      <c r="F12" s="64">
        <f>F10-F11</f>
        <v>10.820992426902718</v>
      </c>
      <c r="G12" s="64">
        <f>G10-G11</f>
        <v>10.43255447898092</v>
      </c>
      <c r="H12" s="64">
        <f>H10-H11</f>
        <v>10.082472624721676</v>
      </c>
      <c r="I12" s="64">
        <f>I10-I11</f>
        <v>9.766167050208576</v>
      </c>
      <c r="J12" s="64">
        <f>J10-J11</f>
        <v>9.479402665022024</v>
      </c>
      <c r="K12" s="64">
        <f>K10-K11</f>
        <v>9.21819632060031</v>
      </c>
      <c r="L12" s="64">
        <f>L10-L11</f>
        <v>8.97872735194205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6.004164075948041</v>
      </c>
      <c r="D16" s="64">
        <f>D12*D13*D15</f>
        <v>10.42481525716751</v>
      </c>
      <c r="E16" s="64">
        <f>E12*E13*E15</f>
        <v>8.886816499419464</v>
      </c>
      <c r="F16" s="64">
        <f>F12*F13*F15</f>
        <v>7.596259638542939</v>
      </c>
      <c r="G16" s="64">
        <f>G12*G13*G15</f>
        <v>6.509847968683041</v>
      </c>
      <c r="H16" s="64">
        <f>H12*H13*H15</f>
        <v>5.592354761995673</v>
      </c>
      <c r="I16" s="64">
        <f>I12*I13*I15</f>
        <v>4.81503322911873</v>
      </c>
      <c r="J16" s="64">
        <f>J12*J13*J15</f>
        <v>4.154354844717862</v>
      </c>
      <c r="K16" s="64">
        <f>K12*K13*K15</f>
        <v>3.591005317042989</v>
      </c>
      <c r="L16" s="64">
        <f>L12*L13*L15</f>
        <v>3.1090832898790386</v>
      </c>
    </row>
    <row r="19">
      <c r="A19" s="14" t="inlineStr">
        <is>
          <t>PV of forecast free cash flow</t>
        </is>
      </c>
      <c r="B19" s="52">
        <f>SUM(C16:L16)</f>
        <v>60.68373488251529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9.203195535740598</v>
      </c>
    </row>
    <row r="21">
      <c r="A21" s="14" t="inlineStr">
        <is>
          <t>Terminal value</t>
        </is>
      </c>
      <c r="B21" s="52">
        <f>B20/(Assumptions!$E$10-Assumptions!$E$11)</f>
        <v>92.03195535740598</v>
      </c>
    </row>
    <row r="22">
      <c r="A22" s="14" t="inlineStr">
        <is>
          <t>PV of terminal value</t>
        </is>
      </c>
      <c r="B22" s="52">
        <f>B21/(1+Assumptions!$E$10)^(L14+0.5)</f>
        <v>30.045536326479056</v>
      </c>
    </row>
    <row r="23">
      <c r="A23" s="20" t="inlineStr">
        <is>
          <t>Enterprise value</t>
        </is>
      </c>
      <c r="B23" s="66">
        <f>B19+B22</f>
        <v>90.72927120899435</v>
      </c>
    </row>
    <row r="24">
      <c r="A24" s="14" t="inlineStr">
        <is>
          <t>Cash &amp; investments</t>
        </is>
      </c>
      <c r="B24" s="55">
        <f>Main!C7</f>
        <v>27.42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118.14927120899435</v>
      </c>
    </row>
    <row r="27">
      <c r="A27" s="14" t="inlineStr">
        <is>
          <t>Shares (mm)</t>
        </is>
      </c>
      <c r="B27" s="55">
        <f>Main!C4</f>
        <v>80.571642</v>
      </c>
    </row>
    <row r="28">
      <c r="A28" s="20" t="inlineStr">
        <is>
          <t>NPV / share</t>
        </is>
      </c>
      <c r="B28" s="49">
        <f>B26/B27</f>
        <v>1.4663877795737905</v>
      </c>
    </row>
    <row r="29">
      <c r="A29" s="14" t="inlineStr">
        <is>
          <t>Price</t>
        </is>
      </c>
      <c r="B29" s="50">
        <f>Main!C3</f>
        <v>2.635</v>
      </c>
    </row>
    <row r="30">
      <c r="A30" s="14" t="inlineStr">
        <is>
          <t>Upside</t>
        </is>
      </c>
      <c r="B30" s="63">
        <f>B28/B29-1</f>
        <v>-0.44349609883347607</v>
      </c>
    </row>
    <row r="31">
      <c r="A31" s="14" t="inlineStr">
        <is>
          <t>Terminal value, % of EV</t>
        </is>
      </c>
      <c r="B31" s="63">
        <f>IFERROR(B22/B23,0)</f>
        <v>0.3311559315545403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2026-10-21T01:05:36Z</dcterms:modified>
  <cp:lastModifiedBy>Wang, Eric</cp:lastModifiedBy>
</cp:coreProperties>
</file>