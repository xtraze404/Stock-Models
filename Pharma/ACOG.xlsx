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Alpha Cognition Inc</t>
        </is>
      </c>
      <c r="C2" s="10" t="n"/>
    </row>
    <row r="3">
      <c r="B3" t="inlineStr">
        <is>
          <t>Price</t>
        </is>
      </c>
      <c r="C3" s="11">
        <f>INDEX([1]Pharma!$F$1:$F$1000,MATCH("ACOG",[1]Pharma!$B$1:$B$1000,0))</f>
        <v>8.58</v>
      </c>
      <c r="F3" s="1" t="n"/>
    </row>
    <row r="4">
      <c r="B4" t="inlineStr">
        <is>
          <t>Shares</t>
        </is>
      </c>
      <c r="C4" s="21" t="n">
        <v>21.777868</v>
      </c>
      <c r="F4" s="1" t="n"/>
    </row>
    <row r="5">
      <c r="B5" t="inlineStr">
        <is>
          <t>Market Cap.</t>
        </is>
      </c>
      <c r="C5" s="13">
        <f>C3*C4</f>
        <v>186.85410744</v>
      </c>
      <c r="F5" s="1" t="n"/>
    </row>
    <row r="6"/>
    <row r="7">
      <c r="B7" t="inlineStr">
        <is>
          <t>Cash</t>
        </is>
      </c>
      <c r="C7" s="21" t="n">
        <v>41.384287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145.46982044</v>
      </c>
    </row>
    <row r="10"/>
    <row r="11">
      <c r="B11" s="14" t="inlineStr">
        <is>
          <t>Net Cash / Share</t>
        </is>
      </c>
      <c r="C11" s="11">
        <f>(C7-C8)/C4</f>
        <v>1.9002910202229162</v>
      </c>
    </row>
    <row r="12">
      <c r="B12" s="14" t="inlineStr">
        <is>
          <t>Upside</t>
        </is>
      </c>
      <c r="C12" s="15">
        <f>IFERROR(C11/C3-1,"")</f>
        <v>-0.7785208601138792</v>
      </c>
    </row>
    <row r="13">
      <c r="B13" s="14" t="inlineStr">
        <is>
          <t>Cash / Share</t>
        </is>
      </c>
      <c r="C13" s="11">
        <f>IFERROR((C7-C8)/C4,"")</f>
        <v>1.9002910202229162</v>
      </c>
    </row>
    <row r="14">
      <c r="B14" s="14" t="inlineStr">
        <is>
          <t>Scenario</t>
        </is>
      </c>
      <c r="C14" s="14" t="inlineStr">
        <is>
          <t>small 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-30.853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1.341337536058082</v>
      </c>
    </row>
    <row r="19">
      <c r="B19" s="14" t="inlineStr">
        <is>
          <t>Implied Pipeline Value</t>
        </is>
      </c>
      <c r="C19" s="13">
        <f>C9</f>
        <v>145.46982044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2023</v>
      </c>
      <c r="C1" s="17" t="n">
        <v>2024</v>
      </c>
      <c r="D1" s="17" t="n">
        <v>2025</v>
      </c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10.22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0.603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9.617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4.884</v>
      </c>
      <c r="C5" s="23" t="n">
        <v>3.92</v>
      </c>
      <c r="D5" s="23" t="n">
        <v>1.868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5.054</v>
      </c>
      <c r="C6" s="23" t="n">
        <v>8.092000000000001</v>
      </c>
      <c r="D6" s="23" t="n">
        <v>30.41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9.938</v>
      </c>
      <c r="C7" s="23">
        <f>SUM(C5:C6)</f>
        <v>12.012</v>
      </c>
      <c r="D7" s="23">
        <f>SUM(D5:D6)</f>
        <v>32.278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-9.938</v>
      </c>
      <c r="C8" s="23">
        <f>C4-C7</f>
        <v>-12.012</v>
      </c>
      <c r="D8" s="23">
        <f>D4-D7</f>
        <v>-22.660999999999998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-3.826</v>
      </c>
      <c r="C9" s="23" t="n">
        <v>-2.776</v>
      </c>
      <c r="D9" s="23" t="n">
        <v>1.991</v>
      </c>
    </row>
    <row r="10">
      <c r="A10" s="2" t="inlineStr">
        <is>
          <t>Pretax</t>
        </is>
      </c>
      <c r="B10" s="23">
        <f>B8+B9</f>
        <v>-13.764000000000001</v>
      </c>
      <c r="C10" s="23">
        <f>C8+C9</f>
        <v>-14.788</v>
      </c>
      <c r="D10" s="23">
        <f>D8+D9</f>
        <v>-20.669999999999998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</row>
    <row r="12">
      <c r="A12" s="2" t="inlineStr">
        <is>
          <t>Net Income</t>
        </is>
      </c>
      <c r="B12" s="23" t="n">
        <v>-13.764</v>
      </c>
      <c r="C12" s="23" t="n">
        <v>-14.789</v>
      </c>
      <c r="D12" s="23" t="n">
        <v>-20.67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-1.9193975735601727</v>
      </c>
      <c r="C13" s="11">
        <f>IFERROR(C12/C14,0)</f>
        <v>-2.040424944812362</v>
      </c>
      <c r="D13" s="11">
        <f>IFERROR(D12/D14,0)</f>
        <v>-1.1690515242350545</v>
      </c>
    </row>
    <row r="14">
      <c r="A14" s="2" t="inlineStr">
        <is>
          <t>Shares</t>
        </is>
      </c>
      <c r="B14" s="23" t="n">
        <v>7.171</v>
      </c>
      <c r="C14" s="23" t="n">
        <v>7.248</v>
      </c>
      <c r="D14" s="23" t="n">
        <v>17.681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4" t="n"/>
      <c r="F16" s="4" t="n"/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>0.9409980430528376</v>
      </c>
      <c r="E17" s="4" t="n"/>
      <c r="F17" s="4" t="n"/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>-2.217318982387475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2026-10-21T01:05:43Z</dcterms:modified>
  <cp:lastModifiedBy>Wang, Eric</cp:lastModifiedBy>
</cp:coreProperties>
</file>