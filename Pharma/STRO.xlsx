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Sutro Biopharma Inc</t>
        </is>
      </c>
      <c r="C2" s="10" t="n"/>
    </row>
    <row r="3">
      <c r="B3" t="inlineStr">
        <is>
          <t>Price</t>
        </is>
      </c>
      <c r="C3" s="11">
        <f>INDEX([1]Pharma!$F$1:$F$1000,MATCH("STRO",[1]Pharma!$B$1:$B$1000,0))</f>
        <v>11.54</v>
      </c>
      <c r="F3" s="1" t="n"/>
    </row>
    <row r="4">
      <c r="B4" t="inlineStr">
        <is>
          <t>Shares</t>
        </is>
      </c>
      <c r="C4" s="21" t="n">
        <v>16.581171</v>
      </c>
      <c r="F4" s="1" t="n"/>
    </row>
    <row r="5">
      <c r="B5" t="inlineStr">
        <is>
          <t>Market Cap.</t>
        </is>
      </c>
      <c r="C5" s="13">
        <f>C3*C4</f>
        <v>191.34671334</v>
      </c>
      <c r="F5" s="1" t="n"/>
    </row>
    <row r="6"/>
    <row r="7">
      <c r="B7" t="inlineStr">
        <is>
          <t>Cash</t>
        </is>
      </c>
      <c r="C7" s="21">
        <f>54.335+110.011</f>
        <v>164.346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27.000713340000004</v>
      </c>
    </row>
    <row r="10"/>
    <row r="11">
      <c r="B11" s="14" t="inlineStr">
        <is>
          <t>Net Cash / Share</t>
        </is>
      </c>
      <c r="C11" s="11">
        <f>(C7-C8)/C4</f>
        <v>9.9116039512529</v>
      </c>
    </row>
    <row r="12">
      <c r="B12" s="14" t="inlineStr">
        <is>
          <t>Upside</t>
        </is>
      </c>
      <c r="C12" s="15">
        <f>IFERROR(C11/C3-1,"")</f>
        <v>-0.14110884304567584</v>
      </c>
    </row>
    <row r="13">
      <c r="B13" s="14" t="inlineStr">
        <is>
          <t>Cash / Share</t>
        </is>
      </c>
      <c r="C13" s="11">
        <f>IFERROR((C7-C8)/C4,"")</f>
        <v>9.9116039512529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-145.173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1.1320700130189498</v>
      </c>
    </row>
    <row r="19">
      <c r="B19" s="14" t="inlineStr">
        <is>
          <t>Implied Pipeline Value</t>
        </is>
      </c>
      <c r="C19" s="13">
        <f>C9</f>
        <v>27.000713340000004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59.731</v>
      </c>
      <c r="C2" s="23" t="n">
        <v>51.741</v>
      </c>
      <c r="D2" s="23" t="n">
        <v>38.419</v>
      </c>
      <c r="E2" s="23" t="n">
        <v>42.736</v>
      </c>
      <c r="F2" s="23" t="n">
        <v>42.722</v>
      </c>
      <c r="G2" s="23" t="n">
        <v>61.88</v>
      </c>
      <c r="H2" s="23" t="n">
        <v>67.77200000000001</v>
      </c>
      <c r="I2" s="23" t="n">
        <v>153.731</v>
      </c>
      <c r="J2" s="23" t="n">
        <v>62.043</v>
      </c>
      <c r="K2" s="23" t="n">
        <v>102.484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59.731</v>
      </c>
      <c r="C4" s="23">
        <f>C2-C3</f>
        <v>51.741</v>
      </c>
      <c r="D4" s="23">
        <f>D2-D3</f>
        <v>38.419</v>
      </c>
      <c r="E4" s="23">
        <f>E2-E3</f>
        <v>42.736</v>
      </c>
      <c r="F4" s="23">
        <f>F2-F3</f>
        <v>42.722</v>
      </c>
      <c r="G4" s="23">
        <f>G2-G3</f>
        <v>61.88</v>
      </c>
      <c r="H4" s="23">
        <f>H2-H3</f>
        <v>67.772</v>
      </c>
      <c r="I4" s="23">
        <f>I2-I3</f>
        <v>153.731</v>
      </c>
      <c r="J4" s="23">
        <f>J2-J3</f>
        <v>62.043</v>
      </c>
      <c r="K4" s="23">
        <f>K2-K3</f>
        <v>102.484</v>
      </c>
    </row>
    <row r="5">
      <c r="A5" s="2" t="inlineStr">
        <is>
          <t>Research &amp; Dev.</t>
        </is>
      </c>
      <c r="B5" s="23" t="n">
        <v>43.55</v>
      </c>
      <c r="C5" s="23" t="n">
        <v>54.639</v>
      </c>
      <c r="D5" s="23" t="n">
        <v>54.262</v>
      </c>
      <c r="E5" s="23" t="n">
        <v>65.61199999999999</v>
      </c>
      <c r="F5" s="23" t="n">
        <v>76.961</v>
      </c>
      <c r="G5" s="23" t="n">
        <v>104.4</v>
      </c>
      <c r="H5" s="23" t="n">
        <v>137.171</v>
      </c>
      <c r="I5" s="23" t="n">
        <v>180.425</v>
      </c>
      <c r="J5" s="23" t="n">
        <v>252.043</v>
      </c>
      <c r="K5" s="23" t="n">
        <v>166.417</v>
      </c>
    </row>
    <row r="6">
      <c r="A6" s="19" t="inlineStr">
        <is>
          <t>SG&amp;A &amp; Other</t>
        </is>
      </c>
      <c r="B6" s="23" t="n">
        <v>14.817</v>
      </c>
      <c r="C6" s="23" t="n">
        <v>16.374</v>
      </c>
      <c r="D6" s="23" t="n">
        <v>21.38</v>
      </c>
      <c r="E6" s="23" t="n">
        <v>32.592</v>
      </c>
      <c r="F6" s="23" t="n">
        <v>36.818</v>
      </c>
      <c r="G6" s="23" t="n">
        <v>56.004</v>
      </c>
      <c r="H6" s="23" t="n">
        <v>59.544</v>
      </c>
      <c r="I6" s="23" t="n">
        <v>62.584</v>
      </c>
      <c r="J6" s="23" t="n">
        <v>48.453</v>
      </c>
      <c r="K6" s="23" t="n">
        <v>94.434</v>
      </c>
    </row>
    <row r="7">
      <c r="A7" s="2" t="inlineStr">
        <is>
          <t>Operating Expense</t>
        </is>
      </c>
      <c r="B7" s="23">
        <f>SUM(B5:B6)</f>
        <v>58.367</v>
      </c>
      <c r="C7" s="23">
        <f>SUM(C5:C6)</f>
        <v>71.013</v>
      </c>
      <c r="D7" s="23">
        <f>SUM(D5:D6)</f>
        <v>75.642</v>
      </c>
      <c r="E7" s="23">
        <f>SUM(E5:E6)</f>
        <v>98.204</v>
      </c>
      <c r="F7" s="23">
        <f>SUM(F5:F6)</f>
        <v>113.779</v>
      </c>
      <c r="G7" s="23">
        <f>SUM(G5:G6)</f>
        <v>160.404</v>
      </c>
      <c r="H7" s="23">
        <f>SUM(H5:H6)</f>
        <v>196.71499999999997</v>
      </c>
      <c r="I7" s="23">
        <f>SUM(I5:I6)</f>
        <v>243.00900000000001</v>
      </c>
      <c r="J7" s="23">
        <f>SUM(J5:J6)</f>
        <v>300.496</v>
      </c>
      <c r="K7" s="23">
        <f>SUM(K5:K6)</f>
        <v>260.851</v>
      </c>
    </row>
    <row r="8">
      <c r="A8" s="2" t="inlineStr">
        <is>
          <t>Operating Income</t>
        </is>
      </c>
      <c r="B8" s="23">
        <f>B4-B7</f>
        <v>1.3640000000000043</v>
      </c>
      <c r="C8" s="23">
        <f>C4-C7</f>
        <v>-19.272000000000006</v>
      </c>
      <c r="D8" s="23">
        <f>D4-D7</f>
        <v>-37.223</v>
      </c>
      <c r="E8" s="23">
        <f>E4-E7</f>
        <v>-55.467999999999996</v>
      </c>
      <c r="F8" s="23">
        <f>F4-F7</f>
        <v>-71.05699999999999</v>
      </c>
      <c r="G8" s="23">
        <f>G4-G7</f>
        <v>-98.524</v>
      </c>
      <c r="H8" s="23">
        <f>H4-H7</f>
        <v>-128.94299999999998</v>
      </c>
      <c r="I8" s="23">
        <f>I4-I7</f>
        <v>-89.27800000000002</v>
      </c>
      <c r="J8" s="23">
        <f>J4-J7</f>
        <v>-238.45299999999997</v>
      </c>
      <c r="K8" s="23">
        <f>K4-K7</f>
        <v>-158.36700000000002</v>
      </c>
    </row>
    <row r="9">
      <c r="A9" s="19" t="inlineStr">
        <is>
          <t>Interest &amp; Other</t>
        </is>
      </c>
      <c r="B9" s="23" t="n">
        <v>0.338</v>
      </c>
      <c r="C9" s="23" t="n">
        <v>-0.416</v>
      </c>
      <c r="D9" s="23" t="n">
        <v>1.906</v>
      </c>
      <c r="E9" s="23" t="n">
        <v>-63.736</v>
      </c>
      <c r="F9" s="23" t="n">
        <v>39.032</v>
      </c>
      <c r="G9" s="23" t="n">
        <v>-7.014</v>
      </c>
      <c r="H9" s="23" t="n">
        <v>12.239</v>
      </c>
      <c r="I9" s="23" t="n">
        <v>0.47</v>
      </c>
      <c r="J9" s="23" t="n">
        <v>13.816</v>
      </c>
      <c r="K9" s="23" t="n">
        <v>-32.726</v>
      </c>
    </row>
    <row r="10">
      <c r="A10" s="2" t="inlineStr">
        <is>
          <t>Pretax</t>
        </is>
      </c>
      <c r="B10" s="23">
        <f>B8+B9</f>
        <v>1.7020000000000044</v>
      </c>
      <c r="C10" s="23">
        <f>C8+C9</f>
        <v>-19.688000000000006</v>
      </c>
      <c r="D10" s="23">
        <f>D8+D9</f>
        <v>-35.317</v>
      </c>
      <c r="E10" s="23">
        <f>E8+E9</f>
        <v>-119.204</v>
      </c>
      <c r="F10" s="23">
        <f>F8+F9</f>
        <v>-32.02499999999999</v>
      </c>
      <c r="G10" s="23">
        <f>G8+G9</f>
        <v>-105.538</v>
      </c>
      <c r="H10" s="23">
        <f>H8+H9</f>
        <v>-116.70399999999998</v>
      </c>
      <c r="I10" s="23">
        <f>I8+I9</f>
        <v>-88.80800000000002</v>
      </c>
      <c r="J10" s="23">
        <f>J8+J9</f>
        <v>-224.63699999999997</v>
      </c>
      <c r="K10" s="23">
        <f>K8+K9</f>
        <v>-191.09300000000002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0.103</v>
      </c>
      <c r="G11" s="23" t="n">
        <v>0</v>
      </c>
      <c r="H11" s="23" t="n">
        <v>2.5</v>
      </c>
      <c r="I11" s="23" t="n">
        <v>18.192</v>
      </c>
      <c r="J11" s="23" t="n">
        <v>2.363</v>
      </c>
      <c r="K11" s="23" t="n">
        <v>-0.093</v>
      </c>
    </row>
    <row r="12">
      <c r="A12" s="2" t="inlineStr">
        <is>
          <t>Net Income</t>
        </is>
      </c>
      <c r="B12" s="23" t="n">
        <v>1.702</v>
      </c>
      <c r="C12" s="23" t="n">
        <v>-19.688</v>
      </c>
      <c r="D12" s="23" t="n">
        <v>-35.317</v>
      </c>
      <c r="E12" s="23" t="n">
        <v>-119.204</v>
      </c>
      <c r="F12" s="23" t="n">
        <v>-32.128</v>
      </c>
      <c r="G12" s="23" t="n">
        <v>-105.538</v>
      </c>
      <c r="H12" s="23" t="n">
        <v>-119.204</v>
      </c>
      <c r="I12" s="23" t="n">
        <v>-107</v>
      </c>
      <c r="J12" s="23" t="n">
        <v>-227</v>
      </c>
      <c r="K12" s="23" t="n">
        <v>-191</v>
      </c>
    </row>
    <row r="13">
      <c r="A13" s="2" t="inlineStr">
        <is>
          <t>Earnings per Share</t>
        </is>
      </c>
      <c r="B13" s="11">
        <f>IFERROR(B12/B14,0)</f>
        <v>0.0802754457126686</v>
      </c>
      <c r="C13" s="11">
        <f>IFERROR(C12/C14,0)</f>
        <v>-0.8452324732752329</v>
      </c>
      <c r="D13" s="11">
        <f>IFERROR(D12/D14,0)</f>
        <v>-1.5331886260039072</v>
      </c>
      <c r="E13" s="11">
        <f>IFERROR(E12/E14,0)</f>
        <v>-5.192037980748291</v>
      </c>
      <c r="F13" s="11">
        <f>IFERROR(F12/F14,0)</f>
        <v>-0.9863383784115679</v>
      </c>
      <c r="G13" s="11">
        <f>IFERROR(G12/G14,0)</f>
        <v>-2.2883843968863156</v>
      </c>
      <c r="H13" s="11">
        <f>IFERROR(H12/H14,0)</f>
        <v>-2.3493565107708076</v>
      </c>
      <c r="I13" s="11">
        <f>IFERROR(I12/I14,0)</f>
        <v>-1.778472176052124</v>
      </c>
      <c r="J13" s="11">
        <f>IFERROR(J12/J14,0)</f>
        <v>-29.33953728835466</v>
      </c>
      <c r="K13" s="11">
        <f>IFERROR(K12/K14,0)</f>
        <v>-22.475876676865145</v>
      </c>
    </row>
    <row r="14">
      <c r="A14" s="2" t="inlineStr">
        <is>
          <t>Shares</t>
        </is>
      </c>
      <c r="B14" s="23" t="n">
        <v>21.202</v>
      </c>
      <c r="C14" s="23" t="n">
        <v>23.293</v>
      </c>
      <c r="D14" s="23" t="n">
        <v>23.035</v>
      </c>
      <c r="E14" s="23" t="n">
        <v>22.959</v>
      </c>
      <c r="F14" s="23" t="n">
        <v>32.573</v>
      </c>
      <c r="G14" s="23" t="n">
        <v>46.119</v>
      </c>
      <c r="H14" s="23" t="n">
        <v>50.739</v>
      </c>
      <c r="I14" s="23" t="n">
        <v>60.164</v>
      </c>
      <c r="J14" s="23" t="n">
        <v>7.737</v>
      </c>
      <c r="K14" s="23" t="n">
        <v>8.497999999999999</v>
      </c>
    </row>
    <row r="15"/>
    <row r="16" customFormat="1" s="4">
      <c r="A16" s="3" t="inlineStr">
        <is>
          <t>Revenue Change</t>
        </is>
      </c>
      <c r="C16" s="15">
        <f>IFERROR(C2/B2-1,"")</f>
        <v>-0.13376638596373747</v>
      </c>
      <c r="D16" s="15">
        <f>IFERROR(D2/C2-1,"")</f>
        <v>-0.25747472990471776</v>
      </c>
      <c r="E16" s="15">
        <f>IFERROR(E2/D2-1,"")</f>
        <v>0.11236627710247538</v>
      </c>
      <c r="F16" s="15">
        <f>IFERROR(F2/E2-1,"")</f>
        <v>-0.0003275926619242808</v>
      </c>
      <c r="G16" s="15">
        <f>IFERROR(G2/F2-1,"")</f>
        <v>0.44843406207574543</v>
      </c>
      <c r="H16" s="15">
        <f>IFERROR(H2/G2-1,"")</f>
        <v>0.09521654815772473</v>
      </c>
      <c r="I16" s="15">
        <f>IFERROR(I2/H2-1,"")</f>
        <v>1.268355663105707</v>
      </c>
      <c r="J16" s="15">
        <f>IFERROR(J2/I2-1,"")</f>
        <v>-0.5964184191867613</v>
      </c>
      <c r="K16" s="15">
        <f>IFERROR(K2/J2-1,"")</f>
        <v>0.6518221233660526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>0.022835713448628087</v>
      </c>
      <c r="C18" s="15">
        <f>IFERROR(C8/C2,"")</f>
        <v>-0.3724705745926829</v>
      </c>
      <c r="D18" s="15">
        <f>IFERROR(D8/D2,"")</f>
        <v>-0.9688695697441371</v>
      </c>
      <c r="E18" s="15">
        <f>IFERROR(E8/E2,"")</f>
        <v>-1.2979221265443655</v>
      </c>
      <c r="F18" s="15">
        <f>IFERROR(F8/F2,"")</f>
        <v>-1.6632414212817748</v>
      </c>
      <c r="G18" s="15">
        <f>IFERROR(G8/G2,"")</f>
        <v>-1.5921784098254685</v>
      </c>
      <c r="H18" s="15">
        <f>IFERROR(H8/H2,"")</f>
        <v>-1.902599893761435</v>
      </c>
      <c r="I18" s="15">
        <f>IFERROR(I8/I2,"")</f>
        <v>-0.580741685151336</v>
      </c>
      <c r="J18" s="15">
        <f>IFERROR(J8/J2,"")</f>
        <v>-3.8433505794368417</v>
      </c>
      <c r="K18" s="15">
        <f>IFERROR(K8/K2,"")</f>
        <v>-1.545285117676906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2026-10-21T01:05:40Z</dcterms:modified>
  <cp:lastModifiedBy>Wang, Eric</cp:lastModifiedBy>
</cp:coreProperties>
</file>