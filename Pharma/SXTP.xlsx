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60 Degrees Pharmaceuticals Inc</t>
        </is>
      </c>
      <c r="C2" s="10" t="n"/>
    </row>
    <row r="3">
      <c r="B3" t="inlineStr">
        <is>
          <t>Price</t>
        </is>
      </c>
      <c r="C3" s="11">
        <f>INDEX([1]Pharma!$F$1:$F$1000,MATCH("SXTP",[1]Pharma!$B$1:$B$1000,0))</f>
        <v>0.9222</v>
      </c>
      <c r="F3" s="1" t="n"/>
    </row>
    <row r="4">
      <c r="B4" t="inlineStr">
        <is>
          <t>Shares</t>
        </is>
      </c>
      <c r="C4" s="21" t="n">
        <v>3.516988</v>
      </c>
      <c r="F4" s="1" t="n"/>
    </row>
    <row r="5">
      <c r="B5" t="inlineStr">
        <is>
          <t>Market Cap.</t>
        </is>
      </c>
      <c r="C5" s="13">
        <f>C3*C4</f>
        <v>3.2433663336</v>
      </c>
      <c r="F5" s="1" t="n"/>
    </row>
    <row r="6"/>
    <row r="7">
      <c r="B7" t="inlineStr">
        <is>
          <t>Cash</t>
        </is>
      </c>
      <c r="C7" s="21" t="n">
        <v>1.022606</v>
      </c>
    </row>
    <row r="8">
      <c r="B8" t="inlineStr">
        <is>
          <t>Debt</t>
        </is>
      </c>
      <c r="C8" s="21" t="n">
        <v>0.15003</v>
      </c>
    </row>
    <row r="9">
      <c r="B9" t="inlineStr">
        <is>
          <t>Enterprise V.</t>
        </is>
      </c>
      <c r="C9" s="13">
        <f>C5-C7+C8</f>
        <v>2.3707903336000005</v>
      </c>
    </row>
    <row r="10"/>
    <row r="11">
      <c r="B11" s="14" t="inlineStr">
        <is>
          <t>Net Cash / Share</t>
        </is>
      </c>
      <c r="C11" s="11">
        <f>(C7-C8)/C4</f>
        <v>0.24810320649373838</v>
      </c>
    </row>
    <row r="12">
      <c r="B12" s="14" t="inlineStr">
        <is>
          <t>Upside</t>
        </is>
      </c>
      <c r="C12" s="15">
        <f>IFERROR(C11/C3-1,"")</f>
        <v>-0.7309659439451981</v>
      </c>
    </row>
    <row r="13">
      <c r="B13" s="14" t="inlineStr">
        <is>
          <t>Cash / Share</t>
        </is>
      </c>
      <c r="C13" s="11">
        <f>IFERROR((C7-C8)/C4,"")</f>
        <v>0.24810320649373838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-8.775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0.09943886039886038</v>
      </c>
    </row>
    <row r="19">
      <c r="B19" s="14" t="inlineStr">
        <is>
          <t>Implied Pipeline Value</t>
        </is>
      </c>
      <c r="C19" s="13">
        <f>C9</f>
        <v>2.3707903336000005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0.223</v>
      </c>
      <c r="C2" s="23" t="n">
        <v>0.254</v>
      </c>
      <c r="D2" s="23" t="n">
        <v>0.608</v>
      </c>
      <c r="E2" s="23" t="n">
        <v>1.005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0.432</v>
      </c>
      <c r="C3" s="23" t="n">
        <v>0.475</v>
      </c>
      <c r="D3" s="23" t="n">
        <v>0.385</v>
      </c>
      <c r="E3" s="23" t="n">
        <v>0.782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-0.209</v>
      </c>
      <c r="C4" s="23">
        <f>C2-C3</f>
        <v>-0.22099999999999997</v>
      </c>
      <c r="D4" s="23">
        <f>D2-D3</f>
        <v>0.22299999999999998</v>
      </c>
      <c r="E4" s="23">
        <f>E2-E3</f>
        <v>0.22299999999999986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0.526</v>
      </c>
      <c r="C5" s="23" t="n">
        <v>0.6919999999999999</v>
      </c>
      <c r="D5" s="23" t="n">
        <v>4.987</v>
      </c>
      <c r="E5" s="23" t="n">
        <v>2.106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1.016</v>
      </c>
      <c r="C6" s="23" t="n">
        <v>4.242</v>
      </c>
      <c r="D6" s="23" t="n">
        <v>4.951</v>
      </c>
      <c r="E6" s="23" t="n">
        <v>5.876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1.542</v>
      </c>
      <c r="C7" s="23">
        <f>SUM(C5:C6)</f>
        <v>4.934</v>
      </c>
      <c r="D7" s="23">
        <f>SUM(D5:D6)</f>
        <v>9.937999999999999</v>
      </c>
      <c r="E7" s="23">
        <f>SUM(E5:E6)</f>
        <v>7.982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-1.7510000000000001</v>
      </c>
      <c r="C8" s="23">
        <f>C4-C7</f>
        <v>-5.155</v>
      </c>
      <c r="D8" s="23">
        <f>D4-D7</f>
        <v>-9.714999999999998</v>
      </c>
      <c r="E8" s="23">
        <f>E4-E7</f>
        <v>-7.759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-4.431</v>
      </c>
      <c r="C9" s="23" t="n">
        <v>1.389</v>
      </c>
      <c r="D9" s="23" t="n">
        <v>1.768</v>
      </c>
      <c r="E9" s="23" t="n">
        <v>0.393</v>
      </c>
    </row>
    <row r="10">
      <c r="A10" s="2" t="inlineStr">
        <is>
          <t>Pretax</t>
        </is>
      </c>
      <c r="B10" s="23">
        <f>B8+B9</f>
        <v>-6.182</v>
      </c>
      <c r="C10" s="23">
        <f>C8+C9</f>
        <v>-3.766</v>
      </c>
      <c r="D10" s="23">
        <f>D8+D9</f>
        <v>-7.946999999999998</v>
      </c>
      <c r="E10" s="23">
        <f>E8+E9</f>
        <v>-7.3660000000000005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0.001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-6.182</v>
      </c>
      <c r="C12" s="23" t="n">
        <v>-3.766</v>
      </c>
      <c r="D12" s="23" t="n">
        <v>-7.947</v>
      </c>
      <c r="E12" s="23" t="n">
        <v>-7.365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-15.650632911392405</v>
      </c>
      <c r="C13" s="11">
        <f>IFERROR(C12/C14,0)</f>
        <v>-9.462311557788944</v>
      </c>
      <c r="D13" s="11">
        <f>IFERROR(D12/D14,0)</f>
        <v>-11.6524926686217</v>
      </c>
      <c r="E13" s="11">
        <f>IFERROR(E12/E14,0)</f>
        <v>-10.992537313432836</v>
      </c>
    </row>
    <row r="14">
      <c r="A14" s="2" t="inlineStr">
        <is>
          <t>Shares</t>
        </is>
      </c>
      <c r="B14" s="23" t="n">
        <v>0.395</v>
      </c>
      <c r="C14" s="23" t="n">
        <v>0.398</v>
      </c>
      <c r="D14" s="23" t="n">
        <v>0.6820000000000001</v>
      </c>
      <c r="E14" s="23" t="n">
        <v>0.67</v>
      </c>
    </row>
    <row r="15"/>
    <row r="16" customFormat="1" s="4">
      <c r="A16" s="3" t="inlineStr">
        <is>
          <t>Revenue Change</t>
        </is>
      </c>
      <c r="C16" s="15">
        <f>IFERROR(C2/B2-1,"")</f>
        <v>0.13901345291479816</v>
      </c>
      <c r="D16" s="15">
        <f>IFERROR(D2/C2-1,"")</f>
        <v>1.3937007874015745</v>
      </c>
      <c r="E16" s="15">
        <f>IFERROR(E2/D2-1,"")</f>
        <v>0.6529605263157894</v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-0.937219730941704</v>
      </c>
      <c r="C17" s="15">
        <f>IFERROR(C4/C2,"")</f>
        <v>-0.8700787401574802</v>
      </c>
      <c r="D17" s="15">
        <f>IFERROR(D4/D2,"")</f>
        <v>0.3667763157894737</v>
      </c>
      <c r="E17" s="15">
        <f>IFERROR(E4/E2,"")</f>
        <v>0.2218905472636815</v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-7.852017937219731</v>
      </c>
      <c r="C18" s="15">
        <f>IFERROR(C8/C2,"")</f>
        <v>-20.29527559055118</v>
      </c>
      <c r="D18" s="15">
        <f>IFERROR(D8/D2,"")</f>
        <v>-15.978618421052628</v>
      </c>
      <c r="E18" s="15">
        <f>IFERROR(E8/E2,"")</f>
        <v>-7.72039800995025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2026-10-21T01:06:50Z</dcterms:modified>
  <cp:lastModifiedBy>Wang, Eric</cp:lastModifiedBy>
</cp:coreProperties>
</file>