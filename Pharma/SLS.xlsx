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Sellas Life Sciences Group Inc</t>
        </is>
      </c>
      <c r="C2" s="10" t="n"/>
    </row>
    <row r="3">
      <c r="B3" t="inlineStr">
        <is>
          <t>Price</t>
        </is>
      </c>
      <c r="C3" s="11">
        <f>INDEX([1]Pharma!$F$1:$F$1000,MATCH("SLS",[1]Pharma!$B$1:$B$1000,0))</f>
        <v>11.98</v>
      </c>
      <c r="F3" s="1" t="n"/>
    </row>
    <row r="4">
      <c r="B4" t="inlineStr">
        <is>
          <t>Shares</t>
        </is>
      </c>
      <c r="C4" s="21" t="n">
        <v>201.945709</v>
      </c>
      <c r="F4" s="1" t="n"/>
    </row>
    <row r="5">
      <c r="B5" t="inlineStr">
        <is>
          <t>Market Cap.</t>
        </is>
      </c>
      <c r="C5" s="13">
        <f>C3*C4</f>
        <v>2419.30959382</v>
      </c>
      <c r="F5" s="1" t="n"/>
    </row>
    <row r="6"/>
    <row r="7">
      <c r="B7" t="inlineStr">
        <is>
          <t>Cash</t>
        </is>
      </c>
      <c r="C7" s="21" t="n">
        <v>138.343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2280.96659382</v>
      </c>
    </row>
    <row r="10"/>
    <row r="11">
      <c r="B11" s="14" t="inlineStr">
        <is>
          <t>Net Cash / Share</t>
        </is>
      </c>
      <c r="C11" s="11">
        <f>(C7-C8)/C4</f>
        <v>0.6850504558133493</v>
      </c>
    </row>
    <row r="12">
      <c r="B12" s="14" t="inlineStr">
        <is>
          <t>Upside</t>
        </is>
      </c>
      <c r="C12" s="15">
        <f>IFERROR(C11/C3-1,"")</f>
        <v>-0.9428171572776837</v>
      </c>
    </row>
    <row r="13">
      <c r="B13" s="14" t="inlineStr">
        <is>
          <t>Cash / Share</t>
        </is>
      </c>
      <c r="C13" s="11">
        <f>IFERROR((C7-C8)/C4,"")</f>
        <v>0.6850504558133493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-28.423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4.8672905745347075</v>
      </c>
    </row>
    <row r="19">
      <c r="B19" s="14" t="inlineStr">
        <is>
          <t>Implied Pipeline Value</t>
        </is>
      </c>
      <c r="C19" s="13">
        <f>C9</f>
        <v>2280.96659382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2010</v>
      </c>
      <c r="C1" s="17" t="n">
        <v>2011</v>
      </c>
      <c r="D1" s="17" t="n">
        <v>2012</v>
      </c>
      <c r="E1" s="17" t="n">
        <v>2013</v>
      </c>
      <c r="F1" s="17" t="n">
        <v>2014</v>
      </c>
      <c r="G1" s="17" t="n">
        <v>2015</v>
      </c>
      <c r="H1" s="17" t="n">
        <v>2016</v>
      </c>
      <c r="I1" s="17" t="n">
        <v>2017</v>
      </c>
      <c r="J1" s="17" t="n">
        <v>2018</v>
      </c>
      <c r="K1" s="17" t="n">
        <v>2019</v>
      </c>
      <c r="L1" s="17" t="n">
        <v>2020</v>
      </c>
      <c r="M1" s="17" t="n">
        <v>2021</v>
      </c>
      <c r="N1" s="17" t="n">
        <v>2022</v>
      </c>
      <c r="O1" s="17" t="n">
        <v>2023</v>
      </c>
      <c r="P1" s="17" t="n">
        <v>2024</v>
      </c>
      <c r="Q1" s="17" t="n">
        <v>2025</v>
      </c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2.487</v>
      </c>
      <c r="F2" s="23" t="n">
        <v>9.319000000000001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1.9</v>
      </c>
      <c r="M2" s="23" t="n">
        <v>7.6</v>
      </c>
      <c r="N2" s="23" t="n">
        <v>1</v>
      </c>
      <c r="O2" s="23" t="n">
        <v>0</v>
      </c>
      <c r="P2" s="23" t="n">
        <v>0</v>
      </c>
      <c r="Q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0.52</v>
      </c>
      <c r="F3" s="23" t="n">
        <v>1.403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0.2</v>
      </c>
      <c r="N3" s="23" t="n">
        <v>0.1</v>
      </c>
      <c r="O3" s="23" t="n">
        <v>0</v>
      </c>
      <c r="P3" s="23" t="n">
        <v>0</v>
      </c>
      <c r="Q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1.967</v>
      </c>
      <c r="F4" s="23">
        <f>F2-F3</f>
        <v>7.916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1.9</v>
      </c>
      <c r="M4" s="23">
        <f>M2-M3</f>
        <v>7.3999999999999995</v>
      </c>
      <c r="N4" s="23">
        <f>N2-N3</f>
        <v>0.9</v>
      </c>
      <c r="O4" s="23">
        <f>O2-O3</f>
        <v>0.0</v>
      </c>
      <c r="P4" s="23">
        <f>P2-P3</f>
        <v>0.0</v>
      </c>
      <c r="Q4" s="23">
        <f>Q2-Q3</f>
        <v>0.0</v>
      </c>
    </row>
    <row r="5">
      <c r="A5" s="2" t="inlineStr">
        <is>
          <t>Research &amp; Dev.</t>
        </is>
      </c>
      <c r="B5" s="23" t="n">
        <v>7.873</v>
      </c>
      <c r="C5" s="23" t="n">
        <v>3.851</v>
      </c>
      <c r="D5" s="23" t="n">
        <v>14.614</v>
      </c>
      <c r="E5" s="23" t="n">
        <v>20.424</v>
      </c>
      <c r="F5" s="23" t="n">
        <v>27.674</v>
      </c>
      <c r="G5" s="23" t="n">
        <v>23.611</v>
      </c>
      <c r="H5" s="23" t="n">
        <v>19.86</v>
      </c>
      <c r="I5" s="23" t="n">
        <v>6.067</v>
      </c>
      <c r="J5" s="23" t="n">
        <v>8.766999999999999</v>
      </c>
      <c r="K5" s="23" t="n">
        <v>7.285</v>
      </c>
      <c r="L5" s="23" t="n">
        <v>9.282</v>
      </c>
      <c r="M5" s="23" t="n">
        <v>15.674</v>
      </c>
      <c r="N5" s="23" t="n">
        <v>20.268</v>
      </c>
      <c r="O5" s="23" t="n">
        <v>24.007</v>
      </c>
      <c r="P5" s="23" t="n">
        <v>19.096</v>
      </c>
      <c r="Q5" s="23" t="n">
        <v>16.022</v>
      </c>
    </row>
    <row r="6">
      <c r="A6" s="19" t="inlineStr">
        <is>
          <t>SG&amp;A &amp; Other</t>
        </is>
      </c>
      <c r="B6" s="23" t="n">
        <v>8.752000000000001</v>
      </c>
      <c r="C6" s="23" t="n">
        <v>8.635</v>
      </c>
      <c r="D6" s="23" t="n">
        <v>6.585</v>
      </c>
      <c r="E6" s="23" t="n">
        <v>10.032</v>
      </c>
      <c r="F6" s="23" t="n">
        <v>24.142</v>
      </c>
      <c r="G6" s="23" t="n">
        <v>10.609</v>
      </c>
      <c r="H6" s="23" t="n">
        <v>-3.872</v>
      </c>
      <c r="I6" s="23" t="n">
        <v>16.972</v>
      </c>
      <c r="J6" s="23" t="n">
        <v>12.772</v>
      </c>
      <c r="K6" s="23" t="n">
        <v>12.756</v>
      </c>
      <c r="L6" s="23" t="n">
        <v>9.6</v>
      </c>
      <c r="M6" s="23" t="n">
        <v>17.02</v>
      </c>
      <c r="N6" s="23" t="n">
        <v>22.582</v>
      </c>
      <c r="O6" s="23" t="n">
        <v>13.862</v>
      </c>
      <c r="P6" s="23" t="n">
        <v>12.417</v>
      </c>
      <c r="Q6" s="23" t="n">
        <v>12.252</v>
      </c>
    </row>
    <row r="7">
      <c r="A7" s="2" t="inlineStr">
        <is>
          <t>Operating Expense</t>
        </is>
      </c>
      <c r="B7" s="23">
        <f>SUM(B5:B6)</f>
        <v>16.625</v>
      </c>
      <c r="C7" s="23">
        <f>SUM(C5:C6)</f>
        <v>12.486</v>
      </c>
      <c r="D7" s="23">
        <f>SUM(D5:D6)</f>
        <v>21.199</v>
      </c>
      <c r="E7" s="23">
        <f>SUM(E5:E6)</f>
        <v>30.456</v>
      </c>
      <c r="F7" s="23">
        <f>SUM(F5:F6)</f>
        <v>51.816</v>
      </c>
      <c r="G7" s="23">
        <f>SUM(G5:G6)</f>
        <v>34.22</v>
      </c>
      <c r="H7" s="23">
        <f>SUM(H5:H6)</f>
        <v>15.988</v>
      </c>
      <c r="I7" s="23">
        <f>SUM(I5:I6)</f>
        <v>23.039</v>
      </c>
      <c r="J7" s="23">
        <f>SUM(J5:J6)</f>
        <v>21.539</v>
      </c>
      <c r="K7" s="23">
        <f>SUM(K5:K6)</f>
        <v>20.041</v>
      </c>
      <c r="L7" s="23">
        <f>SUM(L5:L6)</f>
        <v>18.881999999999998</v>
      </c>
      <c r="M7" s="23">
        <f>SUM(M5:M6)</f>
        <v>32.694</v>
      </c>
      <c r="N7" s="23">
        <f>SUM(N5:N6)</f>
        <v>42.85</v>
      </c>
      <c r="O7" s="23">
        <f>SUM(O5:O6)</f>
        <v>37.869</v>
      </c>
      <c r="P7" s="23">
        <f>SUM(P5:P6)</f>
        <v>31.512999999999998</v>
      </c>
      <c r="Q7" s="23">
        <f>SUM(Q5:Q6)</f>
        <v>28.274</v>
      </c>
    </row>
    <row r="8">
      <c r="A8" s="2" t="inlineStr">
        <is>
          <t>Operating Income</t>
        </is>
      </c>
      <c r="B8" s="23">
        <f>B4-B7</f>
        <v>-16.625</v>
      </c>
      <c r="C8" s="23">
        <f>C4-C7</f>
        <v>-12.486</v>
      </c>
      <c r="D8" s="23">
        <f>D4-D7</f>
        <v>-21.199</v>
      </c>
      <c r="E8" s="23">
        <f>E4-E7</f>
        <v>-28.489</v>
      </c>
      <c r="F8" s="23">
        <f>F4-F7</f>
        <v>-43.900000000000006</v>
      </c>
      <c r="G8" s="23">
        <f>G4-G7</f>
        <v>-34.22</v>
      </c>
      <c r="H8" s="23">
        <f>H4-H7</f>
        <v>-15.988</v>
      </c>
      <c r="I8" s="23">
        <f>I4-I7</f>
        <v>-23.039</v>
      </c>
      <c r="J8" s="23">
        <f>J4-J7</f>
        <v>-21.539</v>
      </c>
      <c r="K8" s="23">
        <f>K4-K7</f>
        <v>-20.041</v>
      </c>
      <c r="L8" s="23">
        <f>L4-L7</f>
        <v>-16.982</v>
      </c>
      <c r="M8" s="23">
        <f>M4-M7</f>
        <v>-25.294000000000004</v>
      </c>
      <c r="N8" s="23">
        <f>N4-N7</f>
        <v>-41.95</v>
      </c>
      <c r="O8" s="23">
        <f>O4-O7</f>
        <v>-37.869</v>
      </c>
      <c r="P8" s="23">
        <f>P4-P7</f>
        <v>-31.512999999999998</v>
      </c>
      <c r="Q8" s="23">
        <f>Q4-Q7</f>
        <v>-28.274</v>
      </c>
    </row>
    <row r="9">
      <c r="A9" s="19" t="inlineStr">
        <is>
          <t>Interest &amp; Other</t>
        </is>
      </c>
      <c r="B9" s="23" t="n">
        <v>4.632</v>
      </c>
      <c r="C9" s="23" t="n">
        <v>1.001</v>
      </c>
      <c r="D9" s="23" t="n">
        <v>-14.822</v>
      </c>
      <c r="E9" s="23" t="n">
        <v>-47.137</v>
      </c>
      <c r="F9" s="23" t="n">
        <v>7.294</v>
      </c>
      <c r="G9" s="23" t="n">
        <v>-29.317</v>
      </c>
      <c r="H9" s="23" t="n">
        <v>-1.692</v>
      </c>
      <c r="I9" s="23" t="n">
        <v>-0.462</v>
      </c>
      <c r="J9" s="23" t="n">
        <v>-7.509</v>
      </c>
      <c r="K9" s="23" t="n">
        <v>0.668</v>
      </c>
      <c r="L9" s="23" t="n">
        <v>0.208</v>
      </c>
      <c r="M9" s="23" t="n">
        <v>4.358</v>
      </c>
      <c r="N9" s="23" t="n">
        <v>0.649</v>
      </c>
      <c r="O9" s="23" t="n">
        <v>0.529</v>
      </c>
      <c r="P9" s="23" t="n">
        <v>0.632</v>
      </c>
      <c r="Q9" s="23" t="n">
        <v>1.411</v>
      </c>
    </row>
    <row r="10">
      <c r="A10" s="2" t="inlineStr">
        <is>
          <t>Pretax</t>
        </is>
      </c>
      <c r="B10" s="23">
        <f>B8+B9</f>
        <v>-11.993</v>
      </c>
      <c r="C10" s="23">
        <f>C8+C9</f>
        <v>-11.485000000000001</v>
      </c>
      <c r="D10" s="23">
        <f>D8+D9</f>
        <v>-36.021</v>
      </c>
      <c r="E10" s="23">
        <f>E8+E9</f>
        <v>-75.626</v>
      </c>
      <c r="F10" s="23">
        <f>F8+F9</f>
        <v>-36.60600000000001</v>
      </c>
      <c r="G10" s="23">
        <f>G8+G9</f>
        <v>-63.537</v>
      </c>
      <c r="H10" s="23">
        <f>H8+H9</f>
        <v>-17.68</v>
      </c>
      <c r="I10" s="23">
        <f>I8+I9</f>
        <v>-23.501</v>
      </c>
      <c r="J10" s="23">
        <f>J8+J9</f>
        <v>-29.048000000000002</v>
      </c>
      <c r="K10" s="23">
        <f>K8+K9</f>
        <v>-19.373</v>
      </c>
      <c r="L10" s="23">
        <f>L8+L9</f>
        <v>-16.774</v>
      </c>
      <c r="M10" s="23">
        <f>M8+M9</f>
        <v>-20.936000000000003</v>
      </c>
      <c r="N10" s="23">
        <f>N8+N9</f>
        <v>-41.301</v>
      </c>
      <c r="O10" s="23">
        <f>O8+O9</f>
        <v>-37.339999999999996</v>
      </c>
      <c r="P10" s="23">
        <f>P8+P9</f>
        <v>-30.880999999999997</v>
      </c>
      <c r="Q10" s="23">
        <f>Q8+Q9</f>
        <v>-26.863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-1.052</v>
      </c>
      <c r="E11" s="23" t="n">
        <v>1.052</v>
      </c>
      <c r="F11" s="23" t="n">
        <v>0</v>
      </c>
      <c r="G11" s="23" t="n">
        <v>0.365</v>
      </c>
      <c r="H11" s="23" t="n">
        <v>0.001</v>
      </c>
      <c r="I11" s="23" t="n">
        <v>0.253</v>
      </c>
      <c r="J11" s="23" t="n">
        <v>-1.378</v>
      </c>
      <c r="K11" s="23" t="n">
        <v>-0.081</v>
      </c>
      <c r="L11" s="23" t="n">
        <v>-0.017</v>
      </c>
      <c r="M11" s="23" t="n">
        <v>-0.237</v>
      </c>
      <c r="N11" s="23" t="n">
        <v>0</v>
      </c>
      <c r="O11" s="23" t="n">
        <v>0</v>
      </c>
      <c r="P11" s="23" t="n">
        <v>0</v>
      </c>
      <c r="Q11" s="23" t="n">
        <v>0</v>
      </c>
    </row>
    <row r="12">
      <c r="A12" s="2" t="inlineStr">
        <is>
          <t>Net Income</t>
        </is>
      </c>
      <c r="B12" s="23" t="n">
        <v>-11.993</v>
      </c>
      <c r="C12" s="23" t="n">
        <v>-11.485</v>
      </c>
      <c r="D12" s="23" t="n">
        <v>-34.969</v>
      </c>
      <c r="E12" s="23" t="n">
        <v>-76.678</v>
      </c>
      <c r="F12" s="23" t="n">
        <v>-36.606</v>
      </c>
      <c r="G12" s="23" t="n">
        <v>-63.902</v>
      </c>
      <c r="H12" s="23" t="n">
        <v>-17.681</v>
      </c>
      <c r="I12" s="23" t="n">
        <v>-23.754</v>
      </c>
      <c r="J12" s="23" t="n">
        <v>-27.67</v>
      </c>
      <c r="K12" s="23" t="n">
        <v>-19.292</v>
      </c>
      <c r="L12" s="23" t="n">
        <v>-16.757</v>
      </c>
      <c r="M12" s="23" t="n">
        <v>-20.699</v>
      </c>
      <c r="N12" s="23" t="n">
        <v>-41.301</v>
      </c>
      <c r="O12" s="23" t="n">
        <v>-37.34</v>
      </c>
      <c r="P12" s="23" t="n">
        <v>-30.881</v>
      </c>
      <c r="Q12" s="23" t="n">
        <v>-26.863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-4.31766917293233</v>
      </c>
      <c r="D13" s="11">
        <f>IFERROR(D12/D14,0)</f>
        <v>-7.645168342807171</v>
      </c>
      <c r="E13" s="11">
        <f>IFERROR(E12/E14,0)</f>
        <v>-11.614359285065131</v>
      </c>
      <c r="F13" s="11">
        <f>IFERROR(F12/F14,0)</f>
        <v>-5.584439359267735</v>
      </c>
      <c r="G13" s="11">
        <f>IFERROR(G12/G14,0)</f>
        <v>-7.496715157203192</v>
      </c>
      <c r="H13" s="11">
        <f>IFERROR(H12/H14,0)</f>
        <v>-17.00096153846154</v>
      </c>
      <c r="I13" s="11">
        <f>IFERROR(I12/I14,0)</f>
        <v>-9.242801556420234</v>
      </c>
      <c r="J13" s="11">
        <f>IFERROR(J12/J14,0)</f>
        <v>-10.79173166926677</v>
      </c>
      <c r="K13" s="11">
        <f>IFERROR(K12/K14,0)</f>
        <v>-7.538882375928097</v>
      </c>
      <c r="L13" s="11">
        <f>IFERROR(L12/L14,0)</f>
        <v>-2.1006644101792653</v>
      </c>
      <c r="M13" s="11">
        <f>IFERROR(M12/M14,0)</f>
        <v>-1.3370583295652736</v>
      </c>
      <c r="N13" s="11">
        <f>IFERROR(N12/N14,0)</f>
        <v>-2.1293565683646114</v>
      </c>
      <c r="O13" s="11">
        <f>IFERROR(O12/O14,0)</f>
        <v>-1.3442776397739138</v>
      </c>
      <c r="P13" s="11">
        <f>IFERROR(P12/P14,0)</f>
        <v>-0.5045750138884351</v>
      </c>
      <c r="Q13" s="11">
        <f>IFERROR(Q12/Q14,0)</f>
        <v>-0.24633428395888163</v>
      </c>
    </row>
    <row r="14">
      <c r="A14" s="2" t="inlineStr">
        <is>
          <t>Shares</t>
        </is>
      </c>
      <c r="B14" s="23" t="n"/>
      <c r="C14" s="23" t="n">
        <v>2.66</v>
      </c>
      <c r="D14" s="23" t="n">
        <v>4.574</v>
      </c>
      <c r="E14" s="23" t="n">
        <v>6.602</v>
      </c>
      <c r="F14" s="23" t="n">
        <v>6.555</v>
      </c>
      <c r="G14" s="23" t="n">
        <v>8.523999999999999</v>
      </c>
      <c r="H14" s="23" t="n">
        <v>1.04</v>
      </c>
      <c r="I14" s="23" t="n">
        <v>2.57</v>
      </c>
      <c r="J14" s="23" t="n">
        <v>2.564</v>
      </c>
      <c r="K14" s="23" t="n">
        <v>2.559</v>
      </c>
      <c r="L14" s="23" t="n">
        <v>7.977</v>
      </c>
      <c r="M14" s="23" t="n">
        <v>15.481</v>
      </c>
      <c r="N14" s="23" t="n">
        <v>19.396</v>
      </c>
      <c r="O14" s="23" t="n">
        <v>27.777</v>
      </c>
      <c r="P14" s="23" t="n">
        <v>61.202</v>
      </c>
      <c r="Q14" s="23" t="n">
        <v>109.051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>2.7470848411741056</v>
      </c>
      <c r="G16" s="15">
        <f>IFERROR(G2/F2-1,"")</f>
        <v>-1.0</v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>3.0</v>
      </c>
      <c r="N16" s="15">
        <f>IFERROR(N2/M2-1,"")</f>
        <v>-0.868421052631579</v>
      </c>
      <c r="O16" s="15">
        <f>IFERROR(O2/N2-1,"")</f>
        <v>-1.0</v>
      </c>
      <c r="P16" s="15">
        <f>IFERROR(P2/O2-1,"")</f>
        <v/>
      </c>
      <c r="Q16" s="15">
        <f>IFERROR(Q2/P2-1,"")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>0.7909127462806594</v>
      </c>
      <c r="F17" s="15">
        <f>IFERROR(F4/F2,"")</f>
        <v>0.849447365597167</v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>1.0</v>
      </c>
      <c r="M17" s="15">
        <f>IFERROR(M4/M2,"")</f>
        <v>0.9736842105263158</v>
      </c>
      <c r="N17" s="15">
        <f>IFERROR(N4/N2,"")</f>
        <v>0.9</v>
      </c>
      <c r="O17" s="15">
        <f>IFERROR(O4/O2,"")</f>
        <v/>
      </c>
      <c r="P17" s="15">
        <f>IFERROR(P4/P2,"")</f>
        <v/>
      </c>
      <c r="Q17" s="15">
        <f>IFERROR(Q4/Q2,"")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>-11.455166867712103</v>
      </c>
      <c r="F18" s="15">
        <f>IFERROR(F8/F2,"")</f>
        <v>-4.710805880459277</v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>-8.937894736842106</v>
      </c>
      <c r="M18" s="15">
        <f>IFERROR(M8/M2,"")</f>
        <v>-3.328157894736843</v>
      </c>
      <c r="N18" s="15">
        <f>IFERROR(N8/N2,"")</f>
        <v>-41.95</v>
      </c>
      <c r="O18" s="15">
        <f>IFERROR(O8/O2,"")</f>
        <v/>
      </c>
      <c r="P18" s="15">
        <f>IFERROR(P8/P2,"")</f>
        <v/>
      </c>
      <c r="Q18" s="15">
        <f>IFERROR(Q8/Q2,"")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2026-10-21T01:04:27Z</dcterms:modified>
  <cp:lastModifiedBy>Wang, Eric</cp:lastModifiedBy>
</cp:coreProperties>
</file>