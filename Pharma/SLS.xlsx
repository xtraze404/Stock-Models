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Sellas Life Sciences Group Inc</t>
        </is>
      </c>
      <c r="C2" s="10" t="n"/>
    </row>
    <row r="3">
      <c r="B3" t="inlineStr">
        <is>
          <t>Price</t>
        </is>
      </c>
      <c r="C3" s="11">
        <f>INDEX([1]Pharma!$F$1:$F$1000,MATCH("SLS",[1]Pharma!$B$1:$B$1000,0))</f>
        <v>11.98</v>
      </c>
      <c r="F3" s="1" t="n"/>
    </row>
    <row r="4">
      <c r="B4" t="inlineStr">
        <is>
          <t>Shares</t>
        </is>
      </c>
      <c r="C4" s="21" t="n">
        <v>201.945709</v>
      </c>
      <c r="F4" s="1" t="n"/>
    </row>
    <row r="5">
      <c r="B5" t="inlineStr">
        <is>
          <t>Market Cap.</t>
        </is>
      </c>
      <c r="C5" s="13">
        <f>C3*C4</f>
        <v>2419.30959382</v>
      </c>
      <c r="F5" s="1" t="n"/>
    </row>
    <row r="6"/>
    <row r="7">
      <c r="B7" t="inlineStr">
        <is>
          <t>Cash</t>
        </is>
      </c>
      <c r="C7" s="21" t="n">
        <v>138.343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2280.96659382</v>
      </c>
    </row>
    <row r="10"/>
    <row r="11">
      <c r="B11" s="14" t="inlineStr">
        <is>
          <t>rNPV / Share</t>
        </is>
      </c>
      <c r="C11" s="11">
        <f>NPV!B27</f>
        <v>4.653746253841952</v>
      </c>
    </row>
    <row r="12">
      <c r="B12" s="14" t="inlineStr">
        <is>
          <t>Upside</t>
        </is>
      </c>
      <c r="C12" s="15">
        <f>IFERROR(C11/C3-1,"")</f>
        <v>-0.611540379478969</v>
      </c>
    </row>
    <row r="13">
      <c r="B13" s="14" t="inlineStr">
        <is>
          <t>Cash / Share</t>
        </is>
      </c>
      <c r="C13" s="11">
        <f>IFERROR((C7-C8)/C4,"")</f>
        <v>0.6850504558133493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-28.423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4.8672905745347075</v>
      </c>
    </row>
    <row r="19">
      <c r="B19" s="14" t="inlineStr">
        <is>
          <t>Implied Pipeline Value</t>
        </is>
      </c>
      <c r="C19" s="13">
        <f>C9</f>
        <v>2280.96659382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2.487</v>
      </c>
      <c r="F2" s="23" t="n">
        <v>9.319000000000001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1.9</v>
      </c>
      <c r="M2" s="23" t="n">
        <v>7.6</v>
      </c>
      <c r="N2" s="23" t="n">
        <v>1</v>
      </c>
      <c r="O2" s="23" t="n">
        <v>0</v>
      </c>
      <c r="P2" s="23" t="n">
        <v>0</v>
      </c>
      <c r="Q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0.52</v>
      </c>
      <c r="F3" s="23" t="n">
        <v>1.403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0.2</v>
      </c>
      <c r="N3" s="23" t="n">
        <v>0.1</v>
      </c>
      <c r="O3" s="23" t="n">
        <v>0</v>
      </c>
      <c r="P3" s="23" t="n">
        <v>0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1.967</v>
      </c>
      <c r="F4" s="23">
        <f>F2-F3</f>
        <v>7.916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1.9</v>
      </c>
      <c r="M4" s="23">
        <f>M2-M3</f>
        <v>7.3999999999999995</v>
      </c>
      <c r="N4" s="23">
        <f>N2-N3</f>
        <v>0.9</v>
      </c>
      <c r="O4" s="23">
        <f>O2-O3</f>
        <v>0.0</v>
      </c>
      <c r="P4" s="23">
        <f>P2-P3</f>
        <v>0.0</v>
      </c>
      <c r="Q4" s="23">
        <f>Q2-Q3</f>
        <v>0.0</v>
      </c>
    </row>
    <row r="5">
      <c r="A5" s="2" t="inlineStr">
        <is>
          <t>Research &amp; Dev.</t>
        </is>
      </c>
      <c r="B5" s="23" t="n">
        <v>7.873</v>
      </c>
      <c r="C5" s="23" t="n">
        <v>3.851</v>
      </c>
      <c r="D5" s="23" t="n">
        <v>14.614</v>
      </c>
      <c r="E5" s="23" t="n">
        <v>20.424</v>
      </c>
      <c r="F5" s="23" t="n">
        <v>27.674</v>
      </c>
      <c r="G5" s="23" t="n">
        <v>23.611</v>
      </c>
      <c r="H5" s="23" t="n">
        <v>19.86</v>
      </c>
      <c r="I5" s="23" t="n">
        <v>6.067</v>
      </c>
      <c r="J5" s="23" t="n">
        <v>8.766999999999999</v>
      </c>
      <c r="K5" s="23" t="n">
        <v>7.285</v>
      </c>
      <c r="L5" s="23" t="n">
        <v>9.282</v>
      </c>
      <c r="M5" s="23" t="n">
        <v>15.674</v>
      </c>
      <c r="N5" s="23" t="n">
        <v>20.268</v>
      </c>
      <c r="O5" s="23" t="n">
        <v>24.007</v>
      </c>
      <c r="P5" s="23" t="n">
        <v>19.096</v>
      </c>
      <c r="Q5" s="23" t="n">
        <v>16.022</v>
      </c>
    </row>
    <row r="6">
      <c r="A6" s="19" t="inlineStr">
        <is>
          <t>SG&amp;A &amp; Other</t>
        </is>
      </c>
      <c r="B6" s="23" t="n">
        <v>8.752000000000001</v>
      </c>
      <c r="C6" s="23" t="n">
        <v>8.635</v>
      </c>
      <c r="D6" s="23" t="n">
        <v>6.585</v>
      </c>
      <c r="E6" s="23" t="n">
        <v>10.032</v>
      </c>
      <c r="F6" s="23" t="n">
        <v>24.142</v>
      </c>
      <c r="G6" s="23" t="n">
        <v>10.609</v>
      </c>
      <c r="H6" s="23" t="n">
        <v>-3.872</v>
      </c>
      <c r="I6" s="23" t="n">
        <v>16.972</v>
      </c>
      <c r="J6" s="23" t="n">
        <v>12.772</v>
      </c>
      <c r="K6" s="23" t="n">
        <v>12.756</v>
      </c>
      <c r="L6" s="23" t="n">
        <v>9.6</v>
      </c>
      <c r="M6" s="23" t="n">
        <v>17.02</v>
      </c>
      <c r="N6" s="23" t="n">
        <v>22.582</v>
      </c>
      <c r="O6" s="23" t="n">
        <v>13.862</v>
      </c>
      <c r="P6" s="23" t="n">
        <v>12.417</v>
      </c>
      <c r="Q6" s="23" t="n">
        <v>12.252</v>
      </c>
    </row>
    <row r="7">
      <c r="A7" s="2" t="inlineStr">
        <is>
          <t>Operating Expense</t>
        </is>
      </c>
      <c r="B7" s="23">
        <f>SUM(B5:B6)</f>
        <v>16.625</v>
      </c>
      <c r="C7" s="23">
        <f>SUM(C5:C6)</f>
        <v>12.486</v>
      </c>
      <c r="D7" s="23">
        <f>SUM(D5:D6)</f>
        <v>21.199</v>
      </c>
      <c r="E7" s="23">
        <f>SUM(E5:E6)</f>
        <v>30.456</v>
      </c>
      <c r="F7" s="23">
        <f>SUM(F5:F6)</f>
        <v>51.816</v>
      </c>
      <c r="G7" s="23">
        <f>SUM(G5:G6)</f>
        <v>34.22</v>
      </c>
      <c r="H7" s="23">
        <f>SUM(H5:H6)</f>
        <v>15.988</v>
      </c>
      <c r="I7" s="23">
        <f>SUM(I5:I6)</f>
        <v>23.039</v>
      </c>
      <c r="J7" s="23">
        <f>SUM(J5:J6)</f>
        <v>21.539</v>
      </c>
      <c r="K7" s="23">
        <f>SUM(K5:K6)</f>
        <v>20.041</v>
      </c>
      <c r="L7" s="23">
        <f>SUM(L5:L6)</f>
        <v>18.881999999999998</v>
      </c>
      <c r="M7" s="23">
        <f>SUM(M5:M6)</f>
        <v>32.694</v>
      </c>
      <c r="N7" s="23">
        <f>SUM(N5:N6)</f>
        <v>42.85</v>
      </c>
      <c r="O7" s="23">
        <f>SUM(O5:O6)</f>
        <v>37.869</v>
      </c>
      <c r="P7" s="23">
        <f>SUM(P5:P6)</f>
        <v>31.512999999999998</v>
      </c>
      <c r="Q7" s="23">
        <f>SUM(Q5:Q6)</f>
        <v>28.274</v>
      </c>
    </row>
    <row r="8">
      <c r="A8" s="2" t="inlineStr">
        <is>
          <t>Operating Income</t>
        </is>
      </c>
      <c r="B8" s="23">
        <f>B4-B7</f>
        <v>-16.625</v>
      </c>
      <c r="C8" s="23">
        <f>C4-C7</f>
        <v>-12.486</v>
      </c>
      <c r="D8" s="23">
        <f>D4-D7</f>
        <v>-21.199</v>
      </c>
      <c r="E8" s="23">
        <f>E4-E7</f>
        <v>-28.489</v>
      </c>
      <c r="F8" s="23">
        <f>F4-F7</f>
        <v>-43.900000000000006</v>
      </c>
      <c r="G8" s="23">
        <f>G4-G7</f>
        <v>-34.22</v>
      </c>
      <c r="H8" s="23">
        <f>H4-H7</f>
        <v>-15.988</v>
      </c>
      <c r="I8" s="23">
        <f>I4-I7</f>
        <v>-23.039</v>
      </c>
      <c r="J8" s="23">
        <f>J4-J7</f>
        <v>-21.539</v>
      </c>
      <c r="K8" s="23">
        <f>K4-K7</f>
        <v>-20.041</v>
      </c>
      <c r="L8" s="23">
        <f>L4-L7</f>
        <v>-16.982</v>
      </c>
      <c r="M8" s="23">
        <f>M4-M7</f>
        <v>-25.294000000000004</v>
      </c>
      <c r="N8" s="23">
        <f>N4-N7</f>
        <v>-41.95</v>
      </c>
      <c r="O8" s="23">
        <f>O4-O7</f>
        <v>-37.869</v>
      </c>
      <c r="P8" s="23">
        <f>P4-P7</f>
        <v>-31.512999999999998</v>
      </c>
      <c r="Q8" s="23">
        <f>Q4-Q7</f>
        <v>-28.274</v>
      </c>
    </row>
    <row r="9">
      <c r="A9" s="19" t="inlineStr">
        <is>
          <t>Interest &amp; Other</t>
        </is>
      </c>
      <c r="B9" s="23" t="n">
        <v>4.632</v>
      </c>
      <c r="C9" s="23" t="n">
        <v>1.001</v>
      </c>
      <c r="D9" s="23" t="n">
        <v>-14.822</v>
      </c>
      <c r="E9" s="23" t="n">
        <v>-47.137</v>
      </c>
      <c r="F9" s="23" t="n">
        <v>7.294</v>
      </c>
      <c r="G9" s="23" t="n">
        <v>-29.317</v>
      </c>
      <c r="H9" s="23" t="n">
        <v>-1.692</v>
      </c>
      <c r="I9" s="23" t="n">
        <v>-0.462</v>
      </c>
      <c r="J9" s="23" t="n">
        <v>-7.509</v>
      </c>
      <c r="K9" s="23" t="n">
        <v>0.668</v>
      </c>
      <c r="L9" s="23" t="n">
        <v>0.208</v>
      </c>
      <c r="M9" s="23" t="n">
        <v>4.358</v>
      </c>
      <c r="N9" s="23" t="n">
        <v>0.649</v>
      </c>
      <c r="O9" s="23" t="n">
        <v>0.529</v>
      </c>
      <c r="P9" s="23" t="n">
        <v>0.632</v>
      </c>
      <c r="Q9" s="23" t="n">
        <v>1.411</v>
      </c>
    </row>
    <row r="10">
      <c r="A10" s="2" t="inlineStr">
        <is>
          <t>Pretax</t>
        </is>
      </c>
      <c r="B10" s="23">
        <f>B8+B9</f>
        <v>-11.993</v>
      </c>
      <c r="C10" s="23">
        <f>C8+C9</f>
        <v>-11.485000000000001</v>
      </c>
      <c r="D10" s="23">
        <f>D8+D9</f>
        <v>-36.021</v>
      </c>
      <c r="E10" s="23">
        <f>E8+E9</f>
        <v>-75.626</v>
      </c>
      <c r="F10" s="23">
        <f>F8+F9</f>
        <v>-36.60600000000001</v>
      </c>
      <c r="G10" s="23">
        <f>G8+G9</f>
        <v>-63.537</v>
      </c>
      <c r="H10" s="23">
        <f>H8+H9</f>
        <v>-17.68</v>
      </c>
      <c r="I10" s="23">
        <f>I8+I9</f>
        <v>-23.501</v>
      </c>
      <c r="J10" s="23">
        <f>J8+J9</f>
        <v>-29.048000000000002</v>
      </c>
      <c r="K10" s="23">
        <f>K8+K9</f>
        <v>-19.373</v>
      </c>
      <c r="L10" s="23">
        <f>L8+L9</f>
        <v>-16.774</v>
      </c>
      <c r="M10" s="23">
        <f>M8+M9</f>
        <v>-20.936000000000003</v>
      </c>
      <c r="N10" s="23">
        <f>N8+N9</f>
        <v>-41.301</v>
      </c>
      <c r="O10" s="23">
        <f>O8+O9</f>
        <v>-37.339999999999996</v>
      </c>
      <c r="P10" s="23">
        <f>P8+P9</f>
        <v>-30.880999999999997</v>
      </c>
      <c r="Q10" s="23">
        <f>Q8+Q9</f>
        <v>-26.863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-1.052</v>
      </c>
      <c r="E11" s="23" t="n">
        <v>1.052</v>
      </c>
      <c r="F11" s="23" t="n">
        <v>0</v>
      </c>
      <c r="G11" s="23" t="n">
        <v>0.365</v>
      </c>
      <c r="H11" s="23" t="n">
        <v>0.001</v>
      </c>
      <c r="I11" s="23" t="n">
        <v>0.253</v>
      </c>
      <c r="J11" s="23" t="n">
        <v>-1.378</v>
      </c>
      <c r="K11" s="23" t="n">
        <v>-0.081</v>
      </c>
      <c r="L11" s="23" t="n">
        <v>-0.017</v>
      </c>
      <c r="M11" s="23" t="n">
        <v>-0.237</v>
      </c>
      <c r="N11" s="23" t="n">
        <v>0</v>
      </c>
      <c r="O11" s="23" t="n">
        <v>0</v>
      </c>
      <c r="P11" s="23" t="n">
        <v>0</v>
      </c>
      <c r="Q11" s="23" t="n">
        <v>0</v>
      </c>
    </row>
    <row r="12">
      <c r="A12" s="2" t="inlineStr">
        <is>
          <t>Net Income</t>
        </is>
      </c>
      <c r="B12" s="23" t="n">
        <v>-11.993</v>
      </c>
      <c r="C12" s="23" t="n">
        <v>-11.485</v>
      </c>
      <c r="D12" s="23" t="n">
        <v>-34.969</v>
      </c>
      <c r="E12" s="23" t="n">
        <v>-76.678</v>
      </c>
      <c r="F12" s="23" t="n">
        <v>-36.606</v>
      </c>
      <c r="G12" s="23" t="n">
        <v>-63.902</v>
      </c>
      <c r="H12" s="23" t="n">
        <v>-17.681</v>
      </c>
      <c r="I12" s="23" t="n">
        <v>-23.754</v>
      </c>
      <c r="J12" s="23" t="n">
        <v>-27.67</v>
      </c>
      <c r="K12" s="23" t="n">
        <v>-19.292</v>
      </c>
      <c r="L12" s="23" t="n">
        <v>-16.757</v>
      </c>
      <c r="M12" s="23" t="n">
        <v>-20.699</v>
      </c>
      <c r="N12" s="23" t="n">
        <v>-41.301</v>
      </c>
      <c r="O12" s="23" t="n">
        <v>-37.34</v>
      </c>
      <c r="P12" s="23" t="n">
        <v>-30.881</v>
      </c>
      <c r="Q12" s="23" t="n">
        <v>-26.863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-4.31766917293233</v>
      </c>
      <c r="D13" s="11">
        <f>IFERROR(D12/D14,0)</f>
        <v>-7.645168342807171</v>
      </c>
      <c r="E13" s="11">
        <f>IFERROR(E12/E14,0)</f>
        <v>-11.614359285065131</v>
      </c>
      <c r="F13" s="11">
        <f>IFERROR(F12/F14,0)</f>
        <v>-5.584439359267735</v>
      </c>
      <c r="G13" s="11">
        <f>IFERROR(G12/G14,0)</f>
        <v>-7.496715157203192</v>
      </c>
      <c r="H13" s="11">
        <f>IFERROR(H12/H14,0)</f>
        <v>-17.00096153846154</v>
      </c>
      <c r="I13" s="11">
        <f>IFERROR(I12/I14,0)</f>
        <v>-9.242801556420234</v>
      </c>
      <c r="J13" s="11">
        <f>IFERROR(J12/J14,0)</f>
        <v>-10.79173166926677</v>
      </c>
      <c r="K13" s="11">
        <f>IFERROR(K12/K14,0)</f>
        <v>-7.538882375928097</v>
      </c>
      <c r="L13" s="11">
        <f>IFERROR(L12/L14,0)</f>
        <v>-2.1006644101792653</v>
      </c>
      <c r="M13" s="11">
        <f>IFERROR(M12/M14,0)</f>
        <v>-1.3370583295652736</v>
      </c>
      <c r="N13" s="11">
        <f>IFERROR(N12/N14,0)</f>
        <v>-2.1293565683646114</v>
      </c>
      <c r="O13" s="11">
        <f>IFERROR(O12/O14,0)</f>
        <v>-1.3442776397739138</v>
      </c>
      <c r="P13" s="11">
        <f>IFERROR(P12/P14,0)</f>
        <v>-0.5045750138884351</v>
      </c>
      <c r="Q13" s="11">
        <f>IFERROR(Q12/Q14,0)</f>
        <v>-0.24633428395888163</v>
      </c>
    </row>
    <row r="14">
      <c r="A14" s="2" t="inlineStr">
        <is>
          <t>Shares</t>
        </is>
      </c>
      <c r="B14" s="23" t="n"/>
      <c r="C14" s="23" t="n">
        <v>2.66</v>
      </c>
      <c r="D14" s="23" t="n">
        <v>4.574</v>
      </c>
      <c r="E14" s="23" t="n">
        <v>6.602</v>
      </c>
      <c r="F14" s="23" t="n">
        <v>6.555</v>
      </c>
      <c r="G14" s="23" t="n">
        <v>8.523999999999999</v>
      </c>
      <c r="H14" s="23" t="n">
        <v>1.04</v>
      </c>
      <c r="I14" s="23" t="n">
        <v>2.57</v>
      </c>
      <c r="J14" s="23" t="n">
        <v>2.564</v>
      </c>
      <c r="K14" s="23" t="n">
        <v>2.559</v>
      </c>
      <c r="L14" s="23" t="n">
        <v>7.977</v>
      </c>
      <c r="M14" s="23" t="n">
        <v>15.481</v>
      </c>
      <c r="N14" s="23" t="n">
        <v>19.396</v>
      </c>
      <c r="O14" s="23" t="n">
        <v>27.777</v>
      </c>
      <c r="P14" s="23" t="n">
        <v>61.202</v>
      </c>
      <c r="Q14" s="23" t="n">
        <v>109.051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>2.7470848411741056</v>
      </c>
      <c r="G16" s="15">
        <f>IFERROR(G2/F2-1,"")</f>
        <v>-1.0</v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>3.0</v>
      </c>
      <c r="N16" s="15">
        <f>IFERROR(N2/M2-1,"")</f>
        <v>-0.868421052631579</v>
      </c>
      <c r="O16" s="15">
        <f>IFERROR(O2/N2-1,"")</f>
        <v>-1.0</v>
      </c>
      <c r="P16" s="15">
        <f>IFERROR(P2/O2-1,"")</f>
        <v/>
      </c>
      <c r="Q16" s="15">
        <f>IFERROR(Q2/P2-1,"")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>0.7909127462806594</v>
      </c>
      <c r="F17" s="15">
        <f>IFERROR(F4/F2,"")</f>
        <v>0.849447365597167</v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>1.0</v>
      </c>
      <c r="M17" s="15">
        <f>IFERROR(M4/M2,"")</f>
        <v>0.9736842105263158</v>
      </c>
      <c r="N17" s="15">
        <f>IFERROR(N4/N2,"")</f>
        <v>0.9</v>
      </c>
      <c r="O17" s="15">
        <f>IFERROR(O4/O2,"")</f>
        <v/>
      </c>
      <c r="P17" s="15">
        <f>IFERROR(P4/P2,"")</f>
        <v/>
      </c>
      <c r="Q17" s="15">
        <f>IFERROR(Q4/Q2,"")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>-11.455166867712103</v>
      </c>
      <c r="F18" s="15">
        <f>IFERROR(F8/F2,"")</f>
        <v>-4.710805880459277</v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>-8.937894736842106</v>
      </c>
      <c r="M18" s="15">
        <f>IFERROR(M8/M2,"")</f>
        <v>-3.328157894736843</v>
      </c>
      <c r="N18" s="15">
        <f>IFERROR(N8/N2,"")</f>
        <v>-41.95</v>
      </c>
      <c r="O18" s="15">
        <f>IFERROR(O8/O2,"")</f>
        <v/>
      </c>
      <c r="P18" s="15">
        <f>IFERROR(P8/P2,"")</f>
        <v/>
      </c>
      <c r="Q18" s="15">
        <f>IFERROR(Q8/Q2,"")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Sellas Life Sciences Group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0.4811144800000001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35.219</v>
      </c>
    </row>
    <row r="19">
      <c r="A19" s="14" t="inlineStr">
        <is>
          <t>Years of full burn (until the first launch, max 4)</t>
        </is>
      </c>
      <c r="B19" s="39">
        <f>MIN(4,MAX(1,MIN(Pipeline!I4:I5)-2026))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497.9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801.4610867382069</v>
      </c>
      <c r="C29" s="42">
        <f>NPV!B25</f>
        <v>939.8040867382068</v>
      </c>
      <c r="D29" s="43">
        <f>NPV!B27</f>
        <v>4.653746253841952</v>
      </c>
      <c r="E29" s="44">
        <f>NPV!B29</f>
        <v>-0.611540379478969</v>
      </c>
    </row>
    <row r="30">
      <c r="A30" s="45" t="n">
        <v>1</v>
      </c>
      <c r="B30" s="46">
        <f t="dataTable" ref="B30:E32" r1="B4"/>
        <v>296.31952321880544</v>
      </c>
      <c r="C30" s="46">
        <v>434.6625232188054</v>
      </c>
      <c r="D30" s="47">
        <v>2.1523731569795594</v>
      </c>
      <c r="E30" s="48">
        <v>-0.820336130469152</v>
      </c>
    </row>
    <row r="31">
      <c r="A31" s="45" t="n">
        <v>2</v>
      </c>
      <c r="B31" s="46">
        <v>801.4610867382069</v>
      </c>
      <c r="C31" s="46">
        <v>939.8040867382068</v>
      </c>
      <c r="D31" s="47">
        <v>4.653746253841952</v>
      </c>
      <c r="E31" s="48">
        <v>-0.611540379478969</v>
      </c>
    </row>
    <row r="32">
      <c r="A32" s="45" t="n">
        <v>3</v>
      </c>
      <c r="B32" s="46">
        <v>1574.2564755370686</v>
      </c>
      <c r="C32" s="46">
        <v>1712.5994755370687</v>
      </c>
      <c r="D32" s="47">
        <v>8.480494505268585</v>
      </c>
      <c r="E32" s="48">
        <v>-0.29211231174719665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4.653746253841952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1.714111069518009</v>
      </c>
      <c r="C37" s="47">
        <v>2.3686083466934984</v>
      </c>
      <c r="D37" s="47">
        <v>3.0100934048093735</v>
      </c>
      <c r="E37" s="47">
        <v>4.277470983786912</v>
      </c>
      <c r="F37" s="47">
        <v>5.534910671519638</v>
      </c>
    </row>
    <row r="38">
      <c r="A38" s="50" t="n">
        <v>0.8</v>
      </c>
      <c r="B38" s="47">
        <v>2.1288505573211602</v>
      </c>
      <c r="C38" s="47">
        <v>2.987006731426869</v>
      </c>
      <c r="D38" s="47">
        <v>3.8333816195616706</v>
      </c>
      <c r="E38" s="47">
        <v>5.51233984751029</v>
      </c>
      <c r="F38" s="47">
        <v>7.184896978147195</v>
      </c>
    </row>
    <row r="39">
      <c r="A39" s="50" t="n">
        <v>1</v>
      </c>
      <c r="B39" s="47">
        <v>2.5376149912562793</v>
      </c>
      <c r="C39" s="47">
        <v>3.6005724801318904</v>
      </c>
      <c r="D39" s="47">
        <v>4.653746253841952</v>
      </c>
      <c r="E39" s="47">
        <v>6.744825297583648</v>
      </c>
      <c r="F39" s="47">
        <v>8.827133669114625</v>
      </c>
    </row>
    <row r="40">
      <c r="A40" s="50" t="n">
        <v>1.2</v>
      </c>
      <c r="B40" s="47">
        <v>2.9427924360849906</v>
      </c>
      <c r="C40" s="47">
        <v>4.210947829723606</v>
      </c>
      <c r="D40" s="47">
        <v>5.4691134778066735</v>
      </c>
      <c r="E40" s="47">
        <v>7.97413047324306</v>
      </c>
      <c r="F40" s="47">
        <v>10.469889671800413</v>
      </c>
    </row>
    <row r="41">
      <c r="A41" s="50" t="n">
        <v>1.4</v>
      </c>
      <c r="B41" s="47">
        <v>3.347004921194007</v>
      </c>
      <c r="C41" s="47">
        <v>4.821249008123561</v>
      </c>
      <c r="D41" s="47">
        <v>6.284736497430853</v>
      </c>
      <c r="E41" s="47">
        <v>9.201558724229859</v>
      </c>
      <c r="F41" s="47">
        <v>12.113277789213441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Sellas Life Sciences Group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Leukemia</t>
        </is>
      </c>
      <c r="C4" s="14" t="inlineStr">
        <is>
          <t>Galinpepimut-S, Decitabine</t>
        </is>
      </c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944.156702827894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65.82000000000001</v>
      </c>
      <c r="Q4" s="23">
        <f>IF(Q$3&lt;$I4,0,$G4*Assumptions!$E$11*INDEX(Assumptions!$B$24:$G$24,MIN(6,Q$3-$I4+1))*IF(Q$3&gt;$J4,(1-Assumptions!$B$26)^(Q$3-$J4),1)*IF($H4&gt;=1,1,MIN(0.97,$H4*Assumptions!$E$12)))</f>
        <v>164.55</v>
      </c>
      <c r="R4" s="23">
        <f>IF(R$3&lt;$I4,0,$G4*Assumptions!$E$11*INDEX(Assumptions!$B$24:$G$24,MIN(6,R$3-$I4+1))*IF(R$3&gt;$J4,(1-Assumptions!$B$26)^(R$3-$J4),1)*IF($H4&gt;=1,1,MIN(0.97,$H4*Assumptions!$E$12)))</f>
        <v>296.19</v>
      </c>
      <c r="S4" s="23">
        <f>IF(S$3&lt;$I4,0,$G4*Assumptions!$E$11*INDEX(Assumptions!$B$24:$G$24,MIN(6,S$3-$I4+1))*IF(S$3&gt;$J4,(1-Assumptions!$B$26)^(S$3-$J4),1)*IF($H4&gt;=1,1,MIN(0.97,$H4*Assumptions!$E$12)))</f>
        <v>427.83000000000004</v>
      </c>
      <c r="T4" s="23">
        <f>IF(T$3&lt;$I4,0,$G4*Assumptions!$E$11*INDEX(Assumptions!$B$24:$G$24,MIN(6,T$3-$I4+1))*IF(T$3&gt;$J4,(1-Assumptions!$B$26)^(T$3-$J4),1)*IF($H4&gt;=1,1,MIN(0.97,$H4*Assumptions!$E$12)))</f>
        <v>559.47</v>
      </c>
      <c r="U4" s="23">
        <f>IF(U$3&lt;$I4,0,$G4*Assumptions!$E$11*INDEX(Assumptions!$B$24:$G$24,MIN(6,U$3-$I4+1))*IF(U$3&gt;$J4,(1-Assumptions!$B$26)^(U$3-$J4),1)*IF($H4&gt;=1,1,MIN(0.97,$H4*Assumptions!$E$12)))</f>
        <v>658.2</v>
      </c>
      <c r="V4" s="23">
        <f>IF(V$3&lt;$I4,0,$G4*Assumptions!$E$11*INDEX(Assumptions!$B$24:$G$24,MIN(6,V$3-$I4+1))*IF(V$3&gt;$J4,(1-Assumptions!$B$26)^(V$3-$J4),1)*IF($H4&gt;=1,1,MIN(0.97,$H4*Assumptions!$E$12)))</f>
        <v>658.2</v>
      </c>
      <c r="W4" s="23">
        <f>IF(W$3&lt;$I4,0,$G4*Assumptions!$E$11*INDEX(Assumptions!$B$24:$G$24,MIN(6,W$3-$I4+1))*IF(W$3&gt;$J4,(1-Assumptions!$B$26)^(W$3-$J4),1)*IF($H4&gt;=1,1,MIN(0.97,$H4*Assumptions!$E$12)))</f>
        <v>658.2</v>
      </c>
      <c r="X4" s="23">
        <f>IF(X$3&lt;$I4,0,$G4*Assumptions!$E$11*INDEX(Assumptions!$B$24:$G$24,MIN(6,X$3-$I4+1))*IF(X$3&gt;$J4,(1-Assumptions!$B$26)^(X$3-$J4),1)*IF($H4&gt;=1,1,MIN(0.97,$H4*Assumptions!$E$12)))</f>
        <v>658.2</v>
      </c>
      <c r="Y4" s="23">
        <f>IF(Y$3&lt;$I4,0,$G4*Assumptions!$E$11*INDEX(Assumptions!$B$24:$G$24,MIN(6,Y$3-$I4+1))*IF(Y$3&gt;$J4,(1-Assumptions!$B$26)^(Y$3-$J4),1)*IF($H4&gt;=1,1,MIN(0.97,$H4*Assumptions!$E$12)))</f>
        <v>658.2</v>
      </c>
      <c r="Z4" s="23">
        <f>IF(Z$3&lt;$I4,0,$G4*Assumptions!$E$11*INDEX(Assumptions!$B$24:$G$24,MIN(6,Z$3-$I4+1))*IF(Z$3&gt;$J4,(1-Assumptions!$B$26)^(Z$3-$J4),1)*IF($H4&gt;=1,1,MIN(0.97,$H4*Assumptions!$E$12)))</f>
        <v>658.2</v>
      </c>
      <c r="AA4" s="23">
        <f>IF(AA$3&lt;$I4,0,$G4*Assumptions!$E$11*INDEX(Assumptions!$B$24:$G$24,MIN(6,AA$3-$I4+1))*IF(AA$3&gt;$J4,(1-Assumptions!$B$26)^(AA$3-$J4),1)*IF($H4&gt;=1,1,MIN(0.97,$H4*Assumptions!$E$12)))</f>
        <v>658.2</v>
      </c>
      <c r="AB4" s="23">
        <f>IF(AB$3&lt;$I4,0,$G4*Assumptions!$E$11*INDEX(Assumptions!$B$24:$G$24,MIN(6,AB$3-$I4+1))*IF(AB$3&gt;$J4,(1-Assumptions!$B$26)^(AB$3-$J4),1)*IF($H4&gt;=1,1,MIN(0.97,$H4*Assumptions!$E$12)))</f>
        <v>658.2</v>
      </c>
      <c r="AC4" s="23">
        <f>IF(AC$3&lt;$I4,0,$G4*Assumptions!$E$11*INDEX(Assumptions!$B$24:$G$24,MIN(6,AC$3-$I4+1))*IF(AC$3&gt;$J4,(1-Assumptions!$B$26)^(AC$3-$J4),1)*IF($H4&gt;=1,1,MIN(0.97,$H4*Assumptions!$E$12)))</f>
        <v>329.1</v>
      </c>
      <c r="AD4" s="23">
        <f>IF(AD$3&lt;$I4,0,$G4*Assumptions!$E$11*INDEX(Assumptions!$B$24:$G$24,MIN(6,AD$3-$I4+1))*IF(AD$3&gt;$J4,(1-Assumptions!$B$26)^(AD$3-$J4),1)*IF($H4&gt;=1,1,MIN(0.97,$H4*Assumptions!$E$12)))</f>
        <v>164.55</v>
      </c>
      <c r="AE4" s="23">
        <f>IF(AE$3&lt;$I4,0,$G4*Assumptions!$E$11*INDEX(Assumptions!$B$24:$G$24,MIN(6,AE$3-$I4+1))*IF(AE$3&gt;$J4,(1-Assumptions!$B$26)^(AE$3-$J4),1)*IF($H4&gt;=1,1,MIN(0.97,$H4*Assumptions!$E$12)))</f>
        <v>82.275</v>
      </c>
      <c r="AF4" s="23">
        <f>IF(AF$3&lt;$I4,0,$G4*Assumptions!$E$11*INDEX(Assumptions!$B$24:$G$24,MIN(6,AF$3-$I4+1))*IF(AF$3&gt;$J4,(1-Assumptions!$B$26)^(AF$3-$J4),1)*IF($H4&gt;=1,1,MIN(0.97,$H4*Assumptions!$E$12)))</f>
        <v>41.1375</v>
      </c>
      <c r="AG4" s="35">
        <f>IF(F4="Owned",1-IF(H4&gt;=1,1,MIN(0.97,H4*Assumptions!$E$12)),1)</f>
        <v>0.5611999999999999</v>
      </c>
    </row>
    <row r="5">
      <c r="A5" s="39" t="n">
        <v>2</v>
      </c>
      <c r="B5" s="14" t="inlineStr">
        <is>
          <t>Solid tumors (basket)</t>
        </is>
      </c>
      <c r="C5" s="14" t="inlineStr">
        <is>
          <t>SLS009</t>
        </is>
      </c>
      <c r="D5" s="14" t="inlineStr">
        <is>
          <t>Phase 1/2</t>
        </is>
      </c>
      <c r="E5" s="14" t="inlineStr">
        <is>
          <t>Oncology / area</t>
        </is>
      </c>
      <c r="F5" s="14" t="inlineStr">
        <is>
          <t>Owned</t>
        </is>
      </c>
      <c r="G5" s="40" t="n">
        <v>1500</v>
      </c>
      <c r="H5" s="27" t="n">
        <v>0.07539999999999999</v>
      </c>
      <c r="I5" s="26" t="n">
        <v>2032</v>
      </c>
      <c r="J5" s="39">
        <f>I5+Assumptions!$B$25</f>
        <v>2044.0</v>
      </c>
      <c r="K5" s="53">
        <f>Assumptions!$E$13</f>
        <v>0.4</v>
      </c>
      <c r="L5" s="23">
        <f>K5*SUMPRODUCT(M5:AF5,NPV!$C$15:$V$15)</f>
        <v>113.54812869523724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11.309999999999999</v>
      </c>
      <c r="T5" s="23">
        <f>IF(T$3&lt;$I5,0,$G5*Assumptions!$E$11*INDEX(Assumptions!$B$24:$G$24,MIN(6,T$3-$I5+1))*IF(T$3&gt;$J5,(1-Assumptions!$B$26)^(T$3-$J5),1)*IF($H5&gt;=1,1,MIN(0.97,$H5*Assumptions!$E$12)))</f>
        <v>28.275</v>
      </c>
      <c r="U5" s="23">
        <f>IF(U$3&lt;$I5,0,$G5*Assumptions!$E$11*INDEX(Assumptions!$B$24:$G$24,MIN(6,U$3-$I5+1))*IF(U$3&gt;$J5,(1-Assumptions!$B$26)^(U$3-$J5),1)*IF($H5&gt;=1,1,MIN(0.97,$H5*Assumptions!$E$12)))</f>
        <v>50.894999999999996</v>
      </c>
      <c r="V5" s="23">
        <f>IF(V$3&lt;$I5,0,$G5*Assumptions!$E$11*INDEX(Assumptions!$B$24:$G$24,MIN(6,V$3-$I5+1))*IF(V$3&gt;$J5,(1-Assumptions!$B$26)^(V$3-$J5),1)*IF($H5&gt;=1,1,MIN(0.97,$H5*Assumptions!$E$12)))</f>
        <v>73.515</v>
      </c>
      <c r="W5" s="23">
        <f>IF(W$3&lt;$I5,0,$G5*Assumptions!$E$11*INDEX(Assumptions!$B$24:$G$24,MIN(6,W$3-$I5+1))*IF(W$3&gt;$J5,(1-Assumptions!$B$26)^(W$3-$J5),1)*IF($H5&gt;=1,1,MIN(0.97,$H5*Assumptions!$E$12)))</f>
        <v>96.13499999999999</v>
      </c>
      <c r="X5" s="23">
        <f>IF(X$3&lt;$I5,0,$G5*Assumptions!$E$11*INDEX(Assumptions!$B$24:$G$24,MIN(6,X$3-$I5+1))*IF(X$3&gt;$J5,(1-Assumptions!$B$26)^(X$3-$J5),1)*IF($H5&gt;=1,1,MIN(0.97,$H5*Assumptions!$E$12)))</f>
        <v>113.1</v>
      </c>
      <c r="Y5" s="23">
        <f>IF(Y$3&lt;$I5,0,$G5*Assumptions!$E$11*INDEX(Assumptions!$B$24:$G$24,MIN(6,Y$3-$I5+1))*IF(Y$3&gt;$J5,(1-Assumptions!$B$26)^(Y$3-$J5),1)*IF($H5&gt;=1,1,MIN(0.97,$H5*Assumptions!$E$12)))</f>
        <v>113.1</v>
      </c>
      <c r="Z5" s="23">
        <f>IF(Z$3&lt;$I5,0,$G5*Assumptions!$E$11*INDEX(Assumptions!$B$24:$G$24,MIN(6,Z$3-$I5+1))*IF(Z$3&gt;$J5,(1-Assumptions!$B$26)^(Z$3-$J5),1)*IF($H5&gt;=1,1,MIN(0.97,$H5*Assumptions!$E$12)))</f>
        <v>113.1</v>
      </c>
      <c r="AA5" s="23">
        <f>IF(AA$3&lt;$I5,0,$G5*Assumptions!$E$11*INDEX(Assumptions!$B$24:$G$24,MIN(6,AA$3-$I5+1))*IF(AA$3&gt;$J5,(1-Assumptions!$B$26)^(AA$3-$J5),1)*IF($H5&gt;=1,1,MIN(0.97,$H5*Assumptions!$E$12)))</f>
        <v>113.1</v>
      </c>
      <c r="AB5" s="23">
        <f>IF(AB$3&lt;$I5,0,$G5*Assumptions!$E$11*INDEX(Assumptions!$B$24:$G$24,MIN(6,AB$3-$I5+1))*IF(AB$3&gt;$J5,(1-Assumptions!$B$26)^(AB$3-$J5),1)*IF($H5&gt;=1,1,MIN(0.97,$H5*Assumptions!$E$12)))</f>
        <v>113.1</v>
      </c>
      <c r="AC5" s="23">
        <f>IF(AC$3&lt;$I5,0,$G5*Assumptions!$E$11*INDEX(Assumptions!$B$24:$G$24,MIN(6,AC$3-$I5+1))*IF(AC$3&gt;$J5,(1-Assumptions!$B$26)^(AC$3-$J5),1)*IF($H5&gt;=1,1,MIN(0.97,$H5*Assumptions!$E$12)))</f>
        <v>113.1</v>
      </c>
      <c r="AD5" s="23">
        <f>IF(AD$3&lt;$I5,0,$G5*Assumptions!$E$11*INDEX(Assumptions!$B$24:$G$24,MIN(6,AD$3-$I5+1))*IF(AD$3&gt;$J5,(1-Assumptions!$B$26)^(AD$3-$J5),1)*IF($H5&gt;=1,1,MIN(0.97,$H5*Assumptions!$E$12)))</f>
        <v>113.1</v>
      </c>
      <c r="AE5" s="23">
        <f>IF(AE$3&lt;$I5,0,$G5*Assumptions!$E$11*INDEX(Assumptions!$B$24:$G$24,MIN(6,AE$3-$I5+1))*IF(AE$3&gt;$J5,(1-Assumptions!$B$26)^(AE$3-$J5),1)*IF($H5&gt;=1,1,MIN(0.97,$H5*Assumptions!$E$12)))</f>
        <v>113.1</v>
      </c>
      <c r="AF5" s="23">
        <f>IF(AF$3&lt;$I5,0,$G5*Assumptions!$E$11*INDEX(Assumptions!$B$24:$G$24,MIN(6,AF$3-$I5+1))*IF(AF$3&gt;$J5,(1-Assumptions!$B$26)^(AF$3-$J5),1)*IF($H5&gt;=1,1,MIN(0.97,$H5*Assumptions!$E$12)))</f>
        <v>56.55</v>
      </c>
      <c r="AG5" s="35">
        <f>IF(F5="Owned",1-IF(H5&gt;=1,1,MIN(0.97,H5*Assumptions!$E$12)),1)</f>
        <v>0.9246</v>
      </c>
    </row>
    <row r="6">
      <c r="B6" s="24" t="inlineStr">
        <is>
          <t>Risked revenue</t>
        </is>
      </c>
      <c r="L6" s="54">
        <f>SUM(L4:L5)</f>
        <v>1057.7048315231314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65.82000000000001</v>
      </c>
      <c r="Q6" s="54">
        <f>SUM(Q4:Q5)</f>
        <v>164.55</v>
      </c>
      <c r="R6" s="54">
        <f>SUM(R4:R5)</f>
        <v>296.19</v>
      </c>
      <c r="S6" s="54">
        <f>SUM(S4:S5)</f>
        <v>439.14000000000004</v>
      </c>
      <c r="T6" s="54">
        <f>SUM(T4:T5)</f>
        <v>587.745</v>
      </c>
      <c r="U6" s="54">
        <f>SUM(U4:U5)</f>
        <v>709.095</v>
      </c>
      <c r="V6" s="54">
        <f>SUM(V4:V5)</f>
        <v>731.715</v>
      </c>
      <c r="W6" s="54">
        <f>SUM(W4:W5)</f>
        <v>754.335</v>
      </c>
      <c r="X6" s="54">
        <f>SUM(X4:X5)</f>
        <v>771.3000000000001</v>
      </c>
      <c r="Y6" s="54">
        <f>SUM(Y4:Y5)</f>
        <v>771.3000000000001</v>
      </c>
      <c r="Z6" s="54">
        <f>SUM(Z4:Z5)</f>
        <v>771.3000000000001</v>
      </c>
      <c r="AA6" s="54">
        <f>SUM(AA4:AA5)</f>
        <v>771.3000000000001</v>
      </c>
      <c r="AB6" s="54">
        <f>SUM(AB4:AB5)</f>
        <v>771.3000000000001</v>
      </c>
      <c r="AC6" s="54">
        <f>SUM(AC4:AC5)</f>
        <v>442.20000000000005</v>
      </c>
      <c r="AD6" s="54">
        <f>SUM(AD4:AD5)</f>
        <v>277.65</v>
      </c>
      <c r="AE6" s="54">
        <f>SUM(AE4:AE5)</f>
        <v>195.375</v>
      </c>
      <c r="AF6" s="54">
        <f>SUM(AF4:AF5)</f>
        <v>97.6875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26.328000000000003</v>
      </c>
      <c r="Q7" s="55">
        <f>SUMPRODUCT(Q4:Q5,$K$4:$K$5)</f>
        <v>65.82000000000001</v>
      </c>
      <c r="R7" s="55">
        <f>SUMPRODUCT(R4:R5,$K$4:$K$5)</f>
        <v>118.476</v>
      </c>
      <c r="S7" s="55">
        <f>SUMPRODUCT(S4:S5,$K$4:$K$5)</f>
        <v>175.65600000000003</v>
      </c>
      <c r="T7" s="55">
        <f>SUMPRODUCT(T4:T5,$K$4:$K$5)</f>
        <v>235.098</v>
      </c>
      <c r="U7" s="55">
        <f>SUMPRODUCT(U4:U5,$K$4:$K$5)</f>
        <v>283.63800000000003</v>
      </c>
      <c r="V7" s="55">
        <f>SUMPRODUCT(V4:V5,$K$4:$K$5)</f>
        <v>292.68600000000004</v>
      </c>
      <c r="W7" s="55">
        <f>SUMPRODUCT(W4:W5,$K$4:$K$5)</f>
        <v>301.73400000000004</v>
      </c>
      <c r="X7" s="55">
        <f>SUMPRODUCT(X4:X5,$K$4:$K$5)</f>
        <v>308.52000000000004</v>
      </c>
      <c r="Y7" s="55">
        <f>SUMPRODUCT(Y4:Y5,$K$4:$K$5)</f>
        <v>308.52000000000004</v>
      </c>
      <c r="Z7" s="55">
        <f>SUMPRODUCT(Z4:Z5,$K$4:$K$5)</f>
        <v>308.52000000000004</v>
      </c>
      <c r="AA7" s="55">
        <f>SUMPRODUCT(AA4:AA5,$K$4:$K$5)</f>
        <v>308.52000000000004</v>
      </c>
      <c r="AB7" s="55">
        <f>SUMPRODUCT(AB4:AB5,$K$4:$K$5)</f>
        <v>308.52000000000004</v>
      </c>
      <c r="AC7" s="55">
        <f>SUMPRODUCT(AC4:AC5,$K$4:$K$5)</f>
        <v>176.88000000000002</v>
      </c>
      <c r="AD7" s="55">
        <f>SUMPRODUCT(AD4:AD5,$K$4:$K$5)</f>
        <v>111.06</v>
      </c>
      <c r="AE7" s="55">
        <f>SUMPRODUCT(AE4:AE5,$K$4:$K$5)</f>
        <v>78.15</v>
      </c>
      <c r="AF7" s="55">
        <f>SUMPRODUCT(AF4:AF5,$K$4:$K$5)</f>
        <v>39.075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Sellas Life Sciences Group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65.82000000000001</v>
      </c>
      <c r="G4" s="57">
        <f>Pipeline!Q6</f>
        <v>164.55</v>
      </c>
      <c r="H4" s="57">
        <f>Pipeline!R6</f>
        <v>296.19</v>
      </c>
      <c r="I4" s="57">
        <f>Pipeline!S6</f>
        <v>439.14000000000004</v>
      </c>
      <c r="J4" s="57">
        <f>Pipeline!T6</f>
        <v>587.745</v>
      </c>
      <c r="K4" s="57">
        <f>Pipeline!U6</f>
        <v>709.095</v>
      </c>
      <c r="L4" s="57">
        <f>Pipeline!V6</f>
        <v>731.715</v>
      </c>
      <c r="M4" s="57">
        <f>Pipeline!W6</f>
        <v>754.335</v>
      </c>
      <c r="N4" s="57">
        <f>Pipeline!X6</f>
        <v>771.3000000000001</v>
      </c>
      <c r="O4" s="57">
        <f>Pipeline!Y6</f>
        <v>771.3000000000001</v>
      </c>
      <c r="P4" s="57">
        <f>Pipeline!Z6</f>
        <v>771.3000000000001</v>
      </c>
      <c r="Q4" s="57">
        <f>Pipeline!AA6</f>
        <v>771.3000000000001</v>
      </c>
      <c r="R4" s="57">
        <f>Pipeline!AB6</f>
        <v>771.3000000000001</v>
      </c>
      <c r="S4" s="57">
        <f>Pipeline!AC6</f>
        <v>442.20000000000005</v>
      </c>
      <c r="T4" s="57">
        <f>Pipeline!AD6</f>
        <v>277.65</v>
      </c>
      <c r="U4" s="57">
        <f>Pipeline!AE6</f>
        <v>195.375</v>
      </c>
      <c r="V4" s="57">
        <f>Pipeline!AF6</f>
        <v>97.6875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26.328000000000003</v>
      </c>
      <c r="G5" s="57">
        <f>Pipeline!Q7</f>
        <v>65.82000000000001</v>
      </c>
      <c r="H5" s="57">
        <f>Pipeline!R7</f>
        <v>118.476</v>
      </c>
      <c r="I5" s="57">
        <f>Pipeline!S7</f>
        <v>175.65600000000003</v>
      </c>
      <c r="J5" s="57">
        <f>Pipeline!T7</f>
        <v>235.098</v>
      </c>
      <c r="K5" s="57">
        <f>Pipeline!U7</f>
        <v>283.63800000000003</v>
      </c>
      <c r="L5" s="57">
        <f>Pipeline!V7</f>
        <v>292.68600000000004</v>
      </c>
      <c r="M5" s="57">
        <f>Pipeline!W7</f>
        <v>301.73400000000004</v>
      </c>
      <c r="N5" s="57">
        <f>Pipeline!X7</f>
        <v>308.52000000000004</v>
      </c>
      <c r="O5" s="57">
        <f>Pipeline!Y7</f>
        <v>308.52000000000004</v>
      </c>
      <c r="P5" s="57">
        <f>Pipeline!Z7</f>
        <v>308.52000000000004</v>
      </c>
      <c r="Q5" s="57">
        <f>Pipeline!AA7</f>
        <v>308.52000000000004</v>
      </c>
      <c r="R5" s="57">
        <f>Pipeline!AB7</f>
        <v>308.52000000000004</v>
      </c>
      <c r="S5" s="57">
        <f>Pipeline!AC7</f>
        <v>176.88000000000002</v>
      </c>
      <c r="T5" s="57">
        <f>Pipeline!AD7</f>
        <v>111.06</v>
      </c>
      <c r="U5" s="57">
        <f>Pipeline!AE7</f>
        <v>78.15</v>
      </c>
      <c r="V5" s="57">
        <f>Pipeline!AF7</f>
        <v>39.075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-35.219</v>
      </c>
      <c r="D6" s="23">
        <f>-IF(D3-2026&lt;Assumptions!$B$19,Assumptions!$B$18,Assumptions!$B$18*Assumptions!$B$20*Assumptions!$B$16)</f>
        <v>-35.219</v>
      </c>
      <c r="E6" s="23">
        <f>-IF(E3-2026&lt;Assumptions!$B$19,Assumptions!$B$18,Assumptions!$B$18*Assumptions!$B$20*Assumptions!$B$16)</f>
        <v>-35.219</v>
      </c>
      <c r="F6" s="23">
        <f>-IF(F3-2026&lt;Assumptions!$B$19,Assumptions!$B$18,Assumptions!$B$18*Assumptions!$B$20*Assumptions!$B$16)</f>
        <v>-5.083311261336001</v>
      </c>
      <c r="G6" s="23">
        <f>-IF(G3-2026&lt;Assumptions!$B$19,Assumptions!$B$18,Assumptions!$B$18*Assumptions!$B$20*Assumptions!$B$16)</f>
        <v>-5.083311261336001</v>
      </c>
      <c r="H6" s="23">
        <f>-IF(H3-2026&lt;Assumptions!$B$19,Assumptions!$B$18,Assumptions!$B$18*Assumptions!$B$20*Assumptions!$B$16)</f>
        <v>-5.083311261336001</v>
      </c>
      <c r="I6" s="23">
        <f>-IF(I3-2026&lt;Assumptions!$B$19,Assumptions!$B$18,Assumptions!$B$18*Assumptions!$B$20*Assumptions!$B$16)</f>
        <v>-5.083311261336001</v>
      </c>
      <c r="J6" s="23">
        <f>-IF(J3-2026&lt;Assumptions!$B$19,Assumptions!$B$18,Assumptions!$B$18*Assumptions!$B$20*Assumptions!$B$16)</f>
        <v>-5.083311261336001</v>
      </c>
      <c r="K6" s="23">
        <f>-IF(K3-2026&lt;Assumptions!$B$19,Assumptions!$B$18,Assumptions!$B$18*Assumptions!$B$20*Assumptions!$B$16)</f>
        <v>-5.083311261336001</v>
      </c>
      <c r="L6" s="23">
        <f>-IF(L3-2026&lt;Assumptions!$B$19,Assumptions!$B$18,Assumptions!$B$18*Assumptions!$B$20*Assumptions!$B$16)</f>
        <v>-5.083311261336001</v>
      </c>
      <c r="M6" s="23">
        <f>-IF(M3-2026&lt;Assumptions!$B$19,Assumptions!$B$18,Assumptions!$B$18*Assumptions!$B$20*Assumptions!$B$16)</f>
        <v>-5.083311261336001</v>
      </c>
      <c r="N6" s="23">
        <f>-IF(N3-2026&lt;Assumptions!$B$19,Assumptions!$B$18,Assumptions!$B$18*Assumptions!$B$20*Assumptions!$B$16)</f>
        <v>-5.083311261336001</v>
      </c>
      <c r="O6" s="23">
        <f>-IF(O3-2026&lt;Assumptions!$B$19,Assumptions!$B$18,Assumptions!$B$18*Assumptions!$B$20*Assumptions!$B$16)</f>
        <v>-5.083311261336001</v>
      </c>
      <c r="P6" s="23">
        <f>-IF(P3-2026&lt;Assumptions!$B$19,Assumptions!$B$18,Assumptions!$B$18*Assumptions!$B$20*Assumptions!$B$16)</f>
        <v>-5.083311261336001</v>
      </c>
      <c r="Q6" s="23">
        <f>-IF(Q3-2026&lt;Assumptions!$B$19,Assumptions!$B$18,Assumptions!$B$18*Assumptions!$B$20*Assumptions!$B$16)</f>
        <v>-5.083311261336001</v>
      </c>
      <c r="R6" s="23">
        <f>-IF(R3-2026&lt;Assumptions!$B$19,Assumptions!$B$18,Assumptions!$B$18*Assumptions!$B$20*Assumptions!$B$16)</f>
        <v>-5.083311261336001</v>
      </c>
      <c r="S6" s="23">
        <f>-IF(S3-2026&lt;Assumptions!$B$19,Assumptions!$B$18,Assumptions!$B$18*Assumptions!$B$20*Assumptions!$B$16)</f>
        <v>-5.083311261336001</v>
      </c>
      <c r="T6" s="23">
        <f>-IF(T3-2026&lt;Assumptions!$B$19,Assumptions!$B$18,Assumptions!$B$18*Assumptions!$B$20*Assumptions!$B$16)</f>
        <v>-5.083311261336001</v>
      </c>
      <c r="U6" s="23">
        <f>-IF(U3-2026&lt;Assumptions!$B$19,Assumptions!$B$18,Assumptions!$B$18*Assumptions!$B$20*Assumptions!$B$16)</f>
        <v>-5.083311261336001</v>
      </c>
      <c r="V6" s="23">
        <f>-IF(V3-2026&lt;Assumptions!$B$19,Assumptions!$B$18,Assumptions!$B$18*Assumptions!$B$20*Assumptions!$B$16)</f>
        <v>-5.083311261336001</v>
      </c>
    </row>
    <row r="7">
      <c r="A7" s="14" t="inlineStr">
        <is>
          <t>Pre-tax cash flow</t>
        </is>
      </c>
      <c r="C7" s="23">
        <f>C5+C6</f>
        <v>-35.219</v>
      </c>
      <c r="D7" s="23">
        <f>D5+D6</f>
        <v>-35.219</v>
      </c>
      <c r="E7" s="23">
        <f>E5+E6</f>
        <v>-35.219</v>
      </c>
      <c r="F7" s="23">
        <f>F5+F6</f>
        <v>21.244688738664003</v>
      </c>
      <c r="G7" s="23">
        <f>G5+G6</f>
        <v>60.73668873866401</v>
      </c>
      <c r="H7" s="23">
        <f>H5+H6</f>
        <v>113.39268873866399</v>
      </c>
      <c r="I7" s="23">
        <f>I5+I6</f>
        <v>170.57268873866403</v>
      </c>
      <c r="J7" s="23">
        <f>J5+J6</f>
        <v>230.014688738664</v>
      </c>
      <c r="K7" s="23">
        <f>K5+K6</f>
        <v>278.554688738664</v>
      </c>
      <c r="L7" s="23">
        <f>L5+L6</f>
        <v>287.602688738664</v>
      </c>
      <c r="M7" s="23">
        <f>M5+M6</f>
        <v>296.65068873866403</v>
      </c>
      <c r="N7" s="23">
        <f>N5+N6</f>
        <v>303.43668873866403</v>
      </c>
      <c r="O7" s="23">
        <f>O5+O6</f>
        <v>303.43668873866403</v>
      </c>
      <c r="P7" s="23">
        <f>P5+P6</f>
        <v>303.43668873866403</v>
      </c>
      <c r="Q7" s="23">
        <f>Q5+Q6</f>
        <v>303.43668873866403</v>
      </c>
      <c r="R7" s="23">
        <f>R5+R6</f>
        <v>303.43668873866403</v>
      </c>
      <c r="S7" s="23">
        <f>S5+S6</f>
        <v>171.79668873866402</v>
      </c>
      <c r="T7" s="23">
        <f>T5+T6</f>
        <v>105.976688738664</v>
      </c>
      <c r="U7" s="23">
        <f>U5+U6</f>
        <v>73.066688738664</v>
      </c>
      <c r="V7" s="23">
        <f>V5+V6</f>
        <v>33.991688738664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21.244688738664003</v>
      </c>
      <c r="G8" s="23">
        <f>MIN(F17,MAX(0,G7))</f>
        <v>60.73668873866401</v>
      </c>
      <c r="H8" s="23">
        <f>MIN(G17,MAX(0,H7))</f>
        <v>113.39268873866399</v>
      </c>
      <c r="I8" s="23">
        <f>MIN(H17,MAX(0,I7))</f>
        <v>170.57268873866403</v>
      </c>
      <c r="J8" s="23">
        <f>MIN(I17,MAX(0,J7))</f>
        <v>230.014688738664</v>
      </c>
      <c r="K8" s="23">
        <f>MIN(J17,MAX(0,K7))</f>
        <v>7.595556306680095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270.9591324319839</v>
      </c>
      <c r="L9" s="23">
        <f>MAX(0,L7)-L8</f>
        <v>287.602688738664</v>
      </c>
      <c r="M9" s="23">
        <f>MAX(0,M7)-M8</f>
        <v>296.65068873866403</v>
      </c>
      <c r="N9" s="23">
        <f>MAX(0,N7)-N8</f>
        <v>303.43668873866403</v>
      </c>
      <c r="O9" s="23">
        <f>MAX(0,O7)-O8</f>
        <v>303.43668873866403</v>
      </c>
      <c r="P9" s="23">
        <f>MAX(0,P7)-P8</f>
        <v>303.43668873866403</v>
      </c>
      <c r="Q9" s="23">
        <f>MAX(0,Q7)-Q8</f>
        <v>303.43668873866403</v>
      </c>
      <c r="R9" s="23">
        <f>MAX(0,R7)-R8</f>
        <v>303.43668873866403</v>
      </c>
      <c r="S9" s="23">
        <f>MAX(0,S7)-S8</f>
        <v>171.79668873866402</v>
      </c>
      <c r="T9" s="23">
        <f>MAX(0,T7)-T8</f>
        <v>105.976688738664</v>
      </c>
      <c r="U9" s="23">
        <f>MAX(0,U7)-U8</f>
        <v>73.066688738664</v>
      </c>
      <c r="V9" s="23">
        <f>MAX(0,V7)-V8</f>
        <v>33.991688738664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56.901417810716616</v>
      </c>
      <c r="L10" s="23">
        <f>L9*Assumptions!$E$15</f>
        <v>60.39656463511945</v>
      </c>
      <c r="M10" s="23">
        <f>M9*Assumptions!$E$15</f>
        <v>62.29664463511944</v>
      </c>
      <c r="N10" s="23">
        <f>N9*Assumptions!$E$15</f>
        <v>63.721704635119444</v>
      </c>
      <c r="O10" s="23">
        <f>O9*Assumptions!$E$15</f>
        <v>63.721704635119444</v>
      </c>
      <c r="P10" s="23">
        <f>P9*Assumptions!$E$15</f>
        <v>63.721704635119444</v>
      </c>
      <c r="Q10" s="23">
        <f>Q9*Assumptions!$E$15</f>
        <v>63.721704635119444</v>
      </c>
      <c r="R10" s="23">
        <f>R9*Assumptions!$E$15</f>
        <v>63.721704635119444</v>
      </c>
      <c r="S10" s="23">
        <f>S9*Assumptions!$E$15</f>
        <v>36.07730463511944</v>
      </c>
      <c r="T10" s="23">
        <f>T9*Assumptions!$E$15</f>
        <v>22.255104635119437</v>
      </c>
      <c r="U10" s="23">
        <f>U9*Assumptions!$E$15</f>
        <v>15.34400463511944</v>
      </c>
      <c r="V10" s="23">
        <f>V9*Assumptions!$E$15</f>
        <v>7.1382546351194405</v>
      </c>
    </row>
    <row r="11">
      <c r="A11" s="24" t="inlineStr">
        <is>
          <t>Free cash flow</t>
        </is>
      </c>
      <c r="C11" s="55">
        <f>C7-C10</f>
        <v>-35.219</v>
      </c>
      <c r="D11" s="55">
        <f>D7-D10</f>
        <v>-35.219</v>
      </c>
      <c r="E11" s="55">
        <f>E7-E10</f>
        <v>-35.219</v>
      </c>
      <c r="F11" s="55">
        <f>F7-F10</f>
        <v>21.244688738664003</v>
      </c>
      <c r="G11" s="55">
        <f>G7-G10</f>
        <v>60.73668873866401</v>
      </c>
      <c r="H11" s="55">
        <f>H7-H10</f>
        <v>113.39268873866399</v>
      </c>
      <c r="I11" s="55">
        <f>I7-I10</f>
        <v>170.57268873866403</v>
      </c>
      <c r="J11" s="55">
        <f>J7-J10</f>
        <v>230.014688738664</v>
      </c>
      <c r="K11" s="55">
        <f>K7-K10</f>
        <v>221.6532709279474</v>
      </c>
      <c r="L11" s="55">
        <f>L7-L10</f>
        <v>227.2061241035446</v>
      </c>
      <c r="M11" s="55">
        <f>M7-M10</f>
        <v>234.3540441035446</v>
      </c>
      <c r="N11" s="55">
        <f>N7-N10</f>
        <v>239.7149841035446</v>
      </c>
      <c r="O11" s="55">
        <f>O7-O10</f>
        <v>239.7149841035446</v>
      </c>
      <c r="P11" s="55">
        <f>P7-P10</f>
        <v>239.7149841035446</v>
      </c>
      <c r="Q11" s="55">
        <f>Q7-Q10</f>
        <v>239.7149841035446</v>
      </c>
      <c r="R11" s="55">
        <f>R7-R10</f>
        <v>239.7149841035446</v>
      </c>
      <c r="S11" s="55">
        <f>S7-S10</f>
        <v>135.71938410354457</v>
      </c>
      <c r="T11" s="55">
        <f>T7-T10</f>
        <v>83.72158410354456</v>
      </c>
      <c r="U11" s="55">
        <f>U7-U10</f>
        <v>57.72268410354456</v>
      </c>
      <c r="V11" s="55">
        <f>V7-V10</f>
        <v>26.85343410354456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-17.253941267947354</v>
      </c>
      <c r="D16" s="55">
        <f>D11*D15</f>
        <v>-31.43092801525752</v>
      </c>
      <c r="E16" s="55">
        <f>E11*E15</f>
        <v>-28.06332858505135</v>
      </c>
      <c r="F16" s="55">
        <f>F11*F15</f>
        <v>15.114525255246459</v>
      </c>
      <c r="G16" s="55">
        <f>G11*G15</f>
        <v>38.58133282633915</v>
      </c>
      <c r="H16" s="55">
        <f>H11*H15</f>
        <v>64.31216739410955</v>
      </c>
      <c r="I16" s="55">
        <f>I11*I15</f>
        <v>86.37728821163414</v>
      </c>
      <c r="J16" s="55">
        <f>J11*J15</f>
        <v>103.99863002377973</v>
      </c>
      <c r="K16" s="55">
        <f>K11*K15</f>
        <v>89.48045201562107</v>
      </c>
      <c r="L16" s="55">
        <f>L11*L15</f>
        <v>81.89474504960725</v>
      </c>
      <c r="M16" s="55">
        <f>M11*M15</f>
        <v>75.42067790759548</v>
      </c>
      <c r="N16" s="55">
        <f>N11*N15</f>
        <v>68.88031721275645</v>
      </c>
      <c r="O16" s="55">
        <f>O11*O15</f>
        <v>61.5002832256754</v>
      </c>
      <c r="P16" s="55">
        <f>P11*P15</f>
        <v>54.9109671657816</v>
      </c>
      <c r="Q16" s="55">
        <f>Q11*Q15</f>
        <v>49.027649255162146</v>
      </c>
      <c r="R16" s="55">
        <f>R11*R15</f>
        <v>43.7746868349662</v>
      </c>
      <c r="S16" s="55">
        <f>S11*S15</f>
        <v>22.12848714151404</v>
      </c>
      <c r="T16" s="55">
        <f>T11*T15</f>
        <v>12.187910539110721</v>
      </c>
      <c r="U16" s="55">
        <f>U11*U15</f>
        <v>7.502747237682552</v>
      </c>
      <c r="V16" s="55">
        <f>V11*V15</f>
        <v>3.1164173098811667</v>
      </c>
    </row>
    <row r="17">
      <c r="A17" s="14" t="inlineStr">
        <is>
          <t>Tax-loss carryforward, end of year</t>
        </is>
      </c>
      <c r="C17" s="23">
        <f>Assumptions!$B$21-C8+MAX(0,-C7)</f>
        <v>533.119</v>
      </c>
      <c r="D17" s="23">
        <f>C17-D8+MAX(0,-D7)</f>
        <v>568.3380000000001</v>
      </c>
      <c r="E17" s="23">
        <f>D17-E8+MAX(0,-E7)</f>
        <v>603.5570000000001</v>
      </c>
      <c r="F17" s="23">
        <f>E17-F8+MAX(0,-F7)</f>
        <v>582.3123112613362</v>
      </c>
      <c r="G17" s="23">
        <f>F17-G8+MAX(0,-G7)</f>
        <v>521.5756225226721</v>
      </c>
      <c r="H17" s="23">
        <f>G17-H8+MAX(0,-H7)</f>
        <v>408.1829337840081</v>
      </c>
      <c r="I17" s="23">
        <f>H17-I8+MAX(0,-I7)</f>
        <v>237.6102450453441</v>
      </c>
      <c r="J17" s="23">
        <f>I17-J8+MAX(0,-J7)</f>
        <v>7.595556306680095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1057.7048315231314</v>
      </c>
    </row>
    <row r="20">
      <c r="A20" s="14" t="inlineStr">
        <is>
          <t>PV of corporate burn</t>
        </is>
      </c>
      <c r="B20" s="23">
        <f>SUMPRODUCT(C6:V6,C15:V15)</f>
        <v>-105.58627628335998</v>
      </c>
    </row>
    <row r="21">
      <c r="A21" s="14" t="inlineStr">
        <is>
          <t>PV of taxes</t>
        </is>
      </c>
      <c r="B21" s="23">
        <f>-SUMPRODUCT(C10:V10,C15:V15)</f>
        <v>-150.6574685015642</v>
      </c>
    </row>
    <row r="22">
      <c r="A22" s="24" t="inlineStr">
        <is>
          <t>Pipeline rNPV (operations)</t>
        </is>
      </c>
      <c r="B22" s="54">
        <f>SUM(C16:V16)</f>
        <v>801.4610867382069</v>
      </c>
    </row>
    <row r="23">
      <c r="A23" s="14" t="inlineStr">
        <is>
          <t>Cash &amp; investments</t>
        </is>
      </c>
      <c r="B23" s="57">
        <f>Main!C7</f>
        <v>138.343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939.8040867382068</v>
      </c>
    </row>
    <row r="26">
      <c r="A26" s="14" t="inlineStr">
        <is>
          <t>Shares (mm)</t>
        </is>
      </c>
      <c r="B26" s="57">
        <f>Main!C4</f>
        <v>201.945709</v>
      </c>
    </row>
    <row r="27">
      <c r="A27" s="24" t="inlineStr">
        <is>
          <t>rNPV / share</t>
        </is>
      </c>
      <c r="B27" s="60">
        <f>B25/B26</f>
        <v>4.653746253841952</v>
      </c>
    </row>
    <row r="28">
      <c r="A28" s="14" t="inlineStr">
        <is>
          <t>Price</t>
        </is>
      </c>
      <c r="B28" s="61">
        <f>Main!C3</f>
        <v>11.98</v>
      </c>
    </row>
    <row r="29">
      <c r="A29" s="14" t="inlineStr">
        <is>
          <t>Upside</t>
        </is>
      </c>
      <c r="B29" s="62">
        <f>B27/B28-1</f>
        <v>-0.611540379478969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2026-10-21T06:22:35Z</dcterms:modified>
  <cp:lastModifiedBy>Wang, Eric</cp:lastModifiedBy>
</cp:coreProperties>
</file>