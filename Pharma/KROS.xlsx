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Keros Therapeutics, Inc.</t>
        </is>
      </c>
      <c r="C2" s="10" t="n"/>
    </row>
    <row r="3">
      <c r="B3" t="inlineStr">
        <is>
          <t>Price</t>
        </is>
      </c>
      <c r="C3" s="11">
        <f>INDEX([1]Pharma!$F$1:$F$1000,MATCH("KROS",[1]Pharma!$B$1:$B$1000,0))</f>
        <v>11.4</v>
      </c>
      <c r="F3" s="1" t="n"/>
    </row>
    <row r="4">
      <c r="B4" t="inlineStr">
        <is>
          <t>Shares</t>
        </is>
      </c>
      <c r="C4" s="21" t="n">
        <v>19.827188</v>
      </c>
      <c r="F4" s="1" t="n"/>
    </row>
    <row r="5">
      <c r="B5" t="inlineStr">
        <is>
          <t>Market Cap.</t>
        </is>
      </c>
      <c r="C5" s="13">
        <f>C3*C4</f>
        <v>226.0299432</v>
      </c>
      <c r="F5" s="1" t="n"/>
    </row>
    <row r="6"/>
    <row r="7">
      <c r="B7" t="inlineStr">
        <is>
          <t>Cash</t>
        </is>
      </c>
      <c r="C7" s="21" t="n">
        <v>257.606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-31.576056800000003</v>
      </c>
    </row>
    <row r="10"/>
    <row r="11">
      <c r="B11" s="14" t="inlineStr">
        <is>
          <t>Net Cash / Share</t>
        </is>
      </c>
      <c r="C11" s="11">
        <f>(C7-C8)/C4</f>
        <v>12.992563544563152</v>
      </c>
    </row>
    <row r="12">
      <c r="B12" s="14" t="inlineStr">
        <is>
          <t>Upside</t>
        </is>
      </c>
      <c r="C12" s="15">
        <f>IFERROR(C11/C3-1,"")</f>
        <v>0.13969855654062746</v>
      </c>
    </row>
    <row r="13">
      <c r="B13" s="14" t="inlineStr">
        <is>
          <t>Cash / Share</t>
        </is>
      </c>
      <c r="C13" s="11">
        <f>IFERROR((C7-C8)/C4,"")</f>
        <v>12.992563544563152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-47.993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5.367574437938866</v>
      </c>
    </row>
    <row r="19">
      <c r="B19" s="14" t="inlineStr">
        <is>
          <t>Implied Pipeline Value</t>
        </is>
      </c>
      <c r="C19" s="13">
        <f>C9</f>
        <v>-31.576056800000003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10</v>
      </c>
      <c r="C2" s="23" t="n">
        <v>0</v>
      </c>
      <c r="D2" s="23" t="n">
        <v>20.1</v>
      </c>
      <c r="E2" s="23" t="n">
        <v>0</v>
      </c>
      <c r="F2" s="23" t="n">
        <v>0.151</v>
      </c>
      <c r="G2" s="23" t="n">
        <v>3.55</v>
      </c>
      <c r="H2" s="23" t="n">
        <v>244.061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10.0</v>
      </c>
      <c r="C4" s="23">
        <f>C2-C3</f>
        <v>0.0</v>
      </c>
      <c r="D4" s="23">
        <f>D2-D3</f>
        <v>20.1</v>
      </c>
      <c r="E4" s="23">
        <f>E2-E3</f>
        <v>0.0</v>
      </c>
      <c r="F4" s="23">
        <f>F2-F3</f>
        <v>0.151</v>
      </c>
      <c r="G4" s="23">
        <f>G2-G3</f>
        <v>3.55</v>
      </c>
      <c r="H4" s="23">
        <f>H2-H3</f>
        <v>244.061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17.379</v>
      </c>
      <c r="C5" s="23" t="n">
        <v>33.86</v>
      </c>
      <c r="D5" s="23" t="n">
        <v>55.143</v>
      </c>
      <c r="E5" s="23" t="n">
        <v>87.265</v>
      </c>
      <c r="F5" s="23" t="n">
        <v>135.258</v>
      </c>
      <c r="G5" s="23" t="n">
        <v>173.629</v>
      </c>
      <c r="H5" s="23" t="n">
        <v>129.643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3.184</v>
      </c>
      <c r="C6" s="23" t="n">
        <v>12.797</v>
      </c>
      <c r="D6" s="23" t="n">
        <v>21.33</v>
      </c>
      <c r="E6" s="23" t="n">
        <v>27.525</v>
      </c>
      <c r="F6" s="23" t="n">
        <v>34.834</v>
      </c>
      <c r="G6" s="23" t="n">
        <v>40.754</v>
      </c>
      <c r="H6" s="23" t="n">
        <v>46.849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20.563000000000002</v>
      </c>
      <c r="C7" s="23">
        <f>SUM(C5:C6)</f>
        <v>46.657</v>
      </c>
      <c r="D7" s="23">
        <f>SUM(D5:D6)</f>
        <v>76.473</v>
      </c>
      <c r="E7" s="23">
        <f>SUM(E5:E6)</f>
        <v>114.78999999999999</v>
      </c>
      <c r="F7" s="23">
        <f>SUM(F5:F6)</f>
        <v>170.092</v>
      </c>
      <c r="G7" s="23">
        <f>SUM(G5:G6)</f>
        <v>214.38299999999998</v>
      </c>
      <c r="H7" s="23">
        <f>SUM(H5:H6)</f>
        <v>176.492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-10.563000000000002</v>
      </c>
      <c r="C8" s="23">
        <f>C4-C7</f>
        <v>-46.657</v>
      </c>
      <c r="D8" s="23">
        <f>D4-D7</f>
        <v>-56.373</v>
      </c>
      <c r="E8" s="23">
        <f>E4-E7</f>
        <v>-114.78999999999999</v>
      </c>
      <c r="F8" s="23">
        <f>F4-F7</f>
        <v>-169.941</v>
      </c>
      <c r="G8" s="23">
        <f>G4-G7</f>
        <v>-210.83299999999997</v>
      </c>
      <c r="H8" s="23">
        <f>H4-H7</f>
        <v>67.56900000000002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-1.773</v>
      </c>
      <c r="C9" s="23" t="n">
        <v>1.124</v>
      </c>
      <c r="D9" s="23" t="n">
        <v>-0.36</v>
      </c>
      <c r="E9" s="23" t="n">
        <v>10.111</v>
      </c>
      <c r="F9" s="23" t="n">
        <v>16.949</v>
      </c>
      <c r="G9" s="23" t="n">
        <v>23.78</v>
      </c>
      <c r="H9" s="23" t="n">
        <v>24.328</v>
      </c>
    </row>
    <row r="10">
      <c r="A10" s="2" t="inlineStr">
        <is>
          <t>Pretax</t>
        </is>
      </c>
      <c r="B10" s="23">
        <f>B8+B9</f>
        <v>-12.336000000000002</v>
      </c>
      <c r="C10" s="23">
        <f>C8+C9</f>
        <v>-45.532999999999994</v>
      </c>
      <c r="D10" s="23">
        <f>D8+D9</f>
        <v>-56.733</v>
      </c>
      <c r="E10" s="23">
        <f>E8+E9</f>
        <v>-104.67899999999999</v>
      </c>
      <c r="F10" s="23">
        <f>F8+F9</f>
        <v>-152.992</v>
      </c>
      <c r="G10" s="23">
        <f>G8+G9</f>
        <v>-187.05299999999997</v>
      </c>
      <c r="H10" s="23">
        <f>H8+H9</f>
        <v>91.89700000000002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-0.172</v>
      </c>
      <c r="D11" s="23" t="n">
        <v>2.011</v>
      </c>
      <c r="E11" s="23" t="n">
        <v>0</v>
      </c>
      <c r="F11" s="23" t="n">
        <v>0</v>
      </c>
      <c r="G11" s="23" t="n">
        <v>0.3</v>
      </c>
      <c r="H11" s="23" t="n">
        <v>4.883</v>
      </c>
    </row>
    <row r="12">
      <c r="A12" s="2" t="inlineStr">
        <is>
          <t>Net Income</t>
        </is>
      </c>
      <c r="B12" s="23" t="n">
        <v>-12.336</v>
      </c>
      <c r="C12" s="23" t="n">
        <v>-45.361</v>
      </c>
      <c r="D12" s="23" t="n">
        <v>-58.744</v>
      </c>
      <c r="E12" s="23" t="n">
        <v>-104.679</v>
      </c>
      <c r="F12" s="23" t="n">
        <v>-152.992</v>
      </c>
      <c r="G12" s="23" t="n">
        <v>-187.353</v>
      </c>
      <c r="H12" s="23" t="n">
        <v>87.014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-5.301246239793726</v>
      </c>
      <c r="C13" s="11">
        <f>IFERROR(C12/C14,0)</f>
        <v>-2.925383722430027</v>
      </c>
      <c r="D13" s="11">
        <f>IFERROR(D12/D14,0)</f>
        <v>-2.5175280706265535</v>
      </c>
      <c r="E13" s="11">
        <f>IFERROR(E12/E14,0)</f>
        <v>-4.14718117348758</v>
      </c>
      <c r="F13" s="11">
        <f>IFERROR(F12/F14,0)</f>
        <v>-5.195503786463816</v>
      </c>
      <c r="G13" s="11">
        <f>IFERROR(G12/G14,0)</f>
        <v>-5.004353865056894</v>
      </c>
      <c r="H13" s="11">
        <f>IFERROR(H12/H14,0)</f>
        <v>2.2983702686283314</v>
      </c>
    </row>
    <row r="14">
      <c r="A14" s="2" t="inlineStr">
        <is>
          <t>Shares</t>
        </is>
      </c>
      <c r="B14" s="23" t="n">
        <v>2.327</v>
      </c>
      <c r="C14" s="23" t="n">
        <v>15.506</v>
      </c>
      <c r="D14" s="23" t="n">
        <v>23.334</v>
      </c>
      <c r="E14" s="23" t="n">
        <v>25.241</v>
      </c>
      <c r="F14" s="23" t="n">
        <v>29.447</v>
      </c>
      <c r="G14" s="23" t="n">
        <v>37.438</v>
      </c>
      <c r="H14" s="23" t="n">
        <v>37.859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>-1.0</v>
      </c>
      <c r="F16" s="15">
        <f>IFERROR(F2/E2-1,"")</f>
        <v/>
      </c>
      <c r="G16" s="15">
        <f>IFERROR(G2/F2-1,"")</f>
        <v>22.509933774834437</v>
      </c>
      <c r="H16" s="15">
        <f>IFERROR(H2/G2-1,"")</f>
        <v>67.74957746478874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>1.0</v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-1.0563000000000002</v>
      </c>
      <c r="C18" s="15">
        <f>IFERROR(C8/C2,"")</f>
        <v/>
      </c>
      <c r="D18" s="15">
        <f>IFERROR(D8/D2,"")</f>
        <v>-2.8046268656716413</v>
      </c>
      <c r="E18" s="15">
        <f>IFERROR(E8/E2,"")</f>
        <v/>
      </c>
      <c r="F18" s="15">
        <f>IFERROR(F8/F2,"")</f>
        <v>-1125.4370860927154</v>
      </c>
      <c r="G18" s="15">
        <f>IFERROR(G8/G2,"")</f>
        <v>-59.38957746478873</v>
      </c>
      <c r="H18" s="15">
        <f>IFERROR(H8/H2,"")</f>
        <v>0.27685291791806155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2026-10-21T01:05:35Z</dcterms:modified>
  <cp:lastModifiedBy>Wang, Eric</cp:lastModifiedBy>
</cp:coreProperties>
</file>