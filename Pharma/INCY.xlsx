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  <sheet name="Options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$#,##0;($#,##0);&quot;-&quot;"/>
    <numFmt numFmtId="175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71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" fontId="7" fillId="2" borderId="0" applyAlignment="1" pivotButton="0" quotePrefix="0" xfId="0">
      <alignment horizontal="right"/>
    </xf>
    <xf numFmtId="1" fontId="8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71" fontId="5" fillId="0" borderId="0" pivotButton="0" quotePrefix="0" xfId="0"/>
    <xf numFmtId="171" fontId="2" fillId="0" borderId="0" pivotButton="0" quotePrefix="0" xfId="0"/>
    <xf numFmtId="0" fontId="3" fillId="2" borderId="0" applyAlignment="1" pivotButton="0" quotePrefix="0" xfId="0">
      <alignment horizontal="center"/>
    </xf>
    <xf numFmtId="3" fontId="5" fillId="0" borderId="0" pivotButton="0" quotePrefix="0" xfId="0"/>
    <xf numFmtId="174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Incyte Corp</t>
        </is>
      </c>
      <c r="C2" s="10" t="n"/>
    </row>
    <row r="3">
      <c r="B3" t="inlineStr">
        <is>
          <t>Price</t>
        </is>
      </c>
      <c r="C3" s="11">
        <f>INDEX([1]Pharma!$F$1:$F$1000,MATCH("INCY",[1]Pharma!$B$1:$B$1000,0))</f>
        <v>116.615</v>
      </c>
      <c r="F3" s="1" t="n"/>
    </row>
    <row r="4">
      <c r="B4" t="inlineStr">
        <is>
          <t>Shares</t>
        </is>
      </c>
      <c r="C4" s="57" t="n">
        <v>199.782155</v>
      </c>
      <c r="F4" s="1" t="n"/>
    </row>
    <row r="5">
      <c r="B5" t="inlineStr">
        <is>
          <t>Market Cap.</t>
        </is>
      </c>
      <c r="C5" s="13">
        <f>C3*C4</f>
        <v>23297.596005325</v>
      </c>
      <c r="F5" s="1" t="n"/>
    </row>
    <row r="6"/>
    <row r="7">
      <c r="B7" t="inlineStr">
        <is>
          <t>Cash</t>
        </is>
      </c>
      <c r="C7" s="57">
        <f>3461.114+554.711</f>
        <v>4015.825</v>
      </c>
    </row>
    <row r="8">
      <c r="B8" t="inlineStr">
        <is>
          <t>Debt</t>
        </is>
      </c>
      <c r="C8" s="57" t="n">
        <v>0</v>
      </c>
    </row>
    <row r="9">
      <c r="B9" t="inlineStr">
        <is>
          <t>Enterprise V.</t>
        </is>
      </c>
      <c r="C9" s="13">
        <f>C5-C7+C8</f>
        <v>19281.771005324998</v>
      </c>
    </row>
    <row r="10"/>
    <row r="11">
      <c r="B11" s="14" t="inlineStr">
        <is>
          <t>NPV / Share</t>
        </is>
      </c>
      <c r="C11" s="11">
        <f>NPV!B28</f>
        <v>88.66765363149035</v>
      </c>
    </row>
    <row r="12">
      <c r="B12" s="14" t="inlineStr">
        <is>
          <t>Upside</t>
        </is>
      </c>
      <c r="C12" s="15">
        <f>IFERROR(C11/C3-1,"")</f>
        <v>-0.23965481600574234</v>
      </c>
    </row>
    <row r="13">
      <c r="B13" s="14" t="inlineStr">
        <is>
          <t>Cash / Share</t>
        </is>
      </c>
      <c r="C13" s="11">
        <f>IFERROR((C7-C8)/C4,"")</f>
        <v>20.101019533000834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Reviewed 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8" t="n">
        <v>9.265000000000001</v>
      </c>
      <c r="C2" s="58" t="n">
        <v>169.878</v>
      </c>
      <c r="D2" s="58" t="n">
        <v>94.455</v>
      </c>
      <c r="E2" s="58" t="n">
        <v>297.059</v>
      </c>
      <c r="F2" s="58" t="n">
        <v>354.947</v>
      </c>
      <c r="G2" s="58" t="n">
        <v>511.495</v>
      </c>
      <c r="H2" s="58" t="n">
        <v>753.751</v>
      </c>
      <c r="I2" s="58" t="n">
        <v>1105.719</v>
      </c>
      <c r="J2" s="58" t="n">
        <v>1536.216</v>
      </c>
      <c r="K2" s="58" t="n">
        <v>1881.883</v>
      </c>
      <c r="L2" s="58" t="n">
        <v>2158.759</v>
      </c>
      <c r="M2" s="58" t="n">
        <v>2666.702</v>
      </c>
      <c r="N2" s="58" t="n">
        <v>2986.267</v>
      </c>
      <c r="O2" s="58" t="n">
        <v>3394.635</v>
      </c>
      <c r="P2" s="58" t="n">
        <v>3695.649</v>
      </c>
      <c r="Q2" s="58" t="n">
        <v>4241.217</v>
      </c>
      <c r="R2" s="58" t="n">
        <v>5141.242</v>
      </c>
      <c r="S2" s="58">
        <f>R2*(1+NPV!C5)</f>
        <v>5758.191040000001</v>
      </c>
      <c r="T2" s="58">
        <f>S2*(1+NPV!D5)</f>
        <v>6046.100592000001</v>
      </c>
      <c r="U2" s="58">
        <f>T2*(1+NPV!E5)</f>
        <v>6227.483609760001</v>
      </c>
      <c r="V2" s="58">
        <f>U2*(1+NPV!F5)</f>
        <v>4483.788199027201</v>
      </c>
      <c r="W2" s="58">
        <f>V2*(1+NPV!G5)</f>
        <v>4125.085143105025</v>
      </c>
      <c r="X2" s="58">
        <f>W2*(1+NPV!H5)</f>
        <v>4372.590251691327</v>
      </c>
      <c r="Y2" s="58">
        <f>X2*(1+NPV!I5)</f>
        <v>4634.945666792806</v>
      </c>
      <c r="Z2" s="58">
        <f>Y2*(1+NPV!J5)</f>
        <v>4866.692950132447</v>
      </c>
      <c r="AA2" s="58">
        <f>Z2*(1+NPV!K5)</f>
        <v>5061.360668137745</v>
      </c>
      <c r="AB2" s="58">
        <f>AA2*(1+NPV!L5)</f>
        <v>5213.201488181878</v>
      </c>
    </row>
    <row r="3" customFormat="1" s="1">
      <c r="A3" s="5" t="inlineStr">
        <is>
          <t>Cost of Sales</t>
        </is>
      </c>
      <c r="B3" s="58" t="n">
        <v>0</v>
      </c>
      <c r="C3" s="58" t="n">
        <v>0</v>
      </c>
      <c r="D3" s="58" t="n">
        <v>0</v>
      </c>
      <c r="E3" s="58" t="n">
        <v>0.157</v>
      </c>
      <c r="F3" s="58" t="n">
        <v>0.63</v>
      </c>
      <c r="G3" s="58" t="n">
        <v>3.004</v>
      </c>
      <c r="H3" s="58" t="n">
        <v>26.972</v>
      </c>
      <c r="I3" s="58" t="n">
        <v>58.187</v>
      </c>
      <c r="J3" s="58" t="n">
        <v>79.479</v>
      </c>
      <c r="K3" s="58" t="n">
        <v>94.123</v>
      </c>
      <c r="L3" s="58" t="n">
        <v>114.249</v>
      </c>
      <c r="M3" s="58" t="n">
        <v>131.328</v>
      </c>
      <c r="N3" s="58" t="n">
        <v>150.991</v>
      </c>
      <c r="O3" s="58" t="n">
        <v>206.997</v>
      </c>
      <c r="P3" s="58" t="n">
        <v>254.99</v>
      </c>
      <c r="Q3" s="58" t="n">
        <v>312.068</v>
      </c>
      <c r="R3" s="58" t="n">
        <v>372.13</v>
      </c>
      <c r="S3" s="58">
        <f>S2*(1-Assumptions!$B$19)</f>
        <v>416.8930312960002</v>
      </c>
      <c r="T3" s="58">
        <f>T2*(1-Assumptions!$B$19)</f>
        <v>437.7376828608002</v>
      </c>
      <c r="U3" s="58">
        <f>U2*(1-Assumptions!$B$19)</f>
        <v>450.8698133466242</v>
      </c>
      <c r="V3" s="58">
        <f>V2*(1-Assumptions!$B$19)</f>
        <v>324.62626560956943</v>
      </c>
      <c r="W3" s="58">
        <f>W2*(1-Assumptions!$B$19)</f>
        <v>298.65616436080387</v>
      </c>
      <c r="X3" s="58">
        <f>X2*(1-Assumptions!$B$19)</f>
        <v>316.5755342224521</v>
      </c>
      <c r="Y3" s="58">
        <f>Y2*(1-Assumptions!$B$19)</f>
        <v>335.57006627579926</v>
      </c>
      <c r="Z3" s="58">
        <f>Z2*(1-Assumptions!$B$19)</f>
        <v>352.34856958958926</v>
      </c>
      <c r="AA3" s="58">
        <f>AA2*(1-Assumptions!$B$19)</f>
        <v>366.44251237317286</v>
      </c>
      <c r="AB3" s="58">
        <f>AB2*(1-Assumptions!$B$19)</f>
        <v>377.43578774436804</v>
      </c>
    </row>
    <row r="4" customFormat="1" s="1">
      <c r="A4" s="5" t="inlineStr">
        <is>
          <t>Gross Margin</t>
        </is>
      </c>
      <c r="B4" s="58">
        <f>B2-B3</f>
        <v>9.265</v>
      </c>
      <c r="C4" s="58">
        <f>C2-C3</f>
        <v>169.878</v>
      </c>
      <c r="D4" s="58">
        <f>D2-D3</f>
        <v>94.455</v>
      </c>
      <c r="E4" s="58">
        <f>E2-E3</f>
        <v>296.90200000000004</v>
      </c>
      <c r="F4" s="58">
        <f>F2-F3</f>
        <v>354.317</v>
      </c>
      <c r="G4" s="58">
        <f>G2-G3</f>
        <v>508.491</v>
      </c>
      <c r="H4" s="58">
        <f>H2-H3</f>
        <v>726.779</v>
      </c>
      <c r="I4" s="58">
        <f>I2-I3</f>
        <v>1047.5320000000002</v>
      </c>
      <c r="J4" s="58">
        <f>J2-J3</f>
        <v>1456.7369999999999</v>
      </c>
      <c r="K4" s="58">
        <f>K2-K3</f>
        <v>1787.76</v>
      </c>
      <c r="L4" s="58">
        <f>L2-L3</f>
        <v>2044.51</v>
      </c>
      <c r="M4" s="58">
        <f>M2-M3</f>
        <v>2535.3740000000003</v>
      </c>
      <c r="N4" s="58">
        <f>N2-N3</f>
        <v>2835.276</v>
      </c>
      <c r="O4" s="58">
        <f>O2-O3</f>
        <v>3187.6380000000004</v>
      </c>
      <c r="P4" s="58">
        <f>P2-P3</f>
        <v>3440.6589999999997</v>
      </c>
      <c r="Q4" s="58">
        <f>Q2-Q3</f>
        <v>3929.1489999999994</v>
      </c>
      <c r="R4" s="58">
        <f>R2-R3</f>
        <v>4769.112</v>
      </c>
      <c r="S4" s="58">
        <f>S2-S3</f>
        <v>5341.2980087040005</v>
      </c>
      <c r="T4" s="58">
        <f>T2-T3</f>
        <v>5608.3629091392</v>
      </c>
      <c r="U4" s="58">
        <f>U2-U3</f>
        <v>5776.613796413377</v>
      </c>
      <c r="V4" s="58">
        <f>V2-V3</f>
        <v>4159.161933417631</v>
      </c>
      <c r="W4" s="58">
        <f>W2-W3</f>
        <v>3826.4289787442212</v>
      </c>
      <c r="X4" s="58">
        <f>X2-X3</f>
        <v>4056.0147174688746</v>
      </c>
      <c r="Y4" s="58">
        <f>Y2-Y3</f>
        <v>4299.375600517007</v>
      </c>
      <c r="Z4" s="58">
        <f>Z2-Z3</f>
        <v>4514.344380542858</v>
      </c>
      <c r="AA4" s="58">
        <f>AA2-AA3</f>
        <v>4694.9181557645725</v>
      </c>
      <c r="AB4" s="58">
        <f>AB2-AB3</f>
        <v>4835.76570043751</v>
      </c>
    </row>
    <row r="5">
      <c r="A5" s="2" t="inlineStr">
        <is>
          <t>Research &amp; Dev.</t>
        </is>
      </c>
      <c r="B5" s="58" t="n">
        <v>119.442</v>
      </c>
      <c r="C5" s="58" t="n">
        <v>123.88</v>
      </c>
      <c r="D5" s="58" t="n">
        <v>178.707</v>
      </c>
      <c r="E5" s="58" t="n">
        <v>210.391</v>
      </c>
      <c r="F5" s="58" t="n">
        <v>260.436</v>
      </c>
      <c r="G5" s="58" t="n">
        <v>347.523</v>
      </c>
      <c r="H5" s="58" t="n">
        <v>479.514</v>
      </c>
      <c r="I5" s="58" t="n">
        <v>581.861</v>
      </c>
      <c r="J5" s="58" t="n">
        <v>1326.134</v>
      </c>
      <c r="K5" s="58" t="n">
        <v>1197.957</v>
      </c>
      <c r="L5" s="58" t="n">
        <v>1154.111</v>
      </c>
      <c r="M5" s="58" t="n">
        <v>2215.942</v>
      </c>
      <c r="N5" s="58" t="n">
        <v>1458.179</v>
      </c>
      <c r="O5" s="58" t="n">
        <v>1585.936</v>
      </c>
      <c r="P5" s="58" t="n">
        <v>1627.594</v>
      </c>
      <c r="Q5" s="58" t="n">
        <v>2606.848</v>
      </c>
      <c r="R5" s="58" t="n">
        <v>2050.152</v>
      </c>
      <c r="S5" s="58">
        <f>S7*Assumptions!$B$20</f>
        <v>2311.3637953156804</v>
      </c>
      <c r="T5" s="58">
        <f>T7*Assumptions!$B$20</f>
        <v>2465.212870979712</v>
      </c>
      <c r="U5" s="58">
        <f>U7*Assumptions!$B$20</f>
        <v>2578.598569584299</v>
      </c>
      <c r="V5" s="58">
        <f>V7*Assumptions!$B$20</f>
        <v>1884.980075082836</v>
      </c>
      <c r="W5" s="58">
        <f>W7*Assumptions!$B$20</f>
        <v>1760.299645659779</v>
      </c>
      <c r="X5" s="58">
        <f>X7*Assumptions!$B$20</f>
        <v>1893.6026795779492</v>
      </c>
      <c r="Y5" s="58">
        <f>Y7*Assumptions!$B$20</f>
        <v>2036.5649988419248</v>
      </c>
      <c r="Z5" s="58">
        <f>Z7*Assumptions!$B$20</f>
        <v>2169.206715197785</v>
      </c>
      <c r="AA5" s="58">
        <f>AA7*Assumptions!$B$20</f>
        <v>2288.0209888760105</v>
      </c>
      <c r="AB5" s="58">
        <f>AB7*Assumptions!$B$20</f>
        <v>2389.6690037647145</v>
      </c>
    </row>
    <row r="6">
      <c r="A6" s="18" t="inlineStr">
        <is>
          <t>SG&amp;A &amp; Other</t>
        </is>
      </c>
      <c r="B6" s="58" t="n">
        <v>29.591</v>
      </c>
      <c r="C6" s="58" t="n">
        <v>31.949</v>
      </c>
      <c r="D6" s="58" t="n">
        <v>58.931</v>
      </c>
      <c r="E6" s="58" t="n">
        <v>85.363</v>
      </c>
      <c r="F6" s="58" t="n">
        <v>109.983</v>
      </c>
      <c r="G6" s="58" t="n">
        <v>165.772</v>
      </c>
      <c r="H6" s="58" t="n">
        <v>196.614</v>
      </c>
      <c r="I6" s="58" t="n">
        <v>320.673</v>
      </c>
      <c r="J6" s="58" t="n">
        <v>373.99</v>
      </c>
      <c r="K6" s="58" t="n">
        <v>460.58</v>
      </c>
      <c r="L6" s="58" t="n">
        <v>488.393</v>
      </c>
      <c r="M6" s="58" t="n">
        <v>583.1079999999999</v>
      </c>
      <c r="N6" s="58" t="n">
        <v>791.3200000000001</v>
      </c>
      <c r="O6" s="58" t="n">
        <v>1022.262</v>
      </c>
      <c r="P6" s="58" t="n">
        <v>1192.54</v>
      </c>
      <c r="Q6" s="58" t="n">
        <v>1260.935</v>
      </c>
      <c r="R6" s="58" t="n">
        <v>1204.101</v>
      </c>
      <c r="S6" s="58">
        <f>S7-S5</f>
        <v>1357.4676258203199</v>
      </c>
      <c r="T6" s="58">
        <f>T7-T5</f>
        <v>1447.8234321626883</v>
      </c>
      <c r="U6" s="58">
        <f>U7-U5</f>
        <v>1514.4150329304612</v>
      </c>
      <c r="V6" s="58">
        <f>V7-V5</f>
        <v>1107.0517901280148</v>
      </c>
      <c r="W6" s="58">
        <f>W7-W5</f>
        <v>1033.8267760224098</v>
      </c>
      <c r="X6" s="58">
        <f>X7-X5</f>
        <v>1112.1158594346687</v>
      </c>
      <c r="Y6" s="58">
        <f>Y7-Y5</f>
        <v>1196.0778564627178</v>
      </c>
      <c r="Z6" s="58">
        <f>Z7-Z5</f>
        <v>1273.9785470209213</v>
      </c>
      <c r="AA6" s="58">
        <f>AA7-AA5</f>
        <v>1343.7583585462285</v>
      </c>
      <c r="AB6" s="58">
        <f>AB7-AB5</f>
        <v>1403.4563990364195</v>
      </c>
    </row>
    <row r="7">
      <c r="A7" s="2" t="inlineStr">
        <is>
          <t>Operating Expense</t>
        </is>
      </c>
      <c r="B7" s="58">
        <f>SUM(B5:B6)</f>
        <v>149.033</v>
      </c>
      <c r="C7" s="58">
        <f>SUM(C5:C6)</f>
        <v>155.829</v>
      </c>
      <c r="D7" s="58">
        <f>SUM(D5:D6)</f>
        <v>237.63799999999998</v>
      </c>
      <c r="E7" s="58">
        <f>SUM(E5:E6)</f>
        <v>295.754</v>
      </c>
      <c r="F7" s="58">
        <f>SUM(F5:F6)</f>
        <v>370.419</v>
      </c>
      <c r="G7" s="58">
        <f>SUM(G5:G6)</f>
        <v>513.2950000000001</v>
      </c>
      <c r="H7" s="58">
        <f>SUM(H5:H6)</f>
        <v>676.128</v>
      </c>
      <c r="I7" s="58">
        <f>SUM(I5:I6)</f>
        <v>902.534</v>
      </c>
      <c r="J7" s="58">
        <f>SUM(J5:J6)</f>
        <v>1700.124</v>
      </c>
      <c r="K7" s="58">
        <f>SUM(K5:K6)</f>
        <v>1658.537</v>
      </c>
      <c r="L7" s="58">
        <f>SUM(L5:L6)</f>
        <v>1642.5040000000001</v>
      </c>
      <c r="M7" s="58">
        <f>SUM(M5:M6)</f>
        <v>2799.05</v>
      </c>
      <c r="N7" s="58">
        <f>SUM(N5:N6)</f>
        <v>2249.4990000000003</v>
      </c>
      <c r="O7" s="58">
        <f>SUM(O5:O6)</f>
        <v>2608.198</v>
      </c>
      <c r="P7" s="58">
        <f>SUM(P5:P6)</f>
        <v>2820.134</v>
      </c>
      <c r="Q7" s="58">
        <f>SUM(Q5:Q6)</f>
        <v>3867.783</v>
      </c>
      <c r="R7" s="58">
        <f>SUM(R5:R6)</f>
        <v>3254.253</v>
      </c>
      <c r="S7" s="58">
        <f>S4-S2*NPV!C6</f>
        <v>3668.8314211360002</v>
      </c>
      <c r="T7" s="58">
        <f>T4-T2*NPV!D6</f>
        <v>3913.0363031424004</v>
      </c>
      <c r="U7" s="58">
        <f>U4-U2*NPV!E6</f>
        <v>4093.0136025147604</v>
      </c>
      <c r="V7" s="58">
        <f>V4-V2*NPV!F6</f>
        <v>2992.031865210851</v>
      </c>
      <c r="W7" s="58">
        <f>W4-W2*NPV!G6</f>
        <v>2794.1264216821887</v>
      </c>
      <c r="X7" s="58">
        <f>X4-X2*NPV!H6</f>
        <v>3005.718539012618</v>
      </c>
      <c r="Y7" s="58">
        <f>Y4-Y2*NPV!I6</f>
        <v>3232.6428553046426</v>
      </c>
      <c r="Z7" s="58">
        <f>Z4-Z2*NPV!J6</f>
        <v>3443.185262218706</v>
      </c>
      <c r="AA7" s="58">
        <f>AA4-AA2*NPV!K6</f>
        <v>3631.779347422239</v>
      </c>
      <c r="AB7" s="58">
        <f>AB4-AB2*NPV!L6</f>
        <v>3793.125402801134</v>
      </c>
    </row>
    <row r="8">
      <c r="A8" s="2" t="inlineStr">
        <is>
          <t>Operating Income</t>
        </is>
      </c>
      <c r="B8" s="58">
        <f>B4-B7</f>
        <v>-139.76799999999997</v>
      </c>
      <c r="C8" s="58">
        <f>C4-C7</f>
        <v>14.048999999999978</v>
      </c>
      <c r="D8" s="58">
        <f>D4-D7</f>
        <v>-143.183</v>
      </c>
      <c r="E8" s="58">
        <f>E4-E7</f>
        <v>1.1480000000000246</v>
      </c>
      <c r="F8" s="58">
        <f>F4-F7</f>
        <v>-16.101999999999975</v>
      </c>
      <c r="G8" s="58">
        <f>G4-G7</f>
        <v>-4.804000000000087</v>
      </c>
      <c r="H8" s="58">
        <f>H4-H7</f>
        <v>50.650999999999954</v>
      </c>
      <c r="I8" s="58">
        <f>I4-I7</f>
        <v>144.99800000000016</v>
      </c>
      <c r="J8" s="58">
        <f>J4-J7</f>
        <v>-243.38700000000017</v>
      </c>
      <c r="K8" s="58">
        <f>K4-K7</f>
        <v>129.22299999999996</v>
      </c>
      <c r="L8" s="58">
        <f>L4-L7</f>
        <v>402.00599999999986</v>
      </c>
      <c r="M8" s="58">
        <f>M4-M7</f>
        <v>-263.67599999999993</v>
      </c>
      <c r="N8" s="58">
        <f>N4-N7</f>
        <v>585.7769999999996</v>
      </c>
      <c r="O8" s="58">
        <f>O4-O7</f>
        <v>579.4400000000005</v>
      </c>
      <c r="P8" s="58">
        <f>P4-P7</f>
        <v>620.5249999999996</v>
      </c>
      <c r="Q8" s="58">
        <f>Q4-Q7</f>
        <v>61.36599999999953</v>
      </c>
      <c r="R8" s="58">
        <f>R4-R7</f>
        <v>1514.859</v>
      </c>
      <c r="S8" s="58">
        <f>S4-S7</f>
        <v>1672.4665875680003</v>
      </c>
      <c r="T8" s="58">
        <f>T4-T7</f>
        <v>1695.3266059968</v>
      </c>
      <c r="U8" s="58">
        <f>U4-U7</f>
        <v>1683.6001938986165</v>
      </c>
      <c r="V8" s="58">
        <f>V4-V7</f>
        <v>1167.1300682067804</v>
      </c>
      <c r="W8" s="58">
        <f>W4-W7</f>
        <v>1032.3025570620325</v>
      </c>
      <c r="X8" s="58">
        <f>X4-X7</f>
        <v>1050.2961784562567</v>
      </c>
      <c r="Y8" s="58">
        <f>Y4-Y7</f>
        <v>1066.7327452123645</v>
      </c>
      <c r="Z8" s="58">
        <f>Z4-Z7</f>
        <v>1071.1591183241517</v>
      </c>
      <c r="AA8" s="58">
        <f>AA4-AA7</f>
        <v>1063.1388083423335</v>
      </c>
      <c r="AB8" s="58">
        <f>AB4-AB7</f>
        <v>1042.6402976363756</v>
      </c>
    </row>
    <row r="9">
      <c r="A9" s="18" t="inlineStr">
        <is>
          <t>Interest &amp; Other</t>
        </is>
      </c>
      <c r="B9" s="58" t="n">
        <v>-72.102</v>
      </c>
      <c r="C9" s="58" t="n">
        <v>-45.895</v>
      </c>
      <c r="D9" s="58" t="n">
        <v>-43.357</v>
      </c>
      <c r="E9" s="58" t="n">
        <v>-45.294</v>
      </c>
      <c r="F9" s="58" t="n">
        <v>-66.746</v>
      </c>
      <c r="G9" s="58" t="n">
        <v>-43.743</v>
      </c>
      <c r="H9" s="58" t="n">
        <v>-43.095</v>
      </c>
      <c r="I9" s="58" t="n">
        <v>-37.594</v>
      </c>
      <c r="J9" s="58" t="n">
        <v>-68.90300000000001</v>
      </c>
      <c r="K9" s="58" t="n">
        <v>-13.876</v>
      </c>
      <c r="L9" s="58" t="n">
        <v>84.785</v>
      </c>
      <c r="M9" s="58" t="n">
        <v>31.458</v>
      </c>
      <c r="N9" s="58" t="n">
        <v>-15.314</v>
      </c>
      <c r="O9" s="58" t="n">
        <v>-50.284</v>
      </c>
      <c r="P9" s="58" t="n">
        <v>213.691</v>
      </c>
      <c r="Q9" s="58" t="n">
        <v>255.249</v>
      </c>
      <c r="R9" s="58" t="n">
        <v>149.642</v>
      </c>
      <c r="S9" s="58" t="n">
        <v>0</v>
      </c>
      <c r="T9" s="58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</row>
    <row r="10">
      <c r="A10" s="2" t="inlineStr">
        <is>
          <t>Pretax</t>
        </is>
      </c>
      <c r="B10" s="58">
        <f>B8+B9</f>
        <v>-211.86999999999998</v>
      </c>
      <c r="C10" s="58">
        <f>C8+C9</f>
        <v>-31.846000000000025</v>
      </c>
      <c r="D10" s="58">
        <f>D8+D9</f>
        <v>-186.54</v>
      </c>
      <c r="E10" s="58">
        <f>E8+E9</f>
        <v>-44.14599999999997</v>
      </c>
      <c r="F10" s="58">
        <f>F8+F9</f>
        <v>-82.84799999999997</v>
      </c>
      <c r="G10" s="58">
        <f>G8+G9</f>
        <v>-48.54700000000009</v>
      </c>
      <c r="H10" s="58">
        <f>H8+H9</f>
        <v>7.555999999999955</v>
      </c>
      <c r="I10" s="58">
        <f>I8+I9</f>
        <v>107.40400000000017</v>
      </c>
      <c r="J10" s="58">
        <f>J8+J9</f>
        <v>-312.2900000000002</v>
      </c>
      <c r="K10" s="58">
        <f>K8+K9</f>
        <v>115.34699999999995</v>
      </c>
      <c r="L10" s="58">
        <f>L8+L9</f>
        <v>486.7909999999998</v>
      </c>
      <c r="M10" s="58">
        <f>M8+M9</f>
        <v>-232.21799999999993</v>
      </c>
      <c r="N10" s="58">
        <f>N8+N9</f>
        <v>570.4629999999996</v>
      </c>
      <c r="O10" s="58">
        <f>O8+O9</f>
        <v>529.1560000000005</v>
      </c>
      <c r="P10" s="58">
        <f>P8+P9</f>
        <v>834.2159999999997</v>
      </c>
      <c r="Q10" s="58">
        <f>Q8+Q9</f>
        <v>316.61499999999955</v>
      </c>
      <c r="R10" s="58">
        <f>R8+R9</f>
        <v>1664.501</v>
      </c>
      <c r="S10" s="58">
        <f>S8+S9</f>
        <v>1672.4665875680003</v>
      </c>
      <c r="T10" s="58">
        <f>T8+T9</f>
        <v>1695.3266059968</v>
      </c>
      <c r="U10" s="58">
        <f>U8+U9</f>
        <v>1683.6001938986165</v>
      </c>
      <c r="V10" s="58">
        <f>V8+V9</f>
        <v>1167.1300682067804</v>
      </c>
      <c r="W10" s="58">
        <f>W8+W9</f>
        <v>1032.3025570620325</v>
      </c>
      <c r="X10" s="58">
        <f>X8+X9</f>
        <v>1050.2961784562567</v>
      </c>
      <c r="Y10" s="58">
        <f>Y8+Y9</f>
        <v>1066.7327452123645</v>
      </c>
      <c r="Z10" s="58">
        <f>Z8+Z9</f>
        <v>1071.1591183241517</v>
      </c>
      <c r="AA10" s="58">
        <f>AA8+AA9</f>
        <v>1063.1388083423335</v>
      </c>
      <c r="AB10" s="58">
        <f>AB8+AB9</f>
        <v>1042.6402976363756</v>
      </c>
    </row>
    <row r="11">
      <c r="A11" s="2" t="inlineStr">
        <is>
          <t>Taxes</t>
        </is>
      </c>
      <c r="B11" s="58" t="n">
        <v>0</v>
      </c>
      <c r="C11" s="58" t="n">
        <v>0</v>
      </c>
      <c r="D11" s="58" t="n">
        <v>0</v>
      </c>
      <c r="E11" s="58" t="n">
        <v>0.174</v>
      </c>
      <c r="F11" s="58" t="n">
        <v>0.299</v>
      </c>
      <c r="G11" s="58" t="n">
        <v>-0.066</v>
      </c>
      <c r="H11" s="58" t="n">
        <v>1.025</v>
      </c>
      <c r="I11" s="58" t="n">
        <v>3.182</v>
      </c>
      <c r="J11" s="58" t="n">
        <v>0.852</v>
      </c>
      <c r="K11" s="58" t="n">
        <v>5.854</v>
      </c>
      <c r="L11" s="58" t="n">
        <v>39.885</v>
      </c>
      <c r="M11" s="58" t="n">
        <v>63.479</v>
      </c>
      <c r="N11" s="58" t="n">
        <v>-378.137</v>
      </c>
      <c r="O11" s="58" t="n">
        <v>188.456</v>
      </c>
      <c r="P11" s="58" t="n">
        <v>236.616</v>
      </c>
      <c r="Q11" s="58" t="n">
        <v>284.015</v>
      </c>
      <c r="R11" s="58" t="n">
        <v>377.801</v>
      </c>
      <c r="S11" s="58">
        <f>MAX(0,S10)*Assumptions!$E$14</f>
        <v>284.31931988656004</v>
      </c>
      <c r="T11" s="58">
        <f>MAX(0,T10)*Assumptions!$E$14</f>
        <v>288.20552301945605</v>
      </c>
      <c r="U11" s="58">
        <f>MAX(0,U10)*Assumptions!$E$14</f>
        <v>286.2120329627648</v>
      </c>
      <c r="V11" s="58">
        <f>MAX(0,V10)*Assumptions!$E$14</f>
        <v>198.41211159515268</v>
      </c>
      <c r="W11" s="58">
        <f>MAX(0,W10)*Assumptions!$E$14</f>
        <v>175.49143470054554</v>
      </c>
      <c r="X11" s="58">
        <f>MAX(0,X10)*Assumptions!$E$14</f>
        <v>178.55035033756366</v>
      </c>
      <c r="Y11" s="58">
        <f>MAX(0,Y10)*Assumptions!$E$14</f>
        <v>181.34456668610198</v>
      </c>
      <c r="Z11" s="58">
        <f>MAX(0,Z10)*Assumptions!$E$14</f>
        <v>182.0970501151058</v>
      </c>
      <c r="AA11" s="58">
        <f>MAX(0,AA10)*Assumptions!$E$14</f>
        <v>180.7335974181967</v>
      </c>
      <c r="AB11" s="58">
        <f>MAX(0,AB10)*Assumptions!$E$14</f>
        <v>177.24885059818388</v>
      </c>
    </row>
    <row r="12">
      <c r="A12" s="2" t="inlineStr">
        <is>
          <t>Net Income</t>
        </is>
      </c>
      <c r="B12" s="58" t="n">
        <v>-211.87</v>
      </c>
      <c r="C12" s="58" t="n">
        <v>-31.846</v>
      </c>
      <c r="D12" s="58" t="n">
        <v>-186.54</v>
      </c>
      <c r="E12" s="58" t="n">
        <v>-44.32</v>
      </c>
      <c r="F12" s="58" t="n">
        <v>-83.14700000000001</v>
      </c>
      <c r="G12" s="58" t="n">
        <v>-48.481</v>
      </c>
      <c r="H12" s="58" t="n">
        <v>6.531</v>
      </c>
      <c r="I12" s="58" t="n">
        <v>104.222</v>
      </c>
      <c r="J12" s="58" t="n">
        <v>-313.142</v>
      </c>
      <c r="K12" s="58" t="n">
        <v>109.493</v>
      </c>
      <c r="L12" s="58" t="n">
        <v>446.906</v>
      </c>
      <c r="M12" s="58" t="n">
        <v>-295.697</v>
      </c>
      <c r="N12" s="58" t="n">
        <v>948.6</v>
      </c>
      <c r="O12" s="58" t="n">
        <v>340.7</v>
      </c>
      <c r="P12" s="58" t="n">
        <v>597.6</v>
      </c>
      <c r="Q12" s="58" t="n">
        <v>32.6</v>
      </c>
      <c r="R12" s="58" t="n">
        <v>1286.7</v>
      </c>
      <c r="S12" s="58">
        <f>S10-S11</f>
        <v>1388.14726768144</v>
      </c>
      <c r="T12" s="58">
        <f>T10-T11</f>
        <v>1407.121082977344</v>
      </c>
      <c r="U12" s="58">
        <f>U10-U11</f>
        <v>1397.3881609358516</v>
      </c>
      <c r="V12" s="58">
        <f>V10-V11</f>
        <v>968.7179566116276</v>
      </c>
      <c r="W12" s="58">
        <f>W10-W11</f>
        <v>856.8111223614869</v>
      </c>
      <c r="X12" s="58">
        <f>X10-X11</f>
        <v>871.745828118693</v>
      </c>
      <c r="Y12" s="58">
        <f>Y10-Y11</f>
        <v>885.3881785262625</v>
      </c>
      <c r="Z12" s="58">
        <f>Z10-Z11</f>
        <v>889.062068209046</v>
      </c>
      <c r="AA12" s="58">
        <f>AA10-AA11</f>
        <v>882.4052109241368</v>
      </c>
      <c r="AB12" s="58">
        <f>AB10-AB11</f>
        <v>865.3914470381917</v>
      </c>
    </row>
    <row r="13">
      <c r="A13" s="2" t="inlineStr">
        <is>
          <t>Earnings per Share</t>
        </is>
      </c>
      <c r="B13" s="11">
        <f>IFERROR(B12/B14,0)</f>
        <v>-2.058129255996037</v>
      </c>
      <c r="C13" s="11">
        <f>IFERROR(C12/C14,0)</f>
        <v>-0.26183115729930606</v>
      </c>
      <c r="D13" s="11">
        <f>IFERROR(D12/D14,0)</f>
        <v>-1.4880107209521227</v>
      </c>
      <c r="E13" s="11">
        <f>IFERROR(E12/E14,0)</f>
        <v>-0.34158785944954406</v>
      </c>
      <c r="F13" s="11">
        <f>IFERROR(F12/F14,0)</f>
        <v>-0.5602784310290224</v>
      </c>
      <c r="G13" s="11">
        <f>IFERROR(G12/G14,0)</f>
        <v>-0.28866844897497423</v>
      </c>
      <c r="H13" s="11">
        <f>IFERROR(H12/H14,0)</f>
        <v>0.0348688214754781</v>
      </c>
      <c r="I13" s="11">
        <f>IFERROR(I12/I14,0)</f>
        <v>0.5368808757244043</v>
      </c>
      <c r="J13" s="11">
        <f>IFERROR(J12/J14,0)</f>
        <v>-1.5306579333268158</v>
      </c>
      <c r="K13" s="11">
        <f>IFERROR(K12/K14,0)</f>
        <v>0.5077700744313307</v>
      </c>
      <c r="L13" s="11">
        <f>IFERROR(L12/L14,0)</f>
        <v>2.0532581079404753</v>
      </c>
      <c r="M13" s="11">
        <f>IFERROR(M12/M14,0)</f>
        <v>-1.3559541988233297</v>
      </c>
      <c r="N13" s="11">
        <f>IFERROR(N12/N14,0)</f>
        <v>4.271549123265218</v>
      </c>
      <c r="O13" s="11">
        <f>IFERROR(O12/O14,0)</f>
        <v>1.5212673804909849</v>
      </c>
      <c r="P13" s="11">
        <f>IFERROR(P12/P14,0)</f>
        <v>2.6450904713005916</v>
      </c>
      <c r="Q13" s="11">
        <f>IFERROR(Q12/Q14,0)</f>
        <v>0.154847290172422</v>
      </c>
      <c r="R13" s="11">
        <f>IFERROR(R12/R14,0)</f>
        <v>6.411061285500748</v>
      </c>
      <c r="S13" s="11">
        <f>IFERROR(S12/S14,0)</f>
        <v>6.948304605491117</v>
      </c>
      <c r="T13" s="11">
        <f>IFERROR(T12/T14,0)</f>
        <v>7.04327712841692</v>
      </c>
      <c r="U13" s="11">
        <f>IFERROR(U12/U14,0)</f>
        <v>6.994559453700215</v>
      </c>
      <c r="V13" s="11">
        <f>IFERROR(V12/V14,0)</f>
        <v>4.84887129489432</v>
      </c>
      <c r="W13" s="11">
        <f>IFERROR(W12/W14,0)</f>
        <v>4.288727000474527</v>
      </c>
      <c r="X13" s="11">
        <f>IFERROR(X12/X14,0)</f>
        <v>4.363481954225056</v>
      </c>
      <c r="Y13" s="11">
        <f>IFERROR(Y12/Y14,0)</f>
        <v>4.431768085223941</v>
      </c>
      <c r="Z13" s="11">
        <f>IFERROR(Z12/Z14,0)</f>
        <v>4.450157563917788</v>
      </c>
      <c r="AA13" s="11">
        <f>IFERROR(AA12/AA14,0)</f>
        <v>4.416836983884456</v>
      </c>
      <c r="AB13" s="11">
        <f>IFERROR(AB12/AB14,0)</f>
        <v>4.331675404333244</v>
      </c>
    </row>
    <row r="14">
      <c r="A14" s="2" t="inlineStr">
        <is>
          <t>Shares</t>
        </is>
      </c>
      <c r="B14" s="58" t="n">
        <v>102.943</v>
      </c>
      <c r="C14" s="58" t="n">
        <v>121.628</v>
      </c>
      <c r="D14" s="58" t="n">
        <v>125.362</v>
      </c>
      <c r="E14" s="58" t="n">
        <v>129.747</v>
      </c>
      <c r="F14" s="58" t="n">
        <v>148.403</v>
      </c>
      <c r="G14" s="58" t="n">
        <v>167.947</v>
      </c>
      <c r="H14" s="58" t="n">
        <v>187.302</v>
      </c>
      <c r="I14" s="58" t="n">
        <v>194.125</v>
      </c>
      <c r="J14" s="58" t="n">
        <v>204.58</v>
      </c>
      <c r="K14" s="58" t="n">
        <v>215.635</v>
      </c>
      <c r="L14" s="58" t="n">
        <v>217.657</v>
      </c>
      <c r="M14" s="58" t="n">
        <v>218.073</v>
      </c>
      <c r="N14" s="58" t="n">
        <v>222.074</v>
      </c>
      <c r="O14" s="58" t="n">
        <v>223.958</v>
      </c>
      <c r="P14" s="58" t="n">
        <v>225.928</v>
      </c>
      <c r="Q14" s="58" t="n">
        <v>210.53</v>
      </c>
      <c r="R14" s="58" t="n">
        <v>200.7</v>
      </c>
      <c r="S14" s="58">
        <f>Main!$C$4</f>
        <v>199.782155</v>
      </c>
      <c r="T14" s="58">
        <f>Main!$C$4</f>
        <v>199.782155</v>
      </c>
      <c r="U14" s="58">
        <f>Main!$C$4</f>
        <v>199.782155</v>
      </c>
      <c r="V14" s="58">
        <f>Main!$C$4</f>
        <v>199.782155</v>
      </c>
      <c r="W14" s="58">
        <f>Main!$C$4</f>
        <v>199.782155</v>
      </c>
      <c r="X14" s="58">
        <f>Main!$C$4</f>
        <v>199.782155</v>
      </c>
      <c r="Y14" s="58">
        <f>Main!$C$4</f>
        <v>199.782155</v>
      </c>
      <c r="Z14" s="58">
        <f>Main!$C$4</f>
        <v>199.782155</v>
      </c>
      <c r="AA14" s="58">
        <f>Main!$C$4</f>
        <v>199.782155</v>
      </c>
      <c r="AB14" s="58">
        <f>Main!$C$4</f>
        <v>199.782155</v>
      </c>
    </row>
    <row r="15"/>
    <row r="16" customFormat="1" s="4">
      <c r="A16" s="3" t="inlineStr">
        <is>
          <t>Revenue Change</t>
        </is>
      </c>
      <c r="C16" s="15">
        <f>IFERROR(C2/B2-1,"")</f>
        <v>17.33545601726929</v>
      </c>
      <c r="D16" s="15">
        <f>IFERROR(D2/C2-1,"")</f>
        <v>-0.4439833292127291</v>
      </c>
      <c r="E16" s="15">
        <f>IFERROR(E2/D2-1,"")</f>
        <v>2.1449790905722304</v>
      </c>
      <c r="F16" s="15">
        <f>IFERROR(F2/E2-1,"")</f>
        <v>0.19487037928492312</v>
      </c>
      <c r="G16" s="15">
        <f>IFERROR(G2/F2-1,"")</f>
        <v>0.4410461280134781</v>
      </c>
      <c r="H16" s="15">
        <f>IFERROR(H2/G2-1,"")</f>
        <v>0.47362339807818254</v>
      </c>
      <c r="I16" s="15">
        <f>IFERROR(I2/H2-1,"")</f>
        <v>0.466955267721038</v>
      </c>
      <c r="J16" s="15">
        <f>IFERROR(J2/I2-1,"")</f>
        <v>0.38933671213029686</v>
      </c>
      <c r="K16" s="15">
        <f>IFERROR(K2/J2-1,"")</f>
        <v>0.22501197748233337</v>
      </c>
      <c r="L16" s="15">
        <f>IFERROR(L2/K2-1,"")</f>
        <v>0.14712710620160774</v>
      </c>
      <c r="M16" s="15">
        <f>IFERROR(M2/L2-1,"")</f>
        <v>0.23529398140320446</v>
      </c>
      <c r="N16" s="15">
        <f>IFERROR(N2/M2-1,"")</f>
        <v>0.11983528718244463</v>
      </c>
      <c r="O16" s="15">
        <f>IFERROR(O2/N2-1,"")</f>
        <v>0.13674865643293121</v>
      </c>
      <c r="P16" s="15">
        <f>IFERROR(P2/O2-1,"")</f>
        <v>0.08867345090120127</v>
      </c>
      <c r="Q16" s="15">
        <f>IFERROR(Q2/P2-1,"")</f>
        <v>0.1476244091362573</v>
      </c>
      <c r="R16" s="15">
        <f>IFERROR(R2/Q2-1,"")</f>
        <v>0.2122091371415329</v>
      </c>
      <c r="S16" s="15">
        <f>IFERROR(S2/R2-1,"")</f>
        <v>0.1200000000000001</v>
      </c>
      <c r="T16" s="15">
        <f>IFERROR(T2/S2-1,"")</f>
        <v>0.050000000000000044</v>
      </c>
      <c r="U16" s="15">
        <f>IFERROR(U2/T2-1,"")</f>
        <v>0.030000000000000027</v>
      </c>
      <c r="V16" s="15">
        <f>IFERROR(V2/U2-1,"")</f>
        <v>-0.28</v>
      </c>
      <c r="W16" s="15">
        <f>IFERROR(W2/V2-1,"")</f>
        <v>-0.07999999999999996</v>
      </c>
      <c r="X16" s="15">
        <f>IFERROR(X2/W2-1,"")</f>
        <v>0.06000000000000005</v>
      </c>
      <c r="Y16" s="15">
        <f>IFERROR(Y2/X2-1,"")</f>
        <v>0.06000000000000005</v>
      </c>
      <c r="Z16" s="15">
        <f>IFERROR(Z2/Y2-1,"")</f>
        <v>0.050000000000000044</v>
      </c>
      <c r="AA16" s="15">
        <f>IFERROR(AA2/Z2-1,"")</f>
        <v>0.040000000000000036</v>
      </c>
      <c r="AB16" s="15">
        <f>IFERROR(AB2/AA2-1,"")</f>
        <v>0.030000000000000027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0.999471485462484</v>
      </c>
      <c r="F17" s="15">
        <f>IFERROR(F4/F2,"")</f>
        <v>0.9982250871256836</v>
      </c>
      <c r="G17" s="15">
        <f>IFERROR(G4/G2,"")</f>
        <v>0.9941270198144654</v>
      </c>
      <c r="H17" s="15">
        <f>IFERROR(H4/H2,"")</f>
        <v>0.964216299547198</v>
      </c>
      <c r="I17" s="15">
        <f>IFERROR(I4/I2,"")</f>
        <v>0.9473763225557308</v>
      </c>
      <c r="J17" s="15">
        <f>IFERROR(J4/J2,"")</f>
        <v>0.9482631348716587</v>
      </c>
      <c r="K17" s="15">
        <f>IFERROR(K4/K2,"")</f>
        <v>0.9499846696101724</v>
      </c>
      <c r="L17" s="15">
        <f>IFERROR(L4/L2,"")</f>
        <v>0.9470765379553716</v>
      </c>
      <c r="M17" s="15">
        <f>IFERROR(M4/M2,"")</f>
        <v>0.9507526525273541</v>
      </c>
      <c r="N17" s="15">
        <f>IFERROR(N4/N2,"")</f>
        <v>0.949438211653546</v>
      </c>
      <c r="O17" s="15">
        <f>IFERROR(O4/O2,"")</f>
        <v>0.9390223102041899</v>
      </c>
      <c r="P17" s="15">
        <f>IFERROR(P4/P2,"")</f>
        <v>0.9310026466258023</v>
      </c>
      <c r="Q17" s="15">
        <f>IFERROR(Q4/Q2,"")</f>
        <v>0.926420176095682</v>
      </c>
      <c r="R17" s="15">
        <f>IFERROR(R4/R2,"")</f>
        <v>0.9276186571260407</v>
      </c>
      <c r="S17" s="15">
        <f>IFERROR(S4/S2,"")</f>
        <v>0.9276</v>
      </c>
      <c r="T17" s="15">
        <f>IFERROR(T4/T2,"")</f>
        <v>0.9276</v>
      </c>
      <c r="U17" s="15">
        <f>IFERROR(U4/U2,"")</f>
        <v>0.9276</v>
      </c>
      <c r="V17" s="15">
        <f>IFERROR(V4/V2,"")</f>
        <v>0.9276</v>
      </c>
      <c r="W17" s="15">
        <f>IFERROR(W4/W2,"")</f>
        <v>0.9276</v>
      </c>
      <c r="X17" s="15">
        <f>IFERROR(X4/X2,"")</f>
        <v>0.9276</v>
      </c>
      <c r="Y17" s="15">
        <f>IFERROR(Y4/Y2,"")</f>
        <v>0.9276</v>
      </c>
      <c r="Z17" s="15">
        <f>IFERROR(Z4/Z2,"")</f>
        <v>0.9276000000000001</v>
      </c>
      <c r="AA17" s="15">
        <f>IFERROR(AA4/AA2,"")</f>
        <v>0.9276</v>
      </c>
      <c r="AB17" s="15">
        <f>IFERROR(AB4/AB2,"")</f>
        <v>0.9276</v>
      </c>
    </row>
    <row r="18">
      <c r="A18" s="14" t="inlineStr">
        <is>
          <t>Operating Margin</t>
        </is>
      </c>
      <c r="B18" s="15">
        <f>IFERROR(B8/B2,"")</f>
        <v>-15.085590933621152</v>
      </c>
      <c r="C18" s="15">
        <f>IFERROR(C8/C2,"")</f>
        <v>0.08270052626002178</v>
      </c>
      <c r="D18" s="15">
        <f>IFERROR(D8/D2,"")</f>
        <v>-1.5158858715790589</v>
      </c>
      <c r="E18" s="15">
        <f>IFERROR(E8/E2,"")</f>
        <v>0.0038645521596720666</v>
      </c>
      <c r="F18" s="15">
        <f>IFERROR(F8/F2,"")</f>
        <v>-0.045364519209910144</v>
      </c>
      <c r="G18" s="15">
        <f>IFERROR(G8/G2,"")</f>
        <v>-0.009392076168877677</v>
      </c>
      <c r="H18" s="15">
        <f>IFERROR(H8/H2,"")</f>
        <v>0.06719858414781534</v>
      </c>
      <c r="I18" s="15">
        <f>IFERROR(I8/I2,"")</f>
        <v>0.13113458301792785</v>
      </c>
      <c r="J18" s="15">
        <f>IFERROR(J8/J2,"")</f>
        <v>-0.15843279851270928</v>
      </c>
      <c r="K18" s="15">
        <f>IFERROR(K8/K2,"")</f>
        <v>0.06866686186123151</v>
      </c>
      <c r="L18" s="15">
        <f>IFERROR(L8/L2,"")</f>
        <v>0.18622087968133536</v>
      </c>
      <c r="M18" s="15">
        <f>IFERROR(M8/M2,"")</f>
        <v>-0.0988771898772341</v>
      </c>
      <c r="N18" s="15">
        <f>IFERROR(N8/N2,"")</f>
        <v>0.19615694109066592</v>
      </c>
      <c r="O18" s="15">
        <f>IFERROR(O8/O2,"")</f>
        <v>0.17069287272416636</v>
      </c>
      <c r="P18" s="15">
        <f>IFERROR(P8/P2,"")</f>
        <v>0.16790690890828638</v>
      </c>
      <c r="Q18" s="15">
        <f>IFERROR(Q8/Q2,"")</f>
        <v>0.01446896020646893</v>
      </c>
      <c r="R18" s="15">
        <f>IFERROR(R8/R2,"")</f>
        <v>0.29464845265015727</v>
      </c>
      <c r="S18" s="15">
        <f>IFERROR(S8/S2,"")</f>
        <v>0.29045</v>
      </c>
      <c r="T18" s="15">
        <f>IFERROR(T8/T2,"")</f>
        <v>0.2804</v>
      </c>
      <c r="U18" s="15">
        <f>IFERROR(U8/U2,"")</f>
        <v>0.27035000000000003</v>
      </c>
      <c r="V18" s="15">
        <f>IFERROR(V8/V2,"")</f>
        <v>0.2603</v>
      </c>
      <c r="W18" s="15">
        <f>IFERROR(W8/W2,"")</f>
        <v>0.25025</v>
      </c>
      <c r="X18" s="15">
        <f>IFERROR(X8/X2,"")</f>
        <v>0.24020000000000002</v>
      </c>
      <c r="Y18" s="15">
        <f>IFERROR(Y8/Y2,"")</f>
        <v>0.23015000000000005</v>
      </c>
      <c r="Z18" s="15">
        <f>IFERROR(Z8/Z2,"")</f>
        <v>0.22010000000000005</v>
      </c>
      <c r="AA18" s="15">
        <f>IFERROR(AA8/AA2,"")</f>
        <v>0.21005000000000004</v>
      </c>
      <c r="AB18" s="15">
        <f>IFERROR(AB8/AB2,"")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Incyte Corp: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9" t="n"/>
    </row>
    <row r="7">
      <c r="A7" s="14" t="inlineStr">
        <is>
          <t>Terminal growth override (blank = scenario)</t>
        </is>
      </c>
      <c r="B7" s="59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9" t="n">
        <v>0.095</v>
      </c>
      <c r="C10" s="59" t="n">
        <v>0.08500000000000001</v>
      </c>
      <c r="D10" s="59" t="n">
        <v>0.075</v>
      </c>
      <c r="E10" s="60">
        <f>IF(ISNUMBER($B$6),$B$6,CHOOSE($B$4,B10,C10,D10))</f>
        <v>0.085</v>
      </c>
    </row>
    <row r="11">
      <c r="A11" s="14" t="inlineStr">
        <is>
          <t>Terminal growth</t>
        </is>
      </c>
      <c r="B11" s="59" t="n">
        <v>0.02</v>
      </c>
      <c r="C11" s="59" t="n">
        <v>0.025</v>
      </c>
      <c r="D11" s="59" t="n">
        <v>0.03</v>
      </c>
      <c r="E11" s="60">
        <f>IF(ISNUMBER($B$7),$B$7,CHOOSE($B$4,B11,C11,D11))</f>
        <v>0.025</v>
      </c>
    </row>
    <row r="12">
      <c r="A12" s="14" t="inlineStr">
        <is>
          <t>Revenue growth, first forecast year</t>
        </is>
      </c>
      <c r="B12" s="59" t="n">
        <v>0.07000000000000001</v>
      </c>
      <c r="C12" s="59" t="n">
        <v>0.12</v>
      </c>
      <c r="D12" s="59" t="n">
        <v>0.17</v>
      </c>
      <c r="E12" s="60">
        <f>CHOOSE($B$4,B12,C12,D12)</f>
        <v>0.12</v>
      </c>
    </row>
    <row r="13">
      <c r="A13" s="14" t="inlineStr">
        <is>
          <t>Operating margin, year 10</t>
        </is>
      </c>
      <c r="B13" s="59" t="n">
        <v>0.15</v>
      </c>
      <c r="C13" s="59" t="n">
        <v>0.2</v>
      </c>
      <c r="D13" s="59" t="n">
        <v>0.25</v>
      </c>
      <c r="E13" s="60">
        <f>CHOOSE($B$4,B13,C13,D13)</f>
        <v>0.2</v>
      </c>
    </row>
    <row r="14">
      <c r="A14" s="14" t="inlineStr">
        <is>
          <t>Tax rate on operating income</t>
        </is>
      </c>
      <c r="B14" s="59" t="n">
        <v>0.17</v>
      </c>
      <c r="C14" s="59" t="n">
        <v>0.17</v>
      </c>
      <c r="D14" s="59" t="n">
        <v>0.17</v>
      </c>
      <c r="E14" s="60">
        <f>CHOOSE($B$4,B14,C14,D14)</f>
        <v>0.17</v>
      </c>
    </row>
    <row r="15">
      <c r="A15" s="14" t="inlineStr">
        <is>
          <t>Reinvestment, % of revenue increase</t>
        </is>
      </c>
      <c r="B15" s="59" t="n">
        <v>0.25</v>
      </c>
      <c r="C15" s="59" t="n">
        <v>0.25</v>
      </c>
      <c r="D15" s="59" t="n">
        <v>0.25</v>
      </c>
      <c r="E15" s="60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9" t="n">
        <v>0.3005</v>
      </c>
    </row>
    <row r="19">
      <c r="A19" s="14" t="inlineStr">
        <is>
          <t>Gross margin (forecast)</t>
        </is>
      </c>
      <c r="B19" s="59" t="n">
        <v>0.9276</v>
      </c>
    </row>
    <row r="20">
      <c r="A20" s="14" t="inlineStr">
        <is>
          <t>R&amp;D share of operating expense (forecast)</t>
        </is>
      </c>
      <c r="B20" s="59" t="n">
        <v>0.63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0.7534</v>
      </c>
    </row>
    <row r="23">
      <c r="A23" s="14" t="inlineStr">
        <is>
          <t>Balance sheet date</t>
        </is>
      </c>
      <c r="B23" s="31" t="n">
        <v>46112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61">
        <f>'Yearly Model'!R2</f>
        <v>5141.242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62">
        <f>NPV!B23</f>
        <v>13698.389921292717</v>
      </c>
      <c r="C29" s="62">
        <f>NPV!B26</f>
        <v>17714.214921292718</v>
      </c>
      <c r="D29" s="35">
        <f>NPV!B28</f>
        <v>88.66765363149035</v>
      </c>
      <c r="E29" s="63">
        <f>NPV!B30</f>
        <v>-0.23965481600574234</v>
      </c>
    </row>
    <row r="30">
      <c r="A30" s="64" t="n">
        <v>1</v>
      </c>
      <c r="B30" s="65">
        <f t="dataTable" ref="B30:E32" r1="B4"/>
        <v>8404.102783666884</v>
      </c>
      <c r="C30" s="65">
        <v>12419.927783666884</v>
      </c>
      <c r="D30" s="39">
        <v>62.167353153573124</v>
      </c>
      <c r="E30" s="66">
        <v>-0.4669008862189845</v>
      </c>
    </row>
    <row r="31">
      <c r="A31" s="64" t="n">
        <v>2</v>
      </c>
      <c r="B31" s="65">
        <v>13698.389921292717</v>
      </c>
      <c r="C31" s="65">
        <v>17714.214921292718</v>
      </c>
      <c r="D31" s="39">
        <v>88.66765363149035</v>
      </c>
      <c r="E31" s="66">
        <v>-0.23965481600574234</v>
      </c>
    </row>
    <row r="32">
      <c r="A32" s="64" t="n">
        <v>3</v>
      </c>
      <c r="B32" s="65">
        <v>24577.107842531168</v>
      </c>
      <c r="C32" s="65">
        <v>28592.93284253117</v>
      </c>
      <c r="D32" s="39">
        <v>143.1205546988477</v>
      </c>
      <c r="E32" s="66">
        <v>0.22729112634607662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88.66765363149035</v>
      </c>
      <c r="B36" s="67" t="n">
        <v>0.015</v>
      </c>
      <c r="C36" s="67" t="n">
        <v>0.02</v>
      </c>
      <c r="D36" s="67" t="n">
        <v>0.025</v>
      </c>
      <c r="E36" s="67" t="n">
        <v>0.03</v>
      </c>
      <c r="F36" s="67" t="n">
        <v>0.035</v>
      </c>
    </row>
    <row r="37">
      <c r="A37" s="68" t="n">
        <v>0.065</v>
      </c>
      <c r="B37" s="39">
        <f t="dataTable" ref="B37:F41" dt2D="1" r1="B7" r2="B6"/>
        <v>105.67291808664523</v>
      </c>
      <c r="C37" s="39">
        <v>110.70985947768423</v>
      </c>
      <c r="D37" s="39">
        <v>117.00603621648297</v>
      </c>
      <c r="E37" s="39">
        <v>125.10112059493851</v>
      </c>
      <c r="F37" s="39">
        <v>135.8945664328792</v>
      </c>
    </row>
    <row r="38">
      <c r="A38" s="68" t="n">
        <v>0.075</v>
      </c>
      <c r="B38" s="39">
        <v>93.1742862510892</v>
      </c>
      <c r="C38" s="39">
        <v>96.29295668106968</v>
      </c>
      <c r="D38" s="39">
        <v>100.03536119704623</v>
      </c>
      <c r="E38" s="39">
        <v>104.60941116101758</v>
      </c>
      <c r="F38" s="39">
        <v>110.32697361598176</v>
      </c>
    </row>
    <row r="39">
      <c r="A39" s="68" t="n">
        <v>0.08500000000000001</v>
      </c>
      <c r="B39" s="39">
        <v>84.21362836312026</v>
      </c>
      <c r="C39" s="39">
        <v>86.26933233313723</v>
      </c>
      <c r="D39" s="39">
        <v>88.66765363149035</v>
      </c>
      <c r="E39" s="39">
        <v>91.50203334772587</v>
      </c>
      <c r="F39" s="39">
        <v>94.90328900720849</v>
      </c>
    </row>
    <row r="40">
      <c r="A40" s="68" t="n">
        <v>0.095</v>
      </c>
      <c r="B40" s="39">
        <v>77.46388181793711</v>
      </c>
      <c r="C40" s="39">
        <v>78.88181889404513</v>
      </c>
      <c r="D40" s="39">
        <v>80.50231840959711</v>
      </c>
      <c r="E40" s="39">
        <v>82.37212554292634</v>
      </c>
      <c r="F40" s="39">
        <v>84.55356719847708</v>
      </c>
    </row>
    <row r="41">
      <c r="A41" s="68" t="n">
        <v>0.105</v>
      </c>
      <c r="B41" s="39">
        <v>72.1880057624798</v>
      </c>
      <c r="C41" s="39">
        <v>73.20034024053172</v>
      </c>
      <c r="D41" s="39">
        <v>74.33921652834012</v>
      </c>
      <c r="E41" s="39">
        <v>75.6299429878563</v>
      </c>
      <c r="F41" s="39">
        <v>77.10505894158909</v>
      </c>
    </row>
    <row r="44">
      <c r="A44" s="27" t="inlineStr">
        <is>
          <t>Reviewed revenue growth by year (base case; blank = fade formula)</t>
        </is>
      </c>
    </row>
    <row r="45">
      <c r="A45" s="14" t="inlineStr">
        <is>
          <t>Fiscal year</t>
        </is>
      </c>
      <c r="B45" s="43" t="n">
        <v>2026</v>
      </c>
      <c r="C45" s="43" t="n">
        <v>2027</v>
      </c>
      <c r="D45" s="43" t="n">
        <v>2028</v>
      </c>
      <c r="E45" s="43" t="n">
        <v>2029</v>
      </c>
      <c r="F45" s="43" t="n">
        <v>2030</v>
      </c>
      <c r="G45" s="43" t="n">
        <v>2031</v>
      </c>
      <c r="H45" s="43" t="n">
        <v>2032</v>
      </c>
      <c r="I45" s="43" t="n">
        <v>2033</v>
      </c>
      <c r="J45" s="43" t="n">
        <v>2034</v>
      </c>
      <c r="K45" s="43" t="n">
        <v>2035</v>
      </c>
    </row>
    <row r="46">
      <c r="A46" s="14" t="inlineStr">
        <is>
          <t>Growth (bear/bull shift by the row-12 gap, fading to 0 by year 10)</t>
        </is>
      </c>
      <c r="B46" s="59" t="n">
        <v>0.12</v>
      </c>
      <c r="C46" s="59" t="n">
        <v>0.05</v>
      </c>
      <c r="D46" s="59" t="n">
        <v>0.03</v>
      </c>
      <c r="E46" s="59" t="n">
        <v>-0.28</v>
      </c>
      <c r="F46" s="59" t="n">
        <v>-0.08</v>
      </c>
      <c r="G46" s="59" t="n">
        <v>0.06</v>
      </c>
      <c r="H46" s="59" t="n">
        <v>0.06</v>
      </c>
      <c r="I46" s="59" t="n">
        <v>0.05</v>
      </c>
      <c r="J46" s="59" t="n">
        <v>0.04</v>
      </c>
      <c r="K46" s="5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Incyte Corp: free-cash-flow DCF ($mm)</t>
        </is>
      </c>
    </row>
    <row r="3">
      <c r="A3" s="20" t="inlineStr">
        <is>
          <t>Fiscal year</t>
        </is>
      </c>
      <c r="B3" s="44">
        <f>'Yearly Model'!R1</f>
        <v>2025</v>
      </c>
      <c r="C3" s="44">
        <f>'Yearly Model'!S1</f>
        <v>2026</v>
      </c>
      <c r="D3" s="44">
        <f>'Yearly Model'!T1</f>
        <v>2027</v>
      </c>
      <c r="E3" s="44">
        <f>'Yearly Model'!U1</f>
        <v>2028</v>
      </c>
      <c r="F3" s="44">
        <f>'Yearly Model'!V1</f>
        <v>2029</v>
      </c>
      <c r="G3" s="44">
        <f>'Yearly Model'!W1</f>
        <v>2030</v>
      </c>
      <c r="H3" s="44">
        <f>'Yearly Model'!X1</f>
        <v>2031</v>
      </c>
      <c r="I3" s="44">
        <f>'Yearly Model'!Y1</f>
        <v>2032</v>
      </c>
      <c r="J3" s="44">
        <f>'Yearly Model'!Z1</f>
        <v>2033</v>
      </c>
      <c r="K3" s="44">
        <f>'Yearly Model'!AA1</f>
        <v>2034</v>
      </c>
      <c r="L3" s="44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9">
        <f>IF(ISNUMBER(Assumptions!B$46),Assumptions!B$46+(Assumptions!$E$12-Assumptions!$C$12)*(Assumptions!$B$21-C4)/(Assumptions!$B$21-1),Assumptions!$E$12+(Assumptions!$E$11-Assumptions!$E$12)*(C4-1)/(Assumptions!$B$21-1))</f>
        <v>0.12</v>
      </c>
      <c r="D5" s="69">
        <f>IF(ISNUMBER(Assumptions!C$46),Assumptions!C$46+(Assumptions!$E$12-Assumptions!$C$12)*(Assumptions!$B$21-D4)/(Assumptions!$B$21-1),Assumptions!$E$12+(Assumptions!$E$11-Assumptions!$E$12)*(D4-1)/(Assumptions!$B$21-1))</f>
        <v>0.05</v>
      </c>
      <c r="E5" s="69">
        <f>IF(ISNUMBER(Assumptions!D$46),Assumptions!D$46+(Assumptions!$E$12-Assumptions!$C$12)*(Assumptions!$B$21-E4)/(Assumptions!$B$21-1),Assumptions!$E$12+(Assumptions!$E$11-Assumptions!$E$12)*(E4-1)/(Assumptions!$B$21-1))</f>
        <v>0.03</v>
      </c>
      <c r="F5" s="69">
        <f>IF(ISNUMBER(Assumptions!E$46),Assumptions!E$46+(Assumptions!$E$12-Assumptions!$C$12)*(Assumptions!$B$21-F4)/(Assumptions!$B$21-1),Assumptions!$E$12+(Assumptions!$E$11-Assumptions!$E$12)*(F4-1)/(Assumptions!$B$21-1))</f>
        <v>-0.28</v>
      </c>
      <c r="G5" s="69">
        <f>IF(ISNUMBER(Assumptions!F$46),Assumptions!F$46+(Assumptions!$E$12-Assumptions!$C$12)*(Assumptions!$B$21-G4)/(Assumptions!$B$21-1),Assumptions!$E$12+(Assumptions!$E$11-Assumptions!$E$12)*(G4-1)/(Assumptions!$B$21-1))</f>
        <v>-0.08</v>
      </c>
      <c r="H5" s="69">
        <f>IF(ISNUMBER(Assumptions!G$46),Assumptions!G$46+(Assumptions!$E$12-Assumptions!$C$12)*(Assumptions!$B$21-H4)/(Assumptions!$B$21-1),Assumptions!$E$12+(Assumptions!$E$11-Assumptions!$E$12)*(H4-1)/(Assumptions!$B$21-1))</f>
        <v>0.06</v>
      </c>
      <c r="I5" s="69">
        <f>IF(ISNUMBER(Assumptions!H$46),Assumptions!H$46+(Assumptions!$E$12-Assumptions!$C$12)*(Assumptions!$B$21-I4)/(Assumptions!$B$21-1),Assumptions!$E$12+(Assumptions!$E$11-Assumptions!$E$12)*(I4-1)/(Assumptions!$B$21-1))</f>
        <v>0.06</v>
      </c>
      <c r="J5" s="69">
        <f>IF(ISNUMBER(Assumptions!I$46),Assumptions!I$46+(Assumptions!$E$12-Assumptions!$C$12)*(Assumptions!$B$21-J4)/(Assumptions!$B$21-1),Assumptions!$E$12+(Assumptions!$E$11-Assumptions!$E$12)*(J4-1)/(Assumptions!$B$21-1))</f>
        <v>0.05</v>
      </c>
      <c r="K5" s="69">
        <f>IF(ISNUMBER(Assumptions!J$46),Assumptions!J$46+(Assumptions!$E$12-Assumptions!$C$12)*(Assumptions!$B$21-K4)/(Assumptions!$B$21-1),Assumptions!$E$12+(Assumptions!$E$11-Assumptions!$E$12)*(K4-1)/(Assumptions!$B$21-1))</f>
        <v>0.04</v>
      </c>
      <c r="L5" s="69">
        <f>IF(ISNUMBER(Assumptions!K$46),Assumptions!K$46+(Assumptions!$E$12-Assumptions!$C$12)*(Assumptions!$B$21-L4)/(Assumptions!$B$21-1),Assumptions!$E$12+(Assumptions!$E$11-Assumptions!$E$12)*(L4-1)/(Assumptions!$B$21-1))</f>
        <v>0.03</v>
      </c>
    </row>
    <row r="6">
      <c r="A6" s="14" t="inlineStr">
        <is>
          <t>Operating margin</t>
        </is>
      </c>
      <c r="B6" s="69">
        <f>IFERROR(B8/B7,0)</f>
        <v>0.29464845265015727</v>
      </c>
      <c r="C6" s="69">
        <f>Assumptions!$B$18+(Assumptions!$E$13-Assumptions!$B$18)*C4/Assumptions!$B$21</f>
        <v>0.29045</v>
      </c>
      <c r="D6" s="69">
        <f>Assumptions!$B$18+(Assumptions!$E$13-Assumptions!$B$18)*D4/Assumptions!$B$21</f>
        <v>0.2804</v>
      </c>
      <c r="E6" s="69">
        <f>Assumptions!$B$18+(Assumptions!$E$13-Assumptions!$B$18)*E4/Assumptions!$B$21</f>
        <v>0.27035</v>
      </c>
      <c r="F6" s="69">
        <f>Assumptions!$B$18+(Assumptions!$E$13-Assumptions!$B$18)*F4/Assumptions!$B$21</f>
        <v>0.2603</v>
      </c>
      <c r="G6" s="69">
        <f>Assumptions!$B$18+(Assumptions!$E$13-Assumptions!$B$18)*G4/Assumptions!$B$21</f>
        <v>0.25025</v>
      </c>
      <c r="H6" s="69">
        <f>Assumptions!$B$18+(Assumptions!$E$13-Assumptions!$B$18)*H4/Assumptions!$B$21</f>
        <v>0.2402</v>
      </c>
      <c r="I6" s="69">
        <f>Assumptions!$B$18+(Assumptions!$E$13-Assumptions!$B$18)*I4/Assumptions!$B$21</f>
        <v>0.23015000000000002</v>
      </c>
      <c r="J6" s="69">
        <f>Assumptions!$B$18+(Assumptions!$E$13-Assumptions!$B$18)*J4/Assumptions!$B$21</f>
        <v>0.22010000000000002</v>
      </c>
      <c r="K6" s="69">
        <f>Assumptions!$B$18+(Assumptions!$E$13-Assumptions!$B$18)*K4/Assumptions!$B$21</f>
        <v>0.21005000000000001</v>
      </c>
      <c r="L6" s="69">
        <f>Assumptions!$B$18+(Assumptions!$E$13-Assumptions!$B$18)*L4/Assumptions!$B$21</f>
        <v>0.2</v>
      </c>
    </row>
    <row r="7">
      <c r="A7" s="14" t="inlineStr">
        <is>
          <t>Revenue</t>
        </is>
      </c>
      <c r="B7" s="61">
        <f>'Yearly Model'!R2</f>
        <v>5141.242</v>
      </c>
      <c r="C7" s="61">
        <f>'Yearly Model'!S2</f>
        <v>5758.191040000001</v>
      </c>
      <c r="D7" s="61">
        <f>'Yearly Model'!T2</f>
        <v>6046.100592000001</v>
      </c>
      <c r="E7" s="61">
        <f>'Yearly Model'!U2</f>
        <v>6227.483609760001</v>
      </c>
      <c r="F7" s="61">
        <f>'Yearly Model'!V2</f>
        <v>4483.788199027201</v>
      </c>
      <c r="G7" s="61">
        <f>'Yearly Model'!W2</f>
        <v>4125.085143105025</v>
      </c>
      <c r="H7" s="61">
        <f>'Yearly Model'!X2</f>
        <v>4372.590251691327</v>
      </c>
      <c r="I7" s="61">
        <f>'Yearly Model'!Y2</f>
        <v>4634.945666792806</v>
      </c>
      <c r="J7" s="61">
        <f>'Yearly Model'!Z2</f>
        <v>4866.692950132447</v>
      </c>
      <c r="K7" s="61">
        <f>'Yearly Model'!AA2</f>
        <v>5061.360668137745</v>
      </c>
      <c r="L7" s="61">
        <f>'Yearly Model'!AB2</f>
        <v>5213.201488181878</v>
      </c>
    </row>
    <row r="8">
      <c r="A8" s="14" t="inlineStr">
        <is>
          <t>Operating income</t>
        </is>
      </c>
      <c r="B8" s="61">
        <f>'Yearly Model'!R8</f>
        <v>1514.859</v>
      </c>
      <c r="C8" s="61">
        <f>'Yearly Model'!S8</f>
        <v>1672.4665875680003</v>
      </c>
      <c r="D8" s="61">
        <f>'Yearly Model'!T8</f>
        <v>1695.3266059968</v>
      </c>
      <c r="E8" s="61">
        <f>'Yearly Model'!U8</f>
        <v>1683.6001938986165</v>
      </c>
      <c r="F8" s="61">
        <f>'Yearly Model'!V8</f>
        <v>1167.1300682067804</v>
      </c>
      <c r="G8" s="61">
        <f>'Yearly Model'!W8</f>
        <v>1032.3025570620325</v>
      </c>
      <c r="H8" s="61">
        <f>'Yearly Model'!X8</f>
        <v>1050.2961784562567</v>
      </c>
      <c r="I8" s="61">
        <f>'Yearly Model'!Y8</f>
        <v>1066.7327452123645</v>
      </c>
      <c r="J8" s="61">
        <f>'Yearly Model'!Z8</f>
        <v>1071.1591183241517</v>
      </c>
      <c r="K8" s="61">
        <f>'Yearly Model'!AA8</f>
        <v>1063.1388083423335</v>
      </c>
      <c r="L8" s="61">
        <f>'Yearly Model'!AB8</f>
        <v>1042.6402976363756</v>
      </c>
    </row>
    <row r="9">
      <c r="A9" s="14" t="inlineStr">
        <is>
          <t>Tax on operating income</t>
        </is>
      </c>
      <c r="C9" s="58">
        <f>MAX(0,C8)*Assumptions!$E$14</f>
        <v>284.31931988656004</v>
      </c>
      <c r="D9" s="58">
        <f>MAX(0,D8)*Assumptions!$E$14</f>
        <v>288.20552301945605</v>
      </c>
      <c r="E9" s="58">
        <f>MAX(0,E8)*Assumptions!$E$14</f>
        <v>286.2120329627648</v>
      </c>
      <c r="F9" s="58">
        <f>MAX(0,F8)*Assumptions!$E$14</f>
        <v>198.41211159515268</v>
      </c>
      <c r="G9" s="58">
        <f>MAX(0,G8)*Assumptions!$E$14</f>
        <v>175.49143470054554</v>
      </c>
      <c r="H9" s="58">
        <f>MAX(0,H8)*Assumptions!$E$14</f>
        <v>178.55035033756366</v>
      </c>
      <c r="I9" s="58">
        <f>MAX(0,I8)*Assumptions!$E$14</f>
        <v>181.34456668610198</v>
      </c>
      <c r="J9" s="58">
        <f>MAX(0,J8)*Assumptions!$E$14</f>
        <v>182.0970501151058</v>
      </c>
      <c r="K9" s="58">
        <f>MAX(0,K8)*Assumptions!$E$14</f>
        <v>180.7335974181967</v>
      </c>
      <c r="L9" s="58">
        <f>MAX(0,L8)*Assumptions!$E$14</f>
        <v>177.24885059818388</v>
      </c>
    </row>
    <row r="10">
      <c r="A10" s="14" t="inlineStr">
        <is>
          <t>NOPAT</t>
        </is>
      </c>
      <c r="C10" s="58">
        <f>C8-C9</f>
        <v>1388.14726768144</v>
      </c>
      <c r="D10" s="58">
        <f>D8-D9</f>
        <v>1407.121082977344</v>
      </c>
      <c r="E10" s="58">
        <f>E8-E9</f>
        <v>1397.3881609358516</v>
      </c>
      <c r="F10" s="58">
        <f>F8-F9</f>
        <v>968.7179566116276</v>
      </c>
      <c r="G10" s="58">
        <f>G8-G9</f>
        <v>856.8111223614869</v>
      </c>
      <c r="H10" s="58">
        <f>H8-H9</f>
        <v>871.745828118693</v>
      </c>
      <c r="I10" s="58">
        <f>I8-I9</f>
        <v>885.3881785262625</v>
      </c>
      <c r="J10" s="58">
        <f>J8-J9</f>
        <v>889.062068209046</v>
      </c>
      <c r="K10" s="58">
        <f>K8-K9</f>
        <v>882.4052109241368</v>
      </c>
      <c r="L10" s="58">
        <f>L8-L9</f>
        <v>865.3914470381917</v>
      </c>
    </row>
    <row r="11">
      <c r="A11" s="14" t="inlineStr">
        <is>
          <t>Reinvestment</t>
        </is>
      </c>
      <c r="C11" s="58">
        <f>(C7-B7)*Assumptions!$E$15</f>
        <v>154.2372600000001</v>
      </c>
      <c r="D11" s="58">
        <f>(D7-C7)*Assumptions!$E$15</f>
        <v>71.97738800000002</v>
      </c>
      <c r="E11" s="58">
        <f>(E7-D7)*Assumptions!$E$15</f>
        <v>45.345754440000064</v>
      </c>
      <c r="F11" s="58">
        <f>(F7-E7)*Assumptions!$E$15</f>
        <v>-435.92385268320004</v>
      </c>
      <c r="G11" s="58">
        <f>(G7-F7)*Assumptions!$E$15</f>
        <v>-89.67576398054393</v>
      </c>
      <c r="H11" s="58">
        <f>(H7-G7)*Assumptions!$E$15</f>
        <v>61.876277146575376</v>
      </c>
      <c r="I11" s="58">
        <f>(I7-H7)*Assumptions!$E$15</f>
        <v>65.5888537753699</v>
      </c>
      <c r="J11" s="58">
        <f>(J7-I7)*Assumptions!$E$15</f>
        <v>57.93682083491012</v>
      </c>
      <c r="K11" s="58">
        <f>(K7-J7)*Assumptions!$E$15</f>
        <v>48.6669295013246</v>
      </c>
      <c r="L11" s="58">
        <f>(L7-K7)*Assumptions!$E$15</f>
        <v>37.96020501103317</v>
      </c>
    </row>
    <row r="12">
      <c r="A12" s="20" t="inlineStr">
        <is>
          <t>Free cash flow</t>
        </is>
      </c>
      <c r="C12" s="70">
        <f>C10-C11</f>
        <v>1233.91000768144</v>
      </c>
      <c r="D12" s="70">
        <f>D10-D11</f>
        <v>1335.143694977344</v>
      </c>
      <c r="E12" s="70">
        <f>E10-E11</f>
        <v>1352.0424064958515</v>
      </c>
      <c r="F12" s="70">
        <f>F10-F11</f>
        <v>1404.6418092948277</v>
      </c>
      <c r="G12" s="70">
        <f>G10-G11</f>
        <v>946.4868863420309</v>
      </c>
      <c r="H12" s="70">
        <f>H10-H11</f>
        <v>809.8695509721176</v>
      </c>
      <c r="I12" s="70">
        <f>I10-I11</f>
        <v>819.7993247508927</v>
      </c>
      <c r="J12" s="70">
        <f>J10-J11</f>
        <v>831.1252473741358</v>
      </c>
      <c r="K12" s="70">
        <f>K10-K11</f>
        <v>833.7382814228122</v>
      </c>
      <c r="L12" s="70">
        <f>L10-L11</f>
        <v>827.4312420271585</v>
      </c>
    </row>
    <row r="13">
      <c r="A13" s="14" t="inlineStr">
        <is>
          <t>Year fraction</t>
        </is>
      </c>
      <c r="C13" s="47">
        <f>Assumptions!$B$22</f>
        <v>0.7534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0.3767</v>
      </c>
      <c r="D14" s="11">
        <f>C14+C13/2+D13/2</f>
        <v>1.2534</v>
      </c>
      <c r="E14" s="11">
        <f>D14+D13/2+E13/2</f>
        <v>2.2534</v>
      </c>
      <c r="F14" s="11">
        <f>E14+E13/2+F13/2</f>
        <v>3.2534</v>
      </c>
      <c r="G14" s="11">
        <f>F14+F13/2+G13/2</f>
        <v>4.2534</v>
      </c>
      <c r="H14" s="11">
        <f>G14+G13/2+H13/2</f>
        <v>5.2534</v>
      </c>
      <c r="I14" s="11">
        <f>H14+H13/2+I13/2</f>
        <v>6.2534</v>
      </c>
      <c r="J14" s="11">
        <f>I14+I13/2+J13/2</f>
        <v>7.2534</v>
      </c>
      <c r="K14" s="11">
        <f>J14+J13/2+K13/2</f>
        <v>8.2534</v>
      </c>
      <c r="L14" s="11">
        <f>K14+K13/2+L13/2</f>
        <v>9.2534</v>
      </c>
    </row>
    <row r="15">
      <c r="A15" s="14" t="inlineStr">
        <is>
          <t>Discount factor</t>
        </is>
      </c>
      <c r="C15" s="71">
        <f>1/(1+Assumptions!$E$10)^C14</f>
        <v>0.9697362214651498</v>
      </c>
      <c r="D15" s="71">
        <f>1/(1+Assumptions!$E$10)^D14</f>
        <v>0.9028016957691598</v>
      </c>
      <c r="E15" s="71">
        <f>1/(1+Assumptions!$E$10)^E14</f>
        <v>0.8320752956397786</v>
      </c>
      <c r="F15" s="71">
        <f>1/(1+Assumptions!$E$10)^F14</f>
        <v>0.7668896734007176</v>
      </c>
      <c r="G15" s="71">
        <f>1/(1+Assumptions!$E$10)^G14</f>
        <v>0.7068107588946707</v>
      </c>
      <c r="H15" s="71">
        <f>1/(1+Assumptions!$E$10)^H14</f>
        <v>0.6514384874605259</v>
      </c>
      <c r="I15" s="71">
        <f>1/(1+Assumptions!$E$10)^I14</f>
        <v>0.6004041359083189</v>
      </c>
      <c r="J15" s="71">
        <f>1/(1+Assumptions!$E$10)^J14</f>
        <v>0.5533678671966072</v>
      </c>
      <c r="K15" s="71">
        <f>1/(1+Assumptions!$E$10)^K14</f>
        <v>0.5100164674623109</v>
      </c>
      <c r="L15" s="71">
        <f>1/(1+Assumptions!$E$10)^L14</f>
        <v>0.4700612603339271</v>
      </c>
    </row>
    <row r="16">
      <c r="A16" s="20" t="inlineStr">
        <is>
          <t>PV of free cash flow</t>
        </is>
      </c>
      <c r="C16" s="70">
        <f>C12*C13*C15</f>
        <v>901.4937499345971</v>
      </c>
      <c r="D16" s="70">
        <f>D12*D13*D15</f>
        <v>1205.369991921048</v>
      </c>
      <c r="E16" s="70">
        <f>E12*E13*E15</f>
        <v>1125.0010851025534</v>
      </c>
      <c r="F16" s="70">
        <f>F12*F13*F15</f>
        <v>1077.2052983751034</v>
      </c>
      <c r="G16" s="70">
        <f>G12*G13*G15</f>
        <v>668.9871144192648</v>
      </c>
      <c r="H16" s="70">
        <f>H12*H13*H15</f>
        <v>527.5801953256116</v>
      </c>
      <c r="I16" s="70">
        <f>I12*I13*I15</f>
        <v>492.210905195283</v>
      </c>
      <c r="J16" s="70">
        <f>J12*J13*J15</f>
        <v>459.9180055126781</v>
      </c>
      <c r="K16" s="70">
        <f>K12*K13*K15</f>
        <v>425.2202530793607</v>
      </c>
      <c r="L16" s="70">
        <f>L12*L13*L15</f>
        <v>388.9433724669528</v>
      </c>
    </row>
    <row r="19">
      <c r="A19" s="14" t="inlineStr">
        <is>
          <t>PV of forecast free cash flow</t>
        </is>
      </c>
      <c r="B19" s="58">
        <f>SUM(C16:L16)</f>
        <v>7271.929971332453</v>
      </c>
    </row>
    <row r="20">
      <c r="A20" s="14" t="inlineStr">
        <is>
          <t>Terminal free cash flow (year 11)</t>
        </is>
      </c>
      <c r="B20" s="58">
        <f>L10*(1+Assumptions!$E$11)-L7*Assumptions!$E$11*Assumptions!$E$15</f>
        <v>854.4437239130096</v>
      </c>
    </row>
    <row r="21">
      <c r="A21" s="14" t="inlineStr">
        <is>
          <t>Terminal value</t>
        </is>
      </c>
      <c r="B21" s="58">
        <f>B20/(Assumptions!$E$10-Assumptions!$E$11)</f>
        <v>14240.728731883493</v>
      </c>
    </row>
    <row r="22">
      <c r="A22" s="14" t="inlineStr">
        <is>
          <t>PV of terminal value</t>
        </is>
      </c>
      <c r="B22" s="58">
        <f>B21/(1+Assumptions!$E$10)^(L14+0.5)</f>
        <v>6426.459949960265</v>
      </c>
    </row>
    <row r="23">
      <c r="A23" s="20" t="inlineStr">
        <is>
          <t>Enterprise value</t>
        </is>
      </c>
      <c r="B23" s="72">
        <f>B19+B22</f>
        <v>13698.389921292717</v>
      </c>
    </row>
    <row r="24">
      <c r="A24" s="14" t="inlineStr">
        <is>
          <t>Cash &amp; investments</t>
        </is>
      </c>
      <c r="B24" s="61">
        <f>Main!C7</f>
        <v>4015.825</v>
      </c>
    </row>
    <row r="25">
      <c r="A25" s="14" t="inlineStr">
        <is>
          <t>Debt</t>
        </is>
      </c>
      <c r="B25" s="61">
        <f>Main!C8</f>
        <v>0</v>
      </c>
    </row>
    <row r="26">
      <c r="A26" s="20" t="inlineStr">
        <is>
          <t>Equity value</t>
        </is>
      </c>
      <c r="B26" s="72">
        <f>B23+B24-B25</f>
        <v>17714.214921292718</v>
      </c>
    </row>
    <row r="27">
      <c r="A27" s="14" t="inlineStr">
        <is>
          <t>Shares (mm)</t>
        </is>
      </c>
      <c r="B27" s="61">
        <f>Main!C4</f>
        <v>199.782155</v>
      </c>
    </row>
    <row r="28">
      <c r="A28" s="20" t="inlineStr">
        <is>
          <t>NPV / share</t>
        </is>
      </c>
      <c r="B28" s="50">
        <f>B26/B27</f>
        <v>88.66765363149035</v>
      </c>
    </row>
    <row r="29">
      <c r="A29" s="14" t="inlineStr">
        <is>
          <t>Price</t>
        </is>
      </c>
      <c r="B29" s="51">
        <f>Main!C3</f>
        <v>116.615</v>
      </c>
    </row>
    <row r="30">
      <c r="A30" s="14" t="inlineStr">
        <is>
          <t>Upside</t>
        </is>
      </c>
      <c r="B30" s="69">
        <f>B28/B29-1</f>
        <v>-0.23965481600574234</v>
      </c>
    </row>
    <row r="31">
      <c r="A31" s="14" t="inlineStr">
        <is>
          <t>Terminal value, % of EV</t>
        </is>
      </c>
      <c r="B31" s="69">
        <f>IFERROR(B22/B23,0)</f>
        <v>0.4691398030633515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</cols>
  <sheetData>
    <row r="1">
      <c r="A1" s="20" t="inlineStr">
        <is>
          <t>INCY: options vs. the reviewed DCF (per contract = 100 shares)</t>
        </is>
      </c>
    </row>
    <row r="2">
      <c r="A2" s="21" t="inlineStr">
        <is>
          <t>Market prices are Cboe delayed quotes; blue = input. Probabilities are risk-neutral (lognormal at ATM IV).</t>
        </is>
      </c>
    </row>
    <row r="3">
      <c r="A3" s="27" t="inlineStr">
        <is>
          <t>Inputs</t>
        </is>
      </c>
    </row>
    <row r="4">
      <c r="A4" s="14" t="inlineStr">
        <is>
          <t>Spot (close 2026-10-20)</t>
        </is>
      </c>
      <c r="B4" s="52" t="n">
        <v>116.615</v>
      </c>
    </row>
    <row r="5">
      <c r="A5" s="14" t="inlineStr">
        <is>
          <t>Pricing date</t>
        </is>
      </c>
      <c r="B5" s="31" t="n">
        <v>46315</v>
      </c>
    </row>
    <row r="6">
      <c r="A6" s="14" t="inlineStr">
        <is>
          <t>Near expiry</t>
        </is>
      </c>
      <c r="B6" s="31" t="n">
        <v>46402</v>
      </c>
    </row>
    <row r="7">
      <c r="A7" s="14" t="inlineStr">
        <is>
          <t>Long expiry</t>
        </is>
      </c>
      <c r="B7" s="31" t="n">
        <v>46738</v>
      </c>
    </row>
    <row r="8">
      <c r="A8" s="14" t="inlineStr">
        <is>
          <t>Years to near expiry</t>
        </is>
      </c>
      <c r="B8" s="71">
        <f>(B6-B5)/365</f>
        <v>0.23835616438356164</v>
      </c>
    </row>
    <row r="9">
      <c r="A9" s="14" t="inlineStr">
        <is>
          <t>Years to long expiry</t>
        </is>
      </c>
      <c r="B9" s="71">
        <f>(B7-B5)/365</f>
        <v>1.158904109589041</v>
      </c>
    </row>
    <row r="10">
      <c r="A10" s="14" t="inlineStr">
        <is>
          <t>Risk-free rate</t>
        </is>
      </c>
      <c r="B10" s="59" t="n">
        <v>0.04</v>
      </c>
    </row>
    <row r="11">
      <c r="A11" s="14" t="inlineStr">
        <is>
          <t>Dividend yield</t>
        </is>
      </c>
      <c r="B11" s="59" t="n">
        <v>0</v>
      </c>
    </row>
    <row r="12">
      <c r="A12" s="14" t="inlineStr">
        <is>
          <t>ATM implied volatility, near</t>
        </is>
      </c>
      <c r="B12" s="59" t="n">
        <v>0.4093</v>
      </c>
    </row>
    <row r="13">
      <c r="A13" s="14" t="inlineStr">
        <is>
          <t>ATM implied volatility, long</t>
        </is>
      </c>
      <c r="B13" s="59" t="n">
        <v>0.3382</v>
      </c>
    </row>
    <row r="14">
      <c r="A14" s="14" t="inlineStr">
        <is>
          <t>Contract multiplier</t>
        </is>
      </c>
      <c r="B14" s="22" t="n">
        <v>100</v>
      </c>
    </row>
    <row r="16">
      <c r="A16" s="27" t="inlineStr">
        <is>
          <t>Market expectations, near expiry</t>
        </is>
      </c>
    </row>
    <row r="17">
      <c r="A17" s="14" t="inlineStr">
        <is>
          <t>ATM strike</t>
        </is>
      </c>
      <c r="B17" s="30" t="n">
        <v>115</v>
      </c>
    </row>
    <row r="18">
      <c r="A18" s="14" t="inlineStr">
        <is>
          <t>ATM call (mid)</t>
        </is>
      </c>
      <c r="B18" s="52" t="n">
        <v>10.35</v>
      </c>
    </row>
    <row r="19">
      <c r="A19" s="14" t="inlineStr">
        <is>
          <t>ATM put (theo)</t>
        </is>
      </c>
      <c r="B19" s="52" t="n">
        <v>7.8833</v>
      </c>
    </row>
    <row r="20">
      <c r="A20" s="14" t="inlineStr">
        <is>
          <t>Straddle, % of spot (expected move)</t>
        </is>
      </c>
      <c r="B20" s="69">
        <f>(B18+B19)/B4</f>
        <v>0.156354671354457</v>
      </c>
    </row>
    <row r="21">
      <c r="A21" s="14" t="inlineStr">
        <is>
          <t>Expected range, low</t>
        </is>
      </c>
      <c r="B21" s="53">
        <f>B4*(1-B20)</f>
        <v>98.3817</v>
      </c>
    </row>
    <row r="22">
      <c r="A22" s="14" t="inlineStr">
        <is>
          <t>Expected range, high</t>
        </is>
      </c>
      <c r="B22" s="53">
        <f>B4*(1+B20)</f>
        <v>134.8483</v>
      </c>
    </row>
    <row r="23">
      <c r="A23" s="14" t="inlineStr">
        <is>
          <t>1-SD move by long expiry (ATM IV)</t>
        </is>
      </c>
      <c r="B23" s="69">
        <f>B13*SQRT(B9)</f>
        <v>0.36408044617593954</v>
      </c>
    </row>
    <row r="25">
      <c r="A25" s="27" t="inlineStr">
        <is>
          <t>Model vs. market at the long expiry</t>
        </is>
      </c>
    </row>
    <row r="26">
      <c r="A26" s="24" t="inlineStr">
        <is>
          <t>Case</t>
        </is>
      </c>
      <c r="B26" s="25" t="inlineStr">
        <is>
          <t>Value / share</t>
        </is>
      </c>
      <c r="C26" s="25" t="inlineStr">
        <is>
          <t>vs. spot</t>
        </is>
      </c>
      <c r="D26" s="25" t="inlineStr">
        <is>
          <t>Annual return needed</t>
        </is>
      </c>
      <c r="E26" s="25" t="inlineStr">
        <is>
          <t>Market P(above)</t>
        </is>
      </c>
    </row>
    <row r="27">
      <c r="A27" s="14" t="inlineStr">
        <is>
          <t>Forward price at long expiry</t>
        </is>
      </c>
      <c r="B27" s="53">
        <f>B4*EXP((B10-B11)*B9)</f>
        <v>122.14807948266578</v>
      </c>
    </row>
    <row r="28">
      <c r="A28" s="14" t="inlineStr">
        <is>
          <t>Bear</t>
        </is>
      </c>
      <c r="B28" s="51">
        <f>Assumptions!D30</f>
        <v>62.167353153573124</v>
      </c>
      <c r="C28" s="69">
        <f>B28/$B$4-1</f>
        <v>-0.4669008862189845</v>
      </c>
      <c r="D28" s="69">
        <f>IF(B28&gt;0,(B28/$B$4)^(1/$B$9)-1,"")</f>
        <v>-0.41887853638652917</v>
      </c>
      <c r="E28" s="69">
        <f>IF(B28&gt;0,NORMSDIST((LN($B$27/B28)-$B$13^2*$B$9/2)/($B$13*SQRT($B$9))),1)</f>
        <v>0.9528418155380578</v>
      </c>
    </row>
    <row r="29">
      <c r="A29" s="14" t="inlineStr">
        <is>
          <t>Base (reviewed)</t>
        </is>
      </c>
      <c r="B29" s="51">
        <f>Assumptions!D31</f>
        <v>88.66765363149035</v>
      </c>
      <c r="C29" s="69">
        <f>B29/$B$4-1</f>
        <v>-0.23965481600574234</v>
      </c>
      <c r="D29" s="69">
        <f>IF(B29&gt;0,(B29/$B$4)^(1/$B$9)-1,"")</f>
        <v>-0.21054731969262108</v>
      </c>
      <c r="E29" s="69">
        <f>IF(B29&gt;0,NORMSDIST((LN($B$27/B29)-$B$13^2*$B$9/2)/($B$13*SQRT($B$9))),1)</f>
        <v>0.7573542742901629</v>
      </c>
    </row>
    <row r="30">
      <c r="A30" s="14" t="inlineStr">
        <is>
          <t>Bull</t>
        </is>
      </c>
      <c r="B30" s="51">
        <f>Assumptions!D32</f>
        <v>143.1205546988477</v>
      </c>
      <c r="C30" s="69">
        <f>B30/$B$4-1</f>
        <v>0.22729112634607662</v>
      </c>
      <c r="D30" s="69">
        <f>IF(B30&gt;0,(B30/$B$4)^(1/$B$9)-1,"")</f>
        <v>0.19330502692095575</v>
      </c>
      <c r="E30" s="69">
        <f>IF(B30&gt;0,NORMSDIST((LN($B$27/B30)-$B$13^2*$B$9/2)/($B$13*SQRT($B$9))),1)</f>
        <v>0.2685332265405203</v>
      </c>
    </row>
    <row r="32">
      <c r="A32" s="27" t="inlineStr">
        <is>
          <t>Chain, 2027-12-17 expiry</t>
        </is>
      </c>
    </row>
    <row r="33">
      <c r="A33" s="54" t="inlineStr">
        <is>
          <t>Strike</t>
        </is>
      </c>
      <c r="B33" s="54" t="inlineStr">
        <is>
          <t>Call bid</t>
        </is>
      </c>
      <c r="C33" s="54" t="inlineStr">
        <is>
          <t>Call ask</t>
        </is>
      </c>
      <c r="D33" s="54" t="inlineStr">
        <is>
          <t>Call IV</t>
        </is>
      </c>
      <c r="E33" s="54" t="inlineStr">
        <is>
          <t>Put bid</t>
        </is>
      </c>
      <c r="F33" s="54" t="inlineStr">
        <is>
          <t>Put ask</t>
        </is>
      </c>
      <c r="G33" s="54" t="inlineStr">
        <is>
          <t>Put IV</t>
        </is>
      </c>
      <c r="H33" s="54" t="inlineStr">
        <is>
          <t>Call OI</t>
        </is>
      </c>
      <c r="I33" s="54" t="inlineStr">
        <is>
          <t>Put OI</t>
        </is>
      </c>
    </row>
    <row r="34">
      <c r="A34" s="11" t="n">
        <v>60</v>
      </c>
      <c r="B34" s="52" t="n">
        <v>58.5</v>
      </c>
      <c r="C34" s="52" t="n">
        <v>63</v>
      </c>
      <c r="D34" s="59" t="n">
        <v>0.4361</v>
      </c>
      <c r="E34" s="52" t="n">
        <v>0</v>
      </c>
      <c r="F34" s="52" t="n">
        <v>5</v>
      </c>
      <c r="G34" s="59" t="n">
        <v>0.5457</v>
      </c>
      <c r="H34" s="55" t="n">
        <v>0</v>
      </c>
      <c r="I34" s="55" t="n">
        <v>0</v>
      </c>
    </row>
    <row r="35">
      <c r="A35" s="11" t="n">
        <v>90</v>
      </c>
      <c r="B35" s="52" t="n">
        <v>33.5</v>
      </c>
      <c r="C35" s="52" t="n">
        <v>38.5</v>
      </c>
      <c r="D35" s="59" t="n">
        <v>0.3625</v>
      </c>
      <c r="E35" s="52" t="n">
        <v>2</v>
      </c>
      <c r="F35" s="52" t="n">
        <v>7</v>
      </c>
      <c r="G35" s="59" t="n">
        <v>0.3556</v>
      </c>
      <c r="H35" s="55" t="n">
        <v>29</v>
      </c>
      <c r="I35" s="55" t="n">
        <v>4</v>
      </c>
    </row>
    <row r="36">
      <c r="A36" s="11" t="n">
        <v>100</v>
      </c>
      <c r="B36" s="52" t="n">
        <v>27</v>
      </c>
      <c r="C36" s="52" t="n">
        <v>31.5</v>
      </c>
      <c r="D36" s="59" t="n">
        <v>0.3541</v>
      </c>
      <c r="E36" s="52" t="n">
        <v>4.5</v>
      </c>
      <c r="F36" s="52" t="n">
        <v>9.5</v>
      </c>
      <c r="G36" s="59" t="n">
        <v>0.3408</v>
      </c>
      <c r="H36" s="55" t="n">
        <v>23</v>
      </c>
      <c r="I36" s="55" t="n">
        <v>6</v>
      </c>
    </row>
    <row r="37">
      <c r="A37" s="11" t="n">
        <v>105</v>
      </c>
      <c r="B37" s="52" t="n">
        <v>23.5</v>
      </c>
      <c r="C37" s="52" t="n">
        <v>28.5</v>
      </c>
      <c r="D37" s="59" t="n">
        <v>0.3457</v>
      </c>
      <c r="E37" s="52" t="n">
        <v>6.5</v>
      </c>
      <c r="F37" s="52" t="n">
        <v>11.5</v>
      </c>
      <c r="G37" s="59" t="n">
        <v>0.344</v>
      </c>
      <c r="H37" s="55" t="n">
        <v>3</v>
      </c>
      <c r="I37" s="55" t="n">
        <v>7</v>
      </c>
    </row>
    <row r="38">
      <c r="A38" s="11" t="n">
        <v>110</v>
      </c>
      <c r="B38" s="52" t="n">
        <v>21</v>
      </c>
      <c r="C38" s="52" t="n">
        <v>25.5</v>
      </c>
      <c r="D38" s="59" t="n">
        <v>0.3446</v>
      </c>
      <c r="E38" s="52" t="n">
        <v>8.5</v>
      </c>
      <c r="F38" s="52" t="n">
        <v>13.5</v>
      </c>
      <c r="G38" s="59" t="n">
        <v>0.3406</v>
      </c>
      <c r="H38" s="55" t="n">
        <v>39</v>
      </c>
      <c r="I38" s="55" t="n">
        <v>53</v>
      </c>
    </row>
    <row r="39">
      <c r="A39" s="11" t="n">
        <v>115</v>
      </c>
      <c r="B39" s="52" t="n">
        <v>18</v>
      </c>
      <c r="C39" s="52" t="n">
        <v>23</v>
      </c>
      <c r="D39" s="59" t="n">
        <v>0.3387</v>
      </c>
      <c r="E39" s="52" t="n">
        <v>11</v>
      </c>
      <c r="F39" s="52" t="n">
        <v>15.5</v>
      </c>
      <c r="G39" s="59" t="n">
        <v>0.3378</v>
      </c>
      <c r="H39" s="55" t="n">
        <v>32</v>
      </c>
      <c r="I39" s="55" t="n">
        <v>0</v>
      </c>
    </row>
    <row r="40">
      <c r="A40" s="11" t="n">
        <v>120</v>
      </c>
      <c r="B40" s="52" t="n">
        <v>16</v>
      </c>
      <c r="C40" s="52" t="n">
        <v>20.5</v>
      </c>
      <c r="D40" s="59" t="n">
        <v>0.339</v>
      </c>
      <c r="E40" s="52" t="n">
        <v>13.5</v>
      </c>
      <c r="F40" s="52" t="n">
        <v>18.5</v>
      </c>
      <c r="G40" s="59" t="n">
        <v>0.3404</v>
      </c>
      <c r="H40" s="55" t="n">
        <v>39</v>
      </c>
      <c r="I40" s="55" t="n">
        <v>0</v>
      </c>
    </row>
    <row r="41">
      <c r="A41" s="11" t="n">
        <v>125</v>
      </c>
      <c r="B41" s="52" t="n">
        <v>13.5</v>
      </c>
      <c r="C41" s="52" t="n">
        <v>18.5</v>
      </c>
      <c r="D41" s="59" t="n">
        <v>0.335</v>
      </c>
      <c r="E41" s="52" t="n">
        <v>16.5</v>
      </c>
      <c r="F41" s="52" t="n">
        <v>21</v>
      </c>
      <c r="G41" s="59" t="n">
        <v>0.3377</v>
      </c>
      <c r="H41" s="55" t="n">
        <v>125</v>
      </c>
      <c r="I41" s="55" t="n">
        <v>1</v>
      </c>
    </row>
    <row r="42">
      <c r="A42" s="11" t="n">
        <v>130</v>
      </c>
      <c r="B42" s="52" t="n">
        <v>11.5</v>
      </c>
      <c r="C42" s="52" t="n">
        <v>16.5</v>
      </c>
      <c r="D42" s="59" t="n">
        <v>0.3321</v>
      </c>
      <c r="E42" s="52" t="n">
        <v>19.5</v>
      </c>
      <c r="F42" s="52" t="n">
        <v>24</v>
      </c>
      <c r="G42" s="59" t="n">
        <v>0.3355</v>
      </c>
      <c r="H42" s="55" t="n">
        <v>10</v>
      </c>
      <c r="I42" s="55" t="n">
        <v>0</v>
      </c>
    </row>
    <row r="43">
      <c r="A43" s="11" t="n">
        <v>135</v>
      </c>
      <c r="B43" s="52" t="n">
        <v>10</v>
      </c>
      <c r="C43" s="52" t="n">
        <v>15</v>
      </c>
      <c r="D43" s="59" t="n">
        <v>0.3353</v>
      </c>
      <c r="E43" s="52" t="n">
        <v>22.5</v>
      </c>
      <c r="F43" s="52" t="n">
        <v>27.5</v>
      </c>
      <c r="G43" s="59" t="n">
        <v>0.3335</v>
      </c>
      <c r="H43" s="55" t="n">
        <v>0</v>
      </c>
      <c r="I43" s="55" t="n">
        <v>1</v>
      </c>
    </row>
    <row r="44">
      <c r="A44" s="11" t="n">
        <v>145</v>
      </c>
      <c r="B44" s="52" t="n">
        <v>7</v>
      </c>
      <c r="C44" s="52" t="n">
        <v>12</v>
      </c>
      <c r="D44" s="59" t="n">
        <v>0.3315</v>
      </c>
      <c r="E44" s="52" t="n">
        <v>30</v>
      </c>
      <c r="F44" s="52" t="n">
        <v>35</v>
      </c>
      <c r="G44" s="59" t="n">
        <v>0.3378</v>
      </c>
      <c r="H44" s="55" t="n">
        <v>18</v>
      </c>
      <c r="I44" s="55" t="n">
        <v>1</v>
      </c>
    </row>
    <row r="46">
      <c r="A46" s="27" t="inlineStr">
        <is>
          <t>Strategies, 2027-12-17 expiry (premium: + = credit; P/L at expiry per contract)</t>
        </is>
      </c>
    </row>
    <row r="47">
      <c r="A47" s="20" t="inlineStr">
        <is>
          <t>Leg prices</t>
        </is>
      </c>
    </row>
    <row r="48">
      <c r="A48" s="14" t="inlineStr">
        <is>
          <t>ATM call (mid)</t>
        </is>
      </c>
      <c r="B48" s="30" t="n">
        <v>115</v>
      </c>
      <c r="C48" s="52" t="n">
        <v>20.5</v>
      </c>
    </row>
    <row r="49">
      <c r="A49" s="14" t="inlineStr">
        <is>
          <t>Upper call (theo)</t>
        </is>
      </c>
      <c r="B49" s="30" t="n">
        <v>145</v>
      </c>
      <c r="C49" s="52" t="n">
        <v>9.4932</v>
      </c>
    </row>
    <row r="50">
      <c r="A50" s="14" t="inlineStr">
        <is>
          <t>ATM put (mid)</t>
        </is>
      </c>
      <c r="B50" s="30" t="n">
        <v>115</v>
      </c>
      <c r="C50" s="52" t="n">
        <v>13.25</v>
      </c>
    </row>
    <row r="51">
      <c r="A51" s="14" t="inlineStr">
        <is>
          <t>Lower put (theo)</t>
        </is>
      </c>
      <c r="B51" s="30" t="n">
        <v>60</v>
      </c>
      <c r="C51" s="52" t="n">
        <v>0.2832</v>
      </c>
    </row>
    <row r="52">
      <c r="A52" s="14" t="inlineStr">
        <is>
          <t>Short-put strike (theo)</t>
        </is>
      </c>
      <c r="B52" s="30" t="n">
        <v>105</v>
      </c>
      <c r="C52" s="52" t="n">
        <v>8.794</v>
      </c>
    </row>
    <row r="54">
      <c r="A54" s="24" t="inlineStr">
        <is>
          <t>Strategy</t>
        </is>
      </c>
      <c r="B54" s="25" t="inlineStr">
        <is>
          <t>Premium</t>
        </is>
      </c>
      <c r="C54" s="25" t="inlineStr">
        <is>
          <t>Max profit</t>
        </is>
      </c>
      <c r="D54" s="25" t="inlineStr">
        <is>
          <t>Max loss</t>
        </is>
      </c>
      <c r="E54" s="25" t="inlineStr">
        <is>
          <t>Breakeven</t>
        </is>
      </c>
      <c r="F54" s="25" t="inlineStr">
        <is>
          <t>P/L at bear</t>
        </is>
      </c>
      <c r="G54" s="25" t="inlineStr">
        <is>
          <t>P/L at spot</t>
        </is>
      </c>
      <c r="H54" s="25" t="inlineStr">
        <is>
          <t>P/L at base</t>
        </is>
      </c>
      <c r="I54" s="25" t="inlineStr">
        <is>
          <t>P/L at bull</t>
        </is>
      </c>
      <c r="J54" s="25" t="inlineStr">
        <is>
          <t>Market P(profit)</t>
        </is>
      </c>
    </row>
    <row r="55">
      <c r="A55" s="14" t="inlineStr">
        <is>
          <t>Long ATM call</t>
        </is>
      </c>
      <c r="B55" s="73">
        <f>-$C$48*$B$14</f>
        <v>-2050.0</v>
      </c>
      <c r="C55" s="73" t="str">
        <f>"Unlimited"</f>
        <v>Unlimited</v>
      </c>
      <c r="D55" s="73">
        <f>B55</f>
        <v>-2050.0</v>
      </c>
      <c r="E55" s="53">
        <f>$B$48+$C$48</f>
        <v>135.5</v>
      </c>
      <c r="F55" s="73">
        <f>(MAX($B$28-$B$48,0)-$C$48)*$B$14</f>
        <v>-2050.0</v>
      </c>
      <c r="G55" s="73">
        <f>(MAX($B$4-$B$48,0)-$C$48)*$B$14</f>
        <v>-1888.5000000000005</v>
      </c>
      <c r="H55" s="73">
        <f>(MAX($B$29-$B$48,0)-$C$48)*$B$14</f>
        <v>-2050.0</v>
      </c>
      <c r="I55" s="73">
        <f>(MAX($B$30-$B$48,0)-$C$48)*$B$14</f>
        <v>762.0554698847712</v>
      </c>
      <c r="J55" s="69">
        <f>NORMSDIST((LN($B$27/(E55))-$B$13^2*$B$9/2)/($B$13*SQRT($B$9)))</f>
        <v>0.32026046947177467</v>
      </c>
    </row>
    <row r="56">
      <c r="A56" s="14" t="inlineStr">
        <is>
          <t>Bull call spread (ATM / upper)</t>
        </is>
      </c>
      <c r="B56" s="73">
        <f>-($C$48-$C$49)*$B$14</f>
        <v>-1100.68</v>
      </c>
      <c r="C56" s="73">
        <f>($B$49-$B$48)*$B$14+B56</f>
        <v>1899.32</v>
      </c>
      <c r="D56" s="73">
        <f>B56</f>
        <v>-1100.68</v>
      </c>
      <c r="E56" s="53">
        <f>$B$48+$C$48-$C$49</f>
        <v>126.0068</v>
      </c>
      <c r="F56" s="73">
        <f>(MAX($B$28-$B$48,0)-MAX($B$28-$B$49,0)-$C$48+$C$49)*$B$14</f>
        <v>-1100.68</v>
      </c>
      <c r="G56" s="73">
        <f>(MAX($B$4-$B$48,0)-MAX($B$4-$B$49,0)-$C$48+$C$49)*$B$14</f>
        <v>-939.1800000000005</v>
      </c>
      <c r="H56" s="73">
        <f>(MAX($B$29-$B$48,0)-MAX($B$29-$B$49,0)-$C$48+$C$49)*$B$14</f>
        <v>-1100.68</v>
      </c>
      <c r="I56" s="73">
        <f>(MAX($B$30-$B$48,0)-MAX($B$30-$B$49,0)-$C$48+$C$49)*$B$14</f>
        <v>1711.3754698847715</v>
      </c>
      <c r="J56" s="69">
        <f>NORMSDIST((LN($B$27/(E56))-$B$13^2*$B$9/2)/($B$13*SQRT($B$9)))</f>
        <v>0.3945552538718965</v>
      </c>
    </row>
    <row r="57">
      <c r="A57" s="14" t="inlineStr">
        <is>
          <t>Cash-secured put (~10% below spot)</t>
        </is>
      </c>
      <c r="B57" s="73">
        <f>$C$52*$B$14</f>
        <v>879.4000000000001</v>
      </c>
      <c r="C57" s="73">
        <f>B57</f>
        <v>879.4000000000001</v>
      </c>
      <c r="D57" s="73">
        <f>-($B$52*$B$14-B57)</f>
        <v>-9620.6</v>
      </c>
      <c r="E57" s="53">
        <f>$B$52-$C$52</f>
        <v>96.206</v>
      </c>
      <c r="F57" s="73">
        <f>($C$52-MAX($B$52-$B$28,0))*$B$14</f>
        <v>-3403.8646846426873</v>
      </c>
      <c r="G57" s="73">
        <f>($C$52-MAX($B$52-$B$4,0))*$B$14</f>
        <v>879.4000000000001</v>
      </c>
      <c r="H57" s="73">
        <f>($C$52-MAX($B$52-$B$29,0))*$B$14</f>
        <v>-753.8346368509647</v>
      </c>
      <c r="I57" s="73">
        <f>($C$52-MAX($B$52-$B$30,0))*$B$14</f>
        <v>879.4000000000001</v>
      </c>
      <c r="J57" s="69">
        <f>NORMSDIST((LN($B$27/(E57))-$B$13^2*$B$9/2)/($B$13*SQRT($B$9)))</f>
        <v>0.6821432262988366</v>
      </c>
    </row>
    <row r="58">
      <c r="A58" s="14" t="inlineStr">
        <is>
          <t>Covered call (100 shares + upper call, incl. dividends)</t>
        </is>
      </c>
      <c r="B58" s="73">
        <f>$C$49*$B$14</f>
        <v>949.3199999999999</v>
      </c>
      <c r="C58" s="73">
        <f>($B$49-$B$4)*$B$14+B58+$B$4*$B$11*$B$9*$B$14</f>
        <v>3787.8200000000006</v>
      </c>
      <c r="D58" s="73">
        <f>-($B$4*$B$14-B58-$B$4*$B$11*$B$9*$B$14)</f>
        <v>-10712.18</v>
      </c>
      <c r="E58" s="53">
        <f>$B$4-$C$49-$B$4*$B$11*$B$9</f>
        <v>107.1218</v>
      </c>
      <c r="F58" s="73">
        <f>($B$28-$B$4+$C$49-MAX($B$28-$B$49,0)+$B$4*$B$11*$B$9)*$B$14</f>
        <v>-4495.444684642687</v>
      </c>
      <c r="G58" s="73">
        <f>($B$4-$B$4+$C$49-MAX($B$4-$B$49,0)+$B$4*$B$11*$B$9)*$B$14</f>
        <v>949.3199999999999</v>
      </c>
      <c r="H58" s="73">
        <f>($B$29-$B$4+$C$49-MAX($B$29-$B$49,0)+$B$4*$B$11*$B$9)*$B$14</f>
        <v>-1845.4146368509641</v>
      </c>
      <c r="I58" s="73">
        <f>($B$30-$B$4+$C$49-MAX($B$30-$B$49,0)+$B$4*$B$11*$B$9)*$B$14</f>
        <v>3599.875469884772</v>
      </c>
      <c r="J58" s="69">
        <f>NORMSDIST((LN($B$27/(E58))-$B$13^2*$B$9/2)/($B$13*SQRT($B$9)))</f>
        <v>0.5708369152299839</v>
      </c>
    </row>
    <row r="59">
      <c r="A59" s="14" t="inlineStr">
        <is>
          <t>Bear put spread (ATM / lower)</t>
        </is>
      </c>
      <c r="B59" s="73">
        <f>-($C$50-$C$51)*$B$14</f>
        <v>-1296.6799999999998</v>
      </c>
      <c r="C59" s="73">
        <f>($B$50-$B$51)*$B$14+B59</f>
        <v>4203.32</v>
      </c>
      <c r="D59" s="73">
        <f>B59</f>
        <v>-1296.6799999999998</v>
      </c>
      <c r="E59" s="53">
        <f>$B$50-$C$50+$C$51</f>
        <v>102.0332</v>
      </c>
      <c r="F59" s="73">
        <f>(MAX($B$50-$B$28,0)-MAX($B$51-$B$28,0)-$C$50+$C$51)*$B$14</f>
        <v>3986.5846846426875</v>
      </c>
      <c r="G59" s="73">
        <f>(MAX($B$50-$B$4,0)-MAX($B$51-$B$4,0)-$C$50+$C$51)*$B$14</f>
        <v>-1296.6799999999998</v>
      </c>
      <c r="H59" s="73">
        <f>(MAX($B$50-$B$29,0)-MAX($B$51-$B$29,0)-$C$50+$C$51)*$B$14</f>
        <v>1336.5546368509647</v>
      </c>
      <c r="I59" s="73">
        <f>(MAX($B$50-$B$30,0)-MAX($B$51-$B$30,0)-$C$50+$C$51)*$B$14</f>
        <v>-1296.6799999999998</v>
      </c>
      <c r="J59" s="69">
        <f>1-NORMSDIST((LN($B$27/(E59))-$B$13^2*$B$9/2)/($B$13*SQRT($B$9)))</f>
        <v>0.37745196442662454</v>
      </c>
    </row>
    <row r="61">
      <c r="A61" s="21" t="inlineStr">
        <is>
          <t>Model output, not a recommendation. Not a licensed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2026-10-21T01:03:46Z</dcterms:modified>
  <cp:lastModifiedBy>Wang, Eric</cp:lastModifiedBy>
</cp:coreProperties>
</file>