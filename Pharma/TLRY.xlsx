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Tilray Brands Inc</t>
        </is>
      </c>
      <c r="C2" s="10" t="n"/>
    </row>
    <row r="3">
      <c r="B3" t="inlineStr">
        <is>
          <t>Price</t>
        </is>
      </c>
      <c r="C3" s="11">
        <f>INDEX([1]Pharma!$F$1:$F$1000,MATCH("TLRY",[1]Pharma!$B$1:$B$1000,0))</f>
        <v>3.03</v>
      </c>
      <c r="F3" s="1" t="n"/>
    </row>
    <row r="4">
      <c r="B4" t="inlineStr">
        <is>
          <t>Shares</t>
        </is>
      </c>
      <c r="C4" s="51" t="n">
        <v>147.787523</v>
      </c>
      <c r="F4" s="1" t="n"/>
    </row>
    <row r="5">
      <c r="B5" t="inlineStr">
        <is>
          <t>Market Cap.</t>
        </is>
      </c>
      <c r="C5" s="13">
        <f>C3*C4</f>
        <v>447.79619468999994</v>
      </c>
      <c r="F5" s="1" t="n"/>
    </row>
    <row r="6"/>
    <row r="7">
      <c r="B7" t="inlineStr">
        <is>
          <t>Cash</t>
        </is>
      </c>
      <c r="C7" s="51">
        <f>214.96+3.047</f>
        <v>218.007</v>
      </c>
    </row>
    <row r="8">
      <c r="B8" t="inlineStr">
        <is>
          <t>Debt</t>
        </is>
      </c>
      <c r="C8" s="51">
        <f>8.688+59.224+15.457+118.046</f>
        <v>201.41500000000002</v>
      </c>
    </row>
    <row r="9">
      <c r="B9" t="inlineStr">
        <is>
          <t>Enterprise V.</t>
        </is>
      </c>
      <c r="C9" s="13">
        <f>C5-C7+C8</f>
        <v>431.20419468999995</v>
      </c>
    </row>
    <row r="10"/>
    <row r="11">
      <c r="B11" s="14" t="inlineStr">
        <is>
          <t>NPV / Share</t>
        </is>
      </c>
      <c r="C11" s="11">
        <f>NPV!B28</f>
        <v>4.358416254442109</v>
      </c>
    </row>
    <row r="12">
      <c r="B12" s="14" t="inlineStr">
        <is>
          <t>Upside</t>
        </is>
      </c>
      <c r="C12" s="15">
        <f>IFERROR(C11/C3-1,"")</f>
        <v>0.4384212060865047</v>
      </c>
    </row>
    <row r="13">
      <c r="B13" s="14" t="inlineStr">
        <is>
          <t>Cash / Share</t>
        </is>
      </c>
      <c r="C13" s="11">
        <f>IFERROR((C7-C8)/C4,"")</f>
        <v>0.11226928811845628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2016</v>
      </c>
      <c r="C1" s="16" t="n">
        <v>2017</v>
      </c>
      <c r="D1" s="16" t="n">
        <v>2018</v>
      </c>
      <c r="E1" s="16" t="n">
        <v>2019</v>
      </c>
      <c r="F1" s="16" t="n">
        <v>2020</v>
      </c>
      <c r="G1" s="16" t="n">
        <v>2021</v>
      </c>
      <c r="H1" s="16" t="n">
        <v>2022</v>
      </c>
      <c r="I1" s="16" t="n">
        <v>2023</v>
      </c>
      <c r="J1" s="16" t="n">
        <v>2024</v>
      </c>
      <c r="K1" s="16" t="n">
        <v>2025</v>
      </c>
      <c r="L1" s="16" t="n">
        <v>2026</v>
      </c>
      <c r="M1" s="16" t="n">
        <v>2027</v>
      </c>
      <c r="N1" s="16" t="n">
        <v>2028</v>
      </c>
      <c r="O1" s="16" t="n">
        <v>2029</v>
      </c>
      <c r="P1" s="16" t="n">
        <v>2030</v>
      </c>
      <c r="Q1" s="16" t="n">
        <v>2031</v>
      </c>
      <c r="R1" s="16" t="n">
        <v>2032</v>
      </c>
      <c r="S1" s="16" t="n">
        <v>2033</v>
      </c>
      <c r="T1" s="16" t="n">
        <v>2034</v>
      </c>
      <c r="U1" s="16" t="n">
        <v>2035</v>
      </c>
      <c r="V1" s="16" t="n">
        <v>2036</v>
      </c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12.644</v>
      </c>
      <c r="C2" s="52" t="n">
        <v>20.538</v>
      </c>
      <c r="D2" s="52" t="n">
        <v>43.13</v>
      </c>
      <c r="E2" s="52" t="n">
        <v>179.303</v>
      </c>
      <c r="F2" s="52" t="n">
        <v>405.326</v>
      </c>
      <c r="G2" s="52" t="n">
        <v>513.085</v>
      </c>
      <c r="H2" s="52" t="n">
        <v>628.372</v>
      </c>
      <c r="I2" s="52" t="n">
        <v>627.124</v>
      </c>
      <c r="J2" s="52" t="n">
        <v>788.942</v>
      </c>
      <c r="K2" s="52" t="n">
        <v>821.309</v>
      </c>
      <c r="L2" s="52" t="n">
        <v>915.454</v>
      </c>
      <c r="M2" s="52">
        <f>L2*(1+NPV!C5)</f>
        <v>1020.3650284</v>
      </c>
      <c r="N2" s="52">
        <f>M2*(1+NPV!D5)</f>
        <v>1127.1405599274578</v>
      </c>
      <c r="O2" s="52">
        <f>N2*(1+NPV!E5)</f>
        <v>1233.8682471685888</v>
      </c>
      <c r="P2" s="52">
        <f>O2*(1+NPV!F5)</f>
        <v>1338.4180166453407</v>
      </c>
      <c r="Q2" s="52">
        <f>P2*(1+NPV!G5)</f>
        <v>1438.5019416678201</v>
      </c>
      <c r="R2" s="52">
        <f>Q2*(1+NPV!H5)</f>
        <v>1531.7488341977098</v>
      </c>
      <c r="S2" s="52">
        <f>R2*(1+NPV!I5)</f>
        <v>1615.7907869006908</v>
      </c>
      <c r="T2" s="52">
        <f>S2*(1+NPV!J5)</f>
        <v>1688.3577464634975</v>
      </c>
      <c r="U2" s="52">
        <f>T2*(1+NPV!K5)</f>
        <v>1747.375229467655</v>
      </c>
      <c r="V2" s="52">
        <f>U2*(1+NPV!L5)</f>
        <v>1791.0596102043462</v>
      </c>
    </row>
    <row r="3" customFormat="1" s="1">
      <c r="A3" s="5" t="inlineStr">
        <is>
          <t>Cost of Sales</t>
        </is>
      </c>
      <c r="B3" s="52" t="n">
        <v>9.974</v>
      </c>
      <c r="C3" s="52" t="n">
        <v>9.161</v>
      </c>
      <c r="D3" s="52" t="n">
        <v>28.855</v>
      </c>
      <c r="E3" s="52" t="n">
        <v>190.475</v>
      </c>
      <c r="F3" s="52" t="n">
        <v>185.827</v>
      </c>
      <c r="G3" s="52" t="n">
        <v>389.903</v>
      </c>
      <c r="H3" s="52" t="n">
        <v>511.555</v>
      </c>
      <c r="I3" s="52" t="n">
        <v>480.164</v>
      </c>
      <c r="J3" s="52" t="n">
        <v>565.591</v>
      </c>
      <c r="K3" s="52" t="n">
        <v>580.739</v>
      </c>
      <c r="L3" s="52" t="n">
        <v>655.013</v>
      </c>
      <c r="M3" s="52">
        <f>M2*(1-Assumptions!$B$19)</f>
        <v>730.0711778202001</v>
      </c>
      <c r="N3" s="52">
        <f>N2*(1-Assumptions!$B$19)</f>
        <v>806.4690706280961</v>
      </c>
      <c r="O3" s="52">
        <f>O2*(1-Assumptions!$B$19)</f>
        <v>882.8327308491254</v>
      </c>
      <c r="P3" s="52">
        <f>P2*(1-Assumptions!$B$19)</f>
        <v>957.6380909097413</v>
      </c>
      <c r="Q3" s="52">
        <f>Q2*(1-Assumptions!$B$19)</f>
        <v>1029.2481392633254</v>
      </c>
      <c r="R3" s="52">
        <f>R2*(1-Assumptions!$B$19)</f>
        <v>1095.9662908684613</v>
      </c>
      <c r="S3" s="52">
        <f>S2*(1-Assumptions!$B$19)</f>
        <v>1156.0983080274443</v>
      </c>
      <c r="T3" s="52">
        <f>T2*(1-Assumptions!$B$19)</f>
        <v>1208.0199675946326</v>
      </c>
      <c r="U3" s="52">
        <f>U2*(1-Assumptions!$B$19)</f>
        <v>1250.246976684107</v>
      </c>
      <c r="V3" s="52">
        <f>V2*(1-Assumptions!$B$19)</f>
        <v>1281.5031511012098</v>
      </c>
    </row>
    <row r="4" customFormat="1" s="1">
      <c r="A4" s="5" t="inlineStr">
        <is>
          <t>Gross Margin</t>
        </is>
      </c>
      <c r="B4" s="52">
        <f>B2-B3</f>
        <v>2.67</v>
      </c>
      <c r="C4" s="52">
        <f>C2-C3</f>
        <v>11.377</v>
      </c>
      <c r="D4" s="52">
        <f>D2-D3</f>
        <v>14.275000000000002</v>
      </c>
      <c r="E4" s="52">
        <f>E2-E3</f>
        <v>-11.171999999999997</v>
      </c>
      <c r="F4" s="52">
        <f>F2-F3</f>
        <v>219.49900000000002</v>
      </c>
      <c r="G4" s="52">
        <f>G2-G3</f>
        <v>123.18200000000002</v>
      </c>
      <c r="H4" s="52">
        <f>H2-H3</f>
        <v>116.81699999999995</v>
      </c>
      <c r="I4" s="52">
        <f>I2-I3</f>
        <v>146.96000000000004</v>
      </c>
      <c r="J4" s="52">
        <f>J2-J3</f>
        <v>223.351</v>
      </c>
      <c r="K4" s="52">
        <f>K2-K3</f>
        <v>240.56999999999994</v>
      </c>
      <c r="L4" s="52">
        <f>L2-L3</f>
        <v>260.4409999999999</v>
      </c>
      <c r="M4" s="52">
        <f>M2-M3</f>
        <v>290.29385057979994</v>
      </c>
      <c r="N4" s="52">
        <f>N2-N3</f>
        <v>320.6714892993617</v>
      </c>
      <c r="O4" s="52">
        <f>O2-O3</f>
        <v>351.03551631946345</v>
      </c>
      <c r="P4" s="52">
        <f>P2-P3</f>
        <v>380.77992573559936</v>
      </c>
      <c r="Q4" s="52">
        <f>Q2-Q3</f>
        <v>409.25380240449476</v>
      </c>
      <c r="R4" s="52">
        <f>R2-R3</f>
        <v>435.7825433292485</v>
      </c>
      <c r="S4" s="52">
        <f>S2-S3</f>
        <v>459.6924788732465</v>
      </c>
      <c r="T4" s="52">
        <f>T2-T3</f>
        <v>480.3377788688649</v>
      </c>
      <c r="U4" s="52">
        <f>U2-U3</f>
        <v>497.12825278354785</v>
      </c>
      <c r="V4" s="52">
        <f>V2-V3</f>
        <v>509.5564591031364</v>
      </c>
    </row>
    <row r="5">
      <c r="A5" s="2" t="inlineStr">
        <is>
          <t>Research &amp; Dev.</t>
        </is>
      </c>
      <c r="B5" s="52" t="n">
        <v>1.136</v>
      </c>
      <c r="C5" s="52" t="n">
        <v>3.171</v>
      </c>
      <c r="D5" s="52" t="n">
        <v>5.864</v>
      </c>
      <c r="E5" s="52" t="n">
        <v>9.172000000000001</v>
      </c>
      <c r="F5" s="52" t="n">
        <v>4.411</v>
      </c>
      <c r="G5" s="52" t="n">
        <v>0.83</v>
      </c>
      <c r="H5" s="52" t="n">
        <v>1.518</v>
      </c>
      <c r="I5" s="52" t="n">
        <v>0.6820000000000001</v>
      </c>
      <c r="J5" s="52" t="n">
        <v>0.635</v>
      </c>
      <c r="K5" s="52" t="n">
        <v>0.284</v>
      </c>
      <c r="L5" s="52" t="n">
        <v>0.361</v>
      </c>
      <c r="M5" s="52">
        <f>M7*Assumptions!$B$20</f>
        <v>0.39776787865614355</v>
      </c>
      <c r="N5" s="52">
        <f>N7*Assumptions!$B$20</f>
        <v>0.4112349790084131</v>
      </c>
      <c r="O5" s="52">
        <f>O7*Assumptions!$B$20</f>
        <v>0.41935109956044675</v>
      </c>
      <c r="P5" s="52">
        <f>P7*Assumptions!$B$20</f>
        <v>0.4214490955893847</v>
      </c>
      <c r="Q5" s="52">
        <f>Q7*Assumptions!$B$20</f>
        <v>0.41702890539920934</v>
      </c>
      <c r="R5" s="52">
        <f>R7*Assumptions!$B$20</f>
        <v>0.4057970281509942</v>
      </c>
      <c r="S5" s="52">
        <f>S7*Assumptions!$B$20</f>
        <v>0.38769768878131244</v>
      </c>
      <c r="T5" s="52">
        <f>T7*Assumptions!$B$20</f>
        <v>0.36293275789528623</v>
      </c>
      <c r="U5" s="52">
        <f>U7*Assumptions!$B$20</f>
        <v>0.3319680934694946</v>
      </c>
      <c r="V5" s="52">
        <f>V7*Assumptions!$B$20</f>
        <v>0.29552483568371696</v>
      </c>
    </row>
    <row r="6">
      <c r="A6" s="18" t="inlineStr">
        <is>
          <t>SG&amp;A &amp; Other</t>
        </is>
      </c>
      <c r="B6" s="52" t="n">
        <v>8.583</v>
      </c>
      <c r="C6" s="52" t="n">
        <v>15.704</v>
      </c>
      <c r="D6" s="52" t="n">
        <v>66.251</v>
      </c>
      <c r="E6" s="52" t="n">
        <v>283.794</v>
      </c>
      <c r="F6" s="52" t="n">
        <v>416.212</v>
      </c>
      <c r="G6" s="52" t="n">
        <v>254.523</v>
      </c>
      <c r="H6" s="52" t="n">
        <v>725.7</v>
      </c>
      <c r="I6" s="52" t="n">
        <v>1515.963</v>
      </c>
      <c r="J6" s="52" t="n">
        <v>397.461</v>
      </c>
      <c r="K6" s="52" t="n">
        <v>2522.991</v>
      </c>
      <c r="L6" s="52" t="n">
        <v>323.107</v>
      </c>
      <c r="M6" s="52">
        <f>M7-M5</f>
        <v>361.2093945360198</v>
      </c>
      <c r="N6" s="52">
        <f>N7-N5</f>
        <v>373.43874593773074</v>
      </c>
      <c r="O6" s="52">
        <f>O7-O5</f>
        <v>380.8089212281184</v>
      </c>
      <c r="P6" s="52">
        <f>P7-P5</f>
        <v>382.7140923493058</v>
      </c>
      <c r="Q6" s="52">
        <f>Q7-Q5</f>
        <v>378.70015782115473</v>
      </c>
      <c r="R6" s="52">
        <f>R7-R5</f>
        <v>368.50059220002555</v>
      </c>
      <c r="S6" s="52">
        <f>S7-S5</f>
        <v>352.06474665786635</v>
      </c>
      <c r="T6" s="52">
        <f>T7-T5</f>
        <v>329.57593805600123</v>
      </c>
      <c r="U6" s="52">
        <f>U7-U5</f>
        <v>301.4572077878892</v>
      </c>
      <c r="V6" s="52">
        <f>V7-V5</f>
        <v>268.36341669496807</v>
      </c>
    </row>
    <row r="7">
      <c r="A7" s="2" t="inlineStr">
        <is>
          <t>Operating Expense</t>
        </is>
      </c>
      <c r="B7" s="52">
        <f>SUM(B5:B6)</f>
        <v>9.719</v>
      </c>
      <c r="C7" s="52">
        <f>SUM(C5:C6)</f>
        <v>18.875</v>
      </c>
      <c r="D7" s="52">
        <f>SUM(D5:D6)</f>
        <v>72.11500000000001</v>
      </c>
      <c r="E7" s="52">
        <f>SUM(E5:E6)</f>
        <v>292.966</v>
      </c>
      <c r="F7" s="52">
        <f>SUM(F5:F6)</f>
        <v>420.623</v>
      </c>
      <c r="G7" s="52">
        <f>SUM(G5:G6)</f>
        <v>255.353</v>
      </c>
      <c r="H7" s="52">
        <f>SUM(H5:H6)</f>
        <v>727.2180000000001</v>
      </c>
      <c r="I7" s="52">
        <f>SUM(I5:I6)</f>
        <v>1516.645</v>
      </c>
      <c r="J7" s="52">
        <f>SUM(J5:J6)</f>
        <v>398.096</v>
      </c>
      <c r="K7" s="52">
        <f>SUM(K5:K6)</f>
        <v>2523.275</v>
      </c>
      <c r="L7" s="52">
        <f>SUM(L5:L6)</f>
        <v>323.468</v>
      </c>
      <c r="M7" s="52">
        <f>M4-M2*NPV!C6</f>
        <v>361.60716241467594</v>
      </c>
      <c r="N7" s="52">
        <f>N4-N2*NPV!D6</f>
        <v>373.8499809167392</v>
      </c>
      <c r="O7" s="52">
        <f>O4-O2*NPV!E6</f>
        <v>381.22827232767884</v>
      </c>
      <c r="P7" s="52">
        <f>P4-P2*NPV!F6</f>
        <v>383.1355414448952</v>
      </c>
      <c r="Q7" s="52">
        <f>Q4-Q2*NPV!G6</f>
        <v>379.11718672655394</v>
      </c>
      <c r="R7" s="52">
        <f>R4-R2*NPV!H6</f>
        <v>368.9063892281765</v>
      </c>
      <c r="S7" s="52">
        <f>S4-S2*NPV!I6</f>
        <v>352.45244434664767</v>
      </c>
      <c r="T7" s="52">
        <f>T4-T2*NPV!J6</f>
        <v>329.93887081389653</v>
      </c>
      <c r="U7" s="52">
        <f>U4-U2*NPV!K6</f>
        <v>301.7891758813587</v>
      </c>
      <c r="V7" s="52">
        <f>V4-V2*NPV!L6</f>
        <v>268.65894153065176</v>
      </c>
    </row>
    <row r="8">
      <c r="A8" s="2" t="inlineStr">
        <is>
          <t>Operating Income</t>
        </is>
      </c>
      <c r="B8" s="52">
        <f>B4-B7</f>
        <v>-7.0489999999999995</v>
      </c>
      <c r="C8" s="52">
        <f>C4-C7</f>
        <v>-7.497999999999999</v>
      </c>
      <c r="D8" s="52">
        <f>D4-D7</f>
        <v>-57.84</v>
      </c>
      <c r="E8" s="52">
        <f>E4-E7</f>
        <v>-304.13800000000003</v>
      </c>
      <c r="F8" s="52">
        <f>F4-F7</f>
        <v>-201.12399999999997</v>
      </c>
      <c r="G8" s="52">
        <f>G4-G7</f>
        <v>-132.171</v>
      </c>
      <c r="H8" s="52">
        <f>H4-H7</f>
        <v>-610.4010000000001</v>
      </c>
      <c r="I8" s="52">
        <f>I4-I7</f>
        <v>-1369.685</v>
      </c>
      <c r="J8" s="52">
        <f>J4-J7</f>
        <v>-174.745</v>
      </c>
      <c r="K8" s="52">
        <f>K4-K7</f>
        <v>-2282.705</v>
      </c>
      <c r="L8" s="52">
        <f>L4-L7</f>
        <v>-63.0270000000001</v>
      </c>
      <c r="M8" s="52">
        <f>M4-M7</f>
        <v>-71.313311834876</v>
      </c>
      <c r="N8" s="52">
        <f>N4-N7</f>
        <v>-53.17849161737746</v>
      </c>
      <c r="O8" s="52">
        <f>O4-O7</f>
        <v>-30.192756008215383</v>
      </c>
      <c r="P8" s="52">
        <f>P4-P7</f>
        <v>-2.3556157092958188</v>
      </c>
      <c r="Q8" s="52">
        <f>Q4-Q7</f>
        <v>30.136615677940824</v>
      </c>
      <c r="R8" s="52">
        <f>R4-R7</f>
        <v>66.87615410107196</v>
      </c>
      <c r="S8" s="52">
        <f>S4-S7</f>
        <v>107.24003452659883</v>
      </c>
      <c r="T8" s="52">
        <f>T4-T7</f>
        <v>150.3989080549684</v>
      </c>
      <c r="U8" s="52">
        <f>U4-U7</f>
        <v>195.33907690218916</v>
      </c>
      <c r="V8" s="52">
        <f>V4-V7</f>
        <v>240.89751757248462</v>
      </c>
    </row>
    <row r="9">
      <c r="A9" s="18" t="inlineStr">
        <is>
          <t>Interest &amp; Other</t>
        </is>
      </c>
      <c r="B9" s="52" t="n">
        <v>-0.834</v>
      </c>
      <c r="C9" s="52" t="n">
        <v>-0.311</v>
      </c>
      <c r="D9" s="52" t="n">
        <v>-14.334</v>
      </c>
      <c r="E9" s="52" t="n">
        <v>-25.481</v>
      </c>
      <c r="F9" s="52" t="n">
        <v>-75.551</v>
      </c>
      <c r="G9" s="52" t="n">
        <v>-244.222</v>
      </c>
      <c r="H9" s="52" t="n">
        <v>127.058</v>
      </c>
      <c r="I9" s="52" t="n">
        <v>-90.152</v>
      </c>
      <c r="J9" s="52" t="n">
        <v>-96.852</v>
      </c>
      <c r="K9" s="52" t="n">
        <v>-25.05</v>
      </c>
      <c r="L9" s="52" t="n">
        <v>-41.272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0</v>
      </c>
      <c r="V9" s="52" t="n">
        <v>0</v>
      </c>
    </row>
    <row r="10">
      <c r="A10" s="2" t="inlineStr">
        <is>
          <t>Pretax</t>
        </is>
      </c>
      <c r="B10" s="52">
        <f>B8+B9</f>
        <v>-7.882999999999999</v>
      </c>
      <c r="C10" s="52">
        <f>C8+C9</f>
        <v>-7.808999999999999</v>
      </c>
      <c r="D10" s="52">
        <f>D8+D9</f>
        <v>-72.174</v>
      </c>
      <c r="E10" s="52">
        <f>E8+E9</f>
        <v>-329.619</v>
      </c>
      <c r="F10" s="52">
        <f>F8+F9</f>
        <v>-276.67499999999995</v>
      </c>
      <c r="G10" s="52">
        <f>G8+G9</f>
        <v>-376.39300000000003</v>
      </c>
      <c r="H10" s="52">
        <f>H8+H9</f>
        <v>-483.3430000000001</v>
      </c>
      <c r="I10" s="52">
        <f>I8+I9</f>
        <v>-1459.837</v>
      </c>
      <c r="J10" s="52">
        <f>J8+J9</f>
        <v>-271.597</v>
      </c>
      <c r="K10" s="52">
        <f>K8+K9</f>
        <v>-2307.755</v>
      </c>
      <c r="L10" s="52">
        <f>L8+L9</f>
        <v>-104.29900000000009</v>
      </c>
      <c r="M10" s="52">
        <f>M8+M9</f>
        <v>-71.313311834876</v>
      </c>
      <c r="N10" s="52">
        <f>N8+N9</f>
        <v>-53.17849161737746</v>
      </c>
      <c r="O10" s="52">
        <f>O8+O9</f>
        <v>-30.192756008215383</v>
      </c>
      <c r="P10" s="52">
        <f>P8+P9</f>
        <v>-2.3556157092958188</v>
      </c>
      <c r="Q10" s="52">
        <f>Q8+Q9</f>
        <v>30.136615677940824</v>
      </c>
      <c r="R10" s="52">
        <f>R8+R9</f>
        <v>66.87615410107196</v>
      </c>
      <c r="S10" s="52">
        <f>S8+S9</f>
        <v>107.24003452659883</v>
      </c>
      <c r="T10" s="52">
        <f>T8+T9</f>
        <v>150.3989080549684</v>
      </c>
      <c r="U10" s="52">
        <f>U8+U9</f>
        <v>195.33907690218916</v>
      </c>
      <c r="V10" s="52">
        <f>V8+V9</f>
        <v>240.89751757248462</v>
      </c>
    </row>
    <row r="11">
      <c r="A11" s="2" t="inlineStr">
        <is>
          <t>Taxes</t>
        </is>
      </c>
      <c r="B11" s="52" t="n">
        <v>0</v>
      </c>
      <c r="C11" s="52" t="n">
        <v>0</v>
      </c>
      <c r="D11" s="52" t="n">
        <v>-4.451</v>
      </c>
      <c r="E11" s="52" t="n">
        <v>-8.449999999999999</v>
      </c>
      <c r="F11" s="52" t="n">
        <v>-5.602</v>
      </c>
      <c r="G11" s="52" t="n">
        <v>-8.972</v>
      </c>
      <c r="H11" s="52" t="n">
        <v>-6.542</v>
      </c>
      <c r="I11" s="52" t="n">
        <v>-7.181</v>
      </c>
      <c r="J11" s="52" t="n">
        <v>-26.616</v>
      </c>
      <c r="K11" s="52" t="n">
        <v>-121.017</v>
      </c>
      <c r="L11" s="52" t="n">
        <v>17.098</v>
      </c>
      <c r="M11" s="52">
        <f>MAX(0,M10)*Assumptions!$E$14</f>
        <v>0.0</v>
      </c>
      <c r="N11" s="52">
        <f>MAX(0,N10)*Assumptions!$E$14</f>
        <v>0.0</v>
      </c>
      <c r="O11" s="52">
        <f>MAX(0,O10)*Assumptions!$E$14</f>
        <v>0.0</v>
      </c>
      <c r="P11" s="52">
        <f>MAX(0,P10)*Assumptions!$E$14</f>
        <v>0.0</v>
      </c>
      <c r="Q11" s="52">
        <f>MAX(0,Q10)*Assumptions!$E$14</f>
        <v>5.123224665249941</v>
      </c>
      <c r="R11" s="52">
        <f>MAX(0,R10)*Assumptions!$E$14</f>
        <v>11.368946197182234</v>
      </c>
      <c r="S11" s="52">
        <f>MAX(0,S10)*Assumptions!$E$14</f>
        <v>18.230805869521802</v>
      </c>
      <c r="T11" s="52">
        <f>MAX(0,T10)*Assumptions!$E$14</f>
        <v>25.567814369344628</v>
      </c>
      <c r="U11" s="52">
        <f>MAX(0,U10)*Assumptions!$E$14</f>
        <v>33.20764307337216</v>
      </c>
      <c r="V11" s="52">
        <f>MAX(0,V10)*Assumptions!$E$14</f>
        <v>40.952577987322385</v>
      </c>
    </row>
    <row r="12">
      <c r="A12" s="2" t="inlineStr">
        <is>
          <t>Net Income</t>
        </is>
      </c>
      <c r="B12" s="52" t="n">
        <v>-7.883</v>
      </c>
      <c r="C12" s="52" t="n">
        <v>-7.809</v>
      </c>
      <c r="D12" s="52" t="n">
        <v>-67.723</v>
      </c>
      <c r="E12" s="52" t="n">
        <v>-321.169</v>
      </c>
      <c r="F12" s="52" t="n">
        <v>-271.073</v>
      </c>
      <c r="G12" s="52" t="n">
        <v>-367.421</v>
      </c>
      <c r="H12" s="52" t="n">
        <v>-476.801</v>
      </c>
      <c r="I12" s="52" t="n">
        <v>-1452.656</v>
      </c>
      <c r="J12" s="52" t="n">
        <v>-244.981</v>
      </c>
      <c r="K12" s="52" t="n">
        <v>-2186.738</v>
      </c>
      <c r="L12" s="52" t="n">
        <v>-121.397</v>
      </c>
      <c r="M12" s="52">
        <f>M10-M11</f>
        <v>-71.313311834876</v>
      </c>
      <c r="N12" s="52">
        <f>N10-N11</f>
        <v>-53.17849161737746</v>
      </c>
      <c r="O12" s="52">
        <f>O10-O11</f>
        <v>-30.192756008215383</v>
      </c>
      <c r="P12" s="52">
        <f>P10-P11</f>
        <v>-2.3556157092958188</v>
      </c>
      <c r="Q12" s="52">
        <f>Q10-Q11</f>
        <v>25.01339101269088</v>
      </c>
      <c r="R12" s="52">
        <f>R10-R11</f>
        <v>55.50720790388973</v>
      </c>
      <c r="S12" s="52">
        <f>S10-S11</f>
        <v>89.00922865707703</v>
      </c>
      <c r="T12" s="52">
        <f>T10-T11</f>
        <v>124.83109368562376</v>
      </c>
      <c r="U12" s="52">
        <f>U10-U11</f>
        <v>162.131433828817</v>
      </c>
      <c r="V12" s="52">
        <f>V10-V11</f>
        <v>199.94493958516222</v>
      </c>
    </row>
    <row r="13">
      <c r="A13" s="2" t="inlineStr">
        <is>
          <t>Earnings per Share</t>
        </is>
      </c>
      <c r="B13" s="11">
        <f>IFERROR(B12/B14,0)</f>
        <v>-0.10510666666666667</v>
      </c>
      <c r="C13" s="11">
        <f>IFERROR(C12/C14,0)</f>
        <v>-0.10412</v>
      </c>
      <c r="D13" s="11">
        <f>IFERROR(D12/D14,0)</f>
        <v>-0.8158414648837489</v>
      </c>
      <c r="E13" s="11">
        <f>IFERROR(E12/E14,0)</f>
        <v>-1.5785363216357022</v>
      </c>
      <c r="F13" s="11">
        <f>IFERROR(F12/F14,0)</f>
        <v>-1.2540502780373615</v>
      </c>
      <c r="G13" s="11">
        <f>IFERROR(G12/G14,0)</f>
        <v>-1.3630903357447597</v>
      </c>
      <c r="H13" s="11">
        <f>IFERROR(H12/H14,0)</f>
        <v>-0.9908191488698492</v>
      </c>
      <c r="I13" s="11">
        <f>IFERROR(I12/I14,0)</f>
        <v>-2.350640713417683</v>
      </c>
      <c r="J13" s="11">
        <f>IFERROR(J12/J14,0)</f>
        <v>-3.298740995085168</v>
      </c>
      <c r="K13" s="11">
        <f>IFERROR(K12/K14,0)</f>
        <v>-24.560983006301033</v>
      </c>
      <c r="L13" s="11">
        <f>IFERROR(L12/L14,0)</f>
        <v>-1.085530080835539</v>
      </c>
      <c r="M13" s="11">
        <f>IFERROR(M12/M14,0)</f>
        <v>-0.4825394619739043</v>
      </c>
      <c r="N13" s="11">
        <f>IFERROR(N12/N14,0)</f>
        <v>-0.35983072547590816</v>
      </c>
      <c r="O13" s="11">
        <f>IFERROR(O12/O14,0)</f>
        <v>-0.20429841028065263</v>
      </c>
      <c r="P13" s="11">
        <f>IFERROR(P12/P14,0)</f>
        <v>-0.015939205566736638</v>
      </c>
      <c r="Q13" s="11">
        <f>IFERROR(Q12/Q14,0)</f>
        <v>0.16925238683844024</v>
      </c>
      <c r="R13" s="11">
        <f>IFERROR(R12/R14,0)</f>
        <v>0.37558791687637755</v>
      </c>
      <c r="S13" s="11">
        <f>IFERROR(S12/S14,0)</f>
        <v>0.602278371341788</v>
      </c>
      <c r="T13" s="11">
        <f>IFERROR(T12/T14,0)</f>
        <v>0.8446659850008026</v>
      </c>
      <c r="U13" s="11">
        <f>IFERROR(U12/U14,0)</f>
        <v>1.0970576577619275</v>
      </c>
      <c r="V13" s="11">
        <f>IFERROR(V12/V14,0)</f>
        <v>1.3529216508024309</v>
      </c>
    </row>
    <row r="14">
      <c r="A14" s="2" t="inlineStr">
        <is>
          <t>Shares</t>
        </is>
      </c>
      <c r="B14" s="52" t="n">
        <v>75</v>
      </c>
      <c r="C14" s="52" t="n">
        <v>75</v>
      </c>
      <c r="D14" s="52" t="n">
        <v>83.01000000000001</v>
      </c>
      <c r="E14" s="52" t="n">
        <v>203.46</v>
      </c>
      <c r="F14" s="52" t="n">
        <v>216.158</v>
      </c>
      <c r="G14" s="52" t="n">
        <v>269.55</v>
      </c>
      <c r="H14" s="52" t="n">
        <v>481.219</v>
      </c>
      <c r="I14" s="52" t="n">
        <v>617.9829999999999</v>
      </c>
      <c r="J14" s="52" t="n">
        <v>74.265</v>
      </c>
      <c r="K14" s="52" t="n">
        <v>89.033</v>
      </c>
      <c r="L14" s="52" t="n">
        <v>111.832</v>
      </c>
      <c r="M14" s="52">
        <f>Main!$C$4</f>
        <v>147.787523</v>
      </c>
      <c r="N14" s="52">
        <f>Main!$C$4</f>
        <v>147.787523</v>
      </c>
      <c r="O14" s="52">
        <f>Main!$C$4</f>
        <v>147.787523</v>
      </c>
      <c r="P14" s="52">
        <f>Main!$C$4</f>
        <v>147.787523</v>
      </c>
      <c r="Q14" s="52">
        <f>Main!$C$4</f>
        <v>147.787523</v>
      </c>
      <c r="R14" s="52">
        <f>Main!$C$4</f>
        <v>147.787523</v>
      </c>
      <c r="S14" s="52">
        <f>Main!$C$4</f>
        <v>147.787523</v>
      </c>
      <c r="T14" s="52">
        <f>Main!$C$4</f>
        <v>147.787523</v>
      </c>
      <c r="U14" s="52">
        <f>Main!$C$4</f>
        <v>147.787523</v>
      </c>
      <c r="V14" s="52">
        <f>Main!$C$4</f>
        <v>147.787523</v>
      </c>
    </row>
    <row r="15"/>
    <row r="16" customFormat="1" s="4">
      <c r="A16" s="3" t="inlineStr">
        <is>
          <t>Revenue Change</t>
        </is>
      </c>
      <c r="C16" s="15">
        <f>IFERROR(C2/B2-1,"")</f>
        <v>0.6243277443846884</v>
      </c>
      <c r="D16" s="15">
        <f>IFERROR(D2/C2-1,"")</f>
        <v>1.100009738046548</v>
      </c>
      <c r="E16" s="15">
        <f>IFERROR(E2/D2-1,"")</f>
        <v>3.15726872246696</v>
      </c>
      <c r="F16" s="15">
        <f>IFERROR(F2/E2-1,"")</f>
        <v>1.2605645192774242</v>
      </c>
      <c r="G16" s="15">
        <f>IFERROR(G2/F2-1,"")</f>
        <v>0.26585760597642394</v>
      </c>
      <c r="H16" s="15">
        <f>IFERROR(H2/G2-1,"")</f>
        <v>0.2246937641911182</v>
      </c>
      <c r="I16" s="15">
        <f>IFERROR(I2/H2-1,"")</f>
        <v>-0.001986084675956179</v>
      </c>
      <c r="J16" s="15">
        <f>IFERROR(J2/I2-1,"")</f>
        <v>0.2580319043761681</v>
      </c>
      <c r="K16" s="15">
        <f>IFERROR(K2/J2-1,"")</f>
        <v>0.04102582952865985</v>
      </c>
      <c r="L16" s="15">
        <f>IFERROR(L2/K2-1,"")</f>
        <v>0.11462799019613801</v>
      </c>
      <c r="M16" s="15">
        <f>IFERROR(M2/L2-1,"")</f>
        <v>0.11460000000000004</v>
      </c>
      <c r="N16" s="15">
        <f>IFERROR(N2/M2-1,"")</f>
        <v>0.10464444444444454</v>
      </c>
      <c r="O16" s="15">
        <f>IFERROR(O2/N2-1,"")</f>
        <v>0.09468888888888882</v>
      </c>
      <c r="P16" s="15">
        <f>IFERROR(P2/O2-1,"")</f>
        <v>0.08473333333333333</v>
      </c>
      <c r="Q16" s="15">
        <f>IFERROR(Q2/P2-1,"")</f>
        <v>0.07477777777777783</v>
      </c>
      <c r="R16" s="15">
        <f>IFERROR(R2/Q2-1,"")</f>
        <v>0.06482222222222234</v>
      </c>
      <c r="S16" s="15">
        <f>IFERROR(S2/R2-1,"")</f>
        <v>0.05486666666666662</v>
      </c>
      <c r="T16" s="15">
        <f>IFERROR(T2/S2-1,"")</f>
        <v>0.044911111111111124</v>
      </c>
      <c r="U16" s="15">
        <f>IFERROR(U2/T2-1,"")</f>
        <v>0.03495555555555563</v>
      </c>
      <c r="V16" s="15">
        <f>IFERROR(V2/U2-1,"")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>0.2111673521037646</v>
      </c>
      <c r="C17" s="15">
        <f>IFERROR(C4/C2,"")</f>
        <v>0.5539487778751583</v>
      </c>
      <c r="D17" s="15">
        <f>IFERROR(D4/D2,"")</f>
        <v>0.3309761187108741</v>
      </c>
      <c r="E17" s="15">
        <f>IFERROR(E4/E2,"")</f>
        <v>-0.06230793684433611</v>
      </c>
      <c r="F17" s="15">
        <f>IFERROR(F4/F2,"")</f>
        <v>0.5415369357011394</v>
      </c>
      <c r="G17" s="15">
        <f>IFERROR(G4/G2,"")</f>
        <v>0.24008107818392666</v>
      </c>
      <c r="H17" s="15">
        <f>IFERROR(H4/H2,"")</f>
        <v>0.18590420960832113</v>
      </c>
      <c r="I17" s="15">
        <f>IFERROR(I4/I2,"")</f>
        <v>0.23433962023459481</v>
      </c>
      <c r="J17" s="15">
        <f>IFERROR(J4/J2,"")</f>
        <v>0.28310192637735093</v>
      </c>
      <c r="K17" s="15">
        <f>IFERROR(K4/K2,"")</f>
        <v>0.29291046366227563</v>
      </c>
      <c r="L17" s="15">
        <f>IFERROR(L4/L2,"")</f>
        <v>0.2844938139983002</v>
      </c>
      <c r="M17" s="15">
        <f>IFERROR(M4/M2,"")</f>
        <v>0.2844999999999999</v>
      </c>
      <c r="N17" s="15">
        <f>IFERROR(N4/N2,"")</f>
        <v>0.2845</v>
      </c>
      <c r="O17" s="15">
        <f>IFERROR(O4/O2,"")</f>
        <v>0.2844999999999999</v>
      </c>
      <c r="P17" s="15">
        <f>IFERROR(P4/P2,"")</f>
        <v>0.2845</v>
      </c>
      <c r="Q17" s="15">
        <f>IFERROR(Q4/Q2,"")</f>
        <v>0.2845</v>
      </c>
      <c r="R17" s="15">
        <f>IFERROR(R4/R2,"")</f>
        <v>0.28450000000000003</v>
      </c>
      <c r="S17" s="15">
        <f>IFERROR(S4/S2,"")</f>
        <v>0.2845</v>
      </c>
      <c r="T17" s="15">
        <f>IFERROR(T4/T2,"")</f>
        <v>0.2844999999999999</v>
      </c>
      <c r="U17" s="15">
        <f>IFERROR(U4/U2,"")</f>
        <v>0.28450000000000003</v>
      </c>
      <c r="V17" s="15">
        <f>IFERROR(V4/V2,"")</f>
        <v>0.2844999999999999</v>
      </c>
    </row>
    <row r="18">
      <c r="A18" s="14" t="inlineStr">
        <is>
          <t>Operating Margin</t>
        </is>
      </c>
      <c r="B18" s="15">
        <f>IFERROR(B8/B2,"")</f>
        <v>-0.5574976273331224</v>
      </c>
      <c r="C18" s="15">
        <f>IFERROR(C8/C2,"")</f>
        <v>-0.36507936507936506</v>
      </c>
      <c r="D18" s="15">
        <f>IFERROR(D8/D2,"")</f>
        <v>-1.3410619058659865</v>
      </c>
      <c r="E18" s="15">
        <f>IFERROR(E8/E2,"")</f>
        <v>-1.6962237107019962</v>
      </c>
      <c r="F18" s="15">
        <f>IFERROR(F8/F2,"")</f>
        <v>-0.4962030563052949</v>
      </c>
      <c r="G18" s="15">
        <f>IFERROR(G8/G2,"")</f>
        <v>-0.25760059249442097</v>
      </c>
      <c r="H18" s="15">
        <f>IFERROR(H8/H2,"")</f>
        <v>-0.9714006989490304</v>
      </c>
      <c r="I18" s="15">
        <f>IFERROR(I8/I2,"")</f>
        <v>-2.184073644127796</v>
      </c>
      <c r="J18" s="15">
        <f>IFERROR(J8/J2,"")</f>
        <v>-0.22149283470774786</v>
      </c>
      <c r="K18" s="15">
        <f>IFERROR(K8/K2,"")</f>
        <v>-2.7793497940482816</v>
      </c>
      <c r="L18" s="15">
        <f>IFERROR(L8/L2,"")</f>
        <v>-0.06884780666204976</v>
      </c>
      <c r="M18" s="15">
        <f>IFERROR(M8/M2,"")</f>
        <v>-0.06989000000000001</v>
      </c>
      <c r="N18" s="15">
        <f>IFERROR(N8/N2,"")</f>
        <v>-0.04718</v>
      </c>
      <c r="O18" s="15">
        <f>IFERROR(O8/O2,"")</f>
        <v>-0.024470000000000013</v>
      </c>
      <c r="P18" s="15">
        <f>IFERROR(P8/P2,"")</f>
        <v>-0.0017600000000000144</v>
      </c>
      <c r="Q18" s="15">
        <f>IFERROR(Q8/Q2,"")</f>
        <v>0.020949999999999996</v>
      </c>
      <c r="R18" s="15">
        <f>IFERROR(R8/R2,"")</f>
        <v>0.04365999999999997</v>
      </c>
      <c r="S18" s="15">
        <f>IFERROR(S8/S2,"")</f>
        <v>0.06636999999999998</v>
      </c>
      <c r="T18" s="15">
        <f>IFERROR(T8/T2,"")</f>
        <v>0.08908000000000002</v>
      </c>
      <c r="U18" s="15">
        <f>IFERROR(U8/U2,"")</f>
        <v>0.11179000000000001</v>
      </c>
      <c r="V18" s="15">
        <f>IFERROR(V8/V2,"")</f>
        <v>0.13450000000000004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A</t>
        </is>
      </c>
      <c r="L19" s="19" t="inlineStr">
        <is>
          <t>A</t>
        </is>
      </c>
      <c r="M19" s="19" t="inlineStr">
        <is>
          <t>E</t>
        </is>
      </c>
      <c r="N19" s="19" t="inlineStr">
        <is>
          <t>E</t>
        </is>
      </c>
      <c r="O19" s="19" t="inlineStr">
        <is>
          <t>E</t>
        </is>
      </c>
      <c r="P19" s="19" t="inlineStr">
        <is>
          <t>E</t>
        </is>
      </c>
      <c r="Q19" s="19" t="inlineStr">
        <is>
          <t>E</t>
        </is>
      </c>
      <c r="R19" s="19" t="inlineStr">
        <is>
          <t>E</t>
        </is>
      </c>
      <c r="S19" s="19" t="inlineStr">
        <is>
          <t>E</t>
        </is>
      </c>
      <c r="T19" s="19" t="inlineStr">
        <is>
          <t>E</t>
        </is>
      </c>
      <c r="U19" s="19" t="inlineStr">
        <is>
          <t>E</t>
        </is>
      </c>
      <c r="V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Tilray Brands Inc: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0.135</v>
      </c>
      <c r="C10" s="53" t="n">
        <v>0.125</v>
      </c>
      <c r="D10" s="53" t="n">
        <v>0.115</v>
      </c>
      <c r="E10" s="54">
        <f>IF(ISNUMBER($B$6),$B$6,CHOOSE($B$4,B10,C10,D10))</f>
        <v>0.125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0.0646</v>
      </c>
      <c r="C12" s="53" t="n">
        <v>0.1146</v>
      </c>
      <c r="D12" s="53" t="n">
        <v>0.1646</v>
      </c>
      <c r="E12" s="54">
        <f>CHOOSE($B$4,B12,C12,D12)</f>
        <v>0.1146</v>
      </c>
    </row>
    <row r="13">
      <c r="A13" s="14" t="inlineStr">
        <is>
          <t>Operating margin, year 10</t>
        </is>
      </c>
      <c r="B13" s="53" t="n">
        <v>0.08450000000000001</v>
      </c>
      <c r="C13" s="53" t="n">
        <v>0.1345</v>
      </c>
      <c r="D13" s="53" t="n">
        <v>0.1845</v>
      </c>
      <c r="E13" s="54">
        <f>CHOOSE($B$4,B13,C13,D13)</f>
        <v>0.1345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-0.0926</v>
      </c>
    </row>
    <row r="19">
      <c r="A19" s="14" t="inlineStr">
        <is>
          <t>Gross margin (forecast)</t>
        </is>
      </c>
      <c r="B19" s="53" t="n">
        <v>0.2845</v>
      </c>
    </row>
    <row r="20">
      <c r="A20" s="14" t="inlineStr">
        <is>
          <t>R&amp;D share of operating expense (forecast)</t>
        </is>
      </c>
      <c r="B20" s="53" t="n">
        <v>0.0011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0.7479</v>
      </c>
    </row>
    <row r="23">
      <c r="A23" s="14" t="inlineStr">
        <is>
          <t>Balance sheet date</t>
        </is>
      </c>
      <c r="B23" s="31" t="n">
        <v>46265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FY2026</t>
        </is>
      </c>
      <c r="B25" s="55">
        <f>'Yearly Model'!L2</f>
        <v>915.454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627.5275424469369</v>
      </c>
      <c r="C29" s="56">
        <f>NPV!B26</f>
        <v>644.119542446937</v>
      </c>
      <c r="D29" s="35">
        <f>NPV!B28</f>
        <v>4.358416254442109</v>
      </c>
      <c r="E29" s="57">
        <f>NPV!B30</f>
        <v>0.4384212060865047</v>
      </c>
    </row>
    <row r="30">
      <c r="A30" s="58" t="n">
        <v>1</v>
      </c>
      <c r="B30" s="59">
        <f t="dataTable" ref="B30:E32" r1="B4"/>
        <v>109.52438884332832</v>
      </c>
      <c r="C30" s="59">
        <v>126.11638884332831</v>
      </c>
      <c r="D30" s="39">
        <v>0.8533628975115058</v>
      </c>
      <c r="E30" s="60">
        <v>-0.718362080029206</v>
      </c>
    </row>
    <row r="31">
      <c r="A31" s="58" t="n">
        <v>2</v>
      </c>
      <c r="B31" s="59">
        <v>627.5275424469369</v>
      </c>
      <c r="C31" s="59">
        <v>644.119542446937</v>
      </c>
      <c r="D31" s="39">
        <v>4.358416254442109</v>
      </c>
      <c r="E31" s="60">
        <v>0.4384212060865047</v>
      </c>
    </row>
    <row r="32">
      <c r="A32" s="58" t="n">
        <v>3</v>
      </c>
      <c r="B32" s="59">
        <v>1647.6702436090172</v>
      </c>
      <c r="C32" s="59">
        <v>1664.2622436090173</v>
      </c>
      <c r="D32" s="39">
        <v>11.26118233681349</v>
      </c>
      <c r="E32" s="60">
        <v>2.7165618273311853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4.358416254442109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0.105</v>
      </c>
      <c r="B37" s="39">
        <f t="dataTable" ref="B37:F41" dt2D="1" r1="B7" r2="B6"/>
        <v>5.705929885028948</v>
      </c>
      <c r="C37" s="39">
        <v>6.1146551114171945</v>
      </c>
      <c r="D37" s="39">
        <v>6.5759065147171025</v>
      </c>
      <c r="E37" s="39">
        <v>7.10020846230082</v>
      </c>
      <c r="F37" s="39">
        <v>7.701092550982123</v>
      </c>
    </row>
    <row r="38">
      <c r="A38" s="62" t="n">
        <v>0.115</v>
      </c>
      <c r="B38" s="39">
        <v>4.676476732947627</v>
      </c>
      <c r="C38" s="39">
        <v>4.984884640696495</v>
      </c>
      <c r="D38" s="39">
        <v>5.328773183861872</v>
      </c>
      <c r="E38" s="39">
        <v>5.714419572924257</v>
      </c>
      <c r="F38" s="39">
        <v>6.149670542095272</v>
      </c>
    </row>
    <row r="39">
      <c r="A39" s="62" t="n">
        <v>0.125</v>
      </c>
      <c r="B39" s="39">
        <v>3.858640243584092</v>
      </c>
      <c r="C39" s="39">
        <v>4.096134013686988</v>
      </c>
      <c r="D39" s="39">
        <v>4.358416254442109</v>
      </c>
      <c r="E39" s="39">
        <v>4.649414380181834</v>
      </c>
      <c r="F39" s="39">
        <v>4.973928749783428</v>
      </c>
    </row>
    <row r="40">
      <c r="A40" s="62" t="n">
        <v>0.135</v>
      </c>
      <c r="B40" s="39">
        <v>3.19778024077641</v>
      </c>
      <c r="C40" s="39">
        <v>3.3836983600965134</v>
      </c>
      <c r="D40" s="39">
        <v>3.587418144563267</v>
      </c>
      <c r="E40" s="39">
        <v>3.8114941778540308</v>
      </c>
      <c r="F40" s="39">
        <v>4.058992118491374</v>
      </c>
    </row>
    <row r="41">
      <c r="A41" s="62" t="n">
        <v>0.145</v>
      </c>
      <c r="B41" s="39">
        <v>2.6562161963567683</v>
      </c>
      <c r="C41" s="39">
        <v>2.8037333485066145</v>
      </c>
      <c r="D41" s="39">
        <v>2.964330476310994</v>
      </c>
      <c r="E41" s="39">
        <v>3.139723576586083</v>
      </c>
      <c r="F41" s="39">
        <v>3.3319407814935436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Tilray Brands Inc: free-cash-flow DCF ($mm)</t>
        </is>
      </c>
    </row>
    <row r="3">
      <c r="A3" s="20" t="inlineStr">
        <is>
          <t>Fiscal year</t>
        </is>
      </c>
      <c r="B3" s="43">
        <f>'Yearly Model'!L1</f>
        <v>2026</v>
      </c>
      <c r="C3" s="43">
        <f>'Yearly Model'!M1</f>
        <v>2027</v>
      </c>
      <c r="D3" s="43">
        <f>'Yearly Model'!N1</f>
        <v>2028</v>
      </c>
      <c r="E3" s="43">
        <f>'Yearly Model'!O1</f>
        <v>2029</v>
      </c>
      <c r="F3" s="43">
        <f>'Yearly Model'!P1</f>
        <v>2030</v>
      </c>
      <c r="G3" s="43">
        <f>'Yearly Model'!Q1</f>
        <v>2031</v>
      </c>
      <c r="H3" s="43">
        <f>'Yearly Model'!R1</f>
        <v>2032</v>
      </c>
      <c r="I3" s="43">
        <f>'Yearly Model'!S1</f>
        <v>2033</v>
      </c>
      <c r="J3" s="43">
        <f>'Yearly Model'!T1</f>
        <v>2034</v>
      </c>
      <c r="K3" s="43">
        <f>'Yearly Model'!U1</f>
        <v>2035</v>
      </c>
      <c r="L3" s="43">
        <f>'Yearly Model'!V1</f>
        <v>2036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0.1146</v>
      </c>
      <c r="D5" s="63">
        <f>Assumptions!$E$12+(Assumptions!$E$11-Assumptions!$E$12)*(D4-1)/(Assumptions!$B$21-1)</f>
        <v>0.10464444444444444</v>
      </c>
      <c r="E5" s="63">
        <f>Assumptions!$E$12+(Assumptions!$E$11-Assumptions!$E$12)*(E4-1)/(Assumptions!$B$21-1)</f>
        <v>0.09468888888888888</v>
      </c>
      <c r="F5" s="63">
        <f>Assumptions!$E$12+(Assumptions!$E$11-Assumptions!$E$12)*(F4-1)/(Assumptions!$B$21-1)</f>
        <v>0.08473333333333333</v>
      </c>
      <c r="G5" s="63">
        <f>Assumptions!$E$12+(Assumptions!$E$11-Assumptions!$E$12)*(G4-1)/(Assumptions!$B$21-1)</f>
        <v>0.07477777777777778</v>
      </c>
      <c r="H5" s="63">
        <f>Assumptions!$E$12+(Assumptions!$E$11-Assumptions!$E$12)*(H4-1)/(Assumptions!$B$21-1)</f>
        <v>0.06482222222222223</v>
      </c>
      <c r="I5" s="63">
        <f>Assumptions!$E$12+(Assumptions!$E$11-Assumptions!$E$12)*(I4-1)/(Assumptions!$B$21-1)</f>
        <v>0.054866666666666675</v>
      </c>
      <c r="J5" s="63">
        <f>Assumptions!$E$12+(Assumptions!$E$11-Assumptions!$E$12)*(J4-1)/(Assumptions!$B$21-1)</f>
        <v>0.044911111111111124</v>
      </c>
      <c r="K5" s="63">
        <f>Assumptions!$E$12+(Assumptions!$E$11-Assumptions!$E$12)*(K4-1)/(Assumptions!$B$21-1)</f>
        <v>0.03495555555555556</v>
      </c>
      <c r="L5" s="63">
        <f>Assumptions!$E$12+(Assumptions!$E$11-Assumptions!$E$12)*(L4-1)/(Assumptions!$B$21-1)</f>
        <v>0.02500000000000001</v>
      </c>
    </row>
    <row r="6">
      <c r="A6" s="14" t="inlineStr">
        <is>
          <t>Operating margin</t>
        </is>
      </c>
      <c r="B6" s="63">
        <f>IFERROR(B8/B7,0)</f>
        <v>-0.06884780666204976</v>
      </c>
      <c r="C6" s="63">
        <f>Assumptions!$B$18+(Assumptions!$E$13-Assumptions!$B$18)*C4/Assumptions!$B$21</f>
        <v>-0.06989000000000001</v>
      </c>
      <c r="D6" s="63">
        <f>Assumptions!$B$18+(Assumptions!$E$13-Assumptions!$B$18)*D4/Assumptions!$B$21</f>
        <v>-0.04718</v>
      </c>
      <c r="E6" s="63">
        <f>Assumptions!$B$18+(Assumptions!$E$13-Assumptions!$B$18)*E4/Assumptions!$B$21</f>
        <v>-0.024470000000000006</v>
      </c>
      <c r="F6" s="63">
        <f>Assumptions!$B$18+(Assumptions!$E$13-Assumptions!$B$18)*F4/Assumptions!$B$21</f>
        <v>-0.0017599999999999977</v>
      </c>
      <c r="G6" s="63">
        <f>Assumptions!$B$18+(Assumptions!$E$13-Assumptions!$B$18)*G4/Assumptions!$B$21</f>
        <v>0.02095000000000001</v>
      </c>
      <c r="H6" s="63">
        <f>Assumptions!$B$18+(Assumptions!$E$13-Assumptions!$B$18)*H4/Assumptions!$B$21</f>
        <v>0.04365999999999999</v>
      </c>
      <c r="I6" s="63">
        <f>Assumptions!$B$18+(Assumptions!$E$13-Assumptions!$B$18)*I4/Assumptions!$B$21</f>
        <v>0.06637</v>
      </c>
      <c r="J6" s="63">
        <f>Assumptions!$B$18+(Assumptions!$E$13-Assumptions!$B$18)*J4/Assumptions!$B$21</f>
        <v>0.08908</v>
      </c>
      <c r="K6" s="63">
        <f>Assumptions!$B$18+(Assumptions!$E$13-Assumptions!$B$18)*K4/Assumptions!$B$21</f>
        <v>0.11179000000000001</v>
      </c>
      <c r="L6" s="63">
        <f>Assumptions!$B$18+(Assumptions!$E$13-Assumptions!$B$18)*L4/Assumptions!$B$21</f>
        <v>0.1345</v>
      </c>
    </row>
    <row r="7">
      <c r="A7" s="14" t="inlineStr">
        <is>
          <t>Revenue</t>
        </is>
      </c>
      <c r="B7" s="55">
        <f>'Yearly Model'!L2</f>
        <v>915.454</v>
      </c>
      <c r="C7" s="55">
        <f>'Yearly Model'!M2</f>
        <v>1020.3650284</v>
      </c>
      <c r="D7" s="55">
        <f>'Yearly Model'!N2</f>
        <v>1127.1405599274578</v>
      </c>
      <c r="E7" s="55">
        <f>'Yearly Model'!O2</f>
        <v>1233.8682471685888</v>
      </c>
      <c r="F7" s="55">
        <f>'Yearly Model'!P2</f>
        <v>1338.4180166453407</v>
      </c>
      <c r="G7" s="55">
        <f>'Yearly Model'!Q2</f>
        <v>1438.5019416678201</v>
      </c>
      <c r="H7" s="55">
        <f>'Yearly Model'!R2</f>
        <v>1531.7488341977098</v>
      </c>
      <c r="I7" s="55">
        <f>'Yearly Model'!S2</f>
        <v>1615.7907869006908</v>
      </c>
      <c r="J7" s="55">
        <f>'Yearly Model'!T2</f>
        <v>1688.3577464634975</v>
      </c>
      <c r="K7" s="55">
        <f>'Yearly Model'!U2</f>
        <v>1747.375229467655</v>
      </c>
      <c r="L7" s="55">
        <f>'Yearly Model'!V2</f>
        <v>1791.0596102043462</v>
      </c>
    </row>
    <row r="8">
      <c r="A8" s="14" t="inlineStr">
        <is>
          <t>Operating income</t>
        </is>
      </c>
      <c r="B8" s="55">
        <f>'Yearly Model'!L8</f>
        <v>-63.0270000000001</v>
      </c>
      <c r="C8" s="55">
        <f>'Yearly Model'!M8</f>
        <v>-71.313311834876</v>
      </c>
      <c r="D8" s="55">
        <f>'Yearly Model'!N8</f>
        <v>-53.17849161737746</v>
      </c>
      <c r="E8" s="55">
        <f>'Yearly Model'!O8</f>
        <v>-30.192756008215383</v>
      </c>
      <c r="F8" s="55">
        <f>'Yearly Model'!P8</f>
        <v>-2.3556157092958188</v>
      </c>
      <c r="G8" s="55">
        <f>'Yearly Model'!Q8</f>
        <v>30.136615677940824</v>
      </c>
      <c r="H8" s="55">
        <f>'Yearly Model'!R8</f>
        <v>66.87615410107196</v>
      </c>
      <c r="I8" s="55">
        <f>'Yearly Model'!S8</f>
        <v>107.24003452659883</v>
      </c>
      <c r="J8" s="55">
        <f>'Yearly Model'!T8</f>
        <v>150.3989080549684</v>
      </c>
      <c r="K8" s="55">
        <f>'Yearly Model'!U8</f>
        <v>195.33907690218916</v>
      </c>
      <c r="L8" s="55">
        <f>'Yearly Model'!V8</f>
        <v>240.89751757248462</v>
      </c>
    </row>
    <row r="9">
      <c r="A9" s="14" t="inlineStr">
        <is>
          <t>Tax on operating income</t>
        </is>
      </c>
      <c r="C9" s="52">
        <f>MAX(0,C8)*Assumptions!$E$14</f>
        <v>0.0</v>
      </c>
      <c r="D9" s="52">
        <f>MAX(0,D8)*Assumptions!$E$14</f>
        <v>0.0</v>
      </c>
      <c r="E9" s="52">
        <f>MAX(0,E8)*Assumptions!$E$14</f>
        <v>0.0</v>
      </c>
      <c r="F9" s="52">
        <f>MAX(0,F8)*Assumptions!$E$14</f>
        <v>0.0</v>
      </c>
      <c r="G9" s="52">
        <f>MAX(0,G8)*Assumptions!$E$14</f>
        <v>5.123224665249941</v>
      </c>
      <c r="H9" s="52">
        <f>MAX(0,H8)*Assumptions!$E$14</f>
        <v>11.368946197182234</v>
      </c>
      <c r="I9" s="52">
        <f>MAX(0,I8)*Assumptions!$E$14</f>
        <v>18.230805869521802</v>
      </c>
      <c r="J9" s="52">
        <f>MAX(0,J8)*Assumptions!$E$14</f>
        <v>25.567814369344628</v>
      </c>
      <c r="K9" s="52">
        <f>MAX(0,K8)*Assumptions!$E$14</f>
        <v>33.20764307337216</v>
      </c>
      <c r="L9" s="52">
        <f>MAX(0,L8)*Assumptions!$E$14</f>
        <v>40.952577987322385</v>
      </c>
    </row>
    <row r="10">
      <c r="A10" s="14" t="inlineStr">
        <is>
          <t>NOPAT</t>
        </is>
      </c>
      <c r="C10" s="52">
        <f>C8-C9</f>
        <v>-71.313311834876</v>
      </c>
      <c r="D10" s="52">
        <f>D8-D9</f>
        <v>-53.17849161737746</v>
      </c>
      <c r="E10" s="52">
        <f>E8-E9</f>
        <v>-30.192756008215383</v>
      </c>
      <c r="F10" s="52">
        <f>F8-F9</f>
        <v>-2.3556157092958188</v>
      </c>
      <c r="G10" s="52">
        <f>G8-G9</f>
        <v>25.01339101269088</v>
      </c>
      <c r="H10" s="52">
        <f>H8-H9</f>
        <v>55.50720790388973</v>
      </c>
      <c r="I10" s="52">
        <f>I8-I9</f>
        <v>89.00922865707703</v>
      </c>
      <c r="J10" s="52">
        <f>J8-J9</f>
        <v>124.83109368562376</v>
      </c>
      <c r="K10" s="52">
        <f>K8-K9</f>
        <v>162.131433828817</v>
      </c>
      <c r="L10" s="52">
        <f>L8-L9</f>
        <v>199.94493958516222</v>
      </c>
    </row>
    <row r="11">
      <c r="A11" s="14" t="inlineStr">
        <is>
          <t>Reinvestment</t>
        </is>
      </c>
      <c r="C11" s="52">
        <f>(C7-B7)*Assumptions!$E$15</f>
        <v>26.22775710000002</v>
      </c>
      <c r="D11" s="52">
        <f>(D7-C7)*Assumptions!$E$15</f>
        <v>26.693882881864454</v>
      </c>
      <c r="E11" s="52">
        <f>(E7-D7)*Assumptions!$E$15</f>
        <v>26.681921810282745</v>
      </c>
      <c r="F11" s="52">
        <f>(F7-E7)*Assumptions!$E$15</f>
        <v>26.137442369187966</v>
      </c>
      <c r="G11" s="52">
        <f>(G7-F7)*Assumptions!$E$15</f>
        <v>25.02098125561986</v>
      </c>
      <c r="H11" s="52">
        <f>(H7-G7)*Assumptions!$E$15</f>
        <v>23.311723132472423</v>
      </c>
      <c r="I11" s="52">
        <f>(I7-H7)*Assumptions!$E$15</f>
        <v>21.01048817574525</v>
      </c>
      <c r="J11" s="52">
        <f>(J7-I7)*Assumptions!$E$15</f>
        <v>18.141739890701672</v>
      </c>
      <c r="K11" s="52">
        <f>(K7-J7)*Assumptions!$E$15</f>
        <v>14.754370751039346</v>
      </c>
      <c r="L11" s="52">
        <f>(L7-K7)*Assumptions!$E$15</f>
        <v>10.921095184172827</v>
      </c>
    </row>
    <row r="12">
      <c r="A12" s="20" t="inlineStr">
        <is>
          <t>Free cash flow</t>
        </is>
      </c>
      <c r="C12" s="64">
        <f>C10-C11</f>
        <v>-97.54106893487602</v>
      </c>
      <c r="D12" s="64">
        <f>D10-D11</f>
        <v>-79.87237449924191</v>
      </c>
      <c r="E12" s="64">
        <f>E10-E11</f>
        <v>-56.87467781849813</v>
      </c>
      <c r="F12" s="64">
        <f>F10-F11</f>
        <v>-28.493058078483784</v>
      </c>
      <c r="G12" s="64">
        <f>G10-G11</f>
        <v>-0.00759024292897692</v>
      </c>
      <c r="H12" s="64">
        <f>H10-H11</f>
        <v>32.195484771417306</v>
      </c>
      <c r="I12" s="64">
        <f>I10-I11</f>
        <v>67.99874048133178</v>
      </c>
      <c r="J12" s="64">
        <f>J10-J11</f>
        <v>106.68935379492208</v>
      </c>
      <c r="K12" s="64">
        <f>K10-K11</f>
        <v>147.37706307777765</v>
      </c>
      <c r="L12" s="64">
        <f>L10-L11</f>
        <v>189.0238444009894</v>
      </c>
    </row>
    <row r="13">
      <c r="A13" s="14" t="inlineStr">
        <is>
          <t>Year fraction</t>
        </is>
      </c>
      <c r="C13" s="46">
        <f>Assumptions!$B$22</f>
        <v>0.7479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0.37395</v>
      </c>
      <c r="D14" s="11">
        <f>C14+C13/2+D13/2</f>
        <v>1.2479</v>
      </c>
      <c r="E14" s="11">
        <f>D14+D13/2+E13/2</f>
        <v>2.2479</v>
      </c>
      <c r="F14" s="11">
        <f>E14+E13/2+F13/2</f>
        <v>3.2479</v>
      </c>
      <c r="G14" s="11">
        <f>F14+F13/2+G13/2</f>
        <v>4.2479</v>
      </c>
      <c r="H14" s="11">
        <f>G14+G13/2+H13/2</f>
        <v>5.2479</v>
      </c>
      <c r="I14" s="11">
        <f>H14+H13/2+I13/2</f>
        <v>6.2479</v>
      </c>
      <c r="J14" s="11">
        <f>I14+I13/2+J13/2</f>
        <v>7.2479</v>
      </c>
      <c r="K14" s="11">
        <f>J14+J13/2+K13/2</f>
        <v>8.2479</v>
      </c>
      <c r="L14" s="11">
        <f>K14+K13/2+L13/2</f>
        <v>9.2479</v>
      </c>
    </row>
    <row r="15">
      <c r="A15" s="14" t="inlineStr">
        <is>
          <t>Discount factor</t>
        </is>
      </c>
      <c r="C15" s="65">
        <f>1/(1+Assumptions!$E$10)^C14</f>
        <v>0.9569109278730438</v>
      </c>
      <c r="D15" s="65">
        <f>1/(1+Assumptions!$E$10)^D14</f>
        <v>0.8633099914992681</v>
      </c>
      <c r="E15" s="65">
        <f>1/(1+Assumptions!$E$10)^E14</f>
        <v>0.7673866591104604</v>
      </c>
      <c r="F15" s="65">
        <f>1/(1+Assumptions!$E$10)^F14</f>
        <v>0.6821214747648537</v>
      </c>
      <c r="G15" s="65">
        <f>1/(1+Assumptions!$E$10)^G14</f>
        <v>0.6063301997909811</v>
      </c>
      <c r="H15" s="65">
        <f>1/(1+Assumptions!$E$10)^H14</f>
        <v>0.5389601775919832</v>
      </c>
      <c r="I15" s="65">
        <f>1/(1+Assumptions!$E$10)^I14</f>
        <v>0.4790757134150962</v>
      </c>
      <c r="J15" s="65">
        <f>1/(1+Assumptions!$E$10)^J14</f>
        <v>0.42584507859119664</v>
      </c>
      <c r="K15" s="65">
        <f>1/(1+Assumptions!$E$10)^K14</f>
        <v>0.3785289587477303</v>
      </c>
      <c r="L15" s="65">
        <f>1/(1+Assumptions!$E$10)^L14</f>
        <v>0.3364701855535381</v>
      </c>
    </row>
    <row r="16">
      <c r="A16" s="20" t="inlineStr">
        <is>
          <t>PV of free cash flow</t>
        </is>
      </c>
      <c r="C16" s="64">
        <f>C12*C13*C15</f>
        <v>-69.80757604411212</v>
      </c>
      <c r="D16" s="64">
        <f>D12*D13*D15</f>
        <v>-68.9546189499669</v>
      </c>
      <c r="E16" s="64">
        <f>E12*E13*E15</f>
        <v>-43.64486899912109</v>
      </c>
      <c r="F16" s="64">
        <f>F12*F13*F15</f>
        <v>-19.435726797055988</v>
      </c>
      <c r="G16" s="64">
        <f>G12*G13*G15</f>
        <v>-0.004602193511588658</v>
      </c>
      <c r="H16" s="64">
        <f>H12*H13*H15</f>
        <v>17.352084190063064</v>
      </c>
      <c r="I16" s="64">
        <f>I12*I13*I15</f>
        <v>32.57654510742201</v>
      </c>
      <c r="J16" s="64">
        <f>J12*J13*J15</f>
        <v>45.43313625164258</v>
      </c>
      <c r="K16" s="64">
        <f>K12*K13*K15</f>
        <v>55.78648623012974</v>
      </c>
      <c r="L16" s="64">
        <f>L12*L13*L15</f>
        <v>63.60088799964401</v>
      </c>
    </row>
    <row r="19">
      <c r="A19" s="14" t="inlineStr">
        <is>
          <t>PV of forecast free cash flow</t>
        </is>
      </c>
      <c r="B19" s="52">
        <f>SUM(C16:L16)</f>
        <v>12.901746795133697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193.7494405110141</v>
      </c>
    </row>
    <row r="21">
      <c r="A21" s="14" t="inlineStr">
        <is>
          <t>Terminal value</t>
        </is>
      </c>
      <c r="B21" s="52">
        <f>B20/(Assumptions!$E$10-Assumptions!$E$11)</f>
        <v>1937.4944051101409</v>
      </c>
    </row>
    <row r="22">
      <c r="A22" s="14" t="inlineStr">
        <is>
          <t>PV of terminal value</t>
        </is>
      </c>
      <c r="B22" s="52">
        <f>B21/(1+Assumptions!$E$10)^(L14+0.5)</f>
        <v>614.6257956518032</v>
      </c>
    </row>
    <row r="23">
      <c r="A23" s="20" t="inlineStr">
        <is>
          <t>Enterprise value</t>
        </is>
      </c>
      <c r="B23" s="66">
        <f>B19+B22</f>
        <v>627.5275424469369</v>
      </c>
    </row>
    <row r="24">
      <c r="A24" s="14" t="inlineStr">
        <is>
          <t>Cash &amp; investments</t>
        </is>
      </c>
      <c r="B24" s="55">
        <f>Main!C7</f>
        <v>218.007</v>
      </c>
    </row>
    <row r="25">
      <c r="A25" s="14" t="inlineStr">
        <is>
          <t>Debt</t>
        </is>
      </c>
      <c r="B25" s="55">
        <f>Main!C8</f>
        <v>201.41500000000002</v>
      </c>
    </row>
    <row r="26">
      <c r="A26" s="20" t="inlineStr">
        <is>
          <t>Equity value</t>
        </is>
      </c>
      <c r="B26" s="66">
        <f>B23+B24-B25</f>
        <v>644.119542446937</v>
      </c>
    </row>
    <row r="27">
      <c r="A27" s="14" t="inlineStr">
        <is>
          <t>Shares (mm)</t>
        </is>
      </c>
      <c r="B27" s="55">
        <f>Main!C4</f>
        <v>147.787523</v>
      </c>
    </row>
    <row r="28">
      <c r="A28" s="20" t="inlineStr">
        <is>
          <t>NPV / share</t>
        </is>
      </c>
      <c r="B28" s="49">
        <f>B26/B27</f>
        <v>4.358416254442109</v>
      </c>
    </row>
    <row r="29">
      <c r="A29" s="14" t="inlineStr">
        <is>
          <t>Price</t>
        </is>
      </c>
      <c r="B29" s="50">
        <f>Main!C3</f>
        <v>3.03</v>
      </c>
    </row>
    <row r="30">
      <c r="A30" s="14" t="inlineStr">
        <is>
          <t>Upside</t>
        </is>
      </c>
      <c r="B30" s="63">
        <f>B28/B29-1</f>
        <v>0.4384212060865047</v>
      </c>
    </row>
    <row r="31">
      <c r="A31" s="14" t="inlineStr">
        <is>
          <t>Terminal value, % of EV</t>
        </is>
      </c>
      <c r="B31" s="63">
        <f>IFERROR(B22/B23,0)</f>
        <v>0.979440349749709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2026-10-21T06:25:21Z</dcterms:modified>
  <cp:lastModifiedBy>Wang, Eric</cp:lastModifiedBy>
</cp:coreProperties>
</file>