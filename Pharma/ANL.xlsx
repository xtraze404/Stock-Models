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Adlai Nortye Group Ltd</t>
        </is>
      </c>
      <c r="C2" s="10" t="n"/>
    </row>
    <row r="3">
      <c r="B3" t="inlineStr">
        <is>
          <t>Price</t>
        </is>
      </c>
      <c r="C3" s="11">
        <f>INDEX([1]Pharma!$F$1:$F$1000,MATCH("ANL",[1]Pharma!$B$1:$B$1000,0))</f>
        <v>10.64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-51.819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45.726</v>
      </c>
      <c r="C2" s="23" t="n">
        <v>0</v>
      </c>
      <c r="D2" s="23" t="n">
        <v>5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45.726</v>
      </c>
      <c r="C4" s="23">
        <f>C2-C3</f>
        <v>0.0</v>
      </c>
      <c r="D4" s="23">
        <f>D2-D3</f>
        <v>5.0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42.105</v>
      </c>
      <c r="C5" s="23" t="n">
        <v>54.49</v>
      </c>
      <c r="D5" s="23" t="n">
        <v>58.152</v>
      </c>
      <c r="E5" s="23" t="n">
        <v>44.915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12.267</v>
      </c>
      <c r="C6" s="23" t="n">
        <v>12.78</v>
      </c>
      <c r="D6" s="23" t="n">
        <v>19.399</v>
      </c>
      <c r="E6" s="23" t="n">
        <v>8.013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54.372</v>
      </c>
      <c r="C7" s="23">
        <f>SUM(C5:C6)</f>
        <v>67.27</v>
      </c>
      <c r="D7" s="23">
        <f>SUM(D5:D6)</f>
        <v>77.551</v>
      </c>
      <c r="E7" s="23">
        <f>SUM(E5:E6)</f>
        <v>52.928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-8.646</v>
      </c>
      <c r="C8" s="23">
        <f>C4-C7</f>
        <v>-67.27</v>
      </c>
      <c r="D8" s="23">
        <f>D4-D7</f>
        <v>-72.551</v>
      </c>
      <c r="E8" s="23">
        <f>E4-E7</f>
        <v>-52.928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-48.032</v>
      </c>
      <c r="C9" s="23" t="n">
        <v>8.48</v>
      </c>
      <c r="D9" s="23" t="n">
        <v>-36.034</v>
      </c>
      <c r="E9" s="23" t="n">
        <v>1.059</v>
      </c>
    </row>
    <row r="10">
      <c r="A10" s="2" t="inlineStr">
        <is>
          <t>Pretax</t>
        </is>
      </c>
      <c r="B10" s="23">
        <f>B8+B9</f>
        <v>-56.678</v>
      </c>
      <c r="C10" s="23">
        <f>C8+C9</f>
        <v>-58.78999999999999</v>
      </c>
      <c r="D10" s="23">
        <f>D8+D9</f>
        <v>-108.58500000000001</v>
      </c>
      <c r="E10" s="23">
        <f>E8+E9</f>
        <v>-51.869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0.643</v>
      </c>
      <c r="E11" s="23" t="n">
        <v>0</v>
      </c>
    </row>
    <row r="12">
      <c r="A12" s="2" t="inlineStr">
        <is>
          <t>Net Income</t>
        </is>
      </c>
      <c r="B12" s="23" t="n">
        <v>-56.678</v>
      </c>
      <c r="C12" s="23" t="n">
        <v>-58.79</v>
      </c>
      <c r="D12" s="23" t="n">
        <v>-109.228</v>
      </c>
      <c r="E12" s="23" t="n">
        <v>-51.869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-2.227908805031446</v>
      </c>
      <c r="C13" s="11">
        <f>IFERROR(C12/C14,0)</f>
        <v>-2.310927672955975</v>
      </c>
      <c r="D13" s="11">
        <f>IFERROR(D12/D14,0)</f>
        <v>-2.5201421254210694</v>
      </c>
      <c r="E13" s="11">
        <f>IFERROR(E12/E14,0)</f>
        <v>-0.54156008227445</v>
      </c>
    </row>
    <row r="14">
      <c r="A14" s="2" t="inlineStr">
        <is>
          <t>Shares</t>
        </is>
      </c>
      <c r="B14" s="23" t="n">
        <v>25.44</v>
      </c>
      <c r="C14" s="23" t="n">
        <v>25.44</v>
      </c>
      <c r="D14" s="23" t="n">
        <v>43.342</v>
      </c>
      <c r="E14" s="23" t="n">
        <v>95.777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>-1.0</v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>1.0</v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-0.18908279753313215</v>
      </c>
      <c r="C18" s="15">
        <f>IFERROR(C8/C2,"")</f>
        <v/>
      </c>
      <c r="D18" s="15">
        <f>IFERROR(D8/D2,"")</f>
        <v>-14.510200000000001</v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2026-10-21T06:31:52Z</dcterms:modified>
  <cp:lastModifiedBy>Wang, Eric</cp:lastModifiedBy>
</cp:coreProperties>
</file>