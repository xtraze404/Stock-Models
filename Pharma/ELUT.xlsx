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Elutia Inc</t>
        </is>
      </c>
      <c r="C2" s="10" t="n"/>
    </row>
    <row r="3">
      <c r="B3" t="inlineStr">
        <is>
          <t>Price</t>
        </is>
      </c>
      <c r="C3" s="11">
        <f>INDEX([1]Pharma!$F$1:$F$1000,MATCH("ELUT",[1]Pharma!$B$1:$B$1000,0))</f>
        <v>0.8105</v>
      </c>
      <c r="F3" s="1" t="n"/>
    </row>
    <row r="4">
      <c r="B4" t="inlineStr">
        <is>
          <t>Shares</t>
        </is>
      </c>
      <c r="C4" s="21" t="n">
        <v>44.28923</v>
      </c>
      <c r="F4" s="1" t="n"/>
    </row>
    <row r="5">
      <c r="B5" t="inlineStr">
        <is>
          <t>Market Cap.</t>
        </is>
      </c>
      <c r="C5" s="13">
        <f>C3*C4</f>
        <v>35.896420915</v>
      </c>
      <c r="F5" s="1" t="n"/>
    </row>
    <row r="6"/>
    <row r="7">
      <c r="B7" t="inlineStr">
        <is>
          <t>Cash</t>
        </is>
      </c>
      <c r="C7" s="21" t="n">
        <v>19.896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16.000420915</v>
      </c>
    </row>
    <row r="10"/>
    <row r="11">
      <c r="B11" s="14" t="inlineStr">
        <is>
          <t>Net Cash / Share</t>
        </is>
      </c>
      <c r="C11" s="11">
        <f>(C7-C8)/C4</f>
        <v>0.4492288531545931</v>
      </c>
    </row>
    <row r="12">
      <c r="B12" s="14" t="inlineStr">
        <is>
          <t>Upside</t>
        </is>
      </c>
      <c r="C12" s="15">
        <f>IFERROR(C11/C3-1,"")</f>
        <v>-0.44573861424479566</v>
      </c>
    </row>
    <row r="13">
      <c r="B13" s="14" t="inlineStr">
        <is>
          <t>Cash / Share</t>
        </is>
      </c>
      <c r="C13" s="11">
        <f>IFERROR((C7-C8)/C4,"")</f>
        <v>0.4492288531545931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-43.993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0.4522537676448526</v>
      </c>
    </row>
    <row r="19">
      <c r="B19" s="14" t="inlineStr">
        <is>
          <t>Implied Pipeline Value</t>
        </is>
      </c>
      <c r="C19" s="13">
        <f>C9</f>
        <v>16.000420915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42.901</v>
      </c>
      <c r="C2" s="23" t="n">
        <v>42.682</v>
      </c>
      <c r="D2" s="23" t="n">
        <v>20.456</v>
      </c>
      <c r="E2" s="23" t="n">
        <v>23.849</v>
      </c>
      <c r="F2" s="23" t="n">
        <v>24.745</v>
      </c>
      <c r="G2" s="23" t="n">
        <v>14.467</v>
      </c>
      <c r="H2" s="23" t="n">
        <v>12.293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23.133</v>
      </c>
      <c r="C3" s="23" t="n">
        <v>22.121</v>
      </c>
      <c r="D3" s="23" t="n">
        <v>11.176</v>
      </c>
      <c r="E3" s="23" t="n">
        <v>12.21</v>
      </c>
      <c r="F3" s="23" t="n">
        <v>13.692</v>
      </c>
      <c r="G3" s="23" t="n">
        <v>7.752</v>
      </c>
      <c r="H3" s="23" t="n">
        <v>5.697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19.768000000000004</v>
      </c>
      <c r="C4" s="23">
        <f>C2-C3</f>
        <v>20.561000000000003</v>
      </c>
      <c r="D4" s="23">
        <f>D2-D3</f>
        <v>9.28</v>
      </c>
      <c r="E4" s="23">
        <f>E2-E3</f>
        <v>11.639</v>
      </c>
      <c r="F4" s="23">
        <f>F2-F3</f>
        <v>11.053</v>
      </c>
      <c r="G4" s="23">
        <f>G2-G3</f>
        <v>6.715000000000001</v>
      </c>
      <c r="H4" s="23">
        <f>H2-H3</f>
        <v>6.595999999999999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2.4</v>
      </c>
      <c r="C5" s="23" t="n">
        <v>5.954</v>
      </c>
      <c r="D5" s="23" t="n">
        <v>7.754</v>
      </c>
      <c r="E5" s="23" t="n">
        <v>7.727</v>
      </c>
      <c r="F5" s="23" t="n">
        <v>4.399</v>
      </c>
      <c r="G5" s="23" t="n">
        <v>2.998</v>
      </c>
      <c r="H5" s="23" t="n">
        <v>4.163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25.777</v>
      </c>
      <c r="C6" s="23" t="n">
        <v>28.206</v>
      </c>
      <c r="D6" s="23" t="n">
        <v>30.055</v>
      </c>
      <c r="E6" s="23" t="n">
        <v>39.101</v>
      </c>
      <c r="F6" s="23" t="n">
        <v>37.18</v>
      </c>
      <c r="G6" s="23" t="n">
        <v>34.429</v>
      </c>
      <c r="H6" s="23" t="n">
        <v>29.344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28.177</v>
      </c>
      <c r="C7" s="23">
        <f>SUM(C5:C6)</f>
        <v>34.16</v>
      </c>
      <c r="D7" s="23">
        <f>SUM(D5:D6)</f>
        <v>37.809</v>
      </c>
      <c r="E7" s="23">
        <f>SUM(E5:E6)</f>
        <v>46.828</v>
      </c>
      <c r="F7" s="23">
        <f>SUM(F5:F6)</f>
        <v>41.579</v>
      </c>
      <c r="G7" s="23">
        <f>SUM(G5:G6)</f>
        <v>37.427</v>
      </c>
      <c r="H7" s="23">
        <f>SUM(H5:H6)</f>
        <v>33.507000000000005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-8.408999999999995</v>
      </c>
      <c r="C8" s="23">
        <f>C4-C7</f>
        <v>-13.598999999999993</v>
      </c>
      <c r="D8" s="23">
        <f>D4-D7</f>
        <v>-28.528999999999996</v>
      </c>
      <c r="E8" s="23">
        <f>E4-E7</f>
        <v>-35.18900000000001</v>
      </c>
      <c r="F8" s="23">
        <f>F4-F7</f>
        <v>-30.526</v>
      </c>
      <c r="G8" s="23">
        <f>G4-G7</f>
        <v>-30.712</v>
      </c>
      <c r="H8" s="23">
        <f>H4-H7</f>
        <v>-26.911000000000005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-3.5</v>
      </c>
      <c r="C9" s="23" t="n">
        <v>-8.199999999999999</v>
      </c>
      <c r="D9" s="23" t="n">
        <v>3.752</v>
      </c>
      <c r="E9" s="23" t="n">
        <v>2.326</v>
      </c>
      <c r="F9" s="23" t="n">
        <v>-7.102</v>
      </c>
      <c r="G9" s="23" t="n">
        <v>-23.23</v>
      </c>
      <c r="H9" s="23" t="n">
        <v>80.304</v>
      </c>
    </row>
    <row r="10">
      <c r="A10" s="2" t="inlineStr">
        <is>
          <t>Pretax</t>
        </is>
      </c>
      <c r="B10" s="23">
        <f>B8+B9</f>
        <v>-11.908999999999995</v>
      </c>
      <c r="C10" s="23">
        <f>C8+C9</f>
        <v>-21.798999999999992</v>
      </c>
      <c r="D10" s="23">
        <f>D8+D9</f>
        <v>-24.776999999999997</v>
      </c>
      <c r="E10" s="23">
        <f>E8+E9</f>
        <v>-32.86300000000001</v>
      </c>
      <c r="F10" s="23">
        <f>F8+F9</f>
        <v>-37.628</v>
      </c>
      <c r="G10" s="23">
        <f>G8+G9</f>
        <v>-53.942</v>
      </c>
      <c r="H10" s="23">
        <f>H8+H9</f>
        <v>53.393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0.03</v>
      </c>
      <c r="C11" s="23" t="n">
        <v>0.026</v>
      </c>
      <c r="D11" s="23" t="n">
        <v>0.055</v>
      </c>
      <c r="E11" s="23" t="n">
        <v>0.034</v>
      </c>
      <c r="F11" s="23" t="n">
        <v>0.028</v>
      </c>
      <c r="G11" s="23" t="n">
        <v>0.007</v>
      </c>
      <c r="H11" s="23" t="n">
        <v>0.013</v>
      </c>
    </row>
    <row r="12">
      <c r="A12" s="2" t="inlineStr">
        <is>
          <t>Net Income</t>
        </is>
      </c>
      <c r="B12" s="23" t="n">
        <v>-11.939</v>
      </c>
      <c r="C12" s="23" t="n">
        <v>-21.825</v>
      </c>
      <c r="D12" s="23" t="n">
        <v>-24.832</v>
      </c>
      <c r="E12" s="23" t="n">
        <v>-32.897</v>
      </c>
      <c r="F12" s="23" t="n">
        <v>-37.656</v>
      </c>
      <c r="G12" s="23" t="n">
        <v>-53.949</v>
      </c>
      <c r="H12" s="23" t="n">
        <v>53.38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-18.48142414860681</v>
      </c>
      <c r="C13" s="11">
        <f>IFERROR(C12/C14,0)</f>
        <v>-7.649842271293375</v>
      </c>
      <c r="D13" s="11">
        <f>IFERROR(D12/D14,0)</f>
        <v>-2.3774054571565344</v>
      </c>
      <c r="E13" s="11">
        <f>IFERROR(E12/E14,0)</f>
        <v>-2.378153690450372</v>
      </c>
      <c r="F13" s="11">
        <f>IFERROR(F12/F14,0)</f>
        <v>-2.0734541049501676</v>
      </c>
      <c r="G13" s="11">
        <f>IFERROR(G12/G14,0)</f>
        <v>-1.8557669154827834</v>
      </c>
      <c r="H13" s="11">
        <f>IFERROR(H12/H14,0)</f>
        <v>1.1618744966589036</v>
      </c>
    </row>
    <row r="14">
      <c r="A14" s="2" t="inlineStr">
        <is>
          <t>Shares</t>
        </is>
      </c>
      <c r="B14" s="23" t="n">
        <v>0.646</v>
      </c>
      <c r="C14" s="23" t="n">
        <v>2.853</v>
      </c>
      <c r="D14" s="23" t="n">
        <v>10.445</v>
      </c>
      <c r="E14" s="23" t="n">
        <v>13.833</v>
      </c>
      <c r="F14" s="23" t="n">
        <v>18.161</v>
      </c>
      <c r="G14" s="23" t="n">
        <v>29.071</v>
      </c>
      <c r="H14" s="23" t="n">
        <v>45.943</v>
      </c>
    </row>
    <row r="15"/>
    <row r="16" customFormat="1" s="4">
      <c r="A16" s="3" t="inlineStr">
        <is>
          <t>Revenue Change</t>
        </is>
      </c>
      <c r="C16" s="15">
        <f>IFERROR(C2/B2-1,"")</f>
        <v>-0.005104776112444975</v>
      </c>
      <c r="D16" s="15">
        <f>IFERROR(D2/C2-1,"")</f>
        <v>-0.5207347359542664</v>
      </c>
      <c r="E16" s="15">
        <f>IFERROR(E2/D2-1,"")</f>
        <v>0.16586820492764964</v>
      </c>
      <c r="F16" s="15">
        <f>IFERROR(F2/E2-1,"")</f>
        <v>0.03756970942177862</v>
      </c>
      <c r="G16" s="15">
        <f>IFERROR(G2/F2-1,"")</f>
        <v>-0.41535663770458675</v>
      </c>
      <c r="H16" s="15">
        <f>IFERROR(H2/G2-1,"")</f>
        <v>-0.1502730351835212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0.460781799958043</v>
      </c>
      <c r="C17" s="15">
        <f>IFERROR(C4/C2,"")</f>
        <v>0.4817253174640364</v>
      </c>
      <c r="D17" s="15">
        <f>IFERROR(D4/D2,"")</f>
        <v>0.4536566288619476</v>
      </c>
      <c r="E17" s="15">
        <f>IFERROR(E4/E2,"")</f>
        <v>0.4880288481697346</v>
      </c>
      <c r="F17" s="15">
        <f>IFERROR(F4/F2,"")</f>
        <v>0.4466760961810467</v>
      </c>
      <c r="G17" s="15">
        <f>IFERROR(G4/G2,"")</f>
        <v>0.46415981198589895</v>
      </c>
      <c r="H17" s="15">
        <f>IFERROR(H4/H2,"")</f>
        <v>0.5365655250955829</v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-0.19600941702990593</v>
      </c>
      <c r="C18" s="15">
        <f>IFERROR(C8/C2,"")</f>
        <v>-0.31861206129047354</v>
      </c>
      <c r="D18" s="15">
        <f>IFERROR(D8/D2,"")</f>
        <v>-1.3946519358623386</v>
      </c>
      <c r="E18" s="15">
        <f>IFERROR(E8/E2,"")</f>
        <v>-1.475491634869387</v>
      </c>
      <c r="F18" s="15">
        <f>IFERROR(F8/F2,"")</f>
        <v>-1.233622954132148</v>
      </c>
      <c r="G18" s="15">
        <f>IFERROR(G8/G2,"")</f>
        <v>-2.1229003940001383</v>
      </c>
      <c r="H18" s="15">
        <f>IFERROR(H8/H2,"")</f>
        <v>-2.1891320263564635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2026-10-21T06:29:46Z</dcterms:modified>
  <cp:lastModifiedBy>Wang, Eric</cp:lastModifiedBy>
</cp:coreProperties>
</file>