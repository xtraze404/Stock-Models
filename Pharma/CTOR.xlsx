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Citius Oncology Inc</t>
        </is>
      </c>
      <c r="C2" s="10" t="n"/>
    </row>
    <row r="3">
      <c r="B3" t="inlineStr">
        <is>
          <t>Price</t>
        </is>
      </c>
      <c r="C3" s="11">
        <f>INDEX([1]Pharma!$F$1:$F$1000,MATCH("CTOR",[1]Pharma!$B$1:$B$1000,0))</f>
        <v>0.671</v>
      </c>
      <c r="F3" s="1" t="n"/>
    </row>
    <row r="4">
      <c r="B4" t="inlineStr">
        <is>
          <t>Shares</t>
        </is>
      </c>
      <c r="C4" s="21" t="n">
        <v>92.98120400000001</v>
      </c>
      <c r="F4" s="1" t="n"/>
    </row>
    <row r="5">
      <c r="B5" t="inlineStr">
        <is>
          <t>Market Cap.</t>
        </is>
      </c>
      <c r="C5" s="13">
        <f>C3*C4</f>
        <v>62.390387884000006</v>
      </c>
      <c r="F5" s="1" t="n"/>
    </row>
    <row r="6"/>
    <row r="7">
      <c r="B7" t="inlineStr">
        <is>
          <t>Cash</t>
        </is>
      </c>
      <c r="C7" s="21" t="n">
        <v>16.563705</v>
      </c>
    </row>
    <row r="8">
      <c r="B8" t="inlineStr">
        <is>
          <t>Debt</t>
        </is>
      </c>
      <c r="C8" s="21" t="n">
        <v>6.410161</v>
      </c>
    </row>
    <row r="9">
      <c r="B9" t="inlineStr">
        <is>
          <t>Enterprise V.</t>
        </is>
      </c>
      <c r="C9" s="13">
        <f>C5-C7+C8</f>
        <v>52.23684388400001</v>
      </c>
    </row>
    <row r="10"/>
    <row r="11">
      <c r="B11" s="14" t="inlineStr">
        <is>
          <t>Net Cash / Share</t>
        </is>
      </c>
      <c r="C11" s="11">
        <f>(C7-C8)/C4</f>
        <v>0.10919996260749644</v>
      </c>
    </row>
    <row r="12">
      <c r="B12" s="14" t="inlineStr">
        <is>
          <t>Upside</t>
        </is>
      </c>
      <c r="C12" s="15">
        <f>IFERROR(C11/C3-1,"")</f>
        <v>-0.8372578798696029</v>
      </c>
    </row>
    <row r="13">
      <c r="B13" s="14" t="inlineStr">
        <is>
          <t>Cash / Share</t>
        </is>
      </c>
      <c r="C13" s="11">
        <f>IFERROR((C7-C8)/C4,"")</f>
        <v>0.10919996260749644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-5.492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1.8487880553532408</v>
      </c>
    </row>
    <row r="19">
      <c r="B19" s="14" t="inlineStr">
        <is>
          <t>Implied Pipeline Value</t>
        </is>
      </c>
      <c r="C19" s="13">
        <f>C9</f>
        <v>52.23684388400001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4.24</v>
      </c>
      <c r="D5" s="23" t="n">
        <v>4.925</v>
      </c>
      <c r="E5" s="23" t="n">
        <v>6.418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0.138</v>
      </c>
      <c r="C6" s="23" t="n">
        <v>-3.227</v>
      </c>
      <c r="D6" s="23" t="n">
        <v>15.648</v>
      </c>
      <c r="E6" s="23" t="n">
        <v>17.104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0.138</v>
      </c>
      <c r="C7" s="23">
        <f>SUM(C5:C6)</f>
        <v>1.0130000000000003</v>
      </c>
      <c r="D7" s="23">
        <f>SUM(D5:D6)</f>
        <v>20.573</v>
      </c>
      <c r="E7" s="23">
        <f>SUM(E5:E6)</f>
        <v>23.522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-0.138</v>
      </c>
      <c r="C8" s="23">
        <f>C4-C7</f>
        <v>-1.0130000000000003</v>
      </c>
      <c r="D8" s="23">
        <f>D4-D7</f>
        <v>-20.573</v>
      </c>
      <c r="E8" s="23">
        <f>E4-E7</f>
        <v>-23.522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0.519</v>
      </c>
      <c r="C9" s="23" t="n">
        <v>4.008</v>
      </c>
      <c r="D9" s="23" t="n">
        <v>0</v>
      </c>
      <c r="E9" s="23" t="n">
        <v>-0.182</v>
      </c>
    </row>
    <row r="10">
      <c r="A10" s="2" t="inlineStr">
        <is>
          <t>Pretax</t>
        </is>
      </c>
      <c r="B10" s="23">
        <f>B8+B9</f>
        <v>0.381</v>
      </c>
      <c r="C10" s="23">
        <f>C8+C9</f>
        <v>2.9949999999999997</v>
      </c>
      <c r="D10" s="23">
        <f>D8+D9</f>
        <v>-20.573</v>
      </c>
      <c r="E10" s="23">
        <f>E8+E9</f>
        <v>-23.703999999999997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0.576</v>
      </c>
      <c r="D11" s="23" t="n">
        <v>0.576</v>
      </c>
      <c r="E11" s="23" t="n">
        <v>1.057</v>
      </c>
    </row>
    <row r="12">
      <c r="A12" s="2" t="inlineStr">
        <is>
          <t>Net Income</t>
        </is>
      </c>
      <c r="B12" s="23" t="n">
        <v>0.381</v>
      </c>
      <c r="C12" s="23" t="n">
        <v>2.419</v>
      </c>
      <c r="D12" s="23" t="n">
        <v>-21.149</v>
      </c>
      <c r="E12" s="23" t="n">
        <v>-24.761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0.05678938739007304</v>
      </c>
      <c r="C13" s="11">
        <f>IFERROR(C12/C14,0)</f>
        <v>0.3665151515151515</v>
      </c>
      <c r="D13" s="11">
        <f>IFERROR(D12/D14,0)</f>
        <v>-0.31076791959326416</v>
      </c>
      <c r="E13" s="11">
        <f>IFERROR(E12/E14,0)</f>
        <v>-0.33795108369274446</v>
      </c>
    </row>
    <row r="14">
      <c r="A14" s="2" t="inlineStr">
        <is>
          <t>Shares</t>
        </is>
      </c>
      <c r="B14" s="23" t="n">
        <v>6.709</v>
      </c>
      <c r="C14" s="23" t="n">
        <v>6.6</v>
      </c>
      <c r="D14" s="23" t="n">
        <v>68.054</v>
      </c>
      <c r="E14" s="23" t="n">
        <v>73.268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2026-10-21T06:28:38Z</dcterms:modified>
  <cp:lastModifiedBy>Wang, Eric</cp:lastModifiedBy>
</cp:coreProperties>
</file>