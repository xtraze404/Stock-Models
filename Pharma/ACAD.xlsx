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Acadia Pharmaceuticals Inc.</t>
        </is>
      </c>
      <c r="C2" s="10" t="n"/>
    </row>
    <row r="3">
      <c r="B3" t="inlineStr">
        <is>
          <t>Price</t>
        </is>
      </c>
      <c r="C3" s="11">
        <f>INDEX([1]Pharma!$F$1:$F$1000,MATCH("ACAD",[1]Pharma!$B$1:$B$1000,0))</f>
        <v>20.44</v>
      </c>
      <c r="F3" s="1" t="n"/>
    </row>
    <row r="4">
      <c r="B4" t="inlineStr">
        <is>
          <t>Shares</t>
        </is>
      </c>
      <c r="C4" s="51" t="n">
        <v>172.305518</v>
      </c>
      <c r="F4" s="1" t="n"/>
    </row>
    <row r="5">
      <c r="B5" t="inlineStr">
        <is>
          <t>Market Cap.</t>
        </is>
      </c>
      <c r="C5" s="13">
        <f>C3*C4</f>
        <v>3521.92478792</v>
      </c>
      <c r="F5" s="1" t="n"/>
    </row>
    <row r="6"/>
    <row r="7">
      <c r="B7" t="inlineStr">
        <is>
          <t>Cash</t>
        </is>
      </c>
      <c r="C7" s="51">
        <f>384.985+571.489</f>
        <v>956.474</v>
      </c>
    </row>
    <row r="8">
      <c r="B8" t="inlineStr">
        <is>
          <t>Debt</t>
        </is>
      </c>
      <c r="C8" s="51" t="n">
        <v>0</v>
      </c>
    </row>
    <row r="9">
      <c r="B9" t="inlineStr">
        <is>
          <t>Enterprise V.</t>
        </is>
      </c>
      <c r="C9" s="13">
        <f>C5-C7+C8</f>
        <v>2565.45078792</v>
      </c>
    </row>
    <row r="10"/>
    <row r="11">
      <c r="B11" s="14" t="inlineStr">
        <is>
          <t>NPV / Share</t>
        </is>
      </c>
      <c r="C11" s="11">
        <f>NPV!B28</f>
        <v>21.156942163348617</v>
      </c>
    </row>
    <row r="12">
      <c r="B12" s="14" t="inlineStr">
        <is>
          <t>Upside</t>
        </is>
      </c>
      <c r="C12" s="15">
        <f>IFERROR(C11/C3-1,"")</f>
        <v>0.035075448304726864</v>
      </c>
    </row>
    <row r="13">
      <c r="B13" s="14" t="inlineStr">
        <is>
          <t>Cash / Share</t>
        </is>
      </c>
      <c r="C13" s="11">
        <f>IFERROR((C7-C8)/C4,"")</f>
        <v>5.551035225697183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2009</v>
      </c>
      <c r="C1" s="16" t="n">
        <v>2010</v>
      </c>
      <c r="D1" s="16" t="n">
        <v>2011</v>
      </c>
      <c r="E1" s="16" t="n">
        <v>2012</v>
      </c>
      <c r="F1" s="16" t="n">
        <v>2013</v>
      </c>
      <c r="G1" s="16" t="n">
        <v>2014</v>
      </c>
      <c r="H1" s="16" t="n">
        <v>2015</v>
      </c>
      <c r="I1" s="16" t="n">
        <v>2016</v>
      </c>
      <c r="J1" s="16" t="n">
        <v>2017</v>
      </c>
      <c r="K1" s="16" t="n">
        <v>2018</v>
      </c>
      <c r="L1" s="16" t="n">
        <v>2019</v>
      </c>
      <c r="M1" s="16" t="n">
        <v>2020</v>
      </c>
      <c r="N1" s="16" t="n">
        <v>2021</v>
      </c>
      <c r="O1" s="16" t="n">
        <v>2022</v>
      </c>
      <c r="P1" s="16" t="n">
        <v>2023</v>
      </c>
      <c r="Q1" s="16" t="n">
        <v>2024</v>
      </c>
      <c r="R1" s="16" t="n">
        <v>2025</v>
      </c>
      <c r="S1" s="16" t="n">
        <v>2026</v>
      </c>
      <c r="T1" s="16" t="n">
        <v>2027</v>
      </c>
      <c r="U1" s="16" t="n">
        <v>2028</v>
      </c>
      <c r="V1" s="16" t="n">
        <v>2029</v>
      </c>
      <c r="W1" s="16" t="n">
        <v>2030</v>
      </c>
      <c r="X1" s="16" t="n">
        <v>2031</v>
      </c>
      <c r="Y1" s="16" t="n">
        <v>2032</v>
      </c>
      <c r="Z1" s="16" t="n">
        <v>2033</v>
      </c>
      <c r="AA1" s="16" t="n">
        <v>2034</v>
      </c>
      <c r="AB1" s="16" t="n">
        <v>2035</v>
      </c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6.399</v>
      </c>
      <c r="C2" s="52" t="n">
        <v>42.135</v>
      </c>
      <c r="D2" s="52" t="n">
        <v>2.067</v>
      </c>
      <c r="E2" s="52" t="n">
        <v>4.907</v>
      </c>
      <c r="F2" s="52" t="n">
        <v>1.145</v>
      </c>
      <c r="G2" s="52" t="n">
        <v>0.12</v>
      </c>
      <c r="H2" s="52" t="n">
        <v>0.061</v>
      </c>
      <c r="I2" s="52" t="n">
        <v>17.331</v>
      </c>
      <c r="J2" s="52" t="n">
        <v>124.901</v>
      </c>
      <c r="K2" s="52" t="n">
        <v>223.807</v>
      </c>
      <c r="L2" s="52" t="n">
        <v>339.076</v>
      </c>
      <c r="M2" s="52" t="n">
        <v>441.755</v>
      </c>
      <c r="N2" s="52" t="n">
        <v>484.145</v>
      </c>
      <c r="O2" s="52" t="n">
        <v>517.235</v>
      </c>
      <c r="P2" s="52" t="n">
        <v>726.437</v>
      </c>
      <c r="Q2" s="52" t="n">
        <v>957.797</v>
      </c>
      <c r="R2" s="52" t="n">
        <v>1071.505</v>
      </c>
      <c r="S2" s="52">
        <f>R2*(1+NPV!C5)</f>
        <v>1212.8365095</v>
      </c>
      <c r="T2" s="52">
        <f>S2*(1+NPV!D5)</f>
        <v>1358.4038425624333</v>
      </c>
      <c r="U2" s="52">
        <f>T2*(1+NPV!E5)</f>
        <v>1505.3076714475462</v>
      </c>
      <c r="V2" s="52">
        <f>U2*(1+NPV!F5)</f>
        <v>1650.2186232855634</v>
      </c>
      <c r="W2" s="52">
        <f>V2*(1+NPV!G5)</f>
        <v>1789.4787393283839</v>
      </c>
      <c r="X2" s="52">
        <f>W2*(1+NPV!H5)</f>
        <v>1919.2358310267955</v>
      </c>
      <c r="Y2" s="52">
        <f>X2*(1+NPV!I5)</f>
        <v>2035.60549691472</v>
      </c>
      <c r="Z2" s="52">
        <f>Y2*(1+NPV!J5)</f>
        <v>2134.85257380874</v>
      </c>
      <c r="AA2" s="52">
        <f>Z2*(1+NPV!K5)</f>
        <v>2213.581192613976</v>
      </c>
      <c r="AB2" s="52">
        <f>AA2*(1+NPV!L5)</f>
        <v>2268.920722429325</v>
      </c>
    </row>
    <row r="3" customFormat="1" s="1">
      <c r="A3" s="5" t="inlineStr">
        <is>
          <t>Cost of Sales</t>
        </is>
      </c>
      <c r="B3" s="52" t="n">
        <v>0</v>
      </c>
      <c r="C3" s="52" t="n">
        <v>0</v>
      </c>
      <c r="D3" s="52" t="n">
        <v>0</v>
      </c>
      <c r="E3" s="52" t="n">
        <v>0</v>
      </c>
      <c r="F3" s="52" t="n">
        <v>0</v>
      </c>
      <c r="G3" s="52" t="n">
        <v>0</v>
      </c>
      <c r="H3" s="52" t="n">
        <v>0</v>
      </c>
      <c r="I3" s="52" t="n">
        <v>3.075</v>
      </c>
      <c r="J3" s="52" t="n">
        <v>9.077</v>
      </c>
      <c r="K3" s="52" t="n">
        <v>12.377</v>
      </c>
      <c r="L3" s="52" t="n">
        <v>11.344</v>
      </c>
      <c r="M3" s="52" t="n">
        <v>10.211</v>
      </c>
      <c r="N3" s="52" t="n">
        <v>19.141</v>
      </c>
      <c r="O3" s="52" t="n">
        <v>10.166</v>
      </c>
      <c r="P3" s="52" t="n">
        <v>41.638</v>
      </c>
      <c r="Q3" s="52" t="n">
        <v>81.84099999999999</v>
      </c>
      <c r="R3" s="52" t="n">
        <v>88.998</v>
      </c>
      <c r="S3" s="52">
        <f>S2*(1-Assumptions!$B$19)</f>
        <v>100.78671393944994</v>
      </c>
      <c r="T3" s="52">
        <f>T2*(1-Assumptions!$B$19)</f>
        <v>112.88335931693814</v>
      </c>
      <c r="U3" s="52">
        <f>U2*(1-Assumptions!$B$19)</f>
        <v>125.09106749729102</v>
      </c>
      <c r="V3" s="52">
        <f>V2*(1-Assumptions!$B$19)</f>
        <v>137.13316759503024</v>
      </c>
      <c r="W3" s="52">
        <f>W2*(1-Assumptions!$B$19)</f>
        <v>148.7056832381886</v>
      </c>
      <c r="X3" s="52">
        <f>X2*(1-Assumptions!$B$19)</f>
        <v>159.4884975583266</v>
      </c>
      <c r="Y3" s="52">
        <f>Y2*(1-Assumptions!$B$19)</f>
        <v>169.15881679361314</v>
      </c>
      <c r="Z3" s="52">
        <f>Z2*(1-Assumptions!$B$19)</f>
        <v>177.4062488835062</v>
      </c>
      <c r="AA3" s="52">
        <f>AA2*(1-Assumptions!$B$19)</f>
        <v>183.94859710622129</v>
      </c>
      <c r="AB3" s="52">
        <f>AB2*(1-Assumptions!$B$19)</f>
        <v>188.5473120338768</v>
      </c>
    </row>
    <row r="4" customFormat="1" s="1">
      <c r="A4" s="5" t="inlineStr">
        <is>
          <t>Gross Margin</t>
        </is>
      </c>
      <c r="B4" s="52">
        <f>B2-B3</f>
        <v>6.399</v>
      </c>
      <c r="C4" s="52">
        <f>C2-C3</f>
        <v>42.135</v>
      </c>
      <c r="D4" s="52">
        <f>D2-D3</f>
        <v>2.067</v>
      </c>
      <c r="E4" s="52">
        <f>E2-E3</f>
        <v>4.907</v>
      </c>
      <c r="F4" s="52">
        <f>F2-F3</f>
        <v>1.145</v>
      </c>
      <c r="G4" s="52">
        <f>G2-G3</f>
        <v>0.12</v>
      </c>
      <c r="H4" s="52">
        <f>H2-H3</f>
        <v>0.061</v>
      </c>
      <c r="I4" s="52">
        <f>I2-I3</f>
        <v>14.256</v>
      </c>
      <c r="J4" s="52">
        <f>J2-J3</f>
        <v>115.824</v>
      </c>
      <c r="K4" s="52">
        <f>K2-K3</f>
        <v>211.42999999999998</v>
      </c>
      <c r="L4" s="52">
        <f>L2-L3</f>
        <v>327.732</v>
      </c>
      <c r="M4" s="52">
        <f>M2-M3</f>
        <v>431.544</v>
      </c>
      <c r="N4" s="52">
        <f>N2-N3</f>
        <v>465.00399999999996</v>
      </c>
      <c r="O4" s="52">
        <f>O2-O3</f>
        <v>507.069</v>
      </c>
      <c r="P4" s="52">
        <f>P2-P3</f>
        <v>684.799</v>
      </c>
      <c r="Q4" s="52">
        <f>Q2-Q3</f>
        <v>875.956</v>
      </c>
      <c r="R4" s="52">
        <f>R2-R3</f>
        <v>982.5070000000001</v>
      </c>
      <c r="S4" s="52">
        <f>S2-S3</f>
        <v>1112.04979556055</v>
      </c>
      <c r="T4" s="52">
        <f>T2-T3</f>
        <v>1245.5204832454951</v>
      </c>
      <c r="U4" s="52">
        <f>U2-U3</f>
        <v>1380.2166039502551</v>
      </c>
      <c r="V4" s="52">
        <f>V2-V3</f>
        <v>1513.085455690533</v>
      </c>
      <c r="W4" s="52">
        <f>W2-W3</f>
        <v>1640.7730560901953</v>
      </c>
      <c r="X4" s="52">
        <f>X2-X3</f>
        <v>1759.747333468469</v>
      </c>
      <c r="Y4" s="52">
        <f>Y2-Y3</f>
        <v>1866.446680121107</v>
      </c>
      <c r="Z4" s="52">
        <f>Z2-Z3</f>
        <v>1957.446324925234</v>
      </c>
      <c r="AA4" s="52">
        <f>AA2-AA3</f>
        <v>2029.6325955077546</v>
      </c>
      <c r="AB4" s="52">
        <f>AB2-AB3</f>
        <v>2080.373410395448</v>
      </c>
    </row>
    <row r="5">
      <c r="A5" s="2" t="inlineStr">
        <is>
          <t>Research &amp; Dev.</t>
        </is>
      </c>
      <c r="B5" s="52" t="n">
        <v>41.585</v>
      </c>
      <c r="C5" s="52" t="n">
        <v>20.579</v>
      </c>
      <c r="D5" s="52" t="n">
        <v>17.309</v>
      </c>
      <c r="E5" s="52" t="n">
        <v>18.794</v>
      </c>
      <c r="F5" s="52" t="n">
        <v>26.722</v>
      </c>
      <c r="G5" s="52" t="n">
        <v>60.602</v>
      </c>
      <c r="H5" s="52" t="n">
        <v>73.869</v>
      </c>
      <c r="I5" s="52" t="n">
        <v>99.28400000000001</v>
      </c>
      <c r="J5" s="52" t="n">
        <v>149.189</v>
      </c>
      <c r="K5" s="52" t="n">
        <v>187.163</v>
      </c>
      <c r="L5" s="52" t="n">
        <v>240.385</v>
      </c>
      <c r="M5" s="52" t="n">
        <v>319.13</v>
      </c>
      <c r="N5" s="52" t="n">
        <v>239.415</v>
      </c>
      <c r="O5" s="52" t="n">
        <v>361.575</v>
      </c>
      <c r="P5" s="52" t="n">
        <v>351.619</v>
      </c>
      <c r="Q5" s="52" t="n">
        <v>303.249</v>
      </c>
      <c r="R5" s="52" t="n">
        <v>328.802</v>
      </c>
      <c r="S5" s="52">
        <f>S7*Assumptions!$B$20</f>
        <v>376.4520985961142</v>
      </c>
      <c r="T5" s="52">
        <f>T7*Assumptions!$B$20</f>
        <v>415.3197872641885</v>
      </c>
      <c r="U5" s="52">
        <f>U7*Assumptions!$B$20</f>
        <v>453.2364616959411</v>
      </c>
      <c r="V5" s="52">
        <f>V7*Assumptions!$B$20</f>
        <v>489.1965118423345</v>
      </c>
      <c r="W5" s="52">
        <f>W7*Assumptions!$B$20</f>
        <v>522.1603582143418</v>
      </c>
      <c r="X5" s="52">
        <f>X7*Assumptions!$B$20</f>
        <v>551.1006693046639</v>
      </c>
      <c r="Y5" s="52">
        <f>Y7*Assumptions!$B$20</f>
        <v>575.0526455512563</v>
      </c>
      <c r="Z5" s="52">
        <f>Z7*Assumptions!$B$20</f>
        <v>593.1651840016139</v>
      </c>
      <c r="AA5" s="52">
        <f>AA7*Assumptions!$B$20</f>
        <v>604.749332584653</v>
      </c>
      <c r="AB5" s="52">
        <f>AB7*Assumptions!$B$20</f>
        <v>609.3203390097298</v>
      </c>
    </row>
    <row r="6">
      <c r="A6" s="18" t="inlineStr">
        <is>
          <t>SG&amp;A &amp; Other</t>
        </is>
      </c>
      <c r="B6" s="52" t="n">
        <v>10.282</v>
      </c>
      <c r="C6" s="52" t="n">
        <v>6.462</v>
      </c>
      <c r="D6" s="52" t="n">
        <v>7.61</v>
      </c>
      <c r="E6" s="52" t="n">
        <v>6.999</v>
      </c>
      <c r="F6" s="52" t="n">
        <v>12.72</v>
      </c>
      <c r="G6" s="52" t="n">
        <v>32.748</v>
      </c>
      <c r="H6" s="52" t="n">
        <v>90.804</v>
      </c>
      <c r="I6" s="52" t="n">
        <v>187.787</v>
      </c>
      <c r="J6" s="52" t="n">
        <v>259.045</v>
      </c>
      <c r="K6" s="52" t="n">
        <v>271.711</v>
      </c>
      <c r="L6" s="52" t="n">
        <v>333.892</v>
      </c>
      <c r="M6" s="52" t="n">
        <v>399</v>
      </c>
      <c r="N6" s="52" t="n">
        <v>396.028</v>
      </c>
      <c r="O6" s="52" t="n">
        <v>369.09</v>
      </c>
      <c r="P6" s="52" t="n">
        <v>406.559</v>
      </c>
      <c r="Q6" s="52" t="n">
        <v>341.913</v>
      </c>
      <c r="R6" s="52" t="n">
        <v>548.894</v>
      </c>
      <c r="S6" s="52">
        <f>S7-S5</f>
        <v>628.4921048104907</v>
      </c>
      <c r="T6" s="52">
        <f>T7-T5</f>
        <v>693.3822609584183</v>
      </c>
      <c r="U6" s="52">
        <f>U7-U5</f>
        <v>756.6846853834533</v>
      </c>
      <c r="V6" s="52">
        <f>V7-V5</f>
        <v>816.7204978809289</v>
      </c>
      <c r="W6" s="52">
        <f>W7-W5</f>
        <v>871.7541057855028</v>
      </c>
      <c r="X6" s="52">
        <f>X7-X5</f>
        <v>920.0703646106161</v>
      </c>
      <c r="Y6" s="52">
        <f>Y7-Y5</f>
        <v>960.0585278370415</v>
      </c>
      <c r="Z6" s="52">
        <f>Z7-Z5</f>
        <v>990.297667043805</v>
      </c>
      <c r="AA6" s="52">
        <f>AA7-AA5</f>
        <v>1009.6375670006458</v>
      </c>
      <c r="AB6" s="52">
        <f>AB7-AB5</f>
        <v>1017.2689268998532</v>
      </c>
    </row>
    <row r="7">
      <c r="A7" s="2" t="inlineStr">
        <is>
          <t>Operating Expense</t>
        </is>
      </c>
      <c r="B7" s="52">
        <f>SUM(B5:B6)</f>
        <v>51.867000000000004</v>
      </c>
      <c r="C7" s="52">
        <f>SUM(C5:C6)</f>
        <v>27.041</v>
      </c>
      <c r="D7" s="52">
        <f>SUM(D5:D6)</f>
        <v>24.919</v>
      </c>
      <c r="E7" s="52">
        <f>SUM(E5:E6)</f>
        <v>25.793</v>
      </c>
      <c r="F7" s="52">
        <f>SUM(F5:F6)</f>
        <v>39.442</v>
      </c>
      <c r="G7" s="52">
        <f>SUM(G5:G6)</f>
        <v>93.35</v>
      </c>
      <c r="H7" s="52">
        <f>SUM(H5:H6)</f>
        <v>164.673</v>
      </c>
      <c r="I7" s="52">
        <f>SUM(I5:I6)</f>
        <v>287.071</v>
      </c>
      <c r="J7" s="52">
        <f>SUM(J5:J6)</f>
        <v>408.23400000000004</v>
      </c>
      <c r="K7" s="52">
        <f>SUM(K5:K6)</f>
        <v>458.874</v>
      </c>
      <c r="L7" s="52">
        <f>SUM(L5:L6)</f>
        <v>574.277</v>
      </c>
      <c r="M7" s="52">
        <f>SUM(M5:M6)</f>
        <v>718.13</v>
      </c>
      <c r="N7" s="52">
        <f>SUM(N5:N6)</f>
        <v>635.443</v>
      </c>
      <c r="O7" s="52">
        <f>SUM(O5:O6)</f>
        <v>730.665</v>
      </c>
      <c r="P7" s="52">
        <f>SUM(P5:P6)</f>
        <v>758.1780000000001</v>
      </c>
      <c r="Q7" s="52">
        <f>SUM(Q5:Q6)</f>
        <v>645.162</v>
      </c>
      <c r="R7" s="52">
        <f>SUM(R5:R6)</f>
        <v>877.696</v>
      </c>
      <c r="S7" s="52">
        <f>S4-S2*NPV!C6</f>
        <v>1004.9442034066049</v>
      </c>
      <c r="T7" s="52">
        <f>T4-T2*NPV!D6</f>
        <v>1108.702048222607</v>
      </c>
      <c r="U7" s="52">
        <f>U4-U2*NPV!E6</f>
        <v>1209.9211470793944</v>
      </c>
      <c r="V7" s="52">
        <f>V4-V2*NPV!F6</f>
        <v>1305.9170097232634</v>
      </c>
      <c r="W7" s="52">
        <f>W4-W2*NPV!G6</f>
        <v>1393.9144639998447</v>
      </c>
      <c r="X7" s="52">
        <f>X4-X2*NPV!H6</f>
        <v>1471.17103391528</v>
      </c>
      <c r="Y7" s="52">
        <f>Y4-Y2*NPV!I6</f>
        <v>1535.1111733882979</v>
      </c>
      <c r="Z7" s="52">
        <f>Z4-Z2*NPV!J6</f>
        <v>1583.4628510454188</v>
      </c>
      <c r="AA7" s="52">
        <f>AA4-AA2*NPV!K6</f>
        <v>1614.3868995852988</v>
      </c>
      <c r="AB7" s="52">
        <f>AB4-AB2*NPV!L6</f>
        <v>1626.589265909583</v>
      </c>
    </row>
    <row r="8">
      <c r="A8" s="2" t="inlineStr">
        <is>
          <t>Operating Income</t>
        </is>
      </c>
      <c r="B8" s="52">
        <f>B4-B7</f>
        <v>-45.468</v>
      </c>
      <c r="C8" s="52">
        <f>C4-C7</f>
        <v>15.093999999999998</v>
      </c>
      <c r="D8" s="52">
        <f>D4-D7</f>
        <v>-22.852</v>
      </c>
      <c r="E8" s="52">
        <f>E4-E7</f>
        <v>-20.886</v>
      </c>
      <c r="F8" s="52">
        <f>F4-F7</f>
        <v>-38.297</v>
      </c>
      <c r="G8" s="52">
        <f>G4-G7</f>
        <v>-93.22999999999999</v>
      </c>
      <c r="H8" s="52">
        <f>H4-H7</f>
        <v>-164.612</v>
      </c>
      <c r="I8" s="52">
        <f>I4-I7</f>
        <v>-272.81500000000005</v>
      </c>
      <c r="J8" s="52">
        <f>J4-J7</f>
        <v>-292.41</v>
      </c>
      <c r="K8" s="52">
        <f>K4-K7</f>
        <v>-247.44400000000005</v>
      </c>
      <c r="L8" s="52">
        <f>L4-L7</f>
        <v>-246.54500000000002</v>
      </c>
      <c r="M8" s="52">
        <f>M4-M7</f>
        <v>-286.586</v>
      </c>
      <c r="N8" s="52">
        <f>N4-N7</f>
        <v>-170.43900000000002</v>
      </c>
      <c r="O8" s="52">
        <f>O4-O7</f>
        <v>-223.59599999999995</v>
      </c>
      <c r="P8" s="52">
        <f>P4-P7</f>
        <v>-73.37900000000013</v>
      </c>
      <c r="Q8" s="52">
        <f>Q4-Q7</f>
        <v>230.79399999999998</v>
      </c>
      <c r="R8" s="52">
        <f>R4-R7</f>
        <v>104.81100000000004</v>
      </c>
      <c r="S8" s="52">
        <f>S4-S7</f>
        <v>107.10559215394505</v>
      </c>
      <c r="T8" s="52">
        <f>T4-T7</f>
        <v>136.81843502288825</v>
      </c>
      <c r="U8" s="52">
        <f>U4-U7</f>
        <v>170.2954568708608</v>
      </c>
      <c r="V8" s="52">
        <f>V4-V7</f>
        <v>207.1684459672697</v>
      </c>
      <c r="W8" s="52">
        <f>W4-W7</f>
        <v>246.8585920903506</v>
      </c>
      <c r="X8" s="52">
        <f>X4-X7</f>
        <v>288.57629955318885</v>
      </c>
      <c r="Y8" s="52">
        <f>Y4-Y7</f>
        <v>331.3355067328091</v>
      </c>
      <c r="Z8" s="52">
        <f>Z4-Z7</f>
        <v>373.98347387981516</v>
      </c>
      <c r="AA8" s="52">
        <f>AA4-AA7</f>
        <v>415.24569592245575</v>
      </c>
      <c r="AB8" s="52">
        <f>AB4-AB7</f>
        <v>453.784144485865</v>
      </c>
    </row>
    <row r="9">
      <c r="A9" s="18" t="inlineStr">
        <is>
          <t>Interest &amp; Other</t>
        </is>
      </c>
      <c r="B9" s="52" t="n">
        <v>0.323</v>
      </c>
      <c r="C9" s="52" t="n">
        <v>0.057</v>
      </c>
      <c r="D9" s="52" t="n">
        <v>0.104</v>
      </c>
      <c r="E9" s="52" t="n">
        <v>0.037</v>
      </c>
      <c r="F9" s="52" t="n">
        <v>0.349</v>
      </c>
      <c r="G9" s="52" t="n">
        <v>0.755</v>
      </c>
      <c r="H9" s="52" t="n">
        <v>0.499</v>
      </c>
      <c r="I9" s="52" t="n">
        <v>2.763</v>
      </c>
      <c r="J9" s="52" t="n">
        <v>4.126</v>
      </c>
      <c r="K9" s="52" t="n">
        <v>3.508</v>
      </c>
      <c r="L9" s="52" t="n">
        <v>12.162</v>
      </c>
      <c r="M9" s="52" t="n">
        <v>5.613</v>
      </c>
      <c r="N9" s="52" t="n">
        <v>2.79</v>
      </c>
      <c r="O9" s="52" t="n">
        <v>12.127</v>
      </c>
      <c r="P9" s="52" t="n">
        <v>22.629</v>
      </c>
      <c r="Q9" s="52" t="n">
        <v>26.83</v>
      </c>
      <c r="R9" s="52" t="n">
        <v>34.093</v>
      </c>
      <c r="S9" s="52" t="n">
        <v>0</v>
      </c>
      <c r="T9" s="52" t="n">
        <v>0</v>
      </c>
      <c r="U9" s="52" t="n">
        <v>0</v>
      </c>
      <c r="V9" s="52" t="n">
        <v>0</v>
      </c>
      <c r="W9" s="52" t="n">
        <v>0</v>
      </c>
      <c r="X9" s="52" t="n">
        <v>0</v>
      </c>
      <c r="Y9" s="52" t="n">
        <v>0</v>
      </c>
      <c r="Z9" s="52" t="n">
        <v>0</v>
      </c>
      <c r="AA9" s="52" t="n">
        <v>0</v>
      </c>
      <c r="AB9" s="52" t="n">
        <v>0</v>
      </c>
    </row>
    <row r="10">
      <c r="A10" s="2" t="inlineStr">
        <is>
          <t>Pretax</t>
        </is>
      </c>
      <c r="B10" s="52">
        <f>B8+B9</f>
        <v>-45.145</v>
      </c>
      <c r="C10" s="52">
        <f>C8+C9</f>
        <v>15.150999999999998</v>
      </c>
      <c r="D10" s="52">
        <f>D8+D9</f>
        <v>-22.748</v>
      </c>
      <c r="E10" s="52">
        <f>E8+E9</f>
        <v>-20.849</v>
      </c>
      <c r="F10" s="52">
        <f>F8+F9</f>
        <v>-37.948</v>
      </c>
      <c r="G10" s="52">
        <f>G8+G9</f>
        <v>-92.475</v>
      </c>
      <c r="H10" s="52">
        <f>H8+H9</f>
        <v>-164.113</v>
      </c>
      <c r="I10" s="52">
        <f>I8+I9</f>
        <v>-270.0520000000001</v>
      </c>
      <c r="J10" s="52">
        <f>J8+J9</f>
        <v>-288.28400000000005</v>
      </c>
      <c r="K10" s="52">
        <f>K8+K9</f>
        <v>-243.93600000000004</v>
      </c>
      <c r="L10" s="52">
        <f>L8+L9</f>
        <v>-234.383</v>
      </c>
      <c r="M10" s="52">
        <f>M8+M9</f>
        <v>-280.973</v>
      </c>
      <c r="N10" s="52">
        <f>N8+N9</f>
        <v>-167.64900000000003</v>
      </c>
      <c r="O10" s="52">
        <f>O8+O9</f>
        <v>-211.46899999999994</v>
      </c>
      <c r="P10" s="52">
        <f>P8+P9</f>
        <v>-50.75000000000013</v>
      </c>
      <c r="Q10" s="52">
        <f>Q8+Q9</f>
        <v>257.62399999999997</v>
      </c>
      <c r="R10" s="52">
        <f>R8+R9</f>
        <v>138.90400000000005</v>
      </c>
      <c r="S10" s="52">
        <f>S8+S9</f>
        <v>107.10559215394505</v>
      </c>
      <c r="T10" s="52">
        <f>T8+T9</f>
        <v>136.81843502288825</v>
      </c>
      <c r="U10" s="52">
        <f>U8+U9</f>
        <v>170.2954568708608</v>
      </c>
      <c r="V10" s="52">
        <f>V8+V9</f>
        <v>207.1684459672697</v>
      </c>
      <c r="W10" s="52">
        <f>W8+W9</f>
        <v>246.8585920903506</v>
      </c>
      <c r="X10" s="52">
        <f>X8+X9</f>
        <v>288.57629955318885</v>
      </c>
      <c r="Y10" s="52">
        <f>Y8+Y9</f>
        <v>331.3355067328091</v>
      </c>
      <c r="Z10" s="52">
        <f>Z8+Z9</f>
        <v>373.98347387981516</v>
      </c>
      <c r="AA10" s="52">
        <f>AA8+AA9</f>
        <v>415.24569592245575</v>
      </c>
      <c r="AB10" s="52">
        <f>AB8+AB9</f>
        <v>453.784144485865</v>
      </c>
    </row>
    <row r="11">
      <c r="A11" s="2" t="inlineStr">
        <is>
          <t>Taxes</t>
        </is>
      </c>
      <c r="B11" s="52" t="n">
        <v>0</v>
      </c>
      <c r="C11" s="52" t="n">
        <v>0.012</v>
      </c>
      <c r="D11" s="52" t="n">
        <v>0.017</v>
      </c>
      <c r="E11" s="52" t="n">
        <v>0</v>
      </c>
      <c r="F11" s="52" t="n">
        <v>0</v>
      </c>
      <c r="G11" s="52" t="n">
        <v>0</v>
      </c>
      <c r="H11" s="52" t="n">
        <v>0.33</v>
      </c>
      <c r="I11" s="52" t="n">
        <v>1.341</v>
      </c>
      <c r="J11" s="52" t="n">
        <v>1.119</v>
      </c>
      <c r="K11" s="52" t="n">
        <v>1.256</v>
      </c>
      <c r="L11" s="52" t="n">
        <v>0.876</v>
      </c>
      <c r="M11" s="52" t="n">
        <v>0.611</v>
      </c>
      <c r="N11" s="52" t="n">
        <v>0.351</v>
      </c>
      <c r="O11" s="52" t="n">
        <v>2.531</v>
      </c>
      <c r="P11" s="52" t="n">
        <v>10.25</v>
      </c>
      <c r="Q11" s="52" t="n">
        <v>31.624</v>
      </c>
      <c r="R11" s="52" t="n">
        <v>-252.096</v>
      </c>
      <c r="S11" s="52">
        <f>MAX(0,S10)*Assumptions!$E$14</f>
        <v>18.20795066617066</v>
      </c>
      <c r="T11" s="52">
        <f>MAX(0,T10)*Assumptions!$E$14</f>
        <v>23.259133953891006</v>
      </c>
      <c r="U11" s="52">
        <f>MAX(0,U10)*Assumptions!$E$14</f>
        <v>28.950227668046335</v>
      </c>
      <c r="V11" s="52">
        <f>MAX(0,V10)*Assumptions!$E$14</f>
        <v>35.21863581443585</v>
      </c>
      <c r="W11" s="52">
        <f>MAX(0,W10)*Assumptions!$E$14</f>
        <v>41.96596065535961</v>
      </c>
      <c r="X11" s="52">
        <f>MAX(0,X10)*Assumptions!$E$14</f>
        <v>49.05797092404211</v>
      </c>
      <c r="Y11" s="52">
        <f>MAX(0,Y10)*Assumptions!$E$14</f>
        <v>56.327036144577555</v>
      </c>
      <c r="Z11" s="52">
        <f>MAX(0,Z10)*Assumptions!$E$14</f>
        <v>63.577190559568585</v>
      </c>
      <c r="AA11" s="52">
        <f>MAX(0,AA10)*Assumptions!$E$14</f>
        <v>70.59176830681749</v>
      </c>
      <c r="AB11" s="52">
        <f>MAX(0,AB10)*Assumptions!$E$14</f>
        <v>77.14330456259705</v>
      </c>
    </row>
    <row r="12">
      <c r="A12" s="2" t="inlineStr">
        <is>
          <t>Net Income</t>
        </is>
      </c>
      <c r="B12" s="52" t="n">
        <v>-45.145</v>
      </c>
      <c r="C12" s="52" t="n">
        <v>15.139</v>
      </c>
      <c r="D12" s="52" t="n">
        <v>-22.765</v>
      </c>
      <c r="E12" s="52" t="n">
        <v>-20.849</v>
      </c>
      <c r="F12" s="52" t="n">
        <v>-37.948</v>
      </c>
      <c r="G12" s="52" t="n">
        <v>-92.47499999999999</v>
      </c>
      <c r="H12" s="52" t="n">
        <v>-164.443</v>
      </c>
      <c r="I12" s="52" t="n">
        <v>-271.393</v>
      </c>
      <c r="J12" s="52" t="n">
        <v>-289.403</v>
      </c>
      <c r="K12" s="52" t="n">
        <v>-245.192</v>
      </c>
      <c r="L12" s="52" t="n">
        <v>-235.259</v>
      </c>
      <c r="M12" s="52" t="n">
        <v>-281.584</v>
      </c>
      <c r="N12" s="52" t="n">
        <v>-168</v>
      </c>
      <c r="O12" s="52" t="n">
        <v>-214</v>
      </c>
      <c r="P12" s="52" t="n">
        <v>-61</v>
      </c>
      <c r="Q12" s="52" t="n">
        <v>226</v>
      </c>
      <c r="R12" s="52" t="n">
        <v>391</v>
      </c>
      <c r="S12" s="52">
        <f>S10-S11</f>
        <v>88.8976414877744</v>
      </c>
      <c r="T12" s="52">
        <f>T10-T11</f>
        <v>113.55930106899724</v>
      </c>
      <c r="U12" s="52">
        <f>U10-U11</f>
        <v>141.34522920281447</v>
      </c>
      <c r="V12" s="52">
        <f>V10-V11</f>
        <v>171.94981015283383</v>
      </c>
      <c r="W12" s="52">
        <f>W10-W11</f>
        <v>204.89263143499102</v>
      </c>
      <c r="X12" s="52">
        <f>X10-X11</f>
        <v>239.51832862914674</v>
      </c>
      <c r="Y12" s="52">
        <f>Y10-Y11</f>
        <v>275.00847058823155</v>
      </c>
      <c r="Z12" s="52">
        <f>Z10-Z11</f>
        <v>310.4062833202466</v>
      </c>
      <c r="AA12" s="52">
        <f>AA10-AA11</f>
        <v>344.6539276156383</v>
      </c>
      <c r="AB12" s="52">
        <f>AB10-AB11</f>
        <v>376.64083992326795</v>
      </c>
    </row>
    <row r="13">
      <c r="A13" s="2" t="inlineStr">
        <is>
          <t>Earnings per Share</t>
        </is>
      </c>
      <c r="B13" s="11">
        <f>IFERROR(B12/B14,0)</f>
        <v>-1.2046376347529086</v>
      </c>
      <c r="C13" s="11">
        <f>IFERROR(C12/C14,0)</f>
        <v>0.3909865702479339</v>
      </c>
      <c r="D13" s="11">
        <f>IFERROR(D12/D14,0)</f>
        <v>-0.4362531859034552</v>
      </c>
      <c r="E13" s="11">
        <f>IFERROR(E12/E14,0)</f>
        <v>-0.3782749110965963</v>
      </c>
      <c r="F13" s="11">
        <f>IFERROR(F12/F14,0)</f>
        <v>-0.4427229773085224</v>
      </c>
      <c r="G13" s="11">
        <f>IFERROR(G12/G14,0)</f>
        <v>-0.9509192991115497</v>
      </c>
      <c r="H13" s="11">
        <f>IFERROR(H12/H14,0)</f>
        <v>-1.6341349498161584</v>
      </c>
      <c r="I13" s="11">
        <f>IFERROR(I12/I14,0)</f>
        <v>-2.342462324569732</v>
      </c>
      <c r="J13" s="11">
        <f>IFERROR(J12/J14,0)</f>
        <v>-2.3605464926590543</v>
      </c>
      <c r="K13" s="11">
        <f>IFERROR(K12/K14,0)</f>
        <v>-1.9370057590671734</v>
      </c>
      <c r="L13" s="11">
        <f>IFERROR(L12/L14,0)</f>
        <v>-1.5982377597673896</v>
      </c>
      <c r="M13" s="11">
        <f>IFERROR(M12/M14,0)</f>
        <v>-1.7897553565413047</v>
      </c>
      <c r="N13" s="11">
        <f>IFERROR(N12/N14,0)</f>
        <v>-1.0467746256846093</v>
      </c>
      <c r="O13" s="11">
        <f>IFERROR(O12/O14,0)</f>
        <v>-1.3235776179313843</v>
      </c>
      <c r="P13" s="11">
        <f>IFERROR(P12/P14,0)</f>
        <v>-0.37236218021108664</v>
      </c>
      <c r="Q13" s="11">
        <f>IFERROR(Q12/Q14,0)</f>
        <v>1.3584833074860847</v>
      </c>
      <c r="R13" s="11">
        <f>IFERROR(R12/R14,0)</f>
        <v>2.3010964047575606</v>
      </c>
      <c r="S13" s="11">
        <f>IFERROR(S12/S14,0)</f>
        <v>0.5159303226015919</v>
      </c>
      <c r="T13" s="11">
        <f>IFERROR(T12/T14,0)</f>
        <v>0.659057831618586</v>
      </c>
      <c r="U13" s="11">
        <f>IFERROR(U12/U14,0)</f>
        <v>0.8203174851475996</v>
      </c>
      <c r="V13" s="11">
        <f>IFERROR(V12/V14,0)</f>
        <v>0.9979355980510957</v>
      </c>
      <c r="W13" s="11">
        <f>IFERROR(W12/W14,0)</f>
        <v>1.1891240269797454</v>
      </c>
      <c r="X13" s="11">
        <f>IFERROR(X12/X14,0)</f>
        <v>1.3900792697140827</v>
      </c>
      <c r="Y13" s="11">
        <f>IFERROR(Y12/Y14,0)</f>
        <v>1.596051442695129</v>
      </c>
      <c r="Z13" s="11">
        <f>IFERROR(Z12/Z14,0)</f>
        <v>1.8014877696502243</v>
      </c>
      <c r="AA13" s="11">
        <f>IFERROR(AA12/AA14,0)</f>
        <v>2.0002489276962</v>
      </c>
      <c r="AB13" s="11">
        <f>IFERROR(AB12/AB14,0)</f>
        <v>2.1858896006062203</v>
      </c>
    </row>
    <row r="14">
      <c r="A14" s="2" t="inlineStr">
        <is>
          <t>Shares</t>
        </is>
      </c>
      <c r="B14" s="52" t="n">
        <v>37.476</v>
      </c>
      <c r="C14" s="52" t="n">
        <v>38.72</v>
      </c>
      <c r="D14" s="52" t="n">
        <v>52.183</v>
      </c>
      <c r="E14" s="52" t="n">
        <v>55.116</v>
      </c>
      <c r="F14" s="52" t="n">
        <v>85.715</v>
      </c>
      <c r="G14" s="52" t="n">
        <v>97.248</v>
      </c>
      <c r="H14" s="52" t="n">
        <v>100.63</v>
      </c>
      <c r="I14" s="52" t="n">
        <v>115.858</v>
      </c>
      <c r="J14" s="52" t="n">
        <v>122.6</v>
      </c>
      <c r="K14" s="52" t="n">
        <v>126.583</v>
      </c>
      <c r="L14" s="52" t="n">
        <v>147.199</v>
      </c>
      <c r="M14" s="52" t="n">
        <v>157.331</v>
      </c>
      <c r="N14" s="52" t="n">
        <v>160.493</v>
      </c>
      <c r="O14" s="52" t="n">
        <v>161.683</v>
      </c>
      <c r="P14" s="52" t="n">
        <v>163.819</v>
      </c>
      <c r="Q14" s="52" t="n">
        <v>166.362</v>
      </c>
      <c r="R14" s="52" t="n">
        <v>169.919</v>
      </c>
      <c r="S14" s="52">
        <f>Main!$C$4</f>
        <v>172.305518</v>
      </c>
      <c r="T14" s="52">
        <f>Main!$C$4</f>
        <v>172.305518</v>
      </c>
      <c r="U14" s="52">
        <f>Main!$C$4</f>
        <v>172.305518</v>
      </c>
      <c r="V14" s="52">
        <f>Main!$C$4</f>
        <v>172.305518</v>
      </c>
      <c r="W14" s="52">
        <f>Main!$C$4</f>
        <v>172.305518</v>
      </c>
      <c r="X14" s="52">
        <f>Main!$C$4</f>
        <v>172.305518</v>
      </c>
      <c r="Y14" s="52">
        <f>Main!$C$4</f>
        <v>172.305518</v>
      </c>
      <c r="Z14" s="52">
        <f>Main!$C$4</f>
        <v>172.305518</v>
      </c>
      <c r="AA14" s="52">
        <f>Main!$C$4</f>
        <v>172.305518</v>
      </c>
      <c r="AB14" s="52">
        <f>Main!$C$4</f>
        <v>172.305518</v>
      </c>
    </row>
    <row r="15"/>
    <row r="16" customFormat="1" s="4">
      <c r="A16" s="3" t="inlineStr">
        <is>
          <t>Revenue Change</t>
        </is>
      </c>
      <c r="C16" s="15">
        <f>IFERROR(C2/B2-1,"")</f>
        <v>5.584622597280825</v>
      </c>
      <c r="D16" s="15">
        <f>IFERROR(D2/C2-1,"")</f>
        <v>-0.9509433962264151</v>
      </c>
      <c r="E16" s="15">
        <f>IFERROR(E2/D2-1,"")</f>
        <v>1.3739719400096755</v>
      </c>
      <c r="F16" s="15">
        <f>IFERROR(F2/E2-1,"")</f>
        <v>-0.766659873649888</v>
      </c>
      <c r="G16" s="15">
        <f>IFERROR(G2/F2-1,"")</f>
        <v>-0.8951965065502183</v>
      </c>
      <c r="H16" s="15">
        <f>IFERROR(H2/G2-1,"")</f>
        <v>-0.4916666666666667</v>
      </c>
      <c r="I16" s="15">
        <f>IFERROR(I2/H2-1,"")</f>
        <v>283.11475409836066</v>
      </c>
      <c r="J16" s="15">
        <f>IFERROR(J2/I2-1,"")</f>
        <v>6.206797068836189</v>
      </c>
      <c r="K16" s="15">
        <f>IFERROR(K2/J2-1,"")</f>
        <v>0.7918751651307836</v>
      </c>
      <c r="L16" s="15">
        <f>IFERROR(L2/K2-1,"")</f>
        <v>0.5150375099974533</v>
      </c>
      <c r="M16" s="15">
        <f>IFERROR(M2/L2-1,"")</f>
        <v>0.3028200167514066</v>
      </c>
      <c r="N16" s="15">
        <f>IFERROR(N2/M2-1,"")</f>
        <v>0.0959581668571945</v>
      </c>
      <c r="O16" s="15">
        <f>IFERROR(O2/N2-1,"")</f>
        <v>0.06834729264992934</v>
      </c>
      <c r="P16" s="15">
        <f>IFERROR(P2/O2-1,"")</f>
        <v>0.4044621883669899</v>
      </c>
      <c r="Q16" s="15">
        <f>IFERROR(Q2/P2-1,"")</f>
        <v>0.3184859802019997</v>
      </c>
      <c r="R16" s="15">
        <f>IFERROR(R2/Q2-1,"")</f>
        <v>0.11871826702317922</v>
      </c>
      <c r="S16" s="15">
        <f>IFERROR(S2/R2-1,"")</f>
        <v>0.1318999999999999</v>
      </c>
      <c r="T16" s="15">
        <f>IFERROR(T2/S2-1,"")</f>
        <v>0.12002222222222225</v>
      </c>
      <c r="U16" s="15">
        <f>IFERROR(U2/T2-1,"")</f>
        <v>0.10814444444444438</v>
      </c>
      <c r="V16" s="15">
        <f>IFERROR(V2/U2-1,"")</f>
        <v>0.09626666666666672</v>
      </c>
      <c r="W16" s="15">
        <f>IFERROR(W2/V2-1,"")</f>
        <v>0.08438888888888885</v>
      </c>
      <c r="X16" s="15">
        <f>IFERROR(X2/W2-1,"")</f>
        <v>0.07251111111111119</v>
      </c>
      <c r="Y16" s="15">
        <f>IFERROR(Y2/X2-1,"")</f>
        <v>0.06063333333333332</v>
      </c>
      <c r="Z16" s="15">
        <f>IFERROR(Z2/Y2-1,"")</f>
        <v>0.04875555555555566</v>
      </c>
      <c r="AA16" s="15">
        <f>IFERROR(AA2/Z2-1,"")</f>
        <v>0.03687777777777779</v>
      </c>
      <c r="AB16" s="15">
        <f>IFERROR(AB2/AA2-1,"")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>1.0</v>
      </c>
      <c r="H17" s="15">
        <f>IFERROR(H4/H2,"")</f>
        <v>1.0</v>
      </c>
      <c r="I17" s="15">
        <f>IFERROR(I4/I2,"")</f>
        <v>0.8225722693439502</v>
      </c>
      <c r="J17" s="15">
        <f>IFERROR(J4/J2,"")</f>
        <v>0.9273264425424936</v>
      </c>
      <c r="K17" s="15">
        <f>IFERROR(K4/K2,"")</f>
        <v>0.9446978870187259</v>
      </c>
      <c r="L17" s="15">
        <f>IFERROR(L4/L2,"")</f>
        <v>0.9665443735327773</v>
      </c>
      <c r="M17" s="15">
        <f>IFERROR(M4/M2,"")</f>
        <v>0.9768853776414528</v>
      </c>
      <c r="N17" s="15">
        <f>IFERROR(N4/N2,"")</f>
        <v>0.9604643237046752</v>
      </c>
      <c r="O17" s="15">
        <f>IFERROR(O4/O2,"")</f>
        <v>0.9803454909277215</v>
      </c>
      <c r="P17" s="15">
        <f>IFERROR(P4/P2,"")</f>
        <v>0.9426818843203195</v>
      </c>
      <c r="Q17" s="15">
        <f>IFERROR(Q4/Q2,"")</f>
        <v>0.9145528749829035</v>
      </c>
      <c r="R17" s="15">
        <f>IFERROR(R4/R2,"")</f>
        <v>0.9169411248664262</v>
      </c>
      <c r="S17" s="15">
        <f>IFERROR(S4/S2,"")</f>
        <v>0.9168999999999999</v>
      </c>
      <c r="T17" s="15">
        <f>IFERROR(T4/T2,"")</f>
        <v>0.9169</v>
      </c>
      <c r="U17" s="15">
        <f>IFERROR(U4/U2,"")</f>
        <v>0.9169</v>
      </c>
      <c r="V17" s="15">
        <f>IFERROR(V4/V2,"")</f>
        <v>0.9169</v>
      </c>
      <c r="W17" s="15">
        <f>IFERROR(W4/W2,"")</f>
        <v>0.9169</v>
      </c>
      <c r="X17" s="15">
        <f>IFERROR(X4/X2,"")</f>
        <v>0.9169</v>
      </c>
      <c r="Y17" s="15">
        <f>IFERROR(Y4/Y2,"")</f>
        <v>0.9169</v>
      </c>
      <c r="Z17" s="15">
        <f>IFERROR(Z4/Z2,"")</f>
        <v>0.9169</v>
      </c>
      <c r="AA17" s="15">
        <f>IFERROR(AA4/AA2,"")</f>
        <v>0.9169</v>
      </c>
      <c r="AB17" s="15">
        <f>IFERROR(AB4/AB2,"")</f>
        <v>0.9168999999999999</v>
      </c>
    </row>
    <row r="18">
      <c r="A18" s="14" t="inlineStr">
        <is>
          <t>Operating Margin</t>
        </is>
      </c>
      <c r="B18" s="15">
        <f>IFERROR(B8/B2,"")</f>
        <v>-7.105485232067511</v>
      </c>
      <c r="C18" s="15">
        <f>IFERROR(C8/C2,"")</f>
        <v>0.35822950041533164</v>
      </c>
      <c r="D18" s="15">
        <f>IFERROR(D8/D2,"")</f>
        <v>-11.05563618771166</v>
      </c>
      <c r="E18" s="15">
        <f>IFERROR(E8/E2,"")</f>
        <v>-4.256368453230079</v>
      </c>
      <c r="F18" s="15">
        <f>IFERROR(F8/F2,"")</f>
        <v>-33.4471615720524</v>
      </c>
      <c r="G18" s="15">
        <f>IFERROR(G8/G2,"")</f>
        <v>-776.9166666666666</v>
      </c>
      <c r="H18" s="15">
        <f>IFERROR(H8/H2,"")</f>
        <v>-2698.55737704918</v>
      </c>
      <c r="I18" s="15">
        <f>IFERROR(I8/I2,"")</f>
        <v>-15.741445963879757</v>
      </c>
      <c r="J18" s="15">
        <f>IFERROR(J8/J2,"")</f>
        <v>-2.3411341782691895</v>
      </c>
      <c r="K18" s="15">
        <f>IFERROR(K8/K2,"")</f>
        <v>-1.105613318618274</v>
      </c>
      <c r="L18" s="15">
        <f>IFERROR(L8/L2,"")</f>
        <v>-0.7271083768830586</v>
      </c>
      <c r="M18" s="15">
        <f>IFERROR(M8/M2,"")</f>
        <v>-0.6487442134214667</v>
      </c>
      <c r="N18" s="15">
        <f>IFERROR(N8/N2,"")</f>
        <v>-0.35204122731826215</v>
      </c>
      <c r="O18" s="15">
        <f>IFERROR(O8/O2,"")</f>
        <v>-0.4322909315881561</v>
      </c>
      <c r="P18" s="15">
        <f>IFERROR(P8/P2,"")</f>
        <v>-0.10101220064506644</v>
      </c>
      <c r="Q18" s="15">
        <f>IFERROR(Q8/Q2,"")</f>
        <v>0.24096337741713533</v>
      </c>
      <c r="R18" s="15">
        <f>IFERROR(R8/R2,"")</f>
        <v>0.0978166224142678</v>
      </c>
      <c r="S18" s="15">
        <f>IFERROR(S8/S2,"")</f>
        <v>0.08831000000000006</v>
      </c>
      <c r="T18" s="15">
        <f>IFERROR(T8/T2,"")</f>
        <v>0.10071999999999998</v>
      </c>
      <c r="U18" s="15">
        <f>IFERROR(U8/U2,"")</f>
        <v>0.11312999999999993</v>
      </c>
      <c r="V18" s="15">
        <f>IFERROR(V8/V2,"")</f>
        <v>0.12554000000000004</v>
      </c>
      <c r="W18" s="15">
        <f>IFERROR(W8/W2,"")</f>
        <v>0.13795000000000004</v>
      </c>
      <c r="X18" s="15">
        <f>IFERROR(X8/X2,"")</f>
        <v>0.15035999999999994</v>
      </c>
      <c r="Y18" s="15">
        <f>IFERROR(Y8/Y2,"")</f>
        <v>0.16277000000000005</v>
      </c>
      <c r="Z18" s="15">
        <f>IFERROR(Z8/Z2,"")</f>
        <v>0.17518000000000003</v>
      </c>
      <c r="AA18" s="15">
        <f>IFERROR(AA8/AA2,"")</f>
        <v>0.18759</v>
      </c>
      <c r="AB18" s="15">
        <f>IFERROR(AB8/AB2,"")</f>
        <v>0.2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A</t>
        </is>
      </c>
      <c r="K19" s="19" t="inlineStr">
        <is>
          <t>A</t>
        </is>
      </c>
      <c r="L19" s="19" t="inlineStr">
        <is>
          <t>A</t>
        </is>
      </c>
      <c r="M19" s="19" t="inlineStr">
        <is>
          <t>A</t>
        </is>
      </c>
      <c r="N19" s="19" t="inlineStr">
        <is>
          <t>A</t>
        </is>
      </c>
      <c r="O19" s="19" t="inlineStr">
        <is>
          <t>A</t>
        </is>
      </c>
      <c r="P19" s="19" t="inlineStr">
        <is>
          <t>A</t>
        </is>
      </c>
      <c r="Q19" s="19" t="inlineStr">
        <is>
          <t>A</t>
        </is>
      </c>
      <c r="R19" s="19" t="inlineStr">
        <is>
          <t>A</t>
        </is>
      </c>
      <c r="S19" s="19" t="inlineStr">
        <is>
          <t>E</t>
        </is>
      </c>
      <c r="T19" s="19" t="inlineStr">
        <is>
          <t>E</t>
        </is>
      </c>
      <c r="U19" s="19" t="inlineStr">
        <is>
          <t>E</t>
        </is>
      </c>
      <c r="V19" s="19" t="inlineStr">
        <is>
          <t>E</t>
        </is>
      </c>
      <c r="W19" s="19" t="inlineStr">
        <is>
          <t>E</t>
        </is>
      </c>
      <c r="X19" s="19" t="inlineStr">
        <is>
          <t>E</t>
        </is>
      </c>
      <c r="Y19" s="19" t="inlineStr">
        <is>
          <t>E</t>
        </is>
      </c>
      <c r="Z19" s="19" t="inlineStr">
        <is>
          <t>E</t>
        </is>
      </c>
      <c r="AA19" s="19" t="inlineStr">
        <is>
          <t>E</t>
        </is>
      </c>
      <c r="AB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Acadia Pharmaceuticals Inc.: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0.12</v>
      </c>
      <c r="C10" s="53" t="n">
        <v>0.11</v>
      </c>
      <c r="D10" s="53" t="n">
        <v>0.1</v>
      </c>
      <c r="E10" s="54">
        <f>IF(ISNUMBER($B$6),$B$6,CHOOSE($B$4,B10,C10,D10))</f>
        <v>0.11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0.0819</v>
      </c>
      <c r="C12" s="53" t="n">
        <v>0.1319</v>
      </c>
      <c r="D12" s="53" t="n">
        <v>0.1819</v>
      </c>
      <c r="E12" s="54">
        <f>CHOOSE($B$4,B12,C12,D12)</f>
        <v>0.1319</v>
      </c>
    </row>
    <row r="13">
      <c r="A13" s="14" t="inlineStr">
        <is>
          <t>Operating margin, year 10</t>
        </is>
      </c>
      <c r="B13" s="53" t="n">
        <v>0.15</v>
      </c>
      <c r="C13" s="53" t="n">
        <v>0.2</v>
      </c>
      <c r="D13" s="53" t="n">
        <v>0.25</v>
      </c>
      <c r="E13" s="54">
        <f>CHOOSE($B$4,B13,C13,D13)</f>
        <v>0.2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0.0759</v>
      </c>
    </row>
    <row r="19">
      <c r="A19" s="14" t="inlineStr">
        <is>
          <t>Gross margin (forecast)</t>
        </is>
      </c>
      <c r="B19" s="53" t="n">
        <v>0.9169</v>
      </c>
    </row>
    <row r="20">
      <c r="A20" s="14" t="inlineStr">
        <is>
          <t>R&amp;D share of operating expense (forecast)</t>
        </is>
      </c>
      <c r="B20" s="53" t="n">
        <v>0.3746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0.5041</v>
      </c>
    </row>
    <row r="23">
      <c r="A23" s="14" t="inlineStr">
        <is>
          <t>Balance sheet date</t>
        </is>
      </c>
      <c r="B23" s="31" t="n">
        <v>46203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Model'!R2</f>
        <v>1071.505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2688.9838787518242</v>
      </c>
      <c r="C29" s="56">
        <f>NPV!B26</f>
        <v>3645.4578787518244</v>
      </c>
      <c r="D29" s="35">
        <f>NPV!B28</f>
        <v>21.156942163348617</v>
      </c>
      <c r="E29" s="57">
        <f>NPV!B30</f>
        <v>0.035075448304726864</v>
      </c>
    </row>
    <row r="30">
      <c r="A30" s="58" t="n">
        <v>1</v>
      </c>
      <c r="B30" s="59">
        <f t="dataTable" ref="B30:E32" r1="B4"/>
        <v>1432.9263721110813</v>
      </c>
      <c r="C30" s="59">
        <v>2389.400372111081</v>
      </c>
      <c r="D30" s="39">
        <v>13.867230718119433</v>
      </c>
      <c r="E30" s="60">
        <v>-0.32156405488652484</v>
      </c>
    </row>
    <row r="31">
      <c r="A31" s="58" t="n">
        <v>2</v>
      </c>
      <c r="B31" s="59">
        <v>2688.9838787518242</v>
      </c>
      <c r="C31" s="59">
        <v>3645.4578787518244</v>
      </c>
      <c r="D31" s="39">
        <v>21.156942163348617</v>
      </c>
      <c r="E31" s="60">
        <v>0.035075448304726864</v>
      </c>
    </row>
    <row r="32">
      <c r="A32" s="58" t="n">
        <v>3</v>
      </c>
      <c r="B32" s="59">
        <v>5060.377084166341</v>
      </c>
      <c r="C32" s="59">
        <v>6016.851084166341</v>
      </c>
      <c r="D32" s="39">
        <v>34.91966568456816</v>
      </c>
      <c r="E32" s="60">
        <v>0.708398516857542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21.156942163348617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0.09</v>
      </c>
      <c r="B37" s="39">
        <f t="dataTable" ref="B37:F41" dt2D="1" r1="B7" r2="B6"/>
        <v>24.471534560402166</v>
      </c>
      <c r="C37" s="39">
        <v>25.656805616750813</v>
      </c>
      <c r="D37" s="39">
        <v>27.024200024530867</v>
      </c>
      <c r="E37" s="39">
        <v>28.619250165904248</v>
      </c>
      <c r="F37" s="39">
        <v>30.50404573126384</v>
      </c>
    </row>
    <row r="38">
      <c r="A38" s="62" t="n">
        <v>0.1</v>
      </c>
      <c r="B38" s="39">
        <v>21.819851867943694</v>
      </c>
      <c r="C38" s="39">
        <v>22.693406439363425</v>
      </c>
      <c r="D38" s="39">
        <v>23.683238373702302</v>
      </c>
      <c r="E38" s="39">
        <v>24.814265319985758</v>
      </c>
      <c r="F38" s="39">
        <v>26.119071956985202</v>
      </c>
    </row>
    <row r="39">
      <c r="A39" s="62" t="n">
        <v>0.11</v>
      </c>
      <c r="B39" s="39">
        <v>19.751895265520396</v>
      </c>
      <c r="C39" s="39">
        <v>20.41547108170987</v>
      </c>
      <c r="D39" s="39">
        <v>21.156942163348617</v>
      </c>
      <c r="E39" s="39">
        <v>21.99091462309919</v>
      </c>
      <c r="F39" s="39">
        <v>22.935889585426153</v>
      </c>
    </row>
    <row r="40">
      <c r="A40" s="62" t="n">
        <v>0.12</v>
      </c>
      <c r="B40" s="39">
        <v>18.098931737052492</v>
      </c>
      <c r="C40" s="39">
        <v>18.615295218480412</v>
      </c>
      <c r="D40" s="39">
        <v>19.18586045459298</v>
      </c>
      <c r="E40" s="39">
        <v>19.819661597995935</v>
      </c>
      <c r="F40" s="39">
        <v>20.527858523582502</v>
      </c>
    </row>
    <row r="41">
      <c r="A41" s="62" t="n">
        <v>0.13</v>
      </c>
      <c r="B41" s="39">
        <v>16.75109754542359</v>
      </c>
      <c r="C41" s="39">
        <v>17.160893006482624</v>
      </c>
      <c r="D41" s="39">
        <v>17.609581496286484</v>
      </c>
      <c r="E41" s="39">
        <v>18.10299733727993</v>
      </c>
      <c r="F41" s="39">
        <v>18.648203162746757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Acadia Pharmaceuticals Inc.: free-cash-flow DCF ($mm)</t>
        </is>
      </c>
    </row>
    <row r="3">
      <c r="A3" s="20" t="inlineStr">
        <is>
          <t>Fiscal year</t>
        </is>
      </c>
      <c r="B3" s="43">
        <f>'Yearly Model'!R1</f>
        <v>2025</v>
      </c>
      <c r="C3" s="43">
        <f>'Yearly Model'!S1</f>
        <v>2026</v>
      </c>
      <c r="D3" s="43">
        <f>'Yearly Model'!T1</f>
        <v>2027</v>
      </c>
      <c r="E3" s="43">
        <f>'Yearly Model'!U1</f>
        <v>2028</v>
      </c>
      <c r="F3" s="43">
        <f>'Yearly Model'!V1</f>
        <v>2029</v>
      </c>
      <c r="G3" s="43">
        <f>'Yearly Model'!W1</f>
        <v>2030</v>
      </c>
      <c r="H3" s="43">
        <f>'Yearly Model'!X1</f>
        <v>2031</v>
      </c>
      <c r="I3" s="43">
        <f>'Yearly Model'!Y1</f>
        <v>2032</v>
      </c>
      <c r="J3" s="43">
        <f>'Yearly Model'!Z1</f>
        <v>2033</v>
      </c>
      <c r="K3" s="43">
        <f>'Yearly Model'!AA1</f>
        <v>2034</v>
      </c>
      <c r="L3" s="43">
        <f>'Yearly Model'!AB1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0.1319</v>
      </c>
      <c r="D5" s="63">
        <f>Assumptions!$E$12+(Assumptions!$E$11-Assumptions!$E$12)*(D4-1)/(Assumptions!$B$21-1)</f>
        <v>0.12002222222222221</v>
      </c>
      <c r="E5" s="63">
        <f>Assumptions!$E$12+(Assumptions!$E$11-Assumptions!$E$12)*(E4-1)/(Assumptions!$B$21-1)</f>
        <v>0.10814444444444443</v>
      </c>
      <c r="F5" s="63">
        <f>Assumptions!$E$12+(Assumptions!$E$11-Assumptions!$E$12)*(F4-1)/(Assumptions!$B$21-1)</f>
        <v>0.09626666666666667</v>
      </c>
      <c r="G5" s="63">
        <f>Assumptions!$E$12+(Assumptions!$E$11-Assumptions!$E$12)*(G4-1)/(Assumptions!$B$21-1)</f>
        <v>0.08438888888888887</v>
      </c>
      <c r="H5" s="63">
        <f>Assumptions!$E$12+(Assumptions!$E$11-Assumptions!$E$12)*(H4-1)/(Assumptions!$B$21-1)</f>
        <v>0.07251111111111111</v>
      </c>
      <c r="I5" s="63">
        <f>Assumptions!$E$12+(Assumptions!$E$11-Assumptions!$E$12)*(I4-1)/(Assumptions!$B$21-1)</f>
        <v>0.06063333333333333</v>
      </c>
      <c r="J5" s="63">
        <f>Assumptions!$E$12+(Assumptions!$E$11-Assumptions!$E$12)*(J4-1)/(Assumptions!$B$21-1)</f>
        <v>0.04875555555555555</v>
      </c>
      <c r="K5" s="63">
        <f>Assumptions!$E$12+(Assumptions!$E$11-Assumptions!$E$12)*(K4-1)/(Assumptions!$B$21-1)</f>
        <v>0.03687777777777777</v>
      </c>
      <c r="L5" s="63">
        <f>Assumptions!$E$12+(Assumptions!$E$11-Assumptions!$E$12)*(L4-1)/(Assumptions!$B$21-1)</f>
        <v>0.024999999999999994</v>
      </c>
    </row>
    <row r="6">
      <c r="A6" s="14" t="inlineStr">
        <is>
          <t>Operating margin</t>
        </is>
      </c>
      <c r="B6" s="63">
        <f>IFERROR(B8/B7,0)</f>
        <v>0.0978166224142678</v>
      </c>
      <c r="C6" s="63">
        <f>Assumptions!$B$18+(Assumptions!$E$13-Assumptions!$B$18)*C4/Assumptions!$B$21</f>
        <v>0.08831</v>
      </c>
      <c r="D6" s="63">
        <f>Assumptions!$B$18+(Assumptions!$E$13-Assumptions!$B$18)*D4/Assumptions!$B$21</f>
        <v>0.10072</v>
      </c>
      <c r="E6" s="63">
        <f>Assumptions!$B$18+(Assumptions!$E$13-Assumptions!$B$18)*E4/Assumptions!$B$21</f>
        <v>0.11313000000000001</v>
      </c>
      <c r="F6" s="63">
        <f>Assumptions!$B$18+(Assumptions!$E$13-Assumptions!$B$18)*F4/Assumptions!$B$21</f>
        <v>0.12553999999999998</v>
      </c>
      <c r="G6" s="63">
        <f>Assumptions!$B$18+(Assumptions!$E$13-Assumptions!$B$18)*G4/Assumptions!$B$21</f>
        <v>0.13795000000000002</v>
      </c>
      <c r="H6" s="63">
        <f>Assumptions!$B$18+(Assumptions!$E$13-Assumptions!$B$18)*H4/Assumptions!$B$21</f>
        <v>0.15036</v>
      </c>
      <c r="I6" s="63">
        <f>Assumptions!$B$18+(Assumptions!$E$13-Assumptions!$B$18)*I4/Assumptions!$B$21</f>
        <v>0.16277000000000003</v>
      </c>
      <c r="J6" s="63">
        <f>Assumptions!$B$18+(Assumptions!$E$13-Assumptions!$B$18)*J4/Assumptions!$B$21</f>
        <v>0.17518</v>
      </c>
      <c r="K6" s="63">
        <f>Assumptions!$B$18+(Assumptions!$E$13-Assumptions!$B$18)*K4/Assumptions!$B$21</f>
        <v>0.18759000000000003</v>
      </c>
      <c r="L6" s="63">
        <f>Assumptions!$B$18+(Assumptions!$E$13-Assumptions!$B$18)*L4/Assumptions!$B$21</f>
        <v>0.2</v>
      </c>
    </row>
    <row r="7">
      <c r="A7" s="14" t="inlineStr">
        <is>
          <t>Revenue</t>
        </is>
      </c>
      <c r="B7" s="55">
        <f>'Yearly Model'!R2</f>
        <v>1071.505</v>
      </c>
      <c r="C7" s="55">
        <f>'Yearly Model'!S2</f>
        <v>1212.8365095</v>
      </c>
      <c r="D7" s="55">
        <f>'Yearly Model'!T2</f>
        <v>1358.4038425624333</v>
      </c>
      <c r="E7" s="55">
        <f>'Yearly Model'!U2</f>
        <v>1505.3076714475462</v>
      </c>
      <c r="F7" s="55">
        <f>'Yearly Model'!V2</f>
        <v>1650.2186232855634</v>
      </c>
      <c r="G7" s="55">
        <f>'Yearly Model'!W2</f>
        <v>1789.4787393283839</v>
      </c>
      <c r="H7" s="55">
        <f>'Yearly Model'!X2</f>
        <v>1919.2358310267955</v>
      </c>
      <c r="I7" s="55">
        <f>'Yearly Model'!Y2</f>
        <v>2035.60549691472</v>
      </c>
      <c r="J7" s="55">
        <f>'Yearly Model'!Z2</f>
        <v>2134.85257380874</v>
      </c>
      <c r="K7" s="55">
        <f>'Yearly Model'!AA2</f>
        <v>2213.581192613976</v>
      </c>
      <c r="L7" s="55">
        <f>'Yearly Model'!AB2</f>
        <v>2268.920722429325</v>
      </c>
    </row>
    <row r="8">
      <c r="A8" s="14" t="inlineStr">
        <is>
          <t>Operating income</t>
        </is>
      </c>
      <c r="B8" s="55">
        <f>'Yearly Model'!R8</f>
        <v>104.81100000000004</v>
      </c>
      <c r="C8" s="55">
        <f>'Yearly Model'!S8</f>
        <v>107.10559215394505</v>
      </c>
      <c r="D8" s="55">
        <f>'Yearly Model'!T8</f>
        <v>136.81843502288825</v>
      </c>
      <c r="E8" s="55">
        <f>'Yearly Model'!U8</f>
        <v>170.2954568708608</v>
      </c>
      <c r="F8" s="55">
        <f>'Yearly Model'!V8</f>
        <v>207.1684459672697</v>
      </c>
      <c r="G8" s="55">
        <f>'Yearly Model'!W8</f>
        <v>246.8585920903506</v>
      </c>
      <c r="H8" s="55">
        <f>'Yearly Model'!X8</f>
        <v>288.57629955318885</v>
      </c>
      <c r="I8" s="55">
        <f>'Yearly Model'!Y8</f>
        <v>331.3355067328091</v>
      </c>
      <c r="J8" s="55">
        <f>'Yearly Model'!Z8</f>
        <v>373.98347387981516</v>
      </c>
      <c r="K8" s="55">
        <f>'Yearly Model'!AA8</f>
        <v>415.24569592245575</v>
      </c>
      <c r="L8" s="55">
        <f>'Yearly Model'!AB8</f>
        <v>453.784144485865</v>
      </c>
    </row>
    <row r="9">
      <c r="A9" s="14" t="inlineStr">
        <is>
          <t>Tax on operating income</t>
        </is>
      </c>
      <c r="C9" s="52">
        <f>MAX(0,C8)*Assumptions!$E$14</f>
        <v>18.20795066617066</v>
      </c>
      <c r="D9" s="52">
        <f>MAX(0,D8)*Assumptions!$E$14</f>
        <v>23.259133953891006</v>
      </c>
      <c r="E9" s="52">
        <f>MAX(0,E8)*Assumptions!$E$14</f>
        <v>28.950227668046335</v>
      </c>
      <c r="F9" s="52">
        <f>MAX(0,F8)*Assumptions!$E$14</f>
        <v>35.21863581443585</v>
      </c>
      <c r="G9" s="52">
        <f>MAX(0,G8)*Assumptions!$E$14</f>
        <v>41.96596065535961</v>
      </c>
      <c r="H9" s="52">
        <f>MAX(0,H8)*Assumptions!$E$14</f>
        <v>49.05797092404211</v>
      </c>
      <c r="I9" s="52">
        <f>MAX(0,I8)*Assumptions!$E$14</f>
        <v>56.327036144577555</v>
      </c>
      <c r="J9" s="52">
        <f>MAX(0,J8)*Assumptions!$E$14</f>
        <v>63.577190559568585</v>
      </c>
      <c r="K9" s="52">
        <f>MAX(0,K8)*Assumptions!$E$14</f>
        <v>70.59176830681749</v>
      </c>
      <c r="L9" s="52">
        <f>MAX(0,L8)*Assumptions!$E$14</f>
        <v>77.14330456259705</v>
      </c>
    </row>
    <row r="10">
      <c r="A10" s="14" t="inlineStr">
        <is>
          <t>NOPAT</t>
        </is>
      </c>
      <c r="C10" s="52">
        <f>C8-C9</f>
        <v>88.8976414877744</v>
      </c>
      <c r="D10" s="52">
        <f>D8-D9</f>
        <v>113.55930106899724</v>
      </c>
      <c r="E10" s="52">
        <f>E8-E9</f>
        <v>141.34522920281447</v>
      </c>
      <c r="F10" s="52">
        <f>F8-F9</f>
        <v>171.94981015283383</v>
      </c>
      <c r="G10" s="52">
        <f>G8-G9</f>
        <v>204.89263143499102</v>
      </c>
      <c r="H10" s="52">
        <f>H8-H9</f>
        <v>239.51832862914674</v>
      </c>
      <c r="I10" s="52">
        <f>I8-I9</f>
        <v>275.00847058823155</v>
      </c>
      <c r="J10" s="52">
        <f>J8-J9</f>
        <v>310.4062833202466</v>
      </c>
      <c r="K10" s="52">
        <f>K8-K9</f>
        <v>344.6539276156383</v>
      </c>
      <c r="L10" s="52">
        <f>L8-L9</f>
        <v>376.64083992326795</v>
      </c>
    </row>
    <row r="11">
      <c r="A11" s="14" t="inlineStr">
        <is>
          <t>Reinvestment</t>
        </is>
      </c>
      <c r="C11" s="52">
        <f>(C7-B7)*Assumptions!$E$15</f>
        <v>35.33287737499995</v>
      </c>
      <c r="D11" s="52">
        <f>(D7-C7)*Assumptions!$E$15</f>
        <v>36.39183326560834</v>
      </c>
      <c r="E11" s="52">
        <f>(E7-D7)*Assumptions!$E$15</f>
        <v>36.725957221278236</v>
      </c>
      <c r="F11" s="52">
        <f>(F7-E7)*Assumptions!$E$15</f>
        <v>36.22773795950428</v>
      </c>
      <c r="G11" s="52">
        <f>(G7-F7)*Assumptions!$E$15</f>
        <v>34.81502901070513</v>
      </c>
      <c r="H11" s="52">
        <f>(H7-G7)*Assumptions!$E$15</f>
        <v>32.4392729246029</v>
      </c>
      <c r="I11" s="52">
        <f>(I7-H7)*Assumptions!$E$15</f>
        <v>29.092416471981153</v>
      </c>
      <c r="J11" s="52">
        <f>(J7-I7)*Assumptions!$E$15</f>
        <v>24.811769223504996</v>
      </c>
      <c r="K11" s="52">
        <f>(K7-J7)*Assumptions!$E$15</f>
        <v>19.682154701308946</v>
      </c>
      <c r="L11" s="52">
        <f>(L7-K7)*Assumptions!$E$15</f>
        <v>13.834882453837281</v>
      </c>
    </row>
    <row r="12">
      <c r="A12" s="20" t="inlineStr">
        <is>
          <t>Free cash flow</t>
        </is>
      </c>
      <c r="C12" s="64">
        <f>C10-C11</f>
        <v>53.56476411277444</v>
      </c>
      <c r="D12" s="64">
        <f>D10-D11</f>
        <v>77.1674678033889</v>
      </c>
      <c r="E12" s="64">
        <f>E10-E11</f>
        <v>104.61927198153623</v>
      </c>
      <c r="F12" s="64">
        <f>F10-F11</f>
        <v>135.72207219332955</v>
      </c>
      <c r="G12" s="64">
        <f>G10-G11</f>
        <v>170.07760242428589</v>
      </c>
      <c r="H12" s="64">
        <f>H10-H11</f>
        <v>207.07905570454383</v>
      </c>
      <c r="I12" s="64">
        <f>I10-I11</f>
        <v>245.9160541162504</v>
      </c>
      <c r="J12" s="64">
        <f>J10-J11</f>
        <v>285.5945140967416</v>
      </c>
      <c r="K12" s="64">
        <f>K10-K11</f>
        <v>324.97177291432934</v>
      </c>
      <c r="L12" s="64">
        <f>L10-L11</f>
        <v>362.80595746943067</v>
      </c>
    </row>
    <row r="13">
      <c r="A13" s="14" t="inlineStr">
        <is>
          <t>Year fraction</t>
        </is>
      </c>
      <c r="C13" s="46">
        <f>Assumptions!$B$22</f>
        <v>0.5041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0.25205</v>
      </c>
      <c r="D14" s="11">
        <f>C14+C13/2+D13/2</f>
        <v>1.0041</v>
      </c>
      <c r="E14" s="11">
        <f>D14+D13/2+E13/2</f>
        <v>2.0041</v>
      </c>
      <c r="F14" s="11">
        <f>E14+E13/2+F13/2</f>
        <v>3.0041</v>
      </c>
      <c r="G14" s="11">
        <f>F14+F13/2+G13/2</f>
        <v>4.0041</v>
      </c>
      <c r="H14" s="11">
        <f>G14+G13/2+H13/2</f>
        <v>5.0041</v>
      </c>
      <c r="I14" s="11">
        <f>H14+H13/2+I13/2</f>
        <v>6.0041</v>
      </c>
      <c r="J14" s="11">
        <f>I14+I13/2+J13/2</f>
        <v>7.0041</v>
      </c>
      <c r="K14" s="11">
        <f>J14+J13/2+K13/2</f>
        <v>8.004100000000001</v>
      </c>
      <c r="L14" s="11">
        <f>K14+K13/2+L13/2</f>
        <v>9.004100000000001</v>
      </c>
    </row>
    <row r="15">
      <c r="A15" s="14" t="inlineStr">
        <is>
          <t>Discount factor</t>
        </is>
      </c>
      <c r="C15" s="65">
        <f>1/(1+Assumptions!$E$10)^C14</f>
        <v>0.9740389933872364</v>
      </c>
      <c r="D15" s="65">
        <f>1/(1+Assumptions!$E$10)^D14</f>
        <v>0.9005155094261971</v>
      </c>
      <c r="E15" s="65">
        <f>1/(1+Assumptions!$E$10)^E14</f>
        <v>0.8112752337172946</v>
      </c>
      <c r="F15" s="65">
        <f>1/(1+Assumptions!$E$10)^F14</f>
        <v>0.7308785889344995</v>
      </c>
      <c r="G15" s="65">
        <f>1/(1+Assumptions!$E$10)^G14</f>
        <v>0.6584491792202698</v>
      </c>
      <c r="H15" s="65">
        <f>1/(1+Assumptions!$E$10)^H14</f>
        <v>0.5931974587569998</v>
      </c>
      <c r="I15" s="65">
        <f>1/(1+Assumptions!$E$10)^I14</f>
        <v>0.534412125006306</v>
      </c>
      <c r="J15" s="65">
        <f>1/(1+Assumptions!$E$10)^J14</f>
        <v>0.4814523648705459</v>
      </c>
      <c r="K15" s="65">
        <f>1/(1+Assumptions!$E$10)^K14</f>
        <v>0.433740869252744</v>
      </c>
      <c r="L15" s="65">
        <f>1/(1+Assumptions!$E$10)^L14</f>
        <v>0.3907575398673369</v>
      </c>
    </row>
    <row r="16">
      <c r="A16" s="20" t="inlineStr">
        <is>
          <t>PV of free cash flow</t>
        </is>
      </c>
      <c r="C16" s="64">
        <f>C12*C13*C15</f>
        <v>26.30099855127726</v>
      </c>
      <c r="D16" s="64">
        <f>D12*D13*D15</f>
        <v>69.49050158009842</v>
      </c>
      <c r="E16" s="64">
        <f>E12*E13*E15</f>
        <v>84.87502432815401</v>
      </c>
      <c r="F16" s="64">
        <f>F12*F13*F15</f>
        <v>99.19635661192697</v>
      </c>
      <c r="G16" s="64">
        <f>G12*G13*G15</f>
        <v>111.9874577200224</v>
      </c>
      <c r="H16" s="64">
        <f>H12*H13*H15</f>
        <v>122.83876960573461</v>
      </c>
      <c r="I16" s="64">
        <f>I12*I13*I15</f>
        <v>131.42052105343112</v>
      </c>
      <c r="J16" s="64">
        <f>J12*J13*J15</f>
        <v>137.5001542059307</v>
      </c>
      <c r="K16" s="64">
        <f>K12*K13*K15</f>
        <v>140.95353926646655</v>
      </c>
      <c r="L16" s="64">
        <f>L12*L13*L15</f>
        <v>141.76916338996838</v>
      </c>
    </row>
    <row r="19">
      <c r="A19" s="14" t="inlineStr">
        <is>
          <t>PV of forecast free cash flow</t>
        </is>
      </c>
      <c r="B19" s="52">
        <f>SUM(C16:L16)</f>
        <v>1066.3324863130103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371.8761064061663</v>
      </c>
    </row>
    <row r="21">
      <c r="A21" s="14" t="inlineStr">
        <is>
          <t>Terminal value</t>
        </is>
      </c>
      <c r="B21" s="52">
        <f>B20/(Assumptions!$E$10-Assumptions!$E$11)</f>
        <v>4375.013016543133</v>
      </c>
    </row>
    <row r="22">
      <c r="A22" s="14" t="inlineStr">
        <is>
          <t>PV of terminal value</t>
        </is>
      </c>
      <c r="B22" s="52">
        <f>B21/(1+Assumptions!$E$10)^(L14+0.5)</f>
        <v>1622.651392438814</v>
      </c>
    </row>
    <row r="23">
      <c r="A23" s="20" t="inlineStr">
        <is>
          <t>Enterprise value</t>
        </is>
      </c>
      <c r="B23" s="66">
        <f>B19+B22</f>
        <v>2688.9838787518242</v>
      </c>
    </row>
    <row r="24">
      <c r="A24" s="14" t="inlineStr">
        <is>
          <t>Cash &amp; investments</t>
        </is>
      </c>
      <c r="B24" s="55">
        <f>Main!C7</f>
        <v>956.474</v>
      </c>
    </row>
    <row r="25">
      <c r="A25" s="14" t="inlineStr">
        <is>
          <t>Debt</t>
        </is>
      </c>
      <c r="B25" s="55">
        <f>Main!C8</f>
        <v>0</v>
      </c>
    </row>
    <row r="26">
      <c r="A26" s="20" t="inlineStr">
        <is>
          <t>Equity value</t>
        </is>
      </c>
      <c r="B26" s="66">
        <f>B23+B24-B25</f>
        <v>3645.4578787518244</v>
      </c>
    </row>
    <row r="27">
      <c r="A27" s="14" t="inlineStr">
        <is>
          <t>Shares (mm)</t>
        </is>
      </c>
      <c r="B27" s="55">
        <f>Main!C4</f>
        <v>172.305518</v>
      </c>
    </row>
    <row r="28">
      <c r="A28" s="20" t="inlineStr">
        <is>
          <t>NPV / share</t>
        </is>
      </c>
      <c r="B28" s="49">
        <f>B26/B27</f>
        <v>21.156942163348617</v>
      </c>
    </row>
    <row r="29">
      <c r="A29" s="14" t="inlineStr">
        <is>
          <t>Price</t>
        </is>
      </c>
      <c r="B29" s="50">
        <f>Main!C3</f>
        <v>20.44</v>
      </c>
    </row>
    <row r="30">
      <c r="A30" s="14" t="inlineStr">
        <is>
          <t>Upside</t>
        </is>
      </c>
      <c r="B30" s="63">
        <f>B28/B29-1</f>
        <v>0.035075448304726864</v>
      </c>
    </row>
    <row r="31">
      <c r="A31" s="14" t="inlineStr">
        <is>
          <t>Terminal value, % of EV</t>
        </is>
      </c>
      <c r="B31" s="63">
        <f>IFERROR(B22/B23,0)</f>
        <v>0.6034440761288677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2026-10-21T01:04:14Z</dcterms:modified>
  <cp:lastModifiedBy>Wang, Eric</cp:lastModifiedBy>
</cp:coreProperties>
</file>