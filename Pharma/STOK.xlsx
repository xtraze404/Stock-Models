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Stoke Therapeutics, Inc.</t>
        </is>
      </c>
      <c r="C2" s="10" t="n"/>
    </row>
    <row r="3">
      <c r="B3" t="inlineStr">
        <is>
          <t>Price</t>
        </is>
      </c>
      <c r="C3" s="11">
        <f>INDEX([1]Pharma!$F$1:$F$1000,MATCH("STOK",[1]Pharma!$B$1:$B$1000,0))</f>
        <v>26.61</v>
      </c>
      <c r="F3" s="1" t="n"/>
    </row>
    <row r="4">
      <c r="B4" t="inlineStr">
        <is>
          <t>Shares</t>
        </is>
      </c>
      <c r="C4" s="21" t="n">
        <v>64.526242</v>
      </c>
      <c r="F4" s="1" t="n"/>
    </row>
    <row r="5">
      <c r="B5" t="inlineStr">
        <is>
          <t>Market Cap.</t>
        </is>
      </c>
      <c r="C5" s="13">
        <f>C3*C4</f>
        <v>1717.04329962</v>
      </c>
      <c r="F5" s="1" t="n"/>
    </row>
    <row r="6"/>
    <row r="7">
      <c r="B7" t="inlineStr">
        <is>
          <t>Cash</t>
        </is>
      </c>
      <c r="C7" s="21">
        <f>110.004+182.814</f>
        <v>292.818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1424.22529962</v>
      </c>
    </row>
    <row r="10"/>
    <row r="11">
      <c r="B11" s="14" t="inlineStr">
        <is>
          <t>Net Cash / Share</t>
        </is>
      </c>
      <c r="C11" s="11">
        <f>(C7-C8)/C4</f>
        <v>4.5379676690299116</v>
      </c>
    </row>
    <row r="12">
      <c r="B12" s="14" t="inlineStr">
        <is>
          <t>Upside</t>
        </is>
      </c>
      <c r="C12" s="15">
        <f>IFERROR(C11/C3-1,"")</f>
        <v>-0.8294638230353284</v>
      </c>
    </row>
    <row r="13">
      <c r="B13" s="14" t="inlineStr">
        <is>
          <t>Cash / Share</t>
        </is>
      </c>
      <c r="C13" s="11">
        <f>IFERROR((C7-C8)/C4,"")</f>
        <v>4.5379676690299116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-177.987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1.6451650963272597</v>
      </c>
    </row>
    <row r="19">
      <c r="B19" s="14" t="inlineStr">
        <is>
          <t>Implied Pipeline Value</t>
        </is>
      </c>
      <c r="C19" s="13">
        <f>C9</f>
        <v>1424.22529962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12.405</v>
      </c>
      <c r="G2" s="23" t="n">
        <v>8.779999999999999</v>
      </c>
      <c r="H2" s="23" t="n">
        <v>36.555</v>
      </c>
      <c r="I2" s="23" t="n">
        <v>184.42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12.405</v>
      </c>
      <c r="G4" s="23">
        <f>G2-G3</f>
        <v>8.78</v>
      </c>
      <c r="H4" s="23">
        <f>H2-H3</f>
        <v>36.555</v>
      </c>
      <c r="I4" s="23">
        <f>I2-I3</f>
        <v>184.42</v>
      </c>
      <c r="J4" s="1" t="n"/>
      <c r="K4" s="1" t="n"/>
    </row>
    <row r="5">
      <c r="A5" s="2" t="inlineStr">
        <is>
          <t>Research &amp; Dev.</t>
        </is>
      </c>
      <c r="B5" s="23" t="n">
        <v>8.371</v>
      </c>
      <c r="C5" s="23" t="n">
        <v>23.764</v>
      </c>
      <c r="D5" s="23" t="n">
        <v>32.197</v>
      </c>
      <c r="E5" s="23" t="n">
        <v>54.168</v>
      </c>
      <c r="F5" s="23" t="n">
        <v>77.837</v>
      </c>
      <c r="G5" s="23" t="n">
        <v>82.23099999999999</v>
      </c>
      <c r="H5" s="23" t="n">
        <v>89.133</v>
      </c>
      <c r="I5" s="23" t="n">
        <v>137.922</v>
      </c>
      <c r="J5" s="1" t="n"/>
      <c r="K5" s="1" t="n"/>
    </row>
    <row r="6">
      <c r="A6" s="19" t="inlineStr">
        <is>
          <t>SG&amp;A &amp; Other</t>
        </is>
      </c>
      <c r="B6" s="23" t="n">
        <v>4.41</v>
      </c>
      <c r="C6" s="23" t="n">
        <v>11.914</v>
      </c>
      <c r="D6" s="23" t="n">
        <v>20.847</v>
      </c>
      <c r="E6" s="23" t="n">
        <v>31.897</v>
      </c>
      <c r="F6" s="23" t="n">
        <v>38.924</v>
      </c>
      <c r="G6" s="23" t="n">
        <v>41.322</v>
      </c>
      <c r="H6" s="23" t="n">
        <v>48.794</v>
      </c>
      <c r="I6" s="23" t="n">
        <v>67.08799999999999</v>
      </c>
      <c r="J6" s="1" t="n"/>
      <c r="K6" s="1" t="n"/>
    </row>
    <row r="7">
      <c r="A7" s="2" t="inlineStr">
        <is>
          <t>Operating Expense</t>
        </is>
      </c>
      <c r="B7" s="23">
        <f>SUM(B5:B6)</f>
        <v>12.781</v>
      </c>
      <c r="C7" s="23">
        <f>SUM(C5:C6)</f>
        <v>35.678</v>
      </c>
      <c r="D7" s="23">
        <f>SUM(D5:D6)</f>
        <v>53.044000000000004</v>
      </c>
      <c r="E7" s="23">
        <f>SUM(E5:E6)</f>
        <v>86.065</v>
      </c>
      <c r="F7" s="23">
        <f>SUM(F5:F6)</f>
        <v>116.761</v>
      </c>
      <c r="G7" s="23">
        <f>SUM(G5:G6)</f>
        <v>123.553</v>
      </c>
      <c r="H7" s="23">
        <f>SUM(H5:H6)</f>
        <v>137.927</v>
      </c>
      <c r="I7" s="23">
        <f>SUM(I5:I6)</f>
        <v>205.01</v>
      </c>
      <c r="J7" s="1" t="n"/>
      <c r="K7" s="1" t="n"/>
    </row>
    <row r="8">
      <c r="A8" s="2" t="inlineStr">
        <is>
          <t>Operating Income</t>
        </is>
      </c>
      <c r="B8" s="23">
        <f>B4-B7</f>
        <v>-12.781</v>
      </c>
      <c r="C8" s="23">
        <f>C4-C7</f>
        <v>-35.678</v>
      </c>
      <c r="D8" s="23">
        <f>D4-D7</f>
        <v>-53.044000000000004</v>
      </c>
      <c r="E8" s="23">
        <f>E4-E7</f>
        <v>-86.065</v>
      </c>
      <c r="F8" s="23">
        <f>F4-F7</f>
        <v>-104.356</v>
      </c>
      <c r="G8" s="23">
        <f>G4-G7</f>
        <v>-114.773</v>
      </c>
      <c r="H8" s="23">
        <f>H4-H7</f>
        <v>-101.37199999999999</v>
      </c>
      <c r="I8" s="23">
        <f>I4-I7</f>
        <v>-20.590000000000003</v>
      </c>
      <c r="J8" s="1" t="n"/>
      <c r="K8" s="1" t="n"/>
    </row>
    <row r="9">
      <c r="A9" s="19" t="inlineStr">
        <is>
          <t>Interest &amp; Other</t>
        </is>
      </c>
      <c r="B9" s="23" t="n">
        <v>0.26</v>
      </c>
      <c r="C9" s="23" t="n">
        <v>3.353</v>
      </c>
      <c r="D9" s="23" t="n">
        <v>0.801</v>
      </c>
      <c r="E9" s="23" t="n">
        <v>0.26</v>
      </c>
      <c r="F9" s="23" t="n">
        <v>3.289</v>
      </c>
      <c r="G9" s="23" t="n">
        <v>10.074</v>
      </c>
      <c r="H9" s="23" t="n">
        <v>12.391</v>
      </c>
      <c r="I9" s="23" t="n">
        <v>13.705</v>
      </c>
    </row>
    <row r="10">
      <c r="A10" s="2" t="inlineStr">
        <is>
          <t>Pretax</t>
        </is>
      </c>
      <c r="B10" s="23">
        <f>B8+B9</f>
        <v>-12.521</v>
      </c>
      <c r="C10" s="23">
        <f>C8+C9</f>
        <v>-32.324999999999996</v>
      </c>
      <c r="D10" s="23">
        <f>D8+D9</f>
        <v>-52.243</v>
      </c>
      <c r="E10" s="23">
        <f>E8+E9</f>
        <v>-85.80499999999999</v>
      </c>
      <c r="F10" s="23">
        <f>F8+F9</f>
        <v>-101.067</v>
      </c>
      <c r="G10" s="23">
        <f>G8+G9</f>
        <v>-104.699</v>
      </c>
      <c r="H10" s="23">
        <f>H8+H9</f>
        <v>-88.98099999999998</v>
      </c>
      <c r="I10" s="23">
        <f>I8+I9</f>
        <v>-6.885000000000003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-12.521</v>
      </c>
      <c r="C12" s="23" t="n">
        <v>-32.325</v>
      </c>
      <c r="D12" s="23" t="n">
        <v>-52.243</v>
      </c>
      <c r="E12" s="23" t="n">
        <v>-85.80500000000001</v>
      </c>
      <c r="F12" s="23" t="n">
        <v>-101.067</v>
      </c>
      <c r="G12" s="23" t="n">
        <v>-104.699</v>
      </c>
      <c r="H12" s="23" t="n">
        <v>-88.98099999999999</v>
      </c>
      <c r="I12" s="23" t="n">
        <v>-6.885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-0.7060847008402413</v>
      </c>
      <c r="C13" s="11">
        <f>IFERROR(C12/C14,0)</f>
        <v>-1.798731289299427</v>
      </c>
      <c r="D13" s="11">
        <f>IFERROR(D12/D14,0)</f>
        <v>-1.5600513616817966</v>
      </c>
      <c r="E13" s="11">
        <f>IFERROR(E12/E14,0)</f>
        <v>-2.3355290018781134</v>
      </c>
      <c r="F13" s="11">
        <f>IFERROR(F12/F14,0)</f>
        <v>-2.598323778183407</v>
      </c>
      <c r="G13" s="11">
        <f>IFERROR(G12/G14,0)</f>
        <v>-2.379793158313445</v>
      </c>
      <c r="H13" s="11">
        <f>IFERROR(H12/H14,0)</f>
        <v>-1.6475217093447387</v>
      </c>
      <c r="I13" s="11">
        <f>IFERROR(I12/I14,0)</f>
        <v>-0.1162633614211655</v>
      </c>
    </row>
    <row r="14">
      <c r="A14" s="2" t="inlineStr">
        <is>
          <t>Shares</t>
        </is>
      </c>
      <c r="B14" s="23" t="n">
        <v>17.733</v>
      </c>
      <c r="C14" s="23" t="n">
        <v>17.971</v>
      </c>
      <c r="D14" s="23" t="n">
        <v>33.488</v>
      </c>
      <c r="E14" s="23" t="n">
        <v>36.739</v>
      </c>
      <c r="F14" s="23" t="n">
        <v>38.897</v>
      </c>
      <c r="G14" s="23" t="n">
        <v>43.995</v>
      </c>
      <c r="H14" s="23" t="n">
        <v>54.009</v>
      </c>
      <c r="I14" s="23" t="n">
        <v>59.219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-0.29222087867795243</v>
      </c>
      <c r="H16" s="15">
        <f>IFERROR(H2/G2-1,"")</f>
        <v>3.1634396355353074</v>
      </c>
      <c r="I16" s="15">
        <f>IFERROR(I2/H2-1,"")</f>
        <v>4.0450006839009705</v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-8.412414349052801</v>
      </c>
      <c r="G18" s="15">
        <f>IFERROR(G8/G2,"")</f>
        <v>-13.072095671981778</v>
      </c>
      <c r="H18" s="15">
        <f>IFERROR(H8/H2,"")</f>
        <v>-2.7731363698536446</v>
      </c>
      <c r="I18" s="15">
        <f>IFERROR(I8/I2,"")</f>
        <v>-0.11164732675414817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2026-10-21T01:04:37Z</dcterms:modified>
  <cp:lastModifiedBy>Wang, Eric</cp:lastModifiedBy>
</cp:coreProperties>
</file>