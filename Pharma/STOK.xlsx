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Stoke Therapeutics, Inc.</t>
        </is>
      </c>
      <c r="C2" s="10" t="n"/>
    </row>
    <row r="3">
      <c r="B3" t="inlineStr">
        <is>
          <t>Price</t>
        </is>
      </c>
      <c r="C3" s="11">
        <f>INDEX([1]Pharma!$F$1:$F$1000,MATCH("STOK",[1]Pharma!$B$1:$B$1000,0))</f>
        <v>26.61</v>
      </c>
      <c r="F3" s="1" t="n"/>
    </row>
    <row r="4">
      <c r="B4" t="inlineStr">
        <is>
          <t>Shares</t>
        </is>
      </c>
      <c r="C4" s="21" t="n">
        <v>64.526242</v>
      </c>
      <c r="F4" s="1" t="n"/>
    </row>
    <row r="5">
      <c r="B5" t="inlineStr">
        <is>
          <t>Market Cap.</t>
        </is>
      </c>
      <c r="C5" s="13">
        <f>C3*C4</f>
        <v>1717.04329962</v>
      </c>
      <c r="F5" s="1" t="n"/>
    </row>
    <row r="6"/>
    <row r="7">
      <c r="B7" t="inlineStr">
        <is>
          <t>Cash</t>
        </is>
      </c>
      <c r="C7" s="21">
        <f>110.004+182.814</f>
        <v>292.818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1424.22529962</v>
      </c>
    </row>
    <row r="10"/>
    <row r="11">
      <c r="B11" s="14" t="inlineStr">
        <is>
          <t>rNPV / Share</t>
        </is>
      </c>
      <c r="C11" s="11">
        <f>NPV!B27</f>
        <v>3.5520235408106706</v>
      </c>
    </row>
    <row r="12">
      <c r="B12" s="14" t="inlineStr">
        <is>
          <t>Upside</t>
        </is>
      </c>
      <c r="C12" s="15">
        <f>IFERROR(C11/C3-1,"")</f>
        <v>-0.8665154625775772</v>
      </c>
    </row>
    <row r="13">
      <c r="B13" s="14" t="inlineStr">
        <is>
          <t>Cash / Share</t>
        </is>
      </c>
      <c r="C13" s="11">
        <f>IFERROR((C7-C8)/C4,"")</f>
        <v>4.5379676690299116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-177.987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1.6451650963272597</v>
      </c>
    </row>
    <row r="19">
      <c r="B19" s="14" t="inlineStr">
        <is>
          <t>Implied Pipeline Value</t>
        </is>
      </c>
      <c r="C19" s="13">
        <f>C9</f>
        <v>1424.22529962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12.405</v>
      </c>
      <c r="G2" s="23" t="n">
        <v>8.779999999999999</v>
      </c>
      <c r="H2" s="23" t="n">
        <v>36.555</v>
      </c>
      <c r="I2" s="23" t="n">
        <v>184.42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12.405</v>
      </c>
      <c r="G4" s="23">
        <f>G2-G3</f>
        <v>8.78</v>
      </c>
      <c r="H4" s="23">
        <f>H2-H3</f>
        <v>36.555</v>
      </c>
      <c r="I4" s="23">
        <f>I2-I3</f>
        <v>184.42</v>
      </c>
      <c r="J4" s="1" t="n"/>
      <c r="K4" s="1" t="n"/>
    </row>
    <row r="5">
      <c r="A5" s="2" t="inlineStr">
        <is>
          <t>Research &amp; Dev.</t>
        </is>
      </c>
      <c r="B5" s="23" t="n">
        <v>8.371</v>
      </c>
      <c r="C5" s="23" t="n">
        <v>23.764</v>
      </c>
      <c r="D5" s="23" t="n">
        <v>32.197</v>
      </c>
      <c r="E5" s="23" t="n">
        <v>54.168</v>
      </c>
      <c r="F5" s="23" t="n">
        <v>77.837</v>
      </c>
      <c r="G5" s="23" t="n">
        <v>82.23099999999999</v>
      </c>
      <c r="H5" s="23" t="n">
        <v>89.133</v>
      </c>
      <c r="I5" s="23" t="n">
        <v>137.922</v>
      </c>
      <c r="J5" s="1" t="n"/>
      <c r="K5" s="1" t="n"/>
    </row>
    <row r="6">
      <c r="A6" s="19" t="inlineStr">
        <is>
          <t>SG&amp;A &amp; Other</t>
        </is>
      </c>
      <c r="B6" s="23" t="n">
        <v>4.41</v>
      </c>
      <c r="C6" s="23" t="n">
        <v>11.914</v>
      </c>
      <c r="D6" s="23" t="n">
        <v>20.847</v>
      </c>
      <c r="E6" s="23" t="n">
        <v>31.897</v>
      </c>
      <c r="F6" s="23" t="n">
        <v>38.924</v>
      </c>
      <c r="G6" s="23" t="n">
        <v>41.322</v>
      </c>
      <c r="H6" s="23" t="n">
        <v>48.794</v>
      </c>
      <c r="I6" s="23" t="n">
        <v>67.08799999999999</v>
      </c>
      <c r="J6" s="1" t="n"/>
      <c r="K6" s="1" t="n"/>
    </row>
    <row r="7">
      <c r="A7" s="2" t="inlineStr">
        <is>
          <t>Operating Expense</t>
        </is>
      </c>
      <c r="B7" s="23">
        <f>SUM(B5:B6)</f>
        <v>12.781</v>
      </c>
      <c r="C7" s="23">
        <f>SUM(C5:C6)</f>
        <v>35.678</v>
      </c>
      <c r="D7" s="23">
        <f>SUM(D5:D6)</f>
        <v>53.044000000000004</v>
      </c>
      <c r="E7" s="23">
        <f>SUM(E5:E6)</f>
        <v>86.065</v>
      </c>
      <c r="F7" s="23">
        <f>SUM(F5:F6)</f>
        <v>116.761</v>
      </c>
      <c r="G7" s="23">
        <f>SUM(G5:G6)</f>
        <v>123.553</v>
      </c>
      <c r="H7" s="23">
        <f>SUM(H5:H6)</f>
        <v>137.927</v>
      </c>
      <c r="I7" s="23">
        <f>SUM(I5:I6)</f>
        <v>205.01</v>
      </c>
      <c r="J7" s="1" t="n"/>
      <c r="K7" s="1" t="n"/>
    </row>
    <row r="8">
      <c r="A8" s="2" t="inlineStr">
        <is>
          <t>Operating Income</t>
        </is>
      </c>
      <c r="B8" s="23">
        <f>B4-B7</f>
        <v>-12.781</v>
      </c>
      <c r="C8" s="23">
        <f>C4-C7</f>
        <v>-35.678</v>
      </c>
      <c r="D8" s="23">
        <f>D4-D7</f>
        <v>-53.044000000000004</v>
      </c>
      <c r="E8" s="23">
        <f>E4-E7</f>
        <v>-86.065</v>
      </c>
      <c r="F8" s="23">
        <f>F4-F7</f>
        <v>-104.356</v>
      </c>
      <c r="G8" s="23">
        <f>G4-G7</f>
        <v>-114.773</v>
      </c>
      <c r="H8" s="23">
        <f>H4-H7</f>
        <v>-101.37199999999999</v>
      </c>
      <c r="I8" s="23">
        <f>I4-I7</f>
        <v>-20.590000000000003</v>
      </c>
      <c r="J8" s="1" t="n"/>
      <c r="K8" s="1" t="n"/>
    </row>
    <row r="9">
      <c r="A9" s="19" t="inlineStr">
        <is>
          <t>Interest &amp; Other</t>
        </is>
      </c>
      <c r="B9" s="23" t="n">
        <v>0.26</v>
      </c>
      <c r="C9" s="23" t="n">
        <v>3.353</v>
      </c>
      <c r="D9" s="23" t="n">
        <v>0.801</v>
      </c>
      <c r="E9" s="23" t="n">
        <v>0.26</v>
      </c>
      <c r="F9" s="23" t="n">
        <v>3.289</v>
      </c>
      <c r="G9" s="23" t="n">
        <v>10.074</v>
      </c>
      <c r="H9" s="23" t="n">
        <v>12.391</v>
      </c>
      <c r="I9" s="23" t="n">
        <v>13.705</v>
      </c>
    </row>
    <row r="10">
      <c r="A10" s="2" t="inlineStr">
        <is>
          <t>Pretax</t>
        </is>
      </c>
      <c r="B10" s="23">
        <f>B8+B9</f>
        <v>-12.521</v>
      </c>
      <c r="C10" s="23">
        <f>C8+C9</f>
        <v>-32.324999999999996</v>
      </c>
      <c r="D10" s="23">
        <f>D8+D9</f>
        <v>-52.243</v>
      </c>
      <c r="E10" s="23">
        <f>E8+E9</f>
        <v>-85.80499999999999</v>
      </c>
      <c r="F10" s="23">
        <f>F8+F9</f>
        <v>-101.067</v>
      </c>
      <c r="G10" s="23">
        <f>G8+G9</f>
        <v>-104.699</v>
      </c>
      <c r="H10" s="23">
        <f>H8+H9</f>
        <v>-88.98099999999998</v>
      </c>
      <c r="I10" s="23">
        <f>I8+I9</f>
        <v>-6.885000000000003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-12.521</v>
      </c>
      <c r="C12" s="23" t="n">
        <v>-32.325</v>
      </c>
      <c r="D12" s="23" t="n">
        <v>-52.243</v>
      </c>
      <c r="E12" s="23" t="n">
        <v>-85.80500000000001</v>
      </c>
      <c r="F12" s="23" t="n">
        <v>-101.067</v>
      </c>
      <c r="G12" s="23" t="n">
        <v>-104.699</v>
      </c>
      <c r="H12" s="23" t="n">
        <v>-88.98099999999999</v>
      </c>
      <c r="I12" s="23" t="n">
        <v>-6.885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-0.7060847008402413</v>
      </c>
      <c r="C13" s="11">
        <f>IFERROR(C12/C14,0)</f>
        <v>-1.798731289299427</v>
      </c>
      <c r="D13" s="11">
        <f>IFERROR(D12/D14,0)</f>
        <v>-1.5600513616817966</v>
      </c>
      <c r="E13" s="11">
        <f>IFERROR(E12/E14,0)</f>
        <v>-2.3355290018781134</v>
      </c>
      <c r="F13" s="11">
        <f>IFERROR(F12/F14,0)</f>
        <v>-2.598323778183407</v>
      </c>
      <c r="G13" s="11">
        <f>IFERROR(G12/G14,0)</f>
        <v>-2.379793158313445</v>
      </c>
      <c r="H13" s="11">
        <f>IFERROR(H12/H14,0)</f>
        <v>-1.6475217093447387</v>
      </c>
      <c r="I13" s="11">
        <f>IFERROR(I12/I14,0)</f>
        <v>-0.1162633614211655</v>
      </c>
    </row>
    <row r="14">
      <c r="A14" s="2" t="inlineStr">
        <is>
          <t>Shares</t>
        </is>
      </c>
      <c r="B14" s="23" t="n">
        <v>17.733</v>
      </c>
      <c r="C14" s="23" t="n">
        <v>17.971</v>
      </c>
      <c r="D14" s="23" t="n">
        <v>33.488</v>
      </c>
      <c r="E14" s="23" t="n">
        <v>36.739</v>
      </c>
      <c r="F14" s="23" t="n">
        <v>38.897</v>
      </c>
      <c r="G14" s="23" t="n">
        <v>43.995</v>
      </c>
      <c r="H14" s="23" t="n">
        <v>54.009</v>
      </c>
      <c r="I14" s="23" t="n">
        <v>59.219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-0.29222087867795243</v>
      </c>
      <c r="H16" s="15">
        <f>IFERROR(H2/G2-1,"")</f>
        <v>3.1634396355353074</v>
      </c>
      <c r="I16" s="15">
        <f>IFERROR(I2/H2-1,"")</f>
        <v>4.0450006839009705</v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-8.412414349052801</v>
      </c>
      <c r="G18" s="15">
        <f>IFERROR(G8/G2,"")</f>
        <v>-13.072095671981778</v>
      </c>
      <c r="H18" s="15">
        <f>IFERROR(H8/H2,"")</f>
        <v>-2.7731363698536446</v>
      </c>
      <c r="I18" s="15">
        <f>IFERROR(I8/I2,"")</f>
        <v>-0.11164732675414817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Stoke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0.5653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223.377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484.5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-63.61926941595381</v>
      </c>
      <c r="C29" s="42">
        <f>NPV!B25</f>
        <v>229.1987305840462</v>
      </c>
      <c r="D29" s="43">
        <f>NPV!B27</f>
        <v>3.5520235408106706</v>
      </c>
      <c r="E29" s="44">
        <f>NPV!B29</f>
        <v>-0.8665154625775772</v>
      </c>
    </row>
    <row r="30">
      <c r="A30" s="45" t="n">
        <v>1</v>
      </c>
      <c r="B30" s="46">
        <f t="dataTable" ref="B30:E32" r1="B4"/>
        <v>-360.91024658534684</v>
      </c>
      <c r="C30" s="46">
        <v>-68.09224658534686</v>
      </c>
      <c r="D30" s="47">
        <v>-1.0552644083216076</v>
      </c>
      <c r="E30" s="48">
        <v>-1.0396566857693201</v>
      </c>
    </row>
    <row r="31">
      <c r="A31" s="45" t="n">
        <v>2</v>
      </c>
      <c r="B31" s="46">
        <v>-63.61926941595381</v>
      </c>
      <c r="C31" s="46">
        <v>229.1987305840462</v>
      </c>
      <c r="D31" s="47">
        <v>3.5520235408106706</v>
      </c>
      <c r="E31" s="48">
        <v>-0.8665154625775772</v>
      </c>
    </row>
    <row r="32">
      <c r="A32" s="45" t="n">
        <v>3</v>
      </c>
      <c r="B32" s="46">
        <v>368.0528660549988</v>
      </c>
      <c r="C32" s="46">
        <v>660.8708660549987</v>
      </c>
      <c r="D32" s="47">
        <v>10.241892996883326</v>
      </c>
      <c r="E32" s="48">
        <v>-0.6151111237548543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3.5520235408106706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-1.9881828094564353</v>
      </c>
      <c r="C37" s="47">
        <v>-0.48015253041108313</v>
      </c>
      <c r="D37" s="47">
        <v>1.0278777486342696</v>
      </c>
      <c r="E37" s="47">
        <v>3.8633215452298284</v>
      </c>
      <c r="F37" s="47">
        <v>6.437809327133659</v>
      </c>
    </row>
    <row r="38">
      <c r="A38" s="50" t="n">
        <v>0.8</v>
      </c>
      <c r="B38" s="47">
        <v>-1.6489484603392235</v>
      </c>
      <c r="C38" s="47">
        <v>0.3617585783879119</v>
      </c>
      <c r="D38" s="47">
        <v>2.3724656171150498</v>
      </c>
      <c r="E38" s="47">
        <v>5.86045753307011</v>
      </c>
      <c r="F38" s="47">
        <v>9.21042383062584</v>
      </c>
    </row>
    <row r="39">
      <c r="A39" s="50" t="n">
        <v>1</v>
      </c>
      <c r="B39" s="47">
        <v>-1.3097141112220099</v>
      </c>
      <c r="C39" s="47">
        <v>1.2036696871869093</v>
      </c>
      <c r="D39" s="47">
        <v>3.5520235408106706</v>
      </c>
      <c r="E39" s="47">
        <v>7.814595080505161</v>
      </c>
      <c r="F39" s="47">
        <v>11.94508907684083</v>
      </c>
    </row>
    <row r="40">
      <c r="A40" s="50" t="n">
        <v>1.2</v>
      </c>
      <c r="B40" s="47">
        <v>-0.970479762104797</v>
      </c>
      <c r="C40" s="47">
        <v>2.045580795985905</v>
      </c>
      <c r="D40" s="47">
        <v>4.698150332113061</v>
      </c>
      <c r="E40" s="47">
        <v>9.739460711099312</v>
      </c>
      <c r="F40" s="47">
        <v>14.663646935541488</v>
      </c>
    </row>
    <row r="41">
      <c r="A41" s="50" t="n">
        <v>1.4</v>
      </c>
      <c r="B41" s="47">
        <v>-0.631245412987587</v>
      </c>
      <c r="C41" s="47">
        <v>2.7985006779405093</v>
      </c>
      <c r="D41" s="47">
        <v>5.824042800699508</v>
      </c>
      <c r="E41" s="47">
        <v>11.648605380281918</v>
      </c>
      <c r="F41" s="47">
        <v>17.355738889879277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Stoke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Rare epilepsy</t>
        </is>
      </c>
      <c r="C4" s="14" t="inlineStr">
        <is>
          <t>zorevunersen (STK-001), zorevunersen</t>
        </is>
      </c>
      <c r="D4" s="14" t="inlineStr">
        <is>
          <t>Phase 3</t>
        </is>
      </c>
      <c r="E4" s="14" t="inlineStr">
        <is>
          <t>Neurology / rare</t>
        </is>
      </c>
      <c r="F4" s="14" t="inlineStr">
        <is>
          <t>Owned</t>
        </is>
      </c>
      <c r="G4" s="40" t="n">
        <v>800</v>
      </c>
      <c r="H4" s="27" t="n">
        <v>0.5653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648.7168448600528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45.224000000000004</v>
      </c>
      <c r="Q4" s="23">
        <f>IF(Q$3&lt;$I4,0,$G4*Assumptions!$E$11*INDEX(Assumptions!$B$24:$G$24,MIN(6,Q$3-$I4+1))*IF(Q$3&gt;$J4,(1-Assumptions!$B$26)^(Q$3-$J4),1)*IF($H4&gt;=1,1,MIN(0.97,$H4*Assumptions!$E$12)))</f>
        <v>113.06</v>
      </c>
      <c r="R4" s="23">
        <f>IF(R$3&lt;$I4,0,$G4*Assumptions!$E$11*INDEX(Assumptions!$B$24:$G$24,MIN(6,R$3-$I4+1))*IF(R$3&gt;$J4,(1-Assumptions!$B$26)^(R$3-$J4),1)*IF($H4&gt;=1,1,MIN(0.97,$H4*Assumptions!$E$12)))</f>
        <v>203.508</v>
      </c>
      <c r="S4" s="23">
        <f>IF(S$3&lt;$I4,0,$G4*Assumptions!$E$11*INDEX(Assumptions!$B$24:$G$24,MIN(6,S$3-$I4+1))*IF(S$3&gt;$J4,(1-Assumptions!$B$26)^(S$3-$J4),1)*IF($H4&gt;=1,1,MIN(0.97,$H4*Assumptions!$E$12)))</f>
        <v>293.956</v>
      </c>
      <c r="T4" s="23">
        <f>IF(T$3&lt;$I4,0,$G4*Assumptions!$E$11*INDEX(Assumptions!$B$24:$G$24,MIN(6,T$3-$I4+1))*IF(T$3&gt;$J4,(1-Assumptions!$B$26)^(T$3-$J4),1)*IF($H4&gt;=1,1,MIN(0.97,$H4*Assumptions!$E$12)))</f>
        <v>384.404</v>
      </c>
      <c r="U4" s="23">
        <f>IF(U$3&lt;$I4,0,$G4*Assumptions!$E$11*INDEX(Assumptions!$B$24:$G$24,MIN(6,U$3-$I4+1))*IF(U$3&gt;$J4,(1-Assumptions!$B$26)^(U$3-$J4),1)*IF($H4&gt;=1,1,MIN(0.97,$H4*Assumptions!$E$12)))</f>
        <v>452.24</v>
      </c>
      <c r="V4" s="23">
        <f>IF(V$3&lt;$I4,0,$G4*Assumptions!$E$11*INDEX(Assumptions!$B$24:$G$24,MIN(6,V$3-$I4+1))*IF(V$3&gt;$J4,(1-Assumptions!$B$26)^(V$3-$J4),1)*IF($H4&gt;=1,1,MIN(0.97,$H4*Assumptions!$E$12)))</f>
        <v>452.24</v>
      </c>
      <c r="W4" s="23">
        <f>IF(W$3&lt;$I4,0,$G4*Assumptions!$E$11*INDEX(Assumptions!$B$24:$G$24,MIN(6,W$3-$I4+1))*IF(W$3&gt;$J4,(1-Assumptions!$B$26)^(W$3-$J4),1)*IF($H4&gt;=1,1,MIN(0.97,$H4*Assumptions!$E$12)))</f>
        <v>452.24</v>
      </c>
      <c r="X4" s="23">
        <f>IF(X$3&lt;$I4,0,$G4*Assumptions!$E$11*INDEX(Assumptions!$B$24:$G$24,MIN(6,X$3-$I4+1))*IF(X$3&gt;$J4,(1-Assumptions!$B$26)^(X$3-$J4),1)*IF($H4&gt;=1,1,MIN(0.97,$H4*Assumptions!$E$12)))</f>
        <v>452.24</v>
      </c>
      <c r="Y4" s="23">
        <f>IF(Y$3&lt;$I4,0,$G4*Assumptions!$E$11*INDEX(Assumptions!$B$24:$G$24,MIN(6,Y$3-$I4+1))*IF(Y$3&gt;$J4,(1-Assumptions!$B$26)^(Y$3-$J4),1)*IF($H4&gt;=1,1,MIN(0.97,$H4*Assumptions!$E$12)))</f>
        <v>452.24</v>
      </c>
      <c r="Z4" s="23">
        <f>IF(Z$3&lt;$I4,0,$G4*Assumptions!$E$11*INDEX(Assumptions!$B$24:$G$24,MIN(6,Z$3-$I4+1))*IF(Z$3&gt;$J4,(1-Assumptions!$B$26)^(Z$3-$J4),1)*IF($H4&gt;=1,1,MIN(0.97,$H4*Assumptions!$E$12)))</f>
        <v>452.24</v>
      </c>
      <c r="AA4" s="23">
        <f>IF(AA$3&lt;$I4,0,$G4*Assumptions!$E$11*INDEX(Assumptions!$B$24:$G$24,MIN(6,AA$3-$I4+1))*IF(AA$3&gt;$J4,(1-Assumptions!$B$26)^(AA$3-$J4),1)*IF($H4&gt;=1,1,MIN(0.97,$H4*Assumptions!$E$12)))</f>
        <v>452.24</v>
      </c>
      <c r="AB4" s="23">
        <f>IF(AB$3&lt;$I4,0,$G4*Assumptions!$E$11*INDEX(Assumptions!$B$24:$G$24,MIN(6,AB$3-$I4+1))*IF(AB$3&gt;$J4,(1-Assumptions!$B$26)^(AB$3-$J4),1)*IF($H4&gt;=1,1,MIN(0.97,$H4*Assumptions!$E$12)))</f>
        <v>452.24</v>
      </c>
      <c r="AC4" s="23">
        <f>IF(AC$3&lt;$I4,0,$G4*Assumptions!$E$11*INDEX(Assumptions!$B$24:$G$24,MIN(6,AC$3-$I4+1))*IF(AC$3&gt;$J4,(1-Assumptions!$B$26)^(AC$3-$J4),1)*IF($H4&gt;=1,1,MIN(0.97,$H4*Assumptions!$E$12)))</f>
        <v>226.12</v>
      </c>
      <c r="AD4" s="23">
        <f>IF(AD$3&lt;$I4,0,$G4*Assumptions!$E$11*INDEX(Assumptions!$B$24:$G$24,MIN(6,AD$3-$I4+1))*IF(AD$3&gt;$J4,(1-Assumptions!$B$26)^(AD$3-$J4),1)*IF($H4&gt;=1,1,MIN(0.97,$H4*Assumptions!$E$12)))</f>
        <v>113.06</v>
      </c>
      <c r="AE4" s="23">
        <f>IF(AE$3&lt;$I4,0,$G4*Assumptions!$E$11*INDEX(Assumptions!$B$24:$G$24,MIN(6,AE$3-$I4+1))*IF(AE$3&gt;$J4,(1-Assumptions!$B$26)^(AE$3-$J4),1)*IF($H4&gt;=1,1,MIN(0.97,$H4*Assumptions!$E$12)))</f>
        <v>56.53</v>
      </c>
      <c r="AF4" s="23">
        <f>IF(AF$3&lt;$I4,0,$G4*Assumptions!$E$11*INDEX(Assumptions!$B$24:$G$24,MIN(6,AF$3-$I4+1))*IF(AF$3&gt;$J4,(1-Assumptions!$B$26)^(AF$3-$J4),1)*IF($H4&gt;=1,1,MIN(0.97,$H4*Assumptions!$E$12)))</f>
        <v>28.265</v>
      </c>
      <c r="AG4" s="35">
        <f>IF(F4="Owned",1-IF(H4&gt;=1,1,MIN(0.97,H4*Assumptions!$E$12)),1)</f>
        <v>0.4347</v>
      </c>
    </row>
    <row r="5">
      <c r="B5" s="24" t="inlineStr">
        <is>
          <t>Risked revenue</t>
        </is>
      </c>
      <c r="L5" s="54">
        <f>SUM(L4:L4)</f>
        <v>648.7168448600528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45.224000000000004</v>
      </c>
      <c r="Q5" s="54">
        <f>SUM(Q4:Q4)</f>
        <v>113.06</v>
      </c>
      <c r="R5" s="54">
        <f>SUM(R4:R4)</f>
        <v>203.508</v>
      </c>
      <c r="S5" s="54">
        <f>SUM(S4:S4)</f>
        <v>293.956</v>
      </c>
      <c r="T5" s="54">
        <f>SUM(T4:T4)</f>
        <v>384.404</v>
      </c>
      <c r="U5" s="54">
        <f>SUM(U4:U4)</f>
        <v>452.24</v>
      </c>
      <c r="V5" s="54">
        <f>SUM(V4:V4)</f>
        <v>452.24</v>
      </c>
      <c r="W5" s="54">
        <f>SUM(W4:W4)</f>
        <v>452.24</v>
      </c>
      <c r="X5" s="54">
        <f>SUM(X4:X4)</f>
        <v>452.24</v>
      </c>
      <c r="Y5" s="54">
        <f>SUM(Y4:Y4)</f>
        <v>452.24</v>
      </c>
      <c r="Z5" s="54">
        <f>SUM(Z4:Z4)</f>
        <v>452.24</v>
      </c>
      <c r="AA5" s="54">
        <f>SUM(AA4:AA4)</f>
        <v>452.24</v>
      </c>
      <c r="AB5" s="54">
        <f>SUM(AB4:AB4)</f>
        <v>452.24</v>
      </c>
      <c r="AC5" s="54">
        <f>SUM(AC4:AC4)</f>
        <v>226.12</v>
      </c>
      <c r="AD5" s="54">
        <f>SUM(AD4:AD4)</f>
        <v>113.06</v>
      </c>
      <c r="AE5" s="54">
        <f>SUM(AE4:AE4)</f>
        <v>56.53</v>
      </c>
      <c r="AF5" s="54">
        <f>SUM(AF4:AF4)</f>
        <v>28.265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18.0896</v>
      </c>
      <c r="Q6" s="55">
        <f>SUMPRODUCT(Q4:Q4,$K$4:$K$4)</f>
        <v>45.224000000000004</v>
      </c>
      <c r="R6" s="55">
        <f>SUMPRODUCT(R4:R4,$K$4:$K$4)</f>
        <v>81.40320000000001</v>
      </c>
      <c r="S6" s="55">
        <f>SUMPRODUCT(S4:S4,$K$4:$K$4)</f>
        <v>117.5824</v>
      </c>
      <c r="T6" s="55">
        <f>SUMPRODUCT(T4:T4,$K$4:$K$4)</f>
        <v>153.76160000000002</v>
      </c>
      <c r="U6" s="55">
        <f>SUMPRODUCT(U4:U4,$K$4:$K$4)</f>
        <v>180.89600000000002</v>
      </c>
      <c r="V6" s="55">
        <f>SUMPRODUCT(V4:V4,$K$4:$K$4)</f>
        <v>180.89600000000002</v>
      </c>
      <c r="W6" s="55">
        <f>SUMPRODUCT(W4:W4,$K$4:$K$4)</f>
        <v>180.89600000000002</v>
      </c>
      <c r="X6" s="55">
        <f>SUMPRODUCT(X4:X4,$K$4:$K$4)</f>
        <v>180.89600000000002</v>
      </c>
      <c r="Y6" s="55">
        <f>SUMPRODUCT(Y4:Y4,$K$4:$K$4)</f>
        <v>180.89600000000002</v>
      </c>
      <c r="Z6" s="55">
        <f>SUMPRODUCT(Z4:Z4,$K$4:$K$4)</f>
        <v>180.89600000000002</v>
      </c>
      <c r="AA6" s="55">
        <f>SUMPRODUCT(AA4:AA4,$K$4:$K$4)</f>
        <v>180.89600000000002</v>
      </c>
      <c r="AB6" s="55">
        <f>SUMPRODUCT(AB4:AB4,$K$4:$K$4)</f>
        <v>180.89600000000002</v>
      </c>
      <c r="AC6" s="55">
        <f>SUMPRODUCT(AC4:AC4,$K$4:$K$4)</f>
        <v>90.44800000000001</v>
      </c>
      <c r="AD6" s="55">
        <f>SUMPRODUCT(AD4:AD4,$K$4:$K$4)</f>
        <v>45.224000000000004</v>
      </c>
      <c r="AE6" s="55">
        <f>SUMPRODUCT(AE4:AE4,$K$4:$K$4)</f>
        <v>22.612000000000002</v>
      </c>
      <c r="AF6" s="55">
        <f>SUMPRODUCT(AF4:AF4,$K$4:$K$4)</f>
        <v>11.306000000000001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Stoke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45.224000000000004</v>
      </c>
      <c r="G4" s="57">
        <f>Pipeline!Q5</f>
        <v>113.06</v>
      </c>
      <c r="H4" s="57">
        <f>Pipeline!R5</f>
        <v>203.508</v>
      </c>
      <c r="I4" s="57">
        <f>Pipeline!S5</f>
        <v>293.956</v>
      </c>
      <c r="J4" s="57">
        <f>Pipeline!T5</f>
        <v>384.404</v>
      </c>
      <c r="K4" s="57">
        <f>Pipeline!U5</f>
        <v>452.24</v>
      </c>
      <c r="L4" s="57">
        <f>Pipeline!V5</f>
        <v>452.24</v>
      </c>
      <c r="M4" s="57">
        <f>Pipeline!W5</f>
        <v>452.24</v>
      </c>
      <c r="N4" s="57">
        <f>Pipeline!X5</f>
        <v>452.24</v>
      </c>
      <c r="O4" s="57">
        <f>Pipeline!Y5</f>
        <v>452.24</v>
      </c>
      <c r="P4" s="57">
        <f>Pipeline!Z5</f>
        <v>452.24</v>
      </c>
      <c r="Q4" s="57">
        <f>Pipeline!AA5</f>
        <v>452.24</v>
      </c>
      <c r="R4" s="57">
        <f>Pipeline!AB5</f>
        <v>452.24</v>
      </c>
      <c r="S4" s="57">
        <f>Pipeline!AC5</f>
        <v>226.12</v>
      </c>
      <c r="T4" s="57">
        <f>Pipeline!AD5</f>
        <v>113.06</v>
      </c>
      <c r="U4" s="57">
        <f>Pipeline!AE5</f>
        <v>56.53</v>
      </c>
      <c r="V4" s="57">
        <f>Pipeline!AF5</f>
        <v>28.265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18.0896</v>
      </c>
      <c r="G5" s="57">
        <f>Pipeline!Q6</f>
        <v>45.224000000000004</v>
      </c>
      <c r="H5" s="57">
        <f>Pipeline!R6</f>
        <v>81.40320000000001</v>
      </c>
      <c r="I5" s="57">
        <f>Pipeline!S6</f>
        <v>117.5824</v>
      </c>
      <c r="J5" s="57">
        <f>Pipeline!T6</f>
        <v>153.76160000000002</v>
      </c>
      <c r="K5" s="57">
        <f>Pipeline!U6</f>
        <v>180.89600000000002</v>
      </c>
      <c r="L5" s="57">
        <f>Pipeline!V6</f>
        <v>180.89600000000002</v>
      </c>
      <c r="M5" s="57">
        <f>Pipeline!W6</f>
        <v>180.89600000000002</v>
      </c>
      <c r="N5" s="57">
        <f>Pipeline!X6</f>
        <v>180.89600000000002</v>
      </c>
      <c r="O5" s="57">
        <f>Pipeline!Y6</f>
        <v>180.89600000000002</v>
      </c>
      <c r="P5" s="57">
        <f>Pipeline!Z6</f>
        <v>180.89600000000002</v>
      </c>
      <c r="Q5" s="57">
        <f>Pipeline!AA6</f>
        <v>180.89600000000002</v>
      </c>
      <c r="R5" s="57">
        <f>Pipeline!AB6</f>
        <v>180.89600000000002</v>
      </c>
      <c r="S5" s="57">
        <f>Pipeline!AC6</f>
        <v>90.44800000000001</v>
      </c>
      <c r="T5" s="57">
        <f>Pipeline!AD6</f>
        <v>45.224000000000004</v>
      </c>
      <c r="U5" s="57">
        <f>Pipeline!AE6</f>
        <v>22.612000000000002</v>
      </c>
      <c r="V5" s="57">
        <f>Pipeline!AF6</f>
        <v>11.306000000000001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-223.377</v>
      </c>
      <c r="D6" s="23">
        <f>-IF(D3-2026&lt;Assumptions!$B$19,Assumptions!$B$18,Assumptions!$B$18*Assumptions!$B$20*Assumptions!$B$16)</f>
        <v>-223.377</v>
      </c>
      <c r="E6" s="23">
        <f>-IF(E3-2026&lt;Assumptions!$B$19,Assumptions!$B$18,Assumptions!$B$18*Assumptions!$B$20*Assumptions!$B$16)</f>
        <v>-223.377</v>
      </c>
      <c r="F6" s="23">
        <f>-IF(F3-2026&lt;Assumptions!$B$19,Assumptions!$B$18,Assumptions!$B$18*Assumptions!$B$20*Assumptions!$B$16)</f>
        <v>-37.88250543</v>
      </c>
      <c r="G6" s="23">
        <f>-IF(G3-2026&lt;Assumptions!$B$19,Assumptions!$B$18,Assumptions!$B$18*Assumptions!$B$20*Assumptions!$B$16)</f>
        <v>-37.88250543</v>
      </c>
      <c r="H6" s="23">
        <f>-IF(H3-2026&lt;Assumptions!$B$19,Assumptions!$B$18,Assumptions!$B$18*Assumptions!$B$20*Assumptions!$B$16)</f>
        <v>-37.88250543</v>
      </c>
      <c r="I6" s="23">
        <f>-IF(I3-2026&lt;Assumptions!$B$19,Assumptions!$B$18,Assumptions!$B$18*Assumptions!$B$20*Assumptions!$B$16)</f>
        <v>-37.88250543</v>
      </c>
      <c r="J6" s="23">
        <f>-IF(J3-2026&lt;Assumptions!$B$19,Assumptions!$B$18,Assumptions!$B$18*Assumptions!$B$20*Assumptions!$B$16)</f>
        <v>-37.88250543</v>
      </c>
      <c r="K6" s="23">
        <f>-IF(K3-2026&lt;Assumptions!$B$19,Assumptions!$B$18,Assumptions!$B$18*Assumptions!$B$20*Assumptions!$B$16)</f>
        <v>-37.88250543</v>
      </c>
      <c r="L6" s="23">
        <f>-IF(L3-2026&lt;Assumptions!$B$19,Assumptions!$B$18,Assumptions!$B$18*Assumptions!$B$20*Assumptions!$B$16)</f>
        <v>-37.88250543</v>
      </c>
      <c r="M6" s="23">
        <f>-IF(M3-2026&lt;Assumptions!$B$19,Assumptions!$B$18,Assumptions!$B$18*Assumptions!$B$20*Assumptions!$B$16)</f>
        <v>-37.88250543</v>
      </c>
      <c r="N6" s="23">
        <f>-IF(N3-2026&lt;Assumptions!$B$19,Assumptions!$B$18,Assumptions!$B$18*Assumptions!$B$20*Assumptions!$B$16)</f>
        <v>-37.88250543</v>
      </c>
      <c r="O6" s="23">
        <f>-IF(O3-2026&lt;Assumptions!$B$19,Assumptions!$B$18,Assumptions!$B$18*Assumptions!$B$20*Assumptions!$B$16)</f>
        <v>-37.88250543</v>
      </c>
      <c r="P6" s="23">
        <f>-IF(P3-2026&lt;Assumptions!$B$19,Assumptions!$B$18,Assumptions!$B$18*Assumptions!$B$20*Assumptions!$B$16)</f>
        <v>-37.88250543</v>
      </c>
      <c r="Q6" s="23">
        <f>-IF(Q3-2026&lt;Assumptions!$B$19,Assumptions!$B$18,Assumptions!$B$18*Assumptions!$B$20*Assumptions!$B$16)</f>
        <v>-37.88250543</v>
      </c>
      <c r="R6" s="23">
        <f>-IF(R3-2026&lt;Assumptions!$B$19,Assumptions!$B$18,Assumptions!$B$18*Assumptions!$B$20*Assumptions!$B$16)</f>
        <v>-37.88250543</v>
      </c>
      <c r="S6" s="23">
        <f>-IF(S3-2026&lt;Assumptions!$B$19,Assumptions!$B$18,Assumptions!$B$18*Assumptions!$B$20*Assumptions!$B$16)</f>
        <v>-37.88250543</v>
      </c>
      <c r="T6" s="23">
        <f>-IF(T3-2026&lt;Assumptions!$B$19,Assumptions!$B$18,Assumptions!$B$18*Assumptions!$B$20*Assumptions!$B$16)</f>
        <v>-37.88250543</v>
      </c>
      <c r="U6" s="23">
        <f>-IF(U3-2026&lt;Assumptions!$B$19,Assumptions!$B$18,Assumptions!$B$18*Assumptions!$B$20*Assumptions!$B$16)</f>
        <v>-37.88250543</v>
      </c>
      <c r="V6" s="23">
        <f>-IF(V3-2026&lt;Assumptions!$B$19,Assumptions!$B$18,Assumptions!$B$18*Assumptions!$B$20*Assumptions!$B$16)</f>
        <v>-37.88250543</v>
      </c>
    </row>
    <row r="7">
      <c r="A7" s="14" t="inlineStr">
        <is>
          <t>Pre-tax cash flow</t>
        </is>
      </c>
      <c r="C7" s="23">
        <f>C5+C6</f>
        <v>-223.377</v>
      </c>
      <c r="D7" s="23">
        <f>D5+D6</f>
        <v>-223.377</v>
      </c>
      <c r="E7" s="23">
        <f>E5+E6</f>
        <v>-223.377</v>
      </c>
      <c r="F7" s="23">
        <f>F5+F6</f>
        <v>-19.79290543</v>
      </c>
      <c r="G7" s="23">
        <f>G5+G6</f>
        <v>7.341494570000002</v>
      </c>
      <c r="H7" s="23">
        <f>H5+H6</f>
        <v>43.52069457000001</v>
      </c>
      <c r="I7" s="23">
        <f>I5+I6</f>
        <v>79.69989457</v>
      </c>
      <c r="J7" s="23">
        <f>J5+J6</f>
        <v>115.87909457</v>
      </c>
      <c r="K7" s="23">
        <f>K5+K6</f>
        <v>143.01349457</v>
      </c>
      <c r="L7" s="23">
        <f>L5+L6</f>
        <v>143.01349457</v>
      </c>
      <c r="M7" s="23">
        <f>M5+M6</f>
        <v>143.01349457</v>
      </c>
      <c r="N7" s="23">
        <f>N5+N6</f>
        <v>143.01349457</v>
      </c>
      <c r="O7" s="23">
        <f>O5+O6</f>
        <v>143.01349457</v>
      </c>
      <c r="P7" s="23">
        <f>P5+P6</f>
        <v>143.01349457</v>
      </c>
      <c r="Q7" s="23">
        <f>Q5+Q6</f>
        <v>143.01349457</v>
      </c>
      <c r="R7" s="23">
        <f>R5+R6</f>
        <v>143.01349457</v>
      </c>
      <c r="S7" s="23">
        <f>S5+S6</f>
        <v>52.565494570000006</v>
      </c>
      <c r="T7" s="23">
        <f>T5+T6</f>
        <v>7.341494570000002</v>
      </c>
      <c r="U7" s="23">
        <f>U5+U6</f>
        <v>-15.27050543</v>
      </c>
      <c r="V7" s="23">
        <f>V5+V6</f>
        <v>-26.57650543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7.341494570000002</v>
      </c>
      <c r="H8" s="23">
        <f>MIN(G17,MAX(0,H7))</f>
        <v>43.52069457000001</v>
      </c>
      <c r="I8" s="23">
        <f>MIN(H17,MAX(0,I7))</f>
        <v>79.69989457</v>
      </c>
      <c r="J8" s="23">
        <f>MIN(I17,MAX(0,J7))</f>
        <v>115.87909457</v>
      </c>
      <c r="K8" s="23">
        <f>MIN(J17,MAX(0,K7))</f>
        <v>143.01349457</v>
      </c>
      <c r="L8" s="23">
        <f>MIN(K17,MAX(0,L7))</f>
        <v>143.01349457</v>
      </c>
      <c r="M8" s="23">
        <f>MIN(L17,MAX(0,M7))</f>
        <v>143.01349457</v>
      </c>
      <c r="N8" s="23">
        <f>MIN(M17,MAX(0,N7))</f>
        <v>143.01349457</v>
      </c>
      <c r="O8" s="23">
        <f>MIN(N17,MAX(0,O7))</f>
        <v>143.01349457</v>
      </c>
      <c r="P8" s="23">
        <f>MIN(O17,MAX(0,P7))</f>
        <v>143.01349457</v>
      </c>
      <c r="Q8" s="23">
        <f>MIN(P17,MAX(0,Q7))</f>
        <v>69.90175972999992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73.11173484000008</v>
      </c>
      <c r="R9" s="23">
        <f>MAX(0,R7)-R8</f>
        <v>143.01349457</v>
      </c>
      <c r="S9" s="23">
        <f>MAX(0,S7)-S8</f>
        <v>52.565494570000006</v>
      </c>
      <c r="T9" s="23">
        <f>MAX(0,T7)-T8</f>
        <v>7.341494570000002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15.353464316400016</v>
      </c>
      <c r="R10" s="23">
        <f>R9*Assumptions!$E$15</f>
        <v>30.0328338597</v>
      </c>
      <c r="S10" s="23">
        <f>S9*Assumptions!$E$15</f>
        <v>11.0387538597</v>
      </c>
      <c r="T10" s="23">
        <f>T9*Assumptions!$E$15</f>
        <v>1.5417138597000004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-223.377</v>
      </c>
      <c r="D11" s="55">
        <f>D7-D10</f>
        <v>-223.377</v>
      </c>
      <c r="E11" s="55">
        <f>E7-E10</f>
        <v>-223.377</v>
      </c>
      <c r="F11" s="55">
        <f>F7-F10</f>
        <v>-19.79290543</v>
      </c>
      <c r="G11" s="55">
        <f>G7-G10</f>
        <v>7.341494570000002</v>
      </c>
      <c r="H11" s="55">
        <f>H7-H10</f>
        <v>43.52069457000001</v>
      </c>
      <c r="I11" s="55">
        <f>I7-I10</f>
        <v>79.69989457</v>
      </c>
      <c r="J11" s="55">
        <f>J7-J10</f>
        <v>115.87909457</v>
      </c>
      <c r="K11" s="55">
        <f>K7-K10</f>
        <v>143.01349457</v>
      </c>
      <c r="L11" s="55">
        <f>L7-L10</f>
        <v>143.01349457</v>
      </c>
      <c r="M11" s="55">
        <f>M7-M10</f>
        <v>143.01349457</v>
      </c>
      <c r="N11" s="55">
        <f>N7-N10</f>
        <v>143.01349457</v>
      </c>
      <c r="O11" s="55">
        <f>O7-O10</f>
        <v>143.01349457</v>
      </c>
      <c r="P11" s="55">
        <f>P7-P10</f>
        <v>143.01349457</v>
      </c>
      <c r="Q11" s="55">
        <f>Q7-Q10</f>
        <v>127.66003025359998</v>
      </c>
      <c r="R11" s="55">
        <f>R7-R10</f>
        <v>112.98066071030001</v>
      </c>
      <c r="S11" s="55">
        <f>S7-S10</f>
        <v>41.526740710300004</v>
      </c>
      <c r="T11" s="55">
        <f>T7-T10</f>
        <v>5.799780710300001</v>
      </c>
      <c r="U11" s="55">
        <f>U7-U10</f>
        <v>-15.27050543</v>
      </c>
      <c r="V11" s="55">
        <f>V7-V10</f>
        <v>-26.57650543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-109.43336376984799</v>
      </c>
      <c r="D16" s="55">
        <f>D11*D15</f>
        <v>-199.35110046464067</v>
      </c>
      <c r="E16" s="55">
        <f>E11*E15</f>
        <v>-177.99205398628627</v>
      </c>
      <c r="F16" s="55">
        <f>F11*F15</f>
        <v>-14.08165460442763</v>
      </c>
      <c r="G16" s="55">
        <f>G11*G15</f>
        <v>4.663485141026838</v>
      </c>
      <c r="H16" s="55">
        <f>H11*H15</f>
        <v>24.68333915905637</v>
      </c>
      <c r="I16" s="55">
        <f>I11*I15</f>
        <v>40.35968955298103</v>
      </c>
      <c r="J16" s="55">
        <f>J11*J15</f>
        <v>52.39346734663677</v>
      </c>
      <c r="K16" s="55">
        <f>K11*K15</f>
        <v>57.73391967049766</v>
      </c>
      <c r="L16" s="55">
        <f>L11*L15</f>
        <v>51.54814256294434</v>
      </c>
      <c r="M16" s="55">
        <f>M11*M15</f>
        <v>46.02512728834316</v>
      </c>
      <c r="N16" s="55">
        <f>N11*N15</f>
        <v>41.09386365030638</v>
      </c>
      <c r="O16" s="55">
        <f>O11*O15</f>
        <v>36.69094968777355</v>
      </c>
      <c r="P16" s="55">
        <f>P11*P15</f>
        <v>32.75977650694067</v>
      </c>
      <c r="Q16" s="55">
        <f>Q11*Q15</f>
        <v>26.109636869731</v>
      </c>
      <c r="R16" s="55">
        <f>R11*R15</f>
        <v>20.631555676405554</v>
      </c>
      <c r="S16" s="55">
        <f>S11*S15</f>
        <v>6.770764205176361</v>
      </c>
      <c r="T16" s="55">
        <f>T11*T15</f>
        <v>0.8443128399980159</v>
      </c>
      <c r="U16" s="55">
        <f>U11*U15</f>
        <v>-1.984847797919943</v>
      </c>
      <c r="V16" s="55">
        <f>V11*V15</f>
        <v>-3.0842789506490123</v>
      </c>
    </row>
    <row r="17">
      <c r="A17" s="14" t="inlineStr">
        <is>
          <t>Tax-loss carryforward, end of year</t>
        </is>
      </c>
      <c r="C17" s="23">
        <f>Assumptions!$B$21-C8+MAX(0,-C7)</f>
        <v>707.877</v>
      </c>
      <c r="D17" s="23">
        <f>C17-D8+MAX(0,-D7)</f>
        <v>931.2539999999999</v>
      </c>
      <c r="E17" s="23">
        <f>D17-E8+MAX(0,-E7)</f>
        <v>1154.6309999999999</v>
      </c>
      <c r="F17" s="23">
        <f>E17-F8+MAX(0,-F7)</f>
        <v>1174.4239054299999</v>
      </c>
      <c r="G17" s="23">
        <f>F17-G8+MAX(0,-G7)</f>
        <v>1167.08241086</v>
      </c>
      <c r="H17" s="23">
        <f>G17-H8+MAX(0,-H7)</f>
        <v>1123.56171629</v>
      </c>
      <c r="I17" s="23">
        <f>H17-I8+MAX(0,-I7)</f>
        <v>1043.86182172</v>
      </c>
      <c r="J17" s="23">
        <f>I17-J8+MAX(0,-J7)</f>
        <v>927.9827271500001</v>
      </c>
      <c r="K17" s="23">
        <f>J17-K8+MAX(0,-K7)</f>
        <v>784.96923258</v>
      </c>
      <c r="L17" s="23">
        <f>K17-L8+MAX(0,-L7)</f>
        <v>641.95573801</v>
      </c>
      <c r="M17" s="23">
        <f>L17-M8+MAX(0,-M7)</f>
        <v>498.94224343999997</v>
      </c>
      <c r="N17" s="23">
        <f>M17-N8+MAX(0,-N7)</f>
        <v>355.92874886999994</v>
      </c>
      <c r="O17" s="23">
        <f>N17-O8+MAX(0,-O7)</f>
        <v>212.91525429999993</v>
      </c>
      <c r="P17" s="23">
        <f>O17-P8+MAX(0,-P7)</f>
        <v>69.90175972999992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15.27050543</v>
      </c>
      <c r="V17" s="23">
        <f>U17-V8+MAX(0,-V7)</f>
        <v>41.84701086</v>
      </c>
    </row>
    <row r="19">
      <c r="A19" s="14" t="inlineStr">
        <is>
          <t>PV of risked pipeline contribution</t>
        </is>
      </c>
      <c r="B19" s="23">
        <f>SUMPRODUCT(C5:V5,C15:V15)</f>
        <v>648.7168448600527</v>
      </c>
    </row>
    <row r="20">
      <c r="A20" s="14" t="inlineStr">
        <is>
          <t>PV of corporate burn</t>
        </is>
      </c>
      <c r="B20" s="23">
        <f>SUMPRODUCT(C6:V6,C15:V15)</f>
        <v>-701.6873521215526</v>
      </c>
    </row>
    <row r="21">
      <c r="A21" s="14" t="inlineStr">
        <is>
          <t>PV of taxes</t>
        </is>
      </c>
      <c r="B21" s="23">
        <f>-SUMPRODUCT(C10:V10,C15:V15)</f>
        <v>-10.648762154453818</v>
      </c>
    </row>
    <row r="22">
      <c r="A22" s="24" t="inlineStr">
        <is>
          <t>Pipeline rNPV (operations)</t>
        </is>
      </c>
      <c r="B22" s="54">
        <f>SUM(C16:V16)</f>
        <v>-63.61926941595381</v>
      </c>
    </row>
    <row r="23">
      <c r="A23" s="14" t="inlineStr">
        <is>
          <t>Cash &amp; investments</t>
        </is>
      </c>
      <c r="B23" s="57">
        <f>Main!C7</f>
        <v>292.818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229.1987305840462</v>
      </c>
    </row>
    <row r="26">
      <c r="A26" s="14" t="inlineStr">
        <is>
          <t>Shares (mm)</t>
        </is>
      </c>
      <c r="B26" s="57">
        <f>Main!C4</f>
        <v>64.526242</v>
      </c>
    </row>
    <row r="27">
      <c r="A27" s="24" t="inlineStr">
        <is>
          <t>rNPV / share</t>
        </is>
      </c>
      <c r="B27" s="60">
        <f>B25/B26</f>
        <v>3.5520235408106706</v>
      </c>
    </row>
    <row r="28">
      <c r="A28" s="14" t="inlineStr">
        <is>
          <t>Price</t>
        </is>
      </c>
      <c r="B28" s="61">
        <f>Main!C3</f>
        <v>26.61</v>
      </c>
    </row>
    <row r="29">
      <c r="A29" s="14" t="inlineStr">
        <is>
          <t>Upside</t>
        </is>
      </c>
      <c r="B29" s="62">
        <f>B27/B28-1</f>
        <v>-0.8665154625775772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2026-10-21T06:23:02Z</dcterms:modified>
  <cp:lastModifiedBy>Wang, Eric</cp:lastModifiedBy>
</cp:coreProperties>
</file>