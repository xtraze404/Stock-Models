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Immunic, Inc.</t>
        </is>
      </c>
      <c r="C2" s="10" t="n"/>
    </row>
    <row r="3">
      <c r="B3" t="inlineStr">
        <is>
          <t>Price</t>
        </is>
      </c>
      <c r="C3" s="11">
        <f>INDEX([1]Pharma!$F$1:$F$1000,MATCH("IMUX",[1]Pharma!$B$1:$B$1000,0))</f>
        <v>7.41</v>
      </c>
      <c r="F3" s="1" t="n"/>
    </row>
    <row r="4">
      <c r="B4" t="inlineStr">
        <is>
          <t>Shares</t>
        </is>
      </c>
      <c r="C4" s="21" t="n">
        <v>13.644467</v>
      </c>
      <c r="F4" s="1" t="n"/>
    </row>
    <row r="5">
      <c r="B5" t="inlineStr">
        <is>
          <t>Market Cap.</t>
        </is>
      </c>
      <c r="C5" s="13">
        <f>C3*C4</f>
        <v>101.10550047000001</v>
      </c>
      <c r="F5" s="1" t="n"/>
    </row>
    <row r="6"/>
    <row r="7">
      <c r="B7" t="inlineStr">
        <is>
          <t>Cash</t>
        </is>
      </c>
      <c r="C7" s="21" t="n">
        <v>155.098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-53.99249953</v>
      </c>
    </row>
    <row r="10"/>
    <row r="11">
      <c r="B11" s="14" t="inlineStr">
        <is>
          <t>Net Cash / Share</t>
        </is>
      </c>
      <c r="C11" s="11">
        <f>(C7-C8)/C4</f>
        <v>11.367098472956108</v>
      </c>
    </row>
    <row r="12">
      <c r="B12" s="14" t="inlineStr">
        <is>
          <t>Upside</t>
        </is>
      </c>
      <c r="C12" s="15">
        <f>IFERROR(C11/C3-1,"")</f>
        <v>0.5340213863638472</v>
      </c>
    </row>
    <row r="13">
      <c r="B13" s="14" t="inlineStr">
        <is>
          <t>Cash / Share</t>
        </is>
      </c>
      <c r="C13" s="11">
        <f>IFERROR((C7-C8)/C4,"")</f>
        <v>11.367098472956108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-87.72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1.7681030551755588</v>
      </c>
    </row>
    <row r="19">
      <c r="B19" s="14" t="inlineStr">
        <is>
          <t>Implied Pipeline Value</t>
        </is>
      </c>
      <c r="C19" s="13">
        <f>C9</f>
        <v>-53.99249953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2012</v>
      </c>
      <c r="C1" s="17" t="n">
        <v>2013</v>
      </c>
      <c r="D1" s="17" t="n">
        <v>2014</v>
      </c>
      <c r="E1" s="17" t="n">
        <v>2015</v>
      </c>
      <c r="F1" s="17" t="n">
        <v>2016</v>
      </c>
      <c r="G1" s="17" t="n">
        <v>2017</v>
      </c>
      <c r="H1" s="17" t="n">
        <v>2018</v>
      </c>
      <c r="I1" s="17" t="n">
        <v>2019</v>
      </c>
      <c r="J1" s="17" t="n">
        <v>2020</v>
      </c>
      <c r="K1" s="17" t="n">
        <v>2021</v>
      </c>
      <c r="L1" s="17" t="n">
        <v>2022</v>
      </c>
      <c r="M1" s="17" t="n">
        <v>2023</v>
      </c>
      <c r="N1" s="17" t="n">
        <v>2024</v>
      </c>
      <c r="O1" s="17" t="n">
        <v>2025</v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</row>
    <row r="5">
      <c r="A5" s="2" t="inlineStr">
        <is>
          <t>Research &amp; Dev.</t>
        </is>
      </c>
      <c r="B5" s="23" t="n">
        <v>5.097</v>
      </c>
      <c r="C5" s="23" t="n">
        <v>21.787</v>
      </c>
      <c r="D5" s="23" t="n">
        <v>39.479</v>
      </c>
      <c r="E5" s="23" t="n">
        <v>39.773</v>
      </c>
      <c r="F5" s="23" t="n">
        <v>30.046</v>
      </c>
      <c r="G5" s="23" t="n">
        <v>39.341</v>
      </c>
      <c r="H5" s="23" t="n">
        <v>9.595000000000001</v>
      </c>
      <c r="I5" s="23" t="n">
        <v>22.512</v>
      </c>
      <c r="J5" s="23" t="n">
        <v>38.637</v>
      </c>
      <c r="K5" s="23" t="n">
        <v>61.115</v>
      </c>
      <c r="L5" s="23" t="n">
        <v>71.255</v>
      </c>
      <c r="M5" s="23" t="n">
        <v>83.215</v>
      </c>
      <c r="N5" s="23" t="n">
        <v>80.04600000000001</v>
      </c>
      <c r="O5" s="23" t="n">
        <v>81.983</v>
      </c>
    </row>
    <row r="6">
      <c r="A6" s="19" t="inlineStr">
        <is>
          <t>SG&amp;A &amp; Other</t>
        </is>
      </c>
      <c r="B6" s="23" t="n">
        <v>4.483</v>
      </c>
      <c r="C6" s="23" t="n">
        <v>9.615</v>
      </c>
      <c r="D6" s="23" t="n">
        <v>10.863</v>
      </c>
      <c r="E6" s="23" t="n">
        <v>12.347</v>
      </c>
      <c r="F6" s="23" t="n">
        <v>11.22</v>
      </c>
      <c r="G6" s="23" t="n">
        <v>13.314</v>
      </c>
      <c r="H6" s="23" t="n">
        <v>2.402</v>
      </c>
      <c r="I6" s="23" t="n">
        <v>14.52</v>
      </c>
      <c r="J6" s="23" t="n">
        <v>10.334</v>
      </c>
      <c r="K6" s="23" t="n">
        <v>30.55</v>
      </c>
      <c r="L6" s="23" t="n">
        <v>48.233</v>
      </c>
      <c r="M6" s="23" t="n">
        <v>16.008</v>
      </c>
      <c r="N6" s="23" t="n">
        <v>18.006</v>
      </c>
      <c r="O6" s="23" t="n">
        <v>21.245</v>
      </c>
    </row>
    <row r="7">
      <c r="A7" s="2" t="inlineStr">
        <is>
          <t>Operating Expense</t>
        </is>
      </c>
      <c r="B7" s="23">
        <f>SUM(B5:B6)</f>
        <v>9.58</v>
      </c>
      <c r="C7" s="23">
        <f>SUM(C5:C6)</f>
        <v>31.402</v>
      </c>
      <c r="D7" s="23">
        <f>SUM(D5:D6)</f>
        <v>50.342</v>
      </c>
      <c r="E7" s="23">
        <f>SUM(E5:E6)</f>
        <v>52.120000000000005</v>
      </c>
      <c r="F7" s="23">
        <f>SUM(F5:F6)</f>
        <v>41.266</v>
      </c>
      <c r="G7" s="23">
        <f>SUM(G5:G6)</f>
        <v>52.655</v>
      </c>
      <c r="H7" s="23">
        <f>SUM(H5:H6)</f>
        <v>11.997</v>
      </c>
      <c r="I7" s="23">
        <f>SUM(I5:I6)</f>
        <v>37.032</v>
      </c>
      <c r="J7" s="23">
        <f>SUM(J5:J6)</f>
        <v>48.971000000000004</v>
      </c>
      <c r="K7" s="23">
        <f>SUM(K5:K6)</f>
        <v>91.665</v>
      </c>
      <c r="L7" s="23">
        <f>SUM(L5:L6)</f>
        <v>119.488</v>
      </c>
      <c r="M7" s="23">
        <f>SUM(M5:M6)</f>
        <v>99.223</v>
      </c>
      <c r="N7" s="23">
        <f>SUM(N5:N6)</f>
        <v>98.052</v>
      </c>
      <c r="O7" s="23">
        <f>SUM(O5:O6)</f>
        <v>103.22800000000001</v>
      </c>
    </row>
    <row r="8">
      <c r="A8" s="2" t="inlineStr">
        <is>
          <t>Operating Income</t>
        </is>
      </c>
      <c r="B8" s="23">
        <f>B4-B7</f>
        <v>-9.58</v>
      </c>
      <c r="C8" s="23">
        <f>C4-C7</f>
        <v>-31.402</v>
      </c>
      <c r="D8" s="23">
        <f>D4-D7</f>
        <v>-50.342</v>
      </c>
      <c r="E8" s="23">
        <f>E4-E7</f>
        <v>-52.120000000000005</v>
      </c>
      <c r="F8" s="23">
        <f>F4-F7</f>
        <v>-41.266</v>
      </c>
      <c r="G8" s="23">
        <f>G4-G7</f>
        <v>-52.655</v>
      </c>
      <c r="H8" s="23">
        <f>H4-H7</f>
        <v>-11.997</v>
      </c>
      <c r="I8" s="23">
        <f>I4-I7</f>
        <v>-37.032</v>
      </c>
      <c r="J8" s="23">
        <f>J4-J7</f>
        <v>-48.971000000000004</v>
      </c>
      <c r="K8" s="23">
        <f>K4-K7</f>
        <v>-91.665</v>
      </c>
      <c r="L8" s="23">
        <f>L4-L7</f>
        <v>-119.488</v>
      </c>
      <c r="M8" s="23">
        <f>M4-M7</f>
        <v>-99.223</v>
      </c>
      <c r="N8" s="23">
        <f>N4-N7</f>
        <v>-98.052</v>
      </c>
      <c r="O8" s="23">
        <f>O4-O7</f>
        <v>-103.22800000000001</v>
      </c>
    </row>
    <row r="9">
      <c r="A9" s="19" t="inlineStr">
        <is>
          <t>Interest &amp; Other</t>
        </is>
      </c>
      <c r="B9" s="23" t="n">
        <v>2.879</v>
      </c>
      <c r="C9" s="23" t="n">
        <v>-1.316</v>
      </c>
      <c r="D9" s="23" t="n">
        <v>2.675</v>
      </c>
      <c r="E9" s="23" t="n">
        <v>0.097</v>
      </c>
      <c r="F9" s="23" t="n">
        <v>0.297</v>
      </c>
      <c r="G9" s="23" t="n">
        <v>0.577</v>
      </c>
      <c r="H9" s="23" t="n">
        <v>0.455</v>
      </c>
      <c r="I9" s="23" t="n">
        <v>2.099</v>
      </c>
      <c r="J9" s="23" t="n">
        <v>4.954</v>
      </c>
      <c r="K9" s="23" t="n">
        <v>-1.28</v>
      </c>
      <c r="L9" s="23" t="n">
        <v>-0.919</v>
      </c>
      <c r="M9" s="23" t="n">
        <v>5.611</v>
      </c>
      <c r="N9" s="23" t="n">
        <v>-2.455</v>
      </c>
      <c r="O9" s="23" t="n">
        <v>6.056</v>
      </c>
    </row>
    <row r="10">
      <c r="A10" s="2" t="inlineStr">
        <is>
          <t>Pretax</t>
        </is>
      </c>
      <c r="B10" s="23">
        <f>B8+B9</f>
        <v>-6.7010000000000005</v>
      </c>
      <c r="C10" s="23">
        <f>C8+C9</f>
        <v>-32.718</v>
      </c>
      <c r="D10" s="23">
        <f>D8+D9</f>
        <v>-47.667</v>
      </c>
      <c r="E10" s="23">
        <f>E8+E9</f>
        <v>-52.023</v>
      </c>
      <c r="F10" s="23">
        <f>F8+F9</f>
        <v>-40.969</v>
      </c>
      <c r="G10" s="23">
        <f>G8+G9</f>
        <v>-52.078</v>
      </c>
      <c r="H10" s="23">
        <f>H8+H9</f>
        <v>-11.542</v>
      </c>
      <c r="I10" s="23">
        <f>I8+I9</f>
        <v>-34.93299999999999</v>
      </c>
      <c r="J10" s="23">
        <f>J8+J9</f>
        <v>-44.017</v>
      </c>
      <c r="K10" s="23">
        <f>K8+K9</f>
        <v>-92.94500000000001</v>
      </c>
      <c r="L10" s="23">
        <f>L8+L9</f>
        <v>-120.407</v>
      </c>
      <c r="M10" s="23">
        <f>M8+M9</f>
        <v>-93.612</v>
      </c>
      <c r="N10" s="23">
        <f>N8+N9</f>
        <v>-100.507</v>
      </c>
      <c r="O10" s="23">
        <f>O8+O9</f>
        <v>-97.17200000000001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</row>
    <row r="12">
      <c r="A12" s="2" t="inlineStr">
        <is>
          <t>Net Income</t>
        </is>
      </c>
      <c r="B12" s="23" t="n">
        <v>-6.701</v>
      </c>
      <c r="C12" s="23" t="n">
        <v>-32.718</v>
      </c>
      <c r="D12" s="23" t="n">
        <v>-47.667</v>
      </c>
      <c r="E12" s="23" t="n">
        <v>-52.023</v>
      </c>
      <c r="F12" s="23" t="n">
        <v>-40.969</v>
      </c>
      <c r="G12" s="23" t="n">
        <v>-52.078</v>
      </c>
      <c r="H12" s="23" t="n">
        <v>-11.542</v>
      </c>
      <c r="I12" s="23" t="n">
        <v>-34.933</v>
      </c>
      <c r="J12" s="23" t="n">
        <v>-44.017</v>
      </c>
      <c r="K12" s="23" t="n">
        <v>-92.94499999999999</v>
      </c>
      <c r="L12" s="23" t="n">
        <v>-120.407</v>
      </c>
      <c r="M12" s="23" t="n">
        <v>-93.61199999999999</v>
      </c>
      <c r="N12" s="23" t="n">
        <v>-100.507</v>
      </c>
      <c r="O12" s="23" t="n">
        <v>-97.172</v>
      </c>
    </row>
    <row r="13">
      <c r="A13" s="2" t="inlineStr">
        <is>
          <t>Earnings per Share</t>
        </is>
      </c>
      <c r="B13" s="11">
        <f>IFERROR(B12/B14,0)</f>
        <v>-1.321435614277263</v>
      </c>
      <c r="C13" s="11">
        <f>IFERROR(C12/C14,0)</f>
        <v>-5.277948056138087</v>
      </c>
      <c r="D13" s="11">
        <f>IFERROR(D12/D14,0)</f>
        <v>-7.751992193852659</v>
      </c>
      <c r="E13" s="11">
        <f>IFERROR(E12/E14,0)</f>
        <v>-5.400498287137964</v>
      </c>
      <c r="F13" s="11">
        <f>IFERROR(F12/F14,0)</f>
        <v>-3.40811912486482</v>
      </c>
      <c r="G13" s="11">
        <f>IFERROR(G12/G14,0)</f>
        <v>-3.411595152309204</v>
      </c>
      <c r="H13" s="11">
        <f>IFERROR(H12/H14,0)</f>
        <v>-0.75710068875041</v>
      </c>
      <c r="I13" s="11">
        <f>IFERROR(I12/I14,0)</f>
        <v>-2.2617675623179023</v>
      </c>
      <c r="J13" s="11">
        <f>IFERROR(J12/J14,0)</f>
        <v>-2.810074055158325</v>
      </c>
      <c r="K13" s="11">
        <f>IFERROR(K12/K14,0)</f>
        <v>-3.929522682112206</v>
      </c>
      <c r="L13" s="11">
        <f>IFERROR(L12/L14,0)</f>
        <v>-3.784122693987869</v>
      </c>
      <c r="M13" s="11">
        <f>IFERROR(M12/M14,0)</f>
        <v>-2.1121841155234655</v>
      </c>
      <c r="N13" s="11">
        <f>IFERROR(N12/N14,0)</f>
        <v>-1.003314200149738</v>
      </c>
      <c r="O13" s="11">
        <f>IFERROR(O12/O14,0)</f>
        <v>-0.6241457273521402</v>
      </c>
    </row>
    <row r="14">
      <c r="A14" s="2" t="inlineStr">
        <is>
          <t>Shares</t>
        </is>
      </c>
      <c r="B14" s="23" t="n">
        <v>5.071</v>
      </c>
      <c r="C14" s="23" t="n">
        <v>6.199</v>
      </c>
      <c r="D14" s="23" t="n">
        <v>6.149</v>
      </c>
      <c r="E14" s="23" t="n">
        <v>9.632999999999999</v>
      </c>
      <c r="F14" s="23" t="n">
        <v>12.021</v>
      </c>
      <c r="G14" s="23" t="n">
        <v>15.265</v>
      </c>
      <c r="H14" s="23" t="n">
        <v>15.245</v>
      </c>
      <c r="I14" s="23" t="n">
        <v>15.445</v>
      </c>
      <c r="J14" s="23" t="n">
        <v>15.664</v>
      </c>
      <c r="K14" s="23" t="n">
        <v>23.653</v>
      </c>
      <c r="L14" s="23" t="n">
        <v>31.819</v>
      </c>
      <c r="M14" s="23" t="n">
        <v>44.32</v>
      </c>
      <c r="N14" s="23" t="n">
        <v>100.175</v>
      </c>
      <c r="O14" s="23" t="n">
        <v>155.688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2026-10-21T01:05:58Z</dcterms:modified>
  <cp:lastModifiedBy>Wang, Eric</cp:lastModifiedBy>
</cp:coreProperties>
</file>