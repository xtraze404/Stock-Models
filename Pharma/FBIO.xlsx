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Fortress Biotech Inc</t>
        </is>
      </c>
      <c r="C2" s="10" t="n"/>
    </row>
    <row r="3">
      <c r="B3" t="inlineStr">
        <is>
          <t>Price</t>
        </is>
      </c>
      <c r="C3" s="11">
        <f>INDEX([1]Pharma!$F$1:$F$1000,MATCH("FBIO",[1]Pharma!$B$1:$B$1000,0))</f>
        <v>1.94</v>
      </c>
      <c r="F3" s="1" t="n"/>
    </row>
    <row r="4">
      <c r="B4" t="inlineStr">
        <is>
          <t>Shares</t>
        </is>
      </c>
      <c r="C4" s="51" t="n">
        <v>33.311012</v>
      </c>
      <c r="F4" s="1" t="n"/>
    </row>
    <row r="5">
      <c r="B5" t="inlineStr">
        <is>
          <t>Market Cap.</t>
        </is>
      </c>
      <c r="C5" s="13">
        <f>C3*C4</f>
        <v>64.62336327999999</v>
      </c>
      <c r="F5" s="1" t="n"/>
    </row>
    <row r="6"/>
    <row r="7">
      <c r="B7" t="inlineStr">
        <is>
          <t>Cash</t>
        </is>
      </c>
      <c r="C7" s="51" t="n">
        <v>196.576</v>
      </c>
    </row>
    <row r="8">
      <c r="B8" t="inlineStr">
        <is>
          <t>Debt</t>
        </is>
      </c>
      <c r="C8" s="51">
        <f>5+34.602</f>
        <v>39.602</v>
      </c>
    </row>
    <row r="9">
      <c r="B9" t="inlineStr">
        <is>
          <t>Enterprise V.</t>
        </is>
      </c>
      <c r="C9" s="13">
        <f>C5-C7+C8</f>
        <v>-92.35063671999998</v>
      </c>
    </row>
    <row r="10"/>
    <row r="11">
      <c r="B11" s="14" t="inlineStr">
        <is>
          <t>NPV / Share</t>
        </is>
      </c>
      <c r="C11" s="11">
        <f>NPV!B28</f>
        <v>4.720213908026392</v>
      </c>
    </row>
    <row r="12">
      <c r="B12" s="14" t="inlineStr">
        <is>
          <t>Upside</t>
        </is>
      </c>
      <c r="C12" s="15">
        <f>IFERROR(C11/C3-1,"")</f>
        <v>1.4330999525909238</v>
      </c>
    </row>
    <row r="13">
      <c r="B13" s="14" t="inlineStr">
        <is>
          <t>Cash / Share</t>
        </is>
      </c>
      <c r="C13" s="11">
        <f>IFERROR((C7-C8)/C4,"")</f>
        <v>4.712375595193565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2007</v>
      </c>
      <c r="C1" s="16" t="n">
        <v>2008</v>
      </c>
      <c r="D1" s="16" t="n">
        <v>2009</v>
      </c>
      <c r="E1" s="16" t="n">
        <v>2010</v>
      </c>
      <c r="F1" s="16" t="n">
        <v>2011</v>
      </c>
      <c r="G1" s="16" t="n">
        <v>2012</v>
      </c>
      <c r="H1" s="16" t="n">
        <v>2013</v>
      </c>
      <c r="I1" s="16" t="n">
        <v>2014</v>
      </c>
      <c r="J1" s="16" t="n">
        <v>2015</v>
      </c>
      <c r="K1" s="16" t="n">
        <v>2016</v>
      </c>
      <c r="L1" s="16" t="n">
        <v>2017</v>
      </c>
      <c r="M1" s="16" t="n">
        <v>2018</v>
      </c>
      <c r="N1" s="16" t="n">
        <v>2019</v>
      </c>
      <c r="O1" s="16" t="n">
        <v>2020</v>
      </c>
      <c r="P1" s="16" t="n">
        <v>2021</v>
      </c>
      <c r="Q1" s="16" t="n">
        <v>2022</v>
      </c>
      <c r="R1" s="16" t="n">
        <v>2023</v>
      </c>
      <c r="S1" s="16" t="n">
        <v>2024</v>
      </c>
      <c r="T1" s="16" t="n">
        <v>2025</v>
      </c>
      <c r="U1" s="16" t="n">
        <v>2026</v>
      </c>
      <c r="V1" s="16" t="n">
        <v>2027</v>
      </c>
      <c r="W1" s="16" t="n">
        <v>2028</v>
      </c>
      <c r="X1" s="16" t="n">
        <v>2029</v>
      </c>
      <c r="Y1" s="16" t="n">
        <v>2030</v>
      </c>
      <c r="Z1" s="16" t="n">
        <v>2031</v>
      </c>
      <c r="AA1" s="16" t="n">
        <v>2032</v>
      </c>
      <c r="AB1" s="16" t="n">
        <v>2033</v>
      </c>
      <c r="AC1" s="16" t="n">
        <v>2034</v>
      </c>
      <c r="AD1" s="16" t="n">
        <v>2035</v>
      </c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0</v>
      </c>
      <c r="C2" s="52" t="n">
        <v>0</v>
      </c>
      <c r="D2" s="52" t="n">
        <v>0</v>
      </c>
      <c r="E2" s="52" t="n">
        <v>0</v>
      </c>
      <c r="F2" s="52" t="n">
        <v>0</v>
      </c>
      <c r="G2" s="52" t="n">
        <v>0</v>
      </c>
      <c r="H2" s="52" t="n">
        <v>0</v>
      </c>
      <c r="I2" s="52" t="n">
        <v>0</v>
      </c>
      <c r="J2" s="52" t="n">
        <v>0.863</v>
      </c>
      <c r="K2" s="52" t="n">
        <v>16.48</v>
      </c>
      <c r="L2" s="52" t="n">
        <v>187.584</v>
      </c>
      <c r="M2" s="52" t="n">
        <v>26.882</v>
      </c>
      <c r="N2" s="52" t="n">
        <v>36.629</v>
      </c>
      <c r="O2" s="52" t="n">
        <v>45.599</v>
      </c>
      <c r="P2" s="52" t="n">
        <v>68.791</v>
      </c>
      <c r="Q2" s="52" t="n">
        <v>75.74299999999999</v>
      </c>
      <c r="R2" s="52" t="n">
        <v>84.51300000000001</v>
      </c>
      <c r="S2" s="52" t="n">
        <v>57.675</v>
      </c>
      <c r="T2" s="52" t="n">
        <v>63.262</v>
      </c>
      <c r="U2" s="52">
        <f>T2*(1+NPV!C5)</f>
        <v>69.3920878</v>
      </c>
      <c r="V2" s="52">
        <f>U2*(1+NPV!D5)</f>
        <v>75.56181542861778</v>
      </c>
      <c r="W2" s="52">
        <f>V2*(1+NPV!E5)</f>
        <v>81.67644544824692</v>
      </c>
      <c r="X2" s="52">
        <f>W2*(1+NPV!F5)</f>
        <v>87.63338086960573</v>
      </c>
      <c r="Y2" s="52">
        <f>X2*(1+NPV!G5)</f>
        <v>93.32468210497068</v>
      </c>
      <c r="Z2" s="52">
        <f>Y2*(1+NPV!H5)</f>
        <v>98.6400412213049</v>
      </c>
      <c r="AA2" s="52">
        <f>Z2*(1+NPV!I5)</f>
        <v>103.47011523977478</v>
      </c>
      <c r="AB2" s="52">
        <f>AA2*(1+NPV!J5)</f>
        <v>107.71009062871133</v>
      </c>
      <c r="AC2" s="52">
        <f>AB2*(1+NPV!K5)</f>
        <v>111.26332684067404</v>
      </c>
      <c r="AD2" s="52">
        <f>AC2*(1+NPV!L5)</f>
        <v>114.04491001169089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0</v>
      </c>
      <c r="G3" s="52" t="n">
        <v>0</v>
      </c>
      <c r="H3" s="52" t="n">
        <v>0</v>
      </c>
      <c r="I3" s="52" t="n">
        <v>0</v>
      </c>
      <c r="J3" s="52" t="n">
        <v>0</v>
      </c>
      <c r="K3" s="52" t="n">
        <v>0.79</v>
      </c>
      <c r="L3" s="52" t="n">
        <v>3.658</v>
      </c>
      <c r="M3" s="52" t="n">
        <v>6.125</v>
      </c>
      <c r="N3" s="52" t="n">
        <v>10.532</v>
      </c>
      <c r="O3" s="52" t="n">
        <v>14.594</v>
      </c>
      <c r="P3" s="52" t="n">
        <v>32.084</v>
      </c>
      <c r="Q3" s="52" t="n">
        <v>30.775</v>
      </c>
      <c r="R3" s="52" t="n">
        <v>22.893</v>
      </c>
      <c r="S3" s="52" t="n">
        <v>20.879</v>
      </c>
      <c r="T3" s="52" t="n">
        <v>20.924</v>
      </c>
      <c r="U3" s="52">
        <f>U2*(1-Assumptions!$B$19)</f>
        <v>22.954902644239997</v>
      </c>
      <c r="V3" s="52">
        <f>V2*(1-Assumptions!$B$19)</f>
        <v>24.99584854378676</v>
      </c>
      <c r="W3" s="52">
        <f>W2*(1-Assumptions!$B$19)</f>
        <v>27.018568154280082</v>
      </c>
      <c r="X3" s="52">
        <f>X2*(1-Assumptions!$B$19)</f>
        <v>28.989122391665575</v>
      </c>
      <c r="Y3" s="52">
        <f>Y2*(1-Assumptions!$B$19)</f>
        <v>30.871804840324298</v>
      </c>
      <c r="Z3" s="52">
        <f>Z2*(1-Assumptions!$B$19)</f>
        <v>32.63012563600766</v>
      </c>
      <c r="AA3" s="52">
        <f>AA2*(1-Assumptions!$B$19)</f>
        <v>34.2279141213175</v>
      </c>
      <c r="AB3" s="52">
        <f>AB2*(1-Assumptions!$B$19)</f>
        <v>35.630497979977704</v>
      </c>
      <c r="AC3" s="52">
        <f>AC2*(1-Assumptions!$B$19)</f>
        <v>36.805908518894974</v>
      </c>
      <c r="AD3" s="52">
        <f>AD2*(1-Assumptions!$B$19)</f>
        <v>37.72605623186735</v>
      </c>
    </row>
    <row r="4" customFormat="1" s="1">
      <c r="A4" s="5" t="inlineStr">
        <is>
          <t>Gross Margin</t>
        </is>
      </c>
      <c r="B4" s="52">
        <f>B2-B3</f>
        <v>0.0</v>
      </c>
      <c r="C4" s="52">
        <f>C2-C3</f>
        <v>0.0</v>
      </c>
      <c r="D4" s="52">
        <f>D2-D3</f>
        <v>0.0</v>
      </c>
      <c r="E4" s="52">
        <f>E2-E3</f>
        <v>0.0</v>
      </c>
      <c r="F4" s="52">
        <f>F2-F3</f>
        <v>0.0</v>
      </c>
      <c r="G4" s="52">
        <f>G2-G3</f>
        <v>0.0</v>
      </c>
      <c r="H4" s="52">
        <f>H2-H3</f>
        <v>0.0</v>
      </c>
      <c r="I4" s="52">
        <f>I2-I3</f>
        <v>0.0</v>
      </c>
      <c r="J4" s="52">
        <f>J2-J3</f>
        <v>0.863</v>
      </c>
      <c r="K4" s="52">
        <f>K2-K3</f>
        <v>15.690000000000001</v>
      </c>
      <c r="L4" s="52">
        <f>L2-L3</f>
        <v>183.92600000000002</v>
      </c>
      <c r="M4" s="52">
        <f>M2-M3</f>
        <v>20.757</v>
      </c>
      <c r="N4" s="52">
        <f>N2-N3</f>
        <v>26.096999999999998</v>
      </c>
      <c r="O4" s="52">
        <f>O2-O3</f>
        <v>31.004999999999995</v>
      </c>
      <c r="P4" s="52">
        <f>P2-P3</f>
        <v>36.706999999999994</v>
      </c>
      <c r="Q4" s="52">
        <f>Q2-Q3</f>
        <v>44.967999999999996</v>
      </c>
      <c r="R4" s="52">
        <f>R2-R3</f>
        <v>61.620000000000005</v>
      </c>
      <c r="S4" s="52">
        <f>S2-S3</f>
        <v>36.79599999999999</v>
      </c>
      <c r="T4" s="52">
        <f>T2-T3</f>
        <v>42.338</v>
      </c>
      <c r="U4" s="52">
        <f>U2-U3</f>
        <v>46.437185155760005</v>
      </c>
      <c r="V4" s="52">
        <f>V2-V3</f>
        <v>50.56596688483101</v>
      </c>
      <c r="W4" s="52">
        <f>W2-W3</f>
        <v>54.65787729396684</v>
      </c>
      <c r="X4" s="52">
        <f>X2-X3</f>
        <v>58.644258477940156</v>
      </c>
      <c r="Y4" s="52">
        <f>Y2-Y3</f>
        <v>62.452877264646375</v>
      </c>
      <c r="Z4" s="52">
        <f>Z2-Z3</f>
        <v>66.00991558529724</v>
      </c>
      <c r="AA4" s="52">
        <f>AA2-AA3</f>
        <v>69.24220111845729</v>
      </c>
      <c r="AB4" s="52">
        <f>AB2-AB3</f>
        <v>72.07959264873362</v>
      </c>
      <c r="AC4" s="52">
        <f>AC2-AC3</f>
        <v>74.45741832177907</v>
      </c>
      <c r="AD4" s="52">
        <f>AD2-AD3</f>
        <v>76.31885377982354</v>
      </c>
    </row>
    <row r="5">
      <c r="A5" s="2" t="inlineStr">
        <is>
          <t>Research &amp; Dev.</t>
        </is>
      </c>
      <c r="B5" s="52" t="n">
        <v>0</v>
      </c>
      <c r="C5" s="52" t="n">
        <v>0</v>
      </c>
      <c r="D5" s="52" t="n">
        <v>2.27</v>
      </c>
      <c r="E5" s="52" t="n">
        <v>8.340999999999999</v>
      </c>
      <c r="F5" s="52" t="n">
        <v>8.583</v>
      </c>
      <c r="G5" s="52" t="n">
        <v>17.468</v>
      </c>
      <c r="H5" s="52" t="n">
        <v>25.682</v>
      </c>
      <c r="I5" s="52" t="n">
        <v>10.239</v>
      </c>
      <c r="J5" s="52" t="n">
        <v>29.81</v>
      </c>
      <c r="K5" s="52" t="n">
        <v>35.134</v>
      </c>
      <c r="L5" s="52" t="n">
        <v>48.322</v>
      </c>
      <c r="M5" s="52" t="n">
        <v>87.383</v>
      </c>
      <c r="N5" s="52" t="n">
        <v>81.32599999999999</v>
      </c>
      <c r="O5" s="52" t="n">
        <v>64.10899999999999</v>
      </c>
      <c r="P5" s="52" t="n">
        <v>128.865</v>
      </c>
      <c r="Q5" s="52" t="n">
        <v>134.876</v>
      </c>
      <c r="R5" s="52" t="n">
        <v>106.071</v>
      </c>
      <c r="S5" s="52" t="n">
        <v>56.629</v>
      </c>
      <c r="T5" s="52" t="n">
        <v>11.901</v>
      </c>
      <c r="U5" s="52">
        <f>U7*Assumptions!$B$20</f>
        <v>7.5745164513742385</v>
      </c>
      <c r="V5" s="52">
        <f>V7*Assumptions!$B$20</f>
        <v>7.7479163247920155</v>
      </c>
      <c r="W5" s="52">
        <f>W7*Assumptions!$B$20</f>
        <v>7.834370261612311</v>
      </c>
      <c r="X5" s="52">
        <f>X7*Assumptions!$B$20</f>
        <v>7.825810063670032</v>
      </c>
      <c r="Y5" s="52">
        <f>Y7*Assumptions!$B$20</f>
        <v>7.716441683348028</v>
      </c>
      <c r="Z5" s="52">
        <f>Z7*Assumptions!$B$20</f>
        <v>7.503148246257634</v>
      </c>
      <c r="AA5" s="52">
        <f>AA7*Assumptions!$B$20</f>
        <v>7.185799909550061</v>
      </c>
      <c r="AB5" s="52">
        <f>AB7*Assumptions!$B$20</f>
        <v>6.7674458899595145</v>
      </c>
      <c r="AC5" s="52">
        <f>AC7*Assumptions!$B$20</f>
        <v>6.254369398842577</v>
      </c>
      <c r="AD5" s="52">
        <f>AD7*Assumptions!$B$20</f>
        <v>5.655993446880203</v>
      </c>
    </row>
    <row r="6">
      <c r="A6" s="18" t="inlineStr">
        <is>
          <t>SG&amp;A &amp; Other</t>
        </is>
      </c>
      <c r="B6" s="52" t="n">
        <v>2.644</v>
      </c>
      <c r="C6" s="52" t="n">
        <v>3.799</v>
      </c>
      <c r="D6" s="52" t="n">
        <v>0.343</v>
      </c>
      <c r="E6" s="52" t="n">
        <v>0.9</v>
      </c>
      <c r="F6" s="52" t="n">
        <v>26.461</v>
      </c>
      <c r="G6" s="52" t="n">
        <v>9.708</v>
      </c>
      <c r="H6" s="52" t="n">
        <v>10.098</v>
      </c>
      <c r="I6" s="52" t="n">
        <v>10.413</v>
      </c>
      <c r="J6" s="52" t="n">
        <v>21.584</v>
      </c>
      <c r="K6" s="52" t="n">
        <v>46.266</v>
      </c>
      <c r="L6" s="52" t="n">
        <v>225.4</v>
      </c>
      <c r="M6" s="52" t="n">
        <v>53.371</v>
      </c>
      <c r="N6" s="52" t="n">
        <v>55.59</v>
      </c>
      <c r="O6" s="52" t="n">
        <v>61.166</v>
      </c>
      <c r="P6" s="52" t="n">
        <v>96.383</v>
      </c>
      <c r="Q6" s="52" t="n">
        <v>113.656</v>
      </c>
      <c r="R6" s="52" t="n">
        <v>97.89100000000001</v>
      </c>
      <c r="S6" s="52" t="n">
        <v>90.54600000000001</v>
      </c>
      <c r="T6" s="52" t="n">
        <v>100.658</v>
      </c>
      <c r="U6" s="52">
        <f>U7-U5</f>
        <v>64.08599869880777</v>
      </c>
      <c r="V6" s="52">
        <f>V7-V5</f>
        <v>65.55308958620151</v>
      </c>
      <c r="W6" s="52">
        <f>W7-W5</f>
        <v>66.28455368930832</v>
      </c>
      <c r="X6" s="52">
        <f>X7-X5</f>
        <v>66.21212809782506</v>
      </c>
      <c r="Y6" s="52">
        <f>Y7-Y5</f>
        <v>65.28679089326529</v>
      </c>
      <c r="Z6" s="52">
        <f>Z7-Z5</f>
        <v>63.48217101824221</v>
      </c>
      <c r="AA6" s="52">
        <f>AA7-AA5</f>
        <v>60.79716990643916</v>
      </c>
      <c r="AB6" s="52">
        <f>AB7-AB5</f>
        <v>57.25758618155906</v>
      </c>
      <c r="AC6" s="52">
        <f>AC7-AC5</f>
        <v>52.91658044829628</v>
      </c>
      <c r="AD6" s="52">
        <f>AD7-AD5</f>
        <v>47.853878330605156</v>
      </c>
    </row>
    <row r="7">
      <c r="A7" s="2" t="inlineStr">
        <is>
          <t>Operating Expense</t>
        </is>
      </c>
      <c r="B7" s="52">
        <f>SUM(B5:B6)</f>
        <v>2.644</v>
      </c>
      <c r="C7" s="52">
        <f>SUM(C5:C6)</f>
        <v>3.799</v>
      </c>
      <c r="D7" s="52">
        <f>SUM(D5:D6)</f>
        <v>2.613</v>
      </c>
      <c r="E7" s="52">
        <f>SUM(E5:E6)</f>
        <v>9.241</v>
      </c>
      <c r="F7" s="52">
        <f>SUM(F5:F6)</f>
        <v>35.044</v>
      </c>
      <c r="G7" s="52">
        <f>SUM(G5:G6)</f>
        <v>27.176000000000002</v>
      </c>
      <c r="H7" s="52">
        <f>SUM(H5:H6)</f>
        <v>35.78</v>
      </c>
      <c r="I7" s="52">
        <f>SUM(I5:I6)</f>
        <v>20.652</v>
      </c>
      <c r="J7" s="52">
        <f>SUM(J5:J6)</f>
        <v>51.394</v>
      </c>
      <c r="K7" s="52">
        <f>SUM(K5:K6)</f>
        <v>81.4</v>
      </c>
      <c r="L7" s="52">
        <f>SUM(L5:L6)</f>
        <v>273.722</v>
      </c>
      <c r="M7" s="52">
        <f>SUM(M5:M6)</f>
        <v>140.754</v>
      </c>
      <c r="N7" s="52">
        <f>SUM(N5:N6)</f>
        <v>136.916</v>
      </c>
      <c r="O7" s="52">
        <f>SUM(O5:O6)</f>
        <v>125.27499999999999</v>
      </c>
      <c r="P7" s="52">
        <f>SUM(P5:P6)</f>
        <v>225.248</v>
      </c>
      <c r="Q7" s="52">
        <f>SUM(Q5:Q6)</f>
        <v>248.532</v>
      </c>
      <c r="R7" s="52">
        <f>SUM(R5:R6)</f>
        <v>203.962</v>
      </c>
      <c r="S7" s="52">
        <f>SUM(S5:S6)</f>
        <v>147.175</v>
      </c>
      <c r="T7" s="52">
        <f>SUM(T5:T6)</f>
        <v>112.559</v>
      </c>
      <c r="U7" s="52">
        <f>U4-U2*NPV!C6</f>
        <v>71.66051515018201</v>
      </c>
      <c r="V7" s="52">
        <f>V4-V2*NPV!D6</f>
        <v>73.30100591099352</v>
      </c>
      <c r="W7" s="52">
        <f>W4-W2*NPV!E6</f>
        <v>74.11892395092063</v>
      </c>
      <c r="X7" s="52">
        <f>X4-X2*NPV!F6</f>
        <v>74.03793816149509</v>
      </c>
      <c r="Y7" s="52">
        <f>Y4-Y2*NPV!G6</f>
        <v>73.00323257661331</v>
      </c>
      <c r="Z7" s="52">
        <f>Z4-Z2*NPV!H6</f>
        <v>70.98531926449985</v>
      </c>
      <c r="AA7" s="52">
        <f>AA4-AA2*NPV!I6</f>
        <v>67.98296981598922</v>
      </c>
      <c r="AB7" s="52">
        <f>AB4-AB2*NPV!J6</f>
        <v>64.02503207151858</v>
      </c>
      <c r="AC7" s="52">
        <f>AC4-AC2*NPV!K6</f>
        <v>59.17094984713886</v>
      </c>
      <c r="AD7" s="52">
        <f>AD4-AD2*NPV!L6</f>
        <v>53.50987177748536</v>
      </c>
    </row>
    <row r="8">
      <c r="A8" s="2" t="inlineStr">
        <is>
          <t>Operating Income</t>
        </is>
      </c>
      <c r="B8" s="52">
        <f>B4-B7</f>
        <v>-2.644</v>
      </c>
      <c r="C8" s="52">
        <f>C4-C7</f>
        <v>-3.799</v>
      </c>
      <c r="D8" s="52">
        <f>D4-D7</f>
        <v>-2.613</v>
      </c>
      <c r="E8" s="52">
        <f>E4-E7</f>
        <v>-9.241</v>
      </c>
      <c r="F8" s="52">
        <f>F4-F7</f>
        <v>-35.044</v>
      </c>
      <c r="G8" s="52">
        <f>G4-G7</f>
        <v>-27.176000000000002</v>
      </c>
      <c r="H8" s="52">
        <f>H4-H7</f>
        <v>-35.78</v>
      </c>
      <c r="I8" s="52">
        <f>I4-I7</f>
        <v>-20.652</v>
      </c>
      <c r="J8" s="52">
        <f>J4-J7</f>
        <v>-50.531</v>
      </c>
      <c r="K8" s="52">
        <f>K4-K7</f>
        <v>-65.71000000000001</v>
      </c>
      <c r="L8" s="52">
        <f>L4-L7</f>
        <v>-89.79599999999996</v>
      </c>
      <c r="M8" s="52">
        <f>M4-M7</f>
        <v>-119.99699999999999</v>
      </c>
      <c r="N8" s="52">
        <f>N4-N7</f>
        <v>-110.819</v>
      </c>
      <c r="O8" s="52">
        <f>O4-O7</f>
        <v>-94.27</v>
      </c>
      <c r="P8" s="52">
        <f>P4-P7</f>
        <v>-188.541</v>
      </c>
      <c r="Q8" s="52">
        <f>Q4-Q7</f>
        <v>-203.56400000000002</v>
      </c>
      <c r="R8" s="52">
        <f>R4-R7</f>
        <v>-142.34199999999998</v>
      </c>
      <c r="S8" s="52">
        <f>S4-S7</f>
        <v>-110.37900000000002</v>
      </c>
      <c r="T8" s="52">
        <f>T4-T7</f>
        <v>-70.221</v>
      </c>
      <c r="U8" s="52">
        <f>U4-U7</f>
        <v>-25.223329994422002</v>
      </c>
      <c r="V8" s="52">
        <f>V4-V7</f>
        <v>-22.73503902616251</v>
      </c>
      <c r="W8" s="52">
        <f>W4-W7</f>
        <v>-19.46104665695379</v>
      </c>
      <c r="X8" s="52">
        <f>X4-X7</f>
        <v>-15.393679683554936</v>
      </c>
      <c r="Y8" s="52">
        <f>Y4-Y7</f>
        <v>-10.550355311966939</v>
      </c>
      <c r="Z8" s="52">
        <f>Z4-Z7</f>
        <v>-4.975403679202614</v>
      </c>
      <c r="AA8" s="52">
        <f>AA4-AA7</f>
        <v>1.2592313024680664</v>
      </c>
      <c r="AB8" s="52">
        <f>AB4-AB7</f>
        <v>8.054560577215042</v>
      </c>
      <c r="AC8" s="52">
        <f>AC4-AC7</f>
        <v>15.286468474640216</v>
      </c>
      <c r="AD8" s="52">
        <f>AD4-AD7</f>
        <v>22.808982002338183</v>
      </c>
    </row>
    <row r="9">
      <c r="A9" s="18" t="inlineStr">
        <is>
          <t>Interest &amp; Other</t>
        </is>
      </c>
      <c r="B9" s="52" t="n">
        <v>0</v>
      </c>
      <c r="C9" s="52" t="n">
        <v>0</v>
      </c>
      <c r="D9" s="52" t="n">
        <v>-1.053</v>
      </c>
      <c r="E9" s="52" t="n">
        <v>-0.741</v>
      </c>
      <c r="F9" s="52" t="n">
        <v>-1.316</v>
      </c>
      <c r="G9" s="52" t="n">
        <v>-0.434</v>
      </c>
      <c r="H9" s="52" t="n">
        <v>-1.378</v>
      </c>
      <c r="I9" s="52" t="n">
        <v>0.266</v>
      </c>
      <c r="J9" s="52" t="n">
        <v>2.103</v>
      </c>
      <c r="K9" s="52" t="n">
        <v>10.615</v>
      </c>
      <c r="L9" s="52" t="n">
        <v>24.433</v>
      </c>
      <c r="M9" s="52" t="n">
        <v>35.85</v>
      </c>
      <c r="N9" s="52" t="n">
        <v>70.85899999999999</v>
      </c>
      <c r="O9" s="52" t="n">
        <v>48.244</v>
      </c>
      <c r="P9" s="52" t="n">
        <v>124.311</v>
      </c>
      <c r="Q9" s="52" t="n">
        <v>117.438</v>
      </c>
      <c r="R9" s="52" t="n">
        <v>173.863</v>
      </c>
      <c r="S9" s="52" t="n">
        <v>131.691</v>
      </c>
      <c r="T9" s="52" t="n">
        <v>106.601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  <c r="AA9" s="52" t="n">
        <v>0</v>
      </c>
      <c r="AB9" s="52" t="n">
        <v>0</v>
      </c>
      <c r="AC9" s="52" t="n">
        <v>0</v>
      </c>
      <c r="AD9" s="52" t="n">
        <v>0</v>
      </c>
    </row>
    <row r="10">
      <c r="A10" s="2" t="inlineStr">
        <is>
          <t>Pretax</t>
        </is>
      </c>
      <c r="B10" s="52">
        <f>B8+B9</f>
        <v>-2.644</v>
      </c>
      <c r="C10" s="52">
        <f>C8+C9</f>
        <v>-3.799</v>
      </c>
      <c r="D10" s="52">
        <f>D8+D9</f>
        <v>-3.666</v>
      </c>
      <c r="E10" s="52">
        <f>E8+E9</f>
        <v>-9.982</v>
      </c>
      <c r="F10" s="52">
        <f>F8+F9</f>
        <v>-36.36</v>
      </c>
      <c r="G10" s="52">
        <f>G8+G9</f>
        <v>-27.610000000000003</v>
      </c>
      <c r="H10" s="52">
        <f>H8+H9</f>
        <v>-37.158</v>
      </c>
      <c r="I10" s="52">
        <f>I8+I9</f>
        <v>-20.386000000000003</v>
      </c>
      <c r="J10" s="52">
        <f>J8+J9</f>
        <v>-48.428</v>
      </c>
      <c r="K10" s="52">
        <f>K8+K9</f>
        <v>-55.095000000000006</v>
      </c>
      <c r="L10" s="52">
        <f>L8+L9</f>
        <v>-65.36299999999997</v>
      </c>
      <c r="M10" s="52">
        <f>M8+M9</f>
        <v>-84.14699999999999</v>
      </c>
      <c r="N10" s="52">
        <f>N8+N9</f>
        <v>-39.96000000000001</v>
      </c>
      <c r="O10" s="52">
        <f>O8+O9</f>
        <v>-46.025999999999996</v>
      </c>
      <c r="P10" s="52">
        <f>P8+P9</f>
        <v>-64.22999999999999</v>
      </c>
      <c r="Q10" s="52">
        <f>Q8+Q9</f>
        <v>-86.12600000000002</v>
      </c>
      <c r="R10" s="52">
        <f>R8+R9</f>
        <v>31.521000000000015</v>
      </c>
      <c r="S10" s="52">
        <f>S8+S9</f>
        <v>21.311999999999983</v>
      </c>
      <c r="T10" s="52">
        <f>T8+T9</f>
        <v>36.379999999999995</v>
      </c>
      <c r="U10" s="52">
        <f>U8+U9</f>
        <v>-25.223329994422002</v>
      </c>
      <c r="V10" s="52">
        <f>V8+V9</f>
        <v>-22.73503902616251</v>
      </c>
      <c r="W10" s="52">
        <f>W8+W9</f>
        <v>-19.46104665695379</v>
      </c>
      <c r="X10" s="52">
        <f>X8+X9</f>
        <v>-15.393679683554936</v>
      </c>
      <c r="Y10" s="52">
        <f>Y8+Y9</f>
        <v>-10.550355311966939</v>
      </c>
      <c r="Z10" s="52">
        <f>Z8+Z9</f>
        <v>-4.975403679202614</v>
      </c>
      <c r="AA10" s="52">
        <f>AA8+AA9</f>
        <v>1.2592313024680664</v>
      </c>
      <c r="AB10" s="52">
        <f>AB8+AB9</f>
        <v>8.054560577215042</v>
      </c>
      <c r="AC10" s="52">
        <f>AC8+AC9</f>
        <v>15.286468474640216</v>
      </c>
      <c r="AD10" s="52">
        <f>AD8+AD9</f>
        <v>22.808982002338183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</v>
      </c>
      <c r="E11" s="52" t="n">
        <v>0</v>
      </c>
      <c r="F11" s="52" t="n">
        <v>0</v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1.513</v>
      </c>
      <c r="M11" s="52" t="n">
        <v>0</v>
      </c>
      <c r="N11" s="52" t="n">
        <v>0</v>
      </c>
      <c r="O11" s="52" t="n">
        <v>0.5</v>
      </c>
      <c r="P11" s="52" t="n">
        <v>0.473</v>
      </c>
      <c r="Q11" s="52" t="n">
        <v>0.449</v>
      </c>
      <c r="R11" s="52" t="n">
        <v>0.521</v>
      </c>
      <c r="S11" s="52" t="n">
        <v>0.312</v>
      </c>
      <c r="T11" s="52" t="n">
        <v>-0.62</v>
      </c>
      <c r="U11" s="52">
        <f>MAX(0,U10)*Assumptions!$E$14</f>
        <v>0.0</v>
      </c>
      <c r="V11" s="52">
        <f>MAX(0,V10)*Assumptions!$E$14</f>
        <v>0.0</v>
      </c>
      <c r="W11" s="52">
        <f>MAX(0,W10)*Assumptions!$E$14</f>
        <v>0.0</v>
      </c>
      <c r="X11" s="52">
        <f>MAX(0,X10)*Assumptions!$E$14</f>
        <v>0.0</v>
      </c>
      <c r="Y11" s="52">
        <f>MAX(0,Y10)*Assumptions!$E$14</f>
        <v>0.0</v>
      </c>
      <c r="Z11" s="52">
        <f>MAX(0,Z10)*Assumptions!$E$14</f>
        <v>0.0</v>
      </c>
      <c r="AA11" s="52">
        <f>MAX(0,AA10)*Assumptions!$E$14</f>
        <v>0.2140693214195713</v>
      </c>
      <c r="AB11" s="52">
        <f>MAX(0,AB10)*Assumptions!$E$14</f>
        <v>1.3692752981265572</v>
      </c>
      <c r="AC11" s="52">
        <f>MAX(0,AC10)*Assumptions!$E$14</f>
        <v>2.598699640688837</v>
      </c>
      <c r="AD11" s="52">
        <f>MAX(0,AD10)*Assumptions!$E$14</f>
        <v>3.8775269403974915</v>
      </c>
    </row>
    <row r="12">
      <c r="A12" s="2" t="inlineStr">
        <is>
          <t>Net Income</t>
        </is>
      </c>
      <c r="B12" s="52" t="n">
        <v>-2.644</v>
      </c>
      <c r="C12" s="52" t="n">
        <v>-3.799</v>
      </c>
      <c r="D12" s="52" t="n">
        <v>-3.666</v>
      </c>
      <c r="E12" s="52" t="n">
        <v>-9.981999999999999</v>
      </c>
      <c r="F12" s="52" t="n">
        <v>-36.36</v>
      </c>
      <c r="G12" s="52" t="n">
        <v>-27.61</v>
      </c>
      <c r="H12" s="52" t="n">
        <v>-37.158</v>
      </c>
      <c r="I12" s="52" t="n">
        <v>-20.386</v>
      </c>
      <c r="J12" s="52" t="n">
        <v>-48.428</v>
      </c>
      <c r="K12" s="52" t="n">
        <v>-55.095</v>
      </c>
      <c r="L12" s="52" t="n">
        <v>-66.876</v>
      </c>
      <c r="M12" s="52" t="n">
        <v>-84.14700000000001</v>
      </c>
      <c r="N12" s="52" t="n">
        <v>-39.96</v>
      </c>
      <c r="O12" s="52" t="n">
        <v>-46.526</v>
      </c>
      <c r="P12" s="52" t="n">
        <v>-64.703</v>
      </c>
      <c r="Q12" s="52" t="n">
        <v>-86.575</v>
      </c>
      <c r="R12" s="52" t="n">
        <v>31</v>
      </c>
      <c r="S12" s="52" t="n">
        <v>21</v>
      </c>
      <c r="T12" s="52" t="n">
        <v>37</v>
      </c>
      <c r="U12" s="52">
        <f>U10-U11</f>
        <v>-25.223329994422002</v>
      </c>
      <c r="V12" s="52">
        <f>V10-V11</f>
        <v>-22.73503902616251</v>
      </c>
      <c r="W12" s="52">
        <f>W10-W11</f>
        <v>-19.46104665695379</v>
      </c>
      <c r="X12" s="52">
        <f>X10-X11</f>
        <v>-15.393679683554936</v>
      </c>
      <c r="Y12" s="52">
        <f>Y10-Y11</f>
        <v>-10.550355311966939</v>
      </c>
      <c r="Z12" s="52">
        <f>Z10-Z11</f>
        <v>-4.975403679202614</v>
      </c>
      <c r="AA12" s="52">
        <f>AA10-AA11</f>
        <v>1.0451619810484951</v>
      </c>
      <c r="AB12" s="52">
        <f>AB10-AB11</f>
        <v>6.685285279088485</v>
      </c>
      <c r="AC12" s="52">
        <f>AC10-AC11</f>
        <v>12.68776883395138</v>
      </c>
      <c r="AD12" s="52">
        <f>AD10-AD11</f>
        <v>18.931455061940692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0</v>
      </c>
      <c r="E13" s="11">
        <f>IFERROR(E12/E14,0)</f>
        <v>-31.389937106918236</v>
      </c>
      <c r="F13" s="11">
        <f>IFERROR(F12/F14,0)</f>
        <v>-66.47166361974405</v>
      </c>
      <c r="G13" s="11">
        <f>IFERROR(G12/G14,0)</f>
        <v>-17.847446670976083</v>
      </c>
      <c r="H13" s="11">
        <f>IFERROR(H12/H14,0)</f>
        <v>-17.091996320147196</v>
      </c>
      <c r="I13" s="11">
        <f>IFERROR(I12/I14,0)</f>
        <v>-7.855876685934488</v>
      </c>
      <c r="J13" s="11">
        <f>IFERROR(J12/J14,0)</f>
        <v>-17.320457796852647</v>
      </c>
      <c r="K13" s="11">
        <f>IFERROR(K12/K14,0)</f>
        <v>-19.304484933426767</v>
      </c>
      <c r="L13" s="11">
        <f>IFERROR(L12/L14,0)</f>
        <v>-22.471774193548388</v>
      </c>
      <c r="M13" s="11">
        <f>IFERROR(M12/M14,0)</f>
        <v>-27.109213917525775</v>
      </c>
      <c r="N13" s="11">
        <f>IFERROR(N12/N14,0)</f>
        <v>-10.225179119754351</v>
      </c>
      <c r="O13" s="11">
        <f>IFERROR(O12/O14,0)</f>
        <v>-9.046470931363018</v>
      </c>
      <c r="P13" s="11">
        <f>IFERROR(P12/P14,0)</f>
        <v>-11.086874571624401</v>
      </c>
      <c r="Q13" s="11">
        <f>IFERROR(Q12/Q14,0)</f>
        <v>-14.611814345991561</v>
      </c>
      <c r="R13" s="11">
        <f>IFERROR(R12/R14,0)</f>
        <v>3.8219701639748487</v>
      </c>
      <c r="S13" s="11">
        <f>IFERROR(S12/S14,0)</f>
        <v>1.010392609699769</v>
      </c>
      <c r="T13" s="11">
        <f>IFERROR(T12/T14,0)</f>
        <v>1.3260698157838147</v>
      </c>
      <c r="U13" s="11">
        <f>IFERROR(U12/U14,0)</f>
        <v>-0.7572069558986081</v>
      </c>
      <c r="V13" s="11">
        <f>IFERROR(V12/V14,0)</f>
        <v>-0.6825082055796597</v>
      </c>
      <c r="W13" s="11">
        <f>IFERROR(W12/W14,0)</f>
        <v>-0.5842226185428948</v>
      </c>
      <c r="X13" s="11">
        <f>IFERROR(X12/X14,0)</f>
        <v>-0.46211984443927845</v>
      </c>
      <c r="Y13" s="11">
        <f>IFERROR(Y12/Y14,0)</f>
        <v>-0.31672274958103763</v>
      </c>
      <c r="Z13" s="11">
        <f>IFERROR(Z12/Z14,0)</f>
        <v>-0.14936212923229755</v>
      </c>
      <c r="AA13" s="11">
        <f>IFERROR(AA12/AA14,0)</f>
        <v>0.03137586996902091</v>
      </c>
      <c r="AB13" s="11">
        <f>IFERROR(AB12/AB14,0)</f>
        <v>0.2006929503999604</v>
      </c>
      <c r="AC13" s="11">
        <f>IFERROR(AC12/AC14,0)</f>
        <v>0.38088812294118773</v>
      </c>
      <c r="AD13" s="11">
        <f>IFERROR(AD12/AD14,0)</f>
        <v>0.5683242244919096</v>
      </c>
    </row>
    <row r="14">
      <c r="A14" s="2" t="inlineStr">
        <is>
          <t>Shares</t>
        </is>
      </c>
      <c r="B14" s="52" t="n"/>
      <c r="C14" s="52" t="n"/>
      <c r="D14" s="52" t="n"/>
      <c r="E14" s="52" t="n">
        <v>0.318</v>
      </c>
      <c r="F14" s="52" t="n">
        <v>0.547</v>
      </c>
      <c r="G14" s="52" t="n">
        <v>1.547</v>
      </c>
      <c r="H14" s="52" t="n">
        <v>2.174</v>
      </c>
      <c r="I14" s="52" t="n">
        <v>2.595</v>
      </c>
      <c r="J14" s="52" t="n">
        <v>2.796</v>
      </c>
      <c r="K14" s="52" t="n">
        <v>2.854</v>
      </c>
      <c r="L14" s="52" t="n">
        <v>2.976</v>
      </c>
      <c r="M14" s="52" t="n">
        <v>3.104</v>
      </c>
      <c r="N14" s="52" t="n">
        <v>3.908</v>
      </c>
      <c r="O14" s="52" t="n">
        <v>5.143</v>
      </c>
      <c r="P14" s="52" t="n">
        <v>5.836</v>
      </c>
      <c r="Q14" s="52" t="n">
        <v>5.925</v>
      </c>
      <c r="R14" s="52" t="n">
        <v>8.111000000000001</v>
      </c>
      <c r="S14" s="52" t="n">
        <v>20.784</v>
      </c>
      <c r="T14" s="52" t="n">
        <v>27.902</v>
      </c>
      <c r="U14" s="52">
        <f>Main!$C$4</f>
        <v>33.311012</v>
      </c>
      <c r="V14" s="52">
        <f>Main!$C$4</f>
        <v>33.311012</v>
      </c>
      <c r="W14" s="52">
        <f>Main!$C$4</f>
        <v>33.311012</v>
      </c>
      <c r="X14" s="52">
        <f>Main!$C$4</f>
        <v>33.311012</v>
      </c>
      <c r="Y14" s="52">
        <f>Main!$C$4</f>
        <v>33.311012</v>
      </c>
      <c r="Z14" s="52">
        <f>Main!$C$4</f>
        <v>33.311012</v>
      </c>
      <c r="AA14" s="52">
        <f>Main!$C$4</f>
        <v>33.311012</v>
      </c>
      <c r="AB14" s="52">
        <f>Main!$C$4</f>
        <v>33.311012</v>
      </c>
      <c r="AC14" s="52">
        <f>Main!$C$4</f>
        <v>33.311012</v>
      </c>
      <c r="AD14" s="52">
        <f>Main!$C$4</f>
        <v>33.311012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>18.09617612977984</v>
      </c>
      <c r="L16" s="15">
        <f>IFERROR(L2/K2-1,"")</f>
        <v>10.38252427184466</v>
      </c>
      <c r="M16" s="15">
        <f>IFERROR(M2/L2-1,"")</f>
        <v>-0.8566935346298192</v>
      </c>
      <c r="N16" s="15">
        <f>IFERROR(N2/M2-1,"")</f>
        <v>0.3625846291198569</v>
      </c>
      <c r="O16" s="15">
        <f>IFERROR(O2/N2-1,"")</f>
        <v>0.24488793032842837</v>
      </c>
      <c r="P16" s="15">
        <f>IFERROR(P2/O2-1,"")</f>
        <v>0.5086076449044936</v>
      </c>
      <c r="Q16" s="15">
        <f>IFERROR(Q2/P2-1,"")</f>
        <v>0.10105973165094273</v>
      </c>
      <c r="R16" s="15">
        <f>IFERROR(R2/Q2-1,"")</f>
        <v>0.11578627727974866</v>
      </c>
      <c r="S16" s="15">
        <f>IFERROR(S2/R2-1,"")</f>
        <v>-0.3175606119768557</v>
      </c>
      <c r="T16" s="15">
        <f>IFERROR(T2/S2-1,"")</f>
        <v>0.0968703944516689</v>
      </c>
      <c r="U16" s="15">
        <f>IFERROR(U2/T2-1,"")</f>
        <v>0.09689999999999999</v>
      </c>
      <c r="V16" s="15">
        <f>IFERROR(V2/U2-1,"")</f>
        <v>0.08891111111111116</v>
      </c>
      <c r="W16" s="15">
        <f>IFERROR(W2/V2-1,"")</f>
        <v>0.08092222222222212</v>
      </c>
      <c r="X16" s="15">
        <f>IFERROR(X2/W2-1,"")</f>
        <v>0.0729333333333333</v>
      </c>
      <c r="Y16" s="15">
        <f>IFERROR(Y2/X2-1,"")</f>
        <v>0.06494444444444447</v>
      </c>
      <c r="Z16" s="15">
        <f>IFERROR(Z2/Y2-1,"")</f>
        <v>0.05695555555555565</v>
      </c>
      <c r="AA16" s="15">
        <f>IFERROR(AA2/Z2-1,"")</f>
        <v>0.0489666666666666</v>
      </c>
      <c r="AB16" s="15">
        <f>IFERROR(AB2/AA2-1,"")</f>
        <v>0.04097777777777778</v>
      </c>
      <c r="AC16" s="15">
        <f>IFERROR(AC2/AB2-1,"")</f>
        <v>0.032988888888888956</v>
      </c>
      <c r="AD16" s="15">
        <f>IFERROR(AD2/AC2-1,"")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>1.0</v>
      </c>
      <c r="K17" s="15">
        <f>IFERROR(K4/K2,"")</f>
        <v>0.9520631067961166</v>
      </c>
      <c r="L17" s="15">
        <f>IFERROR(L4/L2,"")</f>
        <v>0.9804994029341523</v>
      </c>
      <c r="M17" s="15">
        <f>IFERROR(M4/M2,"")</f>
        <v>0.772152369615356</v>
      </c>
      <c r="N17" s="15">
        <f>IFERROR(N4/N2,"")</f>
        <v>0.7124682628518387</v>
      </c>
      <c r="O17" s="15">
        <f>IFERROR(O4/O2,"")</f>
        <v>0.6799491216912651</v>
      </c>
      <c r="P17" s="15">
        <f>IFERROR(P4/P2,"")</f>
        <v>0.533601779302525</v>
      </c>
      <c r="Q17" s="15">
        <f>IFERROR(Q4/Q2,"")</f>
        <v>0.5936918263073815</v>
      </c>
      <c r="R17" s="15">
        <f>IFERROR(R4/R2,"")</f>
        <v>0.7291185971389017</v>
      </c>
      <c r="S17" s="15">
        <f>IFERROR(S4/S2,"")</f>
        <v>0.6379887299523189</v>
      </c>
      <c r="T17" s="15">
        <f>IFERROR(T4/T2,"")</f>
        <v>0.6692485220195378</v>
      </c>
      <c r="U17" s="15">
        <f>IFERROR(U4/U2,"")</f>
        <v>0.6692000000000001</v>
      </c>
      <c r="V17" s="15">
        <f>IFERROR(V4/V2,"")</f>
        <v>0.6691999999999999</v>
      </c>
      <c r="W17" s="15">
        <f>IFERROR(W4/W2,"")</f>
        <v>0.6692</v>
      </c>
      <c r="X17" s="15">
        <f>IFERROR(X4/X2,"")</f>
        <v>0.6692</v>
      </c>
      <c r="Y17" s="15">
        <f>IFERROR(Y4/Y2,"")</f>
        <v>0.6692</v>
      </c>
      <c r="Z17" s="15">
        <f>IFERROR(Z4/Z2,"")</f>
        <v>0.6692</v>
      </c>
      <c r="AA17" s="15">
        <f>IFERROR(AA4/AA2,"")</f>
        <v>0.6692</v>
      </c>
      <c r="AB17" s="15">
        <f>IFERROR(AB4/AB2,"")</f>
        <v>0.6692</v>
      </c>
      <c r="AC17" s="15">
        <f>IFERROR(AC4/AC2,"")</f>
        <v>0.6692</v>
      </c>
      <c r="AD17" s="15">
        <f>IFERROR(AD4/AD2,"")</f>
        <v>0.6692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>-58.552723059096174</v>
      </c>
      <c r="K18" s="15">
        <f>IFERROR(K8/K2,"")</f>
        <v>-3.9872572815533984</v>
      </c>
      <c r="L18" s="15">
        <f>IFERROR(L8/L2,"")</f>
        <v>-0.4786975435005116</v>
      </c>
      <c r="M18" s="15">
        <f>IFERROR(M8/M2,"")</f>
        <v>-4.463841976043448</v>
      </c>
      <c r="N18" s="15">
        <f>IFERROR(N8/N2,"")</f>
        <v>-3.0254443200742585</v>
      </c>
      <c r="O18" s="15">
        <f>IFERROR(O8/O2,"")</f>
        <v>-2.067369898462686</v>
      </c>
      <c r="P18" s="15">
        <f>IFERROR(P8/P2,"")</f>
        <v>-2.7407800439010916</v>
      </c>
      <c r="Q18" s="15">
        <f>IFERROR(Q8/Q2,"")</f>
        <v>-2.6875618869070412</v>
      </c>
      <c r="R18" s="15">
        <f>IFERROR(R8/R2,"")</f>
        <v>-1.6842615928910343</v>
      </c>
      <c r="S18" s="15">
        <f>IFERROR(S8/S2,"")</f>
        <v>-1.9138101430429133</v>
      </c>
      <c r="T18" s="15">
        <f>IFERROR(T8/T2,"")</f>
        <v>-1.1100028453099808</v>
      </c>
      <c r="U18" s="15">
        <f>IFERROR(U8/U2,"")</f>
        <v>-0.36349000000000004</v>
      </c>
      <c r="V18" s="15">
        <f>IFERROR(V8/V2,"")</f>
        <v>-0.3008799999999999</v>
      </c>
      <c r="W18" s="15">
        <f>IFERROR(W8/W2,"")</f>
        <v>-0.23826999999999995</v>
      </c>
      <c r="X18" s="15">
        <f>IFERROR(X8/X2,"")</f>
        <v>-0.17565999999999993</v>
      </c>
      <c r="Y18" s="15">
        <f>IFERROR(Y8/Y2,"")</f>
        <v>-0.11305000000000004</v>
      </c>
      <c r="Z18" s="15">
        <f>IFERROR(Z8/Z2,"")</f>
        <v>-0.05043999999999995</v>
      </c>
      <c r="AA18" s="15">
        <f>IFERROR(AA8/AA2,"")</f>
        <v>0.01217000000000007</v>
      </c>
      <c r="AB18" s="15">
        <f>IFERROR(AB8/AB2,"")</f>
        <v>0.07478000000000008</v>
      </c>
      <c r="AC18" s="15">
        <f>IFERROR(AC8/AC2,"")</f>
        <v>0.1373900000000001</v>
      </c>
      <c r="AD18" s="15">
        <f>IFERROR(AD8/AD2,"")</f>
        <v>0.20000000000000004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A</t>
        </is>
      </c>
      <c r="R19" s="19" t="inlineStr">
        <is>
          <t>A</t>
        </is>
      </c>
      <c r="S19" s="19" t="inlineStr">
        <is>
          <t>A</t>
        </is>
      </c>
      <c r="T19" s="19" t="inlineStr">
        <is>
          <t>A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  <c r="AA19" s="19" t="inlineStr">
        <is>
          <t>E</t>
        </is>
      </c>
      <c r="AB19" s="19" t="inlineStr">
        <is>
          <t>E</t>
        </is>
      </c>
      <c r="AC19" s="19" t="inlineStr">
        <is>
          <t>E</t>
        </is>
      </c>
      <c r="AD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Fortress Biotech Inc: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0.135</v>
      </c>
      <c r="C10" s="53" t="n">
        <v>0.125</v>
      </c>
      <c r="D10" s="53" t="n">
        <v>0.115</v>
      </c>
      <c r="E10" s="54">
        <f>IF(ISNUMBER($B$6),$B$6,CHOOSE($B$4,B10,C10,D10))</f>
        <v>0.125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0.0469</v>
      </c>
      <c r="C12" s="53" t="n">
        <v>0.0969</v>
      </c>
      <c r="D12" s="53" t="n">
        <v>0.1469</v>
      </c>
      <c r="E12" s="54">
        <f>CHOOSE($B$4,B12,C12,D12)</f>
        <v>0.0969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-0.4261</v>
      </c>
    </row>
    <row r="19">
      <c r="A19" s="14" t="inlineStr">
        <is>
          <t>Gross margin (forecast)</t>
        </is>
      </c>
      <c r="B19" s="53" t="n">
        <v>0.6692</v>
      </c>
    </row>
    <row r="20">
      <c r="A20" s="14" t="inlineStr">
        <is>
          <t>R&amp;D share of operating expense (forecast)</t>
        </is>
      </c>
      <c r="B20" s="53" t="n">
        <v>0.1057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Model'!T2</f>
        <v>63.262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0.26110213283406836</v>
      </c>
      <c r="C29" s="56">
        <f>NPV!B26</f>
        <v>157.23510213283404</v>
      </c>
      <c r="D29" s="35">
        <f>NPV!B28</f>
        <v>4.720213908026392</v>
      </c>
      <c r="E29" s="57">
        <f>NPV!B30</f>
        <v>1.4330999525909238</v>
      </c>
    </row>
    <row r="30">
      <c r="A30" s="58" t="n">
        <v>1</v>
      </c>
      <c r="B30" s="59">
        <f t="dataTable" ref="B30:E32" r1="B4"/>
        <v>-34.34921895881447</v>
      </c>
      <c r="C30" s="59">
        <v>122.62478104118551</v>
      </c>
      <c r="D30" s="39">
        <v>3.681208515706023</v>
      </c>
      <c r="E30" s="60">
        <v>0.8975301627350634</v>
      </c>
    </row>
    <row r="31">
      <c r="A31" s="58" t="n">
        <v>2</v>
      </c>
      <c r="B31" s="59">
        <v>0.26110213283406836</v>
      </c>
      <c r="C31" s="59">
        <v>157.23510213283404</v>
      </c>
      <c r="D31" s="39">
        <v>4.720213908026392</v>
      </c>
      <c r="E31" s="60">
        <v>1.4330999525909238</v>
      </c>
    </row>
    <row r="32">
      <c r="A32" s="58" t="n">
        <v>3</v>
      </c>
      <c r="B32" s="59">
        <v>72.72969481413288</v>
      </c>
      <c r="C32" s="59">
        <v>229.7036948141329</v>
      </c>
      <c r="D32" s="39">
        <v>6.895728500056765</v>
      </c>
      <c r="E32" s="60">
        <v>2.554499226833384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4.720213908026392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0.105</v>
      </c>
      <c r="B37" s="39">
        <f t="dataTable" ref="B37:F41" dt2D="1" r1="B7" r2="B6"/>
        <v>5.195536170607018</v>
      </c>
      <c r="C37" s="39">
        <v>5.3804526073453385</v>
      </c>
      <c r="D37" s="39">
        <v>5.589980114720036</v>
      </c>
      <c r="E37" s="39">
        <v>5.829058163299775</v>
      </c>
      <c r="F37" s="39">
        <v>6.1040377067183</v>
      </c>
    </row>
    <row r="38">
      <c r="A38" s="62" t="n">
        <v>0.115</v>
      </c>
      <c r="B38" s="39">
        <v>4.799867427653579</v>
      </c>
      <c r="C38" s="39">
        <v>4.93974701260374</v>
      </c>
      <c r="D38" s="39">
        <v>5.096431265612905</v>
      </c>
      <c r="E38" s="39">
        <v>5.272900011384642</v>
      </c>
      <c r="F38" s="39">
        <v>5.472878199150918</v>
      </c>
    </row>
    <row r="39">
      <c r="A39" s="62" t="n">
        <v>0.125</v>
      </c>
      <c r="B39" s="39">
        <v>4.492567047219728</v>
      </c>
      <c r="C39" s="39">
        <v>4.600456285808906</v>
      </c>
      <c r="D39" s="39">
        <v>4.720213908026392</v>
      </c>
      <c r="E39" s="39">
        <v>4.8537258877964575</v>
      </c>
      <c r="F39" s="39">
        <v>5.003297444398156</v>
      </c>
    </row>
    <row r="40">
      <c r="A40" s="62" t="n">
        <v>0.135</v>
      </c>
      <c r="B40" s="39">
        <v>4.25044758524405</v>
      </c>
      <c r="C40" s="39">
        <v>4.33496294161121</v>
      </c>
      <c r="D40" s="39">
        <v>4.428094710911379</v>
      </c>
      <c r="E40" s="39">
        <v>4.531084035984488</v>
      </c>
      <c r="F40" s="39">
        <v>4.645420406268126</v>
      </c>
    </row>
    <row r="41">
      <c r="A41" s="62" t="n">
        <v>0.145</v>
      </c>
      <c r="B41" s="39">
        <v>4.057543544964818</v>
      </c>
      <c r="C41" s="39">
        <v>4.124579483035784</v>
      </c>
      <c r="D41" s="39">
        <v>4.198016004697745</v>
      </c>
      <c r="E41" s="39">
        <v>4.278696757693425</v>
      </c>
      <c r="F41" s="39">
        <v>4.367618880822165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Fortress Biotech Inc: free-cash-flow DCF ($mm)</t>
        </is>
      </c>
    </row>
    <row r="3">
      <c r="A3" s="20" t="inlineStr">
        <is>
          <t>Fiscal year</t>
        </is>
      </c>
      <c r="B3" s="43">
        <f>'Yearly Model'!T1</f>
        <v>2025</v>
      </c>
      <c r="C3" s="43">
        <f>'Yearly Model'!U1</f>
        <v>2026</v>
      </c>
      <c r="D3" s="43">
        <f>'Yearly Model'!V1</f>
        <v>2027</v>
      </c>
      <c r="E3" s="43">
        <f>'Yearly Model'!W1</f>
        <v>2028</v>
      </c>
      <c r="F3" s="43">
        <f>'Yearly Model'!X1</f>
        <v>2029</v>
      </c>
      <c r="G3" s="43">
        <f>'Yearly Model'!Y1</f>
        <v>2030</v>
      </c>
      <c r="H3" s="43">
        <f>'Yearly Model'!Z1</f>
        <v>2031</v>
      </c>
      <c r="I3" s="43">
        <f>'Yearly Model'!AA1</f>
        <v>2032</v>
      </c>
      <c r="J3" s="43">
        <f>'Yearly Model'!AB1</f>
        <v>2033</v>
      </c>
      <c r="K3" s="43">
        <f>'Yearly Model'!AC1</f>
        <v>2034</v>
      </c>
      <c r="L3" s="43">
        <f>'Yearly Model'!AD1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0.0969</v>
      </c>
      <c r="D5" s="63">
        <f>Assumptions!$E$12+(Assumptions!$E$11-Assumptions!$E$12)*(D4-1)/(Assumptions!$B$21-1)</f>
        <v>0.08891111111111111</v>
      </c>
      <c r="E5" s="63">
        <f>Assumptions!$E$12+(Assumptions!$E$11-Assumptions!$E$12)*(E4-1)/(Assumptions!$B$21-1)</f>
        <v>0.08092222222222223</v>
      </c>
      <c r="F5" s="63">
        <f>Assumptions!$E$12+(Assumptions!$E$11-Assumptions!$E$12)*(F4-1)/(Assumptions!$B$21-1)</f>
        <v>0.07293333333333334</v>
      </c>
      <c r="G5" s="63">
        <f>Assumptions!$E$12+(Assumptions!$E$11-Assumptions!$E$12)*(G4-1)/(Assumptions!$B$21-1)</f>
        <v>0.06494444444444444</v>
      </c>
      <c r="H5" s="63">
        <f>Assumptions!$E$12+(Assumptions!$E$11-Assumptions!$E$12)*(H4-1)/(Assumptions!$B$21-1)</f>
        <v>0.056955555555555565</v>
      </c>
      <c r="I5" s="63">
        <f>Assumptions!$E$12+(Assumptions!$E$11-Assumptions!$E$12)*(I4-1)/(Assumptions!$B$21-1)</f>
        <v>0.04896666666666667</v>
      </c>
      <c r="J5" s="63">
        <f>Assumptions!$E$12+(Assumptions!$E$11-Assumptions!$E$12)*(J4-1)/(Assumptions!$B$21-1)</f>
        <v>0.04097777777777778</v>
      </c>
      <c r="K5" s="63">
        <f>Assumptions!$E$12+(Assumptions!$E$11-Assumptions!$E$12)*(K4-1)/(Assumptions!$B$21-1)</f>
        <v>0.0329888888888889</v>
      </c>
      <c r="L5" s="63">
        <f>Assumptions!$E$12+(Assumptions!$E$11-Assumptions!$E$12)*(L4-1)/(Assumptions!$B$21-1)</f>
        <v>0.02500000000000001</v>
      </c>
    </row>
    <row r="6">
      <c r="A6" s="14" t="inlineStr">
        <is>
          <t>Operating margin</t>
        </is>
      </c>
      <c r="B6" s="63">
        <f>IFERROR(B8/B7,0)</f>
        <v>-1.1100028453099808</v>
      </c>
      <c r="C6" s="63">
        <f>Assumptions!$B$18+(Assumptions!$E$13-Assumptions!$B$18)*C4/Assumptions!$B$21</f>
        <v>-0.36349</v>
      </c>
      <c r="D6" s="63">
        <f>Assumptions!$B$18+(Assumptions!$E$13-Assumptions!$B$18)*D4/Assumptions!$B$21</f>
        <v>-0.30088</v>
      </c>
      <c r="E6" s="63">
        <f>Assumptions!$B$18+(Assumptions!$E$13-Assumptions!$B$18)*E4/Assumptions!$B$21</f>
        <v>-0.23826999999999998</v>
      </c>
      <c r="F6" s="63">
        <f>Assumptions!$B$18+(Assumptions!$E$13-Assumptions!$B$18)*F4/Assumptions!$B$21</f>
        <v>-0.17565999999999998</v>
      </c>
      <c r="G6" s="63">
        <f>Assumptions!$B$18+(Assumptions!$E$13-Assumptions!$B$18)*G4/Assumptions!$B$21</f>
        <v>-0.11304999999999998</v>
      </c>
      <c r="H6" s="63">
        <f>Assumptions!$B$18+(Assumptions!$E$13-Assumptions!$B$18)*H4/Assumptions!$B$21</f>
        <v>-0.050439999999999985</v>
      </c>
      <c r="I6" s="63">
        <f>Assumptions!$B$18+(Assumptions!$E$13-Assumptions!$B$18)*I4/Assumptions!$B$21</f>
        <v>0.012170000000000014</v>
      </c>
      <c r="J6" s="63">
        <f>Assumptions!$B$18+(Assumptions!$E$13-Assumptions!$B$18)*J4/Assumptions!$B$21</f>
        <v>0.07478000000000001</v>
      </c>
      <c r="K6" s="63">
        <f>Assumptions!$B$18+(Assumptions!$E$13-Assumptions!$B$18)*K4/Assumptions!$B$21</f>
        <v>0.13739000000000007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Model'!T2</f>
        <v>63.262</v>
      </c>
      <c r="C7" s="55">
        <f>'Yearly Model'!U2</f>
        <v>69.3920878</v>
      </c>
      <c r="D7" s="55">
        <f>'Yearly Model'!V2</f>
        <v>75.56181542861778</v>
      </c>
      <c r="E7" s="55">
        <f>'Yearly Model'!W2</f>
        <v>81.67644544824692</v>
      </c>
      <c r="F7" s="55">
        <f>'Yearly Model'!X2</f>
        <v>87.63338086960573</v>
      </c>
      <c r="G7" s="55">
        <f>'Yearly Model'!Y2</f>
        <v>93.32468210497068</v>
      </c>
      <c r="H7" s="55">
        <f>'Yearly Model'!Z2</f>
        <v>98.6400412213049</v>
      </c>
      <c r="I7" s="55">
        <f>'Yearly Model'!AA2</f>
        <v>103.47011523977478</v>
      </c>
      <c r="J7" s="55">
        <f>'Yearly Model'!AB2</f>
        <v>107.71009062871133</v>
      </c>
      <c r="K7" s="55">
        <f>'Yearly Model'!AC2</f>
        <v>111.26332684067404</v>
      </c>
      <c r="L7" s="55">
        <f>'Yearly Model'!AD2</f>
        <v>114.04491001169089</v>
      </c>
    </row>
    <row r="8">
      <c r="A8" s="14" t="inlineStr">
        <is>
          <t>Operating income</t>
        </is>
      </c>
      <c r="B8" s="55">
        <f>'Yearly Model'!T8</f>
        <v>-70.221</v>
      </c>
      <c r="C8" s="55">
        <f>'Yearly Model'!U8</f>
        <v>-25.223329994422002</v>
      </c>
      <c r="D8" s="55">
        <f>'Yearly Model'!V8</f>
        <v>-22.73503902616251</v>
      </c>
      <c r="E8" s="55">
        <f>'Yearly Model'!W8</f>
        <v>-19.46104665695379</v>
      </c>
      <c r="F8" s="55">
        <f>'Yearly Model'!X8</f>
        <v>-15.393679683554936</v>
      </c>
      <c r="G8" s="55">
        <f>'Yearly Model'!Y8</f>
        <v>-10.550355311966939</v>
      </c>
      <c r="H8" s="55">
        <f>'Yearly Model'!Z8</f>
        <v>-4.975403679202614</v>
      </c>
      <c r="I8" s="55">
        <f>'Yearly Model'!AA8</f>
        <v>1.2592313024680664</v>
      </c>
      <c r="J8" s="55">
        <f>'Yearly Model'!AB8</f>
        <v>8.054560577215042</v>
      </c>
      <c r="K8" s="55">
        <f>'Yearly Model'!AC8</f>
        <v>15.286468474640216</v>
      </c>
      <c r="L8" s="55">
        <f>'Yearly Model'!AD8</f>
        <v>22.808982002338183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0.0</v>
      </c>
      <c r="F9" s="52">
        <f>MAX(0,F8)*Assumptions!$E$14</f>
        <v>0.0</v>
      </c>
      <c r="G9" s="52">
        <f>MAX(0,G8)*Assumptions!$E$14</f>
        <v>0.0</v>
      </c>
      <c r="H9" s="52">
        <f>MAX(0,H8)*Assumptions!$E$14</f>
        <v>0.0</v>
      </c>
      <c r="I9" s="52">
        <f>MAX(0,I8)*Assumptions!$E$14</f>
        <v>0.2140693214195713</v>
      </c>
      <c r="J9" s="52">
        <f>MAX(0,J8)*Assumptions!$E$14</f>
        <v>1.3692752981265572</v>
      </c>
      <c r="K9" s="52">
        <f>MAX(0,K8)*Assumptions!$E$14</f>
        <v>2.598699640688837</v>
      </c>
      <c r="L9" s="52">
        <f>MAX(0,L8)*Assumptions!$E$14</f>
        <v>3.8775269403974915</v>
      </c>
    </row>
    <row r="10">
      <c r="A10" s="14" t="inlineStr">
        <is>
          <t>NOPAT</t>
        </is>
      </c>
      <c r="C10" s="52">
        <f>C8-C9</f>
        <v>-25.223329994422002</v>
      </c>
      <c r="D10" s="52">
        <f>D8-D9</f>
        <v>-22.73503902616251</v>
      </c>
      <c r="E10" s="52">
        <f>E8-E9</f>
        <v>-19.46104665695379</v>
      </c>
      <c r="F10" s="52">
        <f>F8-F9</f>
        <v>-15.393679683554936</v>
      </c>
      <c r="G10" s="52">
        <f>G8-G9</f>
        <v>-10.550355311966939</v>
      </c>
      <c r="H10" s="52">
        <f>H8-H9</f>
        <v>-4.975403679202614</v>
      </c>
      <c r="I10" s="52">
        <f>I8-I9</f>
        <v>1.0451619810484951</v>
      </c>
      <c r="J10" s="52">
        <f>J8-J9</f>
        <v>6.685285279088485</v>
      </c>
      <c r="K10" s="52">
        <f>K8-K9</f>
        <v>12.68776883395138</v>
      </c>
      <c r="L10" s="52">
        <f>L8-L9</f>
        <v>18.931455061940692</v>
      </c>
    </row>
    <row r="11">
      <c r="A11" s="14" t="inlineStr">
        <is>
          <t>Reinvestment</t>
        </is>
      </c>
      <c r="C11" s="52">
        <f>(C7-B7)*Assumptions!$E$15</f>
        <v>1.5325219499999996</v>
      </c>
      <c r="D11" s="52">
        <f>(D7-C7)*Assumptions!$E$15</f>
        <v>1.5424319071544446</v>
      </c>
      <c r="E11" s="52">
        <f>(E7-D7)*Assumptions!$E$15</f>
        <v>1.5286575049072866</v>
      </c>
      <c r="F11" s="52">
        <f>(F7-E7)*Assumptions!$E$15</f>
        <v>1.4892338553397018</v>
      </c>
      <c r="G11" s="52">
        <f>(G7-F7)*Assumptions!$E$15</f>
        <v>1.4228253088412366</v>
      </c>
      <c r="H11" s="52">
        <f>(H7-G7)*Assumptions!$E$15</f>
        <v>1.3288397790835553</v>
      </c>
      <c r="I11" s="52">
        <f>(I7-H7)*Assumptions!$E$15</f>
        <v>1.2075185046174717</v>
      </c>
      <c r="J11" s="52">
        <f>(J7-I7)*Assumptions!$E$15</f>
        <v>1.0599938472341357</v>
      </c>
      <c r="K11" s="52">
        <f>(K7-J7)*Assumptions!$E$15</f>
        <v>0.8883090529906781</v>
      </c>
      <c r="L11" s="52">
        <f>(L7-K7)*Assumptions!$E$15</f>
        <v>0.695395792754212</v>
      </c>
    </row>
    <row r="12">
      <c r="A12" s="20" t="inlineStr">
        <is>
          <t>Free cash flow</t>
        </is>
      </c>
      <c r="C12" s="64">
        <f>C10-C11</f>
        <v>-26.755851944422</v>
      </c>
      <c r="D12" s="64">
        <f>D10-D11</f>
        <v>-24.277470933316955</v>
      </c>
      <c r="E12" s="64">
        <f>E10-E11</f>
        <v>-20.989704161861077</v>
      </c>
      <c r="F12" s="64">
        <f>F10-F11</f>
        <v>-16.882913538894638</v>
      </c>
      <c r="G12" s="64">
        <f>G10-G11</f>
        <v>-11.973180620808176</v>
      </c>
      <c r="H12" s="64">
        <f>H10-H11</f>
        <v>-6.3042434582861695</v>
      </c>
      <c r="I12" s="64">
        <f>I10-I11</f>
        <v>-0.16235652356897656</v>
      </c>
      <c r="J12" s="64">
        <f>J10-J11</f>
        <v>5.625291431854349</v>
      </c>
      <c r="K12" s="64">
        <f>K10-K11</f>
        <v>11.799459780960701</v>
      </c>
      <c r="L12" s="64">
        <f>L10-L11</f>
        <v>18.23605926918648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0.9707491226687451</v>
      </c>
      <c r="D15" s="65">
        <f>1/(1+Assumptions!$E$10)^D14</f>
        <v>0.8884597387878145</v>
      </c>
      <c r="E15" s="65">
        <f>1/(1+Assumptions!$E$10)^E14</f>
        <v>0.7897419900336128</v>
      </c>
      <c r="F15" s="65">
        <f>1/(1+Assumptions!$E$10)^F14</f>
        <v>0.7019928800298781</v>
      </c>
      <c r="G15" s="65">
        <f>1/(1+Assumptions!$E$10)^G14</f>
        <v>0.6239936711376695</v>
      </c>
      <c r="H15" s="65">
        <f>1/(1+Assumptions!$E$10)^H14</f>
        <v>0.5546610410112617</v>
      </c>
      <c r="I15" s="65">
        <f>1/(1+Assumptions!$E$10)^I14</f>
        <v>0.4930320364544548</v>
      </c>
      <c r="J15" s="65">
        <f>1/(1+Assumptions!$E$10)^J14</f>
        <v>0.4382506990706266</v>
      </c>
      <c r="K15" s="65">
        <f>1/(1+Assumptions!$E$10)^K14</f>
        <v>0.389556176951668</v>
      </c>
      <c r="L15" s="65">
        <f>1/(1+Assumptions!$E$10)^L14</f>
        <v>0.34627215729037153</v>
      </c>
    </row>
    <row r="16">
      <c r="A16" s="20" t="inlineStr">
        <is>
          <t>PV of free cash flow</t>
        </is>
      </c>
      <c r="C16" s="64">
        <f>C12*C13*C15</f>
        <v>-13.093100101836587</v>
      </c>
      <c r="D16" s="64">
        <f>D12*D13*D15</f>
        <v>-21.56955548384354</v>
      </c>
      <c r="E16" s="64">
        <f>E12*E13*E15</f>
        <v>-16.576450735004972</v>
      </c>
      <c r="F16" s="64">
        <f>F12*F13*F15</f>
        <v>-11.851685098464069</v>
      </c>
      <c r="G16" s="64">
        <f>G12*G13*G15</f>
        <v>-7.4711889307724935</v>
      </c>
      <c r="H16" s="64">
        <f>H12*H13*H15</f>
        <v>-3.496718239361443</v>
      </c>
      <c r="I16" s="64">
        <f>I12*I13*I15</f>
        <v>-0.08004696744687821</v>
      </c>
      <c r="J16" s="64">
        <f>J12*J13*J15</f>
        <v>2.4652879024861747</v>
      </c>
      <c r="K16" s="64">
        <f>K12*K13*K15</f>
        <v>4.596552442366017</v>
      </c>
      <c r="L16" s="64">
        <f>L12*L13*L15</f>
        <v>6.3146395836162785</v>
      </c>
    </row>
    <row r="19">
      <c r="A19" s="14" t="inlineStr">
        <is>
          <t>PV of forecast free cash flow</t>
        </is>
      </c>
      <c r="B19" s="52">
        <f>SUM(C16:L16)</f>
        <v>-60.76226562826151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18.691960750916138</v>
      </c>
    </row>
    <row r="21">
      <c r="A21" s="14" t="inlineStr">
        <is>
          <t>Terminal value</t>
        </is>
      </c>
      <c r="B21" s="52">
        <f>B20/(Assumptions!$E$10-Assumptions!$E$11)</f>
        <v>186.91960750916138</v>
      </c>
    </row>
    <row r="22">
      <c r="A22" s="14" t="inlineStr">
        <is>
          <t>PV of terminal value</t>
        </is>
      </c>
      <c r="B22" s="52">
        <f>B21/(1+Assumptions!$E$10)^(L14+0.5)</f>
        <v>61.02336776109558</v>
      </c>
    </row>
    <row r="23">
      <c r="A23" s="20" t="inlineStr">
        <is>
          <t>Enterprise value</t>
        </is>
      </c>
      <c r="B23" s="66">
        <f>B19+B22</f>
        <v>0.26110213283406836</v>
      </c>
    </row>
    <row r="24">
      <c r="A24" s="14" t="inlineStr">
        <is>
          <t>Cash &amp; investments</t>
        </is>
      </c>
      <c r="B24" s="55">
        <f>Main!C7</f>
        <v>196.576</v>
      </c>
    </row>
    <row r="25">
      <c r="A25" s="14" t="inlineStr">
        <is>
          <t>Debt</t>
        </is>
      </c>
      <c r="B25" s="55">
        <f>Main!C8</f>
        <v>39.602</v>
      </c>
    </row>
    <row r="26">
      <c r="A26" s="20" t="inlineStr">
        <is>
          <t>Equity value</t>
        </is>
      </c>
      <c r="B26" s="66">
        <f>B23+B24-B25</f>
        <v>157.23510213283404</v>
      </c>
    </row>
    <row r="27">
      <c r="A27" s="14" t="inlineStr">
        <is>
          <t>Shares (mm)</t>
        </is>
      </c>
      <c r="B27" s="55">
        <f>Main!C4</f>
        <v>33.311012</v>
      </c>
    </row>
    <row r="28">
      <c r="A28" s="20" t="inlineStr">
        <is>
          <t>NPV / share</t>
        </is>
      </c>
      <c r="B28" s="49">
        <f>B26/B27</f>
        <v>4.720213908026392</v>
      </c>
    </row>
    <row r="29">
      <c r="A29" s="14" t="inlineStr">
        <is>
          <t>Price</t>
        </is>
      </c>
      <c r="B29" s="50">
        <f>Main!C3</f>
        <v>1.94</v>
      </c>
    </row>
    <row r="30">
      <c r="A30" s="14" t="inlineStr">
        <is>
          <t>Upside</t>
        </is>
      </c>
      <c r="B30" s="63">
        <f>B28/B29-1</f>
        <v>1.4330999525909238</v>
      </c>
    </row>
    <row r="31">
      <c r="A31" s="14" t="inlineStr">
        <is>
          <t>Terminal value, % of EV</t>
        </is>
      </c>
      <c r="B31" s="63">
        <f>IFERROR(B22/B23,0)</f>
        <v>233.71455107904544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2026-10-21T01:06:07Z</dcterms:modified>
  <cp:lastModifiedBy>Wang, Eric</cp:lastModifiedBy>
</cp:coreProperties>
</file>