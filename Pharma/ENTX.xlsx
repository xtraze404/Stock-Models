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Entera Bio Ltd</t>
        </is>
      </c>
      <c r="C2" s="10" t="n"/>
    </row>
    <row r="3">
      <c r="B3" t="inlineStr">
        <is>
          <t>Price</t>
        </is>
      </c>
      <c r="C3" s="11">
        <f>INDEX([1]Pharma!$F$1:$F$1000,MATCH("ENTX",[1]Pharma!$B$1:$B$1000,0))</f>
        <v>3.02</v>
      </c>
      <c r="F3" s="1" t="n"/>
    </row>
    <row r="4">
      <c r="B4" t="inlineStr">
        <is>
          <t>Shares</t>
        </is>
      </c>
      <c r="C4" s="21" t="n">
        <v>173.141831</v>
      </c>
      <c r="F4" s="1" t="n"/>
    </row>
    <row r="5">
      <c r="B5" t="inlineStr">
        <is>
          <t>Market Cap.</t>
        </is>
      </c>
      <c r="C5" s="13">
        <f>C3*C4</f>
        <v>522.88832962</v>
      </c>
      <c r="F5" s="1" t="n"/>
    </row>
    <row r="6"/>
    <row r="7">
      <c r="B7" t="inlineStr">
        <is>
          <t>Cash</t>
        </is>
      </c>
      <c r="C7" s="21" t="n">
        <v>11.309</v>
      </c>
    </row>
    <row r="8">
      <c r="B8" t="inlineStr">
        <is>
          <t>Debt</t>
        </is>
      </c>
      <c r="C8" s="21">
        <f>0.408+0.284</f>
        <v>0.692</v>
      </c>
    </row>
    <row r="9">
      <c r="B9" t="inlineStr">
        <is>
          <t>Enterprise V.</t>
        </is>
      </c>
      <c r="C9" s="13">
        <f>C5-C7+C8</f>
        <v>512.27132962</v>
      </c>
    </row>
    <row r="10"/>
    <row r="11">
      <c r="B11" s="14" t="inlineStr">
        <is>
          <t>rNPV / Share</t>
        </is>
      </c>
      <c r="C11" s="11">
        <f>NPV!B27</f>
        <v>0.7272167311749246</v>
      </c>
    </row>
    <row r="12">
      <c r="B12" s="14" t="inlineStr">
        <is>
          <t>Upside</t>
        </is>
      </c>
      <c r="C12" s="15">
        <f>IFERROR(C11/C3-1,"")</f>
        <v>-0.7591997578890979</v>
      </c>
    </row>
    <row r="13">
      <c r="B13" s="14" t="inlineStr">
        <is>
          <t>Cash / Share</t>
        </is>
      </c>
      <c r="C13" s="11">
        <f>IFERROR((C7-C8)/C4,"")</f>
        <v>0.06131967034586806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-10.889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0.9750206630544586</v>
      </c>
    </row>
    <row r="19">
      <c r="B19" s="14" t="inlineStr">
        <is>
          <t>Implied Pipeline Value</t>
        </is>
      </c>
      <c r="C19" s="13">
        <f>C9</f>
        <v>512.27132962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0.5</v>
      </c>
      <c r="E2" s="23" t="n">
        <v>0.236</v>
      </c>
      <c r="F2" s="23" t="n">
        <v>0.365</v>
      </c>
      <c r="G2" s="23" t="n">
        <v>0.571</v>
      </c>
      <c r="H2" s="23" t="n">
        <v>0.134</v>
      </c>
      <c r="I2" s="23" t="n">
        <v>0</v>
      </c>
      <c r="J2" s="23" t="n">
        <v>0.181</v>
      </c>
      <c r="K2" s="23" t="n">
        <v>0.042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0.21</v>
      </c>
      <c r="F3" s="23" t="n">
        <v>0.3</v>
      </c>
      <c r="G3" s="23" t="n">
        <v>0.373</v>
      </c>
      <c r="H3" s="23" t="n">
        <v>0.101</v>
      </c>
      <c r="I3" s="23" t="n">
        <v>0</v>
      </c>
      <c r="J3" s="23" t="n">
        <v>0.172</v>
      </c>
      <c r="K3" s="23" t="n">
        <v>0.042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0.5</v>
      </c>
      <c r="E4" s="23">
        <f>E2-E3</f>
        <v>0.025999999999999995</v>
      </c>
      <c r="F4" s="23">
        <f>F2-F3</f>
        <v>0.065</v>
      </c>
      <c r="G4" s="23">
        <f>G2-G3</f>
        <v>0.19799999999999995</v>
      </c>
      <c r="H4" s="23">
        <f>H2-H3</f>
        <v>0.033</v>
      </c>
      <c r="I4" s="23">
        <f>I2-I3</f>
        <v>0.0</v>
      </c>
      <c r="J4" s="23">
        <f>J2-J3</f>
        <v>0.009000000000000008</v>
      </c>
      <c r="K4" s="23">
        <f>K2-K3</f>
        <v>0.0</v>
      </c>
    </row>
    <row r="5">
      <c r="A5" s="2" t="inlineStr">
        <is>
          <t>Research &amp; Dev.</t>
        </is>
      </c>
      <c r="B5" s="23" t="n">
        <v>2.648</v>
      </c>
      <c r="C5" s="23" t="n">
        <v>2.768</v>
      </c>
      <c r="D5" s="23" t="n">
        <v>8.518000000000001</v>
      </c>
      <c r="E5" s="23" t="n">
        <v>7.199</v>
      </c>
      <c r="F5" s="23" t="n">
        <v>6.398</v>
      </c>
      <c r="G5" s="23" t="n">
        <v>6.771</v>
      </c>
      <c r="H5" s="23" t="n">
        <v>5.848</v>
      </c>
      <c r="I5" s="23" t="n">
        <v>4.51</v>
      </c>
      <c r="J5" s="23" t="n">
        <v>4.499</v>
      </c>
      <c r="K5" s="23" t="n">
        <v>6.004</v>
      </c>
    </row>
    <row r="6">
      <c r="A6" s="19" t="inlineStr">
        <is>
          <t>SG&amp;A &amp; Other</t>
        </is>
      </c>
      <c r="B6" s="23" t="n">
        <v>2.719</v>
      </c>
      <c r="C6" s="23" t="n">
        <v>8.574999999999999</v>
      </c>
      <c r="D6" s="23" t="n">
        <v>2.843</v>
      </c>
      <c r="E6" s="23" t="n">
        <v>4.281</v>
      </c>
      <c r="F6" s="23" t="n">
        <v>4.835</v>
      </c>
      <c r="G6" s="23" t="n">
        <v>5.644</v>
      </c>
      <c r="H6" s="23" t="n">
        <v>7.202</v>
      </c>
      <c r="I6" s="23" t="n">
        <v>4.381</v>
      </c>
      <c r="J6" s="23" t="n">
        <v>5.095</v>
      </c>
      <c r="K6" s="23" t="n">
        <v>5.525</v>
      </c>
    </row>
    <row r="7">
      <c r="A7" s="2" t="inlineStr">
        <is>
          <t>Operating Expense</t>
        </is>
      </c>
      <c r="B7" s="23">
        <f>SUM(B5:B6)</f>
        <v>5.367</v>
      </c>
      <c r="C7" s="23">
        <f>SUM(C5:C6)</f>
        <v>11.343</v>
      </c>
      <c r="D7" s="23">
        <f>SUM(D5:D6)</f>
        <v>11.361</v>
      </c>
      <c r="E7" s="23">
        <f>SUM(E5:E6)</f>
        <v>11.48</v>
      </c>
      <c r="F7" s="23">
        <f>SUM(F5:F6)</f>
        <v>11.233</v>
      </c>
      <c r="G7" s="23">
        <f>SUM(G5:G6)</f>
        <v>12.415</v>
      </c>
      <c r="H7" s="23">
        <f>SUM(H5:H6)</f>
        <v>13.05</v>
      </c>
      <c r="I7" s="23">
        <f>SUM(I5:I6)</f>
        <v>8.891</v>
      </c>
      <c r="J7" s="23">
        <f>SUM(J5:J6)</f>
        <v>9.594</v>
      </c>
      <c r="K7" s="23">
        <f>SUM(K5:K6)</f>
        <v>11.529</v>
      </c>
    </row>
    <row r="8">
      <c r="A8" s="2" t="inlineStr">
        <is>
          <t>Operating Income</t>
        </is>
      </c>
      <c r="B8" s="23">
        <f>B4-B7</f>
        <v>-5.367</v>
      </c>
      <c r="C8" s="23">
        <f>C4-C7</f>
        <v>-11.343</v>
      </c>
      <c r="D8" s="23">
        <f>D4-D7</f>
        <v>-10.861</v>
      </c>
      <c r="E8" s="23">
        <f>E4-E7</f>
        <v>-11.454</v>
      </c>
      <c r="F8" s="23">
        <f>F4-F7</f>
        <v>-11.168000000000001</v>
      </c>
      <c r="G8" s="23">
        <f>G4-G7</f>
        <v>-12.216999999999999</v>
      </c>
      <c r="H8" s="23">
        <f>H4-H7</f>
        <v>-13.017000000000001</v>
      </c>
      <c r="I8" s="23">
        <f>I4-I7</f>
        <v>-8.891</v>
      </c>
      <c r="J8" s="23">
        <f>J4-J7</f>
        <v>-9.584999999999999</v>
      </c>
      <c r="K8" s="23">
        <f>K4-K7</f>
        <v>-11.529</v>
      </c>
    </row>
    <row r="9">
      <c r="A9" s="19" t="inlineStr">
        <is>
          <t>Interest &amp; Other</t>
        </is>
      </c>
      <c r="B9" s="23" t="n">
        <v>4.168</v>
      </c>
      <c r="C9" s="23" t="n">
        <v>0.146</v>
      </c>
      <c r="D9" s="23" t="n">
        <v>0.5570000000000001</v>
      </c>
      <c r="E9" s="23" t="n">
        <v>0.659</v>
      </c>
      <c r="F9" s="23" t="n">
        <v>-0.028</v>
      </c>
      <c r="G9" s="23" t="n">
        <v>-0.029</v>
      </c>
      <c r="H9" s="23" t="n">
        <v>0.083</v>
      </c>
      <c r="I9" s="23" t="n">
        <v>0.031</v>
      </c>
      <c r="J9" s="23" t="n">
        <v>0.058</v>
      </c>
      <c r="K9" s="23" t="n">
        <v>0.09</v>
      </c>
    </row>
    <row r="10">
      <c r="A10" s="2" t="inlineStr">
        <is>
          <t>Pretax</t>
        </is>
      </c>
      <c r="B10" s="23">
        <f>B8+B9</f>
        <v>-1.1989999999999998</v>
      </c>
      <c r="C10" s="23">
        <f>C8+C9</f>
        <v>-11.197</v>
      </c>
      <c r="D10" s="23">
        <f>D8+D9</f>
        <v>-10.304</v>
      </c>
      <c r="E10" s="23">
        <f>E8+E9</f>
        <v>-10.795</v>
      </c>
      <c r="F10" s="23">
        <f>F8+F9</f>
        <v>-11.196000000000002</v>
      </c>
      <c r="G10" s="23">
        <f>G8+G9</f>
        <v>-12.245999999999999</v>
      </c>
      <c r="H10" s="23">
        <f>H8+H9</f>
        <v>-12.934000000000001</v>
      </c>
      <c r="I10" s="23">
        <f>I8+I9</f>
        <v>-8.86</v>
      </c>
      <c r="J10" s="23">
        <f>J8+J9</f>
        <v>-9.527</v>
      </c>
      <c r="K10" s="23">
        <f>K8+K9</f>
        <v>-11.439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0.02</v>
      </c>
      <c r="G11" s="23" t="n">
        <v>-0.059</v>
      </c>
      <c r="H11" s="23" t="n">
        <v>0.137</v>
      </c>
      <c r="I11" s="23" t="n">
        <v>0.029</v>
      </c>
      <c r="J11" s="23" t="n">
        <v>0.014</v>
      </c>
      <c r="K11" s="23" t="n">
        <v>0</v>
      </c>
    </row>
    <row r="12">
      <c r="A12" s="2" t="inlineStr">
        <is>
          <t>Net Income</t>
        </is>
      </c>
      <c r="B12" s="23" t="n">
        <v>-1.199</v>
      </c>
      <c r="C12" s="23" t="n">
        <v>-11.197</v>
      </c>
      <c r="D12" s="23" t="n">
        <v>-10.304</v>
      </c>
      <c r="E12" s="23" t="n">
        <v>-10.795</v>
      </c>
      <c r="F12" s="23" t="n">
        <v>-11.216</v>
      </c>
      <c r="G12" s="23" t="n">
        <v>-12.187</v>
      </c>
      <c r="H12" s="23" t="n">
        <v>-13.071</v>
      </c>
      <c r="I12" s="23" t="n">
        <v>-8.888999999999999</v>
      </c>
      <c r="J12" s="23" t="n">
        <v>-9.541</v>
      </c>
      <c r="K12" s="23" t="n">
        <v>-11.439</v>
      </c>
    </row>
    <row r="13">
      <c r="A13" s="2" t="inlineStr">
        <is>
          <t>Earnings per Share</t>
        </is>
      </c>
      <c r="B13" s="11">
        <f>IFERROR(B12/B14,0)</f>
        <v>-0.17747187685020724</v>
      </c>
      <c r="C13" s="11">
        <f>IFERROR(C12/C14,0)</f>
        <v>-2.4932086395012245</v>
      </c>
      <c r="D13" s="11">
        <f>IFERROR(D12/D14,0)</f>
        <v>-1.290742828510585</v>
      </c>
      <c r="E13" s="11">
        <f>IFERROR(E12/E14,0)</f>
        <v>-0.8886967975631843</v>
      </c>
      <c r="F13" s="11">
        <f>IFERROR(F12/F14,0)</f>
        <v>-0.6090025519900092</v>
      </c>
      <c r="G13" s="11">
        <f>IFERROR(G12/G14,0)</f>
        <v>-0.46632738960740794</v>
      </c>
      <c r="H13" s="11">
        <f>IFERROR(H12/H14,0)</f>
        <v>-0.45372813107470145</v>
      </c>
      <c r="I13" s="11">
        <f>IFERROR(I12/I14,0)</f>
        <v>-0.3064327082184225</v>
      </c>
      <c r="J13" s="11">
        <f>IFERROR(J12/J14,0)</f>
        <v>-0.25341301460823373</v>
      </c>
      <c r="K13" s="11">
        <f>IFERROR(K12/K14,0)</f>
        <v>-0.24764564525556926</v>
      </c>
    </row>
    <row r="14">
      <c r="A14" s="2" t="inlineStr">
        <is>
          <t>Shares</t>
        </is>
      </c>
      <c r="B14" s="23" t="n">
        <v>6.756</v>
      </c>
      <c r="C14" s="23" t="n">
        <v>4.491</v>
      </c>
      <c r="D14" s="23" t="n">
        <v>7.983</v>
      </c>
      <c r="E14" s="23" t="n">
        <v>12.147</v>
      </c>
      <c r="F14" s="23" t="n">
        <v>18.417</v>
      </c>
      <c r="G14" s="23" t="n">
        <v>26.134</v>
      </c>
      <c r="H14" s="23" t="n">
        <v>28.808</v>
      </c>
      <c r="I14" s="23" t="n">
        <v>29.008</v>
      </c>
      <c r="J14" s="23" t="n">
        <v>37.65</v>
      </c>
      <c r="K14" s="23" t="n">
        <v>46.191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-0.528</v>
      </c>
      <c r="F16" s="15">
        <f>IFERROR(F2/E2-1,"")</f>
        <v>0.5466101694915255</v>
      </c>
      <c r="G16" s="15">
        <f>IFERROR(G2/F2-1,"")</f>
        <v>0.5643835616438355</v>
      </c>
      <c r="H16" s="15">
        <f>IFERROR(H2/G2-1,"")</f>
        <v>-0.765323992994746</v>
      </c>
      <c r="I16" s="15">
        <f>IFERROR(I2/H2-1,"")</f>
        <v>-1.0</v>
      </c>
      <c r="J16" s="15">
        <f>IFERROR(J2/I2-1,"")</f>
        <v/>
      </c>
      <c r="K16" s="15">
        <f>IFERROR(K2/J2-1,"")</f>
        <v>-0.7679558011049723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0.11016949152542371</v>
      </c>
      <c r="F17" s="15">
        <f>IFERROR(F4/F2,"")</f>
        <v>0.17808219178082194</v>
      </c>
      <c r="G17" s="15">
        <f>IFERROR(G4/G2,"")</f>
        <v>0.34676007005253934</v>
      </c>
      <c r="H17" s="15">
        <f>IFERROR(H4/H2,"")</f>
        <v>0.2462686567164179</v>
      </c>
      <c r="I17" s="15">
        <f>IFERROR(I4/I2,"")</f>
        <v/>
      </c>
      <c r="J17" s="15">
        <f>IFERROR(J4/J2,"")</f>
        <v>0.049723756906077395</v>
      </c>
      <c r="K17" s="15">
        <f>IFERROR(K4/K2,"")</f>
        <v>0.0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-21.722</v>
      </c>
      <c r="E18" s="15">
        <f>IFERROR(E8/E2,"")</f>
        <v>-48.53389830508475</v>
      </c>
      <c r="F18" s="15">
        <f>IFERROR(F8/F2,"")</f>
        <v>-30.597260273972605</v>
      </c>
      <c r="G18" s="15">
        <f>IFERROR(G8/G2,"")</f>
        <v>-21.395796847635726</v>
      </c>
      <c r="H18" s="15">
        <f>IFERROR(H8/H2,"")</f>
        <v>-97.14179104477613</v>
      </c>
      <c r="I18" s="15">
        <f>IFERROR(I8/I2,"")</f>
        <v/>
      </c>
      <c r="J18" s="15">
        <f>IFERROR(J8/J2,"")</f>
        <v>-52.95580110497237</v>
      </c>
      <c r="K18" s="15">
        <f>IFERROR(K8/K2,"")</f>
        <v>-274.5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Entera Bio Ltd: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0.2047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14.4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99.8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115.29463636946122</v>
      </c>
      <c r="C29" s="42">
        <f>NPV!B25</f>
        <v>125.91163636946122</v>
      </c>
      <c r="D29" s="43">
        <f>NPV!B27</f>
        <v>0.7272167311749246</v>
      </c>
      <c r="E29" s="44">
        <f>NPV!B29</f>
        <v>-0.7591997578890979</v>
      </c>
    </row>
    <row r="30">
      <c r="A30" s="45" t="n">
        <v>1</v>
      </c>
      <c r="B30" s="46">
        <f t="dataTable" ref="B30:E32" r1="B4"/>
        <v>24.630995286460504</v>
      </c>
      <c r="C30" s="46">
        <v>35.2479952864605</v>
      </c>
      <c r="D30" s="47">
        <v>0.20357873705552126</v>
      </c>
      <c r="E30" s="48">
        <v>-0.9325898221670459</v>
      </c>
    </row>
    <row r="31">
      <c r="A31" s="45" t="n">
        <v>2</v>
      </c>
      <c r="B31" s="46">
        <v>115.29463636946122</v>
      </c>
      <c r="C31" s="46">
        <v>125.91163636946122</v>
      </c>
      <c r="D31" s="47">
        <v>0.7272167311749246</v>
      </c>
      <c r="E31" s="48">
        <v>-0.7591997578890979</v>
      </c>
    </row>
    <row r="32">
      <c r="A32" s="45" t="n">
        <v>3</v>
      </c>
      <c r="B32" s="46">
        <v>259.71598233441193</v>
      </c>
      <c r="C32" s="46">
        <v>270.33298233441195</v>
      </c>
      <c r="D32" s="47">
        <v>1.5613383592692396</v>
      </c>
      <c r="E32" s="48">
        <v>-0.4830005432883313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0.7272167311749246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0.11894276715993087</v>
      </c>
      <c r="C37" s="47">
        <v>0.2552052533324559</v>
      </c>
      <c r="D37" s="47">
        <v>0.38795563937963173</v>
      </c>
      <c r="E37" s="47">
        <v>0.6490556297145107</v>
      </c>
      <c r="F37" s="47">
        <v>0.9078952319928094</v>
      </c>
    </row>
    <row r="38">
      <c r="A38" s="50" t="n">
        <v>0.8</v>
      </c>
      <c r="B38" s="47">
        <v>0.2059761301194147</v>
      </c>
      <c r="C38" s="47">
        <v>0.38368672700448375</v>
      </c>
      <c r="D38" s="47">
        <v>0.5582431189931524</v>
      </c>
      <c r="E38" s="47">
        <v>0.9037278004891346</v>
      </c>
      <c r="F38" s="47">
        <v>1.2472865493409184</v>
      </c>
    </row>
    <row r="39">
      <c r="A39" s="50" t="n">
        <v>1</v>
      </c>
      <c r="B39" s="47">
        <v>0.2910356545418359</v>
      </c>
      <c r="C39" s="47">
        <v>0.5106669129932001</v>
      </c>
      <c r="D39" s="47">
        <v>0.7272167311749246</v>
      </c>
      <c r="E39" s="47">
        <v>1.1572294306242974</v>
      </c>
      <c r="F39" s="47">
        <v>1.5852016168451604</v>
      </c>
    </row>
    <row r="40">
      <c r="A40" s="50" t="n">
        <v>1.2</v>
      </c>
      <c r="B40" s="47">
        <v>0.3751489022541875</v>
      </c>
      <c r="C40" s="47">
        <v>0.6364042204535661</v>
      </c>
      <c r="D40" s="47">
        <v>0.8953929374817848</v>
      </c>
      <c r="E40" s="47">
        <v>1.4102977550677067</v>
      </c>
      <c r="F40" s="47">
        <v>1.922646219655634</v>
      </c>
    </row>
    <row r="41">
      <c r="A41" s="50" t="n">
        <v>1.4</v>
      </c>
      <c r="B41" s="47">
        <v>0.4583793887882823</v>
      </c>
      <c r="C41" s="47">
        <v>0.7620801454848164</v>
      </c>
      <c r="D41" s="47">
        <v>1.0630048804040015</v>
      </c>
      <c r="E41" s="47">
        <v>1.6623509471135263</v>
      </c>
      <c r="F41" s="47">
        <v>2.2600908224661067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Entera Bio Ltd: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Musculoskeletal</t>
        </is>
      </c>
      <c r="C4" s="14" t="inlineStr">
        <is>
          <t>EBP05, Forteo 0.02 mg</t>
        </is>
      </c>
      <c r="D4" s="14" t="inlineStr">
        <is>
          <t>Phase 2</t>
        </is>
      </c>
      <c r="E4" s="14" t="inlineStr">
        <is>
          <t>Other / area</t>
        </is>
      </c>
      <c r="F4" s="14" t="inlineStr">
        <is>
          <t>Owned</t>
        </is>
      </c>
      <c r="G4" s="40" t="n">
        <v>800</v>
      </c>
      <c r="H4" s="27" t="n">
        <v>0.2047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186.0383994600752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16.375999999999998</v>
      </c>
      <c r="S4" s="23">
        <f>IF(S$3&lt;$I4,0,$G4*Assumptions!$E$11*INDEX(Assumptions!$B$24:$G$24,MIN(6,S$3-$I4+1))*IF(S$3&gt;$J4,(1-Assumptions!$B$26)^(S$3-$J4),1)*IF($H4&gt;=1,1,MIN(0.97,$H4*Assumptions!$E$12)))</f>
        <v>40.94</v>
      </c>
      <c r="T4" s="23">
        <f>IF(T$3&lt;$I4,0,$G4*Assumptions!$E$11*INDEX(Assumptions!$B$24:$G$24,MIN(6,T$3-$I4+1))*IF(T$3&gt;$J4,(1-Assumptions!$B$26)^(T$3-$J4),1)*IF($H4&gt;=1,1,MIN(0.97,$H4*Assumptions!$E$12)))</f>
        <v>73.692</v>
      </c>
      <c r="U4" s="23">
        <f>IF(U$3&lt;$I4,0,$G4*Assumptions!$E$11*INDEX(Assumptions!$B$24:$G$24,MIN(6,U$3-$I4+1))*IF(U$3&gt;$J4,(1-Assumptions!$B$26)^(U$3-$J4),1)*IF($H4&gt;=1,1,MIN(0.97,$H4*Assumptions!$E$12)))</f>
        <v>106.444</v>
      </c>
      <c r="V4" s="23">
        <f>IF(V$3&lt;$I4,0,$G4*Assumptions!$E$11*INDEX(Assumptions!$B$24:$G$24,MIN(6,V$3-$I4+1))*IF(V$3&gt;$J4,(1-Assumptions!$B$26)^(V$3-$J4),1)*IF($H4&gt;=1,1,MIN(0.97,$H4*Assumptions!$E$12)))</f>
        <v>139.196</v>
      </c>
      <c r="W4" s="23">
        <f>IF(W$3&lt;$I4,0,$G4*Assumptions!$E$11*INDEX(Assumptions!$B$24:$G$24,MIN(6,W$3-$I4+1))*IF(W$3&gt;$J4,(1-Assumptions!$B$26)^(W$3-$J4),1)*IF($H4&gt;=1,1,MIN(0.97,$H4*Assumptions!$E$12)))</f>
        <v>163.76</v>
      </c>
      <c r="X4" s="23">
        <f>IF(X$3&lt;$I4,0,$G4*Assumptions!$E$11*INDEX(Assumptions!$B$24:$G$24,MIN(6,X$3-$I4+1))*IF(X$3&gt;$J4,(1-Assumptions!$B$26)^(X$3-$J4),1)*IF($H4&gt;=1,1,MIN(0.97,$H4*Assumptions!$E$12)))</f>
        <v>163.76</v>
      </c>
      <c r="Y4" s="23">
        <f>IF(Y$3&lt;$I4,0,$G4*Assumptions!$E$11*INDEX(Assumptions!$B$24:$G$24,MIN(6,Y$3-$I4+1))*IF(Y$3&gt;$J4,(1-Assumptions!$B$26)^(Y$3-$J4),1)*IF($H4&gt;=1,1,MIN(0.97,$H4*Assumptions!$E$12)))</f>
        <v>163.76</v>
      </c>
      <c r="Z4" s="23">
        <f>IF(Z$3&lt;$I4,0,$G4*Assumptions!$E$11*INDEX(Assumptions!$B$24:$G$24,MIN(6,Z$3-$I4+1))*IF(Z$3&gt;$J4,(1-Assumptions!$B$26)^(Z$3-$J4),1)*IF($H4&gt;=1,1,MIN(0.97,$H4*Assumptions!$E$12)))</f>
        <v>163.76</v>
      </c>
      <c r="AA4" s="23">
        <f>IF(AA$3&lt;$I4,0,$G4*Assumptions!$E$11*INDEX(Assumptions!$B$24:$G$24,MIN(6,AA$3-$I4+1))*IF(AA$3&gt;$J4,(1-Assumptions!$B$26)^(AA$3-$J4),1)*IF($H4&gt;=1,1,MIN(0.97,$H4*Assumptions!$E$12)))</f>
        <v>163.76</v>
      </c>
      <c r="AB4" s="23">
        <f>IF(AB$3&lt;$I4,0,$G4*Assumptions!$E$11*INDEX(Assumptions!$B$24:$G$24,MIN(6,AB$3-$I4+1))*IF(AB$3&gt;$J4,(1-Assumptions!$B$26)^(AB$3-$J4),1)*IF($H4&gt;=1,1,MIN(0.97,$H4*Assumptions!$E$12)))</f>
        <v>163.76</v>
      </c>
      <c r="AC4" s="23">
        <f>IF(AC$3&lt;$I4,0,$G4*Assumptions!$E$11*INDEX(Assumptions!$B$24:$G$24,MIN(6,AC$3-$I4+1))*IF(AC$3&gt;$J4,(1-Assumptions!$B$26)^(AC$3-$J4),1)*IF($H4&gt;=1,1,MIN(0.97,$H4*Assumptions!$E$12)))</f>
        <v>163.76</v>
      </c>
      <c r="AD4" s="23">
        <f>IF(AD$3&lt;$I4,0,$G4*Assumptions!$E$11*INDEX(Assumptions!$B$24:$G$24,MIN(6,AD$3-$I4+1))*IF(AD$3&gt;$J4,(1-Assumptions!$B$26)^(AD$3-$J4),1)*IF($H4&gt;=1,1,MIN(0.97,$H4*Assumptions!$E$12)))</f>
        <v>163.76</v>
      </c>
      <c r="AE4" s="23">
        <f>IF(AE$3&lt;$I4,0,$G4*Assumptions!$E$11*INDEX(Assumptions!$B$24:$G$24,MIN(6,AE$3-$I4+1))*IF(AE$3&gt;$J4,(1-Assumptions!$B$26)^(AE$3-$J4),1)*IF($H4&gt;=1,1,MIN(0.97,$H4*Assumptions!$E$12)))</f>
        <v>81.88</v>
      </c>
      <c r="AF4" s="23">
        <f>IF(AF$3&lt;$I4,0,$G4*Assumptions!$E$11*INDEX(Assumptions!$B$24:$G$24,MIN(6,AF$3-$I4+1))*IF(AF$3&gt;$J4,(1-Assumptions!$B$26)^(AF$3-$J4),1)*IF($H4&gt;=1,1,MIN(0.97,$H4*Assumptions!$E$12)))</f>
        <v>40.94</v>
      </c>
      <c r="AG4" s="35">
        <f>IF(F4="Owned",1-IF(H4&gt;=1,1,MIN(0.97,H4*Assumptions!$E$12)),1)</f>
        <v>0.7953</v>
      </c>
    </row>
    <row r="5">
      <c r="B5" s="24" t="inlineStr">
        <is>
          <t>Risked revenue</t>
        </is>
      </c>
      <c r="L5" s="54">
        <f>SUM(L4:L4)</f>
        <v>186.0383994600752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16.375999999999998</v>
      </c>
      <c r="S5" s="54">
        <f>SUM(S4:S4)</f>
        <v>40.94</v>
      </c>
      <c r="T5" s="54">
        <f>SUM(T4:T4)</f>
        <v>73.692</v>
      </c>
      <c r="U5" s="54">
        <f>SUM(U4:U4)</f>
        <v>106.444</v>
      </c>
      <c r="V5" s="54">
        <f>SUM(V4:V4)</f>
        <v>139.196</v>
      </c>
      <c r="W5" s="54">
        <f>SUM(W4:W4)</f>
        <v>163.76</v>
      </c>
      <c r="X5" s="54">
        <f>SUM(X4:X4)</f>
        <v>163.76</v>
      </c>
      <c r="Y5" s="54">
        <f>SUM(Y4:Y4)</f>
        <v>163.76</v>
      </c>
      <c r="Z5" s="54">
        <f>SUM(Z4:Z4)</f>
        <v>163.76</v>
      </c>
      <c r="AA5" s="54">
        <f>SUM(AA4:AA4)</f>
        <v>163.76</v>
      </c>
      <c r="AB5" s="54">
        <f>SUM(AB4:AB4)</f>
        <v>163.76</v>
      </c>
      <c r="AC5" s="54">
        <f>SUM(AC4:AC4)</f>
        <v>163.76</v>
      </c>
      <c r="AD5" s="54">
        <f>SUM(AD4:AD4)</f>
        <v>163.76</v>
      </c>
      <c r="AE5" s="54">
        <f>SUM(AE4:AE4)</f>
        <v>81.88</v>
      </c>
      <c r="AF5" s="54">
        <f>SUM(AF4:AF4)</f>
        <v>40.94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6.5504</v>
      </c>
      <c r="S6" s="55">
        <f>SUMPRODUCT(S4:S4,$K$4:$K$4)</f>
        <v>16.376</v>
      </c>
      <c r="T6" s="55">
        <f>SUMPRODUCT(T4:T4,$K$4:$K$4)</f>
        <v>29.476799999999997</v>
      </c>
      <c r="U6" s="55">
        <f>SUMPRODUCT(U4:U4,$K$4:$K$4)</f>
        <v>42.577600000000004</v>
      </c>
      <c r="V6" s="55">
        <f>SUMPRODUCT(V4:V4,$K$4:$K$4)</f>
        <v>55.6784</v>
      </c>
      <c r="W6" s="55">
        <f>SUMPRODUCT(W4:W4,$K$4:$K$4)</f>
        <v>65.504</v>
      </c>
      <c r="X6" s="55">
        <f>SUMPRODUCT(X4:X4,$K$4:$K$4)</f>
        <v>65.504</v>
      </c>
      <c r="Y6" s="55">
        <f>SUMPRODUCT(Y4:Y4,$K$4:$K$4)</f>
        <v>65.504</v>
      </c>
      <c r="Z6" s="55">
        <f>SUMPRODUCT(Z4:Z4,$K$4:$K$4)</f>
        <v>65.504</v>
      </c>
      <c r="AA6" s="55">
        <f>SUMPRODUCT(AA4:AA4,$K$4:$K$4)</f>
        <v>65.504</v>
      </c>
      <c r="AB6" s="55">
        <f>SUMPRODUCT(AB4:AB4,$K$4:$K$4)</f>
        <v>65.504</v>
      </c>
      <c r="AC6" s="55">
        <f>SUMPRODUCT(AC4:AC4,$K$4:$K$4)</f>
        <v>65.504</v>
      </c>
      <c r="AD6" s="55">
        <f>SUMPRODUCT(AD4:AD4,$K$4:$K$4)</f>
        <v>65.504</v>
      </c>
      <c r="AE6" s="55">
        <f>SUMPRODUCT(AE4:AE4,$K$4:$K$4)</f>
        <v>32.752</v>
      </c>
      <c r="AF6" s="55">
        <f>SUMPRODUCT(AF4:AF4,$K$4:$K$4)</f>
        <v>16.376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Entera Bio Ltd: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16.375999999999998</v>
      </c>
      <c r="I4" s="57">
        <f>Pipeline!S5</f>
        <v>40.94</v>
      </c>
      <c r="J4" s="57">
        <f>Pipeline!T5</f>
        <v>73.692</v>
      </c>
      <c r="K4" s="57">
        <f>Pipeline!U5</f>
        <v>106.444</v>
      </c>
      <c r="L4" s="57">
        <f>Pipeline!V5</f>
        <v>139.196</v>
      </c>
      <c r="M4" s="57">
        <f>Pipeline!W5</f>
        <v>163.76</v>
      </c>
      <c r="N4" s="57">
        <f>Pipeline!X5</f>
        <v>163.76</v>
      </c>
      <c r="O4" s="57">
        <f>Pipeline!Y5</f>
        <v>163.76</v>
      </c>
      <c r="P4" s="57">
        <f>Pipeline!Z5</f>
        <v>163.76</v>
      </c>
      <c r="Q4" s="57">
        <f>Pipeline!AA5</f>
        <v>163.76</v>
      </c>
      <c r="R4" s="57">
        <f>Pipeline!AB5</f>
        <v>163.76</v>
      </c>
      <c r="S4" s="57">
        <f>Pipeline!AC5</f>
        <v>163.76</v>
      </c>
      <c r="T4" s="57">
        <f>Pipeline!AD5</f>
        <v>163.76</v>
      </c>
      <c r="U4" s="57">
        <f>Pipeline!AE5</f>
        <v>81.88</v>
      </c>
      <c r="V4" s="57">
        <f>Pipeline!AF5</f>
        <v>40.94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6.5504</v>
      </c>
      <c r="I5" s="57">
        <f>Pipeline!S6</f>
        <v>16.376</v>
      </c>
      <c r="J5" s="57">
        <f>Pipeline!T6</f>
        <v>29.476799999999997</v>
      </c>
      <c r="K5" s="57">
        <f>Pipeline!U6</f>
        <v>42.577600000000004</v>
      </c>
      <c r="L5" s="57">
        <f>Pipeline!V6</f>
        <v>55.6784</v>
      </c>
      <c r="M5" s="57">
        <f>Pipeline!W6</f>
        <v>65.504</v>
      </c>
      <c r="N5" s="57">
        <f>Pipeline!X6</f>
        <v>65.504</v>
      </c>
      <c r="O5" s="57">
        <f>Pipeline!Y6</f>
        <v>65.504</v>
      </c>
      <c r="P5" s="57">
        <f>Pipeline!Z6</f>
        <v>65.504</v>
      </c>
      <c r="Q5" s="57">
        <f>Pipeline!AA6</f>
        <v>65.504</v>
      </c>
      <c r="R5" s="57">
        <f>Pipeline!AB6</f>
        <v>65.504</v>
      </c>
      <c r="S5" s="57">
        <f>Pipeline!AC6</f>
        <v>65.504</v>
      </c>
      <c r="T5" s="57">
        <f>Pipeline!AD6</f>
        <v>65.504</v>
      </c>
      <c r="U5" s="57">
        <f>Pipeline!AE6</f>
        <v>32.752</v>
      </c>
      <c r="V5" s="57">
        <f>Pipeline!AF6</f>
        <v>16.376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-14.4</v>
      </c>
      <c r="D6" s="23">
        <f>-IF(D3-2026&lt;Assumptions!$B$19,Assumptions!$B$18,Assumptions!$B$18*Assumptions!$B$20*Assumptions!$B$16)</f>
        <v>-14.4</v>
      </c>
      <c r="E6" s="23">
        <f>-IF(E3-2026&lt;Assumptions!$B$19,Assumptions!$B$18,Assumptions!$B$18*Assumptions!$B$20*Assumptions!$B$16)</f>
        <v>-14.4</v>
      </c>
      <c r="F6" s="23">
        <f>-IF(F3-2026&lt;Assumptions!$B$19,Assumptions!$B$18,Assumptions!$B$18*Assumptions!$B$20*Assumptions!$B$16)</f>
        <v>-14.4</v>
      </c>
      <c r="G6" s="23">
        <f>-IF(G3-2026&lt;Assumptions!$B$19,Assumptions!$B$18,Assumptions!$B$18*Assumptions!$B$20*Assumptions!$B$16)</f>
        <v>-0.884304</v>
      </c>
      <c r="H6" s="23">
        <f>-IF(H3-2026&lt;Assumptions!$B$19,Assumptions!$B$18,Assumptions!$B$18*Assumptions!$B$20*Assumptions!$B$16)</f>
        <v>-0.884304</v>
      </c>
      <c r="I6" s="23">
        <f>-IF(I3-2026&lt;Assumptions!$B$19,Assumptions!$B$18,Assumptions!$B$18*Assumptions!$B$20*Assumptions!$B$16)</f>
        <v>-0.884304</v>
      </c>
      <c r="J6" s="23">
        <f>-IF(J3-2026&lt;Assumptions!$B$19,Assumptions!$B$18,Assumptions!$B$18*Assumptions!$B$20*Assumptions!$B$16)</f>
        <v>-0.884304</v>
      </c>
      <c r="K6" s="23">
        <f>-IF(K3-2026&lt;Assumptions!$B$19,Assumptions!$B$18,Assumptions!$B$18*Assumptions!$B$20*Assumptions!$B$16)</f>
        <v>-0.884304</v>
      </c>
      <c r="L6" s="23">
        <f>-IF(L3-2026&lt;Assumptions!$B$19,Assumptions!$B$18,Assumptions!$B$18*Assumptions!$B$20*Assumptions!$B$16)</f>
        <v>-0.884304</v>
      </c>
      <c r="M6" s="23">
        <f>-IF(M3-2026&lt;Assumptions!$B$19,Assumptions!$B$18,Assumptions!$B$18*Assumptions!$B$20*Assumptions!$B$16)</f>
        <v>-0.884304</v>
      </c>
      <c r="N6" s="23">
        <f>-IF(N3-2026&lt;Assumptions!$B$19,Assumptions!$B$18,Assumptions!$B$18*Assumptions!$B$20*Assumptions!$B$16)</f>
        <v>-0.884304</v>
      </c>
      <c r="O6" s="23">
        <f>-IF(O3-2026&lt;Assumptions!$B$19,Assumptions!$B$18,Assumptions!$B$18*Assumptions!$B$20*Assumptions!$B$16)</f>
        <v>-0.884304</v>
      </c>
      <c r="P6" s="23">
        <f>-IF(P3-2026&lt;Assumptions!$B$19,Assumptions!$B$18,Assumptions!$B$18*Assumptions!$B$20*Assumptions!$B$16)</f>
        <v>-0.884304</v>
      </c>
      <c r="Q6" s="23">
        <f>-IF(Q3-2026&lt;Assumptions!$B$19,Assumptions!$B$18,Assumptions!$B$18*Assumptions!$B$20*Assumptions!$B$16)</f>
        <v>-0.884304</v>
      </c>
      <c r="R6" s="23">
        <f>-IF(R3-2026&lt;Assumptions!$B$19,Assumptions!$B$18,Assumptions!$B$18*Assumptions!$B$20*Assumptions!$B$16)</f>
        <v>-0.884304</v>
      </c>
      <c r="S6" s="23">
        <f>-IF(S3-2026&lt;Assumptions!$B$19,Assumptions!$B$18,Assumptions!$B$18*Assumptions!$B$20*Assumptions!$B$16)</f>
        <v>-0.884304</v>
      </c>
      <c r="T6" s="23">
        <f>-IF(T3-2026&lt;Assumptions!$B$19,Assumptions!$B$18,Assumptions!$B$18*Assumptions!$B$20*Assumptions!$B$16)</f>
        <v>-0.884304</v>
      </c>
      <c r="U6" s="23">
        <f>-IF(U3-2026&lt;Assumptions!$B$19,Assumptions!$B$18,Assumptions!$B$18*Assumptions!$B$20*Assumptions!$B$16)</f>
        <v>-0.884304</v>
      </c>
      <c r="V6" s="23">
        <f>-IF(V3-2026&lt;Assumptions!$B$19,Assumptions!$B$18,Assumptions!$B$18*Assumptions!$B$20*Assumptions!$B$16)</f>
        <v>-0.884304</v>
      </c>
    </row>
    <row r="7">
      <c r="A7" s="14" t="inlineStr">
        <is>
          <t>Pre-tax cash flow</t>
        </is>
      </c>
      <c r="C7" s="23">
        <f>C5+C6</f>
        <v>-14.4</v>
      </c>
      <c r="D7" s="23">
        <f>D5+D6</f>
        <v>-14.4</v>
      </c>
      <c r="E7" s="23">
        <f>E5+E6</f>
        <v>-14.4</v>
      </c>
      <c r="F7" s="23">
        <f>F5+F6</f>
        <v>-14.4</v>
      </c>
      <c r="G7" s="23">
        <f>G5+G6</f>
        <v>-0.884304</v>
      </c>
      <c r="H7" s="23">
        <f>H5+H6</f>
        <v>5.666096</v>
      </c>
      <c r="I7" s="23">
        <f>I5+I6</f>
        <v>15.491696000000001</v>
      </c>
      <c r="J7" s="23">
        <f>J5+J6</f>
        <v>28.592495999999997</v>
      </c>
      <c r="K7" s="23">
        <f>K5+K6</f>
        <v>41.693296000000004</v>
      </c>
      <c r="L7" s="23">
        <f>L5+L6</f>
        <v>54.794096</v>
      </c>
      <c r="M7" s="23">
        <f>M5+M6</f>
        <v>64.619696</v>
      </c>
      <c r="N7" s="23">
        <f>N5+N6</f>
        <v>64.619696</v>
      </c>
      <c r="O7" s="23">
        <f>O5+O6</f>
        <v>64.619696</v>
      </c>
      <c r="P7" s="23">
        <f>P5+P6</f>
        <v>64.619696</v>
      </c>
      <c r="Q7" s="23">
        <f>Q5+Q6</f>
        <v>64.619696</v>
      </c>
      <c r="R7" s="23">
        <f>R5+R6</f>
        <v>64.619696</v>
      </c>
      <c r="S7" s="23">
        <f>S5+S6</f>
        <v>64.619696</v>
      </c>
      <c r="T7" s="23">
        <f>T5+T6</f>
        <v>64.619696</v>
      </c>
      <c r="U7" s="23">
        <f>U5+U6</f>
        <v>31.867696000000002</v>
      </c>
      <c r="V7" s="23">
        <f>V5+V6</f>
        <v>15.491696000000001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5.666096</v>
      </c>
      <c r="I8" s="23">
        <f>MIN(H17,MAX(0,I7))</f>
        <v>15.491696000000001</v>
      </c>
      <c r="J8" s="23">
        <f>MIN(I17,MAX(0,J7))</f>
        <v>28.592495999999997</v>
      </c>
      <c r="K8" s="23">
        <f>MIN(J17,MAX(0,K7))</f>
        <v>41.693296000000004</v>
      </c>
      <c r="L8" s="23">
        <f>MIN(K17,MAX(0,L7))</f>
        <v>54.794096</v>
      </c>
      <c r="M8" s="23">
        <f>MIN(L17,MAX(0,M7))</f>
        <v>12.046623999999987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52.57307200000002</v>
      </c>
      <c r="N9" s="23">
        <f>MAX(0,N7)-N8</f>
        <v>64.619696</v>
      </c>
      <c r="O9" s="23">
        <f>MAX(0,O7)-O8</f>
        <v>64.619696</v>
      </c>
      <c r="P9" s="23">
        <f>MAX(0,P7)-P8</f>
        <v>64.619696</v>
      </c>
      <c r="Q9" s="23">
        <f>MAX(0,Q7)-Q8</f>
        <v>64.619696</v>
      </c>
      <c r="R9" s="23">
        <f>MAX(0,R7)-R8</f>
        <v>64.619696</v>
      </c>
      <c r="S9" s="23">
        <f>MAX(0,S7)-S8</f>
        <v>64.619696</v>
      </c>
      <c r="T9" s="23">
        <f>MAX(0,T7)-T8</f>
        <v>64.619696</v>
      </c>
      <c r="U9" s="23">
        <f>MAX(0,U7)-U8</f>
        <v>31.867696000000002</v>
      </c>
      <c r="V9" s="23">
        <f>MAX(0,V7)-V8</f>
        <v>15.491696000000001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11.040345120000003</v>
      </c>
      <c r="N10" s="23">
        <f>N9*Assumptions!$E$15</f>
        <v>13.57013616</v>
      </c>
      <c r="O10" s="23">
        <f>O9*Assumptions!$E$15</f>
        <v>13.57013616</v>
      </c>
      <c r="P10" s="23">
        <f>P9*Assumptions!$E$15</f>
        <v>13.57013616</v>
      </c>
      <c r="Q10" s="23">
        <f>Q9*Assumptions!$E$15</f>
        <v>13.57013616</v>
      </c>
      <c r="R10" s="23">
        <f>R9*Assumptions!$E$15</f>
        <v>13.57013616</v>
      </c>
      <c r="S10" s="23">
        <f>S9*Assumptions!$E$15</f>
        <v>13.57013616</v>
      </c>
      <c r="T10" s="23">
        <f>T9*Assumptions!$E$15</f>
        <v>13.57013616</v>
      </c>
      <c r="U10" s="23">
        <f>U9*Assumptions!$E$15</f>
        <v>6.69221616</v>
      </c>
      <c r="V10" s="23">
        <f>V9*Assumptions!$E$15</f>
        <v>3.2532561600000003</v>
      </c>
    </row>
    <row r="11">
      <c r="A11" s="24" t="inlineStr">
        <is>
          <t>Free cash flow</t>
        </is>
      </c>
      <c r="C11" s="55">
        <f>C7-C10</f>
        <v>-14.4</v>
      </c>
      <c r="D11" s="55">
        <f>D7-D10</f>
        <v>-14.4</v>
      </c>
      <c r="E11" s="55">
        <f>E7-E10</f>
        <v>-14.4</v>
      </c>
      <c r="F11" s="55">
        <f>F7-F10</f>
        <v>-14.4</v>
      </c>
      <c r="G11" s="55">
        <f>G7-G10</f>
        <v>-0.884304</v>
      </c>
      <c r="H11" s="55">
        <f>H7-H10</f>
        <v>5.666096</v>
      </c>
      <c r="I11" s="55">
        <f>I7-I10</f>
        <v>15.491696000000001</v>
      </c>
      <c r="J11" s="55">
        <f>J7-J10</f>
        <v>28.592495999999997</v>
      </c>
      <c r="K11" s="55">
        <f>K7-K10</f>
        <v>41.693296000000004</v>
      </c>
      <c r="L11" s="55">
        <f>L7-L10</f>
        <v>54.794096</v>
      </c>
      <c r="M11" s="55">
        <f>M7-M10</f>
        <v>53.57935088</v>
      </c>
      <c r="N11" s="55">
        <f>N7-N10</f>
        <v>51.04955984</v>
      </c>
      <c r="O11" s="55">
        <f>O7-O10</f>
        <v>51.04955984</v>
      </c>
      <c r="P11" s="55">
        <f>P7-P10</f>
        <v>51.04955984</v>
      </c>
      <c r="Q11" s="55">
        <f>Q7-Q10</f>
        <v>51.04955984</v>
      </c>
      <c r="R11" s="55">
        <f>R7-R10</f>
        <v>51.04955984</v>
      </c>
      <c r="S11" s="55">
        <f>S7-S10</f>
        <v>51.04955984</v>
      </c>
      <c r="T11" s="55">
        <f>T7-T10</f>
        <v>51.04955984</v>
      </c>
      <c r="U11" s="55">
        <f>U7-U10</f>
        <v>25.17547984</v>
      </c>
      <c r="V11" s="55">
        <f>V7-V10</f>
        <v>12.238439840000002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-7.054622625811122</v>
      </c>
      <c r="D16" s="55">
        <f>D11*D15</f>
        <v>-12.851170204142887</v>
      </c>
      <c r="E16" s="55">
        <f>E11*E15</f>
        <v>-11.47425911084186</v>
      </c>
      <c r="F16" s="55">
        <f>F11*F15</f>
        <v>-10.244874206108804</v>
      </c>
      <c r="G16" s="55">
        <f>G11*G15</f>
        <v>-0.5617301116045906</v>
      </c>
      <c r="H16" s="55">
        <f>H11*H15</f>
        <v>3.213601498267003</v>
      </c>
      <c r="I16" s="55">
        <f>I11*I15</f>
        <v>7.844929338771121</v>
      </c>
      <c r="J16" s="55">
        <f>J11*J15</f>
        <v>12.927784870030179</v>
      </c>
      <c r="K16" s="55">
        <f>K11*K15</f>
        <v>16.831400486365176</v>
      </c>
      <c r="L16" s="55">
        <f>L11*L15</f>
        <v>19.7501213483959</v>
      </c>
      <c r="M16" s="55">
        <f>M11*M15</f>
        <v>17.243103188921683</v>
      </c>
      <c r="N16" s="55">
        <f>N11*N15</f>
        <v>14.66871121344641</v>
      </c>
      <c r="O16" s="55">
        <f>O11*O15</f>
        <v>13.097063583434295</v>
      </c>
      <c r="P16" s="55">
        <f>P11*P15</f>
        <v>11.693806770923475</v>
      </c>
      <c r="Q16" s="55">
        <f>Q11*Q15</f>
        <v>10.440898902610245</v>
      </c>
      <c r="R16" s="55">
        <f>R11*R15</f>
        <v>9.322231163044862</v>
      </c>
      <c r="S16" s="55">
        <f>S11*S15</f>
        <v>8.323420681290054</v>
      </c>
      <c r="T16" s="55">
        <f>T11*T15</f>
        <v>7.4316256082946905</v>
      </c>
      <c r="U16" s="55">
        <f>U11*U15</f>
        <v>3.272288265182976</v>
      </c>
      <c r="V16" s="55">
        <f>V11*V15</f>
        <v>1.4203057089923907</v>
      </c>
    </row>
    <row r="17">
      <c r="A17" s="14" t="inlineStr">
        <is>
          <t>Tax-loss carryforward, end of year</t>
        </is>
      </c>
      <c r="C17" s="23">
        <f>Assumptions!$B$21-C8+MAX(0,-C7)</f>
        <v>114.2</v>
      </c>
      <c r="D17" s="23">
        <f>C17-D8+MAX(0,-D7)</f>
        <v>128.6</v>
      </c>
      <c r="E17" s="23">
        <f>D17-E8+MAX(0,-E7)</f>
        <v>143.0</v>
      </c>
      <c r="F17" s="23">
        <f>E17-F8+MAX(0,-F7)</f>
        <v>157.4</v>
      </c>
      <c r="G17" s="23">
        <f>F17-G8+MAX(0,-G7)</f>
        <v>158.284304</v>
      </c>
      <c r="H17" s="23">
        <f>G17-H8+MAX(0,-H7)</f>
        <v>152.61820799999998</v>
      </c>
      <c r="I17" s="23">
        <f>H17-I8+MAX(0,-I7)</f>
        <v>137.126512</v>
      </c>
      <c r="J17" s="23">
        <f>I17-J8+MAX(0,-J7)</f>
        <v>108.534016</v>
      </c>
      <c r="K17" s="23">
        <f>J17-K8+MAX(0,-K7)</f>
        <v>66.84071999999999</v>
      </c>
      <c r="L17" s="23">
        <f>K17-L8+MAX(0,-L7)</f>
        <v>12.046623999999987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186.0383994600752</v>
      </c>
    </row>
    <row r="20">
      <c r="A20" s="14" t="inlineStr">
        <is>
          <t>PV of corporate burn</t>
        </is>
      </c>
      <c r="B20" s="23">
        <f>SUMPRODUCT(C6:V6,C15:V15)</f>
        <v>-46.012523928300176</v>
      </c>
    </row>
    <row r="21">
      <c r="A21" s="14" t="inlineStr">
        <is>
          <t>PV of taxes</t>
        </is>
      </c>
      <c r="B21" s="23">
        <f>-SUMPRODUCT(C10:V10,C15:V15)</f>
        <v>-24.731239162313834</v>
      </c>
    </row>
    <row r="22">
      <c r="A22" s="24" t="inlineStr">
        <is>
          <t>Pipeline rNPV (operations)</t>
        </is>
      </c>
      <c r="B22" s="54">
        <f>SUM(C16:V16)</f>
        <v>115.29463636946122</v>
      </c>
    </row>
    <row r="23">
      <c r="A23" s="14" t="inlineStr">
        <is>
          <t>Cash &amp; investments</t>
        </is>
      </c>
      <c r="B23" s="57">
        <f>Main!C7</f>
        <v>11.309</v>
      </c>
    </row>
    <row r="24">
      <c r="A24" s="14" t="inlineStr">
        <is>
          <t>Debt</t>
        </is>
      </c>
      <c r="B24" s="57">
        <f>Main!C8</f>
        <v>0.692</v>
      </c>
    </row>
    <row r="25">
      <c r="A25" s="24" t="inlineStr">
        <is>
          <t>Equity value</t>
        </is>
      </c>
      <c r="B25" s="54">
        <f>B22+B23-B24</f>
        <v>125.91163636946122</v>
      </c>
    </row>
    <row r="26">
      <c r="A26" s="14" t="inlineStr">
        <is>
          <t>Shares (mm)</t>
        </is>
      </c>
      <c r="B26" s="57">
        <f>Main!C4</f>
        <v>173.141831</v>
      </c>
    </row>
    <row r="27">
      <c r="A27" s="24" t="inlineStr">
        <is>
          <t>rNPV / share</t>
        </is>
      </c>
      <c r="B27" s="60">
        <f>B25/B26</f>
        <v>0.7272167311749246</v>
      </c>
    </row>
    <row r="28">
      <c r="A28" s="14" t="inlineStr">
        <is>
          <t>Price</t>
        </is>
      </c>
      <c r="B28" s="61">
        <f>Main!C3</f>
        <v>3.02</v>
      </c>
    </row>
    <row r="29">
      <c r="A29" s="14" t="inlineStr">
        <is>
          <t>Upside</t>
        </is>
      </c>
      <c r="B29" s="62">
        <f>B27/B28-1</f>
        <v>-0.7591997578890979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2026-10-21T06:25:15Z</dcterms:modified>
  <cp:lastModifiedBy>Wang, Eric</cp:lastModifiedBy>
</cp:coreProperties>
</file>