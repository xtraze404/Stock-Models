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Entera Bio Ltd</t>
        </is>
      </c>
      <c r="C2" s="10" t="n"/>
    </row>
    <row r="3">
      <c r="B3" t="inlineStr">
        <is>
          <t>Price</t>
        </is>
      </c>
      <c r="C3" s="11">
        <f>INDEX([1]Pharma!$F$1:$F$1000,MATCH("ENTX",[1]Pharma!$B$1:$B$1000,0))</f>
        <v>3.02</v>
      </c>
      <c r="F3" s="1" t="n"/>
    </row>
    <row r="4">
      <c r="B4" t="inlineStr">
        <is>
          <t>Shares</t>
        </is>
      </c>
      <c r="C4" s="21" t="n">
        <v>173.141831</v>
      </c>
      <c r="F4" s="1" t="n"/>
    </row>
    <row r="5">
      <c r="B5" t="inlineStr">
        <is>
          <t>Market Cap.</t>
        </is>
      </c>
      <c r="C5" s="13">
        <f>C3*C4</f>
        <v>522.88832962</v>
      </c>
      <c r="F5" s="1" t="n"/>
    </row>
    <row r="6"/>
    <row r="7">
      <c r="B7" t="inlineStr">
        <is>
          <t>Cash</t>
        </is>
      </c>
      <c r="C7" s="21" t="n">
        <v>11.309</v>
      </c>
    </row>
    <row r="8">
      <c r="B8" t="inlineStr">
        <is>
          <t>Debt</t>
        </is>
      </c>
      <c r="C8" s="21">
        <f>0.408+0.284</f>
        <v>0.692</v>
      </c>
    </row>
    <row r="9">
      <c r="B9" t="inlineStr">
        <is>
          <t>Enterprise V.</t>
        </is>
      </c>
      <c r="C9" s="13">
        <f>C5-C7+C8</f>
        <v>512.27132962</v>
      </c>
    </row>
    <row r="10"/>
    <row r="11">
      <c r="B11" s="14" t="inlineStr">
        <is>
          <t>Net Cash / Share</t>
        </is>
      </c>
      <c r="C11" s="11">
        <f>(C7-C8)/C4</f>
        <v>0.06131967034586806</v>
      </c>
    </row>
    <row r="12">
      <c r="B12" s="14" t="inlineStr">
        <is>
          <t>Upside</t>
        </is>
      </c>
      <c r="C12" s="15">
        <f>IFERROR(C11/C3-1,"")</f>
        <v>-0.979695473395408</v>
      </c>
    </row>
    <row r="13">
      <c r="B13" s="14" t="inlineStr">
        <is>
          <t>Cash / Share</t>
        </is>
      </c>
      <c r="C13" s="11">
        <f>IFERROR((C7-C8)/C4,"")</f>
        <v>0.06131967034586806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-10.889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0.9750206630544586</v>
      </c>
    </row>
    <row r="19">
      <c r="B19" s="14" t="inlineStr">
        <is>
          <t>Implied Pipeline Value</t>
        </is>
      </c>
      <c r="C19" s="13">
        <f>C9</f>
        <v>512.27132962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0.5</v>
      </c>
      <c r="E2" s="23" t="n">
        <v>0.236</v>
      </c>
      <c r="F2" s="23" t="n">
        <v>0.365</v>
      </c>
      <c r="G2" s="23" t="n">
        <v>0.571</v>
      </c>
      <c r="H2" s="23" t="n">
        <v>0.134</v>
      </c>
      <c r="I2" s="23" t="n">
        <v>0</v>
      </c>
      <c r="J2" s="23" t="n">
        <v>0.181</v>
      </c>
      <c r="K2" s="23" t="n">
        <v>0.042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0.21</v>
      </c>
      <c r="F3" s="23" t="n">
        <v>0.3</v>
      </c>
      <c r="G3" s="23" t="n">
        <v>0.373</v>
      </c>
      <c r="H3" s="23" t="n">
        <v>0.101</v>
      </c>
      <c r="I3" s="23" t="n">
        <v>0</v>
      </c>
      <c r="J3" s="23" t="n">
        <v>0.172</v>
      </c>
      <c r="K3" s="23" t="n">
        <v>0.042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0.5</v>
      </c>
      <c r="E4" s="23">
        <f>E2-E3</f>
        <v>0.025999999999999995</v>
      </c>
      <c r="F4" s="23">
        <f>F2-F3</f>
        <v>0.065</v>
      </c>
      <c r="G4" s="23">
        <f>G2-G3</f>
        <v>0.19799999999999995</v>
      </c>
      <c r="H4" s="23">
        <f>H2-H3</f>
        <v>0.033</v>
      </c>
      <c r="I4" s="23">
        <f>I2-I3</f>
        <v>0.0</v>
      </c>
      <c r="J4" s="23">
        <f>J2-J3</f>
        <v>0.009000000000000008</v>
      </c>
      <c r="K4" s="23">
        <f>K2-K3</f>
        <v>0.0</v>
      </c>
    </row>
    <row r="5">
      <c r="A5" s="2" t="inlineStr">
        <is>
          <t>Research &amp; Dev.</t>
        </is>
      </c>
      <c r="B5" s="23" t="n">
        <v>2.648</v>
      </c>
      <c r="C5" s="23" t="n">
        <v>2.768</v>
      </c>
      <c r="D5" s="23" t="n">
        <v>8.518000000000001</v>
      </c>
      <c r="E5" s="23" t="n">
        <v>7.199</v>
      </c>
      <c r="F5" s="23" t="n">
        <v>6.398</v>
      </c>
      <c r="G5" s="23" t="n">
        <v>6.771</v>
      </c>
      <c r="H5" s="23" t="n">
        <v>5.848</v>
      </c>
      <c r="I5" s="23" t="n">
        <v>4.51</v>
      </c>
      <c r="J5" s="23" t="n">
        <v>4.499</v>
      </c>
      <c r="K5" s="23" t="n">
        <v>6.004</v>
      </c>
    </row>
    <row r="6">
      <c r="A6" s="19" t="inlineStr">
        <is>
          <t>SG&amp;A &amp; Other</t>
        </is>
      </c>
      <c r="B6" s="23" t="n">
        <v>2.719</v>
      </c>
      <c r="C6" s="23" t="n">
        <v>8.574999999999999</v>
      </c>
      <c r="D6" s="23" t="n">
        <v>2.843</v>
      </c>
      <c r="E6" s="23" t="n">
        <v>4.281</v>
      </c>
      <c r="F6" s="23" t="n">
        <v>4.835</v>
      </c>
      <c r="G6" s="23" t="n">
        <v>5.644</v>
      </c>
      <c r="H6" s="23" t="n">
        <v>7.202</v>
      </c>
      <c r="I6" s="23" t="n">
        <v>4.381</v>
      </c>
      <c r="J6" s="23" t="n">
        <v>5.095</v>
      </c>
      <c r="K6" s="23" t="n">
        <v>5.525</v>
      </c>
    </row>
    <row r="7">
      <c r="A7" s="2" t="inlineStr">
        <is>
          <t>Operating Expense</t>
        </is>
      </c>
      <c r="B7" s="23">
        <f>SUM(B5:B6)</f>
        <v>5.367</v>
      </c>
      <c r="C7" s="23">
        <f>SUM(C5:C6)</f>
        <v>11.343</v>
      </c>
      <c r="D7" s="23">
        <f>SUM(D5:D6)</f>
        <v>11.361</v>
      </c>
      <c r="E7" s="23">
        <f>SUM(E5:E6)</f>
        <v>11.48</v>
      </c>
      <c r="F7" s="23">
        <f>SUM(F5:F6)</f>
        <v>11.233</v>
      </c>
      <c r="G7" s="23">
        <f>SUM(G5:G6)</f>
        <v>12.415</v>
      </c>
      <c r="H7" s="23">
        <f>SUM(H5:H6)</f>
        <v>13.05</v>
      </c>
      <c r="I7" s="23">
        <f>SUM(I5:I6)</f>
        <v>8.891</v>
      </c>
      <c r="J7" s="23">
        <f>SUM(J5:J6)</f>
        <v>9.594</v>
      </c>
      <c r="K7" s="23">
        <f>SUM(K5:K6)</f>
        <v>11.529</v>
      </c>
    </row>
    <row r="8">
      <c r="A8" s="2" t="inlineStr">
        <is>
          <t>Operating Income</t>
        </is>
      </c>
      <c r="B8" s="23">
        <f>B4-B7</f>
        <v>-5.367</v>
      </c>
      <c r="C8" s="23">
        <f>C4-C7</f>
        <v>-11.343</v>
      </c>
      <c r="D8" s="23">
        <f>D4-D7</f>
        <v>-10.861</v>
      </c>
      <c r="E8" s="23">
        <f>E4-E7</f>
        <v>-11.454</v>
      </c>
      <c r="F8" s="23">
        <f>F4-F7</f>
        <v>-11.168000000000001</v>
      </c>
      <c r="G8" s="23">
        <f>G4-G7</f>
        <v>-12.216999999999999</v>
      </c>
      <c r="H8" s="23">
        <f>H4-H7</f>
        <v>-13.017000000000001</v>
      </c>
      <c r="I8" s="23">
        <f>I4-I7</f>
        <v>-8.891</v>
      </c>
      <c r="J8" s="23">
        <f>J4-J7</f>
        <v>-9.584999999999999</v>
      </c>
      <c r="K8" s="23">
        <f>K4-K7</f>
        <v>-11.529</v>
      </c>
    </row>
    <row r="9">
      <c r="A9" s="19" t="inlineStr">
        <is>
          <t>Interest &amp; Other</t>
        </is>
      </c>
      <c r="B9" s="23" t="n">
        <v>4.168</v>
      </c>
      <c r="C9" s="23" t="n">
        <v>0.146</v>
      </c>
      <c r="D9" s="23" t="n">
        <v>0.5570000000000001</v>
      </c>
      <c r="E9" s="23" t="n">
        <v>0.659</v>
      </c>
      <c r="F9" s="23" t="n">
        <v>-0.028</v>
      </c>
      <c r="G9" s="23" t="n">
        <v>-0.029</v>
      </c>
      <c r="H9" s="23" t="n">
        <v>0.083</v>
      </c>
      <c r="I9" s="23" t="n">
        <v>0.031</v>
      </c>
      <c r="J9" s="23" t="n">
        <v>0.058</v>
      </c>
      <c r="K9" s="23" t="n">
        <v>0.09</v>
      </c>
    </row>
    <row r="10">
      <c r="A10" s="2" t="inlineStr">
        <is>
          <t>Pretax</t>
        </is>
      </c>
      <c r="B10" s="23">
        <f>B8+B9</f>
        <v>-1.1989999999999998</v>
      </c>
      <c r="C10" s="23">
        <f>C8+C9</f>
        <v>-11.197</v>
      </c>
      <c r="D10" s="23">
        <f>D8+D9</f>
        <v>-10.304</v>
      </c>
      <c r="E10" s="23">
        <f>E8+E9</f>
        <v>-10.795</v>
      </c>
      <c r="F10" s="23">
        <f>F8+F9</f>
        <v>-11.196000000000002</v>
      </c>
      <c r="G10" s="23">
        <f>G8+G9</f>
        <v>-12.245999999999999</v>
      </c>
      <c r="H10" s="23">
        <f>H8+H9</f>
        <v>-12.934000000000001</v>
      </c>
      <c r="I10" s="23">
        <f>I8+I9</f>
        <v>-8.86</v>
      </c>
      <c r="J10" s="23">
        <f>J8+J9</f>
        <v>-9.527</v>
      </c>
      <c r="K10" s="23">
        <f>K8+K9</f>
        <v>-11.439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0.02</v>
      </c>
      <c r="G11" s="23" t="n">
        <v>-0.059</v>
      </c>
      <c r="H11" s="23" t="n">
        <v>0.137</v>
      </c>
      <c r="I11" s="23" t="n">
        <v>0.029</v>
      </c>
      <c r="J11" s="23" t="n">
        <v>0.014</v>
      </c>
      <c r="K11" s="23" t="n">
        <v>0</v>
      </c>
    </row>
    <row r="12">
      <c r="A12" s="2" t="inlineStr">
        <is>
          <t>Net Income</t>
        </is>
      </c>
      <c r="B12" s="23" t="n">
        <v>-1.199</v>
      </c>
      <c r="C12" s="23" t="n">
        <v>-11.197</v>
      </c>
      <c r="D12" s="23" t="n">
        <v>-10.304</v>
      </c>
      <c r="E12" s="23" t="n">
        <v>-10.795</v>
      </c>
      <c r="F12" s="23" t="n">
        <v>-11.216</v>
      </c>
      <c r="G12" s="23" t="n">
        <v>-12.187</v>
      </c>
      <c r="H12" s="23" t="n">
        <v>-13.071</v>
      </c>
      <c r="I12" s="23" t="n">
        <v>-8.888999999999999</v>
      </c>
      <c r="J12" s="23" t="n">
        <v>-9.541</v>
      </c>
      <c r="K12" s="23" t="n">
        <v>-11.439</v>
      </c>
    </row>
    <row r="13">
      <c r="A13" s="2" t="inlineStr">
        <is>
          <t>Earnings per Share</t>
        </is>
      </c>
      <c r="B13" s="11">
        <f>IFERROR(B12/B14,0)</f>
        <v>-0.17747187685020724</v>
      </c>
      <c r="C13" s="11">
        <f>IFERROR(C12/C14,0)</f>
        <v>-2.4932086395012245</v>
      </c>
      <c r="D13" s="11">
        <f>IFERROR(D12/D14,0)</f>
        <v>-1.290742828510585</v>
      </c>
      <c r="E13" s="11">
        <f>IFERROR(E12/E14,0)</f>
        <v>-0.8886967975631843</v>
      </c>
      <c r="F13" s="11">
        <f>IFERROR(F12/F14,0)</f>
        <v>-0.6090025519900092</v>
      </c>
      <c r="G13" s="11">
        <f>IFERROR(G12/G14,0)</f>
        <v>-0.46632738960740794</v>
      </c>
      <c r="H13" s="11">
        <f>IFERROR(H12/H14,0)</f>
        <v>-0.45372813107470145</v>
      </c>
      <c r="I13" s="11">
        <f>IFERROR(I12/I14,0)</f>
        <v>-0.3064327082184225</v>
      </c>
      <c r="J13" s="11">
        <f>IFERROR(J12/J14,0)</f>
        <v>-0.25341301460823373</v>
      </c>
      <c r="K13" s="11">
        <f>IFERROR(K12/K14,0)</f>
        <v>-0.24764564525556926</v>
      </c>
    </row>
    <row r="14">
      <c r="A14" s="2" t="inlineStr">
        <is>
          <t>Shares</t>
        </is>
      </c>
      <c r="B14" s="23" t="n">
        <v>6.756</v>
      </c>
      <c r="C14" s="23" t="n">
        <v>4.491</v>
      </c>
      <c r="D14" s="23" t="n">
        <v>7.983</v>
      </c>
      <c r="E14" s="23" t="n">
        <v>12.147</v>
      </c>
      <c r="F14" s="23" t="n">
        <v>18.417</v>
      </c>
      <c r="G14" s="23" t="n">
        <v>26.134</v>
      </c>
      <c r="H14" s="23" t="n">
        <v>28.808</v>
      </c>
      <c r="I14" s="23" t="n">
        <v>29.008</v>
      </c>
      <c r="J14" s="23" t="n">
        <v>37.65</v>
      </c>
      <c r="K14" s="23" t="n">
        <v>46.191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-0.528</v>
      </c>
      <c r="F16" s="15">
        <f>IFERROR(F2/E2-1,"")</f>
        <v>0.5466101694915255</v>
      </c>
      <c r="G16" s="15">
        <f>IFERROR(G2/F2-1,"")</f>
        <v>0.5643835616438355</v>
      </c>
      <c r="H16" s="15">
        <f>IFERROR(H2/G2-1,"")</f>
        <v>-0.765323992994746</v>
      </c>
      <c r="I16" s="15">
        <f>IFERROR(I2/H2-1,"")</f>
        <v>-1.0</v>
      </c>
      <c r="J16" s="15">
        <f>IFERROR(J2/I2-1,"")</f>
        <v/>
      </c>
      <c r="K16" s="15">
        <f>IFERROR(K2/J2-1,"")</f>
        <v>-0.7679558011049723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0.11016949152542371</v>
      </c>
      <c r="F17" s="15">
        <f>IFERROR(F4/F2,"")</f>
        <v>0.17808219178082194</v>
      </c>
      <c r="G17" s="15">
        <f>IFERROR(G4/G2,"")</f>
        <v>0.34676007005253934</v>
      </c>
      <c r="H17" s="15">
        <f>IFERROR(H4/H2,"")</f>
        <v>0.2462686567164179</v>
      </c>
      <c r="I17" s="15">
        <f>IFERROR(I4/I2,"")</f>
        <v/>
      </c>
      <c r="J17" s="15">
        <f>IFERROR(J4/J2,"")</f>
        <v>0.049723756906077395</v>
      </c>
      <c r="K17" s="15">
        <f>IFERROR(K4/K2,"")</f>
        <v>0.0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-21.722</v>
      </c>
      <c r="E18" s="15">
        <f>IFERROR(E8/E2,"")</f>
        <v>-48.53389830508475</v>
      </c>
      <c r="F18" s="15">
        <f>IFERROR(F8/F2,"")</f>
        <v>-30.597260273972605</v>
      </c>
      <c r="G18" s="15">
        <f>IFERROR(G8/G2,"")</f>
        <v>-21.395796847635726</v>
      </c>
      <c r="H18" s="15">
        <f>IFERROR(H8/H2,"")</f>
        <v>-97.14179104477613</v>
      </c>
      <c r="I18" s="15">
        <f>IFERROR(I8/I2,"")</f>
        <v/>
      </c>
      <c r="J18" s="15">
        <f>IFERROR(J8/J2,"")</f>
        <v>-52.95580110497237</v>
      </c>
      <c r="K18" s="15">
        <f>IFERROR(K8/K2,"")</f>
        <v>-274.5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2026-10-21T01:05:10Z</dcterms:modified>
  <cp:lastModifiedBy>Wang, Eric</cp:lastModifiedBy>
</cp:coreProperties>
</file>