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Autolus Therapeutics PLC</t>
        </is>
      </c>
      <c r="C2" s="10" t="n"/>
    </row>
    <row r="3">
      <c r="B3" t="inlineStr">
        <is>
          <t>Price</t>
        </is>
      </c>
      <c r="C3" s="11">
        <f>INDEX([1]Pharma!$F$1:$F$1000,MATCH("AUTL",[1]Pharma!$B$1:$B$1000,0))</f>
        <v>1.66</v>
      </c>
      <c r="F3" s="1" t="n"/>
    </row>
    <row r="4">
      <c r="B4" t="inlineStr">
        <is>
          <t>Shares</t>
        </is>
      </c>
      <c r="C4" s="21" t="n">
        <v>266.16254</v>
      </c>
      <c r="F4" s="1" t="n"/>
    </row>
    <row r="5">
      <c r="B5" t="inlineStr">
        <is>
          <t>Market Cap.</t>
        </is>
      </c>
      <c r="C5" s="13">
        <f>C3*C4</f>
        <v>441.82981639999997</v>
      </c>
      <c r="F5" s="1" t="n"/>
    </row>
    <row r="6"/>
    <row r="7">
      <c r="B7" t="inlineStr">
        <is>
          <t>Cash</t>
        </is>
      </c>
      <c r="C7" s="21">
        <f>171.414+30.216</f>
        <v>201.63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240.19981639999997</v>
      </c>
    </row>
    <row r="10"/>
    <row r="11">
      <c r="B11" s="14" t="inlineStr">
        <is>
          <t>Net Cash / Share</t>
        </is>
      </c>
      <c r="C11" s="11">
        <f>(C7-C8)/C4</f>
        <v>0.7575446191639139</v>
      </c>
    </row>
    <row r="12">
      <c r="B12" s="14" t="inlineStr">
        <is>
          <t>Upside</t>
        </is>
      </c>
      <c r="C12" s="15">
        <f>IFERROR(C11/C3-1,"")</f>
        <v>-0.5436478197807748</v>
      </c>
    </row>
    <row r="13">
      <c r="B13" s="14" t="inlineStr">
        <is>
          <t>Cash / Share</t>
        </is>
      </c>
      <c r="C13" s="11">
        <f>IFERROR((C7-C8)/C4,"")</f>
        <v>0.7575446191639139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-225.608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0.8937183078614234</v>
      </c>
    </row>
    <row r="19">
      <c r="B19" s="14" t="inlineStr">
        <is>
          <t>Implied Pipeline Value</t>
        </is>
      </c>
      <c r="C19" s="13">
        <f>C9</f>
        <v>240.19981639999997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1.212</v>
      </c>
      <c r="C2" s="23" t="n">
        <v>1.693</v>
      </c>
      <c r="D2" s="23" t="n">
        <v>1.407</v>
      </c>
      <c r="E2" s="23" t="n">
        <v>2.908</v>
      </c>
      <c r="F2" s="23" t="n">
        <v>0</v>
      </c>
      <c r="G2" s="23" t="n">
        <v>0</v>
      </c>
      <c r="H2" s="23" t="n">
        <v>0</v>
      </c>
      <c r="I2" s="23" t="n">
        <v>1.698</v>
      </c>
      <c r="J2" s="23" t="n">
        <v>10.12</v>
      </c>
      <c r="K2" s="23" t="n">
        <v>75.38800000000001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11.387</v>
      </c>
      <c r="K3" s="23" t="n">
        <v>96.369</v>
      </c>
    </row>
    <row r="4" customFormat="1" s="1">
      <c r="A4" s="5" t="inlineStr">
        <is>
          <t>Gross Margin</t>
        </is>
      </c>
      <c r="B4" s="23">
        <f>B2-B3</f>
        <v>1.212</v>
      </c>
      <c r="C4" s="23">
        <f>C2-C3</f>
        <v>1.693</v>
      </c>
      <c r="D4" s="23">
        <f>D2-D3</f>
        <v>1.407</v>
      </c>
      <c r="E4" s="23">
        <f>E2-E3</f>
        <v>2.908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1.698</v>
      </c>
      <c r="J4" s="23">
        <f>J2-J3</f>
        <v>-1.2670000000000012</v>
      </c>
      <c r="K4" s="23">
        <f>K2-K3</f>
        <v>-20.980999999999995</v>
      </c>
    </row>
    <row r="5">
      <c r="A5" s="2" t="inlineStr">
        <is>
          <t>Research &amp; Dev.</t>
        </is>
      </c>
      <c r="B5" s="23" t="n">
        <v>10.436</v>
      </c>
      <c r="C5" s="23" t="n">
        <v>16.012</v>
      </c>
      <c r="D5" s="23" t="n">
        <v>36.15</v>
      </c>
      <c r="E5" s="23" t="n">
        <v>105.418</v>
      </c>
      <c r="F5" s="23" t="n">
        <v>134.888</v>
      </c>
      <c r="G5" s="23" t="n">
        <v>110.839</v>
      </c>
      <c r="H5" s="23" t="n">
        <v>117.354</v>
      </c>
      <c r="I5" s="23" t="n">
        <v>130.481</v>
      </c>
      <c r="J5" s="23" t="n">
        <v>138.436</v>
      </c>
      <c r="K5" s="23" t="n">
        <v>117.689</v>
      </c>
    </row>
    <row r="6">
      <c r="A6" s="19" t="inlineStr">
        <is>
          <t>SG&amp;A &amp; Other</t>
        </is>
      </c>
      <c r="B6" s="23" t="n">
        <v>3.94</v>
      </c>
      <c r="C6" s="23" t="n">
        <v>9.099</v>
      </c>
      <c r="D6" s="23" t="n">
        <v>22.79</v>
      </c>
      <c r="E6" s="23" t="n">
        <v>43.554</v>
      </c>
      <c r="F6" s="23" t="n">
        <v>33.257</v>
      </c>
      <c r="G6" s="23" t="n">
        <v>30.211</v>
      </c>
      <c r="H6" s="23" t="n">
        <v>26.054</v>
      </c>
      <c r="I6" s="23" t="n">
        <v>50.918</v>
      </c>
      <c r="J6" s="23" t="n">
        <v>101.723</v>
      </c>
      <c r="K6" s="23" t="n">
        <v>131.874</v>
      </c>
    </row>
    <row r="7">
      <c r="A7" s="2" t="inlineStr">
        <is>
          <t>Operating Expense</t>
        </is>
      </c>
      <c r="B7" s="23">
        <f>SUM(B5:B6)</f>
        <v>14.376</v>
      </c>
      <c r="C7" s="23">
        <f>SUM(C5:C6)</f>
        <v>25.111</v>
      </c>
      <c r="D7" s="23">
        <f>SUM(D5:D6)</f>
        <v>58.94</v>
      </c>
      <c r="E7" s="23">
        <f>SUM(E5:E6)</f>
        <v>148.972</v>
      </c>
      <c r="F7" s="23">
        <f>SUM(F5:F6)</f>
        <v>168.145</v>
      </c>
      <c r="G7" s="23">
        <f>SUM(G5:G6)</f>
        <v>141.05</v>
      </c>
      <c r="H7" s="23">
        <f>SUM(H5:H6)</f>
        <v>143.408</v>
      </c>
      <c r="I7" s="23">
        <f>SUM(I5:I6)</f>
        <v>181.399</v>
      </c>
      <c r="J7" s="23">
        <f>SUM(J5:J6)</f>
        <v>240.159</v>
      </c>
      <c r="K7" s="23">
        <f>SUM(K5:K6)</f>
        <v>249.563</v>
      </c>
    </row>
    <row r="8">
      <c r="A8" s="2" t="inlineStr">
        <is>
          <t>Operating Income</t>
        </is>
      </c>
      <c r="B8" s="23">
        <f>B4-B7</f>
        <v>-13.164</v>
      </c>
      <c r="C8" s="23">
        <f>C4-C7</f>
        <v>-23.418</v>
      </c>
      <c r="D8" s="23">
        <f>D4-D7</f>
        <v>-57.533</v>
      </c>
      <c r="E8" s="23">
        <f>E4-E7</f>
        <v>-146.06400000000002</v>
      </c>
      <c r="F8" s="23">
        <f>F4-F7</f>
        <v>-168.145</v>
      </c>
      <c r="G8" s="23">
        <f>G4-G7</f>
        <v>-141.05</v>
      </c>
      <c r="H8" s="23">
        <f>H4-H7</f>
        <v>-143.408</v>
      </c>
      <c r="I8" s="23">
        <f>I4-I7</f>
        <v>-179.701</v>
      </c>
      <c r="J8" s="23">
        <f>J4-J7</f>
        <v>-241.426</v>
      </c>
      <c r="K8" s="23">
        <f>K4-K7</f>
        <v>-270.544</v>
      </c>
    </row>
    <row r="9">
      <c r="A9" s="19" t="inlineStr">
        <is>
          <t>Interest &amp; Other</t>
        </is>
      </c>
      <c r="B9" s="23" t="n">
        <v>-1.163</v>
      </c>
      <c r="C9" s="23" t="n">
        <v>0.038</v>
      </c>
      <c r="D9" s="23" t="n">
        <v>5.502</v>
      </c>
      <c r="E9" s="23" t="n">
        <v>7.056</v>
      </c>
      <c r="F9" s="23" t="n">
        <v>1.888</v>
      </c>
      <c r="G9" s="23" t="n">
        <v>-0.988</v>
      </c>
      <c r="H9" s="23" t="n">
        <v>-5.159</v>
      </c>
      <c r="I9" s="23" t="n">
        <v>-28.701</v>
      </c>
      <c r="J9" s="23" t="n">
        <v>22.292</v>
      </c>
      <c r="K9" s="23" t="n">
        <v>-15.012</v>
      </c>
    </row>
    <row r="10">
      <c r="A10" s="2" t="inlineStr">
        <is>
          <t>Pretax</t>
        </is>
      </c>
      <c r="B10" s="23">
        <f>B8+B9</f>
        <v>-14.327</v>
      </c>
      <c r="C10" s="23">
        <f>C8+C9</f>
        <v>-23.38</v>
      </c>
      <c r="D10" s="23">
        <f>D8+D9</f>
        <v>-52.031</v>
      </c>
      <c r="E10" s="23">
        <f>E8+E9</f>
        <v>-139.008</v>
      </c>
      <c r="F10" s="23">
        <f>F8+F9</f>
        <v>-166.257</v>
      </c>
      <c r="G10" s="23">
        <f>G8+G9</f>
        <v>-142.038</v>
      </c>
      <c r="H10" s="23">
        <f>H8+H9</f>
        <v>-148.56699999999998</v>
      </c>
      <c r="I10" s="23">
        <f>I8+I9</f>
        <v>-208.402</v>
      </c>
      <c r="J10" s="23">
        <f>J8+J9</f>
        <v>-219.134</v>
      </c>
      <c r="K10" s="23">
        <f>K8+K9</f>
        <v>-285.556</v>
      </c>
    </row>
    <row r="11">
      <c r="A11" s="2" t="inlineStr">
        <is>
          <t>Taxes</t>
        </is>
      </c>
      <c r="B11" s="23" t="n">
        <v>-1.777</v>
      </c>
      <c r="C11" s="23" t="n">
        <v>-3.653</v>
      </c>
      <c r="D11" s="23" t="n">
        <v>-7.28</v>
      </c>
      <c r="E11" s="23" t="n">
        <v>-15.159</v>
      </c>
      <c r="F11" s="23" t="n">
        <v>-24.163</v>
      </c>
      <c r="G11" s="23" t="n">
        <v>0.058</v>
      </c>
      <c r="H11" s="23" t="n">
        <v>0.272</v>
      </c>
      <c r="I11" s="23" t="n">
        <v>-0.019</v>
      </c>
      <c r="J11" s="23" t="n">
        <v>1.528</v>
      </c>
      <c r="K11" s="23" t="n">
        <v>1.972</v>
      </c>
    </row>
    <row r="12">
      <c r="A12" s="2" t="inlineStr">
        <is>
          <t>Net Income</t>
        </is>
      </c>
      <c r="B12" s="23" t="n">
        <v>-12.55</v>
      </c>
      <c r="C12" s="23" t="n">
        <v>-19.727</v>
      </c>
      <c r="D12" s="23" t="n">
        <v>-44.751</v>
      </c>
      <c r="E12" s="23" t="n">
        <v>-123.849</v>
      </c>
      <c r="F12" s="23" t="n">
        <v>-142.094</v>
      </c>
      <c r="G12" s="23" t="n">
        <v>-142.096</v>
      </c>
      <c r="H12" s="23" t="n">
        <v>-148.839</v>
      </c>
      <c r="I12" s="23" t="n">
        <v>-208.383</v>
      </c>
      <c r="J12" s="23" t="n">
        <v>-220.662</v>
      </c>
      <c r="K12" s="23" t="n">
        <v>-287.528</v>
      </c>
    </row>
    <row r="13">
      <c r="A13" s="2" t="inlineStr">
        <is>
          <t>Earnings per Share</t>
        </is>
      </c>
      <c r="B13" s="11">
        <f>IFERROR(B12/B14,0)</f>
        <v>-1.2634652169535892</v>
      </c>
      <c r="C13" s="11">
        <f>IFERROR(C12/C14,0)</f>
        <v>-1.4312558949430458</v>
      </c>
      <c r="D13" s="11">
        <f>IFERROR(D12/D14,0)</f>
        <v>-1.4181005799030326</v>
      </c>
      <c r="E13" s="11">
        <f>IFERROR(E12/E14,0)</f>
        <v>-2.8757952909487763</v>
      </c>
      <c r="F13" s="11">
        <f>IFERROR(F12/F14,0)</f>
        <v>-2.7560029481360795</v>
      </c>
      <c r="G13" s="11">
        <f>IFERROR(G12/G14,0)</f>
        <v>-1.971255757172188</v>
      </c>
      <c r="H13" s="11">
        <f>IFERROR(H12/H14,0)</f>
        <v>-1.566841767288116</v>
      </c>
      <c r="I13" s="11">
        <f>IFERROR(I12/I14,0)</f>
        <v>-1.1980027825367077</v>
      </c>
      <c r="J13" s="11">
        <f>IFERROR(J12/J14,0)</f>
        <v>-0.8647951685406469</v>
      </c>
      <c r="K13" s="11">
        <f>IFERROR(K12/K14,0)</f>
        <v>-1.0803718371671842</v>
      </c>
    </row>
    <row r="14">
      <c r="A14" s="2" t="inlineStr">
        <is>
          <t>Shares</t>
        </is>
      </c>
      <c r="B14" s="23" t="n">
        <v>9.933</v>
      </c>
      <c r="C14" s="23" t="n">
        <v>13.783</v>
      </c>
      <c r="D14" s="23" t="n">
        <v>31.557</v>
      </c>
      <c r="E14" s="23" t="n">
        <v>43.066</v>
      </c>
      <c r="F14" s="23" t="n">
        <v>51.558</v>
      </c>
      <c r="G14" s="23" t="n">
        <v>72.084</v>
      </c>
      <c r="H14" s="23" t="n">
        <v>94.99299999999999</v>
      </c>
      <c r="I14" s="23" t="n">
        <v>173.942</v>
      </c>
      <c r="J14" s="23" t="n">
        <v>255.161</v>
      </c>
      <c r="K14" s="23" t="n">
        <v>266.138</v>
      </c>
    </row>
    <row r="15"/>
    <row r="16" customFormat="1" s="4">
      <c r="A16" s="3" t="inlineStr">
        <is>
          <t>Revenue Change</t>
        </is>
      </c>
      <c r="C16" s="15">
        <f>IFERROR(C2/B2-1,"")</f>
        <v>0.3968646864686469</v>
      </c>
      <c r="D16" s="15">
        <f>IFERROR(D2/C2-1,"")</f>
        <v>-0.16893089190785593</v>
      </c>
      <c r="E16" s="15">
        <f>IFERROR(E2/D2-1,"")</f>
        <v>1.0668088130774698</v>
      </c>
      <c r="F16" s="15">
        <f>IFERROR(F2/E2-1,"")</f>
        <v>-1.0</v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4.9599528857479385</v>
      </c>
      <c r="K16" s="15">
        <f>IFERROR(K2/J2-1,"")</f>
        <v>6.449407114624507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1.0</v>
      </c>
      <c r="J17" s="15">
        <f>IFERROR(J4/J2,"")</f>
        <v>-0.12519762845849816</v>
      </c>
      <c r="K17" s="15">
        <f>IFERROR(K4/K2,"")</f>
        <v>-0.27830689234360895</v>
      </c>
    </row>
    <row r="18">
      <c r="A18" s="14" t="inlineStr">
        <is>
          <t>Operating Margin</t>
        </is>
      </c>
      <c r="B18" s="15">
        <f>IFERROR(B8/B2,"")</f>
        <v>-10.861386138613861</v>
      </c>
      <c r="C18" s="15">
        <f>IFERROR(C8/C2,"")</f>
        <v>-13.83225044300059</v>
      </c>
      <c r="D18" s="15">
        <f>IFERROR(D8/D2,"")</f>
        <v>-40.89054726368159</v>
      </c>
      <c r="E18" s="15">
        <f>IFERROR(E8/E2,"")</f>
        <v>-50.22833562585971</v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-105.83097762073027</v>
      </c>
      <c r="J18" s="15">
        <f>IFERROR(J8/J2,"")</f>
        <v>-23.856324110671938</v>
      </c>
      <c r="K18" s="15">
        <f>IFERROR(K8/K2,"")</f>
        <v>-3.588687854831007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2026-10-21T06:25:27Z</dcterms:modified>
  <cp:lastModifiedBy>Wang, Eric</cp:lastModifiedBy>
</cp:coreProperties>
</file>