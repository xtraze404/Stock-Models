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NovaBridge Biosciences</t>
        </is>
      </c>
      <c r="C2" s="10" t="n"/>
    </row>
    <row r="3">
      <c r="B3" t="inlineStr">
        <is>
          <t>Price</t>
        </is>
      </c>
      <c r="C3" s="11">
        <f>INDEX([1]Pharma!$F$1:$F$1000,MATCH("NBP",[1]Pharma!$B$1:$B$1000,0))</f>
        <v>1.425</v>
      </c>
      <c r="F3" s="1" t="n"/>
    </row>
    <row r="4">
      <c r="B4" t="inlineStr">
        <is>
          <t>Shares</t>
        </is>
      </c>
      <c r="C4" s="21">
        <f>265.377891/2.3</f>
        <v>115.38169173913043</v>
      </c>
      <c r="F4" s="1" t="n"/>
    </row>
    <row r="5">
      <c r="B5" t="inlineStr">
        <is>
          <t>Market Cap.</t>
        </is>
      </c>
      <c r="C5" s="13">
        <f>C3*C4</f>
        <v>164.41891072826087</v>
      </c>
      <c r="F5" s="1" t="n"/>
    </row>
    <row r="6"/>
    <row r="7">
      <c r="B7" t="inlineStr">
        <is>
          <t>Cash</t>
        </is>
      </c>
      <c r="C7" s="21">
        <f>210.632+0.21</f>
        <v>210.842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-46.423089271739144</v>
      </c>
    </row>
    <row r="10"/>
    <row r="11">
      <c r="B11" s="14" t="inlineStr">
        <is>
          <t>Net Cash / Share</t>
        </is>
      </c>
      <c r="C11" s="11">
        <f>(C7-C8)/C4</f>
        <v>1.8273436350430565</v>
      </c>
    </row>
    <row r="12">
      <c r="B12" s="14" t="inlineStr">
        <is>
          <t>Upside</t>
        </is>
      </c>
      <c r="C12" s="15">
        <f>IFERROR(C11/C3-1,"")</f>
        <v>0.28234641055653076</v>
      </c>
    </row>
    <row r="13">
      <c r="B13" s="14" t="inlineStr">
        <is>
          <t>Cash / Share</t>
        </is>
      </c>
      <c r="C13" s="11">
        <f>IFERROR((C7-C8)/C4,"")</f>
        <v>1.8273436350430565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-20.597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10.236539301840073</v>
      </c>
    </row>
    <row r="19">
      <c r="B19" s="14" t="inlineStr">
        <is>
          <t>Implied Pipeline Value</t>
        </is>
      </c>
      <c r="C19" s="13">
        <f>C9</f>
        <v>-46.423089271739144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1.728</v>
      </c>
      <c r="D2" s="23" t="n">
        <v>8.044</v>
      </c>
      <c r="E2" s="23" t="n">
        <v>4.487</v>
      </c>
      <c r="F2" s="23" t="n">
        <v>230.724</v>
      </c>
      <c r="G2" s="23" t="n">
        <v>13.165</v>
      </c>
      <c r="H2" s="23" t="n">
        <v>-1.551</v>
      </c>
      <c r="I2" s="23" t="n">
        <v>0.632</v>
      </c>
      <c r="J2" s="23" t="n">
        <v>0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6.944</v>
      </c>
      <c r="H3" s="23" t="n">
        <v>4.074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1.728</v>
      </c>
      <c r="D4" s="23">
        <f>D2-D3</f>
        <v>8.044</v>
      </c>
      <c r="E4" s="23">
        <f>E2-E3</f>
        <v>4.487</v>
      </c>
      <c r="F4" s="23">
        <f>F2-F3</f>
        <v>230.724</v>
      </c>
      <c r="G4" s="23">
        <f>G2-G3</f>
        <v>6.220999999999999</v>
      </c>
      <c r="H4" s="23">
        <f>H2-H3</f>
        <v>-5.625</v>
      </c>
      <c r="I4" s="23">
        <f>I2-I3</f>
        <v>0.632</v>
      </c>
      <c r="J4" s="23">
        <f>J2-J3</f>
        <v>0.0</v>
      </c>
      <c r="K4" s="23">
        <f>K2-K3</f>
        <v>0.0</v>
      </c>
    </row>
    <row r="5">
      <c r="A5" s="2" t="inlineStr">
        <is>
          <t>Research &amp; Dev.</t>
        </is>
      </c>
      <c r="B5" s="23" t="n">
        <v>6.521</v>
      </c>
      <c r="C5" s="23" t="n">
        <v>39.944</v>
      </c>
      <c r="D5" s="23" t="n">
        <v>63.718</v>
      </c>
      <c r="E5" s="23" t="n">
        <v>125.694</v>
      </c>
      <c r="F5" s="23" t="n">
        <v>147.272</v>
      </c>
      <c r="G5" s="23" t="n">
        <v>181.412</v>
      </c>
      <c r="H5" s="23" t="n">
        <v>22.547</v>
      </c>
      <c r="I5" s="23" t="n">
        <v>21.448</v>
      </c>
      <c r="J5" s="23" t="n">
        <v>21.77</v>
      </c>
      <c r="K5" s="23" t="n">
        <v>62.905</v>
      </c>
    </row>
    <row r="6">
      <c r="A6" s="19" t="inlineStr">
        <is>
          <t>SG&amp;A &amp; Other</t>
        </is>
      </c>
      <c r="B6" s="23" t="n">
        <v>0</v>
      </c>
      <c r="C6" s="23" t="n">
        <v>3.804</v>
      </c>
      <c r="D6" s="23" t="n">
        <v>9.93</v>
      </c>
      <c r="E6" s="23" t="n">
        <v>97.896</v>
      </c>
      <c r="F6" s="23" t="n">
        <v>60.185</v>
      </c>
      <c r="G6" s="23" t="n">
        <v>134.597</v>
      </c>
      <c r="H6" s="23" t="n">
        <v>24.906</v>
      </c>
      <c r="I6" s="23" t="n">
        <v>51.201</v>
      </c>
      <c r="J6" s="23" t="n">
        <v>29.656</v>
      </c>
      <c r="K6" s="23" t="n">
        <v>31.364</v>
      </c>
    </row>
    <row r="7">
      <c r="A7" s="2" t="inlineStr">
        <is>
          <t>Operating Expense</t>
        </is>
      </c>
      <c r="B7" s="23">
        <f>SUM(B5:B6)</f>
        <v>6.521</v>
      </c>
      <c r="C7" s="23">
        <f>SUM(C5:C6)</f>
        <v>43.748000000000005</v>
      </c>
      <c r="D7" s="23">
        <f>SUM(D5:D6)</f>
        <v>73.648</v>
      </c>
      <c r="E7" s="23">
        <f>SUM(E5:E6)</f>
        <v>223.59</v>
      </c>
      <c r="F7" s="23">
        <f>SUM(F5:F6)</f>
        <v>207.457</v>
      </c>
      <c r="G7" s="23">
        <f>SUM(G5:G6)</f>
        <v>316.009</v>
      </c>
      <c r="H7" s="23">
        <f>SUM(H5:H6)</f>
        <v>47.453</v>
      </c>
      <c r="I7" s="23">
        <f>SUM(I5:I6)</f>
        <v>72.649</v>
      </c>
      <c r="J7" s="23">
        <f>SUM(J5:J6)</f>
        <v>51.426</v>
      </c>
      <c r="K7" s="23">
        <f>SUM(K5:K6)</f>
        <v>94.269</v>
      </c>
    </row>
    <row r="8">
      <c r="A8" s="2" t="inlineStr">
        <is>
          <t>Operating Income</t>
        </is>
      </c>
      <c r="B8" s="23">
        <f>B4-B7</f>
        <v>-6.521</v>
      </c>
      <c r="C8" s="23">
        <f>C4-C7</f>
        <v>-42.02</v>
      </c>
      <c r="D8" s="23">
        <f>D4-D7</f>
        <v>-65.604</v>
      </c>
      <c r="E8" s="23">
        <f>E4-E7</f>
        <v>-219.103</v>
      </c>
      <c r="F8" s="23">
        <f>F4-F7</f>
        <v>23.266999999999996</v>
      </c>
      <c r="G8" s="23">
        <f>G4-G7</f>
        <v>-309.788</v>
      </c>
      <c r="H8" s="23">
        <f>H4-H7</f>
        <v>-53.078</v>
      </c>
      <c r="I8" s="23">
        <f>I4-I7</f>
        <v>-72.017</v>
      </c>
      <c r="J8" s="23">
        <f>J4-J7</f>
        <v>-51.426</v>
      </c>
      <c r="K8" s="23">
        <f>K4-K7</f>
        <v>-94.269</v>
      </c>
    </row>
    <row r="9">
      <c r="A9" s="19" t="inlineStr">
        <is>
          <t>Interest &amp; Other</t>
        </is>
      </c>
      <c r="B9" s="23" t="n">
        <v>0</v>
      </c>
      <c r="C9" s="23" t="n">
        <v>-2.585</v>
      </c>
      <c r="D9" s="23" t="n">
        <v>5.613</v>
      </c>
      <c r="E9" s="23" t="n">
        <v>1.947</v>
      </c>
      <c r="F9" s="23" t="n">
        <v>48.993</v>
      </c>
      <c r="G9" s="23" t="n">
        <v>-39.393</v>
      </c>
      <c r="H9" s="23" t="n">
        <v>-317.872</v>
      </c>
      <c r="I9" s="23" t="n">
        <v>-135.712</v>
      </c>
      <c r="J9" s="23" t="n">
        <v>29.196</v>
      </c>
      <c r="K9" s="23" t="n">
        <v>48</v>
      </c>
    </row>
    <row r="10">
      <c r="A10" s="2" t="inlineStr">
        <is>
          <t>Pretax</t>
        </is>
      </c>
      <c r="B10" s="23">
        <f>B8+B9</f>
        <v>-6.521</v>
      </c>
      <c r="C10" s="23">
        <f>C8+C9</f>
        <v>-44.605000000000004</v>
      </c>
      <c r="D10" s="23">
        <f>D8+D9</f>
        <v>-59.991</v>
      </c>
      <c r="E10" s="23">
        <f>E8+E9</f>
        <v>-217.156</v>
      </c>
      <c r="F10" s="23">
        <f>F8+F9</f>
        <v>72.25999999999999</v>
      </c>
      <c r="G10" s="23">
        <f>G8+G9</f>
        <v>-349.18100000000004</v>
      </c>
      <c r="H10" s="23">
        <f>H8+H9</f>
        <v>-370.95000000000005</v>
      </c>
      <c r="I10" s="23">
        <f>I8+I9</f>
        <v>-207.72899999999998</v>
      </c>
      <c r="J10" s="23">
        <f>J8+J9</f>
        <v>-22.23</v>
      </c>
      <c r="K10" s="23">
        <f>K8+K9</f>
        <v>-46.269000000000005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0.258</v>
      </c>
      <c r="E11" s="23" t="n">
        <v>0</v>
      </c>
      <c r="F11" s="23" t="n">
        <v>1.829</v>
      </c>
      <c r="G11" s="23" t="n">
        <v>-0.472</v>
      </c>
      <c r="H11" s="23" t="n">
        <v>0.103</v>
      </c>
      <c r="I11" s="23" t="n">
        <v>0</v>
      </c>
      <c r="J11" s="23" t="n">
        <v>0</v>
      </c>
      <c r="K11" s="23" t="n">
        <v>0</v>
      </c>
    </row>
    <row r="12">
      <c r="A12" s="2" t="inlineStr">
        <is>
          <t>Net Income</t>
        </is>
      </c>
      <c r="B12" s="23" t="n">
        <v>-6.521</v>
      </c>
      <c r="C12" s="23" t="n">
        <v>-44.605</v>
      </c>
      <c r="D12" s="23" t="n">
        <v>-60.248</v>
      </c>
      <c r="E12" s="23" t="n">
        <v>-217.156</v>
      </c>
      <c r="F12" s="23" t="n">
        <v>70.431</v>
      </c>
      <c r="G12" s="23" t="n">
        <v>-348.709</v>
      </c>
      <c r="H12" s="23" t="n">
        <v>-371.053</v>
      </c>
      <c r="I12" s="23" t="n">
        <v>-207.729</v>
      </c>
      <c r="J12" s="23" t="n">
        <v>-22.23</v>
      </c>
      <c r="K12" s="23" t="n">
        <v>-46.269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-0.36987130584762345</v>
      </c>
      <c r="D13" s="11">
        <f>IFERROR(D12/D14,0)</f>
        <v>-0.43941040470859377</v>
      </c>
      <c r="E13" s="11">
        <f>IFERROR(E12/E14,0)</f>
        <v>-1.4009522212043406</v>
      </c>
      <c r="F13" s="11">
        <f>IFERROR(F12/F14,0)</f>
        <v>0.4479431667853872</v>
      </c>
      <c r="G13" s="11">
        <f>IFERROR(G12/G14,0)</f>
        <v>-1.9959646722798743</v>
      </c>
      <c r="H13" s="11">
        <f>IFERROR(H12/H14,0)</f>
        <v>-1.9551022988929694</v>
      </c>
      <c r="I13" s="11">
        <f>IFERROR(I12/I14,0)</f>
        <v>-1.0851774072216651</v>
      </c>
      <c r="J13" s="11">
        <f>IFERROR(J12/J14,0)</f>
        <v>-0.11905016923011011</v>
      </c>
      <c r="K13" s="11">
        <f>IFERROR(K12/K14,0)</f>
        <v>-0.21006633100123037</v>
      </c>
    </row>
    <row r="14">
      <c r="A14" s="2" t="inlineStr">
        <is>
          <t>Shares</t>
        </is>
      </c>
      <c r="B14" s="23" t="n"/>
      <c r="C14" s="23" t="n">
        <v>120.596</v>
      </c>
      <c r="D14" s="23" t="n">
        <v>137.111</v>
      </c>
      <c r="E14" s="23" t="n">
        <v>155.006</v>
      </c>
      <c r="F14" s="23" t="n">
        <v>157.232</v>
      </c>
      <c r="G14" s="23" t="n">
        <v>174.707</v>
      </c>
      <c r="H14" s="23" t="n">
        <v>189.787</v>
      </c>
      <c r="I14" s="23" t="n">
        <v>191.424</v>
      </c>
      <c r="J14" s="23" t="n">
        <v>186.728</v>
      </c>
      <c r="K14" s="23" t="n">
        <v>220.259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3.6550925925925926</v>
      </c>
      <c r="E16" s="15">
        <f>IFERROR(E2/D2-1,"")</f>
        <v>-0.4421929388363999</v>
      </c>
      <c r="F16" s="15">
        <f>IFERROR(F2/E2-1,"")</f>
        <v>50.42054825050145</v>
      </c>
      <c r="G16" s="15">
        <f>IFERROR(G2/F2-1,"")</f>
        <v>-0.9429404830013349</v>
      </c>
      <c r="H16" s="15">
        <f>IFERROR(H2/G2-1,"")</f>
        <v>-1.1178123813140903</v>
      </c>
      <c r="I16" s="15">
        <f>IFERROR(I2/H2-1,"")</f>
        <v>-1.4074790457769182</v>
      </c>
      <c r="J16" s="15">
        <f>IFERROR(J2/I2-1,"")</f>
        <v>-1.0</v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0.4725408279529054</v>
      </c>
      <c r="H17" s="15">
        <f>IFERROR(H4/H2,"")</f>
        <v>3.6266924564796907</v>
      </c>
      <c r="I17" s="15">
        <f>IFERROR(I4/I2,"")</f>
        <v>1.0</v>
      </c>
      <c r="J17" s="15">
        <f>IFERROR(J4/J2,"")</f>
        <v/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-24.317129629629633</v>
      </c>
      <c r="D18" s="15">
        <f>IFERROR(D8/D2,"")</f>
        <v>-8.155643958229735</v>
      </c>
      <c r="E18" s="15">
        <f>IFERROR(E8/E2,"")</f>
        <v>-48.83062179630043</v>
      </c>
      <c r="F18" s="15">
        <f>IFERROR(F8/F2,"")</f>
        <v>0.1008434319793346</v>
      </c>
      <c r="G18" s="15">
        <f>IFERROR(G8/G2,"")</f>
        <v>-23.53118116217243</v>
      </c>
      <c r="H18" s="15">
        <f>IFERROR(H8/H2,"")</f>
        <v>34.22179239200516</v>
      </c>
      <c r="I18" s="15">
        <f>IFERROR(I8/I2,"")</f>
        <v>-113.9509493670886</v>
      </c>
      <c r="J18" s="15">
        <f>IFERROR(J8/J2,"")</f>
        <v/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2026-10-21T01:05:47Z</dcterms:modified>
  <cp:lastModifiedBy>Wang, Eric</cp:lastModifiedBy>
</cp:coreProperties>
</file>