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Transcode Therapeutics Inc</t>
        </is>
      </c>
      <c r="C2" s="10" t="n"/>
    </row>
    <row r="3">
      <c r="B3" t="inlineStr">
        <is>
          <t>Price</t>
        </is>
      </c>
      <c r="C3" s="11">
        <f>INDEX([1]Pharma!$F$1:$F$1000,MATCH("RNAZ",[1]Pharma!$B$1:$B$1000,0))</f>
        <v>1.66</v>
      </c>
      <c r="F3" s="1" t="n"/>
    </row>
    <row r="4">
      <c r="B4" t="inlineStr">
        <is>
          <t>Shares</t>
        </is>
      </c>
      <c r="C4" s="21" t="n">
        <v>16.930739</v>
      </c>
      <c r="F4" s="1" t="n"/>
    </row>
    <row r="5">
      <c r="B5" t="inlineStr">
        <is>
          <t>Market Cap.</t>
        </is>
      </c>
      <c r="C5" s="13">
        <f>C3*C4</f>
        <v>28.105026739999996</v>
      </c>
      <c r="F5" s="1" t="n"/>
    </row>
    <row r="6"/>
    <row r="7">
      <c r="B7" t="inlineStr">
        <is>
          <t>Cash</t>
        </is>
      </c>
      <c r="C7" s="21" t="n">
        <v>8.383393</v>
      </c>
    </row>
    <row r="8">
      <c r="B8" t="inlineStr">
        <is>
          <t>Debt</t>
        </is>
      </c>
      <c r="C8" s="21" t="n">
        <v>0.652411</v>
      </c>
    </row>
    <row r="9">
      <c r="B9" t="inlineStr">
        <is>
          <t>Enterprise V.</t>
        </is>
      </c>
      <c r="C9" s="13">
        <f>C5-C7+C8</f>
        <v>20.374044739999995</v>
      </c>
    </row>
    <row r="10"/>
    <row r="11">
      <c r="B11" s="14" t="inlineStr">
        <is>
          <t>Net Cash / Share</t>
        </is>
      </c>
      <c r="C11" s="11">
        <f>(C7-C8)/C4</f>
        <v>0.4566240138720466</v>
      </c>
    </row>
    <row r="12">
      <c r="B12" s="14" t="inlineStr">
        <is>
          <t>Upside</t>
        </is>
      </c>
      <c r="C12" s="15">
        <f>IFERROR(C11/C3-1,"")</f>
        <v>-0.7249252928481646</v>
      </c>
    </row>
    <row r="13">
      <c r="B13" s="14" t="inlineStr">
        <is>
          <t>Cash / Share</t>
        </is>
      </c>
      <c r="C13" s="11">
        <f>IFERROR((C7-C8)/C4,"")</f>
        <v>0.4566240138720466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-22.605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0.34200318513603184</v>
      </c>
    </row>
    <row r="19">
      <c r="B19" s="14" t="inlineStr">
        <is>
          <t>Implied Pipeline Value</t>
        </is>
      </c>
      <c r="C19" s="13">
        <f>C9</f>
        <v>20.374044739999995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0.284</v>
      </c>
      <c r="C5" s="23" t="n">
        <v>2.754</v>
      </c>
      <c r="D5" s="23" t="n">
        <v>10.232</v>
      </c>
      <c r="E5" s="23" t="n">
        <v>12.264</v>
      </c>
      <c r="F5" s="23" t="n">
        <v>9.706</v>
      </c>
      <c r="G5" s="23" t="n">
        <v>13.422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0.442</v>
      </c>
      <c r="C6" s="23" t="n">
        <v>3.397</v>
      </c>
      <c r="D6" s="23" t="n">
        <v>8.401</v>
      </c>
      <c r="E6" s="23" t="n">
        <v>7.155</v>
      </c>
      <c r="F6" s="23" t="n">
        <v>5.954</v>
      </c>
      <c r="G6" s="23" t="n">
        <v>14.558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0.726</v>
      </c>
      <c r="C7" s="23">
        <f>SUM(C5:C6)</f>
        <v>6.151</v>
      </c>
      <c r="D7" s="23">
        <f>SUM(D5:D6)</f>
        <v>18.633</v>
      </c>
      <c r="E7" s="23">
        <f>SUM(E5:E6)</f>
        <v>19.419</v>
      </c>
      <c r="F7" s="23">
        <f>SUM(F5:F6)</f>
        <v>15.66</v>
      </c>
      <c r="G7" s="23">
        <f>SUM(G5:G6)</f>
        <v>27.98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-0.726</v>
      </c>
      <c r="C8" s="23">
        <f>C4-C7</f>
        <v>-6.151</v>
      </c>
      <c r="D8" s="23">
        <f>D4-D7</f>
        <v>-18.633</v>
      </c>
      <c r="E8" s="23">
        <f>E4-E7</f>
        <v>-19.419</v>
      </c>
      <c r="F8" s="23">
        <f>F4-F7</f>
        <v>-15.66</v>
      </c>
      <c r="G8" s="23">
        <f>G4-G7</f>
        <v>-27.98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-1.617</v>
      </c>
      <c r="C9" s="23" t="n">
        <v>-0.639</v>
      </c>
      <c r="D9" s="23" t="n">
        <v>1.069</v>
      </c>
      <c r="E9" s="23" t="n">
        <v>0.872</v>
      </c>
      <c r="F9" s="23" t="n">
        <v>-1.094</v>
      </c>
      <c r="G9" s="23" t="n">
        <v>-6.455</v>
      </c>
    </row>
    <row r="10">
      <c r="A10" s="2" t="inlineStr">
        <is>
          <t>Pretax</t>
        </is>
      </c>
      <c r="B10" s="23">
        <f>B8+B9</f>
        <v>-2.343</v>
      </c>
      <c r="C10" s="23">
        <f>C8+C9</f>
        <v>-6.79</v>
      </c>
      <c r="D10" s="23">
        <f>D8+D9</f>
        <v>-17.564</v>
      </c>
      <c r="E10" s="23">
        <f>E8+E9</f>
        <v>-18.547</v>
      </c>
      <c r="F10" s="23">
        <f>F8+F9</f>
        <v>-16.754</v>
      </c>
      <c r="G10" s="23">
        <f>G8+G9</f>
        <v>-34.435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0.053</v>
      </c>
      <c r="D11" s="23" t="n">
        <v>0</v>
      </c>
      <c r="E11" s="23" t="n">
        <v>0</v>
      </c>
      <c r="F11" s="23" t="n">
        <v>0</v>
      </c>
      <c r="G11" s="23" t="n">
        <v>0.226</v>
      </c>
    </row>
    <row r="12">
      <c r="A12" s="2" t="inlineStr">
        <is>
          <t>Net Income</t>
        </is>
      </c>
      <c r="B12" s="23" t="n">
        <v>-2.344</v>
      </c>
      <c r="C12" s="23" t="n">
        <v>-6.843</v>
      </c>
      <c r="D12" s="23" t="n">
        <v>-17.565</v>
      </c>
      <c r="E12" s="23" t="n">
        <v>-18.546</v>
      </c>
      <c r="F12" s="23" t="n">
        <v>-16.755</v>
      </c>
      <c r="G12" s="23" t="n">
        <v>-34.661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-11.778894472361808</v>
      </c>
      <c r="C13" s="11">
        <f>IFERROR(C12/C14,0)</f>
        <v>-18.903314917127073</v>
      </c>
      <c r="D13" s="11">
        <f>IFERROR(D12/D14,0)</f>
        <v>-25.164756446991408</v>
      </c>
      <c r="E13" s="11">
        <f>IFERROR(E12/E14,0)</f>
        <v>-26.570200573065904</v>
      </c>
      <c r="F13" s="11">
        <f>IFERROR(F12/F14,0)</f>
        <v>-24.00429799426934</v>
      </c>
      <c r="G13" s="11">
        <f>IFERROR(G12/G14,0)</f>
        <v>-50.23333333333334</v>
      </c>
    </row>
    <row r="14">
      <c r="A14" s="2" t="inlineStr">
        <is>
          <t>Shares</t>
        </is>
      </c>
      <c r="B14" s="23" t="n">
        <v>0.199</v>
      </c>
      <c r="C14" s="23" t="n">
        <v>0.362</v>
      </c>
      <c r="D14" s="23" t="n">
        <v>0.698</v>
      </c>
      <c r="E14" s="23" t="n">
        <v>0.698</v>
      </c>
      <c r="F14" s="23" t="n">
        <v>0.698</v>
      </c>
      <c r="G14" s="23" t="n">
        <v>0.6899999999999999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2026-10-21T01:06:22Z</dcterms:modified>
  <cp:lastModifiedBy>Wang, Eric</cp:lastModifiedBy>
</cp:coreProperties>
</file>