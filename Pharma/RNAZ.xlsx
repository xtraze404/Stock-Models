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Transcode Therapeutics Inc</t>
        </is>
      </c>
      <c r="C2" s="10" t="n"/>
    </row>
    <row r="3">
      <c r="B3" t="inlineStr">
        <is>
          <t>Price</t>
        </is>
      </c>
      <c r="C3" s="11">
        <f>INDEX([1]Pharma!$F$1:$F$1000,MATCH("RNAZ",[1]Pharma!$B$1:$B$1000,0))</f>
        <v>1.66</v>
      </c>
      <c r="F3" s="1" t="n"/>
    </row>
    <row r="4">
      <c r="B4" t="inlineStr">
        <is>
          <t>Shares</t>
        </is>
      </c>
      <c r="C4" s="21" t="n">
        <v>16.930739</v>
      </c>
      <c r="F4" s="1" t="n"/>
    </row>
    <row r="5">
      <c r="B5" t="inlineStr">
        <is>
          <t>Market Cap.</t>
        </is>
      </c>
      <c r="C5" s="13">
        <f>C3*C4</f>
        <v>28.105026739999996</v>
      </c>
      <c r="F5" s="1" t="n"/>
    </row>
    <row r="6"/>
    <row r="7">
      <c r="B7" t="inlineStr">
        <is>
          <t>Cash</t>
        </is>
      </c>
      <c r="C7" s="21" t="n">
        <v>8.383393</v>
      </c>
    </row>
    <row r="8">
      <c r="B8" t="inlineStr">
        <is>
          <t>Debt</t>
        </is>
      </c>
      <c r="C8" s="21" t="n">
        <v>0.652411</v>
      </c>
    </row>
    <row r="9">
      <c r="B9" t="inlineStr">
        <is>
          <t>Enterprise V.</t>
        </is>
      </c>
      <c r="C9" s="13">
        <f>C5-C7+C8</f>
        <v>20.374044739999995</v>
      </c>
    </row>
    <row r="10"/>
    <row r="11">
      <c r="B11" s="14" t="inlineStr">
        <is>
          <t>rNPV / Share</t>
        </is>
      </c>
      <c r="C11" s="11">
        <f>NPV!B27</f>
        <v>-1.2054088277423025</v>
      </c>
    </row>
    <row r="12">
      <c r="B12" s="14" t="inlineStr">
        <is>
          <t>Upside</t>
        </is>
      </c>
      <c r="C12" s="15">
        <f>IFERROR(C11/C3-1,"")</f>
        <v>-1.7261498962303028</v>
      </c>
    </row>
    <row r="13">
      <c r="B13" s="14" t="inlineStr">
        <is>
          <t>Cash / Share</t>
        </is>
      </c>
      <c r="C13" s="11">
        <f>IFERROR((C7-C8)/C4,"")</f>
        <v>0.4566240138720466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-22.605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0.34200318513603184</v>
      </c>
    </row>
    <row r="19">
      <c r="B19" s="14" t="inlineStr">
        <is>
          <t>Implied Pipeline Value</t>
        </is>
      </c>
      <c r="C19" s="13">
        <f>C9</f>
        <v>20.374044739999995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0.284</v>
      </c>
      <c r="C5" s="23" t="n">
        <v>2.754</v>
      </c>
      <c r="D5" s="23" t="n">
        <v>10.232</v>
      </c>
      <c r="E5" s="23" t="n">
        <v>12.264</v>
      </c>
      <c r="F5" s="23" t="n">
        <v>9.706</v>
      </c>
      <c r="G5" s="23" t="n">
        <v>13.422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0.442</v>
      </c>
      <c r="C6" s="23" t="n">
        <v>3.397</v>
      </c>
      <c r="D6" s="23" t="n">
        <v>8.401</v>
      </c>
      <c r="E6" s="23" t="n">
        <v>7.155</v>
      </c>
      <c r="F6" s="23" t="n">
        <v>5.954</v>
      </c>
      <c r="G6" s="23" t="n">
        <v>14.558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0.726</v>
      </c>
      <c r="C7" s="23">
        <f>SUM(C5:C6)</f>
        <v>6.151</v>
      </c>
      <c r="D7" s="23">
        <f>SUM(D5:D6)</f>
        <v>18.633</v>
      </c>
      <c r="E7" s="23">
        <f>SUM(E5:E6)</f>
        <v>19.419</v>
      </c>
      <c r="F7" s="23">
        <f>SUM(F5:F6)</f>
        <v>15.66</v>
      </c>
      <c r="G7" s="23">
        <f>SUM(G5:G6)</f>
        <v>27.98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-0.726</v>
      </c>
      <c r="C8" s="23">
        <f>C4-C7</f>
        <v>-6.151</v>
      </c>
      <c r="D8" s="23">
        <f>D4-D7</f>
        <v>-18.633</v>
      </c>
      <c r="E8" s="23">
        <f>E4-E7</f>
        <v>-19.419</v>
      </c>
      <c r="F8" s="23">
        <f>F4-F7</f>
        <v>-15.66</v>
      </c>
      <c r="G8" s="23">
        <f>G4-G7</f>
        <v>-27.98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-1.617</v>
      </c>
      <c r="C9" s="23" t="n">
        <v>-0.639</v>
      </c>
      <c r="D9" s="23" t="n">
        <v>1.069</v>
      </c>
      <c r="E9" s="23" t="n">
        <v>0.872</v>
      </c>
      <c r="F9" s="23" t="n">
        <v>-1.094</v>
      </c>
      <c r="G9" s="23" t="n">
        <v>-6.455</v>
      </c>
    </row>
    <row r="10">
      <c r="A10" s="2" t="inlineStr">
        <is>
          <t>Pretax</t>
        </is>
      </c>
      <c r="B10" s="23">
        <f>B8+B9</f>
        <v>-2.343</v>
      </c>
      <c r="C10" s="23">
        <f>C8+C9</f>
        <v>-6.79</v>
      </c>
      <c r="D10" s="23">
        <f>D8+D9</f>
        <v>-17.564</v>
      </c>
      <c r="E10" s="23">
        <f>E8+E9</f>
        <v>-18.547</v>
      </c>
      <c r="F10" s="23">
        <f>F8+F9</f>
        <v>-16.754</v>
      </c>
      <c r="G10" s="23">
        <f>G8+G9</f>
        <v>-34.435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0.053</v>
      </c>
      <c r="D11" s="23" t="n">
        <v>0</v>
      </c>
      <c r="E11" s="23" t="n">
        <v>0</v>
      </c>
      <c r="F11" s="23" t="n">
        <v>0</v>
      </c>
      <c r="G11" s="23" t="n">
        <v>0.226</v>
      </c>
    </row>
    <row r="12">
      <c r="A12" s="2" t="inlineStr">
        <is>
          <t>Net Income</t>
        </is>
      </c>
      <c r="B12" s="23" t="n">
        <v>-2.344</v>
      </c>
      <c r="C12" s="23" t="n">
        <v>-6.843</v>
      </c>
      <c r="D12" s="23" t="n">
        <v>-17.565</v>
      </c>
      <c r="E12" s="23" t="n">
        <v>-18.546</v>
      </c>
      <c r="F12" s="23" t="n">
        <v>-16.755</v>
      </c>
      <c r="G12" s="23" t="n">
        <v>-34.661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-11.778894472361808</v>
      </c>
      <c r="C13" s="11">
        <f>IFERROR(C12/C14,0)</f>
        <v>-18.903314917127073</v>
      </c>
      <c r="D13" s="11">
        <f>IFERROR(D12/D14,0)</f>
        <v>-25.164756446991408</v>
      </c>
      <c r="E13" s="11">
        <f>IFERROR(E12/E14,0)</f>
        <v>-26.570200573065904</v>
      </c>
      <c r="F13" s="11">
        <f>IFERROR(F12/F14,0)</f>
        <v>-24.00429799426934</v>
      </c>
      <c r="G13" s="11">
        <f>IFERROR(G12/G14,0)</f>
        <v>-50.23333333333334</v>
      </c>
    </row>
    <row r="14">
      <c r="A14" s="2" t="inlineStr">
        <is>
          <t>Shares</t>
        </is>
      </c>
      <c r="B14" s="23" t="n">
        <v>0.199</v>
      </c>
      <c r="C14" s="23" t="n">
        <v>0.362</v>
      </c>
      <c r="D14" s="23" t="n">
        <v>0.698</v>
      </c>
      <c r="E14" s="23" t="n">
        <v>0.698</v>
      </c>
      <c r="F14" s="23" t="n">
        <v>0.698</v>
      </c>
      <c r="G14" s="23" t="n">
        <v>0.6899999999999999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Transcode 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0.07540000000000002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45.132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96.7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-28.139444250800878</v>
      </c>
      <c r="C29" s="42">
        <f>NPV!B25</f>
        <v>-20.40846225080088</v>
      </c>
      <c r="D29" s="43">
        <f>NPV!B27</f>
        <v>-1.2054088277423025</v>
      </c>
      <c r="E29" s="44">
        <f>NPV!B29</f>
        <v>-1.7261498962303028</v>
      </c>
    </row>
    <row r="30">
      <c r="A30" s="45" t="n">
        <v>1</v>
      </c>
      <c r="B30" s="46">
        <f t="dataTable" ref="B30:E32" r1="B4"/>
        <v>-86.23420136776427</v>
      </c>
      <c r="C30" s="46">
        <v>-78.50321936776427</v>
      </c>
      <c r="D30" s="47">
        <v>-4.636727278576811</v>
      </c>
      <c r="E30" s="48">
        <v>-3.7932092039619345</v>
      </c>
    </row>
    <row r="31">
      <c r="A31" s="45" t="n">
        <v>2</v>
      </c>
      <c r="B31" s="46">
        <v>-28.139444250800878</v>
      </c>
      <c r="C31" s="46">
        <v>-20.40846225080088</v>
      </c>
      <c r="D31" s="47">
        <v>-1.2054088277423025</v>
      </c>
      <c r="E31" s="48">
        <v>-1.7261498962303028</v>
      </c>
    </row>
    <row r="32">
      <c r="A32" s="45" t="n">
        <v>3</v>
      </c>
      <c r="B32" s="46">
        <v>63.28569508630538</v>
      </c>
      <c r="C32" s="46">
        <v>71.01667708630538</v>
      </c>
      <c r="D32" s="47">
        <v>4.194540893123766</v>
      </c>
      <c r="E32" s="48">
        <v>1.52683186332757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-1.2054088277423025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-5.416372907014584</v>
      </c>
      <c r="C37" s="47">
        <v>-4.410379057349451</v>
      </c>
      <c r="D37" s="47">
        <v>-3.413204332363515</v>
      </c>
      <c r="E37" s="47">
        <v>-1.6676394912886383</v>
      </c>
      <c r="F37" s="47">
        <v>0.019229081251318173</v>
      </c>
    </row>
    <row r="38">
      <c r="A38" s="50" t="n">
        <v>0.8</v>
      </c>
      <c r="B38" s="47">
        <v>-4.805545503738308</v>
      </c>
      <c r="C38" s="47">
        <v>-3.4683370224977668</v>
      </c>
      <c r="D38" s="47">
        <v>-2.294052561829184</v>
      </c>
      <c r="E38" s="47">
        <v>-0.032419835845798384</v>
      </c>
      <c r="F38" s="47">
        <v>2.170273046423382</v>
      </c>
    </row>
    <row r="39">
      <c r="A39" s="50" t="n">
        <v>1</v>
      </c>
      <c r="B39" s="47">
        <v>-4.1947181004620315</v>
      </c>
      <c r="C39" s="47">
        <v>-2.6374558378837087</v>
      </c>
      <c r="D39" s="47">
        <v>-1.2054088277423025</v>
      </c>
      <c r="E39" s="47">
        <v>1.5729364557205123</v>
      </c>
      <c r="F39" s="47">
        <v>4.299471101269782</v>
      </c>
    </row>
    <row r="40">
      <c r="A40" s="50" t="n">
        <v>1.2</v>
      </c>
      <c r="B40" s="47">
        <v>-3.583890697185754</v>
      </c>
      <c r="C40" s="47">
        <v>-1.8262822590423788</v>
      </c>
      <c r="D40" s="47">
        <v>-0.13625108064541858</v>
      </c>
      <c r="E40" s="47">
        <v>3.16085665838683</v>
      </c>
      <c r="F40" s="47">
        <v>6.411525659624379</v>
      </c>
    </row>
    <row r="41">
      <c r="A41" s="50" t="n">
        <v>1.4</v>
      </c>
      <c r="B41" s="47">
        <v>-3.0381559147056594</v>
      </c>
      <c r="C41" s="47">
        <v>-1.028890292564956</v>
      </c>
      <c r="D41" s="47">
        <v>0.9185268807319101</v>
      </c>
      <c r="E41" s="47">
        <v>4.739287099546209</v>
      </c>
      <c r="F41" s="47">
        <v>8.521821182031243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Transcode 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Solid tumors (basket)</t>
        </is>
      </c>
      <c r="C4" s="14" t="inlineStr">
        <is>
          <t>TTX-MC138, TTX-MC138-NODAGA-Cu64</t>
        </is>
      </c>
      <c r="D4" s="14" t="inlineStr">
        <is>
          <t>Phase 1/2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0.07539999999999999</v>
      </c>
      <c r="I4" s="26" t="n">
        <v>2032</v>
      </c>
      <c r="J4" s="39">
        <f>I4+Assumptions!$B$25</f>
        <v>2044.0</v>
      </c>
      <c r="K4" s="53">
        <f>Assumptions!$E$13</f>
        <v>0.4</v>
      </c>
      <c r="L4" s="23">
        <f>K4*SUMPRODUCT(M4:AF4,NPV!$C$15:$V$15)</f>
        <v>113.54812869523724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11.309999999999999</v>
      </c>
      <c r="T4" s="23">
        <f>IF(T$3&lt;$I4,0,$G4*Assumptions!$E$11*INDEX(Assumptions!$B$24:$G$24,MIN(6,T$3-$I4+1))*IF(T$3&gt;$J4,(1-Assumptions!$B$26)^(T$3-$J4),1)*IF($H4&gt;=1,1,MIN(0.97,$H4*Assumptions!$E$12)))</f>
        <v>28.275</v>
      </c>
      <c r="U4" s="23">
        <f>IF(U$3&lt;$I4,0,$G4*Assumptions!$E$11*INDEX(Assumptions!$B$24:$G$24,MIN(6,U$3-$I4+1))*IF(U$3&gt;$J4,(1-Assumptions!$B$26)^(U$3-$J4),1)*IF($H4&gt;=1,1,MIN(0.97,$H4*Assumptions!$E$12)))</f>
        <v>50.894999999999996</v>
      </c>
      <c r="V4" s="23">
        <f>IF(V$3&lt;$I4,0,$G4*Assumptions!$E$11*INDEX(Assumptions!$B$24:$G$24,MIN(6,V$3-$I4+1))*IF(V$3&gt;$J4,(1-Assumptions!$B$26)^(V$3-$J4),1)*IF($H4&gt;=1,1,MIN(0.97,$H4*Assumptions!$E$12)))</f>
        <v>73.515</v>
      </c>
      <c r="W4" s="23">
        <f>IF(W$3&lt;$I4,0,$G4*Assumptions!$E$11*INDEX(Assumptions!$B$24:$G$24,MIN(6,W$3-$I4+1))*IF(W$3&gt;$J4,(1-Assumptions!$B$26)^(W$3-$J4),1)*IF($H4&gt;=1,1,MIN(0.97,$H4*Assumptions!$E$12)))</f>
        <v>96.13499999999999</v>
      </c>
      <c r="X4" s="23">
        <f>IF(X$3&lt;$I4,0,$G4*Assumptions!$E$11*INDEX(Assumptions!$B$24:$G$24,MIN(6,X$3-$I4+1))*IF(X$3&gt;$J4,(1-Assumptions!$B$26)^(X$3-$J4),1)*IF($H4&gt;=1,1,MIN(0.97,$H4*Assumptions!$E$12)))</f>
        <v>113.1</v>
      </c>
      <c r="Y4" s="23">
        <f>IF(Y$3&lt;$I4,0,$G4*Assumptions!$E$11*INDEX(Assumptions!$B$24:$G$24,MIN(6,Y$3-$I4+1))*IF(Y$3&gt;$J4,(1-Assumptions!$B$26)^(Y$3-$J4),1)*IF($H4&gt;=1,1,MIN(0.97,$H4*Assumptions!$E$12)))</f>
        <v>113.1</v>
      </c>
      <c r="Z4" s="23">
        <f>IF(Z$3&lt;$I4,0,$G4*Assumptions!$E$11*INDEX(Assumptions!$B$24:$G$24,MIN(6,Z$3-$I4+1))*IF(Z$3&gt;$J4,(1-Assumptions!$B$26)^(Z$3-$J4),1)*IF($H4&gt;=1,1,MIN(0.97,$H4*Assumptions!$E$12)))</f>
        <v>113.1</v>
      </c>
      <c r="AA4" s="23">
        <f>IF(AA$3&lt;$I4,0,$G4*Assumptions!$E$11*INDEX(Assumptions!$B$24:$G$24,MIN(6,AA$3-$I4+1))*IF(AA$3&gt;$J4,(1-Assumptions!$B$26)^(AA$3-$J4),1)*IF($H4&gt;=1,1,MIN(0.97,$H4*Assumptions!$E$12)))</f>
        <v>113.1</v>
      </c>
      <c r="AB4" s="23">
        <f>IF(AB$3&lt;$I4,0,$G4*Assumptions!$E$11*INDEX(Assumptions!$B$24:$G$24,MIN(6,AB$3-$I4+1))*IF(AB$3&gt;$J4,(1-Assumptions!$B$26)^(AB$3-$J4),1)*IF($H4&gt;=1,1,MIN(0.97,$H4*Assumptions!$E$12)))</f>
        <v>113.1</v>
      </c>
      <c r="AC4" s="23">
        <f>IF(AC$3&lt;$I4,0,$G4*Assumptions!$E$11*INDEX(Assumptions!$B$24:$G$24,MIN(6,AC$3-$I4+1))*IF(AC$3&gt;$J4,(1-Assumptions!$B$26)^(AC$3-$J4),1)*IF($H4&gt;=1,1,MIN(0.97,$H4*Assumptions!$E$12)))</f>
        <v>113.1</v>
      </c>
      <c r="AD4" s="23">
        <f>IF(AD$3&lt;$I4,0,$G4*Assumptions!$E$11*INDEX(Assumptions!$B$24:$G$24,MIN(6,AD$3-$I4+1))*IF(AD$3&gt;$J4,(1-Assumptions!$B$26)^(AD$3-$J4),1)*IF($H4&gt;=1,1,MIN(0.97,$H4*Assumptions!$E$12)))</f>
        <v>113.1</v>
      </c>
      <c r="AE4" s="23">
        <f>IF(AE$3&lt;$I4,0,$G4*Assumptions!$E$11*INDEX(Assumptions!$B$24:$G$24,MIN(6,AE$3-$I4+1))*IF(AE$3&gt;$J4,(1-Assumptions!$B$26)^(AE$3-$J4),1)*IF($H4&gt;=1,1,MIN(0.97,$H4*Assumptions!$E$12)))</f>
        <v>113.1</v>
      </c>
      <c r="AF4" s="23">
        <f>IF(AF$3&lt;$I4,0,$G4*Assumptions!$E$11*INDEX(Assumptions!$B$24:$G$24,MIN(6,AF$3-$I4+1))*IF(AF$3&gt;$J4,(1-Assumptions!$B$26)^(AF$3-$J4),1)*IF($H4&gt;=1,1,MIN(0.97,$H4*Assumptions!$E$12)))</f>
        <v>56.55</v>
      </c>
      <c r="AG4" s="35">
        <f>IF(F4="Owned",1-IF(H4&gt;=1,1,MIN(0.97,H4*Assumptions!$E$12)),1)</f>
        <v>0.9246</v>
      </c>
    </row>
    <row r="5">
      <c r="B5" s="24" t="inlineStr">
        <is>
          <t>Risked revenue</t>
        </is>
      </c>
      <c r="L5" s="54">
        <f>SUM(L4:L4)</f>
        <v>113.54812869523724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11.309999999999999</v>
      </c>
      <c r="T5" s="54">
        <f>SUM(T4:T4)</f>
        <v>28.275</v>
      </c>
      <c r="U5" s="54">
        <f>SUM(U4:U4)</f>
        <v>50.894999999999996</v>
      </c>
      <c r="V5" s="54">
        <f>SUM(V4:V4)</f>
        <v>73.515</v>
      </c>
      <c r="W5" s="54">
        <f>SUM(W4:W4)</f>
        <v>96.13499999999999</v>
      </c>
      <c r="X5" s="54">
        <f>SUM(X4:X4)</f>
        <v>113.1</v>
      </c>
      <c r="Y5" s="54">
        <f>SUM(Y4:Y4)</f>
        <v>113.1</v>
      </c>
      <c r="Z5" s="54">
        <f>SUM(Z4:Z4)</f>
        <v>113.1</v>
      </c>
      <c r="AA5" s="54">
        <f>SUM(AA4:AA4)</f>
        <v>113.1</v>
      </c>
      <c r="AB5" s="54">
        <f>SUM(AB4:AB4)</f>
        <v>113.1</v>
      </c>
      <c r="AC5" s="54">
        <f>SUM(AC4:AC4)</f>
        <v>113.1</v>
      </c>
      <c r="AD5" s="54">
        <f>SUM(AD4:AD4)</f>
        <v>113.1</v>
      </c>
      <c r="AE5" s="54">
        <f>SUM(AE4:AE4)</f>
        <v>113.1</v>
      </c>
      <c r="AF5" s="54">
        <f>SUM(AF4:AF4)</f>
        <v>56.55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4.524</v>
      </c>
      <c r="T6" s="55">
        <f>SUMPRODUCT(T4:T4,$K$4:$K$4)</f>
        <v>11.31</v>
      </c>
      <c r="U6" s="55">
        <f>SUMPRODUCT(U4:U4,$K$4:$K$4)</f>
        <v>20.358</v>
      </c>
      <c r="V6" s="55">
        <f>SUMPRODUCT(V4:V4,$K$4:$K$4)</f>
        <v>29.406000000000002</v>
      </c>
      <c r="W6" s="55">
        <f>SUMPRODUCT(W4:W4,$K$4:$K$4)</f>
        <v>38.454</v>
      </c>
      <c r="X6" s="55">
        <f>SUMPRODUCT(X4:X4,$K$4:$K$4)</f>
        <v>45.24</v>
      </c>
      <c r="Y6" s="55">
        <f>SUMPRODUCT(Y4:Y4,$K$4:$K$4)</f>
        <v>45.24</v>
      </c>
      <c r="Z6" s="55">
        <f>SUMPRODUCT(Z4:Z4,$K$4:$K$4)</f>
        <v>45.24</v>
      </c>
      <c r="AA6" s="55">
        <f>SUMPRODUCT(AA4:AA4,$K$4:$K$4)</f>
        <v>45.24</v>
      </c>
      <c r="AB6" s="55">
        <f>SUMPRODUCT(AB4:AB4,$K$4:$K$4)</f>
        <v>45.24</v>
      </c>
      <c r="AC6" s="55">
        <f>SUMPRODUCT(AC4:AC4,$K$4:$K$4)</f>
        <v>45.24</v>
      </c>
      <c r="AD6" s="55">
        <f>SUMPRODUCT(AD4:AD4,$K$4:$K$4)</f>
        <v>45.24</v>
      </c>
      <c r="AE6" s="55">
        <f>SUMPRODUCT(AE4:AE4,$K$4:$K$4)</f>
        <v>45.24</v>
      </c>
      <c r="AF6" s="55">
        <f>SUMPRODUCT(AF4:AF4,$K$4:$K$4)</f>
        <v>22.62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Transcode 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11.309999999999999</v>
      </c>
      <c r="J4" s="57">
        <f>Pipeline!T5</f>
        <v>28.275</v>
      </c>
      <c r="K4" s="57">
        <f>Pipeline!U5</f>
        <v>50.894999999999996</v>
      </c>
      <c r="L4" s="57">
        <f>Pipeline!V5</f>
        <v>73.515</v>
      </c>
      <c r="M4" s="57">
        <f>Pipeline!W5</f>
        <v>96.13499999999999</v>
      </c>
      <c r="N4" s="57">
        <f>Pipeline!X5</f>
        <v>113.1</v>
      </c>
      <c r="O4" s="57">
        <f>Pipeline!Y5</f>
        <v>113.1</v>
      </c>
      <c r="P4" s="57">
        <f>Pipeline!Z5</f>
        <v>113.1</v>
      </c>
      <c r="Q4" s="57">
        <f>Pipeline!AA5</f>
        <v>113.1</v>
      </c>
      <c r="R4" s="57">
        <f>Pipeline!AB5</f>
        <v>113.1</v>
      </c>
      <c r="S4" s="57">
        <f>Pipeline!AC5</f>
        <v>113.1</v>
      </c>
      <c r="T4" s="57">
        <f>Pipeline!AD5</f>
        <v>113.1</v>
      </c>
      <c r="U4" s="57">
        <f>Pipeline!AE5</f>
        <v>113.1</v>
      </c>
      <c r="V4" s="57">
        <f>Pipeline!AF5</f>
        <v>56.55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4.524</v>
      </c>
      <c r="J5" s="57">
        <f>Pipeline!T6</f>
        <v>11.31</v>
      </c>
      <c r="K5" s="57">
        <f>Pipeline!U6</f>
        <v>20.358</v>
      </c>
      <c r="L5" s="57">
        <f>Pipeline!V6</f>
        <v>29.406000000000002</v>
      </c>
      <c r="M5" s="57">
        <f>Pipeline!W6</f>
        <v>38.454</v>
      </c>
      <c r="N5" s="57">
        <f>Pipeline!X6</f>
        <v>45.24</v>
      </c>
      <c r="O5" s="57">
        <f>Pipeline!Y6</f>
        <v>45.24</v>
      </c>
      <c r="P5" s="57">
        <f>Pipeline!Z6</f>
        <v>45.24</v>
      </c>
      <c r="Q5" s="57">
        <f>Pipeline!AA6</f>
        <v>45.24</v>
      </c>
      <c r="R5" s="57">
        <f>Pipeline!AB6</f>
        <v>45.24</v>
      </c>
      <c r="S5" s="57">
        <f>Pipeline!AC6</f>
        <v>45.24</v>
      </c>
      <c r="T5" s="57">
        <f>Pipeline!AD6</f>
        <v>45.24</v>
      </c>
      <c r="U5" s="57">
        <f>Pipeline!AE6</f>
        <v>45.24</v>
      </c>
      <c r="V5" s="57">
        <f>Pipeline!AF6</f>
        <v>22.62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-45.132</v>
      </c>
      <c r="D6" s="23">
        <f>-IF(D3-2026&lt;Assumptions!$B$19,Assumptions!$B$18,Assumptions!$B$18*Assumptions!$B$20*Assumptions!$B$16)</f>
        <v>-45.132</v>
      </c>
      <c r="E6" s="23">
        <f>-IF(E3-2026&lt;Assumptions!$B$19,Assumptions!$B$18,Assumptions!$B$18*Assumptions!$B$20*Assumptions!$B$16)</f>
        <v>-45.132</v>
      </c>
      <c r="F6" s="23">
        <f>-IF(F3-2026&lt;Assumptions!$B$19,Assumptions!$B$18,Assumptions!$B$18*Assumptions!$B$20*Assumptions!$B$16)</f>
        <v>-45.132</v>
      </c>
      <c r="G6" s="23">
        <f>-IF(G3-2026&lt;Assumptions!$B$19,Assumptions!$B$18,Assumptions!$B$18*Assumptions!$B$20*Assumptions!$B$16)</f>
        <v>-1.0208858400000003</v>
      </c>
      <c r="H6" s="23">
        <f>-IF(H3-2026&lt;Assumptions!$B$19,Assumptions!$B$18,Assumptions!$B$18*Assumptions!$B$20*Assumptions!$B$16)</f>
        <v>-1.0208858400000003</v>
      </c>
      <c r="I6" s="23">
        <f>-IF(I3-2026&lt;Assumptions!$B$19,Assumptions!$B$18,Assumptions!$B$18*Assumptions!$B$20*Assumptions!$B$16)</f>
        <v>-1.0208858400000003</v>
      </c>
      <c r="J6" s="23">
        <f>-IF(J3-2026&lt;Assumptions!$B$19,Assumptions!$B$18,Assumptions!$B$18*Assumptions!$B$20*Assumptions!$B$16)</f>
        <v>-1.0208858400000003</v>
      </c>
      <c r="K6" s="23">
        <f>-IF(K3-2026&lt;Assumptions!$B$19,Assumptions!$B$18,Assumptions!$B$18*Assumptions!$B$20*Assumptions!$B$16)</f>
        <v>-1.0208858400000003</v>
      </c>
      <c r="L6" s="23">
        <f>-IF(L3-2026&lt;Assumptions!$B$19,Assumptions!$B$18,Assumptions!$B$18*Assumptions!$B$20*Assumptions!$B$16)</f>
        <v>-1.0208858400000003</v>
      </c>
      <c r="M6" s="23">
        <f>-IF(M3-2026&lt;Assumptions!$B$19,Assumptions!$B$18,Assumptions!$B$18*Assumptions!$B$20*Assumptions!$B$16)</f>
        <v>-1.0208858400000003</v>
      </c>
      <c r="N6" s="23">
        <f>-IF(N3-2026&lt;Assumptions!$B$19,Assumptions!$B$18,Assumptions!$B$18*Assumptions!$B$20*Assumptions!$B$16)</f>
        <v>-1.0208858400000003</v>
      </c>
      <c r="O6" s="23">
        <f>-IF(O3-2026&lt;Assumptions!$B$19,Assumptions!$B$18,Assumptions!$B$18*Assumptions!$B$20*Assumptions!$B$16)</f>
        <v>-1.0208858400000003</v>
      </c>
      <c r="P6" s="23">
        <f>-IF(P3-2026&lt;Assumptions!$B$19,Assumptions!$B$18,Assumptions!$B$18*Assumptions!$B$20*Assumptions!$B$16)</f>
        <v>-1.0208858400000003</v>
      </c>
      <c r="Q6" s="23">
        <f>-IF(Q3-2026&lt;Assumptions!$B$19,Assumptions!$B$18,Assumptions!$B$18*Assumptions!$B$20*Assumptions!$B$16)</f>
        <v>-1.0208858400000003</v>
      </c>
      <c r="R6" s="23">
        <f>-IF(R3-2026&lt;Assumptions!$B$19,Assumptions!$B$18,Assumptions!$B$18*Assumptions!$B$20*Assumptions!$B$16)</f>
        <v>-1.0208858400000003</v>
      </c>
      <c r="S6" s="23">
        <f>-IF(S3-2026&lt;Assumptions!$B$19,Assumptions!$B$18,Assumptions!$B$18*Assumptions!$B$20*Assumptions!$B$16)</f>
        <v>-1.0208858400000003</v>
      </c>
      <c r="T6" s="23">
        <f>-IF(T3-2026&lt;Assumptions!$B$19,Assumptions!$B$18,Assumptions!$B$18*Assumptions!$B$20*Assumptions!$B$16)</f>
        <v>-1.0208858400000003</v>
      </c>
      <c r="U6" s="23">
        <f>-IF(U3-2026&lt;Assumptions!$B$19,Assumptions!$B$18,Assumptions!$B$18*Assumptions!$B$20*Assumptions!$B$16)</f>
        <v>-1.0208858400000003</v>
      </c>
      <c r="V6" s="23">
        <f>-IF(V3-2026&lt;Assumptions!$B$19,Assumptions!$B$18,Assumptions!$B$18*Assumptions!$B$20*Assumptions!$B$16)</f>
        <v>-1.0208858400000003</v>
      </c>
    </row>
    <row r="7">
      <c r="A7" s="14" t="inlineStr">
        <is>
          <t>Pre-tax cash flow</t>
        </is>
      </c>
      <c r="C7" s="23">
        <f>C5+C6</f>
        <v>-45.132</v>
      </c>
      <c r="D7" s="23">
        <f>D5+D6</f>
        <v>-45.132</v>
      </c>
      <c r="E7" s="23">
        <f>E5+E6</f>
        <v>-45.132</v>
      </c>
      <c r="F7" s="23">
        <f>F5+F6</f>
        <v>-45.132</v>
      </c>
      <c r="G7" s="23">
        <f>G5+G6</f>
        <v>-1.0208858400000003</v>
      </c>
      <c r="H7" s="23">
        <f>H5+H6</f>
        <v>-1.0208858400000003</v>
      </c>
      <c r="I7" s="23">
        <f>I5+I6</f>
        <v>3.50311416</v>
      </c>
      <c r="J7" s="23">
        <f>J5+J6</f>
        <v>10.28911416</v>
      </c>
      <c r="K7" s="23">
        <f>K5+K6</f>
        <v>19.33711416</v>
      </c>
      <c r="L7" s="23">
        <f>L5+L6</f>
        <v>28.38511416</v>
      </c>
      <c r="M7" s="23">
        <f>M5+M6</f>
        <v>37.43311416</v>
      </c>
      <c r="N7" s="23">
        <f>N5+N6</f>
        <v>44.219114160000004</v>
      </c>
      <c r="O7" s="23">
        <f>O5+O6</f>
        <v>44.219114160000004</v>
      </c>
      <c r="P7" s="23">
        <f>P5+P6</f>
        <v>44.219114160000004</v>
      </c>
      <c r="Q7" s="23">
        <f>Q5+Q6</f>
        <v>44.219114160000004</v>
      </c>
      <c r="R7" s="23">
        <f>R5+R6</f>
        <v>44.219114160000004</v>
      </c>
      <c r="S7" s="23">
        <f>S5+S6</f>
        <v>44.219114160000004</v>
      </c>
      <c r="T7" s="23">
        <f>T5+T6</f>
        <v>44.219114160000004</v>
      </c>
      <c r="U7" s="23">
        <f>U5+U6</f>
        <v>44.219114160000004</v>
      </c>
      <c r="V7" s="23">
        <f>V5+V6</f>
        <v>21.59911416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3.50311416</v>
      </c>
      <c r="J8" s="23">
        <f>MIN(I17,MAX(0,J7))</f>
        <v>10.28911416</v>
      </c>
      <c r="K8" s="23">
        <f>MIN(J17,MAX(0,K7))</f>
        <v>19.33711416</v>
      </c>
      <c r="L8" s="23">
        <f>MIN(K17,MAX(0,L7))</f>
        <v>28.38511416</v>
      </c>
      <c r="M8" s="23">
        <f>MIN(L17,MAX(0,M7))</f>
        <v>37.43311416</v>
      </c>
      <c r="N8" s="23">
        <f>MIN(M17,MAX(0,N7))</f>
        <v>44.219114160000004</v>
      </c>
      <c r="O8" s="23">
        <f>MIN(N17,MAX(0,O7))</f>
        <v>44.219114160000004</v>
      </c>
      <c r="P8" s="23">
        <f>MIN(O17,MAX(0,P7))</f>
        <v>44.219114160000004</v>
      </c>
      <c r="Q8" s="23">
        <f>MIN(P17,MAX(0,Q7))</f>
        <v>44.219114160000004</v>
      </c>
      <c r="R8" s="23">
        <f>MIN(Q17,MAX(0,R7))</f>
        <v>3.4457442400000104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40.77336991999999</v>
      </c>
      <c r="S9" s="23">
        <f>MAX(0,S7)-S8</f>
        <v>44.219114160000004</v>
      </c>
      <c r="T9" s="23">
        <f>MAX(0,T7)-T8</f>
        <v>44.219114160000004</v>
      </c>
      <c r="U9" s="23">
        <f>MAX(0,U7)-U8</f>
        <v>44.219114160000004</v>
      </c>
      <c r="V9" s="23">
        <f>MAX(0,V7)-V8</f>
        <v>21.59911416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8.562407683199998</v>
      </c>
      <c r="S10" s="23">
        <f>S9*Assumptions!$E$15</f>
        <v>9.286013973600001</v>
      </c>
      <c r="T10" s="23">
        <f>T9*Assumptions!$E$15</f>
        <v>9.286013973600001</v>
      </c>
      <c r="U10" s="23">
        <f>U9*Assumptions!$E$15</f>
        <v>9.286013973600001</v>
      </c>
      <c r="V10" s="23">
        <f>V9*Assumptions!$E$15</f>
        <v>4.5358139736</v>
      </c>
    </row>
    <row r="11">
      <c r="A11" s="24" t="inlineStr">
        <is>
          <t>Free cash flow</t>
        </is>
      </c>
      <c r="C11" s="55">
        <f>C7-C10</f>
        <v>-45.132</v>
      </c>
      <c r="D11" s="55">
        <f>D7-D10</f>
        <v>-45.132</v>
      </c>
      <c r="E11" s="55">
        <f>E7-E10</f>
        <v>-45.132</v>
      </c>
      <c r="F11" s="55">
        <f>F7-F10</f>
        <v>-45.132</v>
      </c>
      <c r="G11" s="55">
        <f>G7-G10</f>
        <v>-1.0208858400000003</v>
      </c>
      <c r="H11" s="55">
        <f>H7-H10</f>
        <v>-1.0208858400000003</v>
      </c>
      <c r="I11" s="55">
        <f>I7-I10</f>
        <v>3.50311416</v>
      </c>
      <c r="J11" s="55">
        <f>J7-J10</f>
        <v>10.28911416</v>
      </c>
      <c r="K11" s="55">
        <f>K7-K10</f>
        <v>19.33711416</v>
      </c>
      <c r="L11" s="55">
        <f>L7-L10</f>
        <v>28.38511416</v>
      </c>
      <c r="M11" s="55">
        <f>M7-M10</f>
        <v>37.43311416</v>
      </c>
      <c r="N11" s="55">
        <f>N7-N10</f>
        <v>44.219114160000004</v>
      </c>
      <c r="O11" s="55">
        <f>O7-O10</f>
        <v>44.219114160000004</v>
      </c>
      <c r="P11" s="55">
        <f>P7-P10</f>
        <v>44.219114160000004</v>
      </c>
      <c r="Q11" s="55">
        <f>Q7-Q10</f>
        <v>44.219114160000004</v>
      </c>
      <c r="R11" s="55">
        <f>R7-R10</f>
        <v>35.656706476800004</v>
      </c>
      <c r="S11" s="55">
        <f>S7-S10</f>
        <v>34.933100186400004</v>
      </c>
      <c r="T11" s="55">
        <f>T7-T10</f>
        <v>34.933100186400004</v>
      </c>
      <c r="U11" s="55">
        <f>U7-U10</f>
        <v>34.933100186400004</v>
      </c>
      <c r="V11" s="55">
        <f>V7-V10</f>
        <v>17.0633001864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-22.11036307972969</v>
      </c>
      <c r="D16" s="55">
        <f>D11*D15</f>
        <v>-40.27770928148449</v>
      </c>
      <c r="E16" s="55">
        <f>E11*E15</f>
        <v>-35.96224042989686</v>
      </c>
      <c r="F16" s="55">
        <f>F11*F15</f>
        <v>-32.109143240979336</v>
      </c>
      <c r="G16" s="55">
        <f>G11*G15</f>
        <v>-0.6484900179562079</v>
      </c>
      <c r="H16" s="55">
        <f>H11*H15</f>
        <v>-0.579008944603757</v>
      </c>
      <c r="I16" s="55">
        <f>I11*I15</f>
        <v>1.773962195672349</v>
      </c>
      <c r="J16" s="55">
        <f>J11*J15</f>
        <v>4.652110622439583</v>
      </c>
      <c r="K16" s="55">
        <f>K11*K15</f>
        <v>7.806308061553179</v>
      </c>
      <c r="L16" s="55">
        <f>L11*L15</f>
        <v>10.231201718303204</v>
      </c>
      <c r="M16" s="55">
        <f>M11*M15</f>
        <v>12.04686207545121</v>
      </c>
      <c r="N16" s="55">
        <f>N11*N15</f>
        <v>12.706033465526918</v>
      </c>
      <c r="O16" s="55">
        <f>O11*O15</f>
        <v>11.344672737077605</v>
      </c>
      <c r="P16" s="55">
        <f>P11*P15</f>
        <v>10.129172086676432</v>
      </c>
      <c r="Q16" s="55">
        <f>Q11*Q15</f>
        <v>9.043903648818242</v>
      </c>
      <c r="R16" s="55">
        <f>R11*R15</f>
        <v>6.511320789667528</v>
      </c>
      <c r="S16" s="55">
        <f>S11*S15</f>
        <v>5.695698248219396</v>
      </c>
      <c r="T16" s="55">
        <f>T11*T15</f>
        <v>5.0854448644816035</v>
      </c>
      <c r="U16" s="55">
        <f>U11*U15</f>
        <v>4.540575771858574</v>
      </c>
      <c r="V16" s="55">
        <f>V11*V15</f>
        <v>1.9802444581036434</v>
      </c>
    </row>
    <row r="17">
      <c r="A17" s="14" t="inlineStr">
        <is>
          <t>Tax-loss carryforward, end of year</t>
        </is>
      </c>
      <c r="C17" s="23">
        <f>Assumptions!$B$21-C8+MAX(0,-C7)</f>
        <v>141.832</v>
      </c>
      <c r="D17" s="23">
        <f>C17-D8+MAX(0,-D7)</f>
        <v>186.964</v>
      </c>
      <c r="E17" s="23">
        <f>D17-E8+MAX(0,-E7)</f>
        <v>232.096</v>
      </c>
      <c r="F17" s="23">
        <f>E17-F8+MAX(0,-F7)</f>
        <v>277.228</v>
      </c>
      <c r="G17" s="23">
        <f>F17-G8+MAX(0,-G7)</f>
        <v>278.24888584</v>
      </c>
      <c r="H17" s="23">
        <f>G17-H8+MAX(0,-H7)</f>
        <v>279.26977168</v>
      </c>
      <c r="I17" s="23">
        <f>H17-I8+MAX(0,-I7)</f>
        <v>275.76665752</v>
      </c>
      <c r="J17" s="23">
        <f>I17-J8+MAX(0,-J7)</f>
        <v>265.47754336</v>
      </c>
      <c r="K17" s="23">
        <f>J17-K8+MAX(0,-K7)</f>
        <v>246.14042920000003</v>
      </c>
      <c r="L17" s="23">
        <f>K17-L8+MAX(0,-L7)</f>
        <v>217.75531504000003</v>
      </c>
      <c r="M17" s="23">
        <f>L17-M8+MAX(0,-M7)</f>
        <v>180.32220088000003</v>
      </c>
      <c r="N17" s="23">
        <f>M17-N8+MAX(0,-N7)</f>
        <v>136.10308672000002</v>
      </c>
      <c r="O17" s="23">
        <f>N17-O8+MAX(0,-O7)</f>
        <v>91.88397256000002</v>
      </c>
      <c r="P17" s="23">
        <f>O17-P8+MAX(0,-P7)</f>
        <v>47.664858400000014</v>
      </c>
      <c r="Q17" s="23">
        <f>P17-Q8+MAX(0,-Q7)</f>
        <v>3.4457442400000104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113.54812869523724</v>
      </c>
    </row>
    <row r="20">
      <c r="A20" s="14" t="inlineStr">
        <is>
          <t>PV of corporate burn</t>
        </is>
      </c>
      <c r="B20" s="23">
        <f>SUMPRODUCT(C6:V6,C15:V15)</f>
        <v>-135.52472368511704</v>
      </c>
    </row>
    <row r="21">
      <c r="A21" s="14" t="inlineStr">
        <is>
          <t>PV of taxes</t>
        </is>
      </c>
      <c r="B21" s="23">
        <f>-SUMPRODUCT(C10:V10,C15:V15)</f>
        <v>-6.162849260921078</v>
      </c>
    </row>
    <row r="22">
      <c r="A22" s="24" t="inlineStr">
        <is>
          <t>Pipeline rNPV (operations)</t>
        </is>
      </c>
      <c r="B22" s="54">
        <f>SUM(C16:V16)</f>
        <v>-28.139444250800878</v>
      </c>
    </row>
    <row r="23">
      <c r="A23" s="14" t="inlineStr">
        <is>
          <t>Cash &amp; investments</t>
        </is>
      </c>
      <c r="B23" s="57">
        <f>Main!C7</f>
        <v>8.383393</v>
      </c>
    </row>
    <row r="24">
      <c r="A24" s="14" t="inlineStr">
        <is>
          <t>Debt</t>
        </is>
      </c>
      <c r="B24" s="57">
        <f>Main!C8</f>
        <v>0.652411</v>
      </c>
    </row>
    <row r="25">
      <c r="A25" s="24" t="inlineStr">
        <is>
          <t>Equity value</t>
        </is>
      </c>
      <c r="B25" s="54">
        <f>B22+B23-B24</f>
        <v>-20.40846225080088</v>
      </c>
    </row>
    <row r="26">
      <c r="A26" s="14" t="inlineStr">
        <is>
          <t>Shares (mm)</t>
        </is>
      </c>
      <c r="B26" s="57">
        <f>Main!C4</f>
        <v>16.930739</v>
      </c>
    </row>
    <row r="27">
      <c r="A27" s="24" t="inlineStr">
        <is>
          <t>rNPV / share</t>
        </is>
      </c>
      <c r="B27" s="60">
        <f>B25/B26</f>
        <v>-1.2054088277423025</v>
      </c>
    </row>
    <row r="28">
      <c r="A28" s="14" t="inlineStr">
        <is>
          <t>Price</t>
        </is>
      </c>
      <c r="B28" s="61">
        <f>Main!C3</f>
        <v>1.66</v>
      </c>
    </row>
    <row r="29">
      <c r="A29" s="14" t="inlineStr">
        <is>
          <t>Upside</t>
        </is>
      </c>
      <c r="B29" s="62">
        <f>B27/B28-1</f>
        <v>-1.7261498962303028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2026-10-21T06:29:56Z</dcterms:modified>
  <cp:lastModifiedBy>Wang, Eric</cp:lastModifiedBy>
</cp:coreProperties>
</file>