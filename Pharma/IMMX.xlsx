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Immix Biopharma, Inc.</t>
        </is>
      </c>
      <c r="C2" s="10" t="n"/>
    </row>
    <row r="3">
      <c r="B3" t="inlineStr">
        <is>
          <t>Price</t>
        </is>
      </c>
      <c r="C3" s="11">
        <f>INDEX([1]Pharma!$F$1:$F$1000,MATCH("IMMX",[1]Pharma!$B$1:$B$1000,0))</f>
        <v>8.91</v>
      </c>
      <c r="F3" s="1" t="n"/>
    </row>
    <row r="4">
      <c r="B4" t="inlineStr">
        <is>
          <t>Shares</t>
        </is>
      </c>
      <c r="C4" s="21" t="n">
        <v>71.539314</v>
      </c>
      <c r="F4" s="1" t="n"/>
    </row>
    <row r="5">
      <c r="B5" t="inlineStr">
        <is>
          <t>Market Cap.</t>
        </is>
      </c>
      <c r="C5" s="13">
        <f>C3*C4</f>
        <v>637.41528774</v>
      </c>
      <c r="F5" s="1" t="n"/>
    </row>
    <row r="6"/>
    <row r="7">
      <c r="B7" t="inlineStr">
        <is>
          <t>Cash</t>
        </is>
      </c>
      <c r="C7" s="21">
        <f>225.491985+6.615168</f>
        <v>232.107153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405.30813474</v>
      </c>
    </row>
    <row r="10"/>
    <row r="11">
      <c r="B11" s="14" t="inlineStr">
        <is>
          <t>Net Cash / Share</t>
        </is>
      </c>
      <c r="C11" s="11">
        <f>(C7-C8)/C4</f>
        <v>3.244469928800268</v>
      </c>
    </row>
    <row r="12">
      <c r="B12" s="14" t="inlineStr">
        <is>
          <t>Upside</t>
        </is>
      </c>
      <c r="C12" s="15">
        <f>IFERROR(C11/C3-1,"")</f>
        <v>-0.6358619608529441</v>
      </c>
    </row>
    <row r="13">
      <c r="B13" s="14" t="inlineStr">
        <is>
          <t>Cash / Share</t>
        </is>
      </c>
      <c r="C13" s="11">
        <f>IFERROR((C7-C8)/C4,"")</f>
        <v>3.244469928800268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-38.498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6.029070419242559</v>
      </c>
    </row>
    <row r="19">
      <c r="B19" s="14" t="inlineStr">
        <is>
          <t>Implied Pipeline Value</t>
        </is>
      </c>
      <c r="C19" s="13">
        <f>C9</f>
        <v>405.30813474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0.248</v>
      </c>
      <c r="C5" s="23" t="n">
        <v>0.127</v>
      </c>
      <c r="D5" s="23" t="n">
        <v>4.196</v>
      </c>
      <c r="E5" s="23" t="n">
        <v>8.734999999999999</v>
      </c>
      <c r="F5" s="23" t="n">
        <v>11.293</v>
      </c>
      <c r="G5" s="23" t="n">
        <v>16.259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0.206</v>
      </c>
      <c r="C6" s="23" t="n">
        <v>1.225</v>
      </c>
      <c r="D6" s="23" t="n">
        <v>4.023</v>
      </c>
      <c r="E6" s="23" t="n">
        <v>7.406</v>
      </c>
      <c r="F6" s="23" t="n">
        <v>11.382</v>
      </c>
      <c r="G6" s="23" t="n">
        <v>13.698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0.45399999999999996</v>
      </c>
      <c r="C7" s="23">
        <f>SUM(C5:C6)</f>
        <v>1.352</v>
      </c>
      <c r="D7" s="23">
        <f>SUM(D5:D6)</f>
        <v>8.219</v>
      </c>
      <c r="E7" s="23">
        <f>SUM(E5:E6)</f>
        <v>16.141</v>
      </c>
      <c r="F7" s="23">
        <f>SUM(F5:F6)</f>
        <v>22.674999999999997</v>
      </c>
      <c r="G7" s="23">
        <f>SUM(G5:G6)</f>
        <v>29.957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-0.45399999999999996</v>
      </c>
      <c r="C8" s="23">
        <f>C4-C7</f>
        <v>-1.352</v>
      </c>
      <c r="D8" s="23">
        <f>D4-D7</f>
        <v>-8.219</v>
      </c>
      <c r="E8" s="23">
        <f>E4-E7</f>
        <v>-16.141</v>
      </c>
      <c r="F8" s="23">
        <f>F4-F7</f>
        <v>-22.674999999999997</v>
      </c>
      <c r="G8" s="23">
        <f>G4-G7</f>
        <v>-29.957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-0.676</v>
      </c>
      <c r="C9" s="23" t="n">
        <v>-23.026</v>
      </c>
      <c r="D9" s="23" t="n">
        <v>-0</v>
      </c>
      <c r="E9" s="23" t="n">
        <v>0.741</v>
      </c>
      <c r="F9" s="23" t="n">
        <v>1.102</v>
      </c>
      <c r="G9" s="23" t="n">
        <v>0.594</v>
      </c>
    </row>
    <row r="10">
      <c r="A10" s="2" t="inlineStr">
        <is>
          <t>Pretax</t>
        </is>
      </c>
      <c r="B10" s="23">
        <f>B8+B9</f>
        <v>-1.13</v>
      </c>
      <c r="C10" s="23">
        <f>C8+C9</f>
        <v>-24.378</v>
      </c>
      <c r="D10" s="23">
        <f>D8+D9</f>
        <v>-8.219</v>
      </c>
      <c r="E10" s="23">
        <f>E8+E9</f>
        <v>-15.399999999999999</v>
      </c>
      <c r="F10" s="23">
        <f>F8+F9</f>
        <v>-21.572999999999997</v>
      </c>
      <c r="G10" s="23">
        <f>G8+G9</f>
        <v>-29.363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0.018</v>
      </c>
      <c r="C11" s="23" t="n">
        <v>0.006</v>
      </c>
      <c r="D11" s="23" t="n">
        <v>0.01</v>
      </c>
      <c r="E11" s="23" t="n">
        <v>0.026</v>
      </c>
      <c r="F11" s="23" t="n">
        <v>0.041</v>
      </c>
      <c r="G11" s="23" t="n">
        <v>0.038</v>
      </c>
    </row>
    <row r="12">
      <c r="A12" s="2" t="inlineStr">
        <is>
          <t>Net Income</t>
        </is>
      </c>
      <c r="B12" s="23" t="n">
        <v>-1.148</v>
      </c>
      <c r="C12" s="23" t="n">
        <v>-24.384</v>
      </c>
      <c r="D12" s="23" t="n">
        <v>-8.23</v>
      </c>
      <c r="E12" s="23" t="n">
        <v>-15.426</v>
      </c>
      <c r="F12" s="23" t="n">
        <v>-21.613</v>
      </c>
      <c r="G12" s="23" t="n">
        <v>-29.4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-0.34014814814814814</v>
      </c>
      <c r="C13" s="11">
        <f>IFERROR(C12/C14,0)</f>
        <v>-6.638714946909883</v>
      </c>
      <c r="D13" s="11">
        <f>IFERROR(D12/D14,0)</f>
        <v>-0.5926405991214805</v>
      </c>
      <c r="E13" s="11">
        <f>IFERROR(E12/E14,0)</f>
        <v>-0.8895680756588431</v>
      </c>
      <c r="F13" s="11">
        <f>IFERROR(F12/F14,0)</f>
        <v>-0.7640882415329138</v>
      </c>
      <c r="G13" s="11">
        <f>IFERROR(G12/G14,0)</f>
        <v>-0.8918279439422434</v>
      </c>
    </row>
    <row r="14">
      <c r="A14" s="2" t="inlineStr">
        <is>
          <t>Shares</t>
        </is>
      </c>
      <c r="B14" s="23" t="n">
        <v>3.375</v>
      </c>
      <c r="C14" s="23" t="n">
        <v>3.673</v>
      </c>
      <c r="D14" s="23" t="n">
        <v>13.887</v>
      </c>
      <c r="E14" s="23" t="n">
        <v>17.341</v>
      </c>
      <c r="F14" s="23" t="n">
        <v>28.286</v>
      </c>
      <c r="G14" s="23" t="n">
        <v>32.966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2026-10-21T01:05:03Z</dcterms:modified>
  <cp:lastModifiedBy>Wang, Eric</cp:lastModifiedBy>
</cp:coreProperties>
</file>