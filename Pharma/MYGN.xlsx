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Myriad Genetics, Inc.</t>
        </is>
      </c>
      <c r="C2" s="10" t="n"/>
    </row>
    <row r="3">
      <c r="B3" t="inlineStr">
        <is>
          <t>Price</t>
        </is>
      </c>
      <c r="C3" s="11">
        <f>INDEX([1]Pharma!$F$1:$F$1000,MATCH("MYGN",[1]Pharma!$B$1:$B$1000,0))</f>
        <v>5.54</v>
      </c>
      <c r="F3" s="1" t="n"/>
    </row>
    <row r="4">
      <c r="B4" t="inlineStr">
        <is>
          <t>Shares</t>
        </is>
      </c>
      <c r="C4" s="51" t="n">
        <v>95.64964500000001</v>
      </c>
      <c r="F4" s="1" t="n"/>
    </row>
    <row r="5">
      <c r="B5" t="inlineStr">
        <is>
          <t>Market Cap.</t>
        </is>
      </c>
      <c r="C5" s="13">
        <f>C3*C4</f>
        <v>529.8990333</v>
      </c>
      <c r="F5" s="1" t="n"/>
    </row>
    <row r="6"/>
    <row r="7">
      <c r="B7" t="inlineStr">
        <is>
          <t>Cash</t>
        </is>
      </c>
      <c r="C7" s="51" t="n">
        <v>115.2</v>
      </c>
    </row>
    <row r="8">
      <c r="B8" t="inlineStr">
        <is>
          <t>Debt</t>
        </is>
      </c>
      <c r="C8" s="51" t="n">
        <v>120.7</v>
      </c>
    </row>
    <row r="9">
      <c r="B9" t="inlineStr">
        <is>
          <t>Enterprise V.</t>
        </is>
      </c>
      <c r="C9" s="13">
        <f>C5-C7+C8</f>
        <v>535.3990333</v>
      </c>
    </row>
    <row r="10"/>
    <row r="11">
      <c r="B11" s="14" t="inlineStr">
        <is>
          <t>NPV / Share</t>
        </is>
      </c>
      <c r="C11" s="11">
        <f>NPV!B28</f>
        <v>5.340801290519666</v>
      </c>
    </row>
    <row r="12">
      <c r="B12" s="14" t="inlineStr">
        <is>
          <t>Upside</t>
        </is>
      </c>
      <c r="C12" s="15">
        <f>IFERROR(C11/C3-1,"")</f>
        <v>-0.03595644575457291</v>
      </c>
    </row>
    <row r="13">
      <c r="B13" s="14" t="inlineStr">
        <is>
          <t>Cash / Share</t>
        </is>
      </c>
      <c r="C13" s="11">
        <f>IFERROR((C7-C8)/C4,"")</f>
        <v>-0.05750152026178455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326.527</v>
      </c>
      <c r="C2" s="52" t="n">
        <v>362.648</v>
      </c>
      <c r="D2" s="52" t="n">
        <v>402.084</v>
      </c>
      <c r="E2" s="52" t="n">
        <v>496.005</v>
      </c>
      <c r="F2" s="52" t="n">
        <v>613.2</v>
      </c>
      <c r="G2" s="52" t="n">
        <v>778.2</v>
      </c>
      <c r="H2" s="52" t="n">
        <v>723.1</v>
      </c>
      <c r="I2" s="52" t="n">
        <v>753.8</v>
      </c>
      <c r="J2" s="52" t="n">
        <v>771.4</v>
      </c>
      <c r="K2" s="52" t="n">
        <v>743.7</v>
      </c>
      <c r="L2" s="52" t="n">
        <v>851.1</v>
      </c>
      <c r="M2" s="52" t="n">
        <v>557.1</v>
      </c>
      <c r="N2" s="52" t="n">
        <v>690.6</v>
      </c>
      <c r="O2" s="52" t="n">
        <v>678.4</v>
      </c>
      <c r="P2" s="52" t="n">
        <v>753.2</v>
      </c>
      <c r="Q2" s="52" t="n">
        <v>837.6</v>
      </c>
      <c r="R2" s="52" t="n">
        <v>824.5</v>
      </c>
      <c r="S2" s="52">
        <f>R2*(1+NPV!C5)</f>
        <v>788.3869000000001</v>
      </c>
      <c r="T2" s="52">
        <f>S2*(1+NPV!D5)</f>
        <v>759.882333637778</v>
      </c>
      <c r="U2" s="52">
        <f>T2*(1+NPV!E5)</f>
        <v>738.2172439920608</v>
      </c>
      <c r="V2" s="52">
        <f>U2*(1+NPV!F5)</f>
        <v>722.8131108340931</v>
      </c>
      <c r="W2" s="52">
        <f>V2*(1+NPV!G5)</f>
        <v>713.255915257509</v>
      </c>
      <c r="X2" s="52">
        <f>W2*(1+NPV!H5)</f>
        <v>709.2775322635171</v>
      </c>
      <c r="Y2" s="52">
        <f>X2*(1+NPV!I5)</f>
        <v>710.7433724968616</v>
      </c>
      <c r="Z2" s="52">
        <f>Y2*(1+NPV!J5)</f>
        <v>717.6454803586646</v>
      </c>
      <c r="AA2" s="52">
        <f>Z2*(1+NPV!K5)</f>
        <v>730.1006163622228</v>
      </c>
      <c r="AB2" s="52">
        <f>AA2*(1+NPV!L5)</f>
        <v>748.3531317712783</v>
      </c>
    </row>
    <row r="3" customFormat="1" s="1">
      <c r="A3" s="5" t="inlineStr">
        <is>
          <t>Cost of Sales</t>
        </is>
      </c>
      <c r="B3" s="52" t="n">
        <v>43.267</v>
      </c>
      <c r="C3" s="52" t="n">
        <v>44.286</v>
      </c>
      <c r="D3" s="52" t="n">
        <v>45.637</v>
      </c>
      <c r="E3" s="52" t="n">
        <v>51.452</v>
      </c>
      <c r="F3" s="52" t="n">
        <v>64.40000000000001</v>
      </c>
      <c r="G3" s="52" t="n">
        <v>96.09999999999999</v>
      </c>
      <c r="H3" s="52" t="n">
        <v>132.8</v>
      </c>
      <c r="I3" s="52" t="n">
        <v>132.8</v>
      </c>
      <c r="J3" s="52" t="n">
        <v>145.2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202</v>
      </c>
      <c r="P3" s="52" t="n">
        <v>236.2</v>
      </c>
      <c r="Q3" s="52" t="n">
        <v>252.2</v>
      </c>
      <c r="R3" s="52" t="n">
        <v>247.9</v>
      </c>
      <c r="S3" s="52">
        <f>S2*(1-Assumptions!$B$19)</f>
        <v>237.06794083</v>
      </c>
      <c r="T3" s="52">
        <f>T2*(1-Assumptions!$B$19)</f>
        <v>228.4966177248798</v>
      </c>
      <c r="U3" s="52">
        <f>U2*(1-Assumptions!$B$19)</f>
        <v>221.98192526841268</v>
      </c>
      <c r="V3" s="52">
        <f>V2*(1-Assumptions!$B$19)</f>
        <v>217.34990242781177</v>
      </c>
      <c r="W3" s="52">
        <f>W2*(1-Assumptions!$B$19)</f>
        <v>214.47605371793293</v>
      </c>
      <c r="X3" s="52">
        <f>X2*(1-Assumptions!$B$19)</f>
        <v>213.27975395163955</v>
      </c>
      <c r="Y3" s="52">
        <f>Y2*(1-Assumptions!$B$19)</f>
        <v>213.72053210980627</v>
      </c>
      <c r="Z3" s="52">
        <f>Z2*(1-Assumptions!$B$19)</f>
        <v>215.79599594385041</v>
      </c>
      <c r="AA3" s="52">
        <f>AA2*(1-Assumptions!$B$19)</f>
        <v>219.5412553401204</v>
      </c>
      <c r="AB3" s="52">
        <f>AB2*(1-Assumptions!$B$19)</f>
        <v>225.02978672362337</v>
      </c>
    </row>
    <row r="4" customFormat="1" s="1">
      <c r="A4" s="5" t="inlineStr">
        <is>
          <t>Gross Margin</t>
        </is>
      </c>
      <c r="B4" s="52">
        <f>B2-B3</f>
        <v>283.26</v>
      </c>
      <c r="C4" s="52">
        <f>C2-C3</f>
        <v>318.362</v>
      </c>
      <c r="D4" s="52">
        <f>D2-D3</f>
        <v>356.447</v>
      </c>
      <c r="E4" s="52">
        <f>E2-E3</f>
        <v>444.553</v>
      </c>
      <c r="F4" s="52">
        <f>F2-F3</f>
        <v>548.8000000000001</v>
      </c>
      <c r="G4" s="52">
        <f>G2-G3</f>
        <v>682.1</v>
      </c>
      <c r="H4" s="52">
        <f>H2-H3</f>
        <v>590.3</v>
      </c>
      <c r="I4" s="52">
        <f>I2-I3</f>
        <v>621.0</v>
      </c>
      <c r="J4" s="52">
        <f>J2-J3</f>
        <v>626.2</v>
      </c>
      <c r="K4" s="52">
        <f>K2-K3</f>
        <v>743.7</v>
      </c>
      <c r="L4" s="52">
        <f>L2-L3</f>
        <v>851.1</v>
      </c>
      <c r="M4" s="52">
        <f>M2-M3</f>
        <v>557.1</v>
      </c>
      <c r="N4" s="52">
        <f>N2-N3</f>
        <v>690.6</v>
      </c>
      <c r="O4" s="52">
        <f>O2-O3</f>
        <v>476.4</v>
      </c>
      <c r="P4" s="52">
        <f>P2-P3</f>
        <v>517.0</v>
      </c>
      <c r="Q4" s="52">
        <f>Q2-Q3</f>
        <v>585.4000000000001</v>
      </c>
      <c r="R4" s="52">
        <f>R2-R3</f>
        <v>576.6</v>
      </c>
      <c r="S4" s="52">
        <f>S2-S3</f>
        <v>551.3189591700001</v>
      </c>
      <c r="T4" s="52">
        <f>T2-T3</f>
        <v>531.3857159128981</v>
      </c>
      <c r="U4" s="52">
        <f>U2-U3</f>
        <v>516.2353187236481</v>
      </c>
      <c r="V4" s="52">
        <f>V2-V3</f>
        <v>505.4632084062813</v>
      </c>
      <c r="W4" s="52">
        <f>W2-W3</f>
        <v>498.779861539576</v>
      </c>
      <c r="X4" s="52">
        <f>X2-X3</f>
        <v>495.9977783118775</v>
      </c>
      <c r="Y4" s="52">
        <f>Y2-Y3</f>
        <v>497.02284038705534</v>
      </c>
      <c r="Z4" s="52">
        <f>Z2-Z3</f>
        <v>501.8494844148142</v>
      </c>
      <c r="AA4" s="52">
        <f>AA2-AA3</f>
        <v>510.5593610221024</v>
      </c>
      <c r="AB4" s="52">
        <f>AB2-AB3</f>
        <v>523.3233450476549</v>
      </c>
    </row>
    <row r="5">
      <c r="A5" s="2" t="inlineStr">
        <is>
          <t>Research &amp; Dev.</t>
        </is>
      </c>
      <c r="B5" s="52" t="n">
        <v>17.914</v>
      </c>
      <c r="C5" s="52" t="n">
        <v>21.873</v>
      </c>
      <c r="D5" s="52" t="n">
        <v>27.751</v>
      </c>
      <c r="E5" s="52" t="n">
        <v>42.645</v>
      </c>
      <c r="F5" s="52" t="n">
        <v>53.7</v>
      </c>
      <c r="G5" s="52" t="n">
        <v>67.5</v>
      </c>
      <c r="H5" s="52" t="n">
        <v>75.5</v>
      </c>
      <c r="I5" s="52" t="n">
        <v>70.59999999999999</v>
      </c>
      <c r="J5" s="52" t="n">
        <v>74.40000000000001</v>
      </c>
      <c r="K5" s="52" t="n">
        <v>70.8</v>
      </c>
      <c r="L5" s="52" t="n">
        <v>85.90000000000001</v>
      </c>
      <c r="M5" s="52" t="n">
        <v>73.3</v>
      </c>
      <c r="N5" s="52" t="n">
        <v>81.90000000000001</v>
      </c>
      <c r="O5" s="52" t="n">
        <v>85.40000000000001</v>
      </c>
      <c r="P5" s="52" t="n">
        <v>88.7</v>
      </c>
      <c r="Q5" s="52" t="n">
        <v>113.4</v>
      </c>
      <c r="R5" s="52" t="n">
        <v>106.8</v>
      </c>
      <c r="S5" s="52">
        <f>S7*Assumptions!$B$20</f>
        <v>68.94618777746561</v>
      </c>
      <c r="T5" s="52">
        <f>T7*Assumptions!$B$20</f>
        <v>63.74063836102283</v>
      </c>
      <c r="U5" s="52">
        <f>U7*Assumptions!$B$20</f>
        <v>59.28790409458075</v>
      </c>
      <c r="V5" s="52">
        <f>V7*Assumptions!$B$20</f>
        <v>55.47033770431077</v>
      </c>
      <c r="W5" s="52">
        <f>W7*Assumptions!$B$20</f>
        <v>52.190590073115324</v>
      </c>
      <c r="X5" s="52">
        <f>X7*Assumptions!$B$20</f>
        <v>49.36737879207641</v>
      </c>
      <c r="Y5" s="52">
        <f>Y7*Assumptions!$B$20</f>
        <v>46.932067926273845</v>
      </c>
      <c r="Z5" s="52">
        <f>Z7*Assumptions!$B$20</f>
        <v>44.82585331119121</v>
      </c>
      <c r="AA5" s="52">
        <f>AA7*Assumptions!$B$20</f>
        <v>42.99738922066042</v>
      </c>
      <c r="AB5" s="52">
        <f>AB7*Assumptions!$B$20</f>
        <v>41.40072123122864</v>
      </c>
    </row>
    <row r="6">
      <c r="A6" s="18" t="inlineStr">
        <is>
          <t>SG&amp;A &amp; Other</t>
        </is>
      </c>
      <c r="B6" s="52" t="n">
        <v>138.884</v>
      </c>
      <c r="C6" s="52" t="n">
        <v>161.414</v>
      </c>
      <c r="D6" s="52" t="n">
        <v>170.918</v>
      </c>
      <c r="E6" s="52" t="n">
        <v>221.59</v>
      </c>
      <c r="F6" s="52" t="n">
        <v>267.1</v>
      </c>
      <c r="G6" s="52" t="n">
        <v>340.2</v>
      </c>
      <c r="H6" s="52" t="n">
        <v>381.2</v>
      </c>
      <c r="I6" s="52" t="n">
        <v>397</v>
      </c>
      <c r="J6" s="52" t="n">
        <v>507.8</v>
      </c>
      <c r="K6" s="52" t="n">
        <v>551</v>
      </c>
      <c r="L6" s="52" t="n">
        <v>757.6</v>
      </c>
      <c r="M6" s="52" t="n">
        <v>773.5</v>
      </c>
      <c r="N6" s="52" t="n">
        <v>799.2</v>
      </c>
      <c r="O6" s="52" t="n">
        <v>531.6</v>
      </c>
      <c r="P6" s="52" t="n">
        <v>685.7</v>
      </c>
      <c r="Q6" s="52" t="n">
        <v>595.5</v>
      </c>
      <c r="R6" s="52" t="n">
        <v>857</v>
      </c>
      <c r="S6" s="52">
        <f>S7-S5</f>
        <v>553.3118246545345</v>
      </c>
      <c r="T6" s="52">
        <f>T7-T5</f>
        <v>511.53588114279336</v>
      </c>
      <c r="U6" s="52">
        <f>U7-U5</f>
        <v>475.8014830406246</v>
      </c>
      <c r="V6" s="52">
        <f>V7-V5</f>
        <v>445.16447912159873</v>
      </c>
      <c r="W6" s="52">
        <f>W7-W5</f>
        <v>418.8436163629436</v>
      </c>
      <c r="X6" s="52">
        <f>X7-X5</f>
        <v>396.18658142521974</v>
      </c>
      <c r="Y6" s="52">
        <f>Y7-Y5</f>
        <v>376.64255234695577</v>
      </c>
      <c r="Z6" s="52">
        <f>Z7-Z5</f>
        <v>359.7396097862024</v>
      </c>
      <c r="AA6" s="52">
        <f>AA7-AA5</f>
        <v>345.0656903881882</v>
      </c>
      <c r="AB6" s="52">
        <f>AB7-AB5</f>
        <v>332.2519974621706</v>
      </c>
    </row>
    <row r="7">
      <c r="A7" s="2" t="inlineStr">
        <is>
          <t>Operating Expense</t>
        </is>
      </c>
      <c r="B7" s="52">
        <f>SUM(B5:B6)</f>
        <v>156.798</v>
      </c>
      <c r="C7" s="52">
        <f>SUM(C5:C6)</f>
        <v>183.28699999999998</v>
      </c>
      <c r="D7" s="52">
        <f>SUM(D5:D6)</f>
        <v>198.669</v>
      </c>
      <c r="E7" s="52">
        <f>SUM(E5:E6)</f>
        <v>264.235</v>
      </c>
      <c r="F7" s="52">
        <f>SUM(F5:F6)</f>
        <v>320.8</v>
      </c>
      <c r="G7" s="52">
        <f>SUM(G5:G6)</f>
        <v>407.7</v>
      </c>
      <c r="H7" s="52">
        <f>SUM(H5:H6)</f>
        <v>456.7</v>
      </c>
      <c r="I7" s="52">
        <f>SUM(I5:I6)</f>
        <v>467.6</v>
      </c>
      <c r="J7" s="52">
        <f>SUM(J5:J6)</f>
        <v>582.2</v>
      </c>
      <c r="K7" s="52">
        <f>SUM(K5:K6)</f>
        <v>621.8</v>
      </c>
      <c r="L7" s="52">
        <f>SUM(L5:L6)</f>
        <v>843.5</v>
      </c>
      <c r="M7" s="52">
        <f>SUM(M5:M6)</f>
        <v>846.8</v>
      </c>
      <c r="N7" s="52">
        <f>SUM(N5:N6)</f>
        <v>881.1</v>
      </c>
      <c r="O7" s="52">
        <f>SUM(O5:O6)</f>
        <v>617.0</v>
      </c>
      <c r="P7" s="52">
        <f>SUM(P5:P6)</f>
        <v>774.4000000000001</v>
      </c>
      <c r="Q7" s="52">
        <f>SUM(Q5:Q6)</f>
        <v>708.9</v>
      </c>
      <c r="R7" s="52">
        <f>SUM(R5:R6)</f>
        <v>963.8</v>
      </c>
      <c r="S7" s="52">
        <f>S4-S2*NPV!C6</f>
        <v>622.2580124320001</v>
      </c>
      <c r="T7" s="52">
        <f>T4-T2*NPV!D6</f>
        <v>575.2765195038162</v>
      </c>
      <c r="U7" s="52">
        <f>U4-U2*NPV!E6</f>
        <v>535.0893871352054</v>
      </c>
      <c r="V7" s="52">
        <f>V4-V2*NPV!F6</f>
        <v>500.6348168259095</v>
      </c>
      <c r="W7" s="52">
        <f>W4-W2*NPV!G6</f>
        <v>471.0342064360589</v>
      </c>
      <c r="X7" s="52">
        <f>X4-X2*NPV!H6</f>
        <v>445.55396021729615</v>
      </c>
      <c r="Y7" s="52">
        <f>Y4-Y2*NPV!I6</f>
        <v>423.57462027322964</v>
      </c>
      <c r="Z7" s="52">
        <f>Z4-Z2*NPV!J6</f>
        <v>404.5654630973936</v>
      </c>
      <c r="AA7" s="52">
        <f>AA4-AA2*NPV!K6</f>
        <v>388.0630796088486</v>
      </c>
      <c r="AB7" s="52">
        <f>AB4-AB2*NPV!L6</f>
        <v>373.65271869339927</v>
      </c>
    </row>
    <row r="8">
      <c r="A8" s="2" t="inlineStr">
        <is>
          <t>Operating Income</t>
        </is>
      </c>
      <c r="B8" s="52">
        <f>B4-B7</f>
        <v>126.46199999999999</v>
      </c>
      <c r="C8" s="52">
        <f>C4-C7</f>
        <v>135.07500000000005</v>
      </c>
      <c r="D8" s="52">
        <f>D4-D7</f>
        <v>157.778</v>
      </c>
      <c r="E8" s="52">
        <f>E4-E7</f>
        <v>180.31799999999998</v>
      </c>
      <c r="F8" s="52">
        <f>F4-F7</f>
        <v>228.00000000000006</v>
      </c>
      <c r="G8" s="52">
        <f>G4-G7</f>
        <v>274.40000000000003</v>
      </c>
      <c r="H8" s="52">
        <f>H4-H7</f>
        <v>133.59999999999997</v>
      </c>
      <c r="I8" s="52">
        <f>I4-I7</f>
        <v>153.39999999999998</v>
      </c>
      <c r="J8" s="52">
        <f>J4-J7</f>
        <v>44.0</v>
      </c>
      <c r="K8" s="52">
        <f>K4-K7</f>
        <v>121.90000000000009</v>
      </c>
      <c r="L8" s="52">
        <f>L4-L7</f>
        <v>7.600000000000023</v>
      </c>
      <c r="M8" s="52">
        <f>M4-M7</f>
        <v>-289.69999999999993</v>
      </c>
      <c r="N8" s="52">
        <f>N4-N7</f>
        <v>-190.5</v>
      </c>
      <c r="O8" s="52">
        <f>O4-O7</f>
        <v>-140.60000000000002</v>
      </c>
      <c r="P8" s="52">
        <f>P4-P7</f>
        <v>-257.4000000000001</v>
      </c>
      <c r="Q8" s="52">
        <f>Q4-Q7</f>
        <v>-123.49999999999989</v>
      </c>
      <c r="R8" s="52">
        <f>R4-R7</f>
        <v>-387.19999999999993</v>
      </c>
      <c r="S8" s="52">
        <f>S4-S7</f>
        <v>-70.93905326200002</v>
      </c>
      <c r="T8" s="52">
        <f>T4-T7</f>
        <v>-43.89080359091804</v>
      </c>
      <c r="U8" s="52">
        <f>U4-U7</f>
        <v>-18.85406841155725</v>
      </c>
      <c r="V8" s="52">
        <f>V4-V7</f>
        <v>4.828391580371772</v>
      </c>
      <c r="W8" s="52">
        <f>W4-W7</f>
        <v>27.745655103517095</v>
      </c>
      <c r="X8" s="52">
        <f>X4-X7</f>
        <v>50.44381809458133</v>
      </c>
      <c r="Y8" s="52">
        <f>Y4-Y7</f>
        <v>73.4482201138257</v>
      </c>
      <c r="Z8" s="52">
        <f>Z4-Z7</f>
        <v>97.28402131742058</v>
      </c>
      <c r="AA8" s="52">
        <f>AA4-AA7</f>
        <v>122.49628141325377</v>
      </c>
      <c r="AB8" s="52">
        <f>AB4-AB7</f>
        <v>149.67062635425566</v>
      </c>
    </row>
    <row r="9">
      <c r="A9" s="18" t="inlineStr">
        <is>
          <t>Interest &amp; Other</t>
        </is>
      </c>
      <c r="B9" s="52" t="n">
        <v>-41.654</v>
      </c>
      <c r="C9" s="52" t="n">
        <v>5.759</v>
      </c>
      <c r="D9" s="52" t="n">
        <v>1.873</v>
      </c>
      <c r="E9" s="52" t="n">
        <v>4.222</v>
      </c>
      <c r="F9" s="52" t="n">
        <v>5.3</v>
      </c>
      <c r="G9" s="52" t="n">
        <v>3.4</v>
      </c>
      <c r="H9" s="52" t="n">
        <v>0.7</v>
      </c>
      <c r="I9" s="52" t="n">
        <v>2.6</v>
      </c>
      <c r="J9" s="52" t="n">
        <v>-7.6</v>
      </c>
      <c r="K9" s="52" t="n">
        <v>-1.6</v>
      </c>
      <c r="L9" s="52" t="n">
        <v>-7.4</v>
      </c>
      <c r="M9" s="52" t="n">
        <v>6.2</v>
      </c>
      <c r="N9" s="52" t="n">
        <v>133.6</v>
      </c>
      <c r="O9" s="52" t="n">
        <v>0</v>
      </c>
      <c r="P9" s="52" t="n">
        <v>-4.5</v>
      </c>
      <c r="Q9" s="52" t="n">
        <v>0.3</v>
      </c>
      <c r="R9" s="52" t="n">
        <v>-8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84.80799999999999</v>
      </c>
      <c r="C10" s="52">
        <f>C8+C9</f>
        <v>140.83400000000006</v>
      </c>
      <c r="D10" s="52">
        <f>D8+D9</f>
        <v>159.65099999999998</v>
      </c>
      <c r="E10" s="52">
        <f>E8+E9</f>
        <v>184.54</v>
      </c>
      <c r="F10" s="52">
        <f>F8+F9</f>
        <v>233.30000000000007</v>
      </c>
      <c r="G10" s="52">
        <f>G8+G9</f>
        <v>277.8</v>
      </c>
      <c r="H10" s="52">
        <f>H8+H9</f>
        <v>134.29999999999995</v>
      </c>
      <c r="I10" s="52">
        <f>I8+I9</f>
        <v>155.99999999999997</v>
      </c>
      <c r="J10" s="52">
        <f>J8+J9</f>
        <v>36.4</v>
      </c>
      <c r="K10" s="52">
        <f>K8+K9</f>
        <v>120.3000000000001</v>
      </c>
      <c r="L10" s="52">
        <f>L8+L9</f>
        <v>0.20000000000002238</v>
      </c>
      <c r="M10" s="52">
        <f>M8+M9</f>
        <v>-283.49999999999994</v>
      </c>
      <c r="N10" s="52">
        <f>N8+N9</f>
        <v>-56.900000000000006</v>
      </c>
      <c r="O10" s="52">
        <f>O8+O9</f>
        <v>-140.60000000000002</v>
      </c>
      <c r="P10" s="52">
        <f>P8+P9</f>
        <v>-261.9000000000001</v>
      </c>
      <c r="Q10" s="52">
        <f>Q8+Q9</f>
        <v>-123.19999999999989</v>
      </c>
      <c r="R10" s="52">
        <f>R8+R9</f>
        <v>-395.19999999999993</v>
      </c>
      <c r="S10" s="52">
        <f>S8+S9</f>
        <v>-70.93905326200002</v>
      </c>
      <c r="T10" s="52">
        <f>T8+T9</f>
        <v>-43.89080359091804</v>
      </c>
      <c r="U10" s="52">
        <f>U8+U9</f>
        <v>-18.85406841155725</v>
      </c>
      <c r="V10" s="52">
        <f>V8+V9</f>
        <v>4.828391580371772</v>
      </c>
      <c r="W10" s="52">
        <f>W8+W9</f>
        <v>27.745655103517095</v>
      </c>
      <c r="X10" s="52">
        <f>X8+X9</f>
        <v>50.44381809458133</v>
      </c>
      <c r="Y10" s="52">
        <f>Y8+Y9</f>
        <v>73.4482201138257</v>
      </c>
      <c r="Z10" s="52">
        <f>Z8+Z9</f>
        <v>97.28402131742058</v>
      </c>
      <c r="AA10" s="52">
        <f>AA8+AA9</f>
        <v>122.49628141325377</v>
      </c>
      <c r="AB10" s="52">
        <f>AB8+AB9</f>
        <v>149.67062635425566</v>
      </c>
    </row>
    <row r="11">
      <c r="A11" s="2" t="inlineStr">
        <is>
          <t>Taxes</t>
        </is>
      </c>
      <c r="B11" s="52" t="n">
        <v>0.193</v>
      </c>
      <c r="C11" s="52" t="n">
        <v>-11.469</v>
      </c>
      <c r="D11" s="52" t="n">
        <v>58.941</v>
      </c>
      <c r="E11" s="52" t="n">
        <v>72.389</v>
      </c>
      <c r="F11" s="52" t="n">
        <v>86.09999999999999</v>
      </c>
      <c r="G11" s="52" t="n">
        <v>101.6</v>
      </c>
      <c r="H11" s="52" t="n">
        <v>54.5</v>
      </c>
      <c r="I11" s="52" t="n">
        <v>38.8</v>
      </c>
      <c r="J11" s="52" t="n">
        <v>19</v>
      </c>
      <c r="K11" s="52" t="n">
        <v>-13</v>
      </c>
      <c r="L11" s="52" t="n">
        <v>-4.4</v>
      </c>
      <c r="M11" s="52" t="n">
        <v>-59.9</v>
      </c>
      <c r="N11" s="52" t="n">
        <v>-29.9</v>
      </c>
      <c r="O11" s="52" t="n">
        <v>-28.6</v>
      </c>
      <c r="P11" s="52" t="n">
        <v>1.1</v>
      </c>
      <c r="Q11" s="52" t="n">
        <v>3.8</v>
      </c>
      <c r="R11" s="52" t="n">
        <v>-29.2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0.8208265686632013</v>
      </c>
      <c r="W11" s="52">
        <f>MAX(0,W10)*Assumptions!$E$14</f>
        <v>4.716761367597907</v>
      </c>
      <c r="X11" s="52">
        <f>MAX(0,X10)*Assumptions!$E$14</f>
        <v>8.575449076078828</v>
      </c>
      <c r="Y11" s="52">
        <f>MAX(0,Y10)*Assumptions!$E$14</f>
        <v>12.48619741935037</v>
      </c>
      <c r="Z11" s="52">
        <f>MAX(0,Z10)*Assumptions!$E$14</f>
        <v>16.5382836239615</v>
      </c>
      <c r="AA11" s="52">
        <f>MAX(0,AA10)*Assumptions!$E$14</f>
        <v>20.824367840253142</v>
      </c>
      <c r="AB11" s="52">
        <f>MAX(0,AB10)*Assumptions!$E$14</f>
        <v>25.444006480223464</v>
      </c>
    </row>
    <row r="12">
      <c r="A12" s="2" t="inlineStr">
        <is>
          <t>Net Income</t>
        </is>
      </c>
      <c r="B12" s="52" t="n">
        <v>84.61499999999999</v>
      </c>
      <c r="C12" s="52" t="n">
        <v>152.303</v>
      </c>
      <c r="D12" s="52" t="n">
        <v>100.71</v>
      </c>
      <c r="E12" s="52" t="n">
        <v>112.151</v>
      </c>
      <c r="F12" s="52" t="n">
        <v>147.2</v>
      </c>
      <c r="G12" s="52" t="n">
        <v>176.2</v>
      </c>
      <c r="H12" s="52" t="n">
        <v>79.8</v>
      </c>
      <c r="I12" s="52" t="n">
        <v>117.2</v>
      </c>
      <c r="J12" s="52" t="n">
        <v>17.4</v>
      </c>
      <c r="K12" s="52" t="n">
        <v>133.3</v>
      </c>
      <c r="L12" s="52" t="n">
        <v>4.6</v>
      </c>
      <c r="M12" s="52" t="n">
        <v>-223.6</v>
      </c>
      <c r="N12" s="52" t="n">
        <v>-27</v>
      </c>
      <c r="O12" s="52" t="n">
        <v>-112</v>
      </c>
      <c r="P12" s="52" t="n">
        <v>-263</v>
      </c>
      <c r="Q12" s="52" t="n">
        <v>-127</v>
      </c>
      <c r="R12" s="52" t="n">
        <v>-366</v>
      </c>
      <c r="S12" s="52">
        <f>S10-S11</f>
        <v>-70.93905326200002</v>
      </c>
      <c r="T12" s="52">
        <f>T10-T11</f>
        <v>-43.89080359091804</v>
      </c>
      <c r="U12" s="52">
        <f>U10-U11</f>
        <v>-18.85406841155725</v>
      </c>
      <c r="V12" s="52">
        <f>V10-V11</f>
        <v>4.007565011708571</v>
      </c>
      <c r="W12" s="52">
        <f>W10-W11</f>
        <v>23.028893735919187</v>
      </c>
      <c r="X12" s="52">
        <f>X10-X11</f>
        <v>41.868369018502506</v>
      </c>
      <c r="Y12" s="52">
        <f>Y10-Y11</f>
        <v>60.96202269447533</v>
      </c>
      <c r="Z12" s="52">
        <f>Z10-Z11</f>
        <v>80.74573769345908</v>
      </c>
      <c r="AA12" s="52">
        <f>AA10-AA11</f>
        <v>101.67191357300062</v>
      </c>
      <c r="AB12" s="52">
        <f>AB10-AB11</f>
        <v>124.2266198740322</v>
      </c>
    </row>
    <row r="13">
      <c r="A13" s="2" t="inlineStr">
        <is>
          <t>Earnings per Share</t>
        </is>
      </c>
      <c r="B13" s="11">
        <f>IFERROR(B12/B14,0)</f>
        <v>0.858399358850801</v>
      </c>
      <c r="C13" s="11">
        <f>IFERROR(C12/C14,0)</f>
        <v>1.536055752783605</v>
      </c>
      <c r="D13" s="11">
        <f>IFERROR(D12/D14,0)</f>
        <v>1.0982072755823082</v>
      </c>
      <c r="E13" s="11">
        <f>IFERROR(E12/E14,0)</f>
        <v>1.297068177875441</v>
      </c>
      <c r="F13" s="11">
        <f>IFERROR(F12/F14,0)</f>
        <v>1.7671068427370948</v>
      </c>
      <c r="G13" s="11">
        <f>IFERROR(G12/G14,0)</f>
        <v>2.253196930946291</v>
      </c>
      <c r="H13" s="11">
        <f>IFERROR(H12/H14,0)</f>
        <v>1.0711409395973155</v>
      </c>
      <c r="I13" s="11">
        <f>IFERROR(I12/I14,0)</f>
        <v>1.5967302452316074</v>
      </c>
      <c r="J13" s="11">
        <f>IFERROR(J12/J14,0)</f>
        <v>0.25290697674418605</v>
      </c>
      <c r="K13" s="11">
        <f>IFERROR(K12/K14,0)</f>
        <v>1.851388888888889</v>
      </c>
      <c r="L13" s="11">
        <f>IFERROR(L12/L14,0)</f>
        <v>0.06052631578947368</v>
      </c>
      <c r="M13" s="11">
        <f>IFERROR(M12/M14,0)</f>
        <v>-2.9893048128342246</v>
      </c>
      <c r="N13" s="11">
        <f>IFERROR(N12/N14,0)</f>
        <v>-0.34615384615384615</v>
      </c>
      <c r="O13" s="11">
        <f>IFERROR(O12/O14,0)</f>
        <v>-1.3895781637717122</v>
      </c>
      <c r="P13" s="11">
        <f>IFERROR(P12/P14,0)</f>
        <v>-3.176328502415459</v>
      </c>
      <c r="Q13" s="11">
        <f>IFERROR(Q12/Q14,0)</f>
        <v>-1.401766004415011</v>
      </c>
      <c r="R13" s="11">
        <f>IFERROR(R12/R14,0)</f>
        <v>-3.9524838012958967</v>
      </c>
      <c r="S13" s="11">
        <f>IFERROR(S12/S14,0)</f>
        <v>-0.7416551651812195</v>
      </c>
      <c r="T13" s="11">
        <f>IFERROR(T12/T14,0)</f>
        <v>-0.4588705330889418</v>
      </c>
      <c r="U13" s="11">
        <f>IFERROR(U12/U14,0)</f>
        <v>-0.19711592668804206</v>
      </c>
      <c r="V13" s="11">
        <f>IFERROR(V12/V14,0)</f>
        <v>0.04189837831294168</v>
      </c>
      <c r="W13" s="11">
        <f>IFERROR(W12/W14,0)</f>
        <v>0.24076298177498917</v>
      </c>
      <c r="X13" s="11">
        <f>IFERROR(X12/X14,0)</f>
        <v>0.43772633989914445</v>
      </c>
      <c r="Y13" s="11">
        <f>IFERROR(Y12/Y14,0)</f>
        <v>0.637347087848317</v>
      </c>
      <c r="Z13" s="11">
        <f>IFERROR(Z12/Z14,0)</f>
        <v>0.8441823040060323</v>
      </c>
      <c r="AA13" s="11">
        <f>IFERROR(AA12/AA14,0)</f>
        <v>1.0629617451586006</v>
      </c>
      <c r="AB13" s="11">
        <f>IFERROR(AB12/AB14,0)</f>
        <v>1.298767181770849</v>
      </c>
    </row>
    <row r="14">
      <c r="A14" s="2" t="inlineStr">
        <is>
          <t>Shares</t>
        </is>
      </c>
      <c r="B14" s="52" t="n">
        <v>98.57299999999999</v>
      </c>
      <c r="C14" s="52" t="n">
        <v>99.152</v>
      </c>
      <c r="D14" s="52" t="n">
        <v>91.70399999999999</v>
      </c>
      <c r="E14" s="52" t="n">
        <v>86.465</v>
      </c>
      <c r="F14" s="52" t="n">
        <v>83.3</v>
      </c>
      <c r="G14" s="52" t="n">
        <v>78.2</v>
      </c>
      <c r="H14" s="52" t="n">
        <v>74.5</v>
      </c>
      <c r="I14" s="52" t="n">
        <v>73.40000000000001</v>
      </c>
      <c r="J14" s="52" t="n">
        <v>68.8</v>
      </c>
      <c r="K14" s="52" t="n">
        <v>72</v>
      </c>
      <c r="L14" s="52" t="n">
        <v>76</v>
      </c>
      <c r="M14" s="52" t="n">
        <v>74.8</v>
      </c>
      <c r="N14" s="52" t="n">
        <v>78</v>
      </c>
      <c r="O14" s="52" t="n">
        <v>80.59999999999999</v>
      </c>
      <c r="P14" s="52" t="n">
        <v>82.8</v>
      </c>
      <c r="Q14" s="52" t="n">
        <v>90.59999999999999</v>
      </c>
      <c r="R14" s="52" t="n">
        <v>92.59999999999999</v>
      </c>
      <c r="S14" s="52">
        <f>Main!$C$4</f>
        <v>95.649645</v>
      </c>
      <c r="T14" s="52">
        <f>Main!$C$4</f>
        <v>95.649645</v>
      </c>
      <c r="U14" s="52">
        <f>Main!$C$4</f>
        <v>95.649645</v>
      </c>
      <c r="V14" s="52">
        <f>Main!$C$4</f>
        <v>95.649645</v>
      </c>
      <c r="W14" s="52">
        <f>Main!$C$4</f>
        <v>95.649645</v>
      </c>
      <c r="X14" s="52">
        <f>Main!$C$4</f>
        <v>95.649645</v>
      </c>
      <c r="Y14" s="52">
        <f>Main!$C$4</f>
        <v>95.649645</v>
      </c>
      <c r="Z14" s="52">
        <f>Main!$C$4</f>
        <v>95.649645</v>
      </c>
      <c r="AA14" s="52">
        <f>Main!$C$4</f>
        <v>95.649645</v>
      </c>
      <c r="AB14" s="52">
        <f>Main!$C$4</f>
        <v>95.649645</v>
      </c>
    </row>
    <row r="15"/>
    <row r="16" customFormat="1" s="4">
      <c r="A16" s="3" t="inlineStr">
        <is>
          <t>Revenue Change</t>
        </is>
      </c>
      <c r="C16" s="15">
        <f>IFERROR(C2/B2-1,"")</f>
        <v>0.1106217862535106</v>
      </c>
      <c r="D16" s="15">
        <f>IFERROR(D2/C2-1,"")</f>
        <v>0.10874456773510399</v>
      </c>
      <c r="E16" s="15">
        <f>IFERROR(E2/D2-1,"")</f>
        <v>0.2335855194436982</v>
      </c>
      <c r="F16" s="15">
        <f>IFERROR(F2/E2-1,"")</f>
        <v>0.23627786010221685</v>
      </c>
      <c r="G16" s="15">
        <f>IFERROR(G2/F2-1,"")</f>
        <v>0.2690802348336594</v>
      </c>
      <c r="H16" s="15">
        <f>IFERROR(H2/G2-1,"")</f>
        <v>-0.07080442045746593</v>
      </c>
      <c r="I16" s="15">
        <f>IFERROR(I2/H2-1,"")</f>
        <v>0.04245609182685639</v>
      </c>
      <c r="J16" s="15">
        <f>IFERROR(J2/I2-1,"")</f>
        <v>0.023348368267444908</v>
      </c>
      <c r="K16" s="15">
        <f>IFERROR(K2/J2-1,"")</f>
        <v>-0.03590873736064293</v>
      </c>
      <c r="L16" s="15">
        <f>IFERROR(L2/K2-1,"")</f>
        <v>0.14441306978620405</v>
      </c>
      <c r="M16" s="15">
        <f>IFERROR(M2/L2-1,"")</f>
        <v>-0.34543531899894253</v>
      </c>
      <c r="N16" s="15">
        <f>IFERROR(N2/M2-1,"")</f>
        <v>0.23963381798599892</v>
      </c>
      <c r="O16" s="15">
        <f>IFERROR(O2/N2-1,"")</f>
        <v>-0.017665797856936116</v>
      </c>
      <c r="P16" s="15">
        <f>IFERROR(P2/O2-1,"")</f>
        <v>0.11025943396226423</v>
      </c>
      <c r="Q16" s="15">
        <f>IFERROR(Q2/P2-1,"")</f>
        <v>0.11205523101433879</v>
      </c>
      <c r="R16" s="15">
        <f>IFERROR(R2/Q2-1,"")</f>
        <v>-0.015639923591213023</v>
      </c>
      <c r="S16" s="15">
        <f>IFERROR(S2/R2-1,"")</f>
        <v>-0.04379999999999995</v>
      </c>
      <c r="T16" s="15">
        <f>IFERROR(T2/S2-1,"")</f>
        <v>-0.036155555555555496</v>
      </c>
      <c r="U16" s="15">
        <f>IFERROR(U2/T2-1,"")</f>
        <v>-0.028511111111111154</v>
      </c>
      <c r="V16" s="15">
        <f>IFERROR(V2/U2-1,"")</f>
        <v>-0.02086666666666681</v>
      </c>
      <c r="W16" s="15">
        <f>IFERROR(W2/V2-1,"")</f>
        <v>-0.013222222222222246</v>
      </c>
      <c r="X16" s="15">
        <f>IFERROR(X2/W2-1,"")</f>
        <v>-0.005577777777777793</v>
      </c>
      <c r="Y16" s="15">
        <f>IFERROR(Y2/X2-1,"")</f>
        <v>0.002066666666666661</v>
      </c>
      <c r="Z16" s="15">
        <f>IFERROR(Z2/Y2-1,"")</f>
        <v>0.009711111111111226</v>
      </c>
      <c r="AA16" s="15">
        <f>IFERROR(AA2/Z2-1,"")</f>
        <v>0.01735555555555557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0.8674933466451473</v>
      </c>
      <c r="C17" s="15">
        <f>IFERROR(C4/C2,"")</f>
        <v>0.8778815821402572</v>
      </c>
      <c r="D17" s="15">
        <f>IFERROR(D4/D2,"")</f>
        <v>0.886498841038191</v>
      </c>
      <c r="E17" s="15">
        <f>IFERROR(E4/E2,"")</f>
        <v>0.8962671747260612</v>
      </c>
      <c r="F17" s="15">
        <f>IFERROR(F4/F2,"")</f>
        <v>0.8949771689497718</v>
      </c>
      <c r="G17" s="15">
        <f>IFERROR(G4/G2,"")</f>
        <v>0.8765098946286302</v>
      </c>
      <c r="H17" s="15">
        <f>IFERROR(H4/H2,"")</f>
        <v>0.8163462868206333</v>
      </c>
      <c r="I17" s="15">
        <f>IFERROR(I4/I2,"")</f>
        <v>0.8238259485274609</v>
      </c>
      <c r="J17" s="15">
        <f>IFERROR(J4/J2,"")</f>
        <v>0.8117708063261603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0.7022405660377359</v>
      </c>
      <c r="P17" s="15">
        <f>IFERROR(P4/P2,"")</f>
        <v>0.686404673393521</v>
      </c>
      <c r="Q17" s="15">
        <f>IFERROR(Q4/Q2,"")</f>
        <v>0.698901623686724</v>
      </c>
      <c r="R17" s="15">
        <f>IFERROR(R4/R2,"")</f>
        <v>0.6993329290479079</v>
      </c>
      <c r="S17" s="15">
        <f>IFERROR(S4/S2,"")</f>
        <v>0.6993</v>
      </c>
      <c r="T17" s="15">
        <f>IFERROR(T4/T2,"")</f>
        <v>0.6993</v>
      </c>
      <c r="U17" s="15">
        <f>IFERROR(U4/U2,"")</f>
        <v>0.6992999999999999</v>
      </c>
      <c r="V17" s="15">
        <f>IFERROR(V4/V2,"")</f>
        <v>0.6993</v>
      </c>
      <c r="W17" s="15">
        <f>IFERROR(W4/W2,"")</f>
        <v>0.6993</v>
      </c>
      <c r="X17" s="15">
        <f>IFERROR(X4/X2,"")</f>
        <v>0.6993</v>
      </c>
      <c r="Y17" s="15">
        <f>IFERROR(Y4/Y2,"")</f>
        <v>0.6993</v>
      </c>
      <c r="Z17" s="15">
        <f>IFERROR(Z4/Z2,"")</f>
        <v>0.6993</v>
      </c>
      <c r="AA17" s="15">
        <f>IFERROR(AA4/AA2,"")</f>
        <v>0.6993</v>
      </c>
      <c r="AB17" s="15">
        <f>IFERROR(AB4/AB2,"")</f>
        <v>0.6993</v>
      </c>
    </row>
    <row r="18">
      <c r="A18" s="14" t="inlineStr">
        <is>
          <t>Operating Margin</t>
        </is>
      </c>
      <c r="B18" s="15">
        <f>IFERROR(B8/B2,"")</f>
        <v>0.3872941594416388</v>
      </c>
      <c r="C18" s="15">
        <f>IFERROR(C8/C2,"")</f>
        <v>0.3724686197083674</v>
      </c>
      <c r="D18" s="15">
        <f>IFERROR(D8/D2,"")</f>
        <v>0.392400592910934</v>
      </c>
      <c r="E18" s="15">
        <f>IFERROR(E8/E2,"")</f>
        <v>0.3635406901140109</v>
      </c>
      <c r="F18" s="15">
        <f>IFERROR(F8/F2,"")</f>
        <v>0.37181996086105684</v>
      </c>
      <c r="G18" s="15">
        <f>IFERROR(G8/G2,"")</f>
        <v>0.3526085839115909</v>
      </c>
      <c r="H18" s="15">
        <f>IFERROR(H8/H2,"")</f>
        <v>0.18476006084912178</v>
      </c>
      <c r="I18" s="15">
        <f>IFERROR(I8/I2,"")</f>
        <v>0.20350225524011673</v>
      </c>
      <c r="J18" s="15">
        <f>IFERROR(J8/J2,"")</f>
        <v>0.05703914959813326</v>
      </c>
      <c r="K18" s="15">
        <f>IFERROR(K8/K2,"")</f>
        <v>0.1639101788355521</v>
      </c>
      <c r="L18" s="15">
        <f>IFERROR(L8/L2,"")</f>
        <v>0.008929620491129154</v>
      </c>
      <c r="M18" s="15">
        <f>IFERROR(M8/M2,"")</f>
        <v>-0.5200143600789803</v>
      </c>
      <c r="N18" s="15">
        <f>IFERROR(N8/N2,"")</f>
        <v>-0.2758470894874023</v>
      </c>
      <c r="O18" s="15">
        <f>IFERROR(O8/O2,"")</f>
        <v>-0.20725235849056609</v>
      </c>
      <c r="P18" s="15">
        <f>IFERROR(P8/P2,"")</f>
        <v>-0.3417419012214552</v>
      </c>
      <c r="Q18" s="15">
        <f>IFERROR(Q8/Q2,"")</f>
        <v>-0.14744508118433605</v>
      </c>
      <c r="R18" s="15">
        <f>IFERROR(R8/R2,"")</f>
        <v>-0.4696179502728926</v>
      </c>
      <c r="S18" s="15">
        <f>IFERROR(S8/S2,"")</f>
        <v>-0.08998</v>
      </c>
      <c r="T18" s="15">
        <f>IFERROR(T8/T2,"")</f>
        <v>-0.05775999999999998</v>
      </c>
      <c r="U18" s="15">
        <f>IFERROR(U8/U2,"")</f>
        <v>-0.02554000000000002</v>
      </c>
      <c r="V18" s="15">
        <f>IFERROR(V8/V2,"")</f>
        <v>0.006680000000000042</v>
      </c>
      <c r="W18" s="15">
        <f>IFERROR(W8/W2,"")</f>
        <v>0.0389</v>
      </c>
      <c r="X18" s="15">
        <f>IFERROR(X8/X2,"")</f>
        <v>0.07112</v>
      </c>
      <c r="Y18" s="15">
        <f>IFERROR(Y8/Y2,"")</f>
        <v>0.10334000000000003</v>
      </c>
      <c r="Z18" s="15">
        <f>IFERROR(Z8/Z2,"")</f>
        <v>0.13556</v>
      </c>
      <c r="AA18" s="15">
        <f>IFERROR(AA8/AA2,"")</f>
        <v>0.16778000000000004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Myriad Genetics,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-0.09379999999999999</v>
      </c>
      <c r="C12" s="53" t="n">
        <v>-0.0438</v>
      </c>
      <c r="D12" s="53" t="n">
        <v>0.0062</v>
      </c>
      <c r="E12" s="54">
        <f>CHOOSE($B$4,B12,C12,D12)</f>
        <v>-0.0438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-0.1222</v>
      </c>
    </row>
    <row r="19">
      <c r="A19" s="14" t="inlineStr">
        <is>
          <t>Gross margin (forecast)</t>
        </is>
      </c>
      <c r="B19" s="53" t="n">
        <v>0.6993</v>
      </c>
    </row>
    <row r="20">
      <c r="A20" s="14" t="inlineStr">
        <is>
          <t>R&amp;D share of operating expense (forecast)</t>
        </is>
      </c>
      <c r="B20" s="53" t="n">
        <v>0.1108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824.5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516.3457474537479</v>
      </c>
      <c r="C29" s="56">
        <f>NPV!B26</f>
        <v>510.84574745374795</v>
      </c>
      <c r="D29" s="35">
        <f>NPV!B28</f>
        <v>5.340801290519666</v>
      </c>
      <c r="E29" s="57">
        <f>NPV!B30</f>
        <v>-0.03595644575457291</v>
      </c>
    </row>
    <row r="30">
      <c r="A30" s="58" t="n">
        <v>1</v>
      </c>
      <c r="B30" s="59">
        <f t="dataTable" ref="B30:E32" r1="B4"/>
        <v>211.62049750187458</v>
      </c>
      <c r="C30" s="59">
        <v>206.12049750187458</v>
      </c>
      <c r="D30" s="39">
        <v>2.154953084267846</v>
      </c>
      <c r="E30" s="60">
        <v>-0.6110192988686198</v>
      </c>
    </row>
    <row r="31">
      <c r="A31" s="58" t="n">
        <v>2</v>
      </c>
      <c r="B31" s="59">
        <v>516.3457474537479</v>
      </c>
      <c r="C31" s="59">
        <v>510.84574745374795</v>
      </c>
      <c r="D31" s="39">
        <v>5.340801290519666</v>
      </c>
      <c r="E31" s="60">
        <v>-0.03595644575457291</v>
      </c>
    </row>
    <row r="32">
      <c r="A32" s="58" t="n">
        <v>3</v>
      </c>
      <c r="B32" s="59">
        <v>1103.2675542330985</v>
      </c>
      <c r="C32" s="59">
        <v>1097.7675542330985</v>
      </c>
      <c r="D32" s="39">
        <v>11.476964229538943</v>
      </c>
      <c r="E32" s="60">
        <v>1.071654193057571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5.340801290519666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6.658324946061706</v>
      </c>
      <c r="C37" s="39">
        <v>7.10514135097837</v>
      </c>
      <c r="D37" s="39">
        <v>7.609180801811169</v>
      </c>
      <c r="E37" s="39">
        <v>8.181905869799474</v>
      </c>
      <c r="F37" s="39">
        <v>8.83805439359396</v>
      </c>
    </row>
    <row r="38">
      <c r="A38" s="62" t="n">
        <v>0.115</v>
      </c>
      <c r="B38" s="39">
        <v>5.614176477986188</v>
      </c>
      <c r="C38" s="39">
        <v>5.956328859939205</v>
      </c>
      <c r="D38" s="39">
        <v>6.33765552760765</v>
      </c>
      <c r="E38" s="39">
        <v>6.765084433891508</v>
      </c>
      <c r="F38" s="39">
        <v>7.247275721712914</v>
      </c>
    </row>
    <row r="39">
      <c r="A39" s="62" t="n">
        <v>0.125</v>
      </c>
      <c r="B39" s="39">
        <v>4.778000979584935</v>
      </c>
      <c r="C39" s="39">
        <v>5.045529393115913</v>
      </c>
      <c r="D39" s="39">
        <v>5.340801290519666</v>
      </c>
      <c r="E39" s="39">
        <v>5.6682096752107</v>
      </c>
      <c r="F39" s="39">
        <v>6.033123941180596</v>
      </c>
    </row>
    <row r="40">
      <c r="A40" s="62" t="n">
        <v>0.135</v>
      </c>
      <c r="B40" s="39">
        <v>4.0965315560177045</v>
      </c>
      <c r="C40" s="39">
        <v>4.309305780873437</v>
      </c>
      <c r="D40" s="39">
        <v>4.542280821986351</v>
      </c>
      <c r="E40" s="39">
        <v>4.798353087298661</v>
      </c>
      <c r="F40" s="39">
        <v>5.080998407396917</v>
      </c>
    </row>
    <row r="41">
      <c r="A41" s="62" t="n">
        <v>0.145</v>
      </c>
      <c r="B41" s="39">
        <v>3.5329998878152216</v>
      </c>
      <c r="C41" s="39">
        <v>3.704635621098859</v>
      </c>
      <c r="D41" s="39">
        <v>3.8913241383167705</v>
      </c>
      <c r="E41" s="39">
        <v>4.0950379218686095</v>
      </c>
      <c r="F41" s="39">
        <v>4.318108207339091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Myriad Genetics,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-0.0438</v>
      </c>
      <c r="D5" s="63">
        <f>Assumptions!$E$12+(Assumptions!$E$11-Assumptions!$E$12)*(D4-1)/(Assumptions!$B$21-1)</f>
        <v>-0.03615555555555555</v>
      </c>
      <c r="E5" s="63">
        <f>Assumptions!$E$12+(Assumptions!$E$11-Assumptions!$E$12)*(E4-1)/(Assumptions!$B$21-1)</f>
        <v>-0.028511111111111112</v>
      </c>
      <c r="F5" s="63">
        <f>Assumptions!$E$12+(Assumptions!$E$11-Assumptions!$E$12)*(F4-1)/(Assumptions!$B$21-1)</f>
        <v>-0.020866666666666665</v>
      </c>
      <c r="G5" s="63">
        <f>Assumptions!$E$12+(Assumptions!$E$11-Assumptions!$E$12)*(G4-1)/(Assumptions!$B$21-1)</f>
        <v>-0.013222222222222222</v>
      </c>
      <c r="H5" s="63">
        <f>Assumptions!$E$12+(Assumptions!$E$11-Assumptions!$E$12)*(H4-1)/(Assumptions!$B$21-1)</f>
        <v>-0.005577777777777779</v>
      </c>
      <c r="I5" s="63">
        <f>Assumptions!$E$12+(Assumptions!$E$11-Assumptions!$E$12)*(I4-1)/(Assumptions!$B$21-1)</f>
        <v>0.002066666666666668</v>
      </c>
      <c r="J5" s="63">
        <f>Assumptions!$E$12+(Assumptions!$E$11-Assumptions!$E$12)*(J4-1)/(Assumptions!$B$21-1)</f>
        <v>0.009711111111111115</v>
      </c>
      <c r="K5" s="63">
        <f>Assumptions!$E$12+(Assumptions!$E$11-Assumptions!$E$12)*(K4-1)/(Assumptions!$B$21-1)</f>
        <v>0.017355555555555555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-0.4696179502728926</v>
      </c>
      <c r="C6" s="63">
        <f>Assumptions!$B$18+(Assumptions!$E$13-Assumptions!$B$18)*C4/Assumptions!$B$21</f>
        <v>-0.08998</v>
      </c>
      <c r="D6" s="63">
        <f>Assumptions!$B$18+(Assumptions!$E$13-Assumptions!$B$18)*D4/Assumptions!$B$21</f>
        <v>-0.05775999999999999</v>
      </c>
      <c r="E6" s="63">
        <f>Assumptions!$B$18+(Assumptions!$E$13-Assumptions!$B$18)*E4/Assumptions!$B$21</f>
        <v>-0.025539999999999993</v>
      </c>
      <c r="F6" s="63">
        <f>Assumptions!$B$18+(Assumptions!$E$13-Assumptions!$B$18)*F4/Assumptions!$B$21</f>
        <v>0.006680000000000019</v>
      </c>
      <c r="G6" s="63">
        <f>Assumptions!$B$18+(Assumptions!$E$13-Assumptions!$B$18)*G4/Assumptions!$B$21</f>
        <v>0.03890000000000002</v>
      </c>
      <c r="H6" s="63">
        <f>Assumptions!$B$18+(Assumptions!$E$13-Assumptions!$B$18)*H4/Assumptions!$B$21</f>
        <v>0.07112000000000002</v>
      </c>
      <c r="I6" s="63">
        <f>Assumptions!$B$18+(Assumptions!$E$13-Assumptions!$B$18)*I4/Assumptions!$B$21</f>
        <v>0.10334000000000002</v>
      </c>
      <c r="J6" s="63">
        <f>Assumptions!$B$18+(Assumptions!$E$13-Assumptions!$B$18)*J4/Assumptions!$B$21</f>
        <v>0.13556000000000004</v>
      </c>
      <c r="K6" s="63">
        <f>Assumptions!$B$18+(Assumptions!$E$13-Assumptions!$B$18)*K4/Assumptions!$B$21</f>
        <v>0.16778</v>
      </c>
      <c r="L6" s="63">
        <f>Assumptions!$B$18+(Assumptions!$E$13-Assumptions!$B$18)*L4/Assumptions!$B$21</f>
        <v>0.20000000000000004</v>
      </c>
    </row>
    <row r="7">
      <c r="A7" s="14" t="inlineStr">
        <is>
          <t>Revenue</t>
        </is>
      </c>
      <c r="B7" s="55">
        <f>'Yearly Model'!R2</f>
        <v>824.5</v>
      </c>
      <c r="C7" s="55">
        <f>'Yearly Model'!S2</f>
        <v>788.3869000000001</v>
      </c>
      <c r="D7" s="55">
        <f>'Yearly Model'!T2</f>
        <v>759.882333637778</v>
      </c>
      <c r="E7" s="55">
        <f>'Yearly Model'!U2</f>
        <v>738.2172439920608</v>
      </c>
      <c r="F7" s="55">
        <f>'Yearly Model'!V2</f>
        <v>722.8131108340931</v>
      </c>
      <c r="G7" s="55">
        <f>'Yearly Model'!W2</f>
        <v>713.255915257509</v>
      </c>
      <c r="H7" s="55">
        <f>'Yearly Model'!X2</f>
        <v>709.2775322635171</v>
      </c>
      <c r="I7" s="55">
        <f>'Yearly Model'!Y2</f>
        <v>710.7433724968616</v>
      </c>
      <c r="J7" s="55">
        <f>'Yearly Model'!Z2</f>
        <v>717.6454803586646</v>
      </c>
      <c r="K7" s="55">
        <f>'Yearly Model'!AA2</f>
        <v>730.1006163622228</v>
      </c>
      <c r="L7" s="55">
        <f>'Yearly Model'!AB2</f>
        <v>748.3531317712783</v>
      </c>
    </row>
    <row r="8">
      <c r="A8" s="14" t="inlineStr">
        <is>
          <t>Operating income</t>
        </is>
      </c>
      <c r="B8" s="55">
        <f>'Yearly Model'!R8</f>
        <v>-387.19999999999993</v>
      </c>
      <c r="C8" s="55">
        <f>'Yearly Model'!S8</f>
        <v>-70.93905326200002</v>
      </c>
      <c r="D8" s="55">
        <f>'Yearly Model'!T8</f>
        <v>-43.89080359091804</v>
      </c>
      <c r="E8" s="55">
        <f>'Yearly Model'!U8</f>
        <v>-18.85406841155725</v>
      </c>
      <c r="F8" s="55">
        <f>'Yearly Model'!V8</f>
        <v>4.828391580371772</v>
      </c>
      <c r="G8" s="55">
        <f>'Yearly Model'!W8</f>
        <v>27.745655103517095</v>
      </c>
      <c r="H8" s="55">
        <f>'Yearly Model'!X8</f>
        <v>50.44381809458133</v>
      </c>
      <c r="I8" s="55">
        <f>'Yearly Model'!Y8</f>
        <v>73.4482201138257</v>
      </c>
      <c r="J8" s="55">
        <f>'Yearly Model'!Z8</f>
        <v>97.28402131742058</v>
      </c>
      <c r="K8" s="55">
        <f>'Yearly Model'!AA8</f>
        <v>122.49628141325377</v>
      </c>
      <c r="L8" s="55">
        <f>'Yearly Model'!AB8</f>
        <v>149.67062635425566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0.8208265686632013</v>
      </c>
      <c r="G9" s="52">
        <f>MAX(0,G8)*Assumptions!$E$14</f>
        <v>4.716761367597907</v>
      </c>
      <c r="H9" s="52">
        <f>MAX(0,H8)*Assumptions!$E$14</f>
        <v>8.575449076078828</v>
      </c>
      <c r="I9" s="52">
        <f>MAX(0,I8)*Assumptions!$E$14</f>
        <v>12.48619741935037</v>
      </c>
      <c r="J9" s="52">
        <f>MAX(0,J8)*Assumptions!$E$14</f>
        <v>16.5382836239615</v>
      </c>
      <c r="K9" s="52">
        <f>MAX(0,K8)*Assumptions!$E$14</f>
        <v>20.824367840253142</v>
      </c>
      <c r="L9" s="52">
        <f>MAX(0,L8)*Assumptions!$E$14</f>
        <v>25.444006480223464</v>
      </c>
    </row>
    <row r="10">
      <c r="A10" s="14" t="inlineStr">
        <is>
          <t>NOPAT</t>
        </is>
      </c>
      <c r="C10" s="52">
        <f>C8-C9</f>
        <v>-70.93905326200002</v>
      </c>
      <c r="D10" s="52">
        <f>D8-D9</f>
        <v>-43.89080359091804</v>
      </c>
      <c r="E10" s="52">
        <f>E8-E9</f>
        <v>-18.85406841155725</v>
      </c>
      <c r="F10" s="52">
        <f>F8-F9</f>
        <v>4.007565011708571</v>
      </c>
      <c r="G10" s="52">
        <f>G8-G9</f>
        <v>23.028893735919187</v>
      </c>
      <c r="H10" s="52">
        <f>H8-H9</f>
        <v>41.868369018502506</v>
      </c>
      <c r="I10" s="52">
        <f>I8-I9</f>
        <v>60.96202269447533</v>
      </c>
      <c r="J10" s="52">
        <f>J8-J9</f>
        <v>80.74573769345908</v>
      </c>
      <c r="K10" s="52">
        <f>K8-K9</f>
        <v>101.67191357300062</v>
      </c>
      <c r="L10" s="52">
        <f>L8-L9</f>
        <v>124.2266198740322</v>
      </c>
    </row>
    <row r="11">
      <c r="A11" s="14" t="inlineStr">
        <is>
          <t>Reinvestment</t>
        </is>
      </c>
      <c r="C11" s="52">
        <f>(C7-B7)*Assumptions!$E$15</f>
        <v>-9.02827499999998</v>
      </c>
      <c r="D11" s="52">
        <f>(D7-C7)*Assumptions!$E$15</f>
        <v>-7.126141590555534</v>
      </c>
      <c r="E11" s="52">
        <f>(E7-D7)*Assumptions!$E$15</f>
        <v>-5.416272411429276</v>
      </c>
      <c r="F11" s="52">
        <f>(F7-E7)*Assumptions!$E$15</f>
        <v>-3.8510332894919372</v>
      </c>
      <c r="G11" s="52">
        <f>(G7-F7)*Assumptions!$E$15</f>
        <v>-2.3892988941460374</v>
      </c>
      <c r="H11" s="52">
        <f>(H7-G7)*Assumptions!$E$15</f>
        <v>-0.9945957484979715</v>
      </c>
      <c r="I11" s="52">
        <f>(I7-H7)*Assumptions!$E$15</f>
        <v>0.3664600583361448</v>
      </c>
      <c r="J11" s="52">
        <f>(J7-I7)*Assumptions!$E$15</f>
        <v>1.7255269654507401</v>
      </c>
      <c r="K11" s="52">
        <f>(K7-J7)*Assumptions!$E$15</f>
        <v>3.1137840008895523</v>
      </c>
      <c r="L11" s="52">
        <f>(L7-K7)*Assumptions!$E$15</f>
        <v>4.563128852263873</v>
      </c>
    </row>
    <row r="12">
      <c r="A12" s="20" t="inlineStr">
        <is>
          <t>Free cash flow</t>
        </is>
      </c>
      <c r="C12" s="64">
        <f>C10-C11</f>
        <v>-61.910778262000036</v>
      </c>
      <c r="D12" s="64">
        <f>D10-D11</f>
        <v>-36.764662000362506</v>
      </c>
      <c r="E12" s="64">
        <f>E10-E11</f>
        <v>-13.437796000127975</v>
      </c>
      <c r="F12" s="64">
        <f>F10-F11</f>
        <v>7.858598301200508</v>
      </c>
      <c r="G12" s="64">
        <f>G10-G11</f>
        <v>25.418192630065224</v>
      </c>
      <c r="H12" s="64">
        <f>H10-H11</f>
        <v>42.86296476700048</v>
      </c>
      <c r="I12" s="64">
        <f>I10-I11</f>
        <v>60.595562636139185</v>
      </c>
      <c r="J12" s="64">
        <f>J10-J11</f>
        <v>79.02021072800834</v>
      </c>
      <c r="K12" s="64">
        <f>K10-K11</f>
        <v>98.55812957211107</v>
      </c>
      <c r="L12" s="64">
        <f>L10-L11</f>
        <v>119.66349102176832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-30.296326158882337</v>
      </c>
      <c r="D16" s="64">
        <f>D12*D13*D15</f>
        <v>-32.663921997464364</v>
      </c>
      <c r="E16" s="64">
        <f>E12*E13*E15</f>
        <v>-10.612391754806788</v>
      </c>
      <c r="F16" s="64">
        <f>F12*F13*F15</f>
        <v>5.516680054457653</v>
      </c>
      <c r="G16" s="64">
        <f>G12*G13*G15</f>
        <v>15.860791332918852</v>
      </c>
      <c r="H16" s="64">
        <f>H12*H13*H15</f>
        <v>23.774416658493514</v>
      </c>
      <c r="I16" s="64">
        <f>I12*I13*I15</f>
        <v>29.875553646599176</v>
      </c>
      <c r="J16" s="64">
        <f>J12*J13*J15</f>
        <v>34.63066259225788</v>
      </c>
      <c r="K16" s="64">
        <f>K12*K13*K15</f>
        <v>38.393928163618725</v>
      </c>
      <c r="L16" s="64">
        <f>L12*L13*L15</f>
        <v>41.43613518500472</v>
      </c>
    </row>
    <row r="19">
      <c r="A19" s="14" t="inlineStr">
        <is>
          <t>PV of forecast free cash flow</t>
        </is>
      </c>
      <c r="B19" s="52">
        <f>SUM(C16:L16)</f>
        <v>115.91552772219703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122.6550782973125</v>
      </c>
    </row>
    <row r="21">
      <c r="A21" s="14" t="inlineStr">
        <is>
          <t>Terminal value</t>
        </is>
      </c>
      <c r="B21" s="52">
        <f>B20/(Assumptions!$E$10-Assumptions!$E$11)</f>
        <v>1226.550782973125</v>
      </c>
    </row>
    <row r="22">
      <c r="A22" s="14" t="inlineStr">
        <is>
          <t>PV of terminal value</t>
        </is>
      </c>
      <c r="B22" s="52">
        <f>B21/(1+Assumptions!$E$10)^(L14+0.5)</f>
        <v>400.43021973155084</v>
      </c>
    </row>
    <row r="23">
      <c r="A23" s="20" t="inlineStr">
        <is>
          <t>Enterprise value</t>
        </is>
      </c>
      <c r="B23" s="66">
        <f>B19+B22</f>
        <v>516.3457474537479</v>
      </c>
    </row>
    <row r="24">
      <c r="A24" s="14" t="inlineStr">
        <is>
          <t>Cash &amp; investments</t>
        </is>
      </c>
      <c r="B24" s="55">
        <f>Main!C7</f>
        <v>115.2</v>
      </c>
    </row>
    <row r="25">
      <c r="A25" s="14" t="inlineStr">
        <is>
          <t>Debt</t>
        </is>
      </c>
      <c r="B25" s="55">
        <f>Main!C8</f>
        <v>120.7</v>
      </c>
    </row>
    <row r="26">
      <c r="A26" s="20" t="inlineStr">
        <is>
          <t>Equity value</t>
        </is>
      </c>
      <c r="B26" s="66">
        <f>B23+B24-B25</f>
        <v>510.84574745374795</v>
      </c>
    </row>
    <row r="27">
      <c r="A27" s="14" t="inlineStr">
        <is>
          <t>Shares (mm)</t>
        </is>
      </c>
      <c r="B27" s="55">
        <f>Main!C4</f>
        <v>95.649645</v>
      </c>
    </row>
    <row r="28">
      <c r="A28" s="20" t="inlineStr">
        <is>
          <t>NPV / share</t>
        </is>
      </c>
      <c r="B28" s="49">
        <f>B26/B27</f>
        <v>5.340801290519666</v>
      </c>
    </row>
    <row r="29">
      <c r="A29" s="14" t="inlineStr">
        <is>
          <t>Price</t>
        </is>
      </c>
      <c r="B29" s="50">
        <f>Main!C3</f>
        <v>5.54</v>
      </c>
    </row>
    <row r="30">
      <c r="A30" s="14" t="inlineStr">
        <is>
          <t>Upside</t>
        </is>
      </c>
      <c r="B30" s="63">
        <f>B28/B29-1</f>
        <v>-0.03595644575457291</v>
      </c>
    </row>
    <row r="31">
      <c r="A31" s="14" t="inlineStr">
        <is>
          <t>Terminal value, % of EV</t>
        </is>
      </c>
      <c r="B31" s="63">
        <f>IFERROR(B22/B23,0)</f>
        <v>0.7755079260479815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2026-10-21T06:25:39Z</dcterms:modified>
  <cp:lastModifiedBy>Wang, Eric</cp:lastModifiedBy>
</cp:coreProperties>
</file>