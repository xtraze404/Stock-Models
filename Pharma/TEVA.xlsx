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Teva Pharmaceutical Industries Limited</t>
        </is>
      </c>
      <c r="C2" s="10" t="n"/>
    </row>
    <row r="3">
      <c r="B3" t="inlineStr">
        <is>
          <t>Price</t>
        </is>
      </c>
      <c r="C3" s="11">
        <f>INDEX([1]Pharma!$F$1:$F$1000,MATCH("TEVA",[1]Pharma!$B$1:$B$1000,0))</f>
        <v>40.855</v>
      </c>
      <c r="F3" s="1" t="n"/>
    </row>
    <row r="4">
      <c r="B4" t="inlineStr">
        <is>
          <t>Shares</t>
        </is>
      </c>
      <c r="C4" s="51" t="n">
        <v>1165.296084</v>
      </c>
      <c r="F4" s="1" t="n"/>
    </row>
    <row r="5">
      <c r="B5" t="inlineStr">
        <is>
          <t>Market Cap.</t>
        </is>
      </c>
      <c r="C5" s="13">
        <f>C3*C4</f>
        <v>47608.17151182</v>
      </c>
      <c r="F5" s="1" t="n"/>
    </row>
    <row r="6"/>
    <row r="7">
      <c r="B7" t="inlineStr">
        <is>
          <t>Cash</t>
        </is>
      </c>
      <c r="C7" s="51" t="n">
        <v>3655</v>
      </c>
    </row>
    <row r="8">
      <c r="B8" t="inlineStr">
        <is>
          <t>Debt</t>
        </is>
      </c>
      <c r="C8" s="51" t="n">
        <v>4500</v>
      </c>
    </row>
    <row r="9">
      <c r="B9" t="inlineStr">
        <is>
          <t>Enterprise V.</t>
        </is>
      </c>
      <c r="C9" s="13">
        <f>C5-C7+C8</f>
        <v>48453.17151182</v>
      </c>
    </row>
    <row r="10"/>
    <row r="11">
      <c r="B11" s="14" t="inlineStr">
        <is>
          <t>NPV / Share</t>
        </is>
      </c>
      <c r="C11" s="11">
        <f>NPV!B28</f>
        <v>33.64755349924853</v>
      </c>
    </row>
    <row r="12">
      <c r="B12" s="14" t="inlineStr">
        <is>
          <t>Upside</t>
        </is>
      </c>
      <c r="C12" s="15">
        <f>IFERROR(C11/C3-1,"")</f>
        <v>-0.17641528578512955</v>
      </c>
    </row>
    <row r="13">
      <c r="B13" s="14" t="inlineStr">
        <is>
          <t>Cash / Share</t>
        </is>
      </c>
      <c r="C13" s="11">
        <f>IFERROR((C7-C8)/C4,"")</f>
        <v>-0.7251375951590342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9408</v>
      </c>
      <c r="C2" s="52" t="n">
        <v>11085</v>
      </c>
      <c r="D2" s="52" t="n">
        <v>16121</v>
      </c>
      <c r="E2" s="52" t="n">
        <v>16121</v>
      </c>
      <c r="F2" s="52" t="n">
        <v>18312</v>
      </c>
      <c r="G2" s="52" t="n">
        <v>20317</v>
      </c>
      <c r="H2" s="52" t="n">
        <v>20314</v>
      </c>
      <c r="I2" s="52" t="n">
        <v>20272</v>
      </c>
      <c r="J2" s="52" t="n">
        <v>19652</v>
      </c>
      <c r="K2" s="52" t="n">
        <v>21903</v>
      </c>
      <c r="L2" s="52" t="n">
        <v>22385</v>
      </c>
      <c r="M2" s="52" t="n">
        <v>18271</v>
      </c>
      <c r="N2" s="52" t="n">
        <v>16887</v>
      </c>
      <c r="O2" s="52" t="n">
        <v>16659</v>
      </c>
      <c r="P2" s="52" t="n">
        <v>15878</v>
      </c>
      <c r="Q2" s="52" t="n">
        <v>14925</v>
      </c>
      <c r="R2" s="52" t="n">
        <v>15846</v>
      </c>
      <c r="S2" s="52" t="n">
        <v>16544</v>
      </c>
      <c r="T2" s="52" t="n">
        <v>17258</v>
      </c>
      <c r="U2" s="52">
        <f>T2*(1+NPV!C5)</f>
        <v>17380.5318</v>
      </c>
      <c r="V2" s="52">
        <f>U2*(1+NPV!D5)</f>
        <v>17538.501522360002</v>
      </c>
      <c r="W2" s="52">
        <f>V2*(1+NPV!E5)</f>
        <v>17732.789144779923</v>
      </c>
      <c r="X2" s="52">
        <f>W2*(1+NPV!F5)</f>
        <v>17964.497589605046</v>
      </c>
      <c r="Y2" s="52">
        <f>X2*(1+NPV!G5)</f>
        <v>18234.96308109299</v>
      </c>
      <c r="Z2" s="52">
        <f>Y2*(1+NPV!H5)</f>
        <v>18545.767896275174</v>
      </c>
      <c r="AA2" s="52">
        <f>Z2*(1+NPV!I5)</f>
        <v>18898.75567856761</v>
      </c>
      <c r="AB2" s="52">
        <f>AA2*(1+NPV!J5)</f>
        <v>19296.049520165943</v>
      </c>
      <c r="AC2" s="52">
        <f>AB2*(1+NPV!K5)</f>
        <v>19740.073059679984</v>
      </c>
      <c r="AD2" s="52">
        <f>AC2*(1+NPV!L5)</f>
        <v>20233.57488617198</v>
      </c>
    </row>
    <row r="3" customFormat="1" s="1">
      <c r="A3" s="5" t="inlineStr">
        <is>
          <t>Cost of Sales</t>
        </is>
      </c>
      <c r="B3" s="52" t="n">
        <v>4531</v>
      </c>
      <c r="C3" s="52" t="n">
        <v>5117</v>
      </c>
      <c r="D3" s="52" t="n">
        <v>6532</v>
      </c>
      <c r="E3" s="52" t="n">
        <v>7056</v>
      </c>
      <c r="F3" s="52" t="n">
        <v>8797</v>
      </c>
      <c r="G3" s="52" t="n">
        <v>9665</v>
      </c>
      <c r="H3" s="52" t="n">
        <v>9607</v>
      </c>
      <c r="I3" s="52" t="n">
        <v>9216</v>
      </c>
      <c r="J3" s="52" t="n">
        <v>8296</v>
      </c>
      <c r="K3" s="52" t="n">
        <v>10044</v>
      </c>
      <c r="L3" s="52" t="n">
        <v>11237</v>
      </c>
      <c r="M3" s="52" t="n">
        <v>9975</v>
      </c>
      <c r="N3" s="52" t="n">
        <v>9351</v>
      </c>
      <c r="O3" s="52" t="n">
        <v>8933</v>
      </c>
      <c r="P3" s="52" t="n">
        <v>8284</v>
      </c>
      <c r="Q3" s="52" t="n">
        <v>7952</v>
      </c>
      <c r="R3" s="52" t="n">
        <v>8200</v>
      </c>
      <c r="S3" s="52" t="n">
        <v>8481</v>
      </c>
      <c r="T3" s="52" t="n">
        <v>8320</v>
      </c>
      <c r="U3" s="52">
        <f>U2*(1-Assumptions!$B$19)</f>
        <v>8379.154380779999</v>
      </c>
      <c r="V3" s="52">
        <f>V2*(1-Assumptions!$B$19)</f>
        <v>8455.311583929757</v>
      </c>
      <c r="W3" s="52">
        <f>W2*(1-Assumptions!$B$19)</f>
        <v>8548.9776466984</v>
      </c>
      <c r="X3" s="52">
        <f>X2*(1-Assumptions!$B$19)</f>
        <v>8660.684287948592</v>
      </c>
      <c r="Y3" s="52">
        <f>Y2*(1-Assumptions!$B$19)</f>
        <v>8791.07570139493</v>
      </c>
      <c r="Z3" s="52">
        <f>Z2*(1-Assumptions!$B$19)</f>
        <v>8940.914702794262</v>
      </c>
      <c r="AA3" s="52">
        <f>AA2*(1-Assumptions!$B$19)</f>
        <v>9111.090112637445</v>
      </c>
      <c r="AB3" s="52">
        <f>AB2*(1-Assumptions!$B$19)</f>
        <v>9302.625473672</v>
      </c>
      <c r="AC3" s="52">
        <f>AC2*(1-Assumptions!$B$19)</f>
        <v>9516.68922207172</v>
      </c>
      <c r="AD3" s="52">
        <f>AD2*(1-Assumptions!$B$19)</f>
        <v>9754.606452623511</v>
      </c>
    </row>
    <row r="4" customFormat="1" s="1">
      <c r="A4" s="5" t="inlineStr">
        <is>
          <t>Gross Margin</t>
        </is>
      </c>
      <c r="B4" s="52">
        <f>B2-B3</f>
        <v>4877.0</v>
      </c>
      <c r="C4" s="52">
        <f>C2-C3</f>
        <v>5968.0</v>
      </c>
      <c r="D4" s="52">
        <f>D2-D3</f>
        <v>9589.0</v>
      </c>
      <c r="E4" s="52">
        <f>E2-E3</f>
        <v>9065.0</v>
      </c>
      <c r="F4" s="52">
        <f>F2-F3</f>
        <v>9515.0</v>
      </c>
      <c r="G4" s="52">
        <f>G2-G3</f>
        <v>10652.0</v>
      </c>
      <c r="H4" s="52">
        <f>H2-H3</f>
        <v>10707.0</v>
      </c>
      <c r="I4" s="52">
        <f>I2-I3</f>
        <v>11056.0</v>
      </c>
      <c r="J4" s="52">
        <f>J2-J3</f>
        <v>11356.0</v>
      </c>
      <c r="K4" s="52">
        <f>K2-K3</f>
        <v>11859.0</v>
      </c>
      <c r="L4" s="52">
        <f>L2-L3</f>
        <v>11148.0</v>
      </c>
      <c r="M4" s="52">
        <f>M2-M3</f>
        <v>8296.0</v>
      </c>
      <c r="N4" s="52">
        <f>N2-N3</f>
        <v>7536.0</v>
      </c>
      <c r="O4" s="52">
        <f>O2-O3</f>
        <v>7726.0</v>
      </c>
      <c r="P4" s="52">
        <f>P2-P3</f>
        <v>7594.0</v>
      </c>
      <c r="Q4" s="52">
        <f>Q2-Q3</f>
        <v>6973.0</v>
      </c>
      <c r="R4" s="52">
        <f>R2-R3</f>
        <v>7646.0</v>
      </c>
      <c r="S4" s="52">
        <f>S2-S3</f>
        <v>8063.0</v>
      </c>
      <c r="T4" s="52">
        <f>T2-T3</f>
        <v>8938.0</v>
      </c>
      <c r="U4" s="52">
        <f>U2-U3</f>
        <v>9001.377419220002</v>
      </c>
      <c r="V4" s="52">
        <f>V2-V3</f>
        <v>9083.189938430245</v>
      </c>
      <c r="W4" s="52">
        <f>W2-W3</f>
        <v>9183.811498081523</v>
      </c>
      <c r="X4" s="52">
        <f>X2-X3</f>
        <v>9303.813301656453</v>
      </c>
      <c r="Y4" s="52">
        <f>Y2-Y3</f>
        <v>9443.887379698059</v>
      </c>
      <c r="Z4" s="52">
        <f>Z2-Z3</f>
        <v>9604.853193480913</v>
      </c>
      <c r="AA4" s="52">
        <f>AA2-AA3</f>
        <v>9787.665565930165</v>
      </c>
      <c r="AB4" s="52">
        <f>AB2-AB3</f>
        <v>9993.424046493943</v>
      </c>
      <c r="AC4" s="52">
        <f>AC2-AC3</f>
        <v>10223.383837608264</v>
      </c>
      <c r="AD4" s="52">
        <f>AD2-AD3</f>
        <v>10478.968433548469</v>
      </c>
    </row>
    <row r="5">
      <c r="A5" s="2" t="inlineStr">
        <is>
          <t>Research &amp; Dev.</t>
        </is>
      </c>
      <c r="B5" s="52" t="n">
        <v>581</v>
      </c>
      <c r="C5" s="52" t="n">
        <v>786</v>
      </c>
      <c r="D5" s="52" t="n">
        <v>825</v>
      </c>
      <c r="E5" s="52" t="n">
        <v>951</v>
      </c>
      <c r="F5" s="52" t="n">
        <v>1095</v>
      </c>
      <c r="G5" s="52" t="n">
        <v>1356</v>
      </c>
      <c r="H5" s="52" t="n">
        <v>1427</v>
      </c>
      <c r="I5" s="52" t="n">
        <v>1488</v>
      </c>
      <c r="J5" s="52" t="n">
        <v>1525</v>
      </c>
      <c r="K5" s="52" t="n">
        <v>2111</v>
      </c>
      <c r="L5" s="52" t="n">
        <v>1778</v>
      </c>
      <c r="M5" s="52" t="n">
        <v>1213</v>
      </c>
      <c r="N5" s="52" t="n">
        <v>1010</v>
      </c>
      <c r="O5" s="52" t="n">
        <v>997</v>
      </c>
      <c r="P5" s="52" t="n">
        <v>967</v>
      </c>
      <c r="Q5" s="52" t="n">
        <v>838</v>
      </c>
      <c r="R5" s="52" t="n">
        <v>953</v>
      </c>
      <c r="S5" s="52" t="n">
        <v>998</v>
      </c>
      <c r="T5" s="52" t="n">
        <v>1013</v>
      </c>
      <c r="U5" s="52">
        <f>U7*Assumptions!$B$20</f>
        <v>1076.4678254933956</v>
      </c>
      <c r="V5" s="52">
        <f>V7*Assumptions!$B$20</f>
        <v>1058.1102141030567</v>
      </c>
      <c r="W5" s="52">
        <f>W7*Assumptions!$B$20</f>
        <v>1041.3784707002958</v>
      </c>
      <c r="X5" s="52">
        <f>X7*Assumptions!$B$20</f>
        <v>1026.1607736563933</v>
      </c>
      <c r="Y5" s="52">
        <f>Y7*Assumptions!$B$20</f>
        <v>1012.3511747715627</v>
      </c>
      <c r="Z5" s="52">
        <f>Z7*Assumptions!$B$20</f>
        <v>999.8484149756489</v>
      </c>
      <c r="AA5" s="52">
        <f>AA7*Assumptions!$B$20</f>
        <v>988.5547513241057</v>
      </c>
      <c r="AB5" s="52">
        <f>AB7*Assumptions!$B$20</f>
        <v>978.3747769513956</v>
      </c>
      <c r="AC5" s="52">
        <f>AC7*Assumptions!$B$20</f>
        <v>969.2142149837846</v>
      </c>
      <c r="AD5" s="52">
        <f>AD7*Assumptions!$B$20</f>
        <v>960.9786663733224</v>
      </c>
    </row>
    <row r="6">
      <c r="A6" s="18" t="inlineStr">
        <is>
          <t>SG&amp;A &amp; Other</t>
        </is>
      </c>
      <c r="B6" s="52" t="n">
        <v>1901</v>
      </c>
      <c r="C6" s="52" t="n">
        <v>4037</v>
      </c>
      <c r="D6" s="52" t="n">
        <v>6359</v>
      </c>
      <c r="E6" s="52" t="n">
        <v>4243</v>
      </c>
      <c r="F6" s="52" t="n">
        <v>5311</v>
      </c>
      <c r="G6" s="52" t="n">
        <v>7091</v>
      </c>
      <c r="H6" s="52" t="n">
        <v>7631</v>
      </c>
      <c r="I6" s="52" t="n">
        <v>5617</v>
      </c>
      <c r="J6" s="52" t="n">
        <v>6479</v>
      </c>
      <c r="K6" s="52" t="n">
        <v>7594</v>
      </c>
      <c r="L6" s="52" t="n">
        <v>26854</v>
      </c>
      <c r="M6" s="52" t="n">
        <v>8720</v>
      </c>
      <c r="N6" s="52" t="n">
        <v>6969</v>
      </c>
      <c r="O6" s="52" t="n">
        <v>10301</v>
      </c>
      <c r="P6" s="52" t="n">
        <v>4911</v>
      </c>
      <c r="Q6" s="52" t="n">
        <v>8332</v>
      </c>
      <c r="R6" s="52" t="n">
        <v>6260</v>
      </c>
      <c r="S6" s="52" t="n">
        <v>7368</v>
      </c>
      <c r="T6" s="52" t="n">
        <v>5768</v>
      </c>
      <c r="U6" s="52">
        <f>U7-U5</f>
        <v>6128.805437514606</v>
      </c>
      <c r="V6" s="52">
        <f>V7-V5</f>
        <v>6024.287470656359</v>
      </c>
      <c r="W6" s="52">
        <f>W7-W5</f>
        <v>5929.026286329796</v>
      </c>
      <c r="X6" s="52">
        <f>X7-X5</f>
        <v>5842.385234753199</v>
      </c>
      <c r="Y6" s="52">
        <f>Y7-Y5</f>
        <v>5763.761106162591</v>
      </c>
      <c r="Z6" s="52">
        <f>Z7-Z5</f>
        <v>5692.57738807421</v>
      </c>
      <c r="AA6" s="52">
        <f>AA7-AA5</f>
        <v>5628.277586855987</v>
      </c>
      <c r="AB6" s="52">
        <f>AB7-AB5</f>
        <v>5570.318509202523</v>
      </c>
      <c r="AC6" s="52">
        <f>AC7-AC5</f>
        <v>5518.163395349446</v>
      </c>
      <c r="AD6" s="52">
        <f>AD7-AD5</f>
        <v>5471.27478994075</v>
      </c>
    </row>
    <row r="7">
      <c r="A7" s="2" t="inlineStr">
        <is>
          <t>Operating Expense</t>
        </is>
      </c>
      <c r="B7" s="52">
        <f>SUM(B5:B6)</f>
        <v>2482.0</v>
      </c>
      <c r="C7" s="52">
        <f>SUM(C5:C6)</f>
        <v>4823.0</v>
      </c>
      <c r="D7" s="52">
        <f>SUM(D5:D6)</f>
        <v>7184.0</v>
      </c>
      <c r="E7" s="52">
        <f>SUM(E5:E6)</f>
        <v>5194.0</v>
      </c>
      <c r="F7" s="52">
        <f>SUM(F5:F6)</f>
        <v>6406.0</v>
      </c>
      <c r="G7" s="52">
        <f>SUM(G5:G6)</f>
        <v>8447.0</v>
      </c>
      <c r="H7" s="52">
        <f>SUM(H5:H6)</f>
        <v>9058.0</v>
      </c>
      <c r="I7" s="52">
        <f>SUM(I5:I6)</f>
        <v>7105.0</v>
      </c>
      <c r="J7" s="52">
        <f>SUM(J5:J6)</f>
        <v>8004.0</v>
      </c>
      <c r="K7" s="52">
        <f>SUM(K5:K6)</f>
        <v>9705.0</v>
      </c>
      <c r="L7" s="52">
        <f>SUM(L5:L6)</f>
        <v>28632.0</v>
      </c>
      <c r="M7" s="52">
        <f>SUM(M5:M6)</f>
        <v>9933.0</v>
      </c>
      <c r="N7" s="52">
        <f>SUM(N5:N6)</f>
        <v>7979.0</v>
      </c>
      <c r="O7" s="52">
        <f>SUM(O5:O6)</f>
        <v>11298.0</v>
      </c>
      <c r="P7" s="52">
        <f>SUM(P5:P6)</f>
        <v>5878.0</v>
      </c>
      <c r="Q7" s="52">
        <f>SUM(Q5:Q6)</f>
        <v>9170.0</v>
      </c>
      <c r="R7" s="52">
        <f>SUM(R5:R6)</f>
        <v>7213.0</v>
      </c>
      <c r="S7" s="52">
        <f>SUM(S5:S6)</f>
        <v>8366.0</v>
      </c>
      <c r="T7" s="52">
        <f>SUM(T5:T6)</f>
        <v>6781.0</v>
      </c>
      <c r="U7" s="52">
        <f>U4-U2*NPV!C6</f>
        <v>7205.273263008002</v>
      </c>
      <c r="V7" s="52">
        <f>V4-V2*NPV!D6</f>
        <v>7082.397684759416</v>
      </c>
      <c r="W7" s="52">
        <f>W4-W2*NPV!E6</f>
        <v>6970.404757030092</v>
      </c>
      <c r="X7" s="52">
        <f>X4-X2*NPV!F6</f>
        <v>6868.546008409593</v>
      </c>
      <c r="Y7" s="52">
        <f>Y4-Y2*NPV!G6</f>
        <v>6776.112280934154</v>
      </c>
      <c r="Z7" s="52">
        <f>Z4-Z2*NPV!H6</f>
        <v>6692.425803049859</v>
      </c>
      <c r="AA7" s="52">
        <f>AA4-AA2*NPV!I6</f>
        <v>6616.832338180092</v>
      </c>
      <c r="AB7" s="52">
        <f>AB4-AB2*NPV!J6</f>
        <v>6548.693286153919</v>
      </c>
      <c r="AC7" s="52">
        <f>AC4-AC2*NPV!K6</f>
        <v>6487.37761033323</v>
      </c>
      <c r="AD7" s="52">
        <f>AD4-AD2*NPV!L6</f>
        <v>6432.2534563140725</v>
      </c>
    </row>
    <row r="8">
      <c r="A8" s="2" t="inlineStr">
        <is>
          <t>Operating Income</t>
        </is>
      </c>
      <c r="B8" s="52">
        <f>B4-B7</f>
        <v>2395.0</v>
      </c>
      <c r="C8" s="52">
        <f>C4-C7</f>
        <v>1145.0</v>
      </c>
      <c r="D8" s="52">
        <f>D4-D7</f>
        <v>2405.0</v>
      </c>
      <c r="E8" s="52">
        <f>E4-E7</f>
        <v>3871.0</v>
      </c>
      <c r="F8" s="52">
        <f>F4-F7</f>
        <v>3109.0</v>
      </c>
      <c r="G8" s="52">
        <f>G4-G7</f>
        <v>2205.0</v>
      </c>
      <c r="H8" s="52">
        <f>H4-H7</f>
        <v>1649.0</v>
      </c>
      <c r="I8" s="52">
        <f>I4-I7</f>
        <v>3951.0</v>
      </c>
      <c r="J8" s="52">
        <f>J4-J7</f>
        <v>3352.0</v>
      </c>
      <c r="K8" s="52">
        <f>K4-K7</f>
        <v>2154.0</v>
      </c>
      <c r="L8" s="52">
        <f>L4-L7</f>
        <v>-17484.0</v>
      </c>
      <c r="M8" s="52">
        <f>M4-M7</f>
        <v>-1637.0</v>
      </c>
      <c r="N8" s="52">
        <f>N4-N7</f>
        <v>-443.0</v>
      </c>
      <c r="O8" s="52">
        <f>O4-O7</f>
        <v>-3572.0</v>
      </c>
      <c r="P8" s="52">
        <f>P4-P7</f>
        <v>1716.0</v>
      </c>
      <c r="Q8" s="52">
        <f>Q4-Q7</f>
        <v>-2197.0</v>
      </c>
      <c r="R8" s="52">
        <f>R4-R7</f>
        <v>433.0</v>
      </c>
      <c r="S8" s="52">
        <f>S4-S7</f>
        <v>-303.0</v>
      </c>
      <c r="T8" s="52">
        <f>T4-T7</f>
        <v>2157.0</v>
      </c>
      <c r="U8" s="52">
        <f>U4-U7</f>
        <v>1796.104156212</v>
      </c>
      <c r="V8" s="52">
        <f>V4-V7</f>
        <v>2000.7922536708293</v>
      </c>
      <c r="W8" s="52">
        <f>W4-W7</f>
        <v>2213.406741051431</v>
      </c>
      <c r="X8" s="52">
        <f>X4-X7</f>
        <v>2435.2672932468604</v>
      </c>
      <c r="Y8" s="52">
        <f>Y4-Y7</f>
        <v>2667.7750987639047</v>
      </c>
      <c r="Z8" s="52">
        <f>Z4-Z7</f>
        <v>2912.427390431054</v>
      </c>
      <c r="AA8" s="52">
        <f>AA4-AA7</f>
        <v>3170.833227750073</v>
      </c>
      <c r="AB8" s="52">
        <f>AB4-AB7</f>
        <v>3444.730760340024</v>
      </c>
      <c r="AC8" s="52">
        <f>AC4-AC7</f>
        <v>3736.006227275034</v>
      </c>
      <c r="AD8" s="52">
        <f>AD4-AD7</f>
        <v>4046.7149772343964</v>
      </c>
    </row>
    <row r="9">
      <c r="A9" s="18" t="inlineStr">
        <is>
          <t>Interest &amp; Other</t>
        </is>
      </c>
      <c r="B9" s="52" t="n">
        <v>-95</v>
      </c>
      <c r="C9" s="52" t="n">
        <v>-352</v>
      </c>
      <c r="D9" s="52" t="n">
        <v>-239</v>
      </c>
      <c r="E9" s="52" t="n">
        <v>-257</v>
      </c>
      <c r="F9" s="52" t="n">
        <v>-223</v>
      </c>
      <c r="G9" s="52" t="n">
        <v>-379</v>
      </c>
      <c r="H9" s="52" t="n">
        <v>-423</v>
      </c>
      <c r="I9" s="52" t="n">
        <v>-305</v>
      </c>
      <c r="J9" s="52" t="n">
        <v>-1130</v>
      </c>
      <c r="K9" s="52" t="n">
        <v>-1304</v>
      </c>
      <c r="L9" s="52" t="n">
        <v>-714</v>
      </c>
      <c r="M9" s="52" t="n">
        <v>-708</v>
      </c>
      <c r="N9" s="52" t="n">
        <v>-834</v>
      </c>
      <c r="O9" s="52" t="n">
        <v>-586</v>
      </c>
      <c r="P9" s="52" t="n">
        <v>-1088</v>
      </c>
      <c r="Q9" s="52" t="n">
        <v>-892</v>
      </c>
      <c r="R9" s="52" t="n">
        <v>-999</v>
      </c>
      <c r="S9" s="52" t="n">
        <v>-660</v>
      </c>
      <c r="T9" s="52" t="n">
        <v>-927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2300.0</v>
      </c>
      <c r="C10" s="52">
        <f>C8+C9</f>
        <v>793.0</v>
      </c>
      <c r="D10" s="52">
        <f>D8+D9</f>
        <v>2166.0</v>
      </c>
      <c r="E10" s="52">
        <f>E8+E9</f>
        <v>3614.0</v>
      </c>
      <c r="F10" s="52">
        <f>F8+F9</f>
        <v>2886.0</v>
      </c>
      <c r="G10" s="52">
        <f>G8+G9</f>
        <v>1826.0</v>
      </c>
      <c r="H10" s="52">
        <f>H8+H9</f>
        <v>1226.0</v>
      </c>
      <c r="I10" s="52">
        <f>I8+I9</f>
        <v>3646.0</v>
      </c>
      <c r="J10" s="52">
        <f>J8+J9</f>
        <v>2222.0</v>
      </c>
      <c r="K10" s="52">
        <f>K8+K9</f>
        <v>850.0</v>
      </c>
      <c r="L10" s="52">
        <f>L8+L9</f>
        <v>-18198.0</v>
      </c>
      <c r="M10" s="52">
        <f>M8+M9</f>
        <v>-2345.0</v>
      </c>
      <c r="N10" s="52">
        <f>N8+N9</f>
        <v>-1277.0</v>
      </c>
      <c r="O10" s="52">
        <f>O8+O9</f>
        <v>-4158.0</v>
      </c>
      <c r="P10" s="52">
        <f>P8+P9</f>
        <v>628.0</v>
      </c>
      <c r="Q10" s="52">
        <f>Q8+Q9</f>
        <v>-3089.0</v>
      </c>
      <c r="R10" s="52">
        <f>R8+R9</f>
        <v>-566.0</v>
      </c>
      <c r="S10" s="52">
        <f>S8+S9</f>
        <v>-963.0</v>
      </c>
      <c r="T10" s="52">
        <f>T8+T9</f>
        <v>1230.0</v>
      </c>
      <c r="U10" s="52">
        <f>U8+U9</f>
        <v>1796.104156212</v>
      </c>
      <c r="V10" s="52">
        <f>V8+V9</f>
        <v>2000.7922536708293</v>
      </c>
      <c r="W10" s="52">
        <f>W8+W9</f>
        <v>2213.406741051431</v>
      </c>
      <c r="X10" s="52">
        <f>X8+X9</f>
        <v>2435.2672932468604</v>
      </c>
      <c r="Y10" s="52">
        <f>Y8+Y9</f>
        <v>2667.7750987639047</v>
      </c>
      <c r="Z10" s="52">
        <f>Z8+Z9</f>
        <v>2912.427390431054</v>
      </c>
      <c r="AA10" s="52">
        <f>AA8+AA9</f>
        <v>3170.833227750073</v>
      </c>
      <c r="AB10" s="52">
        <f>AB8+AB9</f>
        <v>3444.730760340024</v>
      </c>
      <c r="AC10" s="52">
        <f>AC8+AC9</f>
        <v>3736.006227275034</v>
      </c>
      <c r="AD10" s="52">
        <f>AD8+AD9</f>
        <v>4046.7149772343964</v>
      </c>
    </row>
    <row r="11">
      <c r="A11" s="2" t="inlineStr">
        <is>
          <t>Taxes</t>
        </is>
      </c>
      <c r="B11" s="52" t="n">
        <v>386</v>
      </c>
      <c r="C11" s="52" t="n">
        <v>184</v>
      </c>
      <c r="D11" s="52" t="n">
        <v>166</v>
      </c>
      <c r="E11" s="52" t="n">
        <v>283</v>
      </c>
      <c r="F11" s="52" t="n">
        <v>127</v>
      </c>
      <c r="G11" s="52" t="n">
        <v>-137</v>
      </c>
      <c r="H11" s="52" t="n">
        <v>-43</v>
      </c>
      <c r="I11" s="52" t="n">
        <v>591</v>
      </c>
      <c r="J11" s="52" t="n">
        <v>634</v>
      </c>
      <c r="K11" s="52" t="n">
        <v>521</v>
      </c>
      <c r="L11" s="52" t="n">
        <v>-1933</v>
      </c>
      <c r="M11" s="52" t="n">
        <v>-195</v>
      </c>
      <c r="N11" s="52" t="n">
        <v>-278</v>
      </c>
      <c r="O11" s="52" t="n">
        <v>-168</v>
      </c>
      <c r="P11" s="52" t="n">
        <v>211</v>
      </c>
      <c r="Q11" s="52" t="n">
        <v>-643</v>
      </c>
      <c r="R11" s="52" t="n">
        <v>-7</v>
      </c>
      <c r="S11" s="52" t="n">
        <v>676</v>
      </c>
      <c r="T11" s="52" t="n">
        <v>-180</v>
      </c>
      <c r="U11" s="52">
        <f>MAX(0,U10)*Assumptions!$E$14</f>
        <v>305.33770655604</v>
      </c>
      <c r="V11" s="52">
        <f>MAX(0,V10)*Assumptions!$E$14</f>
        <v>340.134683124041</v>
      </c>
      <c r="W11" s="52">
        <f>MAX(0,W10)*Assumptions!$E$14</f>
        <v>376.27914597874326</v>
      </c>
      <c r="X11" s="52">
        <f>MAX(0,X10)*Assumptions!$E$14</f>
        <v>413.9954398519663</v>
      </c>
      <c r="Y11" s="52">
        <f>MAX(0,Y10)*Assumptions!$E$14</f>
        <v>453.5217667898638</v>
      </c>
      <c r="Z11" s="52">
        <f>MAX(0,Z10)*Assumptions!$E$14</f>
        <v>495.1126563732792</v>
      </c>
      <c r="AA11" s="52">
        <f>MAX(0,AA10)*Assumptions!$E$14</f>
        <v>539.0416487175124</v>
      </c>
      <c r="AB11" s="52">
        <f>MAX(0,AB10)*Assumptions!$E$14</f>
        <v>585.6042292578041</v>
      </c>
      <c r="AC11" s="52">
        <f>MAX(0,AC10)*Assumptions!$E$14</f>
        <v>635.1210586367558</v>
      </c>
      <c r="AD11" s="52">
        <f>MAX(0,AD10)*Assumptions!$E$14</f>
        <v>687.9415461298474</v>
      </c>
    </row>
    <row r="12">
      <c r="A12" s="2" t="inlineStr">
        <is>
          <t>Net Income</t>
        </is>
      </c>
      <c r="B12" s="52" t="n">
        <v>1914</v>
      </c>
      <c r="C12" s="52" t="n">
        <v>609</v>
      </c>
      <c r="D12" s="52" t="n">
        <v>2000</v>
      </c>
      <c r="E12" s="52" t="n">
        <v>3331</v>
      </c>
      <c r="F12" s="52" t="n">
        <v>2759</v>
      </c>
      <c r="G12" s="52" t="n">
        <v>1963</v>
      </c>
      <c r="H12" s="52" t="n">
        <v>1269</v>
      </c>
      <c r="I12" s="52" t="n">
        <v>3055</v>
      </c>
      <c r="J12" s="52" t="n">
        <v>1588</v>
      </c>
      <c r="K12" s="52" t="n">
        <v>329</v>
      </c>
      <c r="L12" s="52" t="n">
        <v>-16265</v>
      </c>
      <c r="M12" s="52" t="n">
        <v>-2150</v>
      </c>
      <c r="N12" s="52" t="n">
        <v>-999</v>
      </c>
      <c r="O12" s="52" t="n">
        <v>-3990</v>
      </c>
      <c r="P12" s="52" t="n">
        <v>417</v>
      </c>
      <c r="Q12" s="52" t="n">
        <v>-2446</v>
      </c>
      <c r="R12" s="52" t="n">
        <v>-559</v>
      </c>
      <c r="S12" s="52" t="n">
        <v>-1639</v>
      </c>
      <c r="T12" s="52" t="n">
        <v>1410</v>
      </c>
      <c r="U12" s="52">
        <f>U10-U11</f>
        <v>1490.7664496559598</v>
      </c>
      <c r="V12" s="52">
        <f>V10-V11</f>
        <v>1660.6575705467883</v>
      </c>
      <c r="W12" s="52">
        <f>W10-W11</f>
        <v>1837.1275950726877</v>
      </c>
      <c r="X12" s="52">
        <f>X10-X11</f>
        <v>2021.2718533948942</v>
      </c>
      <c r="Y12" s="52">
        <f>Y10-Y11</f>
        <v>2214.253331974041</v>
      </c>
      <c r="Z12" s="52">
        <f>Z10-Z11</f>
        <v>2417.314734057775</v>
      </c>
      <c r="AA12" s="52">
        <f>AA10-AA11</f>
        <v>2631.7915790325605</v>
      </c>
      <c r="AB12" s="52">
        <f>AB10-AB11</f>
        <v>2859.12653108222</v>
      </c>
      <c r="AC12" s="52">
        <f>AC10-AC11</f>
        <v>3100.8851686382777</v>
      </c>
      <c r="AD12" s="52">
        <f>AD10-AD11</f>
        <v>3358.7734311045488</v>
      </c>
    </row>
    <row r="13">
      <c r="A13" s="2" t="inlineStr">
        <is>
          <t>Earnings per Share</t>
        </is>
      </c>
      <c r="B13" s="11">
        <f>IFERROR(B12/B14,0)</f>
        <v>2.306024096385542</v>
      </c>
      <c r="C13" s="11">
        <f>IFERROR(C12/C14,0)</f>
        <v>0.7426829268292683</v>
      </c>
      <c r="D13" s="11">
        <f>IFERROR(D12/D14,0)</f>
        <v>2.232142857142857</v>
      </c>
      <c r="E13" s="11">
        <f>IFERROR(E12/E14,0)</f>
        <v>3.6167209554831703</v>
      </c>
      <c r="F13" s="11">
        <f>IFERROR(F12/F14,0)</f>
        <v>3.089585666293393</v>
      </c>
      <c r="G13" s="11">
        <f>IFERROR(G12/G14,0)</f>
        <v>2.2485681557846506</v>
      </c>
      <c r="H13" s="11">
        <f>IFERROR(H12/H14,0)</f>
        <v>1.4929411764705882</v>
      </c>
      <c r="I13" s="11">
        <f>IFERROR(I12/I14,0)</f>
        <v>3.5606060606060606</v>
      </c>
      <c r="J13" s="11">
        <f>IFERROR(J12/J14,0)</f>
        <v>1.837962962962963</v>
      </c>
      <c r="K13" s="11">
        <f>IFERROR(K12/K14,0)</f>
        <v>0.34235171696149846</v>
      </c>
      <c r="L13" s="11">
        <f>IFERROR(L12/L14,0)</f>
        <v>-16.008858267716537</v>
      </c>
      <c r="M13" s="11">
        <f>IFERROR(M12/M14,0)</f>
        <v>-2.105778648383937</v>
      </c>
      <c r="N13" s="11">
        <f>IFERROR(N12/N14,0)</f>
        <v>-0.9156736938588451</v>
      </c>
      <c r="O13" s="11">
        <f>IFERROR(O12/O14,0)</f>
        <v>-3.643835616438356</v>
      </c>
      <c r="P13" s="11">
        <f>IFERROR(P12/P14,0)</f>
        <v>0.37669376693766937</v>
      </c>
      <c r="Q13" s="11">
        <f>IFERROR(Q12/Q14,0)</f>
        <v>-2.2036036036036037</v>
      </c>
      <c r="R13" s="11">
        <f>IFERROR(R12/R14,0)</f>
        <v>-0.49955317247542447</v>
      </c>
      <c r="S13" s="11">
        <f>IFERROR(S12/S14,0)</f>
        <v>-1.4491600353669318</v>
      </c>
      <c r="T13" s="11">
        <f>IFERROR(T12/T14,0)</f>
        <v>1.2123817712811693</v>
      </c>
      <c r="U13" s="11">
        <f>IFERROR(U12/U14,0)</f>
        <v>1.279302719819283</v>
      </c>
      <c r="V13" s="11">
        <f>IFERROR(V12/V14,0)</f>
        <v>1.4250949551348429</v>
      </c>
      <c r="W13" s="11">
        <f>IFERROR(W12/W14,0)</f>
        <v>1.5765328831849807</v>
      </c>
      <c r="X13" s="11">
        <f>IFERROR(X12/X14,0)</f>
        <v>1.7345564626430976</v>
      </c>
      <c r="Y13" s="11">
        <f>IFERROR(Y12/Y14,0)</f>
        <v>1.9001637115035914</v>
      </c>
      <c r="Z13" s="11">
        <f>IFERROR(Z12/Z14,0)</f>
        <v>2.0744210568013672</v>
      </c>
      <c r="AA13" s="11">
        <f>IFERROR(AA12/AA14,0)</f>
        <v>2.25847457583369</v>
      </c>
      <c r="AB13" s="11">
        <f>IFERROR(AB12/AB14,0)</f>
        <v>2.4535622923128435</v>
      </c>
      <c r="AC13" s="11">
        <f>IFERROR(AC12/AC14,0)</f>
        <v>2.6610277089357126</v>
      </c>
      <c r="AD13" s="11">
        <f>IFERROR(AD12/AD14,0)</f>
        <v>2.8823347793079415</v>
      </c>
    </row>
    <row r="14">
      <c r="A14" s="2" t="inlineStr">
        <is>
          <t>Shares</t>
        </is>
      </c>
      <c r="B14" s="52" t="n">
        <v>830</v>
      </c>
      <c r="C14" s="52" t="n">
        <v>820</v>
      </c>
      <c r="D14" s="52" t="n">
        <v>896</v>
      </c>
      <c r="E14" s="52" t="n">
        <v>921</v>
      </c>
      <c r="F14" s="52" t="n">
        <v>893</v>
      </c>
      <c r="G14" s="52" t="n">
        <v>873</v>
      </c>
      <c r="H14" s="52" t="n">
        <v>850</v>
      </c>
      <c r="I14" s="52" t="n">
        <v>858</v>
      </c>
      <c r="J14" s="52" t="n">
        <v>864</v>
      </c>
      <c r="K14" s="52" t="n">
        <v>961</v>
      </c>
      <c r="L14" s="52" t="n">
        <v>1016</v>
      </c>
      <c r="M14" s="52" t="n">
        <v>1021</v>
      </c>
      <c r="N14" s="52" t="n">
        <v>1091</v>
      </c>
      <c r="O14" s="52" t="n">
        <v>1095</v>
      </c>
      <c r="P14" s="52" t="n">
        <v>1107</v>
      </c>
      <c r="Q14" s="52" t="n">
        <v>1110</v>
      </c>
      <c r="R14" s="52" t="n">
        <v>1119</v>
      </c>
      <c r="S14" s="52" t="n">
        <v>1131</v>
      </c>
      <c r="T14" s="52" t="n">
        <v>1163</v>
      </c>
      <c r="U14" s="52">
        <f>Main!$C$4</f>
        <v>1165.296084</v>
      </c>
      <c r="V14" s="52">
        <f>Main!$C$4</f>
        <v>1165.296084</v>
      </c>
      <c r="W14" s="52">
        <f>Main!$C$4</f>
        <v>1165.296084</v>
      </c>
      <c r="X14" s="52">
        <f>Main!$C$4</f>
        <v>1165.296084</v>
      </c>
      <c r="Y14" s="52">
        <f>Main!$C$4</f>
        <v>1165.296084</v>
      </c>
      <c r="Z14" s="52">
        <f>Main!$C$4</f>
        <v>1165.296084</v>
      </c>
      <c r="AA14" s="52">
        <f>Main!$C$4</f>
        <v>1165.296084</v>
      </c>
      <c r="AB14" s="52">
        <f>Main!$C$4</f>
        <v>1165.296084</v>
      </c>
      <c r="AC14" s="52">
        <f>Main!$C$4</f>
        <v>1165.296084</v>
      </c>
      <c r="AD14" s="52">
        <f>Main!$C$4</f>
        <v>1165.296084</v>
      </c>
    </row>
    <row r="15"/>
    <row r="16" customFormat="1" s="4">
      <c r="A16" s="3" t="inlineStr">
        <is>
          <t>Revenue Change</t>
        </is>
      </c>
      <c r="C16" s="15">
        <f>IFERROR(C2/B2-1,"")</f>
        <v>0.17825255102040827</v>
      </c>
      <c r="D16" s="15">
        <f>IFERROR(D2/C2-1,"")</f>
        <v>0.45430762291384763</v>
      </c>
      <c r="E16" s="15">
        <f>IFERROR(E2/D2-1,"")</f>
        <v>0.0</v>
      </c>
      <c r="F16" s="15">
        <f>IFERROR(F2/E2-1,"")</f>
        <v>0.13590968302214512</v>
      </c>
      <c r="G16" s="15">
        <f>IFERROR(G2/F2-1,"")</f>
        <v>0.10949104412407173</v>
      </c>
      <c r="H16" s="15">
        <f>IFERROR(H2/G2-1,"")</f>
        <v>-0.00014765959541274132</v>
      </c>
      <c r="I16" s="15">
        <f>IFERROR(I2/H2-1,"")</f>
        <v>-0.002067539627842896</v>
      </c>
      <c r="J16" s="15">
        <f>IFERROR(J2/I2-1,"")</f>
        <v>-0.030584056827150707</v>
      </c>
      <c r="K16" s="15">
        <f>IFERROR(K2/J2-1,"")</f>
        <v>0.11454304905353152</v>
      </c>
      <c r="L16" s="15">
        <f>IFERROR(L2/K2-1,"")</f>
        <v>0.022006117883395016</v>
      </c>
      <c r="M16" s="15">
        <f>IFERROR(M2/L2-1,"")</f>
        <v>-0.1837837837837838</v>
      </c>
      <c r="N16" s="15">
        <f>IFERROR(N2/M2-1,"")</f>
        <v>-0.07574845383394446</v>
      </c>
      <c r="O16" s="15">
        <f>IFERROR(O2/N2-1,"")</f>
        <v>-0.013501510037306819</v>
      </c>
      <c r="P16" s="15">
        <f>IFERROR(P2/O2-1,"")</f>
        <v>-0.04688156552013922</v>
      </c>
      <c r="Q16" s="15">
        <f>IFERROR(Q2/P2-1,"")</f>
        <v>-0.06002015367174707</v>
      </c>
      <c r="R16" s="15">
        <f>IFERROR(R2/Q2-1,"")</f>
        <v>0.06170854271356774</v>
      </c>
      <c r="S16" s="15">
        <f>IFERROR(S2/R2-1,"")</f>
        <v>0.044048971349236465</v>
      </c>
      <c r="T16" s="15">
        <f>IFERROR(T2/S2-1,"")</f>
        <v>0.04315764023210833</v>
      </c>
      <c r="U16" s="15">
        <f>IFERROR(U2/T2-1,"")</f>
        <v>0.007100000000000106</v>
      </c>
      <c r="V16" s="15">
        <f>IFERROR(V2/U2-1,"")</f>
        <v>0.009088888888888924</v>
      </c>
      <c r="W16" s="15">
        <f>IFERROR(W2/V2-1,"")</f>
        <v>0.011077777777777742</v>
      </c>
      <c r="X16" s="15">
        <f>IFERROR(X2/W2-1,"")</f>
        <v>0.01306666666666656</v>
      </c>
      <c r="Y16" s="15">
        <f>IFERROR(Y2/X2-1,"")</f>
        <v>0.0150555555555556</v>
      </c>
      <c r="Z16" s="15">
        <f>IFERROR(Z2/Y2-1,"")</f>
        <v>0.017044444444444418</v>
      </c>
      <c r="AA16" s="15">
        <f>IFERROR(AA2/Z2-1,"")</f>
        <v>0.019033333333333236</v>
      </c>
      <c r="AB16" s="15">
        <f>IFERROR(AB2/AA2-1,"")</f>
        <v>0.021022222222222275</v>
      </c>
      <c r="AC16" s="15">
        <f>IFERROR(AC2/AB2-1,"")</f>
        <v>0.023011111111111093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0.5183886054421769</v>
      </c>
      <c r="C17" s="15">
        <f>IFERROR(C4/C2,"")</f>
        <v>0.5383852052322959</v>
      </c>
      <c r="D17" s="15">
        <f>IFERROR(D4/D2,"")</f>
        <v>0.5948142174803052</v>
      </c>
      <c r="E17" s="15">
        <f>IFERROR(E4/E2,"")</f>
        <v>0.5623100303951368</v>
      </c>
      <c r="F17" s="15">
        <f>IFERROR(F4/F2,"")</f>
        <v>0.519604630843163</v>
      </c>
      <c r="G17" s="15">
        <f>IFERROR(G4/G2,"")</f>
        <v>0.5242900034453906</v>
      </c>
      <c r="H17" s="15">
        <f>IFERROR(H4/H2,"")</f>
        <v>0.5270749236979423</v>
      </c>
      <c r="I17" s="15">
        <f>IFERROR(I4/I2,"")</f>
        <v>0.5453827940015785</v>
      </c>
      <c r="J17" s="15">
        <f>IFERROR(J4/J2,"")</f>
        <v>0.5778546712802768</v>
      </c>
      <c r="K17" s="15">
        <f>IFERROR(K4/K2,"")</f>
        <v>0.5414326804547323</v>
      </c>
      <c r="L17" s="15">
        <f>IFERROR(L4/L2,"")</f>
        <v>0.49801206164842526</v>
      </c>
      <c r="M17" s="15">
        <f>IFERROR(M4/M2,"")</f>
        <v>0.4540528706693668</v>
      </c>
      <c r="N17" s="15">
        <f>IFERROR(N4/N2,"")</f>
        <v>0.44626043702256174</v>
      </c>
      <c r="O17" s="15">
        <f>IFERROR(O4/O2,"")</f>
        <v>0.46377333573443785</v>
      </c>
      <c r="P17" s="15">
        <f>IFERROR(P4/P2,"")</f>
        <v>0.47827182264768864</v>
      </c>
      <c r="Q17" s="15">
        <f>IFERROR(Q4/Q2,"")</f>
        <v>0.46720268006700166</v>
      </c>
      <c r="R17" s="15">
        <f>IFERROR(R4/R2,"")</f>
        <v>0.48251924775968696</v>
      </c>
      <c r="S17" s="15">
        <f>IFERROR(S4/S2,"")</f>
        <v>0.48736702127659576</v>
      </c>
      <c r="T17" s="15">
        <f>IFERROR(T4/T2,"")</f>
        <v>0.5179047398308031</v>
      </c>
      <c r="U17" s="15">
        <f>IFERROR(U4/U2,"")</f>
        <v>0.5179</v>
      </c>
      <c r="V17" s="15">
        <f>IFERROR(V4/V2,"")</f>
        <v>0.5179</v>
      </c>
      <c r="W17" s="15">
        <f>IFERROR(W4/W2,"")</f>
        <v>0.5179</v>
      </c>
      <c r="X17" s="15">
        <f>IFERROR(X4/X2,"")</f>
        <v>0.5179</v>
      </c>
      <c r="Y17" s="15">
        <f>IFERROR(Y4/Y2,"")</f>
        <v>0.5179</v>
      </c>
      <c r="Z17" s="15">
        <f>IFERROR(Z4/Z2,"")</f>
        <v>0.5179</v>
      </c>
      <c r="AA17" s="15">
        <f>IFERROR(AA4/AA2,"")</f>
        <v>0.5179</v>
      </c>
      <c r="AB17" s="15">
        <f>IFERROR(AB4/AB2,"")</f>
        <v>0.5179</v>
      </c>
      <c r="AC17" s="15">
        <f>IFERROR(AC4/AC2,"")</f>
        <v>0.5179</v>
      </c>
      <c r="AD17" s="15">
        <f>IFERROR(AD4/AD2,"")</f>
        <v>0.5179</v>
      </c>
    </row>
    <row r="18">
      <c r="A18" s="14" t="inlineStr">
        <is>
          <t>Operating Margin</t>
        </is>
      </c>
      <c r="B18" s="15">
        <f>IFERROR(B8/B2,"")</f>
        <v>0.25457057823129253</v>
      </c>
      <c r="C18" s="15">
        <f>IFERROR(C8/C2,"")</f>
        <v>0.10329273793414524</v>
      </c>
      <c r="D18" s="15">
        <f>IFERROR(D8/D2,"")</f>
        <v>0.14918429377830159</v>
      </c>
      <c r="E18" s="15">
        <f>IFERROR(E8/E2,"")</f>
        <v>0.24012158054711247</v>
      </c>
      <c r="F18" s="15">
        <f>IFERROR(F8/F2,"")</f>
        <v>0.16977937964176495</v>
      </c>
      <c r="G18" s="15">
        <f>IFERROR(G8/G2,"")</f>
        <v>0.1085298026283408</v>
      </c>
      <c r="H18" s="15">
        <f>IFERROR(H8/H2,"")</f>
        <v>0.08117554395983066</v>
      </c>
      <c r="I18" s="15">
        <f>IFERROR(I8/I2,"")</f>
        <v>0.19489936858721388</v>
      </c>
      <c r="J18" s="15">
        <f>IFERROR(J8/J2,"")</f>
        <v>0.17056788113169144</v>
      </c>
      <c r="K18" s="15">
        <f>IFERROR(K8/K2,"")</f>
        <v>0.09834269278181071</v>
      </c>
      <c r="L18" s="15">
        <f>IFERROR(L8/L2,"")</f>
        <v>-0.7810587446951084</v>
      </c>
      <c r="M18" s="15">
        <f>IFERROR(M8/M2,"")</f>
        <v>-0.08959553390619014</v>
      </c>
      <c r="N18" s="15">
        <f>IFERROR(N8/N2,"")</f>
        <v>-0.026233197133889975</v>
      </c>
      <c r="O18" s="15">
        <f>IFERROR(O8/O2,"")</f>
        <v>-0.21441863257098265</v>
      </c>
      <c r="P18" s="15">
        <f>IFERROR(P8/P2,"")</f>
        <v>0.10807406474367048</v>
      </c>
      <c r="Q18" s="15">
        <f>IFERROR(Q8/Q2,"")</f>
        <v>-0.14720268006700168</v>
      </c>
      <c r="R18" s="15">
        <f>IFERROR(R8/R2,"")</f>
        <v>0.02732550801464092</v>
      </c>
      <c r="S18" s="15">
        <f>IFERROR(S8/S2,"")</f>
        <v>-0.018314796905222436</v>
      </c>
      <c r="T18" s="15">
        <f>IFERROR(T8/T2,"")</f>
        <v>0.12498551396453819</v>
      </c>
      <c r="U18" s="15">
        <f>IFERROR(U8/U2,"")</f>
        <v>0.10333999999999999</v>
      </c>
      <c r="V18" s="15">
        <f>IFERROR(V8/V2,"")</f>
        <v>0.11408000000000001</v>
      </c>
      <c r="W18" s="15">
        <f>IFERROR(W8/W2,"")</f>
        <v>0.12482000000000004</v>
      </c>
      <c r="X18" s="15">
        <f>IFERROR(X8/X2,"")</f>
        <v>0.13556</v>
      </c>
      <c r="Y18" s="15">
        <f>IFERROR(Y8/Y2,"")</f>
        <v>0.1463</v>
      </c>
      <c r="Z18" s="15">
        <f>IFERROR(Z8/Z2,"")</f>
        <v>0.15704000000000004</v>
      </c>
      <c r="AA18" s="15">
        <f>IFERROR(AA8/AA2,"")</f>
        <v>0.16777999999999998</v>
      </c>
      <c r="AB18" s="15">
        <f>IFERROR(AB8/AB2,"")</f>
        <v>0.17851999999999998</v>
      </c>
      <c r="AC18" s="15">
        <f>IFERROR(AC8/AC2,"")</f>
        <v>0.18926</v>
      </c>
      <c r="AD18" s="15">
        <f>IFERROR(AD8/AD2,"")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Teva Pharmaceutical Industries Limited: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-0.0429</v>
      </c>
      <c r="C12" s="53" t="n">
        <v>0.0071</v>
      </c>
      <c r="D12" s="53" t="n">
        <v>0.0571</v>
      </c>
      <c r="E12" s="54">
        <f>CHOOSE($B$4,B12,C12,D12)</f>
        <v>0.0071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0.0926</v>
      </c>
    </row>
    <row r="19">
      <c r="A19" s="14" t="inlineStr">
        <is>
          <t>Gross margin (forecast)</t>
        </is>
      </c>
      <c r="B19" s="53" t="n">
        <v>0.5179</v>
      </c>
    </row>
    <row r="20">
      <c r="A20" s="14" t="inlineStr">
        <is>
          <t>R&amp;D share of operating expense (forecast)</t>
        </is>
      </c>
      <c r="B20" s="53" t="n">
        <v>0.1494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17258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40054.36232885481</v>
      </c>
      <c r="C29" s="56">
        <f>NPV!B26</f>
        <v>39209.36232885481</v>
      </c>
      <c r="D29" s="35">
        <f>NPV!B28</f>
        <v>33.64755349924853</v>
      </c>
      <c r="E29" s="57">
        <f>NPV!B30</f>
        <v>-0.17641528578512955</v>
      </c>
    </row>
    <row r="30">
      <c r="A30" s="58" t="n">
        <v>1</v>
      </c>
      <c r="B30" s="59">
        <f t="dataTable" ref="B30:E32" r1="B4"/>
        <v>20712.628395944892</v>
      </c>
      <c r="C30" s="59">
        <v>19867.628395944892</v>
      </c>
      <c r="D30" s="39">
        <v>17.049425179347715</v>
      </c>
      <c r="E30" s="60">
        <v>-0.5826844895521304</v>
      </c>
    </row>
    <row r="31">
      <c r="A31" s="58" t="n">
        <v>2</v>
      </c>
      <c r="B31" s="59">
        <v>40054.36232885481</v>
      </c>
      <c r="C31" s="59">
        <v>39209.36232885481</v>
      </c>
      <c r="D31" s="39">
        <v>33.64755349924853</v>
      </c>
      <c r="E31" s="60">
        <v>-0.17641528578512955</v>
      </c>
    </row>
    <row r="32">
      <c r="A32" s="58" t="n">
        <v>3</v>
      </c>
      <c r="B32" s="59">
        <v>82021.76723740448</v>
      </c>
      <c r="C32" s="59">
        <v>81176.76723740448</v>
      </c>
      <c r="D32" s="39">
        <v>69.66192399682386</v>
      </c>
      <c r="E32" s="60">
        <v>0.7051015541995806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33.64755349924853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42.78446769492708</v>
      </c>
      <c r="C37" s="39">
        <v>46.92298668892835</v>
      </c>
      <c r="D37" s="39">
        <v>52.09439509406196</v>
      </c>
      <c r="E37" s="39">
        <v>58.74135338693166</v>
      </c>
      <c r="F37" s="39">
        <v>67.60162915991957</v>
      </c>
    </row>
    <row r="38">
      <c r="A38" s="62" t="n">
        <v>0.075</v>
      </c>
      <c r="B38" s="39">
        <v>35.07153398533881</v>
      </c>
      <c r="C38" s="39">
        <v>37.76729554724709</v>
      </c>
      <c r="D38" s="39">
        <v>41.000859690035355</v>
      </c>
      <c r="E38" s="39">
        <v>44.951488705660594</v>
      </c>
      <c r="F38" s="39">
        <v>49.88807611940756</v>
      </c>
    </row>
    <row r="39">
      <c r="A39" s="62" t="n">
        <v>0.08500000000000001</v>
      </c>
      <c r="B39" s="39">
        <v>29.59887972442184</v>
      </c>
      <c r="C39" s="39">
        <v>31.468000294861444</v>
      </c>
      <c r="D39" s="39">
        <v>33.64755349924853</v>
      </c>
      <c r="E39" s="39">
        <v>36.22219836806081</v>
      </c>
      <c r="F39" s="39">
        <v>39.310457606006985</v>
      </c>
    </row>
    <row r="40">
      <c r="A40" s="62" t="n">
        <v>0.095</v>
      </c>
      <c r="B40" s="39">
        <v>25.52321567708866</v>
      </c>
      <c r="C40" s="39">
        <v>26.879126756089857</v>
      </c>
      <c r="D40" s="39">
        <v>28.42784037628335</v>
      </c>
      <c r="E40" s="39">
        <v>30.213845633315245</v>
      </c>
      <c r="F40" s="39">
        <v>32.29646136735294</v>
      </c>
    </row>
    <row r="41">
      <c r="A41" s="62" t="n">
        <v>0.105</v>
      </c>
      <c r="B41" s="39">
        <v>22.376368576890744</v>
      </c>
      <c r="C41" s="39">
        <v>23.394326107965096</v>
      </c>
      <c r="D41" s="39">
        <v>24.53877117688268</v>
      </c>
      <c r="E41" s="39">
        <v>25.834997980196217</v>
      </c>
      <c r="F41" s="39">
        <v>27.315527662858358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Teva Pharmaceutical Industries Limited: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0.0071</v>
      </c>
      <c r="D5" s="63">
        <f>Assumptions!$E$12+(Assumptions!$E$11-Assumptions!$E$12)*(D4-1)/(Assumptions!$B$21-1)</f>
        <v>0.00908888888888889</v>
      </c>
      <c r="E5" s="63">
        <f>Assumptions!$E$12+(Assumptions!$E$11-Assumptions!$E$12)*(E4-1)/(Assumptions!$B$21-1)</f>
        <v>0.011077777777777778</v>
      </c>
      <c r="F5" s="63">
        <f>Assumptions!$E$12+(Assumptions!$E$11-Assumptions!$E$12)*(F4-1)/(Assumptions!$B$21-1)</f>
        <v>0.013066666666666667</v>
      </c>
      <c r="G5" s="63">
        <f>Assumptions!$E$12+(Assumptions!$E$11-Assumptions!$E$12)*(G4-1)/(Assumptions!$B$21-1)</f>
        <v>0.015055555555555556</v>
      </c>
      <c r="H5" s="63">
        <f>Assumptions!$E$12+(Assumptions!$E$11-Assumptions!$E$12)*(H4-1)/(Assumptions!$B$21-1)</f>
        <v>0.017044444444444445</v>
      </c>
      <c r="I5" s="63">
        <f>Assumptions!$E$12+(Assumptions!$E$11-Assumptions!$E$12)*(I4-1)/(Assumptions!$B$21-1)</f>
        <v>0.019033333333333333</v>
      </c>
      <c r="J5" s="63">
        <f>Assumptions!$E$12+(Assumptions!$E$11-Assumptions!$E$12)*(J4-1)/(Assumptions!$B$21-1)</f>
        <v>0.02102222222222222</v>
      </c>
      <c r="K5" s="63">
        <f>Assumptions!$E$12+(Assumptions!$E$11-Assumptions!$E$12)*(K4-1)/(Assumptions!$B$21-1)</f>
        <v>0.023011111111111114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0.12498551396453819</v>
      </c>
      <c r="C6" s="63">
        <f>Assumptions!$B$18+(Assumptions!$E$13-Assumptions!$B$18)*C4/Assumptions!$B$21</f>
        <v>0.10334</v>
      </c>
      <c r="D6" s="63">
        <f>Assumptions!$B$18+(Assumptions!$E$13-Assumptions!$B$18)*D4/Assumptions!$B$21</f>
        <v>0.11408</v>
      </c>
      <c r="E6" s="63">
        <f>Assumptions!$B$18+(Assumptions!$E$13-Assumptions!$B$18)*E4/Assumptions!$B$21</f>
        <v>0.12482000000000001</v>
      </c>
      <c r="F6" s="63">
        <f>Assumptions!$B$18+(Assumptions!$E$13-Assumptions!$B$18)*F4/Assumptions!$B$21</f>
        <v>0.13556</v>
      </c>
      <c r="G6" s="63">
        <f>Assumptions!$B$18+(Assumptions!$E$13-Assumptions!$B$18)*G4/Assumptions!$B$21</f>
        <v>0.1463</v>
      </c>
      <c r="H6" s="63">
        <f>Assumptions!$B$18+(Assumptions!$E$13-Assumptions!$B$18)*H4/Assumptions!$B$21</f>
        <v>0.15704</v>
      </c>
      <c r="I6" s="63">
        <f>Assumptions!$B$18+(Assumptions!$E$13-Assumptions!$B$18)*I4/Assumptions!$B$21</f>
        <v>0.16777999999999998</v>
      </c>
      <c r="J6" s="63">
        <f>Assumptions!$B$18+(Assumptions!$E$13-Assumptions!$B$18)*J4/Assumptions!$B$21</f>
        <v>0.17852</v>
      </c>
      <c r="K6" s="63">
        <f>Assumptions!$B$18+(Assumptions!$E$13-Assumptions!$B$18)*K4/Assumptions!$B$21</f>
        <v>0.18926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Model'!T2</f>
        <v>17258</v>
      </c>
      <c r="C7" s="55">
        <f>'Yearly Model'!U2</f>
        <v>17380.5318</v>
      </c>
      <c r="D7" s="55">
        <f>'Yearly Model'!V2</f>
        <v>17538.501522360002</v>
      </c>
      <c r="E7" s="55">
        <f>'Yearly Model'!W2</f>
        <v>17732.789144779923</v>
      </c>
      <c r="F7" s="55">
        <f>'Yearly Model'!X2</f>
        <v>17964.497589605046</v>
      </c>
      <c r="G7" s="55">
        <f>'Yearly Model'!Y2</f>
        <v>18234.96308109299</v>
      </c>
      <c r="H7" s="55">
        <f>'Yearly Model'!Z2</f>
        <v>18545.767896275174</v>
      </c>
      <c r="I7" s="55">
        <f>'Yearly Model'!AA2</f>
        <v>18898.75567856761</v>
      </c>
      <c r="J7" s="55">
        <f>'Yearly Model'!AB2</f>
        <v>19296.049520165943</v>
      </c>
      <c r="K7" s="55">
        <f>'Yearly Model'!AC2</f>
        <v>19740.073059679984</v>
      </c>
      <c r="L7" s="55">
        <f>'Yearly Model'!AD2</f>
        <v>20233.57488617198</v>
      </c>
    </row>
    <row r="8">
      <c r="A8" s="14" t="inlineStr">
        <is>
          <t>Operating income</t>
        </is>
      </c>
      <c r="B8" s="55">
        <f>'Yearly Model'!T8</f>
        <v>2157.0</v>
      </c>
      <c r="C8" s="55">
        <f>'Yearly Model'!U8</f>
        <v>1796.104156212</v>
      </c>
      <c r="D8" s="55">
        <f>'Yearly Model'!V8</f>
        <v>2000.7922536708293</v>
      </c>
      <c r="E8" s="55">
        <f>'Yearly Model'!W8</f>
        <v>2213.406741051431</v>
      </c>
      <c r="F8" s="55">
        <f>'Yearly Model'!X8</f>
        <v>2435.2672932468604</v>
      </c>
      <c r="G8" s="55">
        <f>'Yearly Model'!Y8</f>
        <v>2667.7750987639047</v>
      </c>
      <c r="H8" s="55">
        <f>'Yearly Model'!Z8</f>
        <v>2912.427390431054</v>
      </c>
      <c r="I8" s="55">
        <f>'Yearly Model'!AA8</f>
        <v>3170.833227750073</v>
      </c>
      <c r="J8" s="55">
        <f>'Yearly Model'!AB8</f>
        <v>3444.730760340024</v>
      </c>
      <c r="K8" s="55">
        <f>'Yearly Model'!AC8</f>
        <v>3736.006227275034</v>
      </c>
      <c r="L8" s="55">
        <f>'Yearly Model'!AD8</f>
        <v>4046.7149772343964</v>
      </c>
    </row>
    <row r="9">
      <c r="A9" s="14" t="inlineStr">
        <is>
          <t>Tax on operating income</t>
        </is>
      </c>
      <c r="C9" s="52">
        <f>MAX(0,C8)*Assumptions!$E$14</f>
        <v>305.33770655604</v>
      </c>
      <c r="D9" s="52">
        <f>MAX(0,D8)*Assumptions!$E$14</f>
        <v>340.134683124041</v>
      </c>
      <c r="E9" s="52">
        <f>MAX(0,E8)*Assumptions!$E$14</f>
        <v>376.27914597874326</v>
      </c>
      <c r="F9" s="52">
        <f>MAX(0,F8)*Assumptions!$E$14</f>
        <v>413.9954398519663</v>
      </c>
      <c r="G9" s="52">
        <f>MAX(0,G8)*Assumptions!$E$14</f>
        <v>453.5217667898638</v>
      </c>
      <c r="H9" s="52">
        <f>MAX(0,H8)*Assumptions!$E$14</f>
        <v>495.1126563732792</v>
      </c>
      <c r="I9" s="52">
        <f>MAX(0,I8)*Assumptions!$E$14</f>
        <v>539.0416487175124</v>
      </c>
      <c r="J9" s="52">
        <f>MAX(0,J8)*Assumptions!$E$14</f>
        <v>585.6042292578041</v>
      </c>
      <c r="K9" s="52">
        <f>MAX(0,K8)*Assumptions!$E$14</f>
        <v>635.1210586367558</v>
      </c>
      <c r="L9" s="52">
        <f>MAX(0,L8)*Assumptions!$E$14</f>
        <v>687.9415461298474</v>
      </c>
    </row>
    <row r="10">
      <c r="A10" s="14" t="inlineStr">
        <is>
          <t>NOPAT</t>
        </is>
      </c>
      <c r="C10" s="52">
        <f>C8-C9</f>
        <v>1490.7664496559598</v>
      </c>
      <c r="D10" s="52">
        <f>D8-D9</f>
        <v>1660.6575705467883</v>
      </c>
      <c r="E10" s="52">
        <f>E8-E9</f>
        <v>1837.1275950726877</v>
      </c>
      <c r="F10" s="52">
        <f>F8-F9</f>
        <v>2021.2718533948942</v>
      </c>
      <c r="G10" s="52">
        <f>G8-G9</f>
        <v>2214.253331974041</v>
      </c>
      <c r="H10" s="52">
        <f>H8-H9</f>
        <v>2417.314734057775</v>
      </c>
      <c r="I10" s="52">
        <f>I8-I9</f>
        <v>2631.7915790325605</v>
      </c>
      <c r="J10" s="52">
        <f>J8-J9</f>
        <v>2859.12653108222</v>
      </c>
      <c r="K10" s="52">
        <f>K8-K9</f>
        <v>3100.8851686382777</v>
      </c>
      <c r="L10" s="52">
        <f>L8-L9</f>
        <v>3358.7734311045488</v>
      </c>
    </row>
    <row r="11">
      <c r="A11" s="14" t="inlineStr">
        <is>
          <t>Reinvestment</t>
        </is>
      </c>
      <c r="C11" s="52">
        <f>(C7-B7)*Assumptions!$E$15</f>
        <v>30.632950000000164</v>
      </c>
      <c r="D11" s="52">
        <f>(D7-C7)*Assumptions!$E$15</f>
        <v>39.49243059000037</v>
      </c>
      <c r="E11" s="52">
        <f>(E7-D7)*Assumptions!$E$15</f>
        <v>48.5719056049802</v>
      </c>
      <c r="F11" s="52">
        <f>(F7-E7)*Assumptions!$E$15</f>
        <v>57.92711120628064</v>
      </c>
      <c r="G11" s="52">
        <f>(G7-F7)*Assumptions!$E$15</f>
        <v>67.61637287198573</v>
      </c>
      <c r="H11" s="52">
        <f>(H7-G7)*Assumptions!$E$15</f>
        <v>77.70120379554646</v>
      </c>
      <c r="I11" s="52">
        <f>(I7-H7)*Assumptions!$E$15</f>
        <v>88.24694557310886</v>
      </c>
      <c r="J11" s="52">
        <f>(J7-I7)*Assumptions!$E$15</f>
        <v>99.32346039958338</v>
      </c>
      <c r="K11" s="52">
        <f>(K7-J7)*Assumptions!$E$15</f>
        <v>111.00588487851019</v>
      </c>
      <c r="L11" s="52">
        <f>(L7-K7)*Assumptions!$E$15</f>
        <v>123.37545662299908</v>
      </c>
    </row>
    <row r="12">
      <c r="A12" s="20" t="inlineStr">
        <is>
          <t>Free cash flow</t>
        </is>
      </c>
      <c r="C12" s="64">
        <f>C10-C11</f>
        <v>1460.1334996559597</v>
      </c>
      <c r="D12" s="64">
        <f>D10-D11</f>
        <v>1621.165139956788</v>
      </c>
      <c r="E12" s="64">
        <f>E10-E11</f>
        <v>1788.5556894677075</v>
      </c>
      <c r="F12" s="64">
        <f>F10-F11</f>
        <v>1963.3447421886135</v>
      </c>
      <c r="G12" s="64">
        <f>G10-G11</f>
        <v>2146.6369591020552</v>
      </c>
      <c r="H12" s="64">
        <f>H10-H11</f>
        <v>2339.6135302622283</v>
      </c>
      <c r="I12" s="64">
        <f>I10-I11</f>
        <v>2543.5446334594517</v>
      </c>
      <c r="J12" s="64">
        <f>J10-J11</f>
        <v>2759.8030706826366</v>
      </c>
      <c r="K12" s="64">
        <f>K10-K11</f>
        <v>2989.8792837597675</v>
      </c>
      <c r="L12" s="64">
        <f>L10-L11</f>
        <v>3235.3979744815497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721.0729384216044</v>
      </c>
      <c r="D16" s="64">
        <f>D12*D13*D15</f>
        <v>1493.6617388421955</v>
      </c>
      <c r="E16" s="64">
        <f>E12*E13*E15</f>
        <v>1518.7899994222141</v>
      </c>
      <c r="F16" s="64">
        <f>F12*F13*F15</f>
        <v>1536.6044524049978</v>
      </c>
      <c r="G16" s="64">
        <f>G12*G13*G15</f>
        <v>1548.4400216823028</v>
      </c>
      <c r="H16" s="64">
        <f>H12*H13*H15</f>
        <v>1555.4289268740526</v>
      </c>
      <c r="I16" s="64">
        <f>I12*I13*I15</f>
        <v>1558.5318140600284</v>
      </c>
      <c r="J16" s="64">
        <f>J12*J13*J15</f>
        <v>1558.564085064927</v>
      </c>
      <c r="K16" s="64">
        <f>K12*K13*K15</f>
        <v>1556.2181876900916</v>
      </c>
      <c r="L16" s="64">
        <f>L12*L13*L15</f>
        <v>1552.0825053099982</v>
      </c>
    </row>
    <row r="19">
      <c r="A19" s="14" t="inlineStr">
        <is>
          <t>PV of forecast free cash flow</t>
        </is>
      </c>
      <c r="B19" s="52">
        <f>SUM(C16:L16)</f>
        <v>14599.394669772413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3316.282923843587</v>
      </c>
    </row>
    <row r="21">
      <c r="A21" s="14" t="inlineStr">
        <is>
          <t>Terminal value</t>
        </is>
      </c>
      <c r="B21" s="52">
        <f>B20/(Assumptions!$E$10-Assumptions!$E$11)</f>
        <v>55271.38206405978</v>
      </c>
    </row>
    <row r="22">
      <c r="A22" s="14" t="inlineStr">
        <is>
          <t>PV of terminal value</t>
        </is>
      </c>
      <c r="B22" s="52">
        <f>B21/(1+Assumptions!$E$10)^(L14+0.5)</f>
        <v>25454.967659082402</v>
      </c>
    </row>
    <row r="23">
      <c r="A23" s="20" t="inlineStr">
        <is>
          <t>Enterprise value</t>
        </is>
      </c>
      <c r="B23" s="66">
        <f>B19+B22</f>
        <v>40054.36232885481</v>
      </c>
    </row>
    <row r="24">
      <c r="A24" s="14" t="inlineStr">
        <is>
          <t>Cash &amp; investments</t>
        </is>
      </c>
      <c r="B24" s="55">
        <f>Main!C7</f>
        <v>3655</v>
      </c>
    </row>
    <row r="25">
      <c r="A25" s="14" t="inlineStr">
        <is>
          <t>Debt</t>
        </is>
      </c>
      <c r="B25" s="55">
        <f>Main!C8</f>
        <v>4500</v>
      </c>
    </row>
    <row r="26">
      <c r="A26" s="20" t="inlineStr">
        <is>
          <t>Equity value</t>
        </is>
      </c>
      <c r="B26" s="66">
        <f>B23+B24-B25</f>
        <v>39209.36232885481</v>
      </c>
    </row>
    <row r="27">
      <c r="A27" s="14" t="inlineStr">
        <is>
          <t>Shares (mm)</t>
        </is>
      </c>
      <c r="B27" s="55">
        <f>Main!C4</f>
        <v>1165.296084</v>
      </c>
    </row>
    <row r="28">
      <c r="A28" s="20" t="inlineStr">
        <is>
          <t>NPV / share</t>
        </is>
      </c>
      <c r="B28" s="49">
        <f>B26/B27</f>
        <v>33.64755349924853</v>
      </c>
    </row>
    <row r="29">
      <c r="A29" s="14" t="inlineStr">
        <is>
          <t>Price</t>
        </is>
      </c>
      <c r="B29" s="50">
        <f>Main!C3</f>
        <v>40.855</v>
      </c>
    </row>
    <row r="30">
      <c r="A30" s="14" t="inlineStr">
        <is>
          <t>Upside</t>
        </is>
      </c>
      <c r="B30" s="63">
        <f>B28/B29-1</f>
        <v>-0.17641528578512955</v>
      </c>
    </row>
    <row r="31">
      <c r="A31" s="14" t="inlineStr">
        <is>
          <t>Terminal value, % of EV</t>
        </is>
      </c>
      <c r="B31" s="63">
        <f>IFERROR(B22/B23,0)</f>
        <v>0.635510495713094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2026-10-21T01:03:40Z</dcterms:modified>
  <cp:lastModifiedBy>Wang, Eric</cp:lastModifiedBy>
</cp:coreProperties>
</file>