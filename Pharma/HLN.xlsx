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Haleon PLC</t>
        </is>
      </c>
      <c r="C2" s="10" t="n"/>
    </row>
    <row r="3">
      <c r="B3" t="inlineStr">
        <is>
          <t>Price</t>
        </is>
      </c>
      <c r="C3" s="11">
        <f>INDEX([1]Pharma!$F$1:$F$1000,MATCH("HLN",[1]Pharma!$B$1:$B$1000,0))</f>
        <v>10.17</v>
      </c>
      <c r="F3" s="1" t="n"/>
    </row>
    <row r="4">
      <c r="B4" t="inlineStr">
        <is>
          <t>Shares</t>
        </is>
      </c>
      <c r="C4" s="51">
        <f>8952.353648/2</f>
        <v>4476.176824</v>
      </c>
      <c r="F4" s="1" t="n"/>
    </row>
    <row r="5">
      <c r="B5" t="inlineStr">
        <is>
          <t>Market Cap.</t>
        </is>
      </c>
      <c r="C5" s="13">
        <f>C3*C4</f>
        <v>45522.71830008</v>
      </c>
      <c r="F5" s="1" t="n"/>
    </row>
    <row r="6"/>
    <row r="7">
      <c r="B7" t="inlineStr">
        <is>
          <t>Cash</t>
        </is>
      </c>
      <c r="C7" s="51">
        <f>(1324)/0.74989</f>
        <v>1765.592286868741</v>
      </c>
    </row>
    <row r="8">
      <c r="B8" t="inlineStr">
        <is>
          <t>Debt</t>
        </is>
      </c>
      <c r="C8" s="51">
        <f>(836+7773)/0.74989</f>
        <v>11480.35045139954</v>
      </c>
    </row>
    <row r="9">
      <c r="B9" t="inlineStr">
        <is>
          <t>Enterprise V.</t>
        </is>
      </c>
      <c r="C9" s="13">
        <f>C5-C7+C8</f>
        <v>55237.476464610794</v>
      </c>
    </row>
    <row r="10"/>
    <row r="11">
      <c r="B11" s="14" t="inlineStr">
        <is>
          <t>NPV / Share</t>
        </is>
      </c>
      <c r="C11" s="11">
        <f>NPV!B28</f>
        <v>5.973576044156449</v>
      </c>
    </row>
    <row r="12">
      <c r="B12" s="14" t="inlineStr">
        <is>
          <t>Upside</t>
        </is>
      </c>
      <c r="C12" s="15">
        <f>IFERROR(C11/C3-1,"")</f>
        <v>-0.41262772427173566</v>
      </c>
    </row>
    <row r="13">
      <c r="B13" s="14" t="inlineStr">
        <is>
          <t>Cash / Share</t>
        </is>
      </c>
      <c r="C13" s="11">
        <f>IFERROR((C7-C8)/C4,"")</f>
        <v>-2.1703249327513157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2020</v>
      </c>
      <c r="C1" s="16" t="n">
        <v>2021</v>
      </c>
      <c r="D1" s="16" t="n">
        <v>2022</v>
      </c>
      <c r="E1" s="16" t="n">
        <v>2023</v>
      </c>
      <c r="F1" s="16" t="n">
        <v>2024</v>
      </c>
      <c r="G1" s="16" t="n">
        <v>2025</v>
      </c>
      <c r="H1" s="16" t="n">
        <v>2026</v>
      </c>
      <c r="I1" s="16" t="n">
        <v>2027</v>
      </c>
      <c r="J1" s="16" t="n">
        <v>2028</v>
      </c>
      <c r="K1" s="16" t="n">
        <v>2029</v>
      </c>
      <c r="L1" s="16" t="n">
        <v>2030</v>
      </c>
      <c r="M1" s="16" t="n">
        <v>2031</v>
      </c>
      <c r="N1" s="16" t="n">
        <v>2032</v>
      </c>
      <c r="O1" s="16" t="n">
        <v>2033</v>
      </c>
      <c r="P1" s="16" t="n">
        <v>2034</v>
      </c>
      <c r="Q1" s="16" t="n">
        <v>2035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13191.268</v>
      </c>
      <c r="C2" s="52" t="n">
        <v>12728.534</v>
      </c>
      <c r="D2" s="52" t="n">
        <v>14479.457</v>
      </c>
      <c r="E2" s="52" t="n">
        <v>15071.544</v>
      </c>
      <c r="F2" s="52" t="n">
        <v>14979.53</v>
      </c>
      <c r="G2" s="52" t="n">
        <v>14708.824</v>
      </c>
      <c r="H2" s="52">
        <f>G2*(1+NPV!C5)</f>
        <v>14442.5942856</v>
      </c>
      <c r="I2" s="52">
        <f>H2*(1+NPV!D5)</f>
        <v>14250.347308331679</v>
      </c>
      <c r="J2" s="52">
        <f>I2*(1+NPV!E5)</f>
        <v>14128.90268182623</v>
      </c>
      <c r="K2" s="52">
        <f>J2*(1+NPV!F5)</f>
        <v>14076.154778480744</v>
      </c>
      <c r="L2" s="52">
        <f>K2*(1+NPV!G5)</f>
        <v>14091.01294185803</v>
      </c>
      <c r="M2" s="52">
        <f>L2*(1+NPV!H5)</f>
        <v>14173.36708416267</v>
      </c>
      <c r="N2" s="52">
        <f>M2*(1+NPV!I5)</f>
        <v>14324.077220824265</v>
      </c>
      <c r="O2" s="52">
        <f>N2*(1+NPV!J5)</f>
        <v>14544.986322852088</v>
      </c>
      <c r="P2" s="52">
        <f>O2*(1+NPV!K5)</f>
        <v>14838.956657532844</v>
      </c>
      <c r="Q2" s="52">
        <f>P2*(1+NPV!L5)</f>
        <v>15209.930573971164</v>
      </c>
    </row>
    <row r="3" customFormat="1" s="1">
      <c r="A3" s="5" t="inlineStr">
        <is>
          <t>Cost of Sales</t>
        </is>
      </c>
      <c r="B3" s="52" t="n">
        <v>5310.112</v>
      </c>
      <c r="C3" s="52" t="n">
        <v>4794.036</v>
      </c>
      <c r="D3" s="52" t="n">
        <v>5708.837</v>
      </c>
      <c r="E3" s="52" t="n">
        <v>6074.224</v>
      </c>
      <c r="F3" s="52" t="n">
        <v>5879.529</v>
      </c>
      <c r="G3" s="52" t="n">
        <v>5267.439</v>
      </c>
      <c r="H3" s="52">
        <f>H2*(1-Assumptions!$B$19)</f>
        <v>5171.89301367336</v>
      </c>
      <c r="I3" s="52">
        <f>I2*(1-Assumptions!$B$19)</f>
        <v>5103.049371113574</v>
      </c>
      <c r="J3" s="52">
        <f>J2*(1-Assumptions!$B$19)</f>
        <v>5059.560050361973</v>
      </c>
      <c r="K3" s="52">
        <f>K2*(1-Assumptions!$B$19)</f>
        <v>5040.6710261739545</v>
      </c>
      <c r="L3" s="52">
        <f>L2*(1-Assumptions!$B$19)</f>
        <v>5045.99173447936</v>
      </c>
      <c r="M3" s="52">
        <f>M2*(1-Assumptions!$B$19)</f>
        <v>5075.482752838651</v>
      </c>
      <c r="N3" s="52">
        <f>N2*(1-Assumptions!$B$19)</f>
        <v>5129.452052777169</v>
      </c>
      <c r="O3" s="52">
        <f>O2*(1-Assumptions!$B$19)</f>
        <v>5208.559602213332</v>
      </c>
      <c r="P3" s="52">
        <f>P2*(1-Assumptions!$B$19)</f>
        <v>5313.830379062511</v>
      </c>
      <c r="Q3" s="52">
        <f>Q2*(1-Assumptions!$B$19)</f>
        <v>5446.676138539074</v>
      </c>
    </row>
    <row r="4" customFormat="1" s="1">
      <c r="A4" s="5" t="inlineStr">
        <is>
          <t>Gross Margin</t>
        </is>
      </c>
      <c r="B4" s="52">
        <f>B2-B3</f>
        <v>7881.156</v>
      </c>
      <c r="C4" s="52">
        <f>C2-C3</f>
        <v>7934.498</v>
      </c>
      <c r="D4" s="52">
        <f>D2-D3</f>
        <v>8770.619999999999</v>
      </c>
      <c r="E4" s="52">
        <f>E2-E3</f>
        <v>8997.32</v>
      </c>
      <c r="F4" s="52">
        <f>F2-F3</f>
        <v>9100.001</v>
      </c>
      <c r="G4" s="52">
        <f>G2-G3</f>
        <v>9441.385</v>
      </c>
      <c r="H4" s="52">
        <f>H2-H3</f>
        <v>9270.70127192664</v>
      </c>
      <c r="I4" s="52">
        <f>I2-I3</f>
        <v>9147.297937218103</v>
      </c>
      <c r="J4" s="52">
        <f>J2-J3</f>
        <v>9069.342631464257</v>
      </c>
      <c r="K4" s="52">
        <f>K2-K3</f>
        <v>9035.48375230679</v>
      </c>
      <c r="L4" s="52">
        <f>L2-L3</f>
        <v>9045.021207378672</v>
      </c>
      <c r="M4" s="52">
        <f>M2-M3</f>
        <v>9097.884331324018</v>
      </c>
      <c r="N4" s="52">
        <f>N2-N3</f>
        <v>9194.625168047096</v>
      </c>
      <c r="O4" s="52">
        <f>O2-O3</f>
        <v>9336.426720638756</v>
      </c>
      <c r="P4" s="52">
        <f>P2-P3</f>
        <v>9525.126278470332</v>
      </c>
      <c r="Q4" s="52">
        <f>Q2-Q3</f>
        <v>9763.254435432089</v>
      </c>
    </row>
    <row r="5">
      <c r="A5" s="2" t="inlineStr">
        <is>
          <t>Research &amp; Dev.</t>
        </is>
      </c>
      <c r="B5" s="52" t="n">
        <v>405.393</v>
      </c>
      <c r="C5" s="52" t="n">
        <v>342.717</v>
      </c>
      <c r="D5" s="52" t="n">
        <v>400.059</v>
      </c>
      <c r="E5" s="52" t="n">
        <v>414.727</v>
      </c>
      <c r="F5" s="52" t="n">
        <v>397.392</v>
      </c>
      <c r="G5" s="52" t="n">
        <v>421.395</v>
      </c>
      <c r="H5" s="52">
        <f>H7*Assumptions!$B$20</f>
        <v>414.88466481189414</v>
      </c>
      <c r="I5" s="52">
        <f>I7*Assumptions!$B$20</f>
        <v>410.4426072745937</v>
      </c>
      <c r="J5" s="52">
        <f>J7*Assumptions!$B$20</f>
        <v>408.0160340828782</v>
      </c>
      <c r="K5" s="52">
        <f>K7*Assumptions!$B$20</f>
        <v>407.56008458222567</v>
      </c>
      <c r="L5" s="52">
        <f>L7*Assumptions!$B$20</f>
        <v>409.0587238590327</v>
      </c>
      <c r="M5" s="52">
        <f>M7*Assumptions!$B$20</f>
        <v>412.5241262309316</v>
      </c>
      <c r="N5" s="52">
        <f>N7*Assumptions!$B$20</f>
        <v>417.99674160437894</v>
      </c>
      <c r="O5" s="52">
        <f>O7*Assumptions!$B$20</f>
        <v>425.54603928451047</v>
      </c>
      <c r="P5" s="52">
        <f>P7*Assumptions!$B$20</f>
        <v>435.27194661698366</v>
      </c>
      <c r="Q5" s="52">
        <f>Q7*Assumptions!$B$20</f>
        <v>447.307023058249</v>
      </c>
    </row>
    <row r="6">
      <c r="A6" s="18" t="inlineStr">
        <is>
          <t>SG&amp;A &amp; Other</t>
        </is>
      </c>
      <c r="B6" s="52" t="n">
        <v>5344.784</v>
      </c>
      <c r="C6" s="52" t="n">
        <v>5407.46</v>
      </c>
      <c r="D6" s="52" t="n">
        <v>5936.871</v>
      </c>
      <c r="E6" s="52" t="n">
        <v>5920.868</v>
      </c>
      <c r="F6" s="52" t="n">
        <v>5760.845</v>
      </c>
      <c r="G6" s="52" t="n">
        <v>5803.518</v>
      </c>
      <c r="H6" s="52">
        <f>H7-H5</f>
        <v>5713.396942453898</v>
      </c>
      <c r="I6" s="52">
        <f>I7-I5</f>
        <v>5652.225151582034</v>
      </c>
      <c r="J6" s="52">
        <f>J7-J5</f>
        <v>5618.808693876918</v>
      </c>
      <c r="K6" s="52">
        <f>K7-K5</f>
        <v>5612.52979107842</v>
      </c>
      <c r="L6" s="52">
        <f>L7-L5</f>
        <v>5633.167625609693</v>
      </c>
      <c r="M6" s="52">
        <f>M7-M5</f>
        <v>5680.8898505922825</v>
      </c>
      <c r="N6" s="52">
        <f>N7-N5</f>
        <v>5756.253503659712</v>
      </c>
      <c r="O6" s="52">
        <f>O7-O5</f>
        <v>5860.215249999248</v>
      </c>
      <c r="P6" s="52">
        <f>P7-P5</f>
        <v>5994.151193958846</v>
      </c>
      <c r="Q6" s="52">
        <f>Q7-Q5</f>
        <v>6159.886818274824</v>
      </c>
    </row>
    <row r="7">
      <c r="A7" s="2" t="inlineStr">
        <is>
          <t>Operating Expense</t>
        </is>
      </c>
      <c r="B7" s="52">
        <f>SUM(B5:B6)</f>
        <v>5750.177</v>
      </c>
      <c r="C7" s="52">
        <f>SUM(C5:C6)</f>
        <v>5750.177</v>
      </c>
      <c r="D7" s="52">
        <f>SUM(D5:D6)</f>
        <v>6336.93</v>
      </c>
      <c r="E7" s="52">
        <f>SUM(E5:E6)</f>
        <v>6335.595</v>
      </c>
      <c r="F7" s="52">
        <f>SUM(F5:F6)</f>
        <v>6158.237</v>
      </c>
      <c r="G7" s="52">
        <f>SUM(G5:G6)</f>
        <v>6224.9130000000005</v>
      </c>
      <c r="H7" s="52">
        <f>H4-H2*NPV!C6</f>
        <v>6128.281607265792</v>
      </c>
      <c r="I7" s="52">
        <f>I4-I2*NPV!D6</f>
        <v>6062.667758856628</v>
      </c>
      <c r="J7" s="52">
        <f>J4-J2*NPV!E6</f>
        <v>6026.824727959796</v>
      </c>
      <c r="K7" s="52">
        <f>K4-K2*NPV!F6</f>
        <v>6020.089875660646</v>
      </c>
      <c r="L7" s="52">
        <f>L4-L2*NPV!G6</f>
        <v>6042.226349468725</v>
      </c>
      <c r="M7" s="52">
        <f>M4-M2*NPV!H6</f>
        <v>6093.413976823214</v>
      </c>
      <c r="N7" s="52">
        <f>N4-N2*NPV!I6</f>
        <v>6174.250245264091</v>
      </c>
      <c r="O7" s="52">
        <f>O4-O2*NPV!J6</f>
        <v>6285.761289283759</v>
      </c>
      <c r="P7" s="52">
        <f>P4-P2*NPV!K6</f>
        <v>6429.42314057583</v>
      </c>
      <c r="Q7" s="52">
        <f>Q4-Q2*NPV!L6</f>
        <v>6607.193841333073</v>
      </c>
    </row>
    <row r="8">
      <c r="A8" s="2" t="inlineStr">
        <is>
          <t>Operating Income</t>
        </is>
      </c>
      <c r="B8" s="52">
        <f>B4-B7</f>
        <v>2130.9790000000003</v>
      </c>
      <c r="C8" s="52">
        <f>C4-C7</f>
        <v>2184.321</v>
      </c>
      <c r="D8" s="52">
        <f>D4-D7</f>
        <v>2433.6899999999987</v>
      </c>
      <c r="E8" s="52">
        <f>E4-E7</f>
        <v>2661.7249999999995</v>
      </c>
      <c r="F8" s="52">
        <f>F4-F7</f>
        <v>2941.764</v>
      </c>
      <c r="G8" s="52">
        <f>G4-G7</f>
        <v>3216.4719999999998</v>
      </c>
      <c r="H8" s="52">
        <f>H4-H7</f>
        <v>3142.419664660848</v>
      </c>
      <c r="I8" s="52">
        <f>I4-I7</f>
        <v>3084.6301783614754</v>
      </c>
      <c r="J8" s="52">
        <f>J4-J7</f>
        <v>3042.5179035044603</v>
      </c>
      <c r="K8" s="52">
        <f>K4-K7</f>
        <v>3015.393876646145</v>
      </c>
      <c r="L8" s="52">
        <f>L4-L7</f>
        <v>3002.7948579099466</v>
      </c>
      <c r="M8" s="52">
        <f>M4-M7</f>
        <v>3004.4703545008033</v>
      </c>
      <c r="N8" s="52">
        <f>N4-N7</f>
        <v>3020.374922783005</v>
      </c>
      <c r="O8" s="52">
        <f>O4-O7</f>
        <v>3050.665431354997</v>
      </c>
      <c r="P8" s="52">
        <f>P4-P7</f>
        <v>3095.703137894502</v>
      </c>
      <c r="Q8" s="52">
        <f>Q4-Q7</f>
        <v>3156.0605940990163</v>
      </c>
    </row>
    <row r="9">
      <c r="A9" s="18" t="inlineStr">
        <is>
          <t>Interest &amp; Other</t>
        </is>
      </c>
      <c r="B9" s="52" t="n">
        <v>-57.342</v>
      </c>
      <c r="C9" s="52" t="n">
        <v>-68.01000000000001</v>
      </c>
      <c r="D9" s="52" t="n">
        <v>-354.719</v>
      </c>
      <c r="E9" s="52" t="n">
        <v>-573.417</v>
      </c>
      <c r="F9" s="52" t="n">
        <v>-438.731</v>
      </c>
      <c r="G9" s="52" t="n">
        <v>-364.053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</row>
    <row r="10">
      <c r="A10" s="2" t="inlineStr">
        <is>
          <t>Pretax</t>
        </is>
      </c>
      <c r="B10" s="52">
        <f>B8+B9</f>
        <v>2073.637</v>
      </c>
      <c r="C10" s="52">
        <f>C8+C9</f>
        <v>2116.3109999999997</v>
      </c>
      <c r="D10" s="52">
        <f>D8+D9</f>
        <v>2078.9709999999986</v>
      </c>
      <c r="E10" s="52">
        <f>E8+E9</f>
        <v>2088.3079999999995</v>
      </c>
      <c r="F10" s="52">
        <f>F8+F9</f>
        <v>2503.0330000000004</v>
      </c>
      <c r="G10" s="52">
        <f>G8+G9</f>
        <v>2852.419</v>
      </c>
      <c r="H10" s="52">
        <f>H8+H9</f>
        <v>3142.419664660848</v>
      </c>
      <c r="I10" s="52">
        <f>I8+I9</f>
        <v>3084.6301783614754</v>
      </c>
      <c r="J10" s="52">
        <f>J8+J9</f>
        <v>3042.5179035044603</v>
      </c>
      <c r="K10" s="52">
        <f>K8+K9</f>
        <v>3015.393876646145</v>
      </c>
      <c r="L10" s="52">
        <f>L8+L9</f>
        <v>3002.7948579099466</v>
      </c>
      <c r="M10" s="52">
        <f>M8+M9</f>
        <v>3004.4703545008033</v>
      </c>
      <c r="N10" s="52">
        <f>N8+N9</f>
        <v>3020.374922783005</v>
      </c>
      <c r="O10" s="52">
        <f>O8+O9</f>
        <v>3050.665431354997</v>
      </c>
      <c r="P10" s="52">
        <f>P8+P9</f>
        <v>3095.703137894502</v>
      </c>
      <c r="Q10" s="52">
        <f>Q8+Q9</f>
        <v>3156.0605940990163</v>
      </c>
    </row>
    <row r="11">
      <c r="A11" s="2" t="inlineStr">
        <is>
          <t>Taxes</t>
        </is>
      </c>
      <c r="B11" s="52" t="n">
        <v>546.747</v>
      </c>
      <c r="C11" s="52" t="n">
        <v>262.705</v>
      </c>
      <c r="D11" s="52" t="n">
        <v>665.431</v>
      </c>
      <c r="E11" s="52" t="n">
        <v>689.434</v>
      </c>
      <c r="F11" s="52" t="n">
        <v>580.085</v>
      </c>
      <c r="G11" s="52" t="n">
        <v>629.426</v>
      </c>
      <c r="H11" s="52">
        <f>MAX(0,H10)*Assumptions!$E$14</f>
        <v>534.2113429923442</v>
      </c>
      <c r="I11" s="52">
        <f>MAX(0,I10)*Assumptions!$E$14</f>
        <v>524.3871303214509</v>
      </c>
      <c r="J11" s="52">
        <f>MAX(0,J10)*Assumptions!$E$14</f>
        <v>517.2280435957583</v>
      </c>
      <c r="K11" s="52">
        <f>MAX(0,K10)*Assumptions!$E$14</f>
        <v>512.6169590298447</v>
      </c>
      <c r="L11" s="52">
        <f>MAX(0,L10)*Assumptions!$E$14</f>
        <v>510.475125844691</v>
      </c>
      <c r="M11" s="52">
        <f>MAX(0,M10)*Assumptions!$E$14</f>
        <v>510.7599602651366</v>
      </c>
      <c r="N11" s="52">
        <f>MAX(0,N10)*Assumptions!$E$14</f>
        <v>513.4637368731109</v>
      </c>
      <c r="O11" s="52">
        <f>MAX(0,O10)*Assumptions!$E$14</f>
        <v>518.6131233303495</v>
      </c>
      <c r="P11" s="52">
        <f>MAX(0,P10)*Assumptions!$E$14</f>
        <v>526.2695334420654</v>
      </c>
      <c r="Q11" s="52">
        <f>MAX(0,Q10)*Assumptions!$E$14</f>
        <v>536.5303009968328</v>
      </c>
    </row>
    <row r="12">
      <c r="A12" s="2" t="inlineStr">
        <is>
          <t>Net Income</t>
        </is>
      </c>
      <c r="B12" s="52" t="n">
        <v>1526.891</v>
      </c>
      <c r="C12" s="52" t="n">
        <v>1853.605</v>
      </c>
      <c r="D12" s="52" t="n">
        <v>1413.541</v>
      </c>
      <c r="E12" s="52" t="n">
        <v>1398.872</v>
      </c>
      <c r="F12" s="52" t="n">
        <v>1922.949</v>
      </c>
      <c r="G12" s="52" t="n">
        <v>2222.993</v>
      </c>
      <c r="H12" s="52">
        <f>H10-H11</f>
        <v>2608.2083216685037</v>
      </c>
      <c r="I12" s="52">
        <f>I10-I11</f>
        <v>2560.2430480400244</v>
      </c>
      <c r="J12" s="52">
        <f>J10-J11</f>
        <v>2525.289859908702</v>
      </c>
      <c r="K12" s="52">
        <f>K10-K11</f>
        <v>2502.7769176163006</v>
      </c>
      <c r="L12" s="52">
        <f>L10-L11</f>
        <v>2492.3197320652557</v>
      </c>
      <c r="M12" s="52">
        <f>M10-M11</f>
        <v>2493.7103942356666</v>
      </c>
      <c r="N12" s="52">
        <f>N10-N11</f>
        <v>2506.911185909894</v>
      </c>
      <c r="O12" s="52">
        <f>O10-O11</f>
        <v>2532.0523080246476</v>
      </c>
      <c r="P12" s="52">
        <f>P10-P11</f>
        <v>2569.4336044524366</v>
      </c>
      <c r="Q12" s="52">
        <f>Q10-Q11</f>
        <v>2619.5302931021834</v>
      </c>
    </row>
    <row r="13">
      <c r="A13" s="2" t="inlineStr">
        <is>
          <t>Earnings per Share</t>
        </is>
      </c>
      <c r="B13" s="11">
        <f>IFERROR(B12/B14,0)</f>
        <v>0.16533741201949106</v>
      </c>
      <c r="C13" s="11">
        <f>IFERROR(C12/C14,0)</f>
        <v>0.20071521386031402</v>
      </c>
      <c r="D13" s="11">
        <f>IFERROR(D12/D14,0)</f>
        <v>0.15299718584262365</v>
      </c>
      <c r="E13" s="11">
        <f>IFERROR(E12/E14,0)</f>
        <v>0.15101716506531362</v>
      </c>
      <c r="F13" s="11">
        <f>IFERROR(F12/F14,0)</f>
        <v>0.2095857220708447</v>
      </c>
      <c r="G13" s="11">
        <f>IFERROR(G12/G14,0)</f>
        <v>0.24628772435187235</v>
      </c>
      <c r="H13" s="11">
        <f>IFERROR(H12/H14,0)</f>
        <v>0.5826866149889398</v>
      </c>
      <c r="I13" s="11">
        <f>IFERROR(I12/I14,0)</f>
        <v>0.5719709360704255</v>
      </c>
      <c r="J13" s="11">
        <f>IFERROR(J12/J14,0)</f>
        <v>0.5641622212886696</v>
      </c>
      <c r="K13" s="11">
        <f>IFERROR(K12/K14,0)</f>
        <v>0.5591327188410241</v>
      </c>
      <c r="L13" s="11">
        <f>IFERROR(L12/L14,0)</f>
        <v>0.5567965319649882</v>
      </c>
      <c r="M13" s="11">
        <f>IFERROR(M12/M14,0)</f>
        <v>0.5571072127591327</v>
      </c>
      <c r="N13" s="11">
        <f>IFERROR(N12/N14,0)</f>
        <v>0.5600563347874333</v>
      </c>
      <c r="O13" s="11">
        <f>IFERROR(O12/O14,0)</f>
        <v>0.5656729855819135</v>
      </c>
      <c r="P13" s="11">
        <f>IFERROR(P12/P14,0)</f>
        <v>0.5740241517439295</v>
      </c>
      <c r="Q13" s="11">
        <f>IFERROR(Q12/Q14,0)</f>
        <v>0.5852159993003403</v>
      </c>
    </row>
    <row r="14">
      <c r="A14" s="2" t="inlineStr">
        <is>
          <t>Shares</t>
        </is>
      </c>
      <c r="B14" s="52" t="n">
        <v>9235</v>
      </c>
      <c r="C14" s="52" t="n">
        <v>9235</v>
      </c>
      <c r="D14" s="52" t="n">
        <v>9239</v>
      </c>
      <c r="E14" s="52" t="n">
        <v>9263</v>
      </c>
      <c r="F14" s="52" t="n">
        <v>9175</v>
      </c>
      <c r="G14" s="52" t="n">
        <v>9026</v>
      </c>
      <c r="H14" s="52">
        <f>Main!$C$4</f>
        <v>4476.176824</v>
      </c>
      <c r="I14" s="52">
        <f>Main!$C$4</f>
        <v>4476.176824</v>
      </c>
      <c r="J14" s="52">
        <f>Main!$C$4</f>
        <v>4476.176824</v>
      </c>
      <c r="K14" s="52">
        <f>Main!$C$4</f>
        <v>4476.176824</v>
      </c>
      <c r="L14" s="52">
        <f>Main!$C$4</f>
        <v>4476.176824</v>
      </c>
      <c r="M14" s="52">
        <f>Main!$C$4</f>
        <v>4476.176824</v>
      </c>
      <c r="N14" s="52">
        <f>Main!$C$4</f>
        <v>4476.176824</v>
      </c>
      <c r="O14" s="52">
        <f>Main!$C$4</f>
        <v>4476.176824</v>
      </c>
      <c r="P14" s="52">
        <f>Main!$C$4</f>
        <v>4476.176824</v>
      </c>
      <c r="Q14" s="52">
        <f>Main!$C$4</f>
        <v>4476.176824</v>
      </c>
    </row>
    <row r="15"/>
    <row r="16" customFormat="1" s="4">
      <c r="A16" s="3" t="inlineStr">
        <is>
          <t>Revenue Change</t>
        </is>
      </c>
      <c r="C16" s="15">
        <f>IFERROR(C2/B2-1,"")</f>
        <v>-0.03507881122572909</v>
      </c>
      <c r="D16" s="15">
        <f>IFERROR(D2/C2-1,"")</f>
        <v>0.1375588893426376</v>
      </c>
      <c r="E16" s="15">
        <f>IFERROR(E2/D2-1,"")</f>
        <v>0.04089151961983095</v>
      </c>
      <c r="F16" s="15">
        <f>IFERROR(F2/E2-1,"")</f>
        <v>-0.006105147554888779</v>
      </c>
      <c r="G16" s="15">
        <f>IFERROR(G2/F2-1,"")</f>
        <v>-0.018071728552230937</v>
      </c>
      <c r="H16" s="15">
        <f>IFERROR(H2/G2-1,"")</f>
        <v>-0.018100000000000005</v>
      </c>
      <c r="I16" s="15">
        <f>IFERROR(I2/H2-1,"")</f>
        <v>-0.013311111111111273</v>
      </c>
      <c r="J16" s="15">
        <f>IFERROR(J2/I2-1,"")</f>
        <v>-0.008522222222222209</v>
      </c>
      <c r="K16" s="15">
        <f>IFERROR(K2/J2-1,"")</f>
        <v>-0.0037333333333333663</v>
      </c>
      <c r="L16" s="15">
        <f>IFERROR(L2/K2-1,"")</f>
        <v>0.0010555555555555873</v>
      </c>
      <c r="M16" s="15">
        <f>IFERROR(M2/L2-1,"")</f>
        <v>0.005844444444444541</v>
      </c>
      <c r="N16" s="15">
        <f>IFERROR(N2/M2-1,"")</f>
        <v>0.010633333333333272</v>
      </c>
      <c r="O16" s="15">
        <f>IFERROR(O2/N2-1,"")</f>
        <v>0.015422222222222226</v>
      </c>
      <c r="P16" s="15">
        <f>IFERROR(P2/O2-1,"")</f>
        <v>0.02021111111111118</v>
      </c>
      <c r="Q16" s="15">
        <f>IFERROR(Q2/P2-1,"")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0.5974524966060882</v>
      </c>
      <c r="C17" s="15">
        <f>IFERROR(C4/C2,"")</f>
        <v>0.623363067577146</v>
      </c>
      <c r="D17" s="15">
        <f>IFERROR(D4/D2,"")</f>
        <v>0.6057285159243194</v>
      </c>
      <c r="E17" s="15">
        <f>IFERROR(E4/E2,"")</f>
        <v>0.596974006113773</v>
      </c>
      <c r="F17" s="15">
        <f>IFERROR(F4/F2,"")</f>
        <v>0.6074957625506274</v>
      </c>
      <c r="G17" s="15">
        <f>IFERROR(G4/G2,"")</f>
        <v>0.6418857823031944</v>
      </c>
      <c r="H17" s="15">
        <f>IFERROR(H4/H2,"")</f>
        <v>0.6419</v>
      </c>
      <c r="I17" s="15">
        <f>IFERROR(I4/I2,"")</f>
        <v>0.6418999999999999</v>
      </c>
      <c r="J17" s="15">
        <f>IFERROR(J4/J2,"")</f>
        <v>0.6418999999999999</v>
      </c>
      <c r="K17" s="15">
        <f>IFERROR(K4/K2,"")</f>
        <v>0.6419</v>
      </c>
      <c r="L17" s="15">
        <f>IFERROR(L4/L2,"")</f>
        <v>0.6419000000000001</v>
      </c>
      <c r="M17" s="15">
        <f>IFERROR(M4/M2,"")</f>
        <v>0.6419</v>
      </c>
      <c r="N17" s="15">
        <f>IFERROR(N4/N2,"")</f>
        <v>0.6419</v>
      </c>
      <c r="O17" s="15">
        <f>IFERROR(O4/O2,"")</f>
        <v>0.6419</v>
      </c>
      <c r="P17" s="15">
        <f>IFERROR(P4/P2,"")</f>
        <v>0.6418999999999999</v>
      </c>
      <c r="Q17" s="15">
        <f>IFERROR(Q4/Q2,"")</f>
        <v>0.6418999999999999</v>
      </c>
    </row>
    <row r="18">
      <c r="A18" s="14" t="inlineStr">
        <is>
          <t>Operating Margin</t>
        </is>
      </c>
      <c r="B18" s="15">
        <f>IFERROR(B8/B2,"")</f>
        <v>0.16154466727535216</v>
      </c>
      <c r="C18" s="15">
        <f>IFERROR(C8/C2,"")</f>
        <v>0.17160821505445953</v>
      </c>
      <c r="D18" s="15">
        <f>IFERROR(D8/D2,"")</f>
        <v>0.16807881676778338</v>
      </c>
      <c r="E18" s="15">
        <f>IFERROR(E8/E2,"")</f>
        <v>0.17660599338727337</v>
      </c>
      <c r="F18" s="15">
        <f>IFERROR(F8/F2,"")</f>
        <v>0.19638560088333878</v>
      </c>
      <c r="G18" s="15">
        <f>IFERROR(G8/G2,"")</f>
        <v>0.21867635373161035</v>
      </c>
      <c r="H18" s="15">
        <f>IFERROR(H8/H2,"")</f>
        <v>0.21758</v>
      </c>
      <c r="I18" s="15">
        <f>IFERROR(I8/I2,"")</f>
        <v>0.21646</v>
      </c>
      <c r="J18" s="15">
        <f>IFERROR(J8/J2,"")</f>
        <v>0.21534</v>
      </c>
      <c r="K18" s="15">
        <f>IFERROR(K8/K2,"")</f>
        <v>0.21422</v>
      </c>
      <c r="L18" s="15">
        <f>IFERROR(L8/L2,"")</f>
        <v>0.2131</v>
      </c>
      <c r="M18" s="15">
        <f>IFERROR(M8/M2,"")</f>
        <v>0.21198000000000003</v>
      </c>
      <c r="N18" s="15">
        <f>IFERROR(N8/N2,"")</f>
        <v>0.21086000000000002</v>
      </c>
      <c r="O18" s="15">
        <f>IFERROR(O8/O2,"")</f>
        <v>0.20974</v>
      </c>
      <c r="P18" s="15">
        <f>IFERROR(P8/P2,"")</f>
        <v>0.20862</v>
      </c>
      <c r="Q18" s="15">
        <f>IFERROR(Q8/Q2,"")</f>
        <v>0.2075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E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Haleon PLC: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0.095</v>
      </c>
      <c r="C10" s="53" t="n">
        <v>0.08500000000000001</v>
      </c>
      <c r="D10" s="53" t="n">
        <v>0.075</v>
      </c>
      <c r="E10" s="54">
        <f>IF(ISNUMBER($B$6),$B$6,CHOOSE($B$4,B10,C10,D10))</f>
        <v>0.085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-0.06809999999999999</v>
      </c>
      <c r="C12" s="53" t="n">
        <v>-0.0181</v>
      </c>
      <c r="D12" s="53" t="n">
        <v>0.0319</v>
      </c>
      <c r="E12" s="54">
        <f>CHOOSE($B$4,B12,C12,D12)</f>
        <v>-0.0181</v>
      </c>
    </row>
    <row r="13">
      <c r="A13" s="14" t="inlineStr">
        <is>
          <t>Operating margin, year 10</t>
        </is>
      </c>
      <c r="B13" s="53" t="n">
        <v>0.1575</v>
      </c>
      <c r="C13" s="53" t="n">
        <v>0.2075</v>
      </c>
      <c r="D13" s="53" t="n">
        <v>0.2575</v>
      </c>
      <c r="E13" s="54">
        <f>CHOOSE($B$4,B13,C13,D13)</f>
        <v>0.2075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0.2187</v>
      </c>
    </row>
    <row r="19">
      <c r="A19" s="14" t="inlineStr">
        <is>
          <t>Gross margin (forecast)</t>
        </is>
      </c>
      <c r="B19" s="53" t="n">
        <v>0.6419</v>
      </c>
    </row>
    <row r="20">
      <c r="A20" s="14" t="inlineStr">
        <is>
          <t>R&amp;D share of operating expense (forecast)</t>
        </is>
      </c>
      <c r="B20" s="53" t="n">
        <v>0.0677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(GBP)</t>
        </is>
      </c>
      <c r="B24" s="32" t="n">
        <v>0.7498899999999999</v>
      </c>
    </row>
    <row r="25">
      <c r="A25" s="14" t="inlineStr">
        <is>
          <t>Base revenue, FY2025</t>
        </is>
      </c>
      <c r="B25" s="55">
        <f>'Yearly Model'!G2</f>
        <v>14708.824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36453.540809785496</v>
      </c>
      <c r="C29" s="56">
        <f>NPV!B26</f>
        <v>26738.782645254698</v>
      </c>
      <c r="D29" s="35">
        <f>NPV!B28</f>
        <v>5.973576044156449</v>
      </c>
      <c r="E29" s="57">
        <f>NPV!B30</f>
        <v>-0.41262772427173566</v>
      </c>
    </row>
    <row r="30">
      <c r="A30" s="58" t="n">
        <v>1</v>
      </c>
      <c r="B30" s="59">
        <f t="dataTable" ref="B30:E32" r1="B4"/>
        <v>21133.251954968222</v>
      </c>
      <c r="C30" s="59">
        <v>11418.493790437424</v>
      </c>
      <c r="D30" s="39">
        <v>2.550947882401489</v>
      </c>
      <c r="E30" s="60">
        <v>-0.7491693330971987</v>
      </c>
    </row>
    <row r="31">
      <c r="A31" s="58" t="n">
        <v>2</v>
      </c>
      <c r="B31" s="59">
        <v>36453.540809785496</v>
      </c>
      <c r="C31" s="59">
        <v>26738.782645254698</v>
      </c>
      <c r="D31" s="39">
        <v>5.973576044156449</v>
      </c>
      <c r="E31" s="60">
        <v>-0.41262772427173566</v>
      </c>
    </row>
    <row r="32">
      <c r="A32" s="58" t="n">
        <v>3</v>
      </c>
      <c r="B32" s="59">
        <v>69039.22499557384</v>
      </c>
      <c r="C32" s="59">
        <v>59324.46683104303</v>
      </c>
      <c r="D32" s="39">
        <v>13.253378756835954</v>
      </c>
      <c r="E32" s="60">
        <v>0.30318375190127367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5.973576044156449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0.065</v>
      </c>
      <c r="B37" s="39">
        <f t="dataTable" ref="B37:F41" dt2D="1" r1="B7" r2="B6"/>
        <v>7.891169559660611</v>
      </c>
      <c r="C37" s="39">
        <v>8.714066041221498</v>
      </c>
      <c r="D37" s="39">
        <v>9.741295732632524</v>
      </c>
      <c r="E37" s="39">
        <v>11.060415680499725</v>
      </c>
      <c r="F37" s="39">
        <v>12.817354153206242</v>
      </c>
    </row>
    <row r="38">
      <c r="A38" s="62" t="n">
        <v>0.075</v>
      </c>
      <c r="B38" s="39">
        <v>6.3044230126001946</v>
      </c>
      <c r="C38" s="39">
        <v>6.839764369766713</v>
      </c>
      <c r="D38" s="39">
        <v>7.481117558615936</v>
      </c>
      <c r="E38" s="39">
        <v>8.263809319753864</v>
      </c>
      <c r="F38" s="39">
        <v>9.240829663329444</v>
      </c>
    </row>
    <row r="39">
      <c r="A39" s="62" t="n">
        <v>0.08500000000000001</v>
      </c>
      <c r="B39" s="39">
        <v>5.1708056896407655</v>
      </c>
      <c r="C39" s="39">
        <v>5.541700866054251</v>
      </c>
      <c r="D39" s="39">
        <v>5.973576044156449</v>
      </c>
      <c r="E39" s="39">
        <v>6.4830539848396755</v>
      </c>
      <c r="F39" s="39">
        <v>7.093406477437533</v>
      </c>
    </row>
    <row r="40">
      <c r="A40" s="62" t="n">
        <v>0.095</v>
      </c>
      <c r="B40" s="39">
        <v>4.320202709995497</v>
      </c>
      <c r="C40" s="39">
        <v>4.589184276569711</v>
      </c>
      <c r="D40" s="39">
        <v>4.895911498309928</v>
      </c>
      <c r="E40" s="39">
        <v>5.249088394728449</v>
      </c>
      <c r="F40" s="39">
        <v>5.6603202656018246</v>
      </c>
    </row>
    <row r="41">
      <c r="A41" s="62" t="n">
        <v>0.105</v>
      </c>
      <c r="B41" s="39">
        <v>3.6581400468654004</v>
      </c>
      <c r="C41" s="39">
        <v>3.860120118228507</v>
      </c>
      <c r="D41" s="39">
        <v>4.086782441091365</v>
      </c>
      <c r="E41" s="39">
        <v>4.343058129091383</v>
      </c>
      <c r="F41" s="39">
        <v>4.63528713739589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Haleon PLC: free-cash-flow DCF ($mm)</t>
        </is>
      </c>
    </row>
    <row r="3">
      <c r="A3" s="20" t="inlineStr">
        <is>
          <t>Fiscal year</t>
        </is>
      </c>
      <c r="B3" s="43">
        <f>'Yearly Model'!G1</f>
        <v>2025</v>
      </c>
      <c r="C3" s="43">
        <f>'Yearly Model'!H1</f>
        <v>2026</v>
      </c>
      <c r="D3" s="43">
        <f>'Yearly Model'!I1</f>
        <v>2027</v>
      </c>
      <c r="E3" s="43">
        <f>'Yearly Model'!J1</f>
        <v>2028</v>
      </c>
      <c r="F3" s="43">
        <f>'Yearly Model'!K1</f>
        <v>2029</v>
      </c>
      <c r="G3" s="43">
        <f>'Yearly Model'!L1</f>
        <v>2030</v>
      </c>
      <c r="H3" s="43">
        <f>'Yearly Model'!M1</f>
        <v>2031</v>
      </c>
      <c r="I3" s="43">
        <f>'Yearly Model'!N1</f>
        <v>2032</v>
      </c>
      <c r="J3" s="43">
        <f>'Yearly Model'!O1</f>
        <v>2033</v>
      </c>
      <c r="K3" s="43">
        <f>'Yearly Model'!P1</f>
        <v>2034</v>
      </c>
      <c r="L3" s="43">
        <f>'Yearly Model'!Q1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-0.0181</v>
      </c>
      <c r="D5" s="63">
        <f>Assumptions!$E$12+(Assumptions!$E$11-Assumptions!$E$12)*(D4-1)/(Assumptions!$B$21-1)</f>
        <v>-0.013311111111111114</v>
      </c>
      <c r="E5" s="63">
        <f>Assumptions!$E$12+(Assumptions!$E$11-Assumptions!$E$12)*(E4-1)/(Assumptions!$B$21-1)</f>
        <v>-0.008522222222222224</v>
      </c>
      <c r="F5" s="63">
        <f>Assumptions!$E$12+(Assumptions!$E$11-Assumptions!$E$12)*(F4-1)/(Assumptions!$B$21-1)</f>
        <v>-0.003733333333333335</v>
      </c>
      <c r="G5" s="63">
        <f>Assumptions!$E$12+(Assumptions!$E$11-Assumptions!$E$12)*(G4-1)/(Assumptions!$B$21-1)</f>
        <v>0.0010555555555555526</v>
      </c>
      <c r="H5" s="63">
        <f>Assumptions!$E$12+(Assumptions!$E$11-Assumptions!$E$12)*(H4-1)/(Assumptions!$B$21-1)</f>
        <v>0.005844444444444444</v>
      </c>
      <c r="I5" s="63">
        <f>Assumptions!$E$12+(Assumptions!$E$11-Assumptions!$E$12)*(I4-1)/(Assumptions!$B$21-1)</f>
        <v>0.010633333333333331</v>
      </c>
      <c r="J5" s="63">
        <f>Assumptions!$E$12+(Assumptions!$E$11-Assumptions!$E$12)*(J4-1)/(Assumptions!$B$21-1)</f>
        <v>0.015422222222222216</v>
      </c>
      <c r="K5" s="63">
        <f>Assumptions!$E$12+(Assumptions!$E$11-Assumptions!$E$12)*(K4-1)/(Assumptions!$B$21-1)</f>
        <v>0.020211111111111107</v>
      </c>
      <c r="L5" s="63">
        <f>Assumptions!$E$12+(Assumptions!$E$11-Assumptions!$E$12)*(L4-1)/(Assumptions!$B$21-1)</f>
        <v>0.024999999999999998</v>
      </c>
    </row>
    <row r="6">
      <c r="A6" s="14" t="inlineStr">
        <is>
          <t>Operating margin</t>
        </is>
      </c>
      <c r="B6" s="63">
        <f>IFERROR(B8/B7,0)</f>
        <v>0.21867635373161035</v>
      </c>
      <c r="C6" s="63">
        <f>Assumptions!$B$18+(Assumptions!$E$13-Assumptions!$B$18)*C4/Assumptions!$B$21</f>
        <v>0.21758</v>
      </c>
      <c r="D6" s="63">
        <f>Assumptions!$B$18+(Assumptions!$E$13-Assumptions!$B$18)*D4/Assumptions!$B$21</f>
        <v>0.21646</v>
      </c>
      <c r="E6" s="63">
        <f>Assumptions!$B$18+(Assumptions!$E$13-Assumptions!$B$18)*E4/Assumptions!$B$21</f>
        <v>0.21534</v>
      </c>
      <c r="F6" s="63">
        <f>Assumptions!$B$18+(Assumptions!$E$13-Assumptions!$B$18)*F4/Assumptions!$B$21</f>
        <v>0.21422</v>
      </c>
      <c r="G6" s="63">
        <f>Assumptions!$B$18+(Assumptions!$E$13-Assumptions!$B$18)*G4/Assumptions!$B$21</f>
        <v>0.2131</v>
      </c>
      <c r="H6" s="63">
        <f>Assumptions!$B$18+(Assumptions!$E$13-Assumptions!$B$18)*H4/Assumptions!$B$21</f>
        <v>0.21198</v>
      </c>
      <c r="I6" s="63">
        <f>Assumptions!$B$18+(Assumptions!$E$13-Assumptions!$B$18)*I4/Assumptions!$B$21</f>
        <v>0.21086</v>
      </c>
      <c r="J6" s="63">
        <f>Assumptions!$B$18+(Assumptions!$E$13-Assumptions!$B$18)*J4/Assumptions!$B$21</f>
        <v>0.20973999999999998</v>
      </c>
      <c r="K6" s="63">
        <f>Assumptions!$B$18+(Assumptions!$E$13-Assumptions!$B$18)*K4/Assumptions!$B$21</f>
        <v>0.20862</v>
      </c>
      <c r="L6" s="63">
        <f>Assumptions!$B$18+(Assumptions!$E$13-Assumptions!$B$18)*L4/Assumptions!$B$21</f>
        <v>0.2075</v>
      </c>
    </row>
    <row r="7">
      <c r="A7" s="14" t="inlineStr">
        <is>
          <t>Revenue</t>
        </is>
      </c>
      <c r="B7" s="55">
        <f>'Yearly Model'!G2</f>
        <v>14708.824</v>
      </c>
      <c r="C7" s="55">
        <f>'Yearly Model'!H2</f>
        <v>14442.5942856</v>
      </c>
      <c r="D7" s="55">
        <f>'Yearly Model'!I2</f>
        <v>14250.347308331679</v>
      </c>
      <c r="E7" s="55">
        <f>'Yearly Model'!J2</f>
        <v>14128.90268182623</v>
      </c>
      <c r="F7" s="55">
        <f>'Yearly Model'!K2</f>
        <v>14076.154778480744</v>
      </c>
      <c r="G7" s="55">
        <f>'Yearly Model'!L2</f>
        <v>14091.01294185803</v>
      </c>
      <c r="H7" s="55">
        <f>'Yearly Model'!M2</f>
        <v>14173.36708416267</v>
      </c>
      <c r="I7" s="55">
        <f>'Yearly Model'!N2</f>
        <v>14324.077220824265</v>
      </c>
      <c r="J7" s="55">
        <f>'Yearly Model'!O2</f>
        <v>14544.986322852088</v>
      </c>
      <c r="K7" s="55">
        <f>'Yearly Model'!P2</f>
        <v>14838.956657532844</v>
      </c>
      <c r="L7" s="55">
        <f>'Yearly Model'!Q2</f>
        <v>15209.930573971164</v>
      </c>
    </row>
    <row r="8">
      <c r="A8" s="14" t="inlineStr">
        <is>
          <t>Operating income</t>
        </is>
      </c>
      <c r="B8" s="55">
        <f>'Yearly Model'!G8</f>
        <v>3216.4719999999998</v>
      </c>
      <c r="C8" s="55">
        <f>'Yearly Model'!H8</f>
        <v>3142.419664660848</v>
      </c>
      <c r="D8" s="55">
        <f>'Yearly Model'!I8</f>
        <v>3084.6301783614754</v>
      </c>
      <c r="E8" s="55">
        <f>'Yearly Model'!J8</f>
        <v>3042.5179035044603</v>
      </c>
      <c r="F8" s="55">
        <f>'Yearly Model'!K8</f>
        <v>3015.393876646145</v>
      </c>
      <c r="G8" s="55">
        <f>'Yearly Model'!L8</f>
        <v>3002.7948579099466</v>
      </c>
      <c r="H8" s="55">
        <f>'Yearly Model'!M8</f>
        <v>3004.4703545008033</v>
      </c>
      <c r="I8" s="55">
        <f>'Yearly Model'!N8</f>
        <v>3020.374922783005</v>
      </c>
      <c r="J8" s="55">
        <f>'Yearly Model'!O8</f>
        <v>3050.665431354997</v>
      </c>
      <c r="K8" s="55">
        <f>'Yearly Model'!P8</f>
        <v>3095.703137894502</v>
      </c>
      <c r="L8" s="55">
        <f>'Yearly Model'!Q8</f>
        <v>3156.0605940990163</v>
      </c>
    </row>
    <row r="9">
      <c r="A9" s="14" t="inlineStr">
        <is>
          <t>Tax on operating income</t>
        </is>
      </c>
      <c r="C9" s="52">
        <f>MAX(0,C8)*Assumptions!$E$14</f>
        <v>534.2113429923442</v>
      </c>
      <c r="D9" s="52">
        <f>MAX(0,D8)*Assumptions!$E$14</f>
        <v>524.3871303214509</v>
      </c>
      <c r="E9" s="52">
        <f>MAX(0,E8)*Assumptions!$E$14</f>
        <v>517.2280435957583</v>
      </c>
      <c r="F9" s="52">
        <f>MAX(0,F8)*Assumptions!$E$14</f>
        <v>512.6169590298447</v>
      </c>
      <c r="G9" s="52">
        <f>MAX(0,G8)*Assumptions!$E$14</f>
        <v>510.475125844691</v>
      </c>
      <c r="H9" s="52">
        <f>MAX(0,H8)*Assumptions!$E$14</f>
        <v>510.7599602651366</v>
      </c>
      <c r="I9" s="52">
        <f>MAX(0,I8)*Assumptions!$E$14</f>
        <v>513.4637368731109</v>
      </c>
      <c r="J9" s="52">
        <f>MAX(0,J8)*Assumptions!$E$14</f>
        <v>518.6131233303495</v>
      </c>
      <c r="K9" s="52">
        <f>MAX(0,K8)*Assumptions!$E$14</f>
        <v>526.2695334420654</v>
      </c>
      <c r="L9" s="52">
        <f>MAX(0,L8)*Assumptions!$E$14</f>
        <v>536.5303009968328</v>
      </c>
    </row>
    <row r="10">
      <c r="A10" s="14" t="inlineStr">
        <is>
          <t>NOPAT</t>
        </is>
      </c>
      <c r="C10" s="52">
        <f>C8-C9</f>
        <v>2608.2083216685037</v>
      </c>
      <c r="D10" s="52">
        <f>D8-D9</f>
        <v>2560.2430480400244</v>
      </c>
      <c r="E10" s="52">
        <f>E8-E9</f>
        <v>2525.289859908702</v>
      </c>
      <c r="F10" s="52">
        <f>F8-F9</f>
        <v>2502.7769176163006</v>
      </c>
      <c r="G10" s="52">
        <f>G8-G9</f>
        <v>2492.3197320652557</v>
      </c>
      <c r="H10" s="52">
        <f>H8-H9</f>
        <v>2493.7103942356666</v>
      </c>
      <c r="I10" s="52">
        <f>I8-I9</f>
        <v>2506.911185909894</v>
      </c>
      <c r="J10" s="52">
        <f>J8-J9</f>
        <v>2532.0523080246476</v>
      </c>
      <c r="K10" s="52">
        <f>K8-K9</f>
        <v>2569.4336044524366</v>
      </c>
      <c r="L10" s="52">
        <f>L8-L9</f>
        <v>2619.5302931021834</v>
      </c>
    </row>
    <row r="11">
      <c r="A11" s="14" t="inlineStr">
        <is>
          <t>Reinvestment</t>
        </is>
      </c>
      <c r="C11" s="52">
        <f>(C7-B7)*Assumptions!$E$15</f>
        <v>-66.5574286000001</v>
      </c>
      <c r="D11" s="52">
        <f>(D7-C7)*Assumptions!$E$15</f>
        <v>-48.06174431708041</v>
      </c>
      <c r="E11" s="52">
        <f>(E7-D7)*Assumptions!$E$15</f>
        <v>-30.361156626362117</v>
      </c>
      <c r="F11" s="52">
        <f>(F7-E7)*Assumptions!$E$15</f>
        <v>-13.186975836371403</v>
      </c>
      <c r="G11" s="52">
        <f>(G7-F7)*Assumptions!$E$15</f>
        <v>3.7145408443216184</v>
      </c>
      <c r="H11" s="52">
        <f>(H7-G7)*Assumptions!$E$15</f>
        <v>20.588535576159757</v>
      </c>
      <c r="I11" s="52">
        <f>(I7-H7)*Assumptions!$E$15</f>
        <v>37.67753416539881</v>
      </c>
      <c r="J11" s="52">
        <f>(J7-I7)*Assumptions!$E$15</f>
        <v>55.22727550695572</v>
      </c>
      <c r="K11" s="52">
        <f>(K7-J7)*Assumptions!$E$15</f>
        <v>73.4925836701891</v>
      </c>
      <c r="L11" s="52">
        <f>(L7-K7)*Assumptions!$E$15</f>
        <v>92.74347910957977</v>
      </c>
    </row>
    <row r="12">
      <c r="A12" s="20" t="inlineStr">
        <is>
          <t>Free cash flow</t>
        </is>
      </c>
      <c r="C12" s="64">
        <f>C10-C11</f>
        <v>2674.765750268504</v>
      </c>
      <c r="D12" s="64">
        <f>D10-D11</f>
        <v>2608.304792357105</v>
      </c>
      <c r="E12" s="64">
        <f>E10-E11</f>
        <v>2555.651016535064</v>
      </c>
      <c r="F12" s="64">
        <f>F10-F11</f>
        <v>2515.963893452672</v>
      </c>
      <c r="G12" s="64">
        <f>G10-G11</f>
        <v>2488.605191220934</v>
      </c>
      <c r="H12" s="64">
        <f>H10-H11</f>
        <v>2473.121858659507</v>
      </c>
      <c r="I12" s="64">
        <f>I10-I11</f>
        <v>2469.233651744495</v>
      </c>
      <c r="J12" s="64">
        <f>J10-J11</f>
        <v>2476.825032517692</v>
      </c>
      <c r="K12" s="64">
        <f>K10-K11</f>
        <v>2495.9410207822475</v>
      </c>
      <c r="L12" s="64">
        <f>L10-L11</f>
        <v>2526.7868139926036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0.9600307214746386</v>
      </c>
      <c r="D15" s="65">
        <f>1/(1+Assumptions!$E$10)^D14</f>
        <v>0.88482094145128</v>
      </c>
      <c r="E15" s="65">
        <f>1/(1+Assumptions!$E$10)^E14</f>
        <v>0.8155031718444976</v>
      </c>
      <c r="F15" s="65">
        <f>1/(1+Assumptions!$E$10)^F14</f>
        <v>0.7516158265847905</v>
      </c>
      <c r="G15" s="65">
        <f>1/(1+Assumptions!$E$10)^G14</f>
        <v>0.6927334807233092</v>
      </c>
      <c r="H15" s="65">
        <f>1/(1+Assumptions!$E$10)^H14</f>
        <v>0.638464037533004</v>
      </c>
      <c r="I15" s="65">
        <f>1/(1+Assumptions!$E$10)^I14</f>
        <v>0.5884461175419391</v>
      </c>
      <c r="J15" s="65">
        <f>1/(1+Assumptions!$E$10)^J14</f>
        <v>0.5423466521123863</v>
      </c>
      <c r="K15" s="65">
        <f>1/(1+Assumptions!$E$10)^K14</f>
        <v>0.49985866554136993</v>
      </c>
      <c r="L15" s="65">
        <f>1/(1+Assumptions!$E$10)^L14</f>
        <v>0.460699230913705</v>
      </c>
    </row>
    <row r="16">
      <c r="A16" s="20" t="inlineStr">
        <is>
          <t>PV of free cash flow</t>
        </is>
      </c>
      <c r="C16" s="64">
        <f>C12*C13*C15</f>
        <v>2567.857293005925</v>
      </c>
      <c r="D16" s="64">
        <f>D12*D13*D15</f>
        <v>2307.882701965299</v>
      </c>
      <c r="E16" s="64">
        <f>E12*E13*E15</f>
        <v>2084.1415101119596</v>
      </c>
      <c r="F16" s="64">
        <f>F12*F13*F15</f>
        <v>1891.038281434918</v>
      </c>
      <c r="G16" s="64">
        <f>G12*G13*G15</f>
        <v>1723.9401362605743</v>
      </c>
      <c r="H16" s="64">
        <f>H12*H13*H15</f>
        <v>1578.999367190876</v>
      </c>
      <c r="I16" s="64">
        <f>I12*I13*I15</f>
        <v>1453.0109556729526</v>
      </c>
      <c r="J16" s="64">
        <f>J12*J13*J15</f>
        <v>1343.2977642541225</v>
      </c>
      <c r="K16" s="64">
        <f>K12*K13*K15</f>
        <v>1247.6177479181788</v>
      </c>
      <c r="L16" s="64">
        <f>L12*L13*L15</f>
        <v>1164.0887418892835</v>
      </c>
    </row>
    <row r="19">
      <c r="A19" s="14" t="inlineStr">
        <is>
          <t>PV of forecast free cash flow</t>
        </is>
      </c>
      <c r="B19" s="52">
        <f>SUM(C16:L16)</f>
        <v>17361.87449970409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2589.956484342418</v>
      </c>
    </row>
    <row r="21">
      <c r="A21" s="14" t="inlineStr">
        <is>
          <t>Terminal value</t>
        </is>
      </c>
      <c r="B21" s="52">
        <f>B20/(Assumptions!$E$10-Assumptions!$E$11)</f>
        <v>43165.941405706966</v>
      </c>
    </row>
    <row r="22">
      <c r="A22" s="14" t="inlineStr">
        <is>
          <t>PV of terminal value</t>
        </is>
      </c>
      <c r="B22" s="52">
        <f>B21/(1+Assumptions!$E$10)^(L14+0.5)</f>
        <v>19091.66631008141</v>
      </c>
    </row>
    <row r="23">
      <c r="A23" s="20" t="inlineStr">
        <is>
          <t>Enterprise value</t>
        </is>
      </c>
      <c r="B23" s="66">
        <f>B19+B22</f>
        <v>36453.540809785496</v>
      </c>
    </row>
    <row r="24">
      <c r="A24" s="14" t="inlineStr">
        <is>
          <t>Cash &amp; investments</t>
        </is>
      </c>
      <c r="B24" s="55">
        <f>Main!C7</f>
        <v>1765.592286868741</v>
      </c>
    </row>
    <row r="25">
      <c r="A25" s="14" t="inlineStr">
        <is>
          <t>Debt</t>
        </is>
      </c>
      <c r="B25" s="55">
        <f>Main!C8</f>
        <v>11480.35045139954</v>
      </c>
    </row>
    <row r="26">
      <c r="A26" s="20" t="inlineStr">
        <is>
          <t>Equity value</t>
        </is>
      </c>
      <c r="B26" s="66">
        <f>B23+B24-B25</f>
        <v>26738.782645254698</v>
      </c>
    </row>
    <row r="27">
      <c r="A27" s="14" t="inlineStr">
        <is>
          <t>Shares (mm)</t>
        </is>
      </c>
      <c r="B27" s="55">
        <f>Main!C4</f>
        <v>4476.176824</v>
      </c>
    </row>
    <row r="28">
      <c r="A28" s="20" t="inlineStr">
        <is>
          <t>NPV / share</t>
        </is>
      </c>
      <c r="B28" s="49">
        <f>B26/B27</f>
        <v>5.973576044156449</v>
      </c>
    </row>
    <row r="29">
      <c r="A29" s="14" t="inlineStr">
        <is>
          <t>Price</t>
        </is>
      </c>
      <c r="B29" s="50">
        <f>Main!C3</f>
        <v>10.17</v>
      </c>
    </row>
    <row r="30">
      <c r="A30" s="14" t="inlineStr">
        <is>
          <t>Upside</t>
        </is>
      </c>
      <c r="B30" s="63">
        <f>B28/B29-1</f>
        <v>-0.41262772427173566</v>
      </c>
    </row>
    <row r="31">
      <c r="A31" s="14" t="inlineStr">
        <is>
          <t>Terminal value, % of EV</t>
        </is>
      </c>
      <c r="B31" s="63">
        <f>IFERROR(B22/B23,0)</f>
        <v>0.5237259779427652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2026-10-21T06:21:08Z</dcterms:modified>
  <cp:lastModifiedBy>Wang, Eric</cp:lastModifiedBy>
</cp:coreProperties>
</file>