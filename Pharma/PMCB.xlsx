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PharmaCyte Biotech Inc</t>
        </is>
      </c>
      <c r="C2" s="10" t="n"/>
    </row>
    <row r="3">
      <c r="B3" t="inlineStr">
        <is>
          <t>Price</t>
        </is>
      </c>
      <c r="C3" s="11">
        <f>INDEX([1]Pharma!$F$1:$F$1000,MATCH("PMCB",[1]Pharma!$B$1:$B$1000,0))</f>
        <v>0.3422</v>
      </c>
      <c r="F3" s="1" t="n"/>
    </row>
    <row r="4">
      <c r="B4" t="inlineStr">
        <is>
          <t>Shares</t>
        </is>
      </c>
      <c r="C4" s="21" t="n">
        <v>10.735649</v>
      </c>
      <c r="F4" s="1" t="n"/>
    </row>
    <row r="5">
      <c r="B5" t="inlineStr">
        <is>
          <t>Market Cap.</t>
        </is>
      </c>
      <c r="C5" s="13">
        <f>C3*C4</f>
        <v>3.6737390878</v>
      </c>
      <c r="F5" s="1" t="n"/>
    </row>
    <row r="6"/>
    <row r="7">
      <c r="B7" t="inlineStr">
        <is>
          <t>Cash</t>
        </is>
      </c>
      <c r="C7" s="21">
        <f>17.738991+0.099462</f>
        <v>17.838452999999998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-14.164713912199998</v>
      </c>
    </row>
    <row r="10"/>
    <row r="11">
      <c r="B11" s="14" t="inlineStr">
        <is>
          <t>Net Cash / Share</t>
        </is>
      </c>
      <c r="C11" s="11">
        <f>(C7-C8)/C4</f>
        <v>1.6616091863659102</v>
      </c>
    </row>
    <row r="12">
      <c r="B12" s="14" t="inlineStr">
        <is>
          <t>Upside</t>
        </is>
      </c>
      <c r="C12" s="15">
        <f>IFERROR(C11/C3-1,"")</f>
        <v>3.8556668216420515</v>
      </c>
    </row>
    <row r="13">
      <c r="B13" s="14" t="inlineStr">
        <is>
          <t>Cash / Share</t>
        </is>
      </c>
      <c r="C13" s="11">
        <f>IFERROR((C7-C8)/C4,"")</f>
        <v>1.6616091863659102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-3.94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4.527526142131979</v>
      </c>
    </row>
    <row r="19">
      <c r="B19" s="14" t="inlineStr">
        <is>
          <t>Implied Pipeline Value</t>
        </is>
      </c>
      <c r="C19" s="13">
        <f>C9</f>
        <v>-14.164713912199998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17" t="n">
        <v>2026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0.126</v>
      </c>
      <c r="C2" s="23" t="n">
        <v>0.067</v>
      </c>
      <c r="D2" s="23" t="n">
        <v>0.012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0.032</v>
      </c>
      <c r="C3" s="23" t="n">
        <v>0.019</v>
      </c>
      <c r="D3" s="23" t="n">
        <v>0.01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0.094</v>
      </c>
      <c r="C4" s="23">
        <f>C2-C3</f>
        <v>0.048</v>
      </c>
      <c r="D4" s="23">
        <f>D2-D3</f>
        <v>0.002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0.324</v>
      </c>
      <c r="F5" s="23" t="n">
        <v>3.477</v>
      </c>
      <c r="G5" s="23" t="n">
        <v>1.407</v>
      </c>
      <c r="H5" s="23" t="n">
        <v>1.182</v>
      </c>
      <c r="I5" s="23" t="n">
        <v>1.998</v>
      </c>
      <c r="J5" s="23" t="n">
        <v>0.46</v>
      </c>
      <c r="K5" s="23" t="n">
        <v>0.301</v>
      </c>
      <c r="L5" s="23" t="n">
        <v>0.916</v>
      </c>
      <c r="M5" s="23" t="n">
        <v>0.6909999999999999</v>
      </c>
      <c r="N5" s="23" t="n">
        <v>0.469</v>
      </c>
      <c r="O5" s="23" t="n">
        <v>0.407</v>
      </c>
      <c r="P5" s="23" t="n">
        <v>0.438</v>
      </c>
      <c r="Q5" s="23" t="n">
        <v>0.391</v>
      </c>
    </row>
    <row r="6">
      <c r="A6" s="19" t="inlineStr">
        <is>
          <t>SG&amp;A &amp; Other</t>
        </is>
      </c>
      <c r="B6" s="23" t="n">
        <v>0.45</v>
      </c>
      <c r="C6" s="23" t="n">
        <v>1.996</v>
      </c>
      <c r="D6" s="23" t="n">
        <v>1.687</v>
      </c>
      <c r="E6" s="23" t="n">
        <v>18.656</v>
      </c>
      <c r="F6" s="23" t="n">
        <v>9.784000000000001</v>
      </c>
      <c r="G6" s="23" t="n">
        <v>4.666</v>
      </c>
      <c r="H6" s="23" t="n">
        <v>3.26</v>
      </c>
      <c r="I6" s="23" t="n">
        <v>4.984</v>
      </c>
      <c r="J6" s="23" t="n">
        <v>3.641</v>
      </c>
      <c r="K6" s="23" t="n">
        <v>3.525</v>
      </c>
      <c r="L6" s="23" t="n">
        <v>2.707</v>
      </c>
      <c r="M6" s="23" t="n">
        <v>3.701</v>
      </c>
      <c r="N6" s="23" t="n">
        <v>5.987</v>
      </c>
      <c r="O6" s="23" t="n">
        <v>8.113</v>
      </c>
      <c r="P6" s="23" t="n">
        <v>3.939</v>
      </c>
      <c r="Q6" s="23" t="n">
        <v>6.462</v>
      </c>
    </row>
    <row r="7">
      <c r="A7" s="2" t="inlineStr">
        <is>
          <t>Operating Expense</t>
        </is>
      </c>
      <c r="B7" s="23">
        <f>SUM(B5:B6)</f>
        <v>0.45</v>
      </c>
      <c r="C7" s="23">
        <f>SUM(C5:C6)</f>
        <v>1.996</v>
      </c>
      <c r="D7" s="23">
        <f>SUM(D5:D6)</f>
        <v>1.687</v>
      </c>
      <c r="E7" s="23">
        <f>SUM(E5:E6)</f>
        <v>18.98</v>
      </c>
      <c r="F7" s="23">
        <f>SUM(F5:F6)</f>
        <v>13.261000000000001</v>
      </c>
      <c r="G7" s="23">
        <f>SUM(G5:G6)</f>
        <v>6.073</v>
      </c>
      <c r="H7" s="23">
        <f>SUM(H5:H6)</f>
        <v>4.442</v>
      </c>
      <c r="I7" s="23">
        <f>SUM(I5:I6)</f>
        <v>6.982</v>
      </c>
      <c r="J7" s="23">
        <f>SUM(J5:J6)</f>
        <v>4.101</v>
      </c>
      <c r="K7" s="23">
        <f>SUM(K5:K6)</f>
        <v>3.826</v>
      </c>
      <c r="L7" s="23">
        <f>SUM(L5:L6)</f>
        <v>3.6229999999999998</v>
      </c>
      <c r="M7" s="23">
        <f>SUM(M5:M6)</f>
        <v>4.392</v>
      </c>
      <c r="N7" s="23">
        <f>SUM(N5:N6)</f>
        <v>6.456</v>
      </c>
      <c r="O7" s="23">
        <f>SUM(O5:O6)</f>
        <v>8.52</v>
      </c>
      <c r="P7" s="23">
        <f>SUM(P5:P6)</f>
        <v>4.377</v>
      </c>
      <c r="Q7" s="23">
        <f>SUM(Q5:Q6)</f>
        <v>6.853</v>
      </c>
    </row>
    <row r="8">
      <c r="A8" s="2" t="inlineStr">
        <is>
          <t>Operating Income</t>
        </is>
      </c>
      <c r="B8" s="23">
        <f>B4-B7</f>
        <v>-0.356</v>
      </c>
      <c r="C8" s="23">
        <f>C4-C7</f>
        <v>-1.948</v>
      </c>
      <c r="D8" s="23">
        <f>D4-D7</f>
        <v>-1.685</v>
      </c>
      <c r="E8" s="23">
        <f>E4-E7</f>
        <v>-18.98</v>
      </c>
      <c r="F8" s="23">
        <f>F4-F7</f>
        <v>-13.261000000000001</v>
      </c>
      <c r="G8" s="23">
        <f>G4-G7</f>
        <v>-6.073</v>
      </c>
      <c r="H8" s="23">
        <f>H4-H7</f>
        <v>-4.442</v>
      </c>
      <c r="I8" s="23">
        <f>I4-I7</f>
        <v>-6.982</v>
      </c>
      <c r="J8" s="23">
        <f>J4-J7</f>
        <v>-4.101</v>
      </c>
      <c r="K8" s="23">
        <f>K4-K7</f>
        <v>-3.826</v>
      </c>
      <c r="L8" s="23">
        <f>L4-L7</f>
        <v>-3.6229999999999998</v>
      </c>
      <c r="M8" s="23">
        <f>M4-M7</f>
        <v>-4.392</v>
      </c>
      <c r="N8" s="23">
        <f>N4-N7</f>
        <v>-6.456</v>
      </c>
      <c r="O8" s="23">
        <f>O4-O7</f>
        <v>-8.52</v>
      </c>
      <c r="P8" s="23">
        <f>P4-P7</f>
        <v>-4.377</v>
      </c>
      <c r="Q8" s="23">
        <f>Q4-Q7</f>
        <v>-6.853</v>
      </c>
    </row>
    <row r="9">
      <c r="A9" s="19" t="inlineStr">
        <is>
          <t>Interest &amp; Other</t>
        </is>
      </c>
      <c r="B9" s="23" t="n">
        <v>-1.041</v>
      </c>
      <c r="C9" s="23" t="n">
        <v>0.05</v>
      </c>
      <c r="D9" s="23" t="n">
        <v>0.08599999999999999</v>
      </c>
      <c r="E9" s="23" t="n">
        <v>-8.275</v>
      </c>
      <c r="F9" s="23" t="n">
        <v>3.333</v>
      </c>
      <c r="G9" s="23" t="n">
        <v>0.008999999999999999</v>
      </c>
      <c r="H9" s="23" t="n">
        <v>-0.002</v>
      </c>
      <c r="I9" s="23" t="n">
        <v>0.153</v>
      </c>
      <c r="J9" s="23" t="n">
        <v>0.033</v>
      </c>
      <c r="K9" s="23" t="n">
        <v>-0</v>
      </c>
      <c r="L9" s="23" t="n">
        <v>0.07199999999999999</v>
      </c>
      <c r="M9" s="23" t="n">
        <v>0.153</v>
      </c>
      <c r="N9" s="23" t="n">
        <v>2.14</v>
      </c>
      <c r="O9" s="23" t="n">
        <v>8.853999999999999</v>
      </c>
      <c r="P9" s="23" t="n">
        <v>35.034</v>
      </c>
      <c r="Q9" s="23" t="n">
        <v>-12.571</v>
      </c>
    </row>
    <row r="10">
      <c r="A10" s="2" t="inlineStr">
        <is>
          <t>Pretax</t>
        </is>
      </c>
      <c r="B10" s="23">
        <f>B8+B9</f>
        <v>-1.3969999999999998</v>
      </c>
      <c r="C10" s="23">
        <f>C8+C9</f>
        <v>-1.898</v>
      </c>
      <c r="D10" s="23">
        <f>D8+D9</f>
        <v>-1.599</v>
      </c>
      <c r="E10" s="23">
        <f>E8+E9</f>
        <v>-27.255000000000003</v>
      </c>
      <c r="F10" s="23">
        <f>F8+F9</f>
        <v>-9.928</v>
      </c>
      <c r="G10" s="23">
        <f>G8+G9</f>
        <v>-6.064</v>
      </c>
      <c r="H10" s="23">
        <f>H8+H9</f>
        <v>-4.444</v>
      </c>
      <c r="I10" s="23">
        <f>I8+I9</f>
        <v>-6.829000000000001</v>
      </c>
      <c r="J10" s="23">
        <f>J8+J9</f>
        <v>-4.068</v>
      </c>
      <c r="K10" s="23">
        <f>K8+K9</f>
        <v>-3.826</v>
      </c>
      <c r="L10" s="23">
        <f>L8+L9</f>
        <v>-3.5509999999999997</v>
      </c>
      <c r="M10" s="23">
        <f>M8+M9</f>
        <v>-4.239000000000001</v>
      </c>
      <c r="N10" s="23">
        <f>N8+N9</f>
        <v>-4.316000000000001</v>
      </c>
      <c r="O10" s="23">
        <f>O8+O9</f>
        <v>0.33399999999999963</v>
      </c>
      <c r="P10" s="23">
        <f>P8+P9</f>
        <v>30.657</v>
      </c>
      <c r="Q10" s="23">
        <f>Q8+Q9</f>
        <v>-19.424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-1.398</v>
      </c>
      <c r="C12" s="23" t="n">
        <v>-1.899</v>
      </c>
      <c r="D12" s="23" t="n">
        <v>-1.598</v>
      </c>
      <c r="E12" s="23" t="n">
        <v>-27.254</v>
      </c>
      <c r="F12" s="23" t="n">
        <v>-9.928000000000001</v>
      </c>
      <c r="G12" s="23" t="n">
        <v>-6.064</v>
      </c>
      <c r="H12" s="23" t="n">
        <v>-4.444</v>
      </c>
      <c r="I12" s="23" t="n">
        <v>-6.829</v>
      </c>
      <c r="J12" s="23" t="n">
        <v>-4.067</v>
      </c>
      <c r="K12" s="23" t="n">
        <v>-3.827</v>
      </c>
      <c r="L12" s="23" t="n">
        <v>-3.551</v>
      </c>
      <c r="M12" s="23" t="n">
        <v>-4.239</v>
      </c>
      <c r="N12" s="23" t="n">
        <v>-4.316</v>
      </c>
      <c r="O12" s="23" t="n">
        <v>0.334</v>
      </c>
      <c r="P12" s="23" t="n">
        <v>30.656</v>
      </c>
      <c r="Q12" s="23" t="n">
        <v>-19.425</v>
      </c>
    </row>
    <row r="13">
      <c r="A13" s="2" t="inlineStr">
        <is>
          <t>Earnings per Share</t>
        </is>
      </c>
      <c r="B13" s="11">
        <f>IFERROR(B12/B14,0)</f>
        <v>-9.708333333333334</v>
      </c>
      <c r="C13" s="11">
        <f>IFERROR(C12/C14,0)</f>
        <v>-12.331168831168831</v>
      </c>
      <c r="D13" s="11">
        <f>IFERROR(D12/D14,0)</f>
        <v>-8.828729281767956</v>
      </c>
      <c r="E13" s="11">
        <f>IFERROR(E12/E14,0)</f>
        <v>-113.55833333333334</v>
      </c>
      <c r="F13" s="11">
        <f>IFERROR(F12/F14,0)</f>
        <v>-34.352941176470594</v>
      </c>
      <c r="G13" s="11">
        <f>IFERROR(G12/G14,0)</f>
        <v>-19.624595469255663</v>
      </c>
      <c r="H13" s="11">
        <f>IFERROR(H12/H14,0)</f>
        <v>-12.806916426512968</v>
      </c>
      <c r="I13" s="11">
        <f>IFERROR(I12/I14,0)</f>
        <v>-17.15829145728643</v>
      </c>
      <c r="J13" s="11">
        <f>IFERROR(J12/J14,0)</f>
        <v>-8.997787610619469</v>
      </c>
      <c r="K13" s="11">
        <f>IFERROR(K12/K14,0)</f>
        <v>-8.466814159292035</v>
      </c>
      <c r="L13" s="11">
        <f>IFERROR(L12/L14,0)</f>
        <v>-4.904696132596685</v>
      </c>
      <c r="M13" s="11">
        <f>IFERROR(M12/M14,0)</f>
        <v>-0.5461925009663703</v>
      </c>
      <c r="N13" s="11">
        <f>IFERROR(N12/N14,0)</f>
        <v>-0.44289379168804516</v>
      </c>
      <c r="O13" s="11">
        <f>IFERROR(O12/O14,0)</f>
        <v>0.03486066172633337</v>
      </c>
      <c r="P13" s="11">
        <f>IFERROR(P12/P14,0)</f>
        <v>4.182264665757162</v>
      </c>
      <c r="Q13" s="11">
        <f>IFERROR(Q12/Q14,0)</f>
        <v>-2.318572451659107</v>
      </c>
    </row>
    <row r="14">
      <c r="A14" s="2" t="inlineStr">
        <is>
          <t>Shares</t>
        </is>
      </c>
      <c r="B14" s="23" t="n">
        <v>0.144</v>
      </c>
      <c r="C14" s="23" t="n">
        <v>0.154</v>
      </c>
      <c r="D14" s="23" t="n">
        <v>0.181</v>
      </c>
      <c r="E14" s="23" t="n">
        <v>0.24</v>
      </c>
      <c r="F14" s="23" t="n">
        <v>0.289</v>
      </c>
      <c r="G14" s="23" t="n">
        <v>0.309</v>
      </c>
      <c r="H14" s="23" t="n">
        <v>0.347</v>
      </c>
      <c r="I14" s="23" t="n">
        <v>0.398</v>
      </c>
      <c r="J14" s="23" t="n">
        <v>0.452</v>
      </c>
      <c r="K14" s="23" t="n">
        <v>0.452</v>
      </c>
      <c r="L14" s="23" t="n">
        <v>0.724</v>
      </c>
      <c r="M14" s="23" t="n">
        <v>7.761</v>
      </c>
      <c r="N14" s="23" t="n">
        <v>9.744999999999999</v>
      </c>
      <c r="O14" s="23" t="n">
        <v>9.581</v>
      </c>
      <c r="P14" s="23" t="n">
        <v>7.33</v>
      </c>
      <c r="Q14" s="23" t="n">
        <v>8.378</v>
      </c>
    </row>
    <row r="15"/>
    <row r="16" customFormat="1" s="4">
      <c r="A16" s="3" t="inlineStr">
        <is>
          <t>Revenue Change</t>
        </is>
      </c>
      <c r="C16" s="15">
        <f>IFERROR(C2/B2-1,"")</f>
        <v>-0.46825396825396826</v>
      </c>
      <c r="D16" s="15">
        <f>IFERROR(D2/C2-1,"")</f>
        <v>-0.8208955223880597</v>
      </c>
      <c r="E16" s="15">
        <f>IFERROR(E2/D2-1,"")</f>
        <v>-1.0</v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>0.746031746031746</v>
      </c>
      <c r="C17" s="15">
        <f>IFERROR(C4/C2,"")</f>
        <v>0.7164179104477612</v>
      </c>
      <c r="D17" s="15">
        <f>IFERROR(D4/D2,"")</f>
        <v>0.16666666666666666</v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>-2.825396825396825</v>
      </c>
      <c r="C18" s="15">
        <f>IFERROR(C8/C2,"")</f>
        <v>-29.07462686567164</v>
      </c>
      <c r="D18" s="15">
        <f>IFERROR(D8/D2,"")</f>
        <v>-140.41666666666666</v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2026-10-21T06:31:31Z</dcterms:modified>
  <cp:lastModifiedBy>Wang, Eric</cp:lastModifiedBy>
</cp:coreProperties>
</file>