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ImmuCell Corp</t>
        </is>
      </c>
      <c r="C2" s="10" t="n"/>
    </row>
    <row r="3">
      <c r="B3" t="inlineStr">
        <is>
          <t>Price</t>
        </is>
      </c>
      <c r="C3" s="11">
        <f>INDEX([1]Pharma!$F$1:$F$1000,MATCH("ICCC",[1]Pharma!$B$1:$B$1000,0))</f>
        <v>10.45</v>
      </c>
      <c r="F3" s="1" t="n"/>
    </row>
    <row r="4">
      <c r="B4" t="inlineStr">
        <is>
          <t>Shares</t>
        </is>
      </c>
      <c r="C4" s="21" t="n">
        <v>9.082197000000001</v>
      </c>
      <c r="F4" s="1" t="n"/>
    </row>
    <row r="5">
      <c r="B5" t="inlineStr">
        <is>
          <t>Market Cap.</t>
        </is>
      </c>
      <c r="C5" s="13">
        <f>C3*C4</f>
        <v>94.90895865</v>
      </c>
      <c r="F5" s="1" t="n"/>
    </row>
    <row r="6"/>
    <row r="7">
      <c r="B7" t="inlineStr">
        <is>
          <t>Cash</t>
        </is>
      </c>
      <c r="C7" s="21" t="n">
        <v>8.860205000000001</v>
      </c>
    </row>
    <row r="8">
      <c r="B8" t="inlineStr">
        <is>
          <t>Debt</t>
        </is>
      </c>
      <c r="C8" s="21">
        <f>1.506219+6.796667</f>
        <v>8.302886</v>
      </c>
    </row>
    <row r="9">
      <c r="B9" t="inlineStr">
        <is>
          <t>Enterprise V.</t>
        </is>
      </c>
      <c r="C9" s="13">
        <f>C5-C7+C8</f>
        <v>94.35163965000001</v>
      </c>
    </row>
    <row r="10"/>
    <row r="11">
      <c r="B11" s="14" t="inlineStr">
        <is>
          <t>Net Cash / Share</t>
        </is>
      </c>
      <c r="C11" s="11">
        <f>(C7-C8)/C4</f>
        <v>0.06136389686328095</v>
      </c>
    </row>
    <row r="12">
      <c r="B12" s="14" t="inlineStr">
        <is>
          <t>Upside</t>
        </is>
      </c>
      <c r="C12" s="15">
        <f>IFERROR(C11/C3-1,"")</f>
        <v>-0.9941278567594947</v>
      </c>
    </row>
    <row r="13">
      <c r="B13" s="14" t="inlineStr">
        <is>
          <t>Cash / Share</t>
        </is>
      </c>
      <c r="C13" s="11">
        <f>IFERROR((C7-C8)/C4,"")</f>
        <v>0.06136389686328095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5.892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94.35163965000001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2009</v>
      </c>
      <c r="C1" s="17" t="n">
        <v>2010</v>
      </c>
      <c r="D1" s="17" t="n">
        <v>2011</v>
      </c>
      <c r="E1" s="17" t="n">
        <v>2012</v>
      </c>
      <c r="F1" s="17" t="n">
        <v>2013</v>
      </c>
      <c r="G1" s="17" t="n">
        <v>2014</v>
      </c>
      <c r="H1" s="17" t="n">
        <v>2015</v>
      </c>
      <c r="I1" s="17" t="n">
        <v>2016</v>
      </c>
      <c r="J1" s="17" t="n">
        <v>2017</v>
      </c>
      <c r="K1" s="17" t="n">
        <v>2018</v>
      </c>
      <c r="L1" s="17" t="n">
        <v>2019</v>
      </c>
      <c r="M1" s="17" t="n">
        <v>2020</v>
      </c>
      <c r="N1" s="17" t="n">
        <v>2021</v>
      </c>
      <c r="O1" s="17" t="n">
        <v>2022</v>
      </c>
      <c r="P1" s="17" t="n">
        <v>2023</v>
      </c>
      <c r="Q1" s="17" t="n">
        <v>2024</v>
      </c>
      <c r="R1" s="17" t="n">
        <v>2025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4.506</v>
      </c>
      <c r="C2" s="23" t="n">
        <v>4.386</v>
      </c>
      <c r="D2" s="23" t="n">
        <v>5.111</v>
      </c>
      <c r="E2" s="23" t="n">
        <v>5.39</v>
      </c>
      <c r="F2" s="23" t="n">
        <v>6.007</v>
      </c>
      <c r="G2" s="23" t="n">
        <v>7.597</v>
      </c>
      <c r="H2" s="23" t="n">
        <v>10.229</v>
      </c>
      <c r="I2" s="23" t="n">
        <v>9.544</v>
      </c>
      <c r="J2" s="23" t="n">
        <v>10.431</v>
      </c>
      <c r="K2" s="23" t="n">
        <v>10.986</v>
      </c>
      <c r="L2" s="23" t="n">
        <v>13.723</v>
      </c>
      <c r="M2" s="23" t="n">
        <v>15.342</v>
      </c>
      <c r="N2" s="23" t="n">
        <v>19.243</v>
      </c>
      <c r="O2" s="23" t="n">
        <v>18.568</v>
      </c>
      <c r="P2" s="23" t="n">
        <v>17.472</v>
      </c>
      <c r="Q2" s="23" t="n">
        <v>26.493</v>
      </c>
      <c r="R2" s="23" t="n">
        <v>27.644</v>
      </c>
    </row>
    <row r="3" customFormat="1" s="1">
      <c r="A3" s="5" t="inlineStr">
        <is>
          <t>Cost of Sales</t>
        </is>
      </c>
      <c r="B3" s="23" t="n">
        <v>2.108</v>
      </c>
      <c r="C3" s="23" t="n">
        <v>2.084</v>
      </c>
      <c r="D3" s="23" t="n">
        <v>2.297</v>
      </c>
      <c r="E3" s="23" t="n">
        <v>2.336</v>
      </c>
      <c r="F3" s="23" t="n">
        <v>2.947</v>
      </c>
      <c r="G3" s="23" t="n">
        <v>3.148</v>
      </c>
      <c r="H3" s="23" t="n">
        <v>3.978</v>
      </c>
      <c r="I3" s="23" t="n">
        <v>4.123</v>
      </c>
      <c r="J3" s="23" t="n">
        <v>5.21</v>
      </c>
      <c r="K3" s="23" t="n">
        <v>5.792</v>
      </c>
      <c r="L3" s="23" t="n">
        <v>6.983</v>
      </c>
      <c r="M3" s="23" t="n">
        <v>8.478999999999999</v>
      </c>
      <c r="N3" s="23" t="n">
        <v>10.587</v>
      </c>
      <c r="O3" s="23" t="n">
        <v>10.919</v>
      </c>
      <c r="P3" s="23" t="n">
        <v>13.602</v>
      </c>
      <c r="Q3" s="23" t="n">
        <v>18.552</v>
      </c>
      <c r="R3" s="23" t="n">
        <v>16.199</v>
      </c>
    </row>
    <row r="4" customFormat="1" s="1">
      <c r="A4" s="5" t="inlineStr">
        <is>
          <t>Gross Margin</t>
        </is>
      </c>
      <c r="B4" s="23">
        <f>B2-B3</f>
        <v>2.398</v>
      </c>
      <c r="C4" s="23">
        <f>C2-C3</f>
        <v>2.302</v>
      </c>
      <c r="D4" s="23">
        <f>D2-D3</f>
        <v>2.8139999999999996</v>
      </c>
      <c r="E4" s="23">
        <f>E2-E3</f>
        <v>3.054</v>
      </c>
      <c r="F4" s="23">
        <f>F2-F3</f>
        <v>3.0599999999999996</v>
      </c>
      <c r="G4" s="23">
        <f>G2-G3</f>
        <v>4.449</v>
      </c>
      <c r="H4" s="23">
        <f>H2-H3</f>
        <v>6.2509999999999994</v>
      </c>
      <c r="I4" s="23">
        <f>I2-I3</f>
        <v>5.421</v>
      </c>
      <c r="J4" s="23">
        <f>J2-J3</f>
        <v>5.220999999999999</v>
      </c>
      <c r="K4" s="23">
        <f>K2-K3</f>
        <v>5.194000000000001</v>
      </c>
      <c r="L4" s="23">
        <f>L2-L3</f>
        <v>6.740000000000001</v>
      </c>
      <c r="M4" s="23">
        <f>M2-M3</f>
        <v>6.863000000000001</v>
      </c>
      <c r="N4" s="23">
        <f>N2-N3</f>
        <v>8.655999999999999</v>
      </c>
      <c r="O4" s="23">
        <f>O2-O3</f>
        <v>7.649000000000001</v>
      </c>
      <c r="P4" s="23">
        <f>P2-P3</f>
        <v>3.870000000000001</v>
      </c>
      <c r="Q4" s="23">
        <f>Q2-Q3</f>
        <v>7.940999999999999</v>
      </c>
      <c r="R4" s="23">
        <f>R2-R3</f>
        <v>11.444999999999997</v>
      </c>
    </row>
    <row r="5">
      <c r="A5" s="2" t="inlineStr">
        <is>
          <t>Research &amp; Dev.</t>
        </is>
      </c>
      <c r="B5" s="23" t="n">
        <v>1.645</v>
      </c>
      <c r="C5" s="23" t="n">
        <v>1.493</v>
      </c>
      <c r="D5" s="23" t="n">
        <v>1.72</v>
      </c>
      <c r="E5" s="23" t="n">
        <v>0.918</v>
      </c>
      <c r="F5" s="23" t="n">
        <v>1.154</v>
      </c>
      <c r="G5" s="23" t="n">
        <v>2.179</v>
      </c>
      <c r="H5" s="23" t="n">
        <v>1.235</v>
      </c>
      <c r="I5" s="23" t="n">
        <v>1.244</v>
      </c>
      <c r="J5" s="23" t="n">
        <v>2.047</v>
      </c>
      <c r="K5" s="23" t="n">
        <v>3.517</v>
      </c>
      <c r="L5" s="23" t="n">
        <v>3.688</v>
      </c>
      <c r="M5" s="23" t="n">
        <v>4.355</v>
      </c>
      <c r="N5" s="23" t="n">
        <v>4.169</v>
      </c>
      <c r="O5" s="23" t="n">
        <v>4.494</v>
      </c>
      <c r="P5" s="23" t="n">
        <v>4.395</v>
      </c>
      <c r="Q5" s="23" t="n">
        <v>3.899</v>
      </c>
      <c r="R5" s="23" t="n">
        <v>3.042</v>
      </c>
    </row>
    <row r="6">
      <c r="A6" s="19" t="inlineStr">
        <is>
          <t>SG&amp;A &amp; Other</t>
        </is>
      </c>
      <c r="B6" s="23" t="n">
        <v>1.283</v>
      </c>
      <c r="C6" s="23" t="n">
        <v>1.5</v>
      </c>
      <c r="D6" s="23" t="n">
        <v>1.726</v>
      </c>
      <c r="E6" s="23" t="n">
        <v>1.892</v>
      </c>
      <c r="F6" s="23" t="n">
        <v>1.926</v>
      </c>
      <c r="G6" s="23" t="n">
        <v>2.476</v>
      </c>
      <c r="H6" s="23" t="n">
        <v>2.893</v>
      </c>
      <c r="I6" s="23" t="n">
        <v>3.286</v>
      </c>
      <c r="J6" s="23" t="n">
        <v>3.418</v>
      </c>
      <c r="K6" s="23" t="n">
        <v>3.124</v>
      </c>
      <c r="L6" s="23" t="n">
        <v>4.006</v>
      </c>
      <c r="M6" s="23" t="n">
        <v>3.889</v>
      </c>
      <c r="N6" s="23" t="n">
        <v>4.23</v>
      </c>
      <c r="O6" s="23" t="n">
        <v>5.454</v>
      </c>
      <c r="P6" s="23" t="n">
        <v>5.223</v>
      </c>
      <c r="Q6" s="23" t="n">
        <v>5.683</v>
      </c>
      <c r="R6" s="23" t="n">
        <v>6.754</v>
      </c>
    </row>
    <row r="7">
      <c r="A7" s="2" t="inlineStr">
        <is>
          <t>Operating Expense</t>
        </is>
      </c>
      <c r="B7" s="23">
        <f>SUM(B5:B6)</f>
        <v>2.928</v>
      </c>
      <c r="C7" s="23">
        <f>SUM(C5:C6)</f>
        <v>2.9930000000000003</v>
      </c>
      <c r="D7" s="23">
        <f>SUM(D5:D6)</f>
        <v>3.4459999999999997</v>
      </c>
      <c r="E7" s="23">
        <f>SUM(E5:E6)</f>
        <v>2.81</v>
      </c>
      <c r="F7" s="23">
        <f>SUM(F5:F6)</f>
        <v>3.08</v>
      </c>
      <c r="G7" s="23">
        <f>SUM(G5:G6)</f>
        <v>4.654999999999999</v>
      </c>
      <c r="H7" s="23">
        <f>SUM(H5:H6)</f>
        <v>4.128</v>
      </c>
      <c r="I7" s="23">
        <f>SUM(I5:I6)</f>
        <v>4.53</v>
      </c>
      <c r="J7" s="23">
        <f>SUM(J5:J6)</f>
        <v>5.465</v>
      </c>
      <c r="K7" s="23">
        <f>SUM(K5:K6)</f>
        <v>6.641</v>
      </c>
      <c r="L7" s="23">
        <f>SUM(L5:L6)</f>
        <v>7.694000000000001</v>
      </c>
      <c r="M7" s="23">
        <f>SUM(M5:M6)</f>
        <v>8.244</v>
      </c>
      <c r="N7" s="23">
        <f>SUM(N5:N6)</f>
        <v>8.399000000000001</v>
      </c>
      <c r="O7" s="23">
        <f>SUM(O5:O6)</f>
        <v>9.948</v>
      </c>
      <c r="P7" s="23">
        <f>SUM(P5:P6)</f>
        <v>9.617999999999999</v>
      </c>
      <c r="Q7" s="23">
        <f>SUM(Q5:Q6)</f>
        <v>9.582</v>
      </c>
      <c r="R7" s="23">
        <f>SUM(R5:R6)</f>
        <v>9.796</v>
      </c>
    </row>
    <row r="8">
      <c r="A8" s="2" t="inlineStr">
        <is>
          <t>Operating Income</t>
        </is>
      </c>
      <c r="B8" s="23">
        <f>B4-B7</f>
        <v>-0.5299999999999998</v>
      </c>
      <c r="C8" s="23">
        <f>C4-C7</f>
        <v>-0.6910000000000003</v>
      </c>
      <c r="D8" s="23">
        <f>D4-D7</f>
        <v>-0.6320000000000001</v>
      </c>
      <c r="E8" s="23">
        <f>E4-E7</f>
        <v>0.24399999999999977</v>
      </c>
      <c r="F8" s="23">
        <f>F4-F7</f>
        <v>-0.020000000000000462</v>
      </c>
      <c r="G8" s="23">
        <f>G4-G7</f>
        <v>-0.20599999999999952</v>
      </c>
      <c r="H8" s="23">
        <f>H4-H7</f>
        <v>2.1229999999999993</v>
      </c>
      <c r="I8" s="23">
        <f>I4-I7</f>
        <v>0.891</v>
      </c>
      <c r="J8" s="23">
        <f>J4-J7</f>
        <v>-0.24400000000000066</v>
      </c>
      <c r="K8" s="23">
        <f>K4-K7</f>
        <v>-1.4469999999999992</v>
      </c>
      <c r="L8" s="23">
        <f>L4-L7</f>
        <v>-0.9539999999999997</v>
      </c>
      <c r="M8" s="23">
        <f>M4-M7</f>
        <v>-1.3809999999999985</v>
      </c>
      <c r="N8" s="23">
        <f>N4-N7</f>
        <v>0.2569999999999979</v>
      </c>
      <c r="O8" s="23">
        <f>O4-O7</f>
        <v>-2.2989999999999995</v>
      </c>
      <c r="P8" s="23">
        <f>P4-P7</f>
        <v>-5.7479999999999976</v>
      </c>
      <c r="Q8" s="23">
        <f>Q4-Q7</f>
        <v>-1.6410000000000018</v>
      </c>
      <c r="R8" s="23">
        <f>R4-R7</f>
        <v>1.6489999999999974</v>
      </c>
    </row>
    <row r="9">
      <c r="A9" s="19" t="inlineStr">
        <is>
          <t>Interest &amp; Other</t>
        </is>
      </c>
      <c r="B9" s="23" t="n">
        <v>0.101</v>
      </c>
      <c r="C9" s="23" t="n">
        <v>0.007</v>
      </c>
      <c r="D9" s="23" t="n">
        <v>-0.064</v>
      </c>
      <c r="E9" s="23" t="n">
        <v>-0.053</v>
      </c>
      <c r="F9" s="23" t="n">
        <v>0.225</v>
      </c>
      <c r="G9" s="23" t="n">
        <v>-0.049</v>
      </c>
      <c r="H9" s="23" t="n">
        <v>-0.059</v>
      </c>
      <c r="I9" s="23" t="n">
        <v>-0.132</v>
      </c>
      <c r="J9" s="23" t="n">
        <v>-0.196</v>
      </c>
      <c r="K9" s="23" t="n">
        <v>-0.413</v>
      </c>
      <c r="L9" s="23" t="n">
        <v>-0.314</v>
      </c>
      <c r="M9" s="23" t="n">
        <v>0.348</v>
      </c>
      <c r="N9" s="23" t="n">
        <v>-0.327</v>
      </c>
      <c r="O9" s="23" t="n">
        <v>-0.187</v>
      </c>
      <c r="P9" s="23" t="n">
        <v>-0.022</v>
      </c>
      <c r="Q9" s="23" t="n">
        <v>-0.507</v>
      </c>
      <c r="R9" s="23" t="n">
        <v>-2.678</v>
      </c>
    </row>
    <row r="10">
      <c r="A10" s="2" t="inlineStr">
        <is>
          <t>Pretax</t>
        </is>
      </c>
      <c r="B10" s="23">
        <f>B8+B9</f>
        <v>-0.4289999999999998</v>
      </c>
      <c r="C10" s="23">
        <f>C8+C9</f>
        <v>-0.6840000000000003</v>
      </c>
      <c r="D10" s="23">
        <f>D8+D9</f>
        <v>-0.6960000000000002</v>
      </c>
      <c r="E10" s="23">
        <f>E8+E9</f>
        <v>0.19099999999999978</v>
      </c>
      <c r="F10" s="23">
        <f>F8+F9</f>
        <v>0.20499999999999954</v>
      </c>
      <c r="G10" s="23">
        <f>G8+G9</f>
        <v>-0.2549999999999995</v>
      </c>
      <c r="H10" s="23">
        <f>H8+H9</f>
        <v>2.063999999999999</v>
      </c>
      <c r="I10" s="23">
        <f>I8+I9</f>
        <v>0.759</v>
      </c>
      <c r="J10" s="23">
        <f>J8+J9</f>
        <v>-0.44000000000000067</v>
      </c>
      <c r="K10" s="23">
        <f>K8+K9</f>
        <v>-1.8599999999999992</v>
      </c>
      <c r="L10" s="23">
        <f>L8+L9</f>
        <v>-1.2679999999999998</v>
      </c>
      <c r="M10" s="23">
        <f>M8+M9</f>
        <v>-1.0329999999999986</v>
      </c>
      <c r="N10" s="23">
        <f>N8+N9</f>
        <v>-0.07000000000000212</v>
      </c>
      <c r="O10" s="23">
        <f>O8+O9</f>
        <v>-2.4859999999999993</v>
      </c>
      <c r="P10" s="23">
        <f>P8+P9</f>
        <v>-5.769999999999998</v>
      </c>
      <c r="Q10" s="23">
        <f>Q8+Q9</f>
        <v>-2.148000000000002</v>
      </c>
      <c r="R10" s="23">
        <f>R8+R9</f>
        <v>-1.0290000000000026</v>
      </c>
    </row>
    <row r="11">
      <c r="A11" s="2" t="inlineStr">
        <is>
          <t>Taxes</t>
        </is>
      </c>
      <c r="B11" s="23" t="n">
        <v>-0.212</v>
      </c>
      <c r="C11" s="23" t="n">
        <v>-0.299</v>
      </c>
      <c r="D11" s="23" t="n">
        <v>-0.287</v>
      </c>
      <c r="E11" s="23" t="n">
        <v>0.103</v>
      </c>
      <c r="F11" s="23" t="n">
        <v>0.08799999999999999</v>
      </c>
      <c r="G11" s="23" t="n">
        <v>-0.08799999999999999</v>
      </c>
      <c r="H11" s="23" t="n">
        <v>0.85</v>
      </c>
      <c r="I11" s="23" t="n">
        <v>0.25</v>
      </c>
      <c r="J11" s="23" t="n">
        <v>-0.27</v>
      </c>
      <c r="K11" s="23" t="n">
        <v>0.462</v>
      </c>
      <c r="L11" s="23" t="n">
        <v>0.028</v>
      </c>
      <c r="M11" s="23" t="n">
        <v>-0.01</v>
      </c>
      <c r="N11" s="23" t="n">
        <v>0.008999999999999999</v>
      </c>
      <c r="O11" s="23" t="n">
        <v>0.008</v>
      </c>
      <c r="P11" s="23" t="n">
        <v>0.005</v>
      </c>
      <c r="Q11" s="23" t="n">
        <v>0.01</v>
      </c>
      <c r="R11" s="23" t="n">
        <v>0.012</v>
      </c>
    </row>
    <row r="12">
      <c r="A12" s="2" t="inlineStr">
        <is>
          <t>Net Income</t>
        </is>
      </c>
      <c r="B12" s="23" t="n">
        <v>-0.216</v>
      </c>
      <c r="C12" s="23" t="n">
        <v>-0.385</v>
      </c>
      <c r="D12" s="23" t="n">
        <v>-0.41</v>
      </c>
      <c r="E12" s="23" t="n">
        <v>0.09</v>
      </c>
      <c r="F12" s="23" t="n">
        <v>0.117</v>
      </c>
      <c r="G12" s="23" t="n">
        <v>-0.167</v>
      </c>
      <c r="H12" s="23" t="n">
        <v>1.213</v>
      </c>
      <c r="I12" s="23" t="n">
        <v>0.508</v>
      </c>
      <c r="J12" s="23" t="n">
        <v>-0.168</v>
      </c>
      <c r="K12" s="23" t="n">
        <v>-2.322</v>
      </c>
      <c r="L12" s="23" t="n">
        <v>-1.296</v>
      </c>
      <c r="M12" s="23" t="n">
        <v>-1.022</v>
      </c>
      <c r="N12" s="23" t="n">
        <v>-0.078</v>
      </c>
      <c r="O12" s="23" t="n">
        <v>-2.494</v>
      </c>
      <c r="P12" s="23" t="n">
        <v>-5.775</v>
      </c>
      <c r="Q12" s="23" t="n">
        <v>-2.157</v>
      </c>
      <c r="R12" s="23" t="n">
        <v>-1.04</v>
      </c>
    </row>
    <row r="13">
      <c r="A13" s="2" t="inlineStr">
        <is>
          <t>Earnings per Share</t>
        </is>
      </c>
      <c r="B13" s="11">
        <f>IFERROR(B12/B14,0)</f>
        <v>-0.0729976343359243</v>
      </c>
      <c r="C13" s="11">
        <f>IFERROR(C12/C14,0)</f>
        <v>-0.12958599798047796</v>
      </c>
      <c r="D13" s="11">
        <f>IFERROR(D12/D14,0)</f>
        <v>-0.1373534338358459</v>
      </c>
      <c r="E13" s="11">
        <f>IFERROR(E12/E14,0)</f>
        <v>0.028957528957528955</v>
      </c>
      <c r="F13" s="11">
        <f>IFERROR(F12/F14,0)</f>
        <v>0.03792544570502431</v>
      </c>
      <c r="G13" s="11">
        <f>IFERROR(G12/G14,0)</f>
        <v>-0.05517013544763793</v>
      </c>
      <c r="H13" s="11">
        <f>IFERROR(H12/H14,0)</f>
        <v>0.3831332912192041</v>
      </c>
      <c r="I13" s="11">
        <f>IFERROR(I12/I14,0)</f>
        <v>0.11715867158671586</v>
      </c>
      <c r="J13" s="11">
        <f>IFERROR(J12/J14,0)</f>
        <v>-0.03394625176803395</v>
      </c>
      <c r="K13" s="11">
        <f>IFERROR(K12/K14,0)</f>
        <v>-0.4232592052497266</v>
      </c>
      <c r="L13" s="11">
        <f>IFERROR(L12/L14,0)</f>
        <v>-0.1900571931368236</v>
      </c>
      <c r="M13" s="11">
        <f>IFERROR(M12/M14,0)</f>
        <v>-0.1416886177734646</v>
      </c>
      <c r="N13" s="11">
        <f>IFERROR(N12/N14,0)</f>
        <v>-0.010273972602739727</v>
      </c>
      <c r="O13" s="11">
        <f>IFERROR(O12/O14,0)</f>
        <v>-0.3220142027114268</v>
      </c>
      <c r="P13" s="11">
        <f>IFERROR(P12/P14,0)</f>
        <v>-0.7453536396489416</v>
      </c>
      <c r="Q13" s="11">
        <f>IFERROR(Q12/Q14,0)</f>
        <v>-0.26411166891147303</v>
      </c>
      <c r="R13" s="11">
        <f>IFERROR(R12/R14,0)</f>
        <v>-0.11522269000664746</v>
      </c>
    </row>
    <row r="14">
      <c r="A14" s="2" t="inlineStr">
        <is>
          <t>Shares</t>
        </is>
      </c>
      <c r="B14" s="23" t="n">
        <v>2.959</v>
      </c>
      <c r="C14" s="23" t="n">
        <v>2.971</v>
      </c>
      <c r="D14" s="23" t="n">
        <v>2.985</v>
      </c>
      <c r="E14" s="23" t="n">
        <v>3.108</v>
      </c>
      <c r="F14" s="23" t="n">
        <v>3.085</v>
      </c>
      <c r="G14" s="23" t="n">
        <v>3.027</v>
      </c>
      <c r="H14" s="23" t="n">
        <v>3.166</v>
      </c>
      <c r="I14" s="23" t="n">
        <v>4.336</v>
      </c>
      <c r="J14" s="23" t="n">
        <v>4.949</v>
      </c>
      <c r="K14" s="23" t="n">
        <v>5.486</v>
      </c>
      <c r="L14" s="23" t="n">
        <v>6.819</v>
      </c>
      <c r="M14" s="23" t="n">
        <v>7.213</v>
      </c>
      <c r="N14" s="23" t="n">
        <v>7.592</v>
      </c>
      <c r="O14" s="23" t="n">
        <v>7.745</v>
      </c>
      <c r="P14" s="23" t="n">
        <v>7.748</v>
      </c>
      <c r="Q14" s="23" t="n">
        <v>8.167</v>
      </c>
      <c r="R14" s="23" t="n">
        <v>9.026</v>
      </c>
    </row>
    <row r="15"/>
    <row r="16" customFormat="1" s="4">
      <c r="A16" s="3" t="inlineStr">
        <is>
          <t>Revenue Change</t>
        </is>
      </c>
      <c r="C16" s="15">
        <f>IFERROR(C2/B2-1,"")</f>
        <v>-0.026631158455392878</v>
      </c>
      <c r="D16" s="15">
        <f>IFERROR(D2/C2-1,"")</f>
        <v>0.16529867761057893</v>
      </c>
      <c r="E16" s="15">
        <f>IFERROR(E2/D2-1,"")</f>
        <v>0.05458814322050487</v>
      </c>
      <c r="F16" s="15">
        <f>IFERROR(F2/E2-1,"")</f>
        <v>0.11447124304267153</v>
      </c>
      <c r="G16" s="15">
        <f>IFERROR(G2/F2-1,"")</f>
        <v>0.2646911936074581</v>
      </c>
      <c r="H16" s="15">
        <f>IFERROR(H2/G2-1,"")</f>
        <v>0.34645254705804907</v>
      </c>
      <c r="I16" s="15">
        <f>IFERROR(I2/H2-1,"")</f>
        <v>-0.06696646788542371</v>
      </c>
      <c r="J16" s="15">
        <f>IFERROR(J2/I2-1,"")</f>
        <v>0.09293797150041905</v>
      </c>
      <c r="K16" s="15">
        <f>IFERROR(K2/J2-1,"")</f>
        <v>0.053206787460454485</v>
      </c>
      <c r="L16" s="15">
        <f>IFERROR(L2/K2-1,"")</f>
        <v>0.2491352630620789</v>
      </c>
      <c r="M16" s="15">
        <f>IFERROR(M2/L2-1,"")</f>
        <v>0.11797711870582228</v>
      </c>
      <c r="N16" s="15">
        <f>IFERROR(N2/M2-1,"")</f>
        <v>0.2542693260331115</v>
      </c>
      <c r="O16" s="15">
        <f>IFERROR(O2/N2-1,"")</f>
        <v>-0.035077690588785404</v>
      </c>
      <c r="P16" s="15">
        <f>IFERROR(P2/O2-1,"")</f>
        <v>-0.059026281775096945</v>
      </c>
      <c r="Q16" s="15">
        <f>IFERROR(Q2/P2-1,"")</f>
        <v>0.516311813186813</v>
      </c>
      <c r="R16" s="15">
        <f>IFERROR(R2/Q2-1,"")</f>
        <v>0.043445438417695215</v>
      </c>
    </row>
    <row r="17" customFormat="1" s="4">
      <c r="A17" s="3" t="inlineStr">
        <is>
          <t>Gross Margin</t>
        </is>
      </c>
      <c r="B17" s="15">
        <f>IFERROR(B4/B2,"")</f>
        <v>0.532179316466933</v>
      </c>
      <c r="C17" s="15">
        <f>IFERROR(C4/C2,"")</f>
        <v>0.5248518011855905</v>
      </c>
      <c r="D17" s="15">
        <f>IFERROR(D4/D2,"")</f>
        <v>0.5505771864605752</v>
      </c>
      <c r="E17" s="15">
        <f>IFERROR(E4/E2,"")</f>
        <v>0.5666048237476808</v>
      </c>
      <c r="F17" s="15">
        <f>IFERROR(F4/F2,"")</f>
        <v>0.5094056933577492</v>
      </c>
      <c r="G17" s="15">
        <f>IFERROR(G4/G2,"")</f>
        <v>0.5856259049624851</v>
      </c>
      <c r="H17" s="15">
        <f>IFERROR(H4/H2,"")</f>
        <v>0.6111056799296118</v>
      </c>
      <c r="I17" s="15">
        <f>IFERROR(I4/I2,"")</f>
        <v>0.5680008382229673</v>
      </c>
      <c r="J17" s="15">
        <f>IFERROR(J4/J2,"")</f>
        <v>0.5005272744703287</v>
      </c>
      <c r="K17" s="15">
        <f>IFERROR(K4/K2,"")</f>
        <v>0.4727835426906973</v>
      </c>
      <c r="L17" s="15">
        <f>IFERROR(L4/L2,"")</f>
        <v>0.49114625081979163</v>
      </c>
      <c r="M17" s="15">
        <f>IFERROR(M4/M2,"")</f>
        <v>0.4473341154999349</v>
      </c>
      <c r="N17" s="15">
        <f>IFERROR(N4/N2,"")</f>
        <v>0.44982591072078154</v>
      </c>
      <c r="O17" s="15">
        <f>IFERROR(O4/O2,"")</f>
        <v>0.41194528220594573</v>
      </c>
      <c r="P17" s="15">
        <f>IFERROR(P4/P2,"")</f>
        <v>0.2214972527472528</v>
      </c>
      <c r="Q17" s="15">
        <f>IFERROR(Q4/Q2,"")</f>
        <v>0.2997395538444117</v>
      </c>
      <c r="R17" s="15">
        <f>IFERROR(R4/R2,"")</f>
        <v>0.4140138908985674</v>
      </c>
    </row>
    <row r="18">
      <c r="A18" s="14" t="inlineStr">
        <is>
          <t>Operating Margin</t>
        </is>
      </c>
      <c r="B18" s="15">
        <f>IFERROR(B8/B2,"")</f>
        <v>-0.11762094984465153</v>
      </c>
      <c r="C18" s="15">
        <f>IFERROR(C8/C2,"")</f>
        <v>-0.15754673962608304</v>
      </c>
      <c r="D18" s="15">
        <f>IFERROR(D8/D2,"")</f>
        <v>-0.12365486206221878</v>
      </c>
      <c r="E18" s="15">
        <f>IFERROR(E8/E2,"")</f>
        <v>0.04526901669758809</v>
      </c>
      <c r="F18" s="15">
        <f>IFERROR(F8/F2,"")</f>
        <v>-0.0033294489761945168</v>
      </c>
      <c r="G18" s="15">
        <f>IFERROR(G8/G2,"")</f>
        <v>-0.027115966829011386</v>
      </c>
      <c r="H18" s="15">
        <f>IFERROR(H8/H2,"")</f>
        <v>0.2075471698113207</v>
      </c>
      <c r="I18" s="15">
        <f>IFERROR(I8/I2,"")</f>
        <v>0.09335708298407376</v>
      </c>
      <c r="J18" s="15">
        <f>IFERROR(J8/J2,"")</f>
        <v>-0.02339181286549714</v>
      </c>
      <c r="K18" s="15">
        <f>IFERROR(K8/K2,"")</f>
        <v>-0.13171308938649182</v>
      </c>
      <c r="L18" s="15">
        <f>IFERROR(L8/L2,"")</f>
        <v>-0.0695183268964512</v>
      </c>
      <c r="M18" s="15">
        <f>IFERROR(M8/M2,"")</f>
        <v>-0.09001433972102714</v>
      </c>
      <c r="N18" s="15">
        <f>IFERROR(N8/N2,"")</f>
        <v>0.013355505898248606</v>
      </c>
      <c r="O18" s="15">
        <f>IFERROR(O8/O2,"")</f>
        <v>-0.12381516587677721</v>
      </c>
      <c r="P18" s="15">
        <f>IFERROR(P8/P2,"")</f>
        <v>-0.3289835164835163</v>
      </c>
      <c r="Q18" s="15">
        <f>IFERROR(Q8/Q2,"")</f>
        <v>-0.06194089004642743</v>
      </c>
      <c r="R18" s="15">
        <f>IFERROR(R8/R2,"")</f>
        <v>0.0596512805672116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2026-10-21T06:28:14Z</dcterms:modified>
  <cp:lastModifiedBy>Wang, Eric</cp:lastModifiedBy>
</cp:coreProperties>
</file>