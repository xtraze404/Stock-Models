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NPV" sheetId="5" state="visible" r:id="rId5"/>
  </sheets>
  <externalReferences>
    <externalReference r:id="rId6"/>
  </externalReference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.0"/>
    <numFmt numFmtId="165" formatCode="0.0%"/>
    <numFmt numFmtId="166" formatCode="#,##0.0;(#,##0.0);&quot;-&quot;"/>
    <numFmt numFmtId="167" formatCode="0.0%;(0.0%);&quot;-&quot;"/>
    <numFmt numFmtId="168" formatCode="yyyy-mm-dd"/>
    <numFmt numFmtId="169" formatCode="0.0000"/>
    <numFmt numFmtId="170" formatCode="#,##0;(#,##0);&quot;-&quot;"/>
    <numFmt numFmtId="171" formatCode="$#,##0.00;($#,##0.00);&quot;-&quot;"/>
    <numFmt numFmtId="172" formatCode="[=1]&quot;Bear&quot;;[=2]&quot;Base&quot;;&quot;Bull&quot;"/>
    <numFmt numFmtId="173" formatCode="0.000"/>
    <numFmt numFmtId="174" formatCode="yyyy-mm-dd h:mm:ss"/>
  </numFmts>
  <fonts count="11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color rgb="00008000"/>
      <sz val="12"/>
    </font>
    <font>
      <name val="Aptos Narrow"/>
      <b val="1"/>
      <color rgb="00008000"/>
      <sz val="12"/>
    </font>
    <font>
      <name val="Aptos Narrow"/>
      <i val="1"/>
      <color rgb="00008000"/>
      <sz val="12"/>
    </font>
    <font>
      <name val="Aptos Narrow"/>
      <sz val="12"/>
    </font>
    <font>
      <name val="Aptos Narrow"/>
      <b val="1"/>
      <color rgb="000000FF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7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0" borderId="1" pivotButton="0" quotePrefix="0" xfId="0"/>
    <xf numFmtId="166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7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7" fontId="3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" fontId="2" fillId="0" borderId="0" pivotButton="0" quotePrefix="0" xfId="0"/>
    <xf numFmtId="2" fontId="5" fillId="0" borderId="0" pivotButton="0" quotePrefix="0" xfId="0"/>
    <xf numFmtId="168" fontId="2" fillId="0" borderId="0" pivotButton="0" quotePrefix="0" xfId="0"/>
    <xf numFmtId="169" fontId="2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71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71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" fontId="7" fillId="2" borderId="0" pivotButton="0" quotePrefix="0" xfId="0"/>
    <xf numFmtId="167" fontId="2" fillId="0" borderId="0" pivotButton="0" quotePrefix="0" xfId="0"/>
    <xf numFmtId="166" fontId="3" fillId="0" borderId="0" pivotButton="0" quotePrefix="0" xfId="0"/>
    <xf numFmtId="2" fontId="6" fillId="0" borderId="0" pivotButton="0" quotePrefix="0" xfId="0"/>
    <xf numFmtId="173" fontId="2" fillId="0" borderId="0" pivotButton="0" quotePrefix="0" xfId="0"/>
    <xf numFmtId="166" fontId="3" fillId="0" borderId="6" pivotButton="0" quotePrefix="0" xfId="0"/>
    <xf numFmtId="171" fontId="3" fillId="0" borderId="6" pivotButton="0" quotePrefix="0" xfId="0"/>
    <xf numFmtId="171" fontId="6" fillId="0" borderId="0" pivotButton="0" quotePrefix="0" xfId="0"/>
    <xf numFmtId="164" fontId="2" fillId="0" borderId="0" pivotButton="0" quotePrefix="0" xfId="0"/>
    <xf numFmtId="166" fontId="2" fillId="0" borderId="0" pivotButton="0" quotePrefix="0" xfId="0"/>
    <xf numFmtId="167" fontId="5" fillId="0" borderId="0" pivotButton="0" quotePrefix="0" xfId="0"/>
    <xf numFmtId="167" fontId="3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67" fontId="2" fillId="0" borderId="0" pivotButton="0" quotePrefix="0" xfId="0"/>
    <xf numFmtId="166" fontId="3" fillId="0" borderId="0" pivotButton="0" quotePrefix="0" xfId="0"/>
    <xf numFmtId="173" fontId="2" fillId="0" borderId="0" pivotButton="0" quotePrefix="0" xfId="0"/>
    <xf numFmtId="166" fontId="3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Amphastar Pharmaceuticals, Inc.</t>
        </is>
      </c>
      <c r="C2" s="10" t="n"/>
    </row>
    <row r="3">
      <c r="B3" t="inlineStr">
        <is>
          <t>Price</t>
        </is>
      </c>
      <c r="C3" s="11">
        <f>INDEX([1]Pharma!$F$1:$F$1000,MATCH("AMPH",[1]Pharma!$B$1:$B$1000,0))</f>
        <v>25.94</v>
      </c>
      <c r="F3" s="1" t="n"/>
    </row>
    <row r="4">
      <c r="B4" t="inlineStr">
        <is>
          <t>Shares</t>
        </is>
      </c>
      <c r="C4" s="51" t="n">
        <v>42.537944</v>
      </c>
      <c r="F4" s="1" t="n"/>
    </row>
    <row r="5">
      <c r="B5" t="inlineStr">
        <is>
          <t>Market Cap.</t>
        </is>
      </c>
      <c r="C5" s="13">
        <f>C3*C4</f>
        <v>1103.4342673600001</v>
      </c>
      <c r="F5" s="1" t="n"/>
    </row>
    <row r="6"/>
    <row r="7">
      <c r="B7" t="inlineStr">
        <is>
          <t>Cash</t>
        </is>
      </c>
      <c r="C7" s="51">
        <f>223.614+66.509</f>
        <v>290.123</v>
      </c>
    </row>
    <row r="8">
      <c r="B8" t="inlineStr">
        <is>
          <t>Debt</t>
        </is>
      </c>
      <c r="C8" s="51">
        <f>2.488+609.564</f>
        <v>612.052</v>
      </c>
    </row>
    <row r="9">
      <c r="B9" t="inlineStr">
        <is>
          <t>Enterprise V.</t>
        </is>
      </c>
      <c r="C9" s="13">
        <f>C5-C7+C8</f>
        <v>1425.36326736</v>
      </c>
    </row>
    <row r="10"/>
    <row r="11">
      <c r="B11" s="14" t="inlineStr">
        <is>
          <t>NPV / Share</t>
        </is>
      </c>
      <c r="C11" s="11">
        <f>NPV!B28</f>
        <v>29.90882022280512</v>
      </c>
    </row>
    <row r="12">
      <c r="B12" s="14" t="inlineStr">
        <is>
          <t>Upside</t>
        </is>
      </c>
      <c r="C12" s="15">
        <f>IFERROR(C11/C3-1,"")</f>
        <v>0.1530000085892489</v>
      </c>
    </row>
    <row r="13">
      <c r="B13" s="14" t="inlineStr">
        <is>
          <t>Cash / Share</t>
        </is>
      </c>
      <c r="C13" s="11">
        <f>IFERROR((C7-C8)/C4,"")</f>
        <v>-7.568043250985521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DCF</t>
        </is>
      </c>
    </row>
    <row r="16"/>
    <row r="17"/>
    <row r="18"/>
    <row r="19"/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6" t="n">
        <v>2012</v>
      </c>
      <c r="C1" s="16" t="n">
        <v>2013</v>
      </c>
      <c r="D1" s="16" t="n">
        <v>2014</v>
      </c>
      <c r="E1" s="16" t="n">
        <v>2015</v>
      </c>
      <c r="F1" s="16" t="n">
        <v>2016</v>
      </c>
      <c r="G1" s="16" t="n">
        <v>2017</v>
      </c>
      <c r="H1" s="16" t="n">
        <v>2018</v>
      </c>
      <c r="I1" s="16" t="n">
        <v>2019</v>
      </c>
      <c r="J1" s="16" t="n">
        <v>2020</v>
      </c>
      <c r="K1" s="16" t="n">
        <v>2021</v>
      </c>
      <c r="L1" s="16" t="n">
        <v>2022</v>
      </c>
      <c r="M1" s="16" t="n">
        <v>2023</v>
      </c>
      <c r="N1" s="16" t="n">
        <v>2024</v>
      </c>
      <c r="O1" s="16" t="n">
        <v>2025</v>
      </c>
      <c r="P1" s="16" t="n">
        <v>2026</v>
      </c>
      <c r="Q1" s="16" t="n">
        <v>2027</v>
      </c>
      <c r="R1" s="16" t="n">
        <v>2028</v>
      </c>
      <c r="S1" s="16" t="n">
        <v>2029</v>
      </c>
      <c r="T1" s="16" t="n">
        <v>2030</v>
      </c>
      <c r="U1" s="16" t="n">
        <v>2031</v>
      </c>
      <c r="V1" s="16" t="n">
        <v>2032</v>
      </c>
      <c r="W1" s="16" t="n">
        <v>2033</v>
      </c>
      <c r="X1" s="16" t="n">
        <v>2034</v>
      </c>
      <c r="Y1" s="16" t="n">
        <v>2035</v>
      </c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52" t="n">
        <v>204.323</v>
      </c>
      <c r="C2" s="52" t="n">
        <v>229.681</v>
      </c>
      <c r="D2" s="52" t="n">
        <v>210.461</v>
      </c>
      <c r="E2" s="52" t="n">
        <v>251.519</v>
      </c>
      <c r="F2" s="52" t="n">
        <v>255.165</v>
      </c>
      <c r="G2" s="52" t="n">
        <v>240.175</v>
      </c>
      <c r="H2" s="52" t="n">
        <v>294.666</v>
      </c>
      <c r="I2" s="52" t="n">
        <v>322.357</v>
      </c>
      <c r="J2" s="52" t="n">
        <v>349.846</v>
      </c>
      <c r="K2" s="52" t="n">
        <v>437.768</v>
      </c>
      <c r="L2" s="52" t="n">
        <v>498.987</v>
      </c>
      <c r="M2" s="52" t="n">
        <v>644.395</v>
      </c>
      <c r="N2" s="52" t="n">
        <v>731.967</v>
      </c>
      <c r="O2" s="52" t="n">
        <v>719.8869999999999</v>
      </c>
      <c r="P2" s="52">
        <f>O2*(1+NPV!C5)</f>
        <v>741.0516778</v>
      </c>
      <c r="Q2" s="52">
        <f>P2*(1+NPV!D5)</f>
        <v>762.4763051959511</v>
      </c>
      <c r="R2" s="52">
        <f>Q2*(1+NPV!E5)</f>
        <v>784.1475761814092</v>
      </c>
      <c r="S2" s="52">
        <f>R2*(1+NPV!F5)</f>
        <v>806.05143180941</v>
      </c>
      <c r="T2" s="52">
        <f>S2*(1+NPV!G5)</f>
        <v>828.1730655490683</v>
      </c>
      <c r="U2" s="52">
        <f>T2*(1+NPV!H5)</f>
        <v>850.4969306270909</v>
      </c>
      <c r="V2" s="52">
        <f>U2*(1+NPV!I5)</f>
        <v>873.0067493910212</v>
      </c>
      <c r="W2" s="52">
        <f>V2*(1+NPV!J5)</f>
        <v>895.6855247252014</v>
      </c>
      <c r="X2" s="52">
        <f>W2*(1+NPV!K5)</f>
        <v>918.5155535443082</v>
      </c>
      <c r="Y2" s="52">
        <f>X2*(1+NPV!L5)</f>
        <v>941.4784423829158</v>
      </c>
    </row>
    <row r="3" customFormat="1" s="1">
      <c r="A3" s="5" t="inlineStr">
        <is>
          <t>Cost of Sales</t>
        </is>
      </c>
      <c r="B3" s="52" t="n">
        <v>114.02</v>
      </c>
      <c r="C3" s="52" t="n">
        <v>142.725</v>
      </c>
      <c r="D3" s="52" t="n">
        <v>159.205</v>
      </c>
      <c r="E3" s="52" t="n">
        <v>174.172</v>
      </c>
      <c r="F3" s="52" t="n">
        <v>150.969</v>
      </c>
      <c r="G3" s="52" t="n">
        <v>149.666</v>
      </c>
      <c r="H3" s="52" t="n">
        <v>187.681</v>
      </c>
      <c r="I3" s="52" t="n">
        <v>190.434</v>
      </c>
      <c r="J3" s="52" t="n">
        <v>206.506</v>
      </c>
      <c r="K3" s="52" t="n">
        <v>238.029</v>
      </c>
      <c r="L3" s="52" t="n">
        <v>250.127</v>
      </c>
      <c r="M3" s="52" t="n">
        <v>293.274</v>
      </c>
      <c r="N3" s="52" t="n">
        <v>358.112</v>
      </c>
      <c r="O3" s="52" t="n">
        <v>363.83</v>
      </c>
      <c r="P3" s="52">
        <f>P2*(1-Assumptions!$B$19)</f>
        <v>374.52751796012006</v>
      </c>
      <c r="Q3" s="52">
        <f>Q2*(1-Assumptions!$B$19)</f>
        <v>385.35552464603376</v>
      </c>
      <c r="R3" s="52">
        <f>R2*(1-Assumptions!$B$19)</f>
        <v>396.3081850020843</v>
      </c>
      <c r="S3" s="52">
        <f>S2*(1-Assumptions!$B$19)</f>
        <v>407.3783936364759</v>
      </c>
      <c r="T3" s="52">
        <f>T2*(1-Assumptions!$B$19)</f>
        <v>418.55866732849915</v>
      </c>
      <c r="U3" s="52">
        <f>U2*(1-Assumptions!$B$19)</f>
        <v>429.8411487389318</v>
      </c>
      <c r="V3" s="52">
        <f>V2*(1-Assumptions!$B$19)</f>
        <v>441.2176111422222</v>
      </c>
      <c r="W3" s="52">
        <f>W2*(1-Assumptions!$B$19)</f>
        <v>452.67946419611684</v>
      </c>
      <c r="X3" s="52">
        <f>X2*(1-Assumptions!$B$19)</f>
        <v>464.21776076129345</v>
      </c>
      <c r="Y3" s="52">
        <f>Y2*(1-Assumptions!$B$19)</f>
        <v>475.8232047803257</v>
      </c>
    </row>
    <row r="4" customFormat="1" s="1">
      <c r="A4" s="5" t="inlineStr">
        <is>
          <t>Gross Margin</t>
        </is>
      </c>
      <c r="B4" s="52">
        <f>B2-B3</f>
        <v>90.30300000000001</v>
      </c>
      <c r="C4" s="52">
        <f>C2-C3</f>
        <v>86.95600000000002</v>
      </c>
      <c r="D4" s="52">
        <f>D2-D3</f>
        <v>51.256</v>
      </c>
      <c r="E4" s="52">
        <f>E2-E3</f>
        <v>77.34700000000001</v>
      </c>
      <c r="F4" s="52">
        <f>F2-F3</f>
        <v>104.196</v>
      </c>
      <c r="G4" s="52">
        <f>G2-G3</f>
        <v>90.50900000000001</v>
      </c>
      <c r="H4" s="52">
        <f>H2-H3</f>
        <v>106.98499999999999</v>
      </c>
      <c r="I4" s="52">
        <f>I2-I3</f>
        <v>131.92300000000003</v>
      </c>
      <c r="J4" s="52">
        <f>J2-J3</f>
        <v>143.34</v>
      </c>
      <c r="K4" s="52">
        <f>K2-K3</f>
        <v>199.73899999999998</v>
      </c>
      <c r="L4" s="52">
        <f>L2-L3</f>
        <v>248.86</v>
      </c>
      <c r="M4" s="52">
        <f>M2-M3</f>
        <v>351.121</v>
      </c>
      <c r="N4" s="52">
        <f>N2-N3</f>
        <v>373.85499999999996</v>
      </c>
      <c r="O4" s="52">
        <f>O2-O3</f>
        <v>356.05699999999996</v>
      </c>
      <c r="P4" s="52">
        <f>P2-P3</f>
        <v>366.5241598398799</v>
      </c>
      <c r="Q4" s="52">
        <f>Q2-Q3</f>
        <v>377.12078054991736</v>
      </c>
      <c r="R4" s="52">
        <f>R2-R3</f>
        <v>387.83939117932493</v>
      </c>
      <c r="S4" s="52">
        <f>S2-S3</f>
        <v>398.6730381729341</v>
      </c>
      <c r="T4" s="52">
        <f>T2-T3</f>
        <v>409.6143982205691</v>
      </c>
      <c r="U4" s="52">
        <f>U2-U3</f>
        <v>420.65578188815914</v>
      </c>
      <c r="V4" s="52">
        <f>V2-V3</f>
        <v>431.789138248799</v>
      </c>
      <c r="W4" s="52">
        <f>W2-W3</f>
        <v>443.00606052908455</v>
      </c>
      <c r="X4" s="52">
        <f>X2-X3</f>
        <v>454.29779278301476</v>
      </c>
      <c r="Y4" s="52">
        <f>Y2-Y3</f>
        <v>465.6552376025901</v>
      </c>
    </row>
    <row r="5">
      <c r="A5" s="2" t="inlineStr">
        <is>
          <t>Research &amp; Dev.</t>
        </is>
      </c>
      <c r="B5" s="52" t="n">
        <v>31.163</v>
      </c>
      <c r="C5" s="52" t="n">
        <v>33.019</v>
      </c>
      <c r="D5" s="52" t="n">
        <v>28.866</v>
      </c>
      <c r="E5" s="52" t="n">
        <v>37.271</v>
      </c>
      <c r="F5" s="52" t="n">
        <v>41.522</v>
      </c>
      <c r="G5" s="52" t="n">
        <v>43.503</v>
      </c>
      <c r="H5" s="52" t="n">
        <v>57.564</v>
      </c>
      <c r="I5" s="52" t="n">
        <v>68.85299999999999</v>
      </c>
      <c r="J5" s="52" t="n">
        <v>67.229</v>
      </c>
      <c r="K5" s="52" t="n">
        <v>60.932</v>
      </c>
      <c r="L5" s="52" t="n">
        <v>74.771</v>
      </c>
      <c r="M5" s="52" t="n">
        <v>73.741</v>
      </c>
      <c r="N5" s="52" t="n">
        <v>73.914</v>
      </c>
      <c r="O5" s="52" t="n">
        <v>85.84399999999999</v>
      </c>
      <c r="P5" s="52">
        <f>P7*Assumptions!$B$20</f>
        <v>97.31878054686752</v>
      </c>
      <c r="Q5" s="52">
        <f>Q7*Assumptions!$B$20</f>
        <v>97.66761506961596</v>
      </c>
      <c r="R5" s="52">
        <f>R7*Assumptions!$B$20</f>
        <v>97.90873223040713</v>
      </c>
      <c r="S5" s="52">
        <f>S7*Assumptions!$B$20</f>
        <v>98.03803019501618</v>
      </c>
      <c r="T5" s="52">
        <f>T7*Assumptions!$B$20</f>
        <v>98.051500405298</v>
      </c>
      <c r="U5" s="52">
        <f>U7*Assumptions!$B$20</f>
        <v>97.94524050774751</v>
      </c>
      <c r="V5" s="52">
        <f>V7*Assumptions!$B$20</f>
        <v>97.7154673659601</v>
      </c>
      <c r="W5" s="52">
        <f>W7*Assumptions!$B$20</f>
        <v>97.35853011461273</v>
      </c>
      <c r="X5" s="52">
        <f>X7*Assumptions!$B$20</f>
        <v>96.87092321113781</v>
      </c>
      <c r="Y5" s="52">
        <f>Y7*Assumptions!$B$20</f>
        <v>96.24929943996561</v>
      </c>
    </row>
    <row r="6">
      <c r="A6" s="18" t="inlineStr">
        <is>
          <t>SG&amp;A &amp; Other</t>
        </is>
      </c>
      <c r="B6" s="52" t="n">
        <v>33.743</v>
      </c>
      <c r="C6" s="52" t="n">
        <v>36.447</v>
      </c>
      <c r="D6" s="52" t="n">
        <v>40.373</v>
      </c>
      <c r="E6" s="52" t="n">
        <v>46.974</v>
      </c>
      <c r="F6" s="52" t="n">
        <v>47.298</v>
      </c>
      <c r="G6" s="52" t="n">
        <v>48.275</v>
      </c>
      <c r="H6" s="52" t="n">
        <v>58.044</v>
      </c>
      <c r="I6" s="52" t="n">
        <v>63.109</v>
      </c>
      <c r="J6" s="52" t="n">
        <v>65.157</v>
      </c>
      <c r="K6" s="52" t="n">
        <v>68.92</v>
      </c>
      <c r="L6" s="52" t="n">
        <v>66.592</v>
      </c>
      <c r="M6" s="52" t="n">
        <v>80.393</v>
      </c>
      <c r="N6" s="52" t="n">
        <v>94.52200000000001</v>
      </c>
      <c r="O6" s="52" t="n">
        <v>129.81</v>
      </c>
      <c r="P6" s="52">
        <f>P7-P5</f>
        <v>147.13934692579642</v>
      </c>
      <c r="Q6" s="52">
        <f>Q7-Q5</f>
        <v>147.6667608902332</v>
      </c>
      <c r="R6" s="52">
        <f>R7-R5</f>
        <v>148.03131356312997</v>
      </c>
      <c r="S6" s="52">
        <f>S7-S5</f>
        <v>148.2268032513947</v>
      </c>
      <c r="T6" s="52">
        <f>T7-T5</f>
        <v>148.24716928899488</v>
      </c>
      <c r="U6" s="52">
        <f>U7-U5</f>
        <v>148.08651158405732</v>
      </c>
      <c r="V6" s="52">
        <f>V7-V5</f>
        <v>147.73911029281936</v>
      </c>
      <c r="W6" s="52">
        <f>W7-W5</f>
        <v>147.19944555635618</v>
      </c>
      <c r="X6" s="52">
        <f>X7-X5</f>
        <v>146.46221723382024</v>
      </c>
      <c r="Y6" s="52">
        <f>Y7-Y5</f>
        <v>145.52236456396707</v>
      </c>
    </row>
    <row r="7">
      <c r="A7" s="2" t="inlineStr">
        <is>
          <t>Operating Expense</t>
        </is>
      </c>
      <c r="B7" s="52">
        <f>SUM(B5:B6)</f>
        <v>64.906</v>
      </c>
      <c r="C7" s="52">
        <f>SUM(C5:C6)</f>
        <v>69.46600000000001</v>
      </c>
      <c r="D7" s="52">
        <f>SUM(D5:D6)</f>
        <v>69.239</v>
      </c>
      <c r="E7" s="52">
        <f>SUM(E5:E6)</f>
        <v>84.245</v>
      </c>
      <c r="F7" s="52">
        <f>SUM(F5:F6)</f>
        <v>88.82</v>
      </c>
      <c r="G7" s="52">
        <f>SUM(G5:G6)</f>
        <v>91.77799999999999</v>
      </c>
      <c r="H7" s="52">
        <f>SUM(H5:H6)</f>
        <v>115.608</v>
      </c>
      <c r="I7" s="52">
        <f>SUM(I5:I6)</f>
        <v>131.962</v>
      </c>
      <c r="J7" s="52">
        <f>SUM(J5:J6)</f>
        <v>132.386</v>
      </c>
      <c r="K7" s="52">
        <f>SUM(K5:K6)</f>
        <v>129.852</v>
      </c>
      <c r="L7" s="52">
        <f>SUM(L5:L6)</f>
        <v>141.363</v>
      </c>
      <c r="M7" s="52">
        <f>SUM(M5:M6)</f>
        <v>154.13400000000001</v>
      </c>
      <c r="N7" s="52">
        <f>SUM(N5:N6)</f>
        <v>168.436</v>
      </c>
      <c r="O7" s="52">
        <f>SUM(O5:O6)</f>
        <v>215.654</v>
      </c>
      <c r="P7" s="52">
        <f>P4-P2*NPV!C6</f>
        <v>244.45812747266393</v>
      </c>
      <c r="Q7" s="52">
        <f>Q4-Q2*NPV!D6</f>
        <v>245.33437595984918</v>
      </c>
      <c r="R7" s="52">
        <f>R4-R2*NPV!E6</f>
        <v>245.9400457935371</v>
      </c>
      <c r="S7" s="52">
        <f>S4-S2*NPV!F6</f>
        <v>246.26483344641088</v>
      </c>
      <c r="T7" s="52">
        <f>T4-T2*NPV!G6</f>
        <v>246.29866969429287</v>
      </c>
      <c r="U7" s="52">
        <f>U4-U2*NPV!H6</f>
        <v>246.03175209180483</v>
      </c>
      <c r="V7" s="52">
        <f>V4-V2*NPV!I6</f>
        <v>245.45457765877944</v>
      </c>
      <c r="W7" s="52">
        <f>W4-W2*NPV!J6</f>
        <v>244.55797567096891</v>
      </c>
      <c r="X7" s="52">
        <f>X4-X2*NPV!K6</f>
        <v>243.33314044495805</v>
      </c>
      <c r="Y7" s="52">
        <f>Y4-Y2*NPV!L6</f>
        <v>241.7716640039327</v>
      </c>
    </row>
    <row r="8">
      <c r="A8" s="2" t="inlineStr">
        <is>
          <t>Operating Income</t>
        </is>
      </c>
      <c r="B8" s="52">
        <f>B4-B7</f>
        <v>25.397000000000006</v>
      </c>
      <c r="C8" s="52">
        <f>C4-C7</f>
        <v>17.49000000000001</v>
      </c>
      <c r="D8" s="52">
        <f>D4-D7</f>
        <v>-17.983000000000004</v>
      </c>
      <c r="E8" s="52">
        <f>E4-E7</f>
        <v>-6.897999999999996</v>
      </c>
      <c r="F8" s="52">
        <f>F4-F7</f>
        <v>15.376000000000005</v>
      </c>
      <c r="G8" s="52">
        <f>G4-G7</f>
        <v>-1.268999999999977</v>
      </c>
      <c r="H8" s="52">
        <f>H4-H7</f>
        <v>-8.623000000000019</v>
      </c>
      <c r="I8" s="52">
        <f>I4-I7</f>
        <v>-0.038999999999958845</v>
      </c>
      <c r="J8" s="52">
        <f>J4-J7</f>
        <v>10.954000000000008</v>
      </c>
      <c r="K8" s="52">
        <f>K4-K7</f>
        <v>69.88699999999997</v>
      </c>
      <c r="L8" s="52">
        <f>L4-L7</f>
        <v>107.49700000000001</v>
      </c>
      <c r="M8" s="52">
        <f>M4-M7</f>
        <v>196.98699999999997</v>
      </c>
      <c r="N8" s="52">
        <f>N4-N7</f>
        <v>205.41899999999995</v>
      </c>
      <c r="O8" s="52">
        <f>O4-O7</f>
        <v>140.40299999999996</v>
      </c>
      <c r="P8" s="52">
        <f>P4-P7</f>
        <v>122.066032367216</v>
      </c>
      <c r="Q8" s="52">
        <f>Q4-Q7</f>
        <v>131.78640459006817</v>
      </c>
      <c r="R8" s="52">
        <f>R4-R7</f>
        <v>141.89934538578783</v>
      </c>
      <c r="S8" s="52">
        <f>S4-S7</f>
        <v>152.40820472652325</v>
      </c>
      <c r="T8" s="52">
        <f>T4-T7</f>
        <v>163.31572852627625</v>
      </c>
      <c r="U8" s="52">
        <f>U4-U7</f>
        <v>174.6240297963543</v>
      </c>
      <c r="V8" s="52">
        <f>V4-V7</f>
        <v>186.33456059001958</v>
      </c>
      <c r="W8" s="52">
        <f>W4-W7</f>
        <v>198.44808485811564</v>
      </c>
      <c r="X8" s="52">
        <f>X4-X7</f>
        <v>210.9646523380567</v>
      </c>
      <c r="Y8" s="52">
        <f>Y4-Y7</f>
        <v>223.8835735986574</v>
      </c>
    </row>
    <row r="9">
      <c r="A9" s="18" t="inlineStr">
        <is>
          <t>Interest &amp; Other</t>
        </is>
      </c>
      <c r="B9" s="52" t="n">
        <v>0.481</v>
      </c>
      <c r="C9" s="52" t="n">
        <v>-0.263</v>
      </c>
      <c r="D9" s="52" t="n">
        <v>-0.165</v>
      </c>
      <c r="E9" s="52" t="n">
        <v>-3.466</v>
      </c>
      <c r="F9" s="52" t="n">
        <v>-0.746</v>
      </c>
      <c r="G9" s="52" t="n">
        <v>2.518</v>
      </c>
      <c r="H9" s="52" t="n">
        <v>-0.381</v>
      </c>
      <c r="I9" s="52" t="n">
        <v>62.701</v>
      </c>
      <c r="J9" s="52" t="n">
        <v>-6.011</v>
      </c>
      <c r="K9" s="52" t="n">
        <v>12.859</v>
      </c>
      <c r="L9" s="52" t="n">
        <v>7.366</v>
      </c>
      <c r="M9" s="52" t="n">
        <v>-27.609</v>
      </c>
      <c r="N9" s="52" t="n">
        <v>-16.228</v>
      </c>
      <c r="O9" s="52" t="n">
        <v>-16.779</v>
      </c>
      <c r="P9" s="52" t="n">
        <v>0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0</v>
      </c>
      <c r="V9" s="52" t="n">
        <v>0</v>
      </c>
      <c r="W9" s="52" t="n">
        <v>0</v>
      </c>
      <c r="X9" s="52" t="n">
        <v>0</v>
      </c>
      <c r="Y9" s="52" t="n">
        <v>0</v>
      </c>
    </row>
    <row r="10">
      <c r="A10" s="2" t="inlineStr">
        <is>
          <t>Pretax</t>
        </is>
      </c>
      <c r="B10" s="52">
        <f>B8+B9</f>
        <v>25.878000000000007</v>
      </c>
      <c r="C10" s="52">
        <f>C8+C9</f>
        <v>17.227000000000007</v>
      </c>
      <c r="D10" s="52">
        <f>D8+D9</f>
        <v>-18.148000000000003</v>
      </c>
      <c r="E10" s="52">
        <f>E8+E9</f>
        <v>-10.363999999999997</v>
      </c>
      <c r="F10" s="52">
        <f>F8+F9</f>
        <v>14.630000000000004</v>
      </c>
      <c r="G10" s="52">
        <f>G8+G9</f>
        <v>1.2490000000000228</v>
      </c>
      <c r="H10" s="52">
        <f>H8+H9</f>
        <v>-9.004000000000019</v>
      </c>
      <c r="I10" s="52">
        <f>I8+I9</f>
        <v>62.66200000000004</v>
      </c>
      <c r="J10" s="52">
        <f>J8+J9</f>
        <v>4.943000000000008</v>
      </c>
      <c r="K10" s="52">
        <f>K8+K9</f>
        <v>82.74599999999997</v>
      </c>
      <c r="L10" s="52">
        <f>L8+L9</f>
        <v>114.86300000000001</v>
      </c>
      <c r="M10" s="52">
        <f>M8+M9</f>
        <v>169.37799999999996</v>
      </c>
      <c r="N10" s="52">
        <f>N8+N9</f>
        <v>189.19099999999995</v>
      </c>
      <c r="O10" s="52">
        <f>O8+O9</f>
        <v>123.62399999999997</v>
      </c>
      <c r="P10" s="52">
        <f>P8+P9</f>
        <v>122.066032367216</v>
      </c>
      <c r="Q10" s="52">
        <f>Q8+Q9</f>
        <v>131.78640459006817</v>
      </c>
      <c r="R10" s="52">
        <f>R8+R9</f>
        <v>141.89934538578783</v>
      </c>
      <c r="S10" s="52">
        <f>S8+S9</f>
        <v>152.40820472652325</v>
      </c>
      <c r="T10" s="52">
        <f>T8+T9</f>
        <v>163.31572852627625</v>
      </c>
      <c r="U10" s="52">
        <f>U8+U9</f>
        <v>174.6240297963543</v>
      </c>
      <c r="V10" s="52">
        <f>V8+V9</f>
        <v>186.33456059001958</v>
      </c>
      <c r="W10" s="52">
        <f>W8+W9</f>
        <v>198.44808485811564</v>
      </c>
      <c r="X10" s="52">
        <f>X8+X9</f>
        <v>210.9646523380567</v>
      </c>
      <c r="Y10" s="52">
        <f>Y8+Y9</f>
        <v>223.8835735986574</v>
      </c>
    </row>
    <row r="11">
      <c r="A11" s="2" t="inlineStr">
        <is>
          <t>Taxes</t>
        </is>
      </c>
      <c r="B11" s="52" t="n">
        <v>7.784</v>
      </c>
      <c r="C11" s="52" t="n">
        <v>5.365</v>
      </c>
      <c r="D11" s="52" t="n">
        <v>-7.449</v>
      </c>
      <c r="E11" s="52" t="n">
        <v>-7.577</v>
      </c>
      <c r="F11" s="52" t="n">
        <v>4.81</v>
      </c>
      <c r="G11" s="52" t="n">
        <v>-2.398</v>
      </c>
      <c r="H11" s="52" t="n">
        <v>-3.266</v>
      </c>
      <c r="I11" s="52" t="n">
        <v>13.723</v>
      </c>
      <c r="J11" s="52" t="n">
        <v>3.54</v>
      </c>
      <c r="K11" s="52" t="n">
        <v>20.63</v>
      </c>
      <c r="L11" s="52" t="n">
        <v>23.477</v>
      </c>
      <c r="M11" s="52" t="n">
        <v>31.833</v>
      </c>
      <c r="N11" s="52" t="n">
        <v>29.672</v>
      </c>
      <c r="O11" s="52" t="n">
        <v>25.53</v>
      </c>
      <c r="P11" s="52">
        <f>MAX(0,P10)*Assumptions!$E$14</f>
        <v>20.75122550242672</v>
      </c>
      <c r="Q11" s="52">
        <f>MAX(0,Q10)*Assumptions!$E$14</f>
        <v>22.40368878031159</v>
      </c>
      <c r="R11" s="52">
        <f>MAX(0,R10)*Assumptions!$E$14</f>
        <v>24.122888715583933</v>
      </c>
      <c r="S11" s="52">
        <f>MAX(0,S10)*Assumptions!$E$14</f>
        <v>25.909394803508956</v>
      </c>
      <c r="T11" s="52">
        <f>MAX(0,T10)*Assumptions!$E$14</f>
        <v>27.763673849466965</v>
      </c>
      <c r="U11" s="52">
        <f>MAX(0,U10)*Assumptions!$E$14</f>
        <v>29.686085065380233</v>
      </c>
      <c r="V11" s="52">
        <f>MAX(0,V10)*Assumptions!$E$14</f>
        <v>31.67687530030333</v>
      </c>
      <c r="W11" s="52">
        <f>MAX(0,W10)*Assumptions!$E$14</f>
        <v>33.73617442587966</v>
      </c>
      <c r="X11" s="52">
        <f>MAX(0,X10)*Assumptions!$E$14</f>
        <v>35.86399089746964</v>
      </c>
      <c r="Y11" s="52">
        <f>MAX(0,Y10)*Assumptions!$E$14</f>
        <v>38.06020751177176</v>
      </c>
    </row>
    <row r="12">
      <c r="A12" s="2" t="inlineStr">
        <is>
          <t>Net Income</t>
        </is>
      </c>
      <c r="B12" s="52" t="n">
        <v>18.094</v>
      </c>
      <c r="C12" s="52" t="n">
        <v>11.862</v>
      </c>
      <c r="D12" s="52" t="n">
        <v>-10.699</v>
      </c>
      <c r="E12" s="52" t="n">
        <v>-2.787</v>
      </c>
      <c r="F12" s="52" t="n">
        <v>9.82</v>
      </c>
      <c r="G12" s="52" t="n">
        <v>3.647</v>
      </c>
      <c r="H12" s="52" t="n">
        <v>-5.738</v>
      </c>
      <c r="I12" s="52" t="n">
        <v>48.939</v>
      </c>
      <c r="J12" s="52" t="n">
        <v>1.403</v>
      </c>
      <c r="K12" s="52" t="n">
        <v>62.116</v>
      </c>
      <c r="L12" s="52" t="n">
        <v>91.386</v>
      </c>
      <c r="M12" s="52" t="n">
        <v>137.545</v>
      </c>
      <c r="N12" s="52" t="n">
        <v>159.519</v>
      </c>
      <c r="O12" s="52" t="n">
        <v>98.09399999999999</v>
      </c>
      <c r="P12" s="52">
        <f>P10-P11</f>
        <v>101.31480686478928</v>
      </c>
      <c r="Q12" s="52">
        <f>Q10-Q11</f>
        <v>109.38271580975658</v>
      </c>
      <c r="R12" s="52">
        <f>R10-R11</f>
        <v>117.77645667020388</v>
      </c>
      <c r="S12" s="52">
        <f>S10-S11</f>
        <v>126.49880992301429</v>
      </c>
      <c r="T12" s="52">
        <f>T10-T11</f>
        <v>135.5520546768093</v>
      </c>
      <c r="U12" s="52">
        <f>U10-U11</f>
        <v>144.93794473097407</v>
      </c>
      <c r="V12" s="52">
        <f>V10-V11</f>
        <v>154.65768528971626</v>
      </c>
      <c r="W12" s="52">
        <f>W10-W11</f>
        <v>164.71191043223598</v>
      </c>
      <c r="X12" s="52">
        <f>X10-X11</f>
        <v>175.10066144058706</v>
      </c>
      <c r="Y12" s="52">
        <f>Y10-Y11</f>
        <v>185.82336608688564</v>
      </c>
    </row>
    <row r="13">
      <c r="A13" s="2" t="inlineStr">
        <is>
          <t>Earnings per Share</t>
        </is>
      </c>
      <c r="B13" s="11">
        <f>IFERROR(B12/B14,0)</f>
        <v>0.4646635850025681</v>
      </c>
      <c r="C13" s="11">
        <f>IFERROR(C12/C14,0)</f>
        <v>0.3050690533137875</v>
      </c>
      <c r="D13" s="11">
        <f>IFERROR(D12/D14,0)</f>
        <v>-0.25499916581261767</v>
      </c>
      <c r="E13" s="11">
        <f>IFERROR(E12/E14,0)</f>
        <v>-0.06198705544805498</v>
      </c>
      <c r="F13" s="11">
        <f>IFERROR(F12/F14,0)</f>
        <v>0.20671943415291347</v>
      </c>
      <c r="G13" s="11">
        <f>IFERROR(G12/G14,0)</f>
        <v>0.07540265056753571</v>
      </c>
      <c r="H13" s="11">
        <f>IFERROR(H12/H14,0)</f>
        <v>-0.12367712037935122</v>
      </c>
      <c r="I13" s="11">
        <f>IFERROR(I12/I14,0)</f>
        <v>0.9806039232973331</v>
      </c>
      <c r="J13" s="11">
        <f>IFERROR(J12/J14,0)</f>
        <v>0.028560377819395813</v>
      </c>
      <c r="K13" s="11">
        <f>IFERROR(K12/K14,0)</f>
        <v>1.2477101076651134</v>
      </c>
      <c r="L13" s="11">
        <f>IFERROR(L12/L14,0)</f>
        <v>1.743109466496271</v>
      </c>
      <c r="M13" s="11">
        <f>IFERROR(M12/M14,0)</f>
        <v>2.595139714345012</v>
      </c>
      <c r="N13" s="11">
        <f>IFERROR(N12/N14,0)</f>
        <v>3.0642552537554266</v>
      </c>
      <c r="O13" s="11">
        <f>IFERROR(O12/O14,0)</f>
        <v>2.034512081302499</v>
      </c>
      <c r="P13" s="11">
        <f>IFERROR(P12/P14,0)</f>
        <v>2.3817513809503645</v>
      </c>
      <c r="Q13" s="11">
        <f>IFERROR(Q12/Q14,0)</f>
        <v>2.5714152007383473</v>
      </c>
      <c r="R13" s="11">
        <f>IFERROR(R12/R14,0)</f>
        <v>2.7687388151670866</v>
      </c>
      <c r="S13" s="11">
        <f>IFERROR(S12/S14,0)</f>
        <v>2.973787588864527</v>
      </c>
      <c r="T13" s="11">
        <f>IFERROR(T12/T14,0)</f>
        <v>3.1866151000812186</v>
      </c>
      <c r="U13" s="11">
        <f>IFERROR(U12/U14,0)</f>
        <v>3.4072625778757444</v>
      </c>
      <c r="V13" s="11">
        <f>IFERROR(V12/V14,0)</f>
        <v>3.6357583546989543</v>
      </c>
      <c r="W13" s="11">
        <f>IFERROR(W12/W14,0)</f>
        <v>3.872117336753181</v>
      </c>
      <c r="X13" s="11">
        <f>IFERROR(X12/X14,0)</f>
        <v>4.116340494514428</v>
      </c>
      <c r="Y13" s="11">
        <f>IFERROR(Y12/Y14,0)</f>
        <v>4.368414375807294</v>
      </c>
    </row>
    <row r="14">
      <c r="A14" s="2" t="inlineStr">
        <is>
          <t>Shares</t>
        </is>
      </c>
      <c r="B14" s="52" t="n">
        <v>38.94</v>
      </c>
      <c r="C14" s="52" t="n">
        <v>38.883</v>
      </c>
      <c r="D14" s="52" t="n">
        <v>41.957</v>
      </c>
      <c r="E14" s="52" t="n">
        <v>44.961</v>
      </c>
      <c r="F14" s="52" t="n">
        <v>47.504</v>
      </c>
      <c r="G14" s="52" t="n">
        <v>48.367</v>
      </c>
      <c r="H14" s="52" t="n">
        <v>46.395</v>
      </c>
      <c r="I14" s="52" t="n">
        <v>49.907</v>
      </c>
      <c r="J14" s="52" t="n">
        <v>49.124</v>
      </c>
      <c r="K14" s="52" t="n">
        <v>49.784</v>
      </c>
      <c r="L14" s="52" t="n">
        <v>52.427</v>
      </c>
      <c r="M14" s="52" t="n">
        <v>53.001</v>
      </c>
      <c r="N14" s="52" t="n">
        <v>52.058</v>
      </c>
      <c r="O14" s="52" t="n">
        <v>48.215</v>
      </c>
      <c r="P14" s="52">
        <f>Main!$C$4</f>
        <v>42.537944</v>
      </c>
      <c r="Q14" s="52">
        <f>Main!$C$4</f>
        <v>42.537944</v>
      </c>
      <c r="R14" s="52">
        <f>Main!$C$4</f>
        <v>42.537944</v>
      </c>
      <c r="S14" s="52">
        <f>Main!$C$4</f>
        <v>42.537944</v>
      </c>
      <c r="T14" s="52">
        <f>Main!$C$4</f>
        <v>42.537944</v>
      </c>
      <c r="U14" s="52">
        <f>Main!$C$4</f>
        <v>42.537944</v>
      </c>
      <c r="V14" s="52">
        <f>Main!$C$4</f>
        <v>42.537944</v>
      </c>
      <c r="W14" s="52">
        <f>Main!$C$4</f>
        <v>42.537944</v>
      </c>
      <c r="X14" s="52">
        <f>Main!$C$4</f>
        <v>42.537944</v>
      </c>
      <c r="Y14" s="52">
        <f>Main!$C$4</f>
        <v>42.537944</v>
      </c>
    </row>
    <row r="15"/>
    <row r="16" customFormat="1" s="4">
      <c r="A16" s="3" t="inlineStr">
        <is>
          <t>Revenue Change</t>
        </is>
      </c>
      <c r="C16" s="15">
        <f>IFERROR(C2/B2-1,"")</f>
        <v>0.12410741815654625</v>
      </c>
      <c r="D16" s="15">
        <f>IFERROR(D2/C2-1,"")</f>
        <v>-0.08368127968791494</v>
      </c>
      <c r="E16" s="15">
        <f>IFERROR(E2/D2-1,"")</f>
        <v>0.19508602543939246</v>
      </c>
      <c r="F16" s="15">
        <f>IFERROR(F2/E2-1,"")</f>
        <v>0.014495922773229752</v>
      </c>
      <c r="G16" s="15">
        <f>IFERROR(G2/F2-1,"")</f>
        <v>-0.05874630141281123</v>
      </c>
      <c r="H16" s="15">
        <f>IFERROR(H2/G2-1,"")</f>
        <v>0.2268803997085458</v>
      </c>
      <c r="I16" s="15">
        <f>IFERROR(I2/H2-1,"")</f>
        <v>0.09397419451175248</v>
      </c>
      <c r="J16" s="15">
        <f>IFERROR(J2/I2-1,"")</f>
        <v>0.08527502117217867</v>
      </c>
      <c r="K16" s="15">
        <f>IFERROR(K2/J2-1,"")</f>
        <v>0.2513162934548343</v>
      </c>
      <c r="L16" s="15">
        <f>IFERROR(L2/K2-1,"")</f>
        <v>0.1398434787375964</v>
      </c>
      <c r="M16" s="15">
        <f>IFERROR(M2/L2-1,"")</f>
        <v>0.29140638934481244</v>
      </c>
      <c r="N16" s="15">
        <f>IFERROR(N2/M2-1,"")</f>
        <v>0.1358980128647802</v>
      </c>
      <c r="O16" s="15">
        <f>IFERROR(O2/N2-1,"")</f>
        <v>-0.016503476249612348</v>
      </c>
      <c r="P16" s="15">
        <f>IFERROR(P2/O2-1,"")</f>
        <v>0.029400000000000093</v>
      </c>
      <c r="Q16" s="15">
        <f>IFERROR(Q2/P2-1,"")</f>
        <v>0.02891111111111111</v>
      </c>
      <c r="R16" s="15">
        <f>IFERROR(R2/Q2-1,"")</f>
        <v>0.028422222222222127</v>
      </c>
      <c r="S16" s="15">
        <f>IFERROR(S2/R2-1,"")</f>
        <v>0.027933333333333366</v>
      </c>
      <c r="T16" s="15">
        <f>IFERROR(T2/S2-1,"")</f>
        <v>0.027444444444444382</v>
      </c>
      <c r="U16" s="15">
        <f>IFERROR(U2/T2-1,"")</f>
        <v>0.02695555555555562</v>
      </c>
      <c r="V16" s="15">
        <f>IFERROR(V2/U2-1,"")</f>
        <v>0.02646666666666664</v>
      </c>
      <c r="W16" s="15">
        <f>IFERROR(W2/V2-1,"")</f>
        <v>0.025977777777777877</v>
      </c>
      <c r="X16" s="15">
        <f>IFERROR(X2/W2-1,"")</f>
        <v>0.025488888888888894</v>
      </c>
      <c r="Y16" s="15">
        <f>IFERROR(Y2/X2-1,"")</f>
        <v>0.02499999999999991</v>
      </c>
    </row>
    <row r="17" customFormat="1" s="4">
      <c r="A17" s="3" t="inlineStr">
        <is>
          <t>Gross Margin</t>
        </is>
      </c>
      <c r="B17" s="15">
        <f>IFERROR(B4/B2,"")</f>
        <v>0.4419619915525908</v>
      </c>
      <c r="C17" s="15">
        <f>IFERROR(C4/C2,"")</f>
        <v>0.37859465954954924</v>
      </c>
      <c r="D17" s="15">
        <f>IFERROR(D4/D2,"")</f>
        <v>0.24354155876860795</v>
      </c>
      <c r="E17" s="15">
        <f>IFERROR(E4/E2,"")</f>
        <v>0.3075195114484393</v>
      </c>
      <c r="F17" s="15">
        <f>IFERROR(F4/F2,"")</f>
        <v>0.40834753982717065</v>
      </c>
      <c r="G17" s="15">
        <f>IFERROR(G4/G2,"")</f>
        <v>0.3768460497553867</v>
      </c>
      <c r="H17" s="15">
        <f>IFERROR(H4/H2,"")</f>
        <v>0.36307208839839</v>
      </c>
      <c r="I17" s="15">
        <f>IFERROR(I4/I2,"")</f>
        <v>0.40924502957900716</v>
      </c>
      <c r="J17" s="15">
        <f>IFERROR(J4/J2,"")</f>
        <v>0.409723135322399</v>
      </c>
      <c r="K17" s="15">
        <f>IFERROR(K4/K2,"")</f>
        <v>0.4562667897151002</v>
      </c>
      <c r="L17" s="15">
        <f>IFERROR(L4/L2,"")</f>
        <v>0.49873042784681765</v>
      </c>
      <c r="M17" s="15">
        <f>IFERROR(M4/M2,"")</f>
        <v>0.5448847368461891</v>
      </c>
      <c r="N17" s="15">
        <f>IFERROR(N4/N2,"")</f>
        <v>0.5107539001075184</v>
      </c>
      <c r="O17" s="15">
        <f>IFERROR(O4/O2,"")</f>
        <v>0.4946012360273209</v>
      </c>
      <c r="P17" s="15">
        <f>IFERROR(P4/P2,"")</f>
        <v>0.49459999999999993</v>
      </c>
      <c r="Q17" s="15">
        <f>IFERROR(Q4/Q2,"")</f>
        <v>0.49459999999999993</v>
      </c>
      <c r="R17" s="15">
        <f>IFERROR(R4/R2,"")</f>
        <v>0.4945999999999999</v>
      </c>
      <c r="S17" s="15">
        <f>IFERROR(S4/S2,"")</f>
        <v>0.49459999999999993</v>
      </c>
      <c r="T17" s="15">
        <f>IFERROR(T4/T2,"")</f>
        <v>0.49459999999999993</v>
      </c>
      <c r="U17" s="15">
        <f>IFERROR(U4/U2,"")</f>
        <v>0.4946</v>
      </c>
      <c r="V17" s="15">
        <f>IFERROR(V4/V2,"")</f>
        <v>0.49459999999999993</v>
      </c>
      <c r="W17" s="15">
        <f>IFERROR(W4/W2,"")</f>
        <v>0.49459999999999993</v>
      </c>
      <c r="X17" s="15">
        <f>IFERROR(X4/X2,"")</f>
        <v>0.49459999999999993</v>
      </c>
      <c r="Y17" s="15">
        <f>IFERROR(Y4/Y2,"")</f>
        <v>0.49459999999999993</v>
      </c>
    </row>
    <row r="18">
      <c r="A18" s="14" t="inlineStr">
        <is>
          <t>Operating Margin</t>
        </is>
      </c>
      <c r="B18" s="15">
        <f>IFERROR(B8/B2,"")</f>
        <v>0.12429829240956723</v>
      </c>
      <c r="C18" s="15">
        <f>IFERROR(C8/C2,"")</f>
        <v>0.07614909374306106</v>
      </c>
      <c r="D18" s="15">
        <f>IFERROR(D8/D2,"")</f>
        <v>-0.08544575954689944</v>
      </c>
      <c r="E18" s="15">
        <f>IFERROR(E8/E2,"")</f>
        <v>-0.027425363491426078</v>
      </c>
      <c r="F18" s="15">
        <f>IFERROR(F8/F2,"")</f>
        <v>0.0602590480669371</v>
      </c>
      <c r="G18" s="15">
        <f>IFERROR(G8/G2,"")</f>
        <v>-0.005283647340480803</v>
      </c>
      <c r="H18" s="15">
        <f>IFERROR(H8/H2,"")</f>
        <v>-0.029263640867965828</v>
      </c>
      <c r="I18" s="15">
        <f>IFERROR(I8/I2,"")</f>
        <v>-0.0001209838781225748</v>
      </c>
      <c r="J18" s="15">
        <f>IFERROR(J8/J2,"")</f>
        <v>0.03131091966179407</v>
      </c>
      <c r="K18" s="15">
        <f>IFERROR(K8/K2,"")</f>
        <v>0.15964392098097618</v>
      </c>
      <c r="L18" s="15">
        <f>IFERROR(L8/L2,"")</f>
        <v>0.21543046211624753</v>
      </c>
      <c r="M18" s="15">
        <f>IFERROR(M8/M2,"")</f>
        <v>0.3056929367856671</v>
      </c>
      <c r="N18" s="15">
        <f>IFERROR(N8/N2,"")</f>
        <v>0.28063970097012564</v>
      </c>
      <c r="O18" s="15">
        <f>IFERROR(O8/O2,"")</f>
        <v>0.19503477629127902</v>
      </c>
      <c r="P18" s="15">
        <f>IFERROR(P8/P2,"")</f>
        <v>0.16472</v>
      </c>
      <c r="Q18" s="15">
        <f>IFERROR(Q8/Q2,"")</f>
        <v>0.17283999999999997</v>
      </c>
      <c r="R18" s="15">
        <f>IFERROR(R8/R2,"")</f>
        <v>0.18096</v>
      </c>
      <c r="S18" s="15">
        <f>IFERROR(S8/S2,"")</f>
        <v>0.18908</v>
      </c>
      <c r="T18" s="15">
        <f>IFERROR(T8/T2,"")</f>
        <v>0.1972</v>
      </c>
      <c r="U18" s="15">
        <f>IFERROR(U8/U2,"")</f>
        <v>0.20532</v>
      </c>
      <c r="V18" s="15">
        <f>IFERROR(V8/V2,"")</f>
        <v>0.21344000000000002</v>
      </c>
      <c r="W18" s="15">
        <f>IFERROR(W8/W2,"")</f>
        <v>0.22156</v>
      </c>
      <c r="X18" s="15">
        <f>IFERROR(X8/X2,"")</f>
        <v>0.22968</v>
      </c>
      <c r="Y18" s="15">
        <f>IFERROR(Y8/Y2,"")</f>
        <v>0.2378</v>
      </c>
    </row>
    <row r="19">
      <c r="A19" s="14" t="inlineStr">
        <is>
          <t>Actual / Estimate</t>
        </is>
      </c>
      <c r="B19" s="19" t="inlineStr">
        <is>
          <t>A</t>
        </is>
      </c>
      <c r="C19" s="19" t="inlineStr">
        <is>
          <t>A</t>
        </is>
      </c>
      <c r="D19" s="19" t="inlineStr">
        <is>
          <t>A</t>
        </is>
      </c>
      <c r="E19" s="19" t="inlineStr">
        <is>
          <t>A</t>
        </is>
      </c>
      <c r="F19" s="19" t="inlineStr">
        <is>
          <t>A</t>
        </is>
      </c>
      <c r="G19" s="19" t="inlineStr">
        <is>
          <t>A</t>
        </is>
      </c>
      <c r="H19" s="19" t="inlineStr">
        <is>
          <t>A</t>
        </is>
      </c>
      <c r="I19" s="19" t="inlineStr">
        <is>
          <t>A</t>
        </is>
      </c>
      <c r="J19" s="19" t="inlineStr">
        <is>
          <t>A</t>
        </is>
      </c>
      <c r="K19" s="19" t="inlineStr">
        <is>
          <t>A</t>
        </is>
      </c>
      <c r="L19" s="19" t="inlineStr">
        <is>
          <t>A</t>
        </is>
      </c>
      <c r="M19" s="19" t="inlineStr">
        <is>
          <t>A</t>
        </is>
      </c>
      <c r="N19" s="19" t="inlineStr">
        <is>
          <t>A</t>
        </is>
      </c>
      <c r="O19" s="19" t="inlineStr">
        <is>
          <t>A</t>
        </is>
      </c>
      <c r="P19" s="19" t="inlineStr">
        <is>
          <t>E</t>
        </is>
      </c>
      <c r="Q19" s="19" t="inlineStr">
        <is>
          <t>E</t>
        </is>
      </c>
      <c r="R19" s="19" t="inlineStr">
        <is>
          <t>E</t>
        </is>
      </c>
      <c r="S19" s="19" t="inlineStr">
        <is>
          <t>E</t>
        </is>
      </c>
      <c r="T19" s="19" t="inlineStr">
        <is>
          <t>E</t>
        </is>
      </c>
      <c r="U19" s="19" t="inlineStr">
        <is>
          <t>E</t>
        </is>
      </c>
      <c r="V19" s="19" t="inlineStr">
        <is>
          <t>E</t>
        </is>
      </c>
      <c r="W19" s="19" t="inlineStr">
        <is>
          <t>E</t>
        </is>
      </c>
      <c r="X19" s="19" t="inlineStr">
        <is>
          <t>E</t>
        </is>
      </c>
      <c r="Y19" s="19" t="inlineStr">
        <is>
          <t>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44" customWidth="1" style="9" min="1" max="1"/>
    <col width="14" customWidth="1" style="9" min="2" max="2"/>
    <col width="14" customWidth="1" style="9" min="3" max="3"/>
    <col width="14" customWidth="1" style="9" min="4" max="4"/>
    <col width="14" customWidth="1" style="9" min="5" max="5"/>
    <col width="14" customWidth="1" style="9" min="6" max="6"/>
  </cols>
  <sheetData>
    <row r="1">
      <c r="A1" s="20" t="inlineStr">
        <is>
          <t>Amphastar Pharmaceuticals, Inc.: basic DCF assumptions</t>
        </is>
      </c>
    </row>
    <row r="2">
      <c r="A2" s="21" t="inlineStr">
        <is>
          <t>Blue = input, black = formula, green = link. $mm unless noted.</t>
        </is>
      </c>
    </row>
    <row r="4">
      <c r="A4" s="20" t="inlineStr">
        <is>
          <t>Scenario (1 Bear, 2 Base, 3 Bull)</t>
        </is>
      </c>
      <c r="B4" s="22" t="n">
        <v>2</v>
      </c>
      <c r="C4" s="20" t="str">
        <f>CHOOSE($B$4,"Bear","Base","Bull")</f>
        <v>Base</v>
      </c>
    </row>
    <row r="6">
      <c r="A6" s="14" t="inlineStr">
        <is>
          <t>Discount rate override (blank = scenario)</t>
        </is>
      </c>
      <c r="B6" s="53" t="n"/>
    </row>
    <row r="7">
      <c r="A7" s="14" t="inlineStr">
        <is>
          <t>Terminal growth override (blank = scenario)</t>
        </is>
      </c>
      <c r="B7" s="53" t="n"/>
    </row>
    <row r="9">
      <c r="A9" s="24" t="inlineStr">
        <is>
          <t>Parameter</t>
        </is>
      </c>
      <c r="B9" s="25" t="inlineStr">
        <is>
          <t>Bear</t>
        </is>
      </c>
      <c r="C9" s="25" t="inlineStr">
        <is>
          <t>Base</t>
        </is>
      </c>
      <c r="D9" s="25" t="inlineStr">
        <is>
          <t>Bull</t>
        </is>
      </c>
      <c r="E9" s="25" t="inlineStr">
        <is>
          <t>Live</t>
        </is>
      </c>
    </row>
    <row r="10">
      <c r="A10" s="14" t="inlineStr">
        <is>
          <t>Discount rate</t>
        </is>
      </c>
      <c r="B10" s="53" t="n">
        <v>0.12</v>
      </c>
      <c r="C10" s="53" t="n">
        <v>0.11</v>
      </c>
      <c r="D10" s="53" t="n">
        <v>0.1</v>
      </c>
      <c r="E10" s="54">
        <f>IF(ISNUMBER($B$6),$B$6,CHOOSE($B$4,B10,C10,D10))</f>
        <v>0.11</v>
      </c>
    </row>
    <row r="11">
      <c r="A11" s="14" t="inlineStr">
        <is>
          <t>Terminal growth</t>
        </is>
      </c>
      <c r="B11" s="53" t="n">
        <v>0.02</v>
      </c>
      <c r="C11" s="53" t="n">
        <v>0.025</v>
      </c>
      <c r="D11" s="53" t="n">
        <v>0.03</v>
      </c>
      <c r="E11" s="54">
        <f>IF(ISNUMBER($B$7),$B$7,CHOOSE($B$4,B11,C11,D11))</f>
        <v>0.025</v>
      </c>
    </row>
    <row r="12">
      <c r="A12" s="14" t="inlineStr">
        <is>
          <t>Revenue growth, first forecast year</t>
        </is>
      </c>
      <c r="B12" s="53" t="n">
        <v>-0.0206</v>
      </c>
      <c r="C12" s="53" t="n">
        <v>0.0294</v>
      </c>
      <c r="D12" s="53" t="n">
        <v>0.0794</v>
      </c>
      <c r="E12" s="54">
        <f>CHOOSE($B$4,B12,C12,D12)</f>
        <v>0.0294</v>
      </c>
    </row>
    <row r="13">
      <c r="A13" s="14" t="inlineStr">
        <is>
          <t>Operating margin, year 10</t>
        </is>
      </c>
      <c r="B13" s="53" t="n">
        <v>0.1878</v>
      </c>
      <c r="C13" s="53" t="n">
        <v>0.2378</v>
      </c>
      <c r="D13" s="53" t="n">
        <v>0.2878</v>
      </c>
      <c r="E13" s="54">
        <f>CHOOSE($B$4,B13,C13,D13)</f>
        <v>0.2378</v>
      </c>
    </row>
    <row r="14">
      <c r="A14" s="14" t="inlineStr">
        <is>
          <t>Tax rate on operating income</t>
        </is>
      </c>
      <c r="B14" s="53" t="n">
        <v>0.17</v>
      </c>
      <c r="C14" s="53" t="n">
        <v>0.17</v>
      </c>
      <c r="D14" s="53" t="n">
        <v>0.17</v>
      </c>
      <c r="E14" s="54">
        <f>CHOOSE($B$4,B14,C14,D14)</f>
        <v>0.17</v>
      </c>
    </row>
    <row r="15">
      <c r="A15" s="14" t="inlineStr">
        <is>
          <t>Reinvestment, % of revenue increase</t>
        </is>
      </c>
      <c r="B15" s="53" t="n">
        <v>0.25</v>
      </c>
      <c r="C15" s="53" t="n">
        <v>0.25</v>
      </c>
      <c r="D15" s="53" t="n">
        <v>0.25</v>
      </c>
      <c r="E15" s="54">
        <f>CHOOSE($B$4,B15,C15,D15)</f>
        <v>0.25</v>
      </c>
    </row>
    <row r="17">
      <c r="A17" s="27" t="inlineStr">
        <is>
          <t>Single inputs</t>
        </is>
      </c>
      <c r="B17" s="28" t="n"/>
      <c r="C17" s="28" t="n"/>
      <c r="D17" s="28" t="n"/>
      <c r="E17" s="28" t="n"/>
    </row>
    <row r="18">
      <c r="A18" s="14" t="inlineStr">
        <is>
          <t>Starting operating margin (TTM)</t>
        </is>
      </c>
      <c r="B18" s="53" t="n">
        <v>0.1566</v>
      </c>
    </row>
    <row r="19">
      <c r="A19" s="14" t="inlineStr">
        <is>
          <t>Gross margin (forecast)</t>
        </is>
      </c>
      <c r="B19" s="53" t="n">
        <v>0.4946</v>
      </c>
    </row>
    <row r="20">
      <c r="A20" s="14" t="inlineStr">
        <is>
          <t>R&amp;D share of operating expense (forecast)</t>
        </is>
      </c>
      <c r="B20" s="53" t="n">
        <v>0.3981</v>
      </c>
    </row>
    <row r="21">
      <c r="A21" s="14" t="inlineStr">
        <is>
          <t>Forecast years</t>
        </is>
      </c>
      <c r="B21" s="29" t="n">
        <v>10</v>
      </c>
    </row>
    <row r="22">
      <c r="A22" s="14" t="inlineStr">
        <is>
          <t>First forecast year, fraction after balance sheet date</t>
        </is>
      </c>
      <c r="B22" s="30" t="n">
        <v>0.5041</v>
      </c>
    </row>
    <row r="23">
      <c r="A23" s="14" t="inlineStr">
        <is>
          <t>Balance sheet date</t>
        </is>
      </c>
      <c r="B23" s="31" t="n">
        <v>46203</v>
      </c>
    </row>
    <row r="24">
      <c r="A24" s="14" t="inlineStr">
        <is>
          <t>Reporting currency per USD (USD)</t>
        </is>
      </c>
      <c r="B24" s="32" t="n">
        <v>1</v>
      </c>
    </row>
    <row r="25">
      <c r="A25" s="14" t="inlineStr">
        <is>
          <t>Base revenue, FY2025</t>
        </is>
      </c>
      <c r="B25" s="55">
        <f>'Yearly Model'!O2</f>
        <v>719.887</v>
      </c>
    </row>
    <row r="27">
      <c r="A27" s="27" t="inlineStr">
        <is>
          <t>Scenario summary</t>
        </is>
      </c>
      <c r="B27" s="28" t="n"/>
      <c r="C27" s="28" t="n"/>
      <c r="D27" s="28" t="n"/>
      <c r="E27" s="28" t="n"/>
    </row>
    <row r="28">
      <c r="A28" s="24" t="inlineStr">
        <is>
          <t>Scenario</t>
        </is>
      </c>
      <c r="B28" s="25" t="inlineStr">
        <is>
          <t>Enterprise value</t>
        </is>
      </c>
      <c r="C28" s="25" t="inlineStr">
        <is>
          <t>Equity value</t>
        </is>
      </c>
      <c r="D28" s="25" t="inlineStr">
        <is>
          <t>NPV / share</t>
        </is>
      </c>
      <c r="E28" s="25" t="inlineStr">
        <is>
          <t>Upside</t>
        </is>
      </c>
    </row>
    <row r="29">
      <c r="A29" s="21" t="inlineStr">
        <is>
          <t>Live</t>
        </is>
      </c>
      <c r="B29" s="56">
        <f>NPV!B23</f>
        <v>1594.1887197437516</v>
      </c>
      <c r="C29" s="56">
        <f>NPV!B26</f>
        <v>1272.2597197437517</v>
      </c>
      <c r="D29" s="35">
        <f>NPV!B28</f>
        <v>29.90882022280512</v>
      </c>
      <c r="E29" s="57">
        <f>NPV!B30</f>
        <v>0.1530000085892489</v>
      </c>
    </row>
    <row r="30">
      <c r="A30" s="58" t="n">
        <v>1</v>
      </c>
      <c r="B30" s="59">
        <f t="dataTable" ref="B30:E32" r1="B4"/>
        <v>952.1005255606408</v>
      </c>
      <c r="C30" s="59">
        <v>630.1715255606408</v>
      </c>
      <c r="D30" s="39">
        <v>14.814339065391612</v>
      </c>
      <c r="E30" s="60">
        <v>-0.4288998047266148</v>
      </c>
    </row>
    <row r="31">
      <c r="A31" s="58" t="n">
        <v>2</v>
      </c>
      <c r="B31" s="59">
        <v>1594.1887197437516</v>
      </c>
      <c r="C31" s="59">
        <v>1272.2597197437517</v>
      </c>
      <c r="D31" s="39">
        <v>29.90882022280512</v>
      </c>
      <c r="E31" s="60">
        <v>0.1530000085892489</v>
      </c>
    </row>
    <row r="32">
      <c r="A32" s="58" t="n">
        <v>3</v>
      </c>
      <c r="B32" s="59">
        <v>2778.9831661901526</v>
      </c>
      <c r="C32" s="59">
        <v>2457.0541661901525</v>
      </c>
      <c r="D32" s="39">
        <v>57.76146976426863</v>
      </c>
      <c r="E32" s="60">
        <v>1.226733606949446</v>
      </c>
    </row>
    <row r="35">
      <c r="A35" s="27" t="inlineStr">
        <is>
          <t>NPV / share: discount rate (rows) x terminal growth (columns)</t>
        </is>
      </c>
      <c r="B35" s="28" t="n"/>
      <c r="C35" s="28" t="n"/>
      <c r="D35" s="28" t="n"/>
      <c r="E35" s="28" t="n"/>
      <c r="F35" s="28" t="n"/>
    </row>
    <row r="36">
      <c r="A36" s="35">
        <f>NPV!B28</f>
        <v>29.90882022280512</v>
      </c>
      <c r="B36" s="61" t="n">
        <v>0.015</v>
      </c>
      <c r="C36" s="61" t="n">
        <v>0.02</v>
      </c>
      <c r="D36" s="61" t="n">
        <v>0.025</v>
      </c>
      <c r="E36" s="61" t="n">
        <v>0.03</v>
      </c>
      <c r="F36" s="61" t="n">
        <v>0.035</v>
      </c>
    </row>
    <row r="37">
      <c r="A37" s="62" t="n">
        <v>0.09</v>
      </c>
      <c r="B37" s="39">
        <f t="dataTable" ref="B37:F41" dt2D="1" r1="B7" r2="B6"/>
        <v>36.7153105332823</v>
      </c>
      <c r="C37" s="39">
        <v>39.1747318197919</v>
      </c>
      <c r="D37" s="39">
        <v>42.00967931992708</v>
      </c>
      <c r="E37" s="39">
        <v>45.31401058840268</v>
      </c>
      <c r="F37" s="39">
        <v>49.21571302967094</v>
      </c>
    </row>
    <row r="38">
      <c r="A38" s="62" t="n">
        <v>0.1</v>
      </c>
      <c r="B38" s="39">
        <v>31.249614556021598</v>
      </c>
      <c r="C38" s="39">
        <v>33.07282151247083</v>
      </c>
      <c r="D38" s="39">
        <v>35.136748520244886</v>
      </c>
      <c r="E38" s="39">
        <v>37.492958489373265</v>
      </c>
      <c r="F38" s="39">
        <v>40.20887969769383</v>
      </c>
    </row>
    <row r="39">
      <c r="A39" s="62" t="n">
        <v>0.11</v>
      </c>
      <c r="B39" s="39">
        <v>26.96006557722053</v>
      </c>
      <c r="C39" s="39">
        <v>28.353484356084856</v>
      </c>
      <c r="D39" s="39">
        <v>29.90882022280512</v>
      </c>
      <c r="E39" s="39">
        <v>31.656415725721626</v>
      </c>
      <c r="F39" s="39">
        <v>33.63470463703445</v>
      </c>
    </row>
    <row r="40">
      <c r="A40" s="62" t="n">
        <v>0.12</v>
      </c>
      <c r="B40" s="39">
        <v>23.508285530321185</v>
      </c>
      <c r="C40" s="39">
        <v>24.59948996902039</v>
      </c>
      <c r="D40" s="39">
        <v>25.80382598736402</v>
      </c>
      <c r="E40" s="39">
        <v>27.14013432964269</v>
      </c>
      <c r="F40" s="39">
        <v>28.631688750317398</v>
      </c>
    </row>
    <row r="41">
      <c r="A41" s="62" t="n">
        <v>0.13</v>
      </c>
      <c r="B41" s="39">
        <v>20.673837480571123</v>
      </c>
      <c r="C41" s="39">
        <v>21.54558613007783</v>
      </c>
      <c r="D41" s="39">
        <v>22.498853572379815</v>
      </c>
      <c r="E41" s="39">
        <v>23.545855022695545</v>
      </c>
      <c r="F41" s="39">
        <v>24.70137722751762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38" customWidth="1" style="9" min="1" max="1"/>
    <col width="13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</cols>
  <sheetData>
    <row r="1">
      <c r="A1" s="20" t="inlineStr">
        <is>
          <t>Amphastar Pharmaceuticals, Inc.: free-cash-flow DCF ($mm)</t>
        </is>
      </c>
    </row>
    <row r="3">
      <c r="A3" s="20" t="inlineStr">
        <is>
          <t>Fiscal year</t>
        </is>
      </c>
      <c r="B3" s="43">
        <f>'Yearly Model'!O1</f>
        <v>2025</v>
      </c>
      <c r="C3" s="43">
        <f>'Yearly Model'!P1</f>
        <v>2026</v>
      </c>
      <c r="D3" s="43">
        <f>'Yearly Model'!Q1</f>
        <v>2027</v>
      </c>
      <c r="E3" s="43">
        <f>'Yearly Model'!R1</f>
        <v>2028</v>
      </c>
      <c r="F3" s="43">
        <f>'Yearly Model'!S1</f>
        <v>2029</v>
      </c>
      <c r="G3" s="43">
        <f>'Yearly Model'!T1</f>
        <v>2030</v>
      </c>
      <c r="H3" s="43">
        <f>'Yearly Model'!U1</f>
        <v>2031</v>
      </c>
      <c r="I3" s="43">
        <f>'Yearly Model'!V1</f>
        <v>2032</v>
      </c>
      <c r="J3" s="43">
        <f>'Yearly Model'!W1</f>
        <v>2033</v>
      </c>
      <c r="K3" s="43">
        <f>'Yearly Model'!X1</f>
        <v>2034</v>
      </c>
      <c r="L3" s="43">
        <f>'Yearly Model'!Y1</f>
        <v>2035</v>
      </c>
    </row>
    <row r="4">
      <c r="A4" s="14" t="inlineStr">
        <is>
          <t>Period</t>
        </is>
      </c>
      <c r="B4" s="19" t="inlineStr">
        <is>
          <t>Actual</t>
        </is>
      </c>
      <c r="C4" s="29" t="n">
        <v>1</v>
      </c>
      <c r="D4" s="29" t="n">
        <v>2</v>
      </c>
      <c r="E4" s="29" t="n">
        <v>3</v>
      </c>
      <c r="F4" s="29" t="n">
        <v>4</v>
      </c>
      <c r="G4" s="29" t="n">
        <v>5</v>
      </c>
      <c r="H4" s="29" t="n">
        <v>6</v>
      </c>
      <c r="I4" s="29" t="n">
        <v>7</v>
      </c>
      <c r="J4" s="29" t="n">
        <v>8</v>
      </c>
      <c r="K4" s="29" t="n">
        <v>9</v>
      </c>
      <c r="L4" s="29" t="n">
        <v>10</v>
      </c>
    </row>
    <row r="5">
      <c r="A5" s="14" t="inlineStr">
        <is>
          <t>Revenue growth</t>
        </is>
      </c>
      <c r="C5" s="63">
        <f>Assumptions!$E$12+(Assumptions!$E$11-Assumptions!$E$12)*(C4-1)/(Assumptions!$B$21-1)</f>
        <v>0.0294</v>
      </c>
      <c r="D5" s="63">
        <f>Assumptions!$E$12+(Assumptions!$E$11-Assumptions!$E$12)*(D4-1)/(Assumptions!$B$21-1)</f>
        <v>0.02891111111111111</v>
      </c>
      <c r="E5" s="63">
        <f>Assumptions!$E$12+(Assumptions!$E$11-Assumptions!$E$12)*(E4-1)/(Assumptions!$B$21-1)</f>
        <v>0.02842222222222222</v>
      </c>
      <c r="F5" s="63">
        <f>Assumptions!$E$12+(Assumptions!$E$11-Assumptions!$E$12)*(F4-1)/(Assumptions!$B$21-1)</f>
        <v>0.027933333333333334</v>
      </c>
      <c r="G5" s="63">
        <f>Assumptions!$E$12+(Assumptions!$E$11-Assumptions!$E$12)*(G4-1)/(Assumptions!$B$21-1)</f>
        <v>0.027444444444444445</v>
      </c>
      <c r="H5" s="63">
        <f>Assumptions!$E$12+(Assumptions!$E$11-Assumptions!$E$12)*(H4-1)/(Assumptions!$B$21-1)</f>
        <v>0.026955555555555556</v>
      </c>
      <c r="I5" s="63">
        <f>Assumptions!$E$12+(Assumptions!$E$11-Assumptions!$E$12)*(I4-1)/(Assumptions!$B$21-1)</f>
        <v>0.026466666666666666</v>
      </c>
      <c r="J5" s="63">
        <f>Assumptions!$E$12+(Assumptions!$E$11-Assumptions!$E$12)*(J4-1)/(Assumptions!$B$21-1)</f>
        <v>0.02597777777777778</v>
      </c>
      <c r="K5" s="63">
        <f>Assumptions!$E$12+(Assumptions!$E$11-Assumptions!$E$12)*(K4-1)/(Assumptions!$B$21-1)</f>
        <v>0.02548888888888889</v>
      </c>
      <c r="L5" s="63">
        <f>Assumptions!$E$12+(Assumptions!$E$11-Assumptions!$E$12)*(L4-1)/(Assumptions!$B$21-1)</f>
        <v>0.025</v>
      </c>
    </row>
    <row r="6">
      <c r="A6" s="14" t="inlineStr">
        <is>
          <t>Operating margin</t>
        </is>
      </c>
      <c r="B6" s="63">
        <f>IFERROR(B8/B7,0)</f>
        <v>0.19503477629127902</v>
      </c>
      <c r="C6" s="63">
        <f>Assumptions!$B$18+(Assumptions!$E$13-Assumptions!$B$18)*C4/Assumptions!$B$21</f>
        <v>0.16471999999999998</v>
      </c>
      <c r="D6" s="63">
        <f>Assumptions!$B$18+(Assumptions!$E$13-Assumptions!$B$18)*D4/Assumptions!$B$21</f>
        <v>0.17284</v>
      </c>
      <c r="E6" s="63">
        <f>Assumptions!$B$18+(Assumptions!$E$13-Assumptions!$B$18)*E4/Assumptions!$B$21</f>
        <v>0.18096</v>
      </c>
      <c r="F6" s="63">
        <f>Assumptions!$B$18+(Assumptions!$E$13-Assumptions!$B$18)*F4/Assumptions!$B$21</f>
        <v>0.18908</v>
      </c>
      <c r="G6" s="63">
        <f>Assumptions!$B$18+(Assumptions!$E$13-Assumptions!$B$18)*G4/Assumptions!$B$21</f>
        <v>0.1972</v>
      </c>
      <c r="H6" s="63">
        <f>Assumptions!$B$18+(Assumptions!$E$13-Assumptions!$B$18)*H4/Assumptions!$B$21</f>
        <v>0.20532</v>
      </c>
      <c r="I6" s="63">
        <f>Assumptions!$B$18+(Assumptions!$E$13-Assumptions!$B$18)*I4/Assumptions!$B$21</f>
        <v>0.21344000000000002</v>
      </c>
      <c r="J6" s="63">
        <f>Assumptions!$B$18+(Assumptions!$E$13-Assumptions!$B$18)*J4/Assumptions!$B$21</f>
        <v>0.22156</v>
      </c>
      <c r="K6" s="63">
        <f>Assumptions!$B$18+(Assumptions!$E$13-Assumptions!$B$18)*K4/Assumptions!$B$21</f>
        <v>0.22968</v>
      </c>
      <c r="L6" s="63">
        <f>Assumptions!$B$18+(Assumptions!$E$13-Assumptions!$B$18)*L4/Assumptions!$B$21</f>
        <v>0.2378</v>
      </c>
    </row>
    <row r="7">
      <c r="A7" s="14" t="inlineStr">
        <is>
          <t>Revenue</t>
        </is>
      </c>
      <c r="B7" s="55">
        <f>'Yearly Model'!O2</f>
        <v>719.887</v>
      </c>
      <c r="C7" s="55">
        <f>'Yearly Model'!P2</f>
        <v>741.0516778</v>
      </c>
      <c r="D7" s="55">
        <f>'Yearly Model'!Q2</f>
        <v>762.4763051959511</v>
      </c>
      <c r="E7" s="55">
        <f>'Yearly Model'!R2</f>
        <v>784.1475761814092</v>
      </c>
      <c r="F7" s="55">
        <f>'Yearly Model'!S2</f>
        <v>806.05143180941</v>
      </c>
      <c r="G7" s="55">
        <f>'Yearly Model'!T2</f>
        <v>828.1730655490683</v>
      </c>
      <c r="H7" s="55">
        <f>'Yearly Model'!U2</f>
        <v>850.4969306270909</v>
      </c>
      <c r="I7" s="55">
        <f>'Yearly Model'!V2</f>
        <v>873.0067493910212</v>
      </c>
      <c r="J7" s="55">
        <f>'Yearly Model'!W2</f>
        <v>895.6855247252014</v>
      </c>
      <c r="K7" s="55">
        <f>'Yearly Model'!X2</f>
        <v>918.5155535443082</v>
      </c>
      <c r="L7" s="55">
        <f>'Yearly Model'!Y2</f>
        <v>941.4784423829158</v>
      </c>
    </row>
    <row r="8">
      <c r="A8" s="14" t="inlineStr">
        <is>
          <t>Operating income</t>
        </is>
      </c>
      <c r="B8" s="55">
        <f>'Yearly Model'!O8</f>
        <v>140.40299999999996</v>
      </c>
      <c r="C8" s="55">
        <f>'Yearly Model'!P8</f>
        <v>122.066032367216</v>
      </c>
      <c r="D8" s="55">
        <f>'Yearly Model'!Q8</f>
        <v>131.78640459006817</v>
      </c>
      <c r="E8" s="55">
        <f>'Yearly Model'!R8</f>
        <v>141.89934538578783</v>
      </c>
      <c r="F8" s="55">
        <f>'Yearly Model'!S8</f>
        <v>152.40820472652325</v>
      </c>
      <c r="G8" s="55">
        <f>'Yearly Model'!T8</f>
        <v>163.31572852627625</v>
      </c>
      <c r="H8" s="55">
        <f>'Yearly Model'!U8</f>
        <v>174.6240297963543</v>
      </c>
      <c r="I8" s="55">
        <f>'Yearly Model'!V8</f>
        <v>186.33456059001958</v>
      </c>
      <c r="J8" s="55">
        <f>'Yearly Model'!W8</f>
        <v>198.44808485811564</v>
      </c>
      <c r="K8" s="55">
        <f>'Yearly Model'!X8</f>
        <v>210.9646523380567</v>
      </c>
      <c r="L8" s="55">
        <f>'Yearly Model'!Y8</f>
        <v>223.8835735986574</v>
      </c>
    </row>
    <row r="9">
      <c r="A9" s="14" t="inlineStr">
        <is>
          <t>Tax on operating income</t>
        </is>
      </c>
      <c r="C9" s="52">
        <f>MAX(0,C8)*Assumptions!$E$14</f>
        <v>20.75122550242672</v>
      </c>
      <c r="D9" s="52">
        <f>MAX(0,D8)*Assumptions!$E$14</f>
        <v>22.40368878031159</v>
      </c>
      <c r="E9" s="52">
        <f>MAX(0,E8)*Assumptions!$E$14</f>
        <v>24.122888715583933</v>
      </c>
      <c r="F9" s="52">
        <f>MAX(0,F8)*Assumptions!$E$14</f>
        <v>25.909394803508956</v>
      </c>
      <c r="G9" s="52">
        <f>MAX(0,G8)*Assumptions!$E$14</f>
        <v>27.763673849466965</v>
      </c>
      <c r="H9" s="52">
        <f>MAX(0,H8)*Assumptions!$E$14</f>
        <v>29.686085065380233</v>
      </c>
      <c r="I9" s="52">
        <f>MAX(0,I8)*Assumptions!$E$14</f>
        <v>31.67687530030333</v>
      </c>
      <c r="J9" s="52">
        <f>MAX(0,J8)*Assumptions!$E$14</f>
        <v>33.73617442587966</v>
      </c>
      <c r="K9" s="52">
        <f>MAX(0,K8)*Assumptions!$E$14</f>
        <v>35.86399089746964</v>
      </c>
      <c r="L9" s="52">
        <f>MAX(0,L8)*Assumptions!$E$14</f>
        <v>38.06020751177176</v>
      </c>
    </row>
    <row r="10">
      <c r="A10" s="14" t="inlineStr">
        <is>
          <t>NOPAT</t>
        </is>
      </c>
      <c r="C10" s="52">
        <f>C8-C9</f>
        <v>101.31480686478928</v>
      </c>
      <c r="D10" s="52">
        <f>D8-D9</f>
        <v>109.38271580975658</v>
      </c>
      <c r="E10" s="52">
        <f>E8-E9</f>
        <v>117.77645667020388</v>
      </c>
      <c r="F10" s="52">
        <f>F8-F9</f>
        <v>126.49880992301429</v>
      </c>
      <c r="G10" s="52">
        <f>G8-G9</f>
        <v>135.5520546768093</v>
      </c>
      <c r="H10" s="52">
        <f>H8-H9</f>
        <v>144.93794473097407</v>
      </c>
      <c r="I10" s="52">
        <f>I8-I9</f>
        <v>154.65768528971626</v>
      </c>
      <c r="J10" s="52">
        <f>J8-J9</f>
        <v>164.71191043223598</v>
      </c>
      <c r="K10" s="52">
        <f>K8-K9</f>
        <v>175.10066144058706</v>
      </c>
      <c r="L10" s="52">
        <f>L8-L9</f>
        <v>185.82336608688564</v>
      </c>
    </row>
    <row r="11">
      <c r="A11" s="14" t="inlineStr">
        <is>
          <t>Reinvestment</t>
        </is>
      </c>
      <c r="C11" s="52">
        <f>(C7-B7)*Assumptions!$E$15</f>
        <v>5.291169450000012</v>
      </c>
      <c r="D11" s="52">
        <f>(D7-C7)*Assumptions!$E$15</f>
        <v>5.35615684898778</v>
      </c>
      <c r="E11" s="52">
        <f>(E7-D7)*Assumptions!$E$15</f>
        <v>5.417817746364534</v>
      </c>
      <c r="F11" s="52">
        <f>(F7-E7)*Assumptions!$E$15</f>
        <v>5.475963907000192</v>
      </c>
      <c r="G11" s="52">
        <f>(G7-F7)*Assumptions!$E$15</f>
        <v>5.530408434914563</v>
      </c>
      <c r="H11" s="52">
        <f>(H7-G7)*Assumptions!$E$15</f>
        <v>5.580966269505666</v>
      </c>
      <c r="I11" s="52">
        <f>(I7-H7)*Assumptions!$E$15</f>
        <v>5.6274546909825744</v>
      </c>
      <c r="J11" s="52">
        <f>(J7-I7)*Assumptions!$E$15</f>
        <v>5.66969383354504</v>
      </c>
      <c r="K11" s="52">
        <f>(K7-J7)*Assumptions!$E$15</f>
        <v>5.707507204776704</v>
      </c>
      <c r="L11" s="52">
        <f>(L7-K7)*Assumptions!$E$15</f>
        <v>5.740722209651892</v>
      </c>
    </row>
    <row r="12">
      <c r="A12" s="20" t="inlineStr">
        <is>
          <t>Free cash flow</t>
        </is>
      </c>
      <c r="C12" s="64">
        <f>C10-C11</f>
        <v>96.02363741478926</v>
      </c>
      <c r="D12" s="64">
        <f>D10-D11</f>
        <v>104.0265589607688</v>
      </c>
      <c r="E12" s="64">
        <f>E10-E11</f>
        <v>112.35863892383935</v>
      </c>
      <c r="F12" s="64">
        <f>F10-F11</f>
        <v>121.0228460160141</v>
      </c>
      <c r="G12" s="64">
        <f>G10-G11</f>
        <v>130.02164624189473</v>
      </c>
      <c r="H12" s="64">
        <f>H10-H11</f>
        <v>139.3569784614684</v>
      </c>
      <c r="I12" s="64">
        <f>I10-I11</f>
        <v>149.03023059873368</v>
      </c>
      <c r="J12" s="64">
        <f>J10-J11</f>
        <v>159.04221659869094</v>
      </c>
      <c r="K12" s="64">
        <f>K10-K11</f>
        <v>169.39315423581036</v>
      </c>
      <c r="L12" s="64">
        <f>L10-L11</f>
        <v>180.08264387723375</v>
      </c>
    </row>
    <row r="13">
      <c r="A13" s="14" t="inlineStr">
        <is>
          <t>Year fraction</t>
        </is>
      </c>
      <c r="C13" s="46">
        <f>Assumptions!$B$22</f>
        <v>0.5041</v>
      </c>
      <c r="D13" s="11" t="n">
        <v>1</v>
      </c>
      <c r="E13" s="11" t="n">
        <v>1</v>
      </c>
      <c r="F13" s="11" t="n">
        <v>1</v>
      </c>
      <c r="G13" s="11" t="n">
        <v>1</v>
      </c>
      <c r="H13" s="11" t="n">
        <v>1</v>
      </c>
      <c r="I13" s="11" t="n">
        <v>1</v>
      </c>
      <c r="J13" s="11" t="n">
        <v>1</v>
      </c>
      <c r="K13" s="11" t="n">
        <v>1</v>
      </c>
      <c r="L13" s="11" t="n">
        <v>1</v>
      </c>
    </row>
    <row r="14">
      <c r="A14" s="14" t="inlineStr">
        <is>
          <t>Discount time (mid-period)</t>
        </is>
      </c>
      <c r="C14" s="11">
        <f>C13/2</f>
        <v>0.25205</v>
      </c>
      <c r="D14" s="11">
        <f>C14+C13/2+D13/2</f>
        <v>1.0041</v>
      </c>
      <c r="E14" s="11">
        <f>D14+D13/2+E13/2</f>
        <v>2.0041</v>
      </c>
      <c r="F14" s="11">
        <f>E14+E13/2+F13/2</f>
        <v>3.0041</v>
      </c>
      <c r="G14" s="11">
        <f>F14+F13/2+G13/2</f>
        <v>4.0041</v>
      </c>
      <c r="H14" s="11">
        <f>G14+G13/2+H13/2</f>
        <v>5.0041</v>
      </c>
      <c r="I14" s="11">
        <f>H14+H13/2+I13/2</f>
        <v>6.0041</v>
      </c>
      <c r="J14" s="11">
        <f>I14+I13/2+J13/2</f>
        <v>7.0041</v>
      </c>
      <c r="K14" s="11">
        <f>J14+J13/2+K13/2</f>
        <v>8.004100000000001</v>
      </c>
      <c r="L14" s="11">
        <f>K14+K13/2+L13/2</f>
        <v>9.004100000000001</v>
      </c>
    </row>
    <row r="15">
      <c r="A15" s="14" t="inlineStr">
        <is>
          <t>Discount factor</t>
        </is>
      </c>
      <c r="C15" s="65">
        <f>1/(1+Assumptions!$E$10)^C14</f>
        <v>0.9740389933872364</v>
      </c>
      <c r="D15" s="65">
        <f>1/(1+Assumptions!$E$10)^D14</f>
        <v>0.9005155094261971</v>
      </c>
      <c r="E15" s="65">
        <f>1/(1+Assumptions!$E$10)^E14</f>
        <v>0.8112752337172946</v>
      </c>
      <c r="F15" s="65">
        <f>1/(1+Assumptions!$E$10)^F14</f>
        <v>0.7308785889344995</v>
      </c>
      <c r="G15" s="65">
        <f>1/(1+Assumptions!$E$10)^G14</f>
        <v>0.6584491792202698</v>
      </c>
      <c r="H15" s="65">
        <f>1/(1+Assumptions!$E$10)^H14</f>
        <v>0.5931974587569998</v>
      </c>
      <c r="I15" s="65">
        <f>1/(1+Assumptions!$E$10)^I14</f>
        <v>0.534412125006306</v>
      </c>
      <c r="J15" s="65">
        <f>1/(1+Assumptions!$E$10)^J14</f>
        <v>0.4814523648705459</v>
      </c>
      <c r="K15" s="65">
        <f>1/(1+Assumptions!$E$10)^K14</f>
        <v>0.433740869252744</v>
      </c>
      <c r="L15" s="65">
        <f>1/(1+Assumptions!$E$10)^L14</f>
        <v>0.3907575398673369</v>
      </c>
    </row>
    <row r="16">
      <c r="A16" s="20" t="inlineStr">
        <is>
          <t>PV of free cash flow</t>
        </is>
      </c>
      <c r="C16" s="64">
        <f>C12*C13*C15</f>
        <v>47.148859709669566</v>
      </c>
      <c r="D16" s="64">
        <f>D12*D13*D15</f>
        <v>93.67752973641103</v>
      </c>
      <c r="E16" s="64">
        <f>E12*E13*E15</f>
        <v>91.15378105309489</v>
      </c>
      <c r="F16" s="64">
        <f>F12*F13*F15</f>
        <v>88.4530069250216</v>
      </c>
      <c r="G16" s="64">
        <f>G12*G13*G15</f>
        <v>85.61264624884386</v>
      </c>
      <c r="H16" s="64">
        <f>H12*H13*H15</f>
        <v>82.66620548339701</v>
      </c>
      <c r="I16" s="64">
        <f>I12*I13*I15</f>
        <v>79.64356222444907</v>
      </c>
      <c r="J16" s="64">
        <f>J12*J13*J15</f>
        <v>76.57125129569334</v>
      </c>
      <c r="K16" s="64">
        <f>K12*K13*K15</f>
        <v>73.47273396370453</v>
      </c>
      <c r="L16" s="64">
        <f>L12*L13*L15</f>
        <v>70.3686508942736</v>
      </c>
    </row>
    <row r="19">
      <c r="A19" s="14" t="inlineStr">
        <is>
          <t>PV of forecast free cash flow</t>
        </is>
      </c>
      <c r="B19" s="52">
        <f>SUM(C16:L16)</f>
        <v>788.7682275345585</v>
      </c>
    </row>
    <row r="20">
      <c r="A20" s="14" t="inlineStr">
        <is>
          <t>Terminal free cash flow (year 11)</t>
        </is>
      </c>
      <c r="B20" s="52">
        <f>L10*(1+Assumptions!$E$11)-L7*Assumptions!$E$11*Assumptions!$E$15</f>
        <v>184.58470997416453</v>
      </c>
    </row>
    <row r="21">
      <c r="A21" s="14" t="inlineStr">
        <is>
          <t>Terminal value</t>
        </is>
      </c>
      <c r="B21" s="52">
        <f>B20/(Assumptions!$E$10-Assumptions!$E$11)</f>
        <v>2171.5848232254652</v>
      </c>
    </row>
    <row r="22">
      <c r="A22" s="14" t="inlineStr">
        <is>
          <t>PV of terminal value</t>
        </is>
      </c>
      <c r="B22" s="52">
        <f>B21/(1+Assumptions!$E$10)^(L14+0.5)</f>
        <v>805.4204922091931</v>
      </c>
    </row>
    <row r="23">
      <c r="A23" s="20" t="inlineStr">
        <is>
          <t>Enterprise value</t>
        </is>
      </c>
      <c r="B23" s="66">
        <f>B19+B22</f>
        <v>1594.1887197437516</v>
      </c>
    </row>
    <row r="24">
      <c r="A24" s="14" t="inlineStr">
        <is>
          <t>Cash &amp; investments</t>
        </is>
      </c>
      <c r="B24" s="55">
        <f>Main!C7</f>
        <v>290.123</v>
      </c>
    </row>
    <row r="25">
      <c r="A25" s="14" t="inlineStr">
        <is>
          <t>Debt</t>
        </is>
      </c>
      <c r="B25" s="55">
        <f>Main!C8</f>
        <v>612.052</v>
      </c>
    </row>
    <row r="26">
      <c r="A26" s="20" t="inlineStr">
        <is>
          <t>Equity value</t>
        </is>
      </c>
      <c r="B26" s="66">
        <f>B23+B24-B25</f>
        <v>1272.2597197437517</v>
      </c>
    </row>
    <row r="27">
      <c r="A27" s="14" t="inlineStr">
        <is>
          <t>Shares (mm)</t>
        </is>
      </c>
      <c r="B27" s="55">
        <f>Main!C4</f>
        <v>42.537944</v>
      </c>
    </row>
    <row r="28">
      <c r="A28" s="20" t="inlineStr">
        <is>
          <t>NPV / share</t>
        </is>
      </c>
      <c r="B28" s="49">
        <f>B26/B27</f>
        <v>29.90882022280512</v>
      </c>
    </row>
    <row r="29">
      <c r="A29" s="14" t="inlineStr">
        <is>
          <t>Price</t>
        </is>
      </c>
      <c r="B29" s="50">
        <f>Main!C3</f>
        <v>25.94</v>
      </c>
    </row>
    <row r="30">
      <c r="A30" s="14" t="inlineStr">
        <is>
          <t>Upside</t>
        </is>
      </c>
      <c r="B30" s="63">
        <f>B28/B29-1</f>
        <v>0.1530000085892489</v>
      </c>
    </row>
    <row r="31">
      <c r="A31" s="14" t="inlineStr">
        <is>
          <t>Terminal value, % of EV</t>
        </is>
      </c>
      <c r="B31" s="63">
        <f>IFERROR(B22/B23,0)</f>
        <v>0.5052228021903552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2026-10-21T06:23:45Z</dcterms:modified>
  <cp:lastModifiedBy>Wang, Eric</cp:lastModifiedBy>
</cp:coreProperties>
</file>