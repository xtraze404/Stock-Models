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Emergent BioSolutions Inc.</t>
        </is>
      </c>
      <c r="C2" s="10" t="n"/>
    </row>
    <row r="3">
      <c r="B3" t="inlineStr">
        <is>
          <t>Price</t>
        </is>
      </c>
      <c r="C3" s="11">
        <f>INDEX([1]Pharma!$F$1:$F$1000,MATCH("EBS",[1]Pharma!$B$1:$B$1000,0))</f>
        <v>6.29</v>
      </c>
      <c r="F3" s="1" t="n"/>
    </row>
    <row r="4">
      <c r="B4" t="inlineStr">
        <is>
          <t>Shares</t>
        </is>
      </c>
      <c r="C4" s="51" t="n">
        <v>51.273336</v>
      </c>
      <c r="F4" s="1" t="n"/>
    </row>
    <row r="5">
      <c r="B5" t="inlineStr">
        <is>
          <t>Market Cap.</t>
        </is>
      </c>
      <c r="C5" s="13">
        <f>C3*C4</f>
        <v>322.50928344</v>
      </c>
      <c r="F5" s="1" t="n"/>
    </row>
    <row r="6"/>
    <row r="7">
      <c r="B7" t="inlineStr">
        <is>
          <t>Cash</t>
        </is>
      </c>
      <c r="C7" s="51" t="n">
        <v>139.7</v>
      </c>
    </row>
    <row r="8">
      <c r="B8" t="inlineStr">
        <is>
          <t>Debt</t>
        </is>
      </c>
      <c r="C8" s="51" t="n">
        <v>581.8</v>
      </c>
    </row>
    <row r="9">
      <c r="B9" t="inlineStr">
        <is>
          <t>Enterprise V.</t>
        </is>
      </c>
      <c r="C9" s="13">
        <f>C5-C7+C8</f>
        <v>764.6092834399999</v>
      </c>
    </row>
    <row r="10"/>
    <row r="11">
      <c r="B11" s="14" t="inlineStr">
        <is>
          <t>NPV / Share</t>
        </is>
      </c>
      <c r="C11" s="11">
        <f>NPV!B28</f>
        <v>3.5174726850822866</v>
      </c>
    </row>
    <row r="12">
      <c r="B12" s="14" t="inlineStr">
        <is>
          <t>Upside</t>
        </is>
      </c>
      <c r="C12" s="15">
        <f>IFERROR(C11/C3-1,"")</f>
        <v>-0.44078335690265713</v>
      </c>
    </row>
    <row r="13">
      <c r="B13" s="14" t="inlineStr">
        <is>
          <t>Cash / Share</t>
        </is>
      </c>
      <c r="C13" s="11">
        <f>IFERROR((C7-C8)/C4,"")</f>
        <v>-8.622415362245983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234.786</v>
      </c>
      <c r="C2" s="52" t="n">
        <v>286.171</v>
      </c>
      <c r="D2" s="52" t="n">
        <v>273.384</v>
      </c>
      <c r="E2" s="52" t="n">
        <v>281.888</v>
      </c>
      <c r="F2" s="52" t="n">
        <v>312.745</v>
      </c>
      <c r="G2" s="52" t="n">
        <v>450.138</v>
      </c>
      <c r="H2" s="52" t="n">
        <v>522.789</v>
      </c>
      <c r="I2" s="52" t="n">
        <v>488.8</v>
      </c>
      <c r="J2" s="52" t="n">
        <v>560.9</v>
      </c>
      <c r="K2" s="52" t="n">
        <v>782.4</v>
      </c>
      <c r="L2" s="52" t="n">
        <v>1106</v>
      </c>
      <c r="M2" s="52" t="n">
        <v>1577.3</v>
      </c>
      <c r="N2" s="52" t="n">
        <v>1773.6</v>
      </c>
      <c r="O2" s="52" t="n">
        <v>1117.5</v>
      </c>
      <c r="P2" s="52" t="n">
        <v>1049.3</v>
      </c>
      <c r="Q2" s="52" t="n">
        <v>1043.6</v>
      </c>
      <c r="R2" s="52" t="n">
        <v>742.9</v>
      </c>
      <c r="S2" s="52">
        <f>R2*(1+NPV!C5)</f>
        <v>738.88834</v>
      </c>
      <c r="T2" s="52">
        <f>S2*(1+NPV!D5)</f>
        <v>737.3941435791111</v>
      </c>
      <c r="U2" s="52">
        <f>T2*(1+NPV!E5)</f>
        <v>738.3937223070739</v>
      </c>
      <c r="V2" s="52">
        <f>U2*(1+NPV!F5)</f>
        <v>741.888785925994</v>
      </c>
      <c r="W2" s="52">
        <f>V2*(1+NPV!G5)</f>
        <v>747.9063283007271</v>
      </c>
      <c r="X2" s="52">
        <f>W2*(1+NPV!H5)</f>
        <v>756.498941005871</v>
      </c>
      <c r="Y2" s="52">
        <f>X2*(1+NPV!I5)</f>
        <v>767.7455585954915</v>
      </c>
      <c r="Z2" s="52">
        <f>Y2*(1+NPV!J5)</f>
        <v>781.7526497867559</v>
      </c>
      <c r="AA2" s="52">
        <f>Z2*(1+NPV!K5)</f>
        <v>798.6558793032563</v>
      </c>
      <c r="AB2" s="52">
        <f>AA2*(1+NPV!L5)</f>
        <v>818.6222762858376</v>
      </c>
    </row>
    <row r="3" customFormat="1" s="1">
      <c r="A3" s="5" t="inlineStr">
        <is>
          <t>Cost of Sales</t>
        </is>
      </c>
      <c r="B3" s="52" t="n">
        <v>46.262</v>
      </c>
      <c r="C3" s="52" t="n">
        <v>47.114</v>
      </c>
      <c r="D3" s="52" t="n">
        <v>42.171</v>
      </c>
      <c r="E3" s="52" t="n">
        <v>46.077</v>
      </c>
      <c r="F3" s="52" t="n">
        <v>62.127</v>
      </c>
      <c r="G3" s="52" t="n">
        <v>101.963</v>
      </c>
      <c r="H3" s="52" t="n">
        <v>107.486</v>
      </c>
      <c r="I3" s="52" t="n">
        <v>131.284</v>
      </c>
      <c r="J3" s="52" t="n">
        <v>195.707</v>
      </c>
      <c r="K3" s="52" t="n">
        <v>322.3</v>
      </c>
      <c r="L3" s="52" t="n">
        <v>433.5</v>
      </c>
      <c r="M3" s="52" t="n">
        <v>537</v>
      </c>
      <c r="N3" s="52" t="n">
        <v>748.1</v>
      </c>
      <c r="O3" s="52" t="n">
        <v>693.1</v>
      </c>
      <c r="P3" s="52" t="n">
        <v>705.4</v>
      </c>
      <c r="Q3" s="52" t="n">
        <v>681.3</v>
      </c>
      <c r="R3" s="52" t="n">
        <v>326.2</v>
      </c>
      <c r="S3" s="52">
        <f>S2*(1-Assumptions!$B$19)</f>
        <v>324.44587009400004</v>
      </c>
      <c r="T3" s="52">
        <f>T2*(1-Assumptions!$B$19)</f>
        <v>323.7897684455877</v>
      </c>
      <c r="U3" s="52">
        <f>U2*(1-Assumptions!$B$19)</f>
        <v>324.22868346503617</v>
      </c>
      <c r="V3" s="52">
        <f>V2*(1-Assumptions!$B$19)</f>
        <v>325.76336590010396</v>
      </c>
      <c r="W3" s="52">
        <f>W2*(1-Assumptions!$B$19)</f>
        <v>328.4056687568493</v>
      </c>
      <c r="X3" s="52">
        <f>X2*(1-Assumptions!$B$19)</f>
        <v>332.178684995678</v>
      </c>
      <c r="Y3" s="52">
        <f>Y2*(1-Assumptions!$B$19)</f>
        <v>337.11707477928036</v>
      </c>
      <c r="Z3" s="52">
        <f>Z2*(1-Assumptions!$B$19)</f>
        <v>343.26758852136453</v>
      </c>
      <c r="AA3" s="52">
        <f>AA2*(1-Assumptions!$B$19)</f>
        <v>350.68979660205986</v>
      </c>
      <c r="AB3" s="52">
        <f>AB2*(1-Assumptions!$B$19)</f>
        <v>359.45704151711135</v>
      </c>
    </row>
    <row r="4" customFormat="1" s="1">
      <c r="A4" s="5" t="inlineStr">
        <is>
          <t>Gross Margin</t>
        </is>
      </c>
      <c r="B4" s="52">
        <f>B2-B3</f>
        <v>188.524</v>
      </c>
      <c r="C4" s="52">
        <f>C2-C3</f>
        <v>239.057</v>
      </c>
      <c r="D4" s="52">
        <f>D2-D3</f>
        <v>231.21300000000002</v>
      </c>
      <c r="E4" s="52">
        <f>E2-E3</f>
        <v>235.81099999999998</v>
      </c>
      <c r="F4" s="52">
        <f>F2-F3</f>
        <v>250.618</v>
      </c>
      <c r="G4" s="52">
        <f>G2-G3</f>
        <v>348.17499999999995</v>
      </c>
      <c r="H4" s="52">
        <f>H2-H3</f>
        <v>415.303</v>
      </c>
      <c r="I4" s="52">
        <f>I2-I3</f>
        <v>357.516</v>
      </c>
      <c r="J4" s="52">
        <f>J2-J3</f>
        <v>365.193</v>
      </c>
      <c r="K4" s="52">
        <f>K2-K3</f>
        <v>460.09999999999997</v>
      </c>
      <c r="L4" s="52">
        <f>L2-L3</f>
        <v>672.5</v>
      </c>
      <c r="M4" s="52">
        <f>M2-M3</f>
        <v>1040.3</v>
      </c>
      <c r="N4" s="52">
        <f>N2-N3</f>
        <v>1025.5</v>
      </c>
      <c r="O4" s="52">
        <f>O2-O3</f>
        <v>424.4</v>
      </c>
      <c r="P4" s="52">
        <f>P2-P3</f>
        <v>343.9</v>
      </c>
      <c r="Q4" s="52">
        <f>Q2-Q3</f>
        <v>362.29999999999995</v>
      </c>
      <c r="R4" s="52">
        <f>R2-R3</f>
        <v>416.7</v>
      </c>
      <c r="S4" s="52">
        <f>S2-S3</f>
        <v>414.4424699059999</v>
      </c>
      <c r="T4" s="52">
        <f>T2-T3</f>
        <v>413.6043751335234</v>
      </c>
      <c r="U4" s="52">
        <f>U2-U3</f>
        <v>414.1650388420377</v>
      </c>
      <c r="V4" s="52">
        <f>V2-V3</f>
        <v>416.12542002589</v>
      </c>
      <c r="W4" s="52">
        <f>W2-W3</f>
        <v>419.50065954387776</v>
      </c>
      <c r="X4" s="52">
        <f>X2-X3</f>
        <v>424.32025601019296</v>
      </c>
      <c r="Y4" s="52">
        <f>Y2-Y3</f>
        <v>430.62848381621114</v>
      </c>
      <c r="Z4" s="52">
        <f>Z2-Z3</f>
        <v>438.4850612653914</v>
      </c>
      <c r="AA4" s="52">
        <f>AA2-AA3</f>
        <v>447.9660827011964</v>
      </c>
      <c r="AB4" s="52">
        <f>AB2-AB3</f>
        <v>459.1652347687263</v>
      </c>
    </row>
    <row r="5">
      <c r="A5" s="2" t="inlineStr">
        <is>
          <t>Research &amp; Dev.</t>
        </is>
      </c>
      <c r="B5" s="52" t="n">
        <v>74.58799999999999</v>
      </c>
      <c r="C5" s="52" t="n">
        <v>89.295</v>
      </c>
      <c r="D5" s="52" t="n">
        <v>124.832</v>
      </c>
      <c r="E5" s="52" t="n">
        <v>120.226</v>
      </c>
      <c r="F5" s="52" t="n">
        <v>119.933</v>
      </c>
      <c r="G5" s="52" t="n">
        <v>104.721</v>
      </c>
      <c r="H5" s="52" t="n">
        <v>119.186</v>
      </c>
      <c r="I5" s="52" t="n">
        <v>106.9</v>
      </c>
      <c r="J5" s="52" t="n">
        <v>97.40000000000001</v>
      </c>
      <c r="K5" s="52" t="n">
        <v>142.8</v>
      </c>
      <c r="L5" s="52" t="n">
        <v>226.2</v>
      </c>
      <c r="M5" s="52" t="n">
        <v>237.9</v>
      </c>
      <c r="N5" s="52" t="n">
        <v>235.2</v>
      </c>
      <c r="O5" s="52" t="n">
        <v>188.3</v>
      </c>
      <c r="P5" s="52" t="n">
        <v>111.4</v>
      </c>
      <c r="Q5" s="52" t="n">
        <v>70.7</v>
      </c>
      <c r="R5" s="52" t="n">
        <v>53.2</v>
      </c>
      <c r="S5" s="52">
        <f>S7*Assumptions!$B$20</f>
        <v>76.7180670093936</v>
      </c>
      <c r="T5" s="52">
        <f>T7*Assumptions!$B$20</f>
        <v>73.023611114856</v>
      </c>
      <c r="U5" s="52">
        <f>U7*Assumptions!$B$20</f>
        <v>69.57848602400887</v>
      </c>
      <c r="V5" s="52">
        <f>V7*Assumptions!$B$20</f>
        <v>66.34693607205301</v>
      </c>
      <c r="W5" s="52">
        <f>W7*Assumptions!$B$20</f>
        <v>63.29531256409052</v>
      </c>
      <c r="X5" s="52">
        <f>X7*Assumptions!$B$20</f>
        <v>60.39149202024451</v>
      </c>
      <c r="Y5" s="52">
        <f>Y7*Assumptions!$B$20</f>
        <v>57.60431777928785</v>
      </c>
      <c r="Z5" s="52">
        <f>Z7*Assumptions!$B$20</f>
        <v>54.90305145643171</v>
      </c>
      <c r="AA5" s="52">
        <f>AA7*Assumptions!$B$20</f>
        <v>52.25682089245619</v>
      </c>
      <c r="AB5" s="52">
        <f>AB7*Assumptions!$B$20</f>
        <v>49.63405095794187</v>
      </c>
    </row>
    <row r="6">
      <c r="A6" s="18" t="inlineStr">
        <is>
          <t>SG&amp;A &amp; Other</t>
        </is>
      </c>
      <c r="B6" s="52" t="n">
        <v>73.786</v>
      </c>
      <c r="C6" s="52" t="n">
        <v>76.205</v>
      </c>
      <c r="D6" s="52" t="n">
        <v>74.282</v>
      </c>
      <c r="E6" s="52" t="n">
        <v>85.61799999999999</v>
      </c>
      <c r="F6" s="52" t="n">
        <v>87.883</v>
      </c>
      <c r="G6" s="52" t="n">
        <v>154.266</v>
      </c>
      <c r="H6" s="52" t="n">
        <v>154.603</v>
      </c>
      <c r="I6" s="52" t="n">
        <v>145.116</v>
      </c>
      <c r="J6" s="52" t="n">
        <v>143.493</v>
      </c>
      <c r="K6" s="52" t="n">
        <v>227.5</v>
      </c>
      <c r="L6" s="52" t="n">
        <v>332.2</v>
      </c>
      <c r="M6" s="52" t="n">
        <v>363.9</v>
      </c>
      <c r="N6" s="52" t="n">
        <v>448.9</v>
      </c>
      <c r="O6" s="52" t="n">
        <v>406.1</v>
      </c>
      <c r="P6" s="52" t="n">
        <v>958.9</v>
      </c>
      <c r="Q6" s="52" t="n">
        <v>400.3</v>
      </c>
      <c r="R6" s="52" t="n">
        <v>263.4</v>
      </c>
      <c r="S6" s="52">
        <f>S7-S5</f>
        <v>379.9370937608063</v>
      </c>
      <c r="T6" s="52">
        <f>T7-T5</f>
        <v>361.64074075928676</v>
      </c>
      <c r="U6" s="52">
        <f>U7-U5</f>
        <v>344.5791688808058</v>
      </c>
      <c r="V6" s="52">
        <f>V7-V5</f>
        <v>328.57530245207204</v>
      </c>
      <c r="W6" s="52">
        <f>W7-W5</f>
        <v>313.46250031740067</v>
      </c>
      <c r="X6" s="52">
        <f>X7-X5</f>
        <v>299.0816747669252</v>
      </c>
      <c r="Y6" s="52">
        <f>Y7-Y5</f>
        <v>285.27852614504457</v>
      </c>
      <c r="Z6" s="52">
        <f>Z7-Z5</f>
        <v>271.90082626042374</v>
      </c>
      <c r="AA6" s="52">
        <f>AA7-AA5</f>
        <v>258.795684419783</v>
      </c>
      <c r="AB6" s="52">
        <f>AB7-AB5</f>
        <v>245.80672855361686</v>
      </c>
    </row>
    <row r="7">
      <c r="A7" s="2" t="inlineStr">
        <is>
          <t>Operating Expense</t>
        </is>
      </c>
      <c r="B7" s="52">
        <f>SUM(B5:B6)</f>
        <v>148.374</v>
      </c>
      <c r="C7" s="52">
        <f>SUM(C5:C6)</f>
        <v>165.5</v>
      </c>
      <c r="D7" s="52">
        <f>SUM(D5:D6)</f>
        <v>199.11399999999998</v>
      </c>
      <c r="E7" s="52">
        <f>SUM(E5:E6)</f>
        <v>205.844</v>
      </c>
      <c r="F7" s="52">
        <f>SUM(F5:F6)</f>
        <v>207.816</v>
      </c>
      <c r="G7" s="52">
        <f>SUM(G5:G6)</f>
        <v>258.98699999999997</v>
      </c>
      <c r="H7" s="52">
        <f>SUM(H5:H6)</f>
        <v>273.789</v>
      </c>
      <c r="I7" s="52">
        <f>SUM(I5:I6)</f>
        <v>252.01600000000002</v>
      </c>
      <c r="J7" s="52">
        <f>SUM(J5:J6)</f>
        <v>240.893</v>
      </c>
      <c r="K7" s="52">
        <f>SUM(K5:K6)</f>
        <v>370.3</v>
      </c>
      <c r="L7" s="52">
        <f>SUM(L5:L6)</f>
        <v>558.4</v>
      </c>
      <c r="M7" s="52">
        <f>SUM(M5:M6)</f>
        <v>601.8</v>
      </c>
      <c r="N7" s="52">
        <f>SUM(N5:N6)</f>
        <v>684.0999999999999</v>
      </c>
      <c r="O7" s="52">
        <f>SUM(O5:O6)</f>
        <v>594.4000000000001</v>
      </c>
      <c r="P7" s="52">
        <f>SUM(P5:P6)</f>
        <v>1070.3</v>
      </c>
      <c r="Q7" s="52">
        <f>SUM(Q5:Q6)</f>
        <v>471.0</v>
      </c>
      <c r="R7" s="52">
        <f>SUM(R5:R6)</f>
        <v>316.59999999999997</v>
      </c>
      <c r="S7" s="52">
        <f>S4-S2*NPV!C6</f>
        <v>456.6551607701999</v>
      </c>
      <c r="T7" s="52">
        <f>T4-T2*NPV!D6</f>
        <v>434.66435187414277</v>
      </c>
      <c r="U7" s="52">
        <f>U4-U2*NPV!E6</f>
        <v>414.15765490481465</v>
      </c>
      <c r="V7" s="52">
        <f>V4-V2*NPV!F6</f>
        <v>394.9222385241251</v>
      </c>
      <c r="W7" s="52">
        <f>W4-W2*NPV!G6</f>
        <v>376.7578128814912</v>
      </c>
      <c r="X7" s="52">
        <f>X4-X2*NPV!H6</f>
        <v>359.4731667871697</v>
      </c>
      <c r="Y7" s="52">
        <f>Y4-Y2*NPV!I6</f>
        <v>342.8828439243324</v>
      </c>
      <c r="Z7" s="52">
        <f>Z4-Z2*NPV!J6</f>
        <v>326.8038777168554</v>
      </c>
      <c r="AA7" s="52">
        <f>AA4-AA2*NPV!K6</f>
        <v>311.0525053122392</v>
      </c>
      <c r="AB7" s="52">
        <f>AB4-AB2*NPV!L6</f>
        <v>295.44077951155873</v>
      </c>
    </row>
    <row r="8">
      <c r="A8" s="2" t="inlineStr">
        <is>
          <t>Operating Income</t>
        </is>
      </c>
      <c r="B8" s="52">
        <f>B4-B7</f>
        <v>40.150000000000006</v>
      </c>
      <c r="C8" s="52">
        <f>C4-C7</f>
        <v>73.55699999999999</v>
      </c>
      <c r="D8" s="52">
        <f>D4-D7</f>
        <v>32.099000000000046</v>
      </c>
      <c r="E8" s="52">
        <f>E4-E7</f>
        <v>29.966999999999985</v>
      </c>
      <c r="F8" s="52">
        <f>F4-F7</f>
        <v>42.80199999999999</v>
      </c>
      <c r="G8" s="52">
        <f>G4-G7</f>
        <v>89.18799999999999</v>
      </c>
      <c r="H8" s="52">
        <f>H4-H7</f>
        <v>141.514</v>
      </c>
      <c r="I8" s="52">
        <f>I4-I7</f>
        <v>105.5</v>
      </c>
      <c r="J8" s="52">
        <f>J4-J7</f>
        <v>124.29999999999998</v>
      </c>
      <c r="K8" s="52">
        <f>K4-K7</f>
        <v>89.79999999999995</v>
      </c>
      <c r="L8" s="52">
        <f>L4-L7</f>
        <v>114.10000000000002</v>
      </c>
      <c r="M8" s="52">
        <f>M4-M7</f>
        <v>438.5</v>
      </c>
      <c r="N8" s="52">
        <f>N4-N7</f>
        <v>341.4000000000001</v>
      </c>
      <c r="O8" s="52">
        <f>O4-O7</f>
        <v>-170.0000000000001</v>
      </c>
      <c r="P8" s="52">
        <f>P4-P7</f>
        <v>-726.4</v>
      </c>
      <c r="Q8" s="52">
        <f>Q4-Q7</f>
        <v>-108.70000000000005</v>
      </c>
      <c r="R8" s="52">
        <f>R4-R7</f>
        <v>100.10000000000002</v>
      </c>
      <c r="S8" s="52">
        <f>S4-S7</f>
        <v>-42.2126908642</v>
      </c>
      <c r="T8" s="52">
        <f>T4-T7</f>
        <v>-21.05997674061939</v>
      </c>
      <c r="U8" s="52">
        <f>U4-U7</f>
        <v>0.007383937223039538</v>
      </c>
      <c r="V8" s="52">
        <f>V4-V7</f>
        <v>21.203181501764902</v>
      </c>
      <c r="W8" s="52">
        <f>W4-W7</f>
        <v>42.74284666238657</v>
      </c>
      <c r="X8" s="52">
        <f>X4-X7</f>
        <v>64.84708922302326</v>
      </c>
      <c r="Y8" s="52">
        <f>Y4-Y7</f>
        <v>87.74563989187874</v>
      </c>
      <c r="Z8" s="52">
        <f>Z4-Z7</f>
        <v>111.68118354853596</v>
      </c>
      <c r="AA8" s="52">
        <f>AA4-AA7</f>
        <v>136.9135773889572</v>
      </c>
      <c r="AB8" s="52">
        <f>AB4-AB7</f>
        <v>163.72445525716756</v>
      </c>
    </row>
    <row r="9">
      <c r="A9" s="18" t="inlineStr">
        <is>
          <t>Interest &amp; Other</t>
        </is>
      </c>
      <c r="B9" s="52" t="n">
        <v>5.96</v>
      </c>
      <c r="C9" s="52" t="n">
        <v>4.323</v>
      </c>
      <c r="D9" s="52" t="n">
        <v>6.75</v>
      </c>
      <c r="E9" s="52" t="n">
        <v>7.479</v>
      </c>
      <c r="F9" s="52" t="n">
        <v>1.441</v>
      </c>
      <c r="G9" s="52" t="n">
        <v>-22.519</v>
      </c>
      <c r="H9" s="52" t="n">
        <v>-34.344</v>
      </c>
      <c r="I9" s="52" t="n">
        <v>-17</v>
      </c>
      <c r="J9" s="52" t="n">
        <v>-5.7</v>
      </c>
      <c r="K9" s="52" t="n">
        <v>-8.300000000000001</v>
      </c>
      <c r="L9" s="52" t="n">
        <v>-36.7</v>
      </c>
      <c r="M9" s="52" t="n">
        <v>-26.6</v>
      </c>
      <c r="N9" s="52" t="n">
        <v>-38.2</v>
      </c>
      <c r="O9" s="52" t="n">
        <v>-49</v>
      </c>
      <c r="P9" s="52" t="n">
        <v>-4.8</v>
      </c>
      <c r="Q9" s="52" t="n">
        <v>-34.2</v>
      </c>
      <c r="R9" s="52" t="n">
        <v>-17.3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46.11000000000001</v>
      </c>
      <c r="C10" s="52">
        <f>C8+C9</f>
        <v>77.88</v>
      </c>
      <c r="D10" s="52">
        <f>D8+D9</f>
        <v>38.849000000000046</v>
      </c>
      <c r="E10" s="52">
        <f>E8+E9</f>
        <v>37.445999999999984</v>
      </c>
      <c r="F10" s="52">
        <f>F8+F9</f>
        <v>44.242999999999995</v>
      </c>
      <c r="G10" s="52">
        <f>G8+G9</f>
        <v>66.66899999999998</v>
      </c>
      <c r="H10" s="52">
        <f>H8+H9</f>
        <v>107.17000000000002</v>
      </c>
      <c r="I10" s="52">
        <f>I8+I9</f>
        <v>88.5</v>
      </c>
      <c r="J10" s="52">
        <f>J8+J9</f>
        <v>118.59999999999998</v>
      </c>
      <c r="K10" s="52">
        <f>K8+K9</f>
        <v>81.49999999999996</v>
      </c>
      <c r="L10" s="52">
        <f>L8+L9</f>
        <v>77.40000000000002</v>
      </c>
      <c r="M10" s="52">
        <f>M8+M9</f>
        <v>411.9</v>
      </c>
      <c r="N10" s="52">
        <f>N8+N9</f>
        <v>303.2000000000001</v>
      </c>
      <c r="O10" s="52">
        <f>O8+O9</f>
        <v>-219.0000000000001</v>
      </c>
      <c r="P10" s="52">
        <f>P8+P9</f>
        <v>-731.1999999999999</v>
      </c>
      <c r="Q10" s="52">
        <f>Q8+Q9</f>
        <v>-142.90000000000003</v>
      </c>
      <c r="R10" s="52">
        <f>R8+R9</f>
        <v>82.80000000000003</v>
      </c>
      <c r="S10" s="52">
        <f>S8+S9</f>
        <v>-42.2126908642</v>
      </c>
      <c r="T10" s="52">
        <f>T8+T9</f>
        <v>-21.05997674061939</v>
      </c>
      <c r="U10" s="52">
        <f>U8+U9</f>
        <v>0.007383937223039538</v>
      </c>
      <c r="V10" s="52">
        <f>V8+V9</f>
        <v>21.203181501764902</v>
      </c>
      <c r="W10" s="52">
        <f>W8+W9</f>
        <v>42.74284666238657</v>
      </c>
      <c r="X10" s="52">
        <f>X8+X9</f>
        <v>64.84708922302326</v>
      </c>
      <c r="Y10" s="52">
        <f>Y8+Y9</f>
        <v>87.74563989187874</v>
      </c>
      <c r="Z10" s="52">
        <f>Z8+Z9</f>
        <v>111.68118354853596</v>
      </c>
      <c r="AA10" s="52">
        <f>AA8+AA9</f>
        <v>136.9135773889572</v>
      </c>
      <c r="AB10" s="52">
        <f>AB8+AB9</f>
        <v>163.72445525716756</v>
      </c>
    </row>
    <row r="11">
      <c r="A11" s="2" t="inlineStr">
        <is>
          <t>Taxes</t>
        </is>
      </c>
      <c r="B11" s="52" t="n">
        <v>14.966</v>
      </c>
      <c r="C11" s="52" t="n">
        <v>26.182</v>
      </c>
      <c r="D11" s="52" t="n">
        <v>15.83</v>
      </c>
      <c r="E11" s="52" t="n">
        <v>13.922</v>
      </c>
      <c r="F11" s="52" t="n">
        <v>13.108</v>
      </c>
      <c r="G11" s="52" t="n">
        <v>29.928</v>
      </c>
      <c r="H11" s="52" t="n">
        <v>44.3</v>
      </c>
      <c r="I11" s="52" t="n">
        <v>36.7</v>
      </c>
      <c r="J11" s="52" t="n">
        <v>36</v>
      </c>
      <c r="K11" s="52" t="n">
        <v>18.8</v>
      </c>
      <c r="L11" s="52" t="n">
        <v>22.9</v>
      </c>
      <c r="M11" s="52" t="n">
        <v>106.1</v>
      </c>
      <c r="N11" s="52" t="n">
        <v>83.7</v>
      </c>
      <c r="O11" s="52" t="n">
        <v>-7.4</v>
      </c>
      <c r="P11" s="52" t="n">
        <v>29.3</v>
      </c>
      <c r="Q11" s="52" t="n">
        <v>47.7</v>
      </c>
      <c r="R11" s="52" t="n">
        <v>30.2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0.0012552693279167216</v>
      </c>
      <c r="V11" s="52">
        <f>MAX(0,V10)*Assumptions!$E$14</f>
        <v>3.6045408553000335</v>
      </c>
      <c r="W11" s="52">
        <f>MAX(0,W10)*Assumptions!$E$14</f>
        <v>7.266283932605718</v>
      </c>
      <c r="X11" s="52">
        <f>MAX(0,X10)*Assumptions!$E$14</f>
        <v>11.024005167913955</v>
      </c>
      <c r="Y11" s="52">
        <f>MAX(0,Y10)*Assumptions!$E$14</f>
        <v>14.916758781619386</v>
      </c>
      <c r="Z11" s="52">
        <f>MAX(0,Z10)*Assumptions!$E$14</f>
        <v>18.985801203251114</v>
      </c>
      <c r="AA11" s="52">
        <f>MAX(0,AA10)*Assumptions!$E$14</f>
        <v>23.275308156122726</v>
      </c>
      <c r="AB11" s="52">
        <f>MAX(0,AB10)*Assumptions!$E$14</f>
        <v>27.833157393718487</v>
      </c>
    </row>
    <row r="12">
      <c r="A12" s="2" t="inlineStr">
        <is>
          <t>Net Income</t>
        </is>
      </c>
      <c r="B12" s="52" t="n">
        <v>31.144</v>
      </c>
      <c r="C12" s="52" t="n">
        <v>51.698</v>
      </c>
      <c r="D12" s="52" t="n">
        <v>23.019</v>
      </c>
      <c r="E12" s="52" t="n">
        <v>23.524</v>
      </c>
      <c r="F12" s="52" t="n">
        <v>31.135</v>
      </c>
      <c r="G12" s="52" t="n">
        <v>36.741</v>
      </c>
      <c r="H12" s="52" t="n">
        <v>62.87</v>
      </c>
      <c r="I12" s="52" t="n">
        <v>51.8</v>
      </c>
      <c r="J12" s="52" t="n">
        <v>82.59999999999999</v>
      </c>
      <c r="K12" s="52" t="n">
        <v>62.7</v>
      </c>
      <c r="L12" s="52" t="n">
        <v>54.5</v>
      </c>
      <c r="M12" s="52" t="n">
        <v>305.8</v>
      </c>
      <c r="N12" s="52" t="n">
        <v>219.5</v>
      </c>
      <c r="O12" s="52" t="n">
        <v>-211.6</v>
      </c>
      <c r="P12" s="52" t="n">
        <v>-760.5</v>
      </c>
      <c r="Q12" s="52" t="n">
        <v>-190.6</v>
      </c>
      <c r="R12" s="52" t="n">
        <v>52.6</v>
      </c>
      <c r="S12" s="52">
        <f>S10-S11</f>
        <v>-42.2126908642</v>
      </c>
      <c r="T12" s="52">
        <f>T10-T11</f>
        <v>-21.05997674061939</v>
      </c>
      <c r="U12" s="52">
        <f>U10-U11</f>
        <v>0.006128667895122817</v>
      </c>
      <c r="V12" s="52">
        <f>V10-V11</f>
        <v>17.59864064646487</v>
      </c>
      <c r="W12" s="52">
        <f>W10-W11</f>
        <v>35.47656272978085</v>
      </c>
      <c r="X12" s="52">
        <f>X10-X11</f>
        <v>53.823084055109305</v>
      </c>
      <c r="Y12" s="52">
        <f>Y10-Y11</f>
        <v>72.82888111025935</v>
      </c>
      <c r="Z12" s="52">
        <f>Z10-Z11</f>
        <v>92.69538234528484</v>
      </c>
      <c r="AA12" s="52">
        <f>AA10-AA11</f>
        <v>113.63826923283449</v>
      </c>
      <c r="AB12" s="52">
        <f>AB10-AB11</f>
        <v>135.89129786344907</v>
      </c>
    </row>
    <row r="13">
      <c r="A13" s="2" t="inlineStr">
        <is>
          <t>Earnings per Share</t>
        </is>
      </c>
      <c r="B13" s="11">
        <f>IFERROR(B12/B14,0)</f>
        <v>0.9926374501992031</v>
      </c>
      <c r="C13" s="11">
        <f>IFERROR(C12/C14,0)</f>
        <v>1.5888011309505516</v>
      </c>
      <c r="D13" s="11">
        <f>IFERROR(D12/D14,0)</f>
        <v>0.6357786002320056</v>
      </c>
      <c r="E13" s="11">
        <f>IFERROR(E12/E14,0)</f>
        <v>0.645891106779056</v>
      </c>
      <c r="F13" s="11">
        <f>IFERROR(F12/F14,0)</f>
        <v>0.8472569935778819</v>
      </c>
      <c r="G13" s="11">
        <f>IFERROR(G12/G14,0)</f>
        <v>0.8021526974215664</v>
      </c>
      <c r="H13" s="11">
        <f>IFERROR(H12/H14,0)</f>
        <v>1.3304130692398848</v>
      </c>
      <c r="I13" s="11">
        <f>IFERROR(I12/I14,0)</f>
        <v>1.050709939148073</v>
      </c>
      <c r="J13" s="11">
        <f>IFERROR(J12/J14,0)</f>
        <v>1.6421471172962225</v>
      </c>
      <c r="K13" s="11">
        <f>IFERROR(K12/K14,0)</f>
        <v>1.2198443579766538</v>
      </c>
      <c r="L13" s="11">
        <f>IFERROR(L12/L14,0)</f>
        <v>1.0400763358778626</v>
      </c>
      <c r="M13" s="11">
        <f>IFERROR(M12/M14,0)</f>
        <v>5.684014869888476</v>
      </c>
      <c r="N13" s="11">
        <f>IFERROR(N12/N14,0)</f>
        <v>4.057301293900185</v>
      </c>
      <c r="O13" s="11">
        <f>IFERROR(O12/O14,0)</f>
        <v>-4.2235528942115765</v>
      </c>
      <c r="P13" s="11">
        <f>IFERROR(P12/P14,0)</f>
        <v>-14.853515625</v>
      </c>
      <c r="Q13" s="11">
        <f>IFERROR(Q12/Q14,0)</f>
        <v>-3.5962264150943395</v>
      </c>
      <c r="R13" s="11">
        <f>IFERROR(R12/R14,0)</f>
        <v>0.927689594356261</v>
      </c>
      <c r="S13" s="11">
        <f>IFERROR(S12/S14,0)</f>
        <v>-0.8232873878968983</v>
      </c>
      <c r="T13" s="11">
        <f>IFERROR(T12/T14,0)</f>
        <v>-0.41073935077326335</v>
      </c>
      <c r="U13" s="11">
        <f>IFERROR(U12/U14,0)</f>
        <v>0.00011952933772678293</v>
      </c>
      <c r="V13" s="11">
        <f>IFERROR(V12/V14,0)</f>
        <v>0.34323182416811865</v>
      </c>
      <c r="W13" s="11">
        <f>IFERROR(W12/W14,0)</f>
        <v>0.6919105620469254</v>
      </c>
      <c r="X13" s="11">
        <f>IFERROR(X12/X14,0)</f>
        <v>1.0497285383402652</v>
      </c>
      <c r="Y13" s="11">
        <f>IFERROR(Y12/Y14,0)</f>
        <v>1.4204045765670357</v>
      </c>
      <c r="Z13" s="11">
        <f>IFERROR(Z12/Z14,0)</f>
        <v>1.8078671991478152</v>
      </c>
      <c r="AA13" s="11">
        <f>IFERROR(AA12/AA14,0)</f>
        <v>2.2163229096861277</v>
      </c>
      <c r="AB13" s="11">
        <f>IFERROR(AB12/AB14,0)</f>
        <v>2.6503307267436056</v>
      </c>
    </row>
    <row r="14">
      <c r="A14" s="2" t="inlineStr">
        <is>
          <t>Shares</t>
        </is>
      </c>
      <c r="B14" s="52" t="n">
        <v>31.375</v>
      </c>
      <c r="C14" s="52" t="n">
        <v>32.539</v>
      </c>
      <c r="D14" s="52" t="n">
        <v>36.206</v>
      </c>
      <c r="E14" s="52" t="n">
        <v>36.421</v>
      </c>
      <c r="F14" s="52" t="n">
        <v>36.748</v>
      </c>
      <c r="G14" s="52" t="n">
        <v>45.803</v>
      </c>
      <c r="H14" s="52" t="n">
        <v>47.256</v>
      </c>
      <c r="I14" s="52" t="n">
        <v>49.3</v>
      </c>
      <c r="J14" s="52" t="n">
        <v>50.3</v>
      </c>
      <c r="K14" s="52" t="n">
        <v>51.4</v>
      </c>
      <c r="L14" s="52" t="n">
        <v>52.4</v>
      </c>
      <c r="M14" s="52" t="n">
        <v>53.8</v>
      </c>
      <c r="N14" s="52" t="n">
        <v>54.1</v>
      </c>
      <c r="O14" s="52" t="n">
        <v>50.1</v>
      </c>
      <c r="P14" s="52" t="n">
        <v>51.2</v>
      </c>
      <c r="Q14" s="52" t="n">
        <v>53</v>
      </c>
      <c r="R14" s="52" t="n">
        <v>56.7</v>
      </c>
      <c r="S14" s="52">
        <f>Main!$C$4</f>
        <v>51.273336</v>
      </c>
      <c r="T14" s="52">
        <f>Main!$C$4</f>
        <v>51.273336</v>
      </c>
      <c r="U14" s="52">
        <f>Main!$C$4</f>
        <v>51.273336</v>
      </c>
      <c r="V14" s="52">
        <f>Main!$C$4</f>
        <v>51.273336</v>
      </c>
      <c r="W14" s="52">
        <f>Main!$C$4</f>
        <v>51.273336</v>
      </c>
      <c r="X14" s="52">
        <f>Main!$C$4</f>
        <v>51.273336</v>
      </c>
      <c r="Y14" s="52">
        <f>Main!$C$4</f>
        <v>51.273336</v>
      </c>
      <c r="Z14" s="52">
        <f>Main!$C$4</f>
        <v>51.273336</v>
      </c>
      <c r="AA14" s="52">
        <f>Main!$C$4</f>
        <v>51.273336</v>
      </c>
      <c r="AB14" s="52">
        <f>Main!$C$4</f>
        <v>51.273336</v>
      </c>
    </row>
    <row r="15"/>
    <row r="16" customFormat="1" s="4">
      <c r="A16" s="3" t="inlineStr">
        <is>
          <t>Revenue Change</t>
        </is>
      </c>
      <c r="C16" s="15">
        <f>IFERROR(C2/B2-1,"")</f>
        <v>0.21885887574216523</v>
      </c>
      <c r="D16" s="15">
        <f>IFERROR(D2/C2-1,"")</f>
        <v>-0.04468307410604144</v>
      </c>
      <c r="E16" s="15">
        <f>IFERROR(E2/D2-1,"")</f>
        <v>0.031106429052175644</v>
      </c>
      <c r="F16" s="15">
        <f>IFERROR(F2/E2-1,"")</f>
        <v>0.10946546145987068</v>
      </c>
      <c r="G16" s="15">
        <f>IFERROR(G2/F2-1,"")</f>
        <v>0.4393131784680808</v>
      </c>
      <c r="H16" s="15">
        <f>IFERROR(H2/G2-1,"")</f>
        <v>0.16139717153406297</v>
      </c>
      <c r="I16" s="15">
        <f>IFERROR(I2/H2-1,"")</f>
        <v>-0.06501475738777973</v>
      </c>
      <c r="J16" s="15">
        <f>IFERROR(J2/I2-1,"")</f>
        <v>0.1475040916530277</v>
      </c>
      <c r="K16" s="15">
        <f>IFERROR(K2/J2-1,"")</f>
        <v>0.39490105188090574</v>
      </c>
      <c r="L16" s="15">
        <f>IFERROR(L2/K2-1,"")</f>
        <v>0.41359918200409007</v>
      </c>
      <c r="M16" s="15">
        <f>IFERROR(M2/L2-1,"")</f>
        <v>0.42613019891500903</v>
      </c>
      <c r="N16" s="15">
        <f>IFERROR(N2/M2-1,"")</f>
        <v>0.12445317948392831</v>
      </c>
      <c r="O16" s="15">
        <f>IFERROR(O2/N2-1,"")</f>
        <v>-0.3699255751014885</v>
      </c>
      <c r="P16" s="15">
        <f>IFERROR(P2/O2-1,"")</f>
        <v>-0.06102908277404928</v>
      </c>
      <c r="Q16" s="15">
        <f>IFERROR(Q2/P2-1,"")</f>
        <v>-0.005432192890498455</v>
      </c>
      <c r="R16" s="15">
        <f>IFERROR(R2/Q2-1,"")</f>
        <v>-0.28813721732464537</v>
      </c>
      <c r="S16" s="15">
        <f>IFERROR(S2/R2-1,"")</f>
        <v>-0.00539999999999996</v>
      </c>
      <c r="T16" s="15">
        <f>IFERROR(T2/S2-1,"")</f>
        <v>-0.0020222222222222586</v>
      </c>
      <c r="U16" s="15">
        <f>IFERROR(U2/T2-1,"")</f>
        <v>0.0013555555555555543</v>
      </c>
      <c r="V16" s="15">
        <f>IFERROR(V2/U2-1,"")</f>
        <v>0.004733333333333256</v>
      </c>
      <c r="W16" s="15">
        <f>IFERROR(W2/V2-1,"")</f>
        <v>0.00811111111111118</v>
      </c>
      <c r="X16" s="15">
        <f>IFERROR(X2/W2-1,"")</f>
        <v>0.011488888888888882</v>
      </c>
      <c r="Y16" s="15">
        <f>IFERROR(Y2/X2-1,"")</f>
        <v>0.014866666666666584</v>
      </c>
      <c r="Z16" s="15">
        <f>IFERROR(Z2/Y2-1,"")</f>
        <v>0.018244444444444508</v>
      </c>
      <c r="AA16" s="15">
        <f>IFERROR(AA2/Z2-1,"")</f>
        <v>0.02162222222222221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0.8029609942671199</v>
      </c>
      <c r="C17" s="15">
        <f>IFERROR(C4/C2,"")</f>
        <v>0.8353641703736577</v>
      </c>
      <c r="D17" s="15">
        <f>IFERROR(D4/D2,"")</f>
        <v>0.8457444473707313</v>
      </c>
      <c r="E17" s="15">
        <f>IFERROR(E4/E2,"")</f>
        <v>0.8365414632761948</v>
      </c>
      <c r="F17" s="15">
        <f>IFERROR(F4/F2,"")</f>
        <v>0.8013493421157812</v>
      </c>
      <c r="G17" s="15">
        <f>IFERROR(G4/G2,"")</f>
        <v>0.7734850201493764</v>
      </c>
      <c r="H17" s="15">
        <f>IFERROR(H4/H2,"")</f>
        <v>0.7943988875052842</v>
      </c>
      <c r="I17" s="15">
        <f>IFERROR(I4/I2,"")</f>
        <v>0.7314157119476269</v>
      </c>
      <c r="J17" s="15">
        <f>IFERROR(J4/J2,"")</f>
        <v>0.6510839721875558</v>
      </c>
      <c r="K17" s="15">
        <f>IFERROR(K4/K2,"")</f>
        <v>0.5880623721881391</v>
      </c>
      <c r="L17" s="15">
        <f>IFERROR(L4/L2,"")</f>
        <v>0.6080470162748643</v>
      </c>
      <c r="M17" s="15">
        <f>IFERROR(M4/M2,"")</f>
        <v>0.6595447917327077</v>
      </c>
      <c r="N17" s="15">
        <f>IFERROR(N4/N2,"")</f>
        <v>0.5782025259359496</v>
      </c>
      <c r="O17" s="15">
        <f>IFERROR(O4/O2,"")</f>
        <v>0.37977628635346755</v>
      </c>
      <c r="P17" s="15">
        <f>IFERROR(P4/P2,"")</f>
        <v>0.3277423043934051</v>
      </c>
      <c r="Q17" s="15">
        <f>IFERROR(Q4/Q2,"")</f>
        <v>0.3471636642391721</v>
      </c>
      <c r="R17" s="15">
        <f>IFERROR(R4/R2,"")</f>
        <v>0.5609099475030287</v>
      </c>
      <c r="S17" s="15">
        <f>IFERROR(S4/S2,"")</f>
        <v>0.5609</v>
      </c>
      <c r="T17" s="15">
        <f>IFERROR(T4/T2,"")</f>
        <v>0.5609</v>
      </c>
      <c r="U17" s="15">
        <f>IFERROR(U4/U2,"")</f>
        <v>0.5609</v>
      </c>
      <c r="V17" s="15">
        <f>IFERROR(V4/V2,"")</f>
        <v>0.5609</v>
      </c>
      <c r="W17" s="15">
        <f>IFERROR(W4/W2,"")</f>
        <v>0.5609</v>
      </c>
      <c r="X17" s="15">
        <f>IFERROR(X4/X2,"")</f>
        <v>0.5609</v>
      </c>
      <c r="Y17" s="15">
        <f>IFERROR(Y4/Y2,"")</f>
        <v>0.5609</v>
      </c>
      <c r="Z17" s="15">
        <f>IFERROR(Z4/Z2,"")</f>
        <v>0.5609</v>
      </c>
      <c r="AA17" s="15">
        <f>IFERROR(AA4/AA2,"")</f>
        <v>0.5609</v>
      </c>
      <c r="AB17" s="15">
        <f>IFERROR(AB4/AB2,"")</f>
        <v>0.5609</v>
      </c>
    </row>
    <row r="18">
      <c r="A18" s="14" t="inlineStr">
        <is>
          <t>Operating Margin</t>
        </is>
      </c>
      <c r="B18" s="15">
        <f>IFERROR(B8/B2,"")</f>
        <v>0.17100678916119363</v>
      </c>
      <c r="C18" s="15">
        <f>IFERROR(C8/C2,"")</f>
        <v>0.25703862375991976</v>
      </c>
      <c r="D18" s="15">
        <f>IFERROR(D8/D2,"")</f>
        <v>0.11741360138120754</v>
      </c>
      <c r="E18" s="15">
        <f>IFERROR(E8/E2,"")</f>
        <v>0.10630817913497555</v>
      </c>
      <c r="F18" s="15">
        <f>IFERROR(F8/F2,"")</f>
        <v>0.13685910246366845</v>
      </c>
      <c r="G18" s="15">
        <f>IFERROR(G8/G2,"")</f>
        <v>0.1981347942186618</v>
      </c>
      <c r="H18" s="15">
        <f>IFERROR(H8/H2,"")</f>
        <v>0.2706904697688743</v>
      </c>
      <c r="I18" s="15">
        <f>IFERROR(I8/I2,"")</f>
        <v>0.21583469721767592</v>
      </c>
      <c r="J18" s="15">
        <f>IFERROR(J8/J2,"")</f>
        <v>0.22160812979140665</v>
      </c>
      <c r="K18" s="15">
        <f>IFERROR(K8/K2,"")</f>
        <v>0.11477505112474432</v>
      </c>
      <c r="L18" s="15">
        <f>IFERROR(L8/L2,"")</f>
        <v>0.10316455696202534</v>
      </c>
      <c r="M18" s="15">
        <f>IFERROR(M8/M2,"")</f>
        <v>0.27800672034489315</v>
      </c>
      <c r="N18" s="15">
        <f>IFERROR(N8/N2,"")</f>
        <v>0.19248985115020303</v>
      </c>
      <c r="O18" s="15">
        <f>IFERROR(O8/O2,"")</f>
        <v>-0.15212527964205827</v>
      </c>
      <c r="P18" s="15">
        <f>IFERROR(P8/P2,"")</f>
        <v>-0.692271037834747</v>
      </c>
      <c r="Q18" s="15">
        <f>IFERROR(Q8/Q2,"")</f>
        <v>-0.10415868148715988</v>
      </c>
      <c r="R18" s="15">
        <f>IFERROR(R8/R2,"")</f>
        <v>0.13474222641001485</v>
      </c>
      <c r="S18" s="15">
        <f>IFERROR(S8/S2,"")</f>
        <v>-0.05713</v>
      </c>
      <c r="T18" s="15">
        <f>IFERROR(T8/T2,"")</f>
        <v>-0.02855999999999997</v>
      </c>
      <c r="U18" s="15">
        <f>IFERROR(U8/U2,"")</f>
        <v>9.999999999957746e-06</v>
      </c>
      <c r="V18" s="15">
        <f>IFERROR(V8/V2,"")</f>
        <v>0.028579999999999994</v>
      </c>
      <c r="W18" s="15">
        <f>IFERROR(W8/W2,"")</f>
        <v>0.05715000000000002</v>
      </c>
      <c r="X18" s="15">
        <f>IFERROR(X8/X2,"")</f>
        <v>0.08572</v>
      </c>
      <c r="Y18" s="15">
        <f>IFERROR(Y8/Y2,"")</f>
        <v>0.11429000000000002</v>
      </c>
      <c r="Z18" s="15">
        <f>IFERROR(Z8/Z2,"")</f>
        <v>0.14286000000000001</v>
      </c>
      <c r="AA18" s="15">
        <f>IFERROR(AA8/AA2,"")</f>
        <v>0.17142999999999997</v>
      </c>
      <c r="AB18" s="15">
        <f>IFERROR(AB8/AB2,"")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Emergent BioSolutions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-0.0554</v>
      </c>
      <c r="C12" s="53" t="n">
        <v>-0.0054</v>
      </c>
      <c r="D12" s="53" t="n">
        <v>0.0446</v>
      </c>
      <c r="E12" s="54">
        <f>CHOOSE($B$4,B12,C12,D12)</f>
        <v>-0.0054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-0.0857</v>
      </c>
    </row>
    <row r="19">
      <c r="A19" s="14" t="inlineStr">
        <is>
          <t>Gross margin (forecast)</t>
        </is>
      </c>
      <c r="B19" s="53" t="n">
        <v>0.5609</v>
      </c>
    </row>
    <row r="20">
      <c r="A20" s="14" t="inlineStr">
        <is>
          <t>R&amp;D share of operating expense (forecast)</t>
        </is>
      </c>
      <c r="B20" s="53" t="n">
        <v>0.168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742.9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622.4525588530463</v>
      </c>
      <c r="C29" s="56">
        <f>NPV!B26</f>
        <v>180.35255885304628</v>
      </c>
      <c r="D29" s="35">
        <f>NPV!B28</f>
        <v>3.5174726850822866</v>
      </c>
      <c r="E29" s="57">
        <f>NPV!B30</f>
        <v>-0.44078335690265713</v>
      </c>
    </row>
    <row r="30">
      <c r="A30" s="58" t="n">
        <v>1</v>
      </c>
      <c r="B30" s="59">
        <f t="dataTable" ref="B30:E32" r1="B4"/>
        <v>283.0241998146529</v>
      </c>
      <c r="C30" s="59">
        <v>-159.07580018534708</v>
      </c>
      <c r="D30" s="39">
        <v>-3.1025053681965824</v>
      </c>
      <c r="E30" s="60">
        <v>-1.4932440966926204</v>
      </c>
    </row>
    <row r="31">
      <c r="A31" s="58" t="n">
        <v>2</v>
      </c>
      <c r="B31" s="59">
        <v>622.4525588530463</v>
      </c>
      <c r="C31" s="59">
        <v>180.35255885304628</v>
      </c>
      <c r="D31" s="39">
        <v>3.5174726850822866</v>
      </c>
      <c r="E31" s="60">
        <v>-0.44078335690265713</v>
      </c>
    </row>
    <row r="32">
      <c r="A32" s="58" t="n">
        <v>3</v>
      </c>
      <c r="B32" s="59">
        <v>1264.0493250517566</v>
      </c>
      <c r="C32" s="59">
        <v>821.9493250517567</v>
      </c>
      <c r="D32" s="39">
        <v>16.030736230070083</v>
      </c>
      <c r="E32" s="60">
        <v>1.5486067138426205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3.5174726850822866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6.244054983543063</v>
      </c>
      <c r="C37" s="39">
        <v>7.157682429390704</v>
      </c>
      <c r="D37" s="39">
        <v>8.18761305065655</v>
      </c>
      <c r="E37" s="39">
        <v>9.357136091768778</v>
      </c>
      <c r="F37" s="39">
        <v>10.696195268766267</v>
      </c>
    </row>
    <row r="38">
      <c r="A38" s="62" t="n">
        <v>0.115</v>
      </c>
      <c r="B38" s="39">
        <v>4.091510541362219</v>
      </c>
      <c r="C38" s="39">
        <v>4.791891464327807</v>
      </c>
      <c r="D38" s="39">
        <v>5.571861302739522</v>
      </c>
      <c r="E38" s="39">
        <v>6.445488763641924</v>
      </c>
      <c r="F38" s="39">
        <v>7.430360058789443</v>
      </c>
    </row>
    <row r="39">
      <c r="A39" s="62" t="n">
        <v>0.125</v>
      </c>
      <c r="B39" s="39">
        <v>2.3644414167790666</v>
      </c>
      <c r="C39" s="39">
        <v>2.912784361869135</v>
      </c>
      <c r="D39" s="39">
        <v>3.5174726850822866</v>
      </c>
      <c r="E39" s="39">
        <v>4.1874227980042065</v>
      </c>
      <c r="F39" s="39">
        <v>4.9335328092090025</v>
      </c>
    </row>
    <row r="40">
      <c r="A40" s="62" t="n">
        <v>0.135</v>
      </c>
      <c r="B40" s="39">
        <v>0.9540390101993469</v>
      </c>
      <c r="C40" s="39">
        <v>1.3908230259328442</v>
      </c>
      <c r="D40" s="39">
        <v>1.868620653761885</v>
      </c>
      <c r="E40" s="39">
        <v>2.393307750670128</v>
      </c>
      <c r="F40" s="39">
        <v>2.9719355739851405</v>
      </c>
    </row>
    <row r="41">
      <c r="A41" s="62" t="n">
        <v>0.145</v>
      </c>
      <c r="B41" s="39">
        <v>-0.21481486334672373</v>
      </c>
      <c r="C41" s="39">
        <v>0.13814404212000894</v>
      </c>
      <c r="D41" s="39">
        <v>0.521656014605916</v>
      </c>
      <c r="E41" s="39">
        <v>0.9397206064803394</v>
      </c>
      <c r="F41" s="39">
        <v>1.3970647561449254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Emergent BioSolutions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-0.0054</v>
      </c>
      <c r="D5" s="63">
        <f>Assumptions!$E$12+(Assumptions!$E$11-Assumptions!$E$12)*(D4-1)/(Assumptions!$B$21-1)</f>
        <v>-0.002022222222222222</v>
      </c>
      <c r="E5" s="63">
        <f>Assumptions!$E$12+(Assumptions!$E$11-Assumptions!$E$12)*(E4-1)/(Assumptions!$B$21-1)</f>
        <v>0.001355555555555556</v>
      </c>
      <c r="F5" s="63">
        <f>Assumptions!$E$12+(Assumptions!$E$11-Assumptions!$E$12)*(F4-1)/(Assumptions!$B$21-1)</f>
        <v>0.004733333333333334</v>
      </c>
      <c r="G5" s="63">
        <f>Assumptions!$E$12+(Assumptions!$E$11-Assumptions!$E$12)*(G4-1)/(Assumptions!$B$21-1)</f>
        <v>0.008111111111111112</v>
      </c>
      <c r="H5" s="63">
        <f>Assumptions!$E$12+(Assumptions!$E$11-Assumptions!$E$12)*(H4-1)/(Assumptions!$B$21-1)</f>
        <v>0.01148888888888889</v>
      </c>
      <c r="I5" s="63">
        <f>Assumptions!$E$12+(Assumptions!$E$11-Assumptions!$E$12)*(I4-1)/(Assumptions!$B$21-1)</f>
        <v>0.014866666666666669</v>
      </c>
      <c r="J5" s="63">
        <f>Assumptions!$E$12+(Assumptions!$E$11-Assumptions!$E$12)*(J4-1)/(Assumptions!$B$21-1)</f>
        <v>0.018244444444444445</v>
      </c>
      <c r="K5" s="63">
        <f>Assumptions!$E$12+(Assumptions!$E$11-Assumptions!$E$12)*(K4-1)/(Assumptions!$B$21-1)</f>
        <v>0.021622222222222223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0.13474222641001485</v>
      </c>
      <c r="C6" s="63">
        <f>Assumptions!$B$18+(Assumptions!$E$13-Assumptions!$B$18)*C4/Assumptions!$B$21</f>
        <v>-0.05713</v>
      </c>
      <c r="D6" s="63">
        <f>Assumptions!$B$18+(Assumptions!$E$13-Assumptions!$B$18)*D4/Assumptions!$B$21</f>
        <v>-0.028559999999999995</v>
      </c>
      <c r="E6" s="63">
        <f>Assumptions!$B$18+(Assumptions!$E$13-Assumptions!$B$18)*E4/Assumptions!$B$21</f>
        <v>9.999999999996123e-06</v>
      </c>
      <c r="F6" s="63">
        <f>Assumptions!$B$18+(Assumptions!$E$13-Assumptions!$B$18)*F4/Assumptions!$B$21</f>
        <v>0.028580000000000008</v>
      </c>
      <c r="G6" s="63">
        <f>Assumptions!$B$18+(Assumptions!$E$13-Assumptions!$B$18)*G4/Assumptions!$B$21</f>
        <v>0.057150000000000006</v>
      </c>
      <c r="H6" s="63">
        <f>Assumptions!$B$18+(Assumptions!$E$13-Assumptions!$B$18)*H4/Assumptions!$B$21</f>
        <v>0.08571999999999999</v>
      </c>
      <c r="I6" s="63">
        <f>Assumptions!$B$18+(Assumptions!$E$13-Assumptions!$B$18)*I4/Assumptions!$B$21</f>
        <v>0.11429</v>
      </c>
      <c r="J6" s="63">
        <f>Assumptions!$B$18+(Assumptions!$E$13-Assumptions!$B$18)*J4/Assumptions!$B$21</f>
        <v>0.14286000000000001</v>
      </c>
      <c r="K6" s="63">
        <f>Assumptions!$B$18+(Assumptions!$E$13-Assumptions!$B$18)*K4/Assumptions!$B$21</f>
        <v>0.17142999999999997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742.9</v>
      </c>
      <c r="C7" s="55">
        <f>'Yearly Model'!S2</f>
        <v>738.88834</v>
      </c>
      <c r="D7" s="55">
        <f>'Yearly Model'!T2</f>
        <v>737.3941435791111</v>
      </c>
      <c r="E7" s="55">
        <f>'Yearly Model'!U2</f>
        <v>738.3937223070739</v>
      </c>
      <c r="F7" s="55">
        <f>'Yearly Model'!V2</f>
        <v>741.888785925994</v>
      </c>
      <c r="G7" s="55">
        <f>'Yearly Model'!W2</f>
        <v>747.9063283007271</v>
      </c>
      <c r="H7" s="55">
        <f>'Yearly Model'!X2</f>
        <v>756.498941005871</v>
      </c>
      <c r="I7" s="55">
        <f>'Yearly Model'!Y2</f>
        <v>767.7455585954915</v>
      </c>
      <c r="J7" s="55">
        <f>'Yearly Model'!Z2</f>
        <v>781.7526497867559</v>
      </c>
      <c r="K7" s="55">
        <f>'Yearly Model'!AA2</f>
        <v>798.6558793032563</v>
      </c>
      <c r="L7" s="55">
        <f>'Yearly Model'!AB2</f>
        <v>818.6222762858376</v>
      </c>
    </row>
    <row r="8">
      <c r="A8" s="14" t="inlineStr">
        <is>
          <t>Operating income</t>
        </is>
      </c>
      <c r="B8" s="55">
        <f>'Yearly Model'!R8</f>
        <v>100.10000000000002</v>
      </c>
      <c r="C8" s="55">
        <f>'Yearly Model'!S8</f>
        <v>-42.2126908642</v>
      </c>
      <c r="D8" s="55">
        <f>'Yearly Model'!T8</f>
        <v>-21.05997674061939</v>
      </c>
      <c r="E8" s="55">
        <f>'Yearly Model'!U8</f>
        <v>0.007383937223039538</v>
      </c>
      <c r="F8" s="55">
        <f>'Yearly Model'!V8</f>
        <v>21.203181501764902</v>
      </c>
      <c r="G8" s="55">
        <f>'Yearly Model'!W8</f>
        <v>42.74284666238657</v>
      </c>
      <c r="H8" s="55">
        <f>'Yearly Model'!X8</f>
        <v>64.84708922302326</v>
      </c>
      <c r="I8" s="55">
        <f>'Yearly Model'!Y8</f>
        <v>87.74563989187874</v>
      </c>
      <c r="J8" s="55">
        <f>'Yearly Model'!Z8</f>
        <v>111.68118354853596</v>
      </c>
      <c r="K8" s="55">
        <f>'Yearly Model'!AA8</f>
        <v>136.9135773889572</v>
      </c>
      <c r="L8" s="55">
        <f>'Yearly Model'!AB8</f>
        <v>163.72445525716756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0.0012552693279167216</v>
      </c>
      <c r="F9" s="52">
        <f>MAX(0,F8)*Assumptions!$E$14</f>
        <v>3.6045408553000335</v>
      </c>
      <c r="G9" s="52">
        <f>MAX(0,G8)*Assumptions!$E$14</f>
        <v>7.266283932605718</v>
      </c>
      <c r="H9" s="52">
        <f>MAX(0,H8)*Assumptions!$E$14</f>
        <v>11.024005167913955</v>
      </c>
      <c r="I9" s="52">
        <f>MAX(0,I8)*Assumptions!$E$14</f>
        <v>14.916758781619386</v>
      </c>
      <c r="J9" s="52">
        <f>MAX(0,J8)*Assumptions!$E$14</f>
        <v>18.985801203251114</v>
      </c>
      <c r="K9" s="52">
        <f>MAX(0,K8)*Assumptions!$E$14</f>
        <v>23.275308156122726</v>
      </c>
      <c r="L9" s="52">
        <f>MAX(0,L8)*Assumptions!$E$14</f>
        <v>27.833157393718487</v>
      </c>
    </row>
    <row r="10">
      <c r="A10" s="14" t="inlineStr">
        <is>
          <t>NOPAT</t>
        </is>
      </c>
      <c r="C10" s="52">
        <f>C8-C9</f>
        <v>-42.2126908642</v>
      </c>
      <c r="D10" s="52">
        <f>D8-D9</f>
        <v>-21.05997674061939</v>
      </c>
      <c r="E10" s="52">
        <f>E8-E9</f>
        <v>0.006128667895122817</v>
      </c>
      <c r="F10" s="52">
        <f>F8-F9</f>
        <v>17.59864064646487</v>
      </c>
      <c r="G10" s="52">
        <f>G8-G9</f>
        <v>35.47656272978085</v>
      </c>
      <c r="H10" s="52">
        <f>H8-H9</f>
        <v>53.823084055109305</v>
      </c>
      <c r="I10" s="52">
        <f>I8-I9</f>
        <v>72.82888111025935</v>
      </c>
      <c r="J10" s="52">
        <f>J8-J9</f>
        <v>92.69538234528484</v>
      </c>
      <c r="K10" s="52">
        <f>K8-K9</f>
        <v>113.63826923283449</v>
      </c>
      <c r="L10" s="52">
        <f>L8-L9</f>
        <v>135.89129786344907</v>
      </c>
    </row>
    <row r="11">
      <c r="A11" s="14" t="inlineStr">
        <is>
          <t>Reinvestment</t>
        </is>
      </c>
      <c r="C11" s="52">
        <f>(C7-B7)*Assumptions!$E$15</f>
        <v>-1.0029150000000016</v>
      </c>
      <c r="D11" s="52">
        <f>(D7-C7)*Assumptions!$E$15</f>
        <v>-0.3735491052222244</v>
      </c>
      <c r="E11" s="52">
        <f>(E7-D7)*Assumptions!$E$15</f>
        <v>0.2498946819906962</v>
      </c>
      <c r="F11" s="52">
        <f>(F7-E7)*Assumptions!$E$15</f>
        <v>0.8737659047300212</v>
      </c>
      <c r="G11" s="52">
        <f>(G7-F7)*Assumptions!$E$15</f>
        <v>1.5043855936832813</v>
      </c>
      <c r="H11" s="52">
        <f>(H7-G7)*Assumptions!$E$15</f>
        <v>2.148153176285973</v>
      </c>
      <c r="I11" s="52">
        <f>(I7-H7)*Assumptions!$E$15</f>
        <v>2.8116543974051353</v>
      </c>
      <c r="J11" s="52">
        <f>(J7-I7)*Assumptions!$E$15</f>
        <v>3.501772797816102</v>
      </c>
      <c r="K11" s="52">
        <f>(K7-J7)*Assumptions!$E$15</f>
        <v>4.2258073791250865</v>
      </c>
      <c r="L11" s="52">
        <f>(L7-K7)*Assumptions!$E$15</f>
        <v>4.991599245645347</v>
      </c>
    </row>
    <row r="12">
      <c r="A12" s="20" t="inlineStr">
        <is>
          <t>Free cash flow</t>
        </is>
      </c>
      <c r="C12" s="64">
        <f>C10-C11</f>
        <v>-41.2097758642</v>
      </c>
      <c r="D12" s="64">
        <f>D10-D11</f>
        <v>-20.686427635397166</v>
      </c>
      <c r="E12" s="64">
        <f>E10-E11</f>
        <v>-0.24376601409557339</v>
      </c>
      <c r="F12" s="64">
        <f>F10-F11</f>
        <v>16.724874741734848</v>
      </c>
      <c r="G12" s="64">
        <f>G10-G11</f>
        <v>33.97217713609757</v>
      </c>
      <c r="H12" s="64">
        <f>H10-H11</f>
        <v>51.67493087882333</v>
      </c>
      <c r="I12" s="64">
        <f>I10-I11</f>
        <v>70.01722671285421</v>
      </c>
      <c r="J12" s="64">
        <f>J10-J11</f>
        <v>89.19360954746874</v>
      </c>
      <c r="K12" s="64">
        <f>K10-K11</f>
        <v>109.4124618537094</v>
      </c>
      <c r="L12" s="64">
        <f>L10-L11</f>
        <v>130.89969861780372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-20.166194733212635</v>
      </c>
      <c r="D16" s="64">
        <f>D12*D13*D15</f>
        <v>-18.379058093397994</v>
      </c>
      <c r="E16" s="64">
        <f>E12*E13*E15</f>
        <v>-0.19251225707439984</v>
      </c>
      <c r="F16" s="64">
        <f>F12*F13*F15</f>
        <v>11.74074298808941</v>
      </c>
      <c r="G16" s="64">
        <f>G12*G13*G15</f>
        <v>21.19842352769272</v>
      </c>
      <c r="H16" s="64">
        <f>H12*H13*H15</f>
        <v>28.66207095543314</v>
      </c>
      <c r="I16" s="64">
        <f>I12*I13*I15</f>
        <v>34.52073587313176</v>
      </c>
      <c r="J16" s="64">
        <f>J12*J13*J15</f>
        <v>39.08916173681069</v>
      </c>
      <c r="K16" s="64">
        <f>K12*K13*K15</f>
        <v>42.62230035060124</v>
      </c>
      <c r="L16" s="64">
        <f>L12*L13*L15</f>
        <v>45.32692102904636</v>
      </c>
    </row>
    <row r="19">
      <c r="A19" s="14" t="inlineStr">
        <is>
          <t>PV of forecast free cash flow</t>
        </is>
      </c>
      <c r="B19" s="52">
        <f>SUM(C16:L16)</f>
        <v>184.4225913771203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134.1721910832488</v>
      </c>
    </row>
    <row r="21">
      <c r="A21" s="14" t="inlineStr">
        <is>
          <t>Terminal value</t>
        </is>
      </c>
      <c r="B21" s="52">
        <f>B20/(Assumptions!$E$10-Assumptions!$E$11)</f>
        <v>1341.721910832488</v>
      </c>
    </row>
    <row r="22">
      <c r="A22" s="14" t="inlineStr">
        <is>
          <t>PV of terminal value</t>
        </is>
      </c>
      <c r="B22" s="52">
        <f>B21/(1+Assumptions!$E$10)^(L14+0.5)</f>
        <v>438.02996747592596</v>
      </c>
    </row>
    <row r="23">
      <c r="A23" s="20" t="inlineStr">
        <is>
          <t>Enterprise value</t>
        </is>
      </c>
      <c r="B23" s="66">
        <f>B19+B22</f>
        <v>622.4525588530463</v>
      </c>
    </row>
    <row r="24">
      <c r="A24" s="14" t="inlineStr">
        <is>
          <t>Cash &amp; investments</t>
        </is>
      </c>
      <c r="B24" s="55">
        <f>Main!C7</f>
        <v>139.7</v>
      </c>
    </row>
    <row r="25">
      <c r="A25" s="14" t="inlineStr">
        <is>
          <t>Debt</t>
        </is>
      </c>
      <c r="B25" s="55">
        <f>Main!C8</f>
        <v>581.8</v>
      </c>
    </row>
    <row r="26">
      <c r="A26" s="20" t="inlineStr">
        <is>
          <t>Equity value</t>
        </is>
      </c>
      <c r="B26" s="66">
        <f>B23+B24-B25</f>
        <v>180.35255885304628</v>
      </c>
    </row>
    <row r="27">
      <c r="A27" s="14" t="inlineStr">
        <is>
          <t>Shares (mm)</t>
        </is>
      </c>
      <c r="B27" s="55">
        <f>Main!C4</f>
        <v>51.273336</v>
      </c>
    </row>
    <row r="28">
      <c r="A28" s="20" t="inlineStr">
        <is>
          <t>NPV / share</t>
        </is>
      </c>
      <c r="B28" s="49">
        <f>B26/B27</f>
        <v>3.5174726850822866</v>
      </c>
    </row>
    <row r="29">
      <c r="A29" s="14" t="inlineStr">
        <is>
          <t>Price</t>
        </is>
      </c>
      <c r="B29" s="50">
        <f>Main!C3</f>
        <v>6.29</v>
      </c>
    </row>
    <row r="30">
      <c r="A30" s="14" t="inlineStr">
        <is>
          <t>Upside</t>
        </is>
      </c>
      <c r="B30" s="63">
        <f>B28/B29-1</f>
        <v>-0.44078335690265713</v>
      </c>
    </row>
    <row r="31">
      <c r="A31" s="14" t="inlineStr">
        <is>
          <t>Terminal value, % of EV</t>
        </is>
      </c>
      <c r="B31" s="63">
        <f>IFERROR(B22/B23,0)</f>
        <v>0.7037162290457218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2026-10-21T06:25:57Z</dcterms:modified>
  <cp:lastModifiedBy>Wang, Eric</cp:lastModifiedBy>
</cp:coreProperties>
</file>