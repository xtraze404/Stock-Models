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Ernexa Therapeutics Inc</t>
        </is>
      </c>
      <c r="C2" s="10" t="n"/>
    </row>
    <row r="3">
      <c r="B3" t="inlineStr">
        <is>
          <t>Price</t>
        </is>
      </c>
      <c r="C3" s="11">
        <f>INDEX([1]Pharma!$F$1:$F$1000,MATCH("ERNA",[1]Pharma!$B$1:$B$1000,0))</f>
        <v>2.24</v>
      </c>
      <c r="F3" s="1" t="n"/>
    </row>
    <row r="4">
      <c r="B4" t="inlineStr">
        <is>
          <t>Shares</t>
        </is>
      </c>
      <c r="C4" s="21" t="n">
        <v>1.632411</v>
      </c>
      <c r="F4" s="1" t="n"/>
    </row>
    <row r="5">
      <c r="B5" t="inlineStr">
        <is>
          <t>Market Cap.</t>
        </is>
      </c>
      <c r="C5" s="13">
        <f>C3*C4</f>
        <v>3.6566006400000006</v>
      </c>
      <c r="F5" s="1" t="n"/>
    </row>
    <row r="6"/>
    <row r="7">
      <c r="B7" t="inlineStr">
        <is>
          <t>Cash</t>
        </is>
      </c>
      <c r="C7" s="21" t="n">
        <v>5.028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-1.371399359999999</v>
      </c>
    </row>
    <row r="10"/>
    <row r="11">
      <c r="B11" s="14" t="inlineStr">
        <is>
          <t>Net Cash / Share</t>
        </is>
      </c>
      <c r="C11" s="11">
        <f>(C7-C8)/C4</f>
        <v>3.0801066643143176</v>
      </c>
    </row>
    <row r="12">
      <c r="B12" s="14" t="inlineStr">
        <is>
          <t>Upside</t>
        </is>
      </c>
      <c r="C12" s="15">
        <f>IFERROR(C11/C3-1,"")</f>
        <v>0.3750476179974631</v>
      </c>
    </row>
    <row r="13">
      <c r="B13" s="14" t="inlineStr">
        <is>
          <t>Cash / Share</t>
        </is>
      </c>
      <c r="C13" s="11">
        <f>IFERROR((C7-C8)/C4,"")</f>
        <v>3.0801066643143176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-8.836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0.569035762788592</v>
      </c>
    </row>
    <row r="19">
      <c r="B19" s="14" t="inlineStr">
        <is>
          <t>Implied Pipeline Value</t>
        </is>
      </c>
      <c r="C19" s="13">
        <f>C9</f>
        <v>-1.371399359999999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25.309</v>
      </c>
      <c r="C2" s="23" t="n">
        <v>23.87</v>
      </c>
      <c r="D2" s="23" t="n">
        <v>24.064</v>
      </c>
      <c r="E2" s="23" t="n">
        <v>23.749</v>
      </c>
      <c r="F2" s="23" t="n">
        <v>26.046</v>
      </c>
      <c r="G2" s="23" t="n">
        <v>24.519</v>
      </c>
      <c r="H2" s="23" t="n">
        <v>22.312</v>
      </c>
      <c r="I2" s="23" t="n">
        <v>21.274</v>
      </c>
      <c r="J2" s="23" t="n">
        <v>23.335</v>
      </c>
      <c r="K2" s="23" t="n">
        <v>19.806</v>
      </c>
      <c r="L2" s="23" t="n">
        <v>5.8</v>
      </c>
      <c r="M2" s="23" t="n">
        <v>0</v>
      </c>
      <c r="N2" s="23" t="n">
        <v>0</v>
      </c>
      <c r="O2" s="23" t="n">
        <v>0.068</v>
      </c>
      <c r="P2" s="23" t="n">
        <v>0.582</v>
      </c>
      <c r="Q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0.236</v>
      </c>
      <c r="P3" s="23" t="n">
        <v>0.096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25.309</v>
      </c>
      <c r="C4" s="23">
        <f>C2-C3</f>
        <v>23.87</v>
      </c>
      <c r="D4" s="23">
        <f>D2-D3</f>
        <v>24.064</v>
      </c>
      <c r="E4" s="23">
        <f>E2-E3</f>
        <v>23.749</v>
      </c>
      <c r="F4" s="23">
        <f>F2-F3</f>
        <v>26.046</v>
      </c>
      <c r="G4" s="23">
        <f>G2-G3</f>
        <v>24.519</v>
      </c>
      <c r="H4" s="23">
        <f>H2-H3</f>
        <v>22.312</v>
      </c>
      <c r="I4" s="23">
        <f>I2-I3</f>
        <v>21.274</v>
      </c>
      <c r="J4" s="23">
        <f>J2-J3</f>
        <v>23.335</v>
      </c>
      <c r="K4" s="23">
        <f>K2-K3</f>
        <v>19.806</v>
      </c>
      <c r="L4" s="23">
        <f>L2-L3</f>
        <v>5.8</v>
      </c>
      <c r="M4" s="23">
        <f>M2-M3</f>
        <v>0.0</v>
      </c>
      <c r="N4" s="23">
        <f>N2-N3</f>
        <v>0.0</v>
      </c>
      <c r="O4" s="23">
        <f>O2-O3</f>
        <v>-0.16799999999999998</v>
      </c>
      <c r="P4" s="23">
        <f>P2-P3</f>
        <v>0.486</v>
      </c>
      <c r="Q4" s="23">
        <f>Q2-Q3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0.139</v>
      </c>
      <c r="J5" s="23" t="n">
        <v>0.07199999999999999</v>
      </c>
      <c r="K5" s="23" t="n">
        <v>0.026</v>
      </c>
      <c r="L5" s="23" t="n">
        <v>3.951</v>
      </c>
      <c r="M5" s="23" t="n">
        <v>12.705</v>
      </c>
      <c r="N5" s="23" t="n">
        <v>10.392</v>
      </c>
      <c r="O5" s="23" t="n">
        <v>5.92</v>
      </c>
      <c r="P5" s="23" t="n">
        <v>4.604</v>
      </c>
      <c r="Q5" s="23" t="n">
        <v>4.156</v>
      </c>
    </row>
    <row r="6">
      <c r="A6" s="19" t="inlineStr">
        <is>
          <t>SG&amp;A &amp; Other</t>
        </is>
      </c>
      <c r="B6" s="23" t="n">
        <v>25.634</v>
      </c>
      <c r="C6" s="23" t="n">
        <v>27.146</v>
      </c>
      <c r="D6" s="23" t="n">
        <v>25.126</v>
      </c>
      <c r="E6" s="23" t="n">
        <v>24.868</v>
      </c>
      <c r="F6" s="23" t="n">
        <v>30.788</v>
      </c>
      <c r="G6" s="23" t="n">
        <v>31.414</v>
      </c>
      <c r="H6" s="23" t="n">
        <v>24.59</v>
      </c>
      <c r="I6" s="23" t="n">
        <v>22.537</v>
      </c>
      <c r="J6" s="23" t="n">
        <v>23.06</v>
      </c>
      <c r="K6" s="23" t="n">
        <v>21.542</v>
      </c>
      <c r="L6" s="23" t="n">
        <v>9.097</v>
      </c>
      <c r="M6" s="23" t="n">
        <v>101.027</v>
      </c>
      <c r="N6" s="23" t="n">
        <v>22.825</v>
      </c>
      <c r="O6" s="23" t="n">
        <v>15.047</v>
      </c>
      <c r="P6" s="23" t="n">
        <v>11.556</v>
      </c>
      <c r="Q6" s="23" t="n">
        <v>5.163</v>
      </c>
    </row>
    <row r="7">
      <c r="A7" s="2" t="inlineStr">
        <is>
          <t>Operating Expense</t>
        </is>
      </c>
      <c r="B7" s="23">
        <f>SUM(B5:B6)</f>
        <v>25.634</v>
      </c>
      <c r="C7" s="23">
        <f>SUM(C5:C6)</f>
        <v>27.146</v>
      </c>
      <c r="D7" s="23">
        <f>SUM(D5:D6)</f>
        <v>25.126</v>
      </c>
      <c r="E7" s="23">
        <f>SUM(E5:E6)</f>
        <v>24.868</v>
      </c>
      <c r="F7" s="23">
        <f>SUM(F5:F6)</f>
        <v>30.788</v>
      </c>
      <c r="G7" s="23">
        <f>SUM(G5:G6)</f>
        <v>31.414</v>
      </c>
      <c r="H7" s="23">
        <f>SUM(H5:H6)</f>
        <v>24.59</v>
      </c>
      <c r="I7" s="23">
        <f>SUM(I5:I6)</f>
        <v>22.676</v>
      </c>
      <c r="J7" s="23">
        <f>SUM(J5:J6)</f>
        <v>23.131999999999998</v>
      </c>
      <c r="K7" s="23">
        <f>SUM(K5:K6)</f>
        <v>21.568</v>
      </c>
      <c r="L7" s="23">
        <f>SUM(L5:L6)</f>
        <v>13.048</v>
      </c>
      <c r="M7" s="23">
        <f>SUM(M5:M6)</f>
        <v>113.732</v>
      </c>
      <c r="N7" s="23">
        <f>SUM(N5:N6)</f>
        <v>33.217</v>
      </c>
      <c r="O7" s="23">
        <f>SUM(O5:O6)</f>
        <v>20.967</v>
      </c>
      <c r="P7" s="23">
        <f>SUM(P5:P6)</f>
        <v>16.16</v>
      </c>
      <c r="Q7" s="23">
        <f>SUM(Q5:Q6)</f>
        <v>9.318999999999999</v>
      </c>
    </row>
    <row r="8">
      <c r="A8" s="2" t="inlineStr">
        <is>
          <t>Operating Income</t>
        </is>
      </c>
      <c r="B8" s="23">
        <f>B4-B7</f>
        <v>-0.3249999999999993</v>
      </c>
      <c r="C8" s="23">
        <f>C4-C7</f>
        <v>-3.276</v>
      </c>
      <c r="D8" s="23">
        <f>D4-D7</f>
        <v>-1.0620000000000012</v>
      </c>
      <c r="E8" s="23">
        <f>E4-E7</f>
        <v>-1.1189999999999998</v>
      </c>
      <c r="F8" s="23">
        <f>F4-F7</f>
        <v>-4.742000000000001</v>
      </c>
      <c r="G8" s="23">
        <f>G4-G7</f>
        <v>-6.895000000000003</v>
      </c>
      <c r="H8" s="23">
        <f>H4-H7</f>
        <v>-2.2779999999999987</v>
      </c>
      <c r="I8" s="23">
        <f>I4-I7</f>
        <v>-1.4019999999999975</v>
      </c>
      <c r="J8" s="23">
        <f>J4-J7</f>
        <v>0.20300000000000296</v>
      </c>
      <c r="K8" s="23">
        <f>K4-K7</f>
        <v>-1.7620000000000005</v>
      </c>
      <c r="L8" s="23">
        <f>L4-L7</f>
        <v>-7.248</v>
      </c>
      <c r="M8" s="23">
        <f>M4-M7</f>
        <v>-113.732</v>
      </c>
      <c r="N8" s="23">
        <f>N4-N7</f>
        <v>-33.217</v>
      </c>
      <c r="O8" s="23">
        <f>O4-O7</f>
        <v>-21.134999999999998</v>
      </c>
      <c r="P8" s="23">
        <f>P4-P7</f>
        <v>-15.674</v>
      </c>
      <c r="Q8" s="23">
        <f>Q4-Q7</f>
        <v>-9.318999999999999</v>
      </c>
    </row>
    <row r="9">
      <c r="A9" s="19" t="inlineStr">
        <is>
          <t>Interest &amp; Other</t>
        </is>
      </c>
      <c r="B9" s="23" t="n">
        <v>-0.033</v>
      </c>
      <c r="C9" s="23" t="n">
        <v>0.02</v>
      </c>
      <c r="D9" s="23" t="n">
        <v>-0.016</v>
      </c>
      <c r="E9" s="23" t="n">
        <v>0.112</v>
      </c>
      <c r="F9" s="23" t="n">
        <v>-0.204</v>
      </c>
      <c r="G9" s="23" t="n">
        <v>-0.319</v>
      </c>
      <c r="H9" s="23" t="n">
        <v>-0.607</v>
      </c>
      <c r="I9" s="23" t="n">
        <v>0.391</v>
      </c>
      <c r="J9" s="23" t="n">
        <v>-0.526</v>
      </c>
      <c r="K9" s="23" t="n">
        <v>-0.258</v>
      </c>
      <c r="L9" s="23" t="n">
        <v>-0.043</v>
      </c>
      <c r="M9" s="23" t="n">
        <v>-8.749000000000001</v>
      </c>
      <c r="N9" s="23" t="n">
        <v>8.683</v>
      </c>
      <c r="O9" s="23" t="n">
        <v>-0.536</v>
      </c>
      <c r="P9" s="23" t="n">
        <v>-28.835</v>
      </c>
      <c r="Q9" s="23" t="n">
        <v>-4.81</v>
      </c>
    </row>
    <row r="10">
      <c r="A10" s="2" t="inlineStr">
        <is>
          <t>Pretax</t>
        </is>
      </c>
      <c r="B10" s="23">
        <f>B8+B9</f>
        <v>-0.3579999999999993</v>
      </c>
      <c r="C10" s="23">
        <f>C8+C9</f>
        <v>-3.256</v>
      </c>
      <c r="D10" s="23">
        <f>D8+D9</f>
        <v>-1.0780000000000012</v>
      </c>
      <c r="E10" s="23">
        <f>E8+E9</f>
        <v>-1.0069999999999997</v>
      </c>
      <c r="F10" s="23">
        <f>F8+F9</f>
        <v>-4.946000000000001</v>
      </c>
      <c r="G10" s="23">
        <f>G8+G9</f>
        <v>-7.214000000000003</v>
      </c>
      <c r="H10" s="23">
        <f>H8+H9</f>
        <v>-2.884999999999999</v>
      </c>
      <c r="I10" s="23">
        <f>I8+I9</f>
        <v>-1.0109999999999975</v>
      </c>
      <c r="J10" s="23">
        <f>J8+J9</f>
        <v>-0.32299999999999707</v>
      </c>
      <c r="K10" s="23">
        <f>K8+K9</f>
        <v>-2.0200000000000005</v>
      </c>
      <c r="L10" s="23">
        <f>L8+L9</f>
        <v>-7.291</v>
      </c>
      <c r="M10" s="23">
        <f>M8+M9</f>
        <v>-122.481</v>
      </c>
      <c r="N10" s="23">
        <f>N8+N9</f>
        <v>-24.534</v>
      </c>
      <c r="O10" s="23">
        <f>O8+O9</f>
        <v>-21.671</v>
      </c>
      <c r="P10" s="23">
        <f>P8+P9</f>
        <v>-44.509</v>
      </c>
      <c r="Q10" s="23">
        <f>Q8+Q9</f>
        <v>-14.128999999999998</v>
      </c>
    </row>
    <row r="11">
      <c r="A11" s="2" t="inlineStr">
        <is>
          <t>Taxes</t>
        </is>
      </c>
      <c r="B11" s="23" t="n">
        <v>0.042</v>
      </c>
      <c r="C11" s="23" t="n">
        <v>0.163</v>
      </c>
      <c r="D11" s="23" t="n">
        <v>-0.083</v>
      </c>
      <c r="E11" s="23" t="n">
        <v>0.046</v>
      </c>
      <c r="F11" s="23" t="n">
        <v>0.08400000000000001</v>
      </c>
      <c r="G11" s="23" t="n">
        <v>0.012</v>
      </c>
      <c r="H11" s="23" t="n">
        <v>0.038</v>
      </c>
      <c r="I11" s="23" t="n">
        <v>0.066</v>
      </c>
      <c r="J11" s="23" t="n">
        <v>-0.064</v>
      </c>
      <c r="K11" s="23" t="n">
        <v>0.027</v>
      </c>
      <c r="L11" s="23" t="n">
        <v>0</v>
      </c>
      <c r="M11" s="23" t="n">
        <v>0.064</v>
      </c>
      <c r="N11" s="23" t="n">
        <v>0.045</v>
      </c>
      <c r="O11" s="23" t="n">
        <v>-0.003</v>
      </c>
      <c r="P11" s="23" t="n">
        <v>0.03</v>
      </c>
      <c r="Q11" s="23" t="n">
        <v>-0.045</v>
      </c>
    </row>
    <row r="12">
      <c r="A12" s="2" t="inlineStr">
        <is>
          <t>Net Income</t>
        </is>
      </c>
      <c r="B12" s="23" t="n">
        <v>-0.4</v>
      </c>
      <c r="C12" s="23" t="n">
        <v>-3.419</v>
      </c>
      <c r="D12" s="23" t="n">
        <v>-0.995</v>
      </c>
      <c r="E12" s="23" t="n">
        <v>-1.053</v>
      </c>
      <c r="F12" s="23" t="n">
        <v>-5.03</v>
      </c>
      <c r="G12" s="23" t="n">
        <v>-7.226</v>
      </c>
      <c r="H12" s="23" t="n">
        <v>-2.923</v>
      </c>
      <c r="I12" s="23" t="n">
        <v>-1.077</v>
      </c>
      <c r="J12" s="23" t="n">
        <v>-0.259</v>
      </c>
      <c r="K12" s="23" t="n">
        <v>-2.047</v>
      </c>
      <c r="L12" s="23" t="n">
        <v>-7.291</v>
      </c>
      <c r="M12" s="23" t="n">
        <v>-122.545</v>
      </c>
      <c r="N12" s="23" t="n">
        <v>-24.579</v>
      </c>
      <c r="O12" s="23" t="n">
        <v>-21.668</v>
      </c>
      <c r="P12" s="23" t="n">
        <v>-44.539</v>
      </c>
      <c r="Q12" s="23" t="n">
        <v>-14.084</v>
      </c>
    </row>
    <row r="13">
      <c r="A13" s="2" t="inlineStr">
        <is>
          <t>Earnings per Share</t>
        </is>
      </c>
      <c r="B13" s="11">
        <f>IFERROR(B12/B14,0)</f>
        <v>-0.043215211754537596</v>
      </c>
      <c r="C13" s="11">
        <f>IFERROR(C12/C14,0)</f>
        <v>-0.3692224622030238</v>
      </c>
      <c r="D13" s="11">
        <f>IFERROR(D12/D14,0)</f>
        <v>-0.10745140388768899</v>
      </c>
      <c r="E13" s="11">
        <f>IFERROR(E12/E14,0)</f>
        <v>-0.10909656029838376</v>
      </c>
      <c r="F13" s="11">
        <f>IFERROR(F12/F14,0)</f>
        <v>-0.5209196354598177</v>
      </c>
      <c r="G13" s="11">
        <f>IFERROR(G12/G14,0)</f>
        <v>-0.7488858949113898</v>
      </c>
      <c r="H13" s="11">
        <f>IFERROR(H12/H14,0)</f>
        <v>-0.2925633069762787</v>
      </c>
      <c r="I13" s="11">
        <f>IFERROR(I12/I14,0)</f>
        <v>-0.08400280789330006</v>
      </c>
      <c r="J13" s="11">
        <f>IFERROR(J12/J14,0)</f>
        <v>-0.018353174603174604</v>
      </c>
      <c r="K13" s="11">
        <f>IFERROR(K12/K14,0)</f>
        <v>-0.13561680137803103</v>
      </c>
      <c r="L13" s="11">
        <f>IFERROR(L12/L14,0)</f>
        <v>-0.4737491877842755</v>
      </c>
      <c r="M13" s="11">
        <f>IFERROR(M12/M14,0)</f>
        <v>-8.08611019465523</v>
      </c>
      <c r="N13" s="11">
        <f>IFERROR(N12/N14,0)</f>
        <v>-1.1508638853771598</v>
      </c>
      <c r="O13" s="11">
        <f>IFERROR(O12/O14,0)</f>
        <v>-0.5825044357223507</v>
      </c>
      <c r="P13" s="11">
        <f>IFERROR(P12/P14,0)</f>
        <v>-6.99199372056515</v>
      </c>
      <c r="Q13" s="11">
        <f>IFERROR(Q12/Q14,0)</f>
        <v>-2.2330743618202</v>
      </c>
    </row>
    <row r="14">
      <c r="A14" s="2" t="inlineStr">
        <is>
          <t>Shares</t>
        </is>
      </c>
      <c r="B14" s="23" t="n">
        <v>9.256</v>
      </c>
      <c r="C14" s="23" t="n">
        <v>9.26</v>
      </c>
      <c r="D14" s="23" t="n">
        <v>9.26</v>
      </c>
      <c r="E14" s="23" t="n">
        <v>9.651999999999999</v>
      </c>
      <c r="F14" s="23" t="n">
        <v>9.656000000000001</v>
      </c>
      <c r="G14" s="23" t="n">
        <v>9.648999999999999</v>
      </c>
      <c r="H14" s="23" t="n">
        <v>9.991</v>
      </c>
      <c r="I14" s="23" t="n">
        <v>12.821</v>
      </c>
      <c r="J14" s="23" t="n">
        <v>14.112</v>
      </c>
      <c r="K14" s="23" t="n">
        <v>15.094</v>
      </c>
      <c r="L14" s="23" t="n">
        <v>15.39</v>
      </c>
      <c r="M14" s="23" t="n">
        <v>15.155</v>
      </c>
      <c r="N14" s="23" t="n">
        <v>21.357</v>
      </c>
      <c r="O14" s="23" t="n">
        <v>37.198</v>
      </c>
      <c r="P14" s="23" t="n">
        <v>6.37</v>
      </c>
      <c r="Q14" s="23" t="n">
        <v>6.307</v>
      </c>
    </row>
    <row r="15"/>
    <row r="16" customFormat="1" s="4">
      <c r="A16" s="3" t="inlineStr">
        <is>
          <t>Revenue Change</t>
        </is>
      </c>
      <c r="C16" s="15">
        <f>IFERROR(C2/B2-1,"")</f>
        <v>-0.05685724445849305</v>
      </c>
      <c r="D16" s="15">
        <f>IFERROR(D2/C2-1,"")</f>
        <v>0.008127356514453288</v>
      </c>
      <c r="E16" s="15">
        <f>IFERROR(E2/D2-1,"")</f>
        <v>-0.013090093085106447</v>
      </c>
      <c r="F16" s="15">
        <f>IFERROR(F2/E2-1,"")</f>
        <v>0.09671986188892157</v>
      </c>
      <c r="G16" s="15">
        <f>IFERROR(G2/F2-1,"")</f>
        <v>-0.058627044459801936</v>
      </c>
      <c r="H16" s="15">
        <f>IFERROR(H2/G2-1,"")</f>
        <v>-0.09001182756229853</v>
      </c>
      <c r="I16" s="15">
        <f>IFERROR(I2/H2-1,"")</f>
        <v>-0.04652205091430617</v>
      </c>
      <c r="J16" s="15">
        <f>IFERROR(J2/I2-1,"")</f>
        <v>0.09687881921594443</v>
      </c>
      <c r="K16" s="15">
        <f>IFERROR(K2/J2-1,"")</f>
        <v>-0.15123205485322477</v>
      </c>
      <c r="L16" s="15">
        <f>IFERROR(L2/K2-1,"")</f>
        <v>-0.7071594466323337</v>
      </c>
      <c r="M16" s="15">
        <f>IFERROR(M2/L2-1,"")</f>
        <v>-1.0</v>
      </c>
      <c r="N16" s="15">
        <f>IFERROR(N2/M2-1,"")</f>
        <v/>
      </c>
      <c r="O16" s="15">
        <f>IFERROR(O2/N2-1,"")</f>
        <v/>
      </c>
      <c r="P16" s="15">
        <f>IFERROR(P2/O2-1,"")</f>
        <v>7.558823529411763</v>
      </c>
      <c r="Q16" s="15">
        <f>IFERROR(Q2/P2-1,"")</f>
        <v>-1.0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/>
      </c>
      <c r="N17" s="15">
        <f>IFERROR(N4/N2,"")</f>
        <v/>
      </c>
      <c r="O17" s="15">
        <f>IFERROR(O4/O2,"")</f>
        <v>-2.4705882352941173</v>
      </c>
      <c r="P17" s="15">
        <f>IFERROR(P4/P2,"")</f>
        <v>0.8350515463917526</v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>-0.012841281757477549</v>
      </c>
      <c r="C18" s="15">
        <f>IFERROR(C8/C2,"")</f>
        <v>-0.1372434017595308</v>
      </c>
      <c r="D18" s="15">
        <f>IFERROR(D8/D2,"")</f>
        <v>-0.04413231382978728</v>
      </c>
      <c r="E18" s="15">
        <f>IFERROR(E8/E2,"")</f>
        <v>-0.04711777337993178</v>
      </c>
      <c r="F18" s="15">
        <f>IFERROR(F8/F2,"")</f>
        <v>-0.18206250479920144</v>
      </c>
      <c r="G18" s="15">
        <f>IFERROR(G8/G2,"")</f>
        <v>-0.2812104898242181</v>
      </c>
      <c r="H18" s="15">
        <f>IFERROR(H8/H2,"")</f>
        <v>-0.10209752599498022</v>
      </c>
      <c r="I18" s="15">
        <f>IFERROR(I8/I2,"")</f>
        <v>-0.06590204004888585</v>
      </c>
      <c r="J18" s="15">
        <f>IFERROR(J8/J2,"")</f>
        <v>0.008699378615813283</v>
      </c>
      <c r="K18" s="15">
        <f>IFERROR(K8/K2,"")</f>
        <v>-0.08896294052307384</v>
      </c>
      <c r="L18" s="15">
        <f>IFERROR(L8/L2,"")</f>
        <v>-1.2496551724137932</v>
      </c>
      <c r="M18" s="15">
        <f>IFERROR(M8/M2,"")</f>
        <v/>
      </c>
      <c r="N18" s="15">
        <f>IFERROR(N8/N2,"")</f>
        <v/>
      </c>
      <c r="O18" s="15">
        <f>IFERROR(O8/O2,"")</f>
        <v>-310.8088235294117</v>
      </c>
      <c r="P18" s="15">
        <f>IFERROR(P8/P2,"")</f>
        <v>-26.93127147766323</v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2026-10-21T06:31:31Z</dcterms:modified>
  <cp:lastModifiedBy>Wang, Eric</cp:lastModifiedBy>
</cp:coreProperties>
</file>