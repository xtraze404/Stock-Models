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INTELLIA THERAPEUTICS, INC.</t>
        </is>
      </c>
      <c r="C2" s="10" t="n"/>
    </row>
    <row r="3">
      <c r="B3" t="inlineStr">
        <is>
          <t>Price</t>
        </is>
      </c>
      <c r="C3" s="11">
        <f>INDEX([1]Pharma!$F$1:$F$1000,MATCH("NTLA",[1]Pharma!$B$1:$B$1000,0))</f>
        <v>11.84</v>
      </c>
      <c r="F3" s="1" t="n"/>
    </row>
    <row r="4">
      <c r="B4" t="inlineStr">
        <is>
          <t>Shares</t>
        </is>
      </c>
      <c r="C4" s="51" t="n">
        <v>140.126693</v>
      </c>
      <c r="F4" s="1" t="n"/>
    </row>
    <row r="5">
      <c r="B5" t="inlineStr">
        <is>
          <t>Market Cap.</t>
        </is>
      </c>
      <c r="C5" s="13">
        <f>C3*C4</f>
        <v>1659.1000451199998</v>
      </c>
      <c r="F5" s="1" t="n"/>
    </row>
    <row r="6"/>
    <row r="7">
      <c r="B7" t="inlineStr">
        <is>
          <t>Cash</t>
        </is>
      </c>
      <c r="C7" s="51">
        <f>106.128+331.631</f>
        <v>437.75899999999996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1221.3410451199998</v>
      </c>
    </row>
    <row r="10"/>
    <row r="11">
      <c r="B11" s="14" t="inlineStr">
        <is>
          <t>NPV / Share</t>
        </is>
      </c>
      <c r="C11" s="11">
        <f>NPV!B28</f>
        <v>1.9003168674395607</v>
      </c>
    </row>
    <row r="12">
      <c r="B12" s="14" t="inlineStr">
        <is>
          <t>Upside</t>
        </is>
      </c>
      <c r="C12" s="15">
        <f>IFERROR(C11/C3-1,"")</f>
        <v>-0.8395002645743614</v>
      </c>
    </row>
    <row r="13">
      <c r="B13" s="14" t="inlineStr">
        <is>
          <t>Cash / Share</t>
        </is>
      </c>
      <c r="C13" s="11">
        <f>IFERROR((C7-C8)/C4,"")</f>
        <v>3.124022915462652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2015</v>
      </c>
      <c r="C1" s="16" t="n">
        <v>2016</v>
      </c>
      <c r="D1" s="16" t="n">
        <v>2017</v>
      </c>
      <c r="E1" s="16" t="n">
        <v>2018</v>
      </c>
      <c r="F1" s="16" t="n">
        <v>2019</v>
      </c>
      <c r="G1" s="16" t="n">
        <v>2020</v>
      </c>
      <c r="H1" s="16" t="n">
        <v>2021</v>
      </c>
      <c r="I1" s="16" t="n">
        <v>2022</v>
      </c>
      <c r="J1" s="16" t="n">
        <v>2023</v>
      </c>
      <c r="K1" s="16" t="n">
        <v>2024</v>
      </c>
      <c r="L1" s="16" t="n">
        <v>2025</v>
      </c>
      <c r="M1" s="16" t="n">
        <v>2026</v>
      </c>
      <c r="N1" s="16" t="n">
        <v>2027</v>
      </c>
      <c r="O1" s="16" t="n">
        <v>2028</v>
      </c>
      <c r="P1" s="16" t="n">
        <v>2029</v>
      </c>
      <c r="Q1" s="16" t="n">
        <v>2030</v>
      </c>
      <c r="R1" s="16" t="n">
        <v>2031</v>
      </c>
      <c r="S1" s="16" t="n">
        <v>2032</v>
      </c>
      <c r="T1" s="16" t="n">
        <v>2033</v>
      </c>
      <c r="U1" s="16" t="n">
        <v>2034</v>
      </c>
      <c r="V1" s="16" t="n">
        <v>2035</v>
      </c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16.479</v>
      </c>
      <c r="D2" s="52" t="n">
        <v>26.117</v>
      </c>
      <c r="E2" s="52" t="n">
        <v>30.434</v>
      </c>
      <c r="F2" s="52" t="n">
        <v>43.103</v>
      </c>
      <c r="G2" s="52" t="n">
        <v>57.994</v>
      </c>
      <c r="H2" s="52" t="n">
        <v>33.053</v>
      </c>
      <c r="I2" s="52" t="n">
        <v>52.121</v>
      </c>
      <c r="J2" s="52" t="n">
        <v>36.275</v>
      </c>
      <c r="K2" s="52" t="n">
        <v>57.877</v>
      </c>
      <c r="L2" s="52" t="n">
        <v>67.67100000000001</v>
      </c>
      <c r="M2" s="52">
        <f>L2*(1+NPV!C5)</f>
        <v>60.90390000000001</v>
      </c>
      <c r="N2" s="52">
        <f>M2*(1+NPV!D5)</f>
        <v>55.659397500000004</v>
      </c>
      <c r="O2" s="52">
        <f>N2*(1+NPV!E5)</f>
        <v>51.63955212500001</v>
      </c>
      <c r="P2" s="52">
        <f>O2*(1+NPV!F5)</f>
        <v>48.62724491770834</v>
      </c>
      <c r="Q2" s="52">
        <f>P2*(1+NPV!G5)</f>
        <v>46.466034032476855</v>
      </c>
      <c r="R2" s="52">
        <f>Q2*(1+NPV!H5)</f>
        <v>45.04623854815117</v>
      </c>
      <c r="S2" s="52">
        <f>R2*(1+NPV!I5)</f>
        <v>44.29546790568198</v>
      </c>
      <c r="T2" s="52">
        <f>S2*(1+NPV!J5)</f>
        <v>44.172424939277306</v>
      </c>
      <c r="U2" s="52">
        <f>T2*(1+NPV!K5)</f>
        <v>44.66322966082483</v>
      </c>
      <c r="V2" s="52">
        <f>U2*(1+NPV!L5)</f>
        <v>45.77981040234545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0</v>
      </c>
      <c r="L3" s="52" t="n">
        <v>0</v>
      </c>
      <c r="M3" s="52">
        <f>M2*(1-Assumptions!$B$19)</f>
        <v>0.0</v>
      </c>
      <c r="N3" s="52">
        <f>N2*(1-Assumptions!$B$19)</f>
        <v>0.0</v>
      </c>
      <c r="O3" s="52">
        <f>O2*(1-Assumptions!$B$19)</f>
        <v>0.0</v>
      </c>
      <c r="P3" s="52">
        <f>P2*(1-Assumptions!$B$19)</f>
        <v>0.0</v>
      </c>
      <c r="Q3" s="52">
        <f>Q2*(1-Assumptions!$B$19)</f>
        <v>0.0</v>
      </c>
      <c r="R3" s="52">
        <f>R2*(1-Assumptions!$B$19)</f>
        <v>0.0</v>
      </c>
      <c r="S3" s="52">
        <f>S2*(1-Assumptions!$B$19)</f>
        <v>0.0</v>
      </c>
      <c r="T3" s="52">
        <f>T2*(1-Assumptions!$B$19)</f>
        <v>0.0</v>
      </c>
      <c r="U3" s="52">
        <f>U2*(1-Assumptions!$B$19)</f>
        <v>0.0</v>
      </c>
      <c r="V3" s="52">
        <f>V2*(1-Assumptions!$B$19)</f>
        <v>0.0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16.479</v>
      </c>
      <c r="D4" s="52">
        <f>D2-D3</f>
        <v>26.117</v>
      </c>
      <c r="E4" s="52">
        <f>E2-E3</f>
        <v>30.434</v>
      </c>
      <c r="F4" s="52">
        <f>F2-F3</f>
        <v>43.103</v>
      </c>
      <c r="G4" s="52">
        <f>G2-G3</f>
        <v>57.994</v>
      </c>
      <c r="H4" s="52">
        <f>H2-H3</f>
        <v>33.053</v>
      </c>
      <c r="I4" s="52">
        <f>I2-I3</f>
        <v>52.121</v>
      </c>
      <c r="J4" s="52">
        <f>J2-J3</f>
        <v>36.275</v>
      </c>
      <c r="K4" s="52">
        <f>K2-K3</f>
        <v>57.877</v>
      </c>
      <c r="L4" s="52">
        <f>L2-L3</f>
        <v>67.671</v>
      </c>
      <c r="M4" s="52">
        <f>M2-M3</f>
        <v>60.90390000000001</v>
      </c>
      <c r="N4" s="52">
        <f>N2-N3</f>
        <v>55.659397500000004</v>
      </c>
      <c r="O4" s="52">
        <f>O2-O3</f>
        <v>51.63955212500001</v>
      </c>
      <c r="P4" s="52">
        <f>P2-P3</f>
        <v>48.62724491770834</v>
      </c>
      <c r="Q4" s="52">
        <f>Q2-Q3</f>
        <v>46.466034032476855</v>
      </c>
      <c r="R4" s="52">
        <f>R2-R3</f>
        <v>45.04623854815117</v>
      </c>
      <c r="S4" s="52">
        <f>S2-S3</f>
        <v>44.29546790568198</v>
      </c>
      <c r="T4" s="52">
        <f>T2-T3</f>
        <v>44.172424939277306</v>
      </c>
      <c r="U4" s="52">
        <f>U2-U3</f>
        <v>44.66322966082483</v>
      </c>
      <c r="V4" s="52">
        <f>V2-V3</f>
        <v>45.77981040234545</v>
      </c>
    </row>
    <row r="5">
      <c r="A5" s="2" t="inlineStr">
        <is>
          <t>Research &amp; Dev.</t>
        </is>
      </c>
      <c r="B5" s="52" t="n">
        <v>11.17</v>
      </c>
      <c r="C5" s="52" t="n">
        <v>31.84</v>
      </c>
      <c r="D5" s="52" t="n">
        <v>67.64700000000001</v>
      </c>
      <c r="E5" s="52" t="n">
        <v>89.11499999999999</v>
      </c>
      <c r="F5" s="52" t="n">
        <v>108.413</v>
      </c>
      <c r="G5" s="52" t="n">
        <v>150.408</v>
      </c>
      <c r="H5" s="52" t="n">
        <v>229.807</v>
      </c>
      <c r="I5" s="52" t="n">
        <v>419.979</v>
      </c>
      <c r="J5" s="52" t="n">
        <v>435.069</v>
      </c>
      <c r="K5" s="52" t="n">
        <v>466.311</v>
      </c>
      <c r="L5" s="52" t="n">
        <v>388.861</v>
      </c>
      <c r="M5" s="52">
        <f>M7*Assumptions!$B$20</f>
        <v>108.4872035115</v>
      </c>
      <c r="N5" s="52">
        <f>N7*Assumptions!$B$20</f>
        <v>91.91147627970001</v>
      </c>
      <c r="O5" s="52">
        <f>O7*Assumptions!$B$20</f>
        <v>78.5620908231294</v>
      </c>
      <c r="P5" s="52">
        <f>P7*Assumptions!$B$20</f>
        <v>67.6594623060502</v>
      </c>
      <c r="Q5" s="52">
        <f>Q7*Assumptions!$B$20</f>
        <v>58.61341697941711</v>
      </c>
      <c r="R5" s="52">
        <f>R7*Assumptions!$B$20</f>
        <v>50.96801706769112</v>
      </c>
      <c r="S5" s="52">
        <f>S7*Assumptions!$B$20</f>
        <v>44.36168963020098</v>
      </c>
      <c r="T5" s="52">
        <f>T7*Assumptions!$B$20</f>
        <v>38.497593507328354</v>
      </c>
      <c r="U5" s="52">
        <f>U7*Assumptions!$B$20</f>
        <v>33.12068790342957</v>
      </c>
      <c r="V5" s="52">
        <f>V7*Assumptions!$B$20</f>
        <v>27.998932042074475</v>
      </c>
    </row>
    <row r="6">
      <c r="A6" s="18" t="inlineStr">
        <is>
          <t>SG&amp;A &amp; Other</t>
        </is>
      </c>
      <c r="B6" s="52" t="n">
        <v>2.239</v>
      </c>
      <c r="C6" s="52" t="n">
        <v>16.798</v>
      </c>
      <c r="D6" s="52" t="n">
        <v>28.025</v>
      </c>
      <c r="E6" s="52" t="n">
        <v>32.189</v>
      </c>
      <c r="F6" s="52" t="n">
        <v>41.058</v>
      </c>
      <c r="G6" s="52" t="n">
        <v>44.169</v>
      </c>
      <c r="H6" s="52" t="n">
        <v>71.096</v>
      </c>
      <c r="I6" s="52" t="n">
        <v>90.306</v>
      </c>
      <c r="J6" s="52" t="n">
        <v>116.497</v>
      </c>
      <c r="K6" s="52" t="n">
        <v>125.829</v>
      </c>
      <c r="L6" s="52" t="n">
        <v>119.8</v>
      </c>
      <c r="M6" s="52">
        <f>M7-M5</f>
        <v>33.418883488500015</v>
      </c>
      <c r="N6" s="52">
        <f>N7-N5</f>
        <v>28.312822320300015</v>
      </c>
      <c r="O6" s="52">
        <f>O7-O5</f>
        <v>24.200617905620632</v>
      </c>
      <c r="P6" s="52">
        <f>P7-P5</f>
        <v>20.84212344417898</v>
      </c>
      <c r="Q6" s="52">
        <f>Q7-Q5</f>
        <v>18.055539174169695</v>
      </c>
      <c r="R6" s="52">
        <f>R7-R5</f>
        <v>15.700415983572611</v>
      </c>
      <c r="S6" s="52">
        <f>S7-S5</f>
        <v>13.665373326242424</v>
      </c>
      <c r="T6" s="52">
        <f>T7-T5</f>
        <v>11.858970923447778</v>
      </c>
      <c r="U6" s="52">
        <f>U7-U5</f>
        <v>10.202644867570527</v>
      </c>
      <c r="V6" s="52">
        <f>V7-V5</f>
        <v>8.624916279801884</v>
      </c>
    </row>
    <row r="7">
      <c r="A7" s="2" t="inlineStr">
        <is>
          <t>Operating Expense</t>
        </is>
      </c>
      <c r="B7" s="52">
        <f>SUM(B5:B6)</f>
        <v>13.408999999999999</v>
      </c>
      <c r="C7" s="52">
        <f>SUM(C5:C6)</f>
        <v>48.638</v>
      </c>
      <c r="D7" s="52">
        <f>SUM(D5:D6)</f>
        <v>95.672</v>
      </c>
      <c r="E7" s="52">
        <f>SUM(E5:E6)</f>
        <v>121.304</v>
      </c>
      <c r="F7" s="52">
        <f>SUM(F5:F6)</f>
        <v>149.471</v>
      </c>
      <c r="G7" s="52">
        <f>SUM(G5:G6)</f>
        <v>194.577</v>
      </c>
      <c r="H7" s="52">
        <f>SUM(H5:H6)</f>
        <v>300.903</v>
      </c>
      <c r="I7" s="52">
        <f>SUM(I5:I6)</f>
        <v>510.28499999999997</v>
      </c>
      <c r="J7" s="52">
        <f>SUM(J5:J6)</f>
        <v>551.566</v>
      </c>
      <c r="K7" s="52">
        <f>SUM(K5:K6)</f>
        <v>592.14</v>
      </c>
      <c r="L7" s="52">
        <f>SUM(L5:L6)</f>
        <v>508.661</v>
      </c>
      <c r="M7" s="52">
        <f>M4-M2*NPV!C6</f>
        <v>141.906087</v>
      </c>
      <c r="N7" s="52">
        <f>N4-N2*NPV!D6</f>
        <v>120.22429860000003</v>
      </c>
      <c r="O7" s="52">
        <f>O4-O2*NPV!E6</f>
        <v>102.76270872875003</v>
      </c>
      <c r="P7" s="52">
        <f>P4-P2*NPV!F6</f>
        <v>88.50158575022918</v>
      </c>
      <c r="Q7" s="52">
        <f>Q4-Q2*NPV!G6</f>
        <v>76.6689561535868</v>
      </c>
      <c r="R7" s="52">
        <f>R4-R2*NPV!H6</f>
        <v>66.66843305126373</v>
      </c>
      <c r="S7" s="52">
        <f>S4-S2*NPV!I6</f>
        <v>58.0270629564434</v>
      </c>
      <c r="T7" s="52">
        <f>T4-T2*NPV!J6</f>
        <v>50.35656443077613</v>
      </c>
      <c r="U7" s="52">
        <f>U4-U2*NPV!K6</f>
        <v>43.323332771000096</v>
      </c>
      <c r="V7" s="52">
        <f>V4-V2*NPV!L6</f>
        <v>36.62384832187636</v>
      </c>
    </row>
    <row r="8">
      <c r="A8" s="2" t="inlineStr">
        <is>
          <t>Operating Income</t>
        </is>
      </c>
      <c r="B8" s="52">
        <f>B4-B7</f>
        <v>-13.408999999999999</v>
      </c>
      <c r="C8" s="52">
        <f>C4-C7</f>
        <v>-32.159</v>
      </c>
      <c r="D8" s="52">
        <f>D4-D7</f>
        <v>-69.55499999999999</v>
      </c>
      <c r="E8" s="52">
        <f>E4-E7</f>
        <v>-90.87</v>
      </c>
      <c r="F8" s="52">
        <f>F4-F7</f>
        <v>-106.368</v>
      </c>
      <c r="G8" s="52">
        <f>G4-G7</f>
        <v>-136.583</v>
      </c>
      <c r="H8" s="52">
        <f>H4-H7</f>
        <v>-267.85</v>
      </c>
      <c r="I8" s="52">
        <f>I4-I7</f>
        <v>-458.164</v>
      </c>
      <c r="J8" s="52">
        <f>J4-J7</f>
        <v>-515.291</v>
      </c>
      <c r="K8" s="52">
        <f>K4-K7</f>
        <v>-534.263</v>
      </c>
      <c r="L8" s="52">
        <f>L4-L7</f>
        <v>-440.99</v>
      </c>
      <c r="M8" s="52">
        <f>M4-M7</f>
        <v>-81.002187</v>
      </c>
      <c r="N8" s="52">
        <f>N4-N7</f>
        <v>-64.56490110000001</v>
      </c>
      <c r="O8" s="52">
        <f>O4-O7</f>
        <v>-51.12315660375002</v>
      </c>
      <c r="P8" s="52">
        <f>P4-P7</f>
        <v>-39.87434083252084</v>
      </c>
      <c r="Q8" s="52">
        <f>Q4-Q7</f>
        <v>-30.20292212110995</v>
      </c>
      <c r="R8" s="52">
        <f>R4-R7</f>
        <v>-21.62219450311256</v>
      </c>
      <c r="S8" s="52">
        <f>S4-S7</f>
        <v>-13.73159505076142</v>
      </c>
      <c r="T8" s="52">
        <f>T4-T7</f>
        <v>-6.184139491498826</v>
      </c>
      <c r="U8" s="52">
        <f>U4-U7</f>
        <v>1.339896889824736</v>
      </c>
      <c r="V8" s="52">
        <f>V4-V7</f>
        <v>9.155962080469088</v>
      </c>
    </row>
    <row r="9">
      <c r="A9" s="18" t="inlineStr">
        <is>
          <t>Interest &amp; Other</t>
        </is>
      </c>
      <c r="B9" s="52" t="n">
        <v>0</v>
      </c>
      <c r="C9" s="52" t="n">
        <v>0.525</v>
      </c>
      <c r="D9" s="52" t="n">
        <v>2.012</v>
      </c>
      <c r="E9" s="52" t="n">
        <v>5.527</v>
      </c>
      <c r="F9" s="52" t="n">
        <v>-367.818</v>
      </c>
      <c r="G9" s="52" t="n">
        <v>2.352</v>
      </c>
      <c r="H9" s="52" t="n">
        <v>-0.042</v>
      </c>
      <c r="I9" s="52" t="n">
        <v>-16.022</v>
      </c>
      <c r="J9" s="52" t="n">
        <v>34.099</v>
      </c>
      <c r="K9" s="52" t="n">
        <v>15.242</v>
      </c>
      <c r="L9" s="52" t="n">
        <v>28.296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</row>
    <row r="10">
      <c r="A10" s="2" t="inlineStr">
        <is>
          <t>Pretax</t>
        </is>
      </c>
      <c r="B10" s="52">
        <f>B8+B9</f>
        <v>-13.408999999999999</v>
      </c>
      <c r="C10" s="52">
        <f>C8+C9</f>
        <v>-31.634</v>
      </c>
      <c r="D10" s="52">
        <f>D8+D9</f>
        <v>-67.54299999999999</v>
      </c>
      <c r="E10" s="52">
        <f>E8+E9</f>
        <v>-85.343</v>
      </c>
      <c r="F10" s="52">
        <f>F8+F9</f>
        <v>-474.186</v>
      </c>
      <c r="G10" s="52">
        <f>G8+G9</f>
        <v>-134.231</v>
      </c>
      <c r="H10" s="52">
        <f>H8+H9</f>
        <v>-267.892</v>
      </c>
      <c r="I10" s="52">
        <f>I8+I9</f>
        <v>-474.186</v>
      </c>
      <c r="J10" s="52">
        <f>J8+J9</f>
        <v>-481.19200000000006</v>
      </c>
      <c r="K10" s="52">
        <f>K8+K9</f>
        <v>-519.0210000000001</v>
      </c>
      <c r="L10" s="52">
        <f>L8+L9</f>
        <v>-412.694</v>
      </c>
      <c r="M10" s="52">
        <f>M8+M9</f>
        <v>-81.002187</v>
      </c>
      <c r="N10" s="52">
        <f>N8+N9</f>
        <v>-64.56490110000001</v>
      </c>
      <c r="O10" s="52">
        <f>O8+O9</f>
        <v>-51.12315660375002</v>
      </c>
      <c r="P10" s="52">
        <f>P8+P9</f>
        <v>-39.87434083252084</v>
      </c>
      <c r="Q10" s="52">
        <f>Q8+Q9</f>
        <v>-30.20292212110995</v>
      </c>
      <c r="R10" s="52">
        <f>R8+R9</f>
        <v>-21.62219450311256</v>
      </c>
      <c r="S10" s="52">
        <f>S8+S9</f>
        <v>-13.73159505076142</v>
      </c>
      <c r="T10" s="52">
        <f>T8+T9</f>
        <v>-6.184139491498826</v>
      </c>
      <c r="U10" s="52">
        <f>U8+U9</f>
        <v>1.339896889824736</v>
      </c>
      <c r="V10" s="52">
        <f>V8+V9</f>
        <v>9.155962080469088</v>
      </c>
    </row>
    <row r="11">
      <c r="A11" s="2" t="inlineStr">
        <is>
          <t>Taxes</t>
        </is>
      </c>
      <c r="B11" s="52" t="n">
        <v>-1.012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>
        <f>MAX(0,M10)*Assumptions!$E$14</f>
        <v>0.0</v>
      </c>
      <c r="N11" s="52">
        <f>MAX(0,N10)*Assumptions!$E$14</f>
        <v>0.0</v>
      </c>
      <c r="O11" s="52">
        <f>MAX(0,O10)*Assumptions!$E$14</f>
        <v>0.0</v>
      </c>
      <c r="P11" s="52">
        <f>MAX(0,P10)*Assumptions!$E$14</f>
        <v>0.0</v>
      </c>
      <c r="Q11" s="52">
        <f>MAX(0,Q10)*Assumptions!$E$14</f>
        <v>0.0</v>
      </c>
      <c r="R11" s="52">
        <f>MAX(0,R10)*Assumptions!$E$14</f>
        <v>0.0</v>
      </c>
      <c r="S11" s="52">
        <f>MAX(0,S10)*Assumptions!$E$14</f>
        <v>0.0</v>
      </c>
      <c r="T11" s="52">
        <f>MAX(0,T10)*Assumptions!$E$14</f>
        <v>0.0</v>
      </c>
      <c r="U11" s="52">
        <f>MAX(0,U10)*Assumptions!$E$14</f>
        <v>0.22778247127020515</v>
      </c>
      <c r="V11" s="52">
        <f>MAX(0,V10)*Assumptions!$E$14</f>
        <v>1.556513553679745</v>
      </c>
    </row>
    <row r="12">
      <c r="A12" s="2" t="inlineStr">
        <is>
          <t>Net Income</t>
        </is>
      </c>
      <c r="B12" s="52" t="n">
        <v>-12.397</v>
      </c>
      <c r="C12" s="52" t="n">
        <v>-31.634</v>
      </c>
      <c r="D12" s="52" t="n">
        <v>-67.54300000000001</v>
      </c>
      <c r="E12" s="52" t="n">
        <v>-85.343</v>
      </c>
      <c r="F12" s="52" t="n">
        <v>-474.186</v>
      </c>
      <c r="G12" s="52" t="n">
        <v>-134.231</v>
      </c>
      <c r="H12" s="52" t="n">
        <v>-267.892</v>
      </c>
      <c r="I12" s="52" t="n">
        <v>-474.186</v>
      </c>
      <c r="J12" s="52" t="n">
        <v>-481.192</v>
      </c>
      <c r="K12" s="52" t="n">
        <v>-519.021</v>
      </c>
      <c r="L12" s="52" t="n">
        <v>-412.694</v>
      </c>
      <c r="M12" s="52">
        <f>M10-M11</f>
        <v>-81.002187</v>
      </c>
      <c r="N12" s="52">
        <f>N10-N11</f>
        <v>-64.56490110000001</v>
      </c>
      <c r="O12" s="52">
        <f>O10-O11</f>
        <v>-51.12315660375002</v>
      </c>
      <c r="P12" s="52">
        <f>P10-P11</f>
        <v>-39.87434083252084</v>
      </c>
      <c r="Q12" s="52">
        <f>Q10-Q11</f>
        <v>-30.20292212110995</v>
      </c>
      <c r="R12" s="52">
        <f>R10-R11</f>
        <v>-21.62219450311256</v>
      </c>
      <c r="S12" s="52">
        <f>S10-S11</f>
        <v>-13.73159505076142</v>
      </c>
      <c r="T12" s="52">
        <f>T10-T11</f>
        <v>-6.184139491498826</v>
      </c>
      <c r="U12" s="52">
        <f>U10-U11</f>
        <v>1.1121144185545309</v>
      </c>
      <c r="V12" s="52">
        <f>V10-V11</f>
        <v>7.5994485267893435</v>
      </c>
    </row>
    <row r="13">
      <c r="A13" s="2" t="inlineStr">
        <is>
          <t>Earnings per Share</t>
        </is>
      </c>
      <c r="B13" s="11">
        <f>IFERROR(B12/B14,0)</f>
        <v>-0.43189102564102566</v>
      </c>
      <c r="C13" s="11">
        <f>IFERROR(C12/C14,0)</f>
        <v>-1.0955877259818523</v>
      </c>
      <c r="D13" s="11">
        <f>IFERROR(D12/D14,0)</f>
        <v>-1.4437200752393982</v>
      </c>
      <c r="E13" s="11">
        <f>IFERROR(E12/E14,0)</f>
        <v>-1.5250442272296778</v>
      </c>
      <c r="F13" s="11">
        <f>IFERROR(F12/F14,0)</f>
        <v>-8.469422019004073</v>
      </c>
      <c r="G13" s="11">
        <f>IFERROR(G12/G14,0)</f>
        <v>-2.3975387143444014</v>
      </c>
      <c r="H13" s="11">
        <f>IFERROR(H12/H14,0)</f>
        <v>-3.7787683019719576</v>
      </c>
      <c r="I13" s="11">
        <f>IFERROR(I12/I14,0)</f>
        <v>-6.160499922049577</v>
      </c>
      <c r="J13" s="11">
        <f>IFERROR(J12/J14,0)</f>
        <v>-5.420660132927791</v>
      </c>
      <c r="K13" s="11">
        <f>IFERROR(K12/K14,0)</f>
        <v>-5.250644923064471</v>
      </c>
      <c r="L13" s="11">
        <f>IFERROR(L12/L14,0)</f>
        <v>-3.8079833173396325</v>
      </c>
      <c r="M13" s="11">
        <f>IFERROR(M12/M14,0)</f>
        <v>-0.5780639310456004</v>
      </c>
      <c r="N13" s="11">
        <f>IFERROR(N12/N14,0)</f>
        <v>-0.46076089942406634</v>
      </c>
      <c r="O13" s="11">
        <f>IFERROR(O12/O14,0)</f>
        <v>-0.3648352466560388</v>
      </c>
      <c r="P13" s="11">
        <f>IFERROR(P12/P14,0)</f>
        <v>-0.2845592083766713</v>
      </c>
      <c r="Q13" s="11">
        <f>IFERROR(Q12/Q14,0)</f>
        <v>-0.2155401049899176</v>
      </c>
      <c r="R13" s="11">
        <f>IFERROR(R12/R14,0)</f>
        <v>-0.15430460849534613</v>
      </c>
      <c r="S13" s="11">
        <f>IFERROR(S12/S14,0)</f>
        <v>-0.09799414199235702</v>
      </c>
      <c r="T13" s="11">
        <f>IFERROR(T12/T14,0)</f>
        <v>-0.044132487244945014</v>
      </c>
      <c r="U13" s="11">
        <f>IFERROR(U12/U14,0)</f>
        <v>0.007936492289549221</v>
      </c>
      <c r="V13" s="11">
        <f>IFERROR(V12/V14,0)</f>
        <v>0.054232697311920035</v>
      </c>
    </row>
    <row r="14">
      <c r="A14" s="2" t="inlineStr">
        <is>
          <t>Shares</t>
        </is>
      </c>
      <c r="B14" s="52" t="n">
        <v>28.704</v>
      </c>
      <c r="C14" s="52" t="n">
        <v>28.874</v>
      </c>
      <c r="D14" s="52" t="n">
        <v>46.784</v>
      </c>
      <c r="E14" s="52" t="n">
        <v>55.961</v>
      </c>
      <c r="F14" s="52" t="n">
        <v>55.988</v>
      </c>
      <c r="G14" s="52" t="n">
        <v>55.987</v>
      </c>
      <c r="H14" s="52" t="n">
        <v>70.89400000000001</v>
      </c>
      <c r="I14" s="52" t="n">
        <v>76.97199999999999</v>
      </c>
      <c r="J14" s="52" t="n">
        <v>88.77</v>
      </c>
      <c r="K14" s="52" t="n">
        <v>98.849</v>
      </c>
      <c r="L14" s="52" t="n">
        <v>108.376</v>
      </c>
      <c r="M14" s="52">
        <f>Main!$C$4</f>
        <v>140.126693</v>
      </c>
      <c r="N14" s="52">
        <f>Main!$C$4</f>
        <v>140.126693</v>
      </c>
      <c r="O14" s="52">
        <f>Main!$C$4</f>
        <v>140.126693</v>
      </c>
      <c r="P14" s="52">
        <f>Main!$C$4</f>
        <v>140.126693</v>
      </c>
      <c r="Q14" s="52">
        <f>Main!$C$4</f>
        <v>140.126693</v>
      </c>
      <c r="R14" s="52">
        <f>Main!$C$4</f>
        <v>140.126693</v>
      </c>
      <c r="S14" s="52">
        <f>Main!$C$4</f>
        <v>140.126693</v>
      </c>
      <c r="T14" s="52">
        <f>Main!$C$4</f>
        <v>140.126693</v>
      </c>
      <c r="U14" s="52">
        <f>Main!$C$4</f>
        <v>140.126693</v>
      </c>
      <c r="V14" s="52">
        <f>Main!$C$4</f>
        <v>140.126693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0.5848655865040355</v>
      </c>
      <c r="E16" s="15">
        <f>IFERROR(E2/D2-1,"")</f>
        <v>0.16529463567791103</v>
      </c>
      <c r="F16" s="15">
        <f>IFERROR(F2/E2-1,"")</f>
        <v>0.4162778471446409</v>
      </c>
      <c r="G16" s="15">
        <f>IFERROR(G2/F2-1,"")</f>
        <v>0.34547479293784655</v>
      </c>
      <c r="H16" s="15">
        <f>IFERROR(H2/G2-1,"")</f>
        <v>-0.43006173052384733</v>
      </c>
      <c r="I16" s="15">
        <f>IFERROR(I2/H2-1,"")</f>
        <v>0.5768916588509365</v>
      </c>
      <c r="J16" s="15">
        <f>IFERROR(J2/I2-1,"")</f>
        <v>-0.30402333032750717</v>
      </c>
      <c r="K16" s="15">
        <f>IFERROR(K2/J2-1,"")</f>
        <v>0.5955065472088217</v>
      </c>
      <c r="L16" s="15">
        <f>IFERROR(L2/K2-1,"")</f>
        <v>0.1692209340497952</v>
      </c>
      <c r="M16" s="15">
        <f>IFERROR(M2/L2-1,"")</f>
        <v>-0.09999999999999998</v>
      </c>
      <c r="N16" s="15">
        <f>IFERROR(N2/M2-1,"")</f>
        <v>-0.08611111111111114</v>
      </c>
      <c r="O16" s="15">
        <f>IFERROR(O2/N2-1,"")</f>
        <v>-0.07222222222222219</v>
      </c>
      <c r="P16" s="15">
        <f>IFERROR(P2/O2-1,"")</f>
        <v>-0.05833333333333335</v>
      </c>
      <c r="Q16" s="15">
        <f>IFERROR(Q2/P2-1,"")</f>
        <v>-0.04444444444444451</v>
      </c>
      <c r="R16" s="15">
        <f>IFERROR(R2/Q2-1,"")</f>
        <v>-0.030555555555555558</v>
      </c>
      <c r="S16" s="15">
        <f>IFERROR(S2/R2-1,"")</f>
        <v>-0.01666666666666683</v>
      </c>
      <c r="T16" s="15">
        <f>IFERROR(T2/S2-1,"")</f>
        <v>-0.002777777777777879</v>
      </c>
      <c r="U16" s="15">
        <f>IFERROR(U2/T2-1,"")</f>
        <v>0.011111111111111072</v>
      </c>
      <c r="V16" s="15">
        <f>IFERROR(V2/U2-1,"")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>1.0</v>
      </c>
      <c r="T17" s="15">
        <f>IFERROR(T4/T2,"")</f>
        <v>1.0</v>
      </c>
      <c r="U17" s="15">
        <f>IFERROR(U4/U2,"")</f>
        <v>1.0</v>
      </c>
      <c r="V17" s="15">
        <f>IFERROR(V4/V2,"")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-1.9515140481825353</v>
      </c>
      <c r="D18" s="15">
        <f>IFERROR(D8/D2,"")</f>
        <v>-2.6632078722671055</v>
      </c>
      <c r="E18" s="15">
        <f>IFERROR(E8/E2,"")</f>
        <v>-2.98580534928041</v>
      </c>
      <c r="F18" s="15">
        <f>IFERROR(F8/F2,"")</f>
        <v>-2.467763264737953</v>
      </c>
      <c r="G18" s="15">
        <f>IFERROR(G8/G2,"")</f>
        <v>-2.355122943752802</v>
      </c>
      <c r="H18" s="15">
        <f>IFERROR(H8/H2,"")</f>
        <v>-8.103651710888574</v>
      </c>
      <c r="I18" s="15">
        <f>IFERROR(I8/I2,"")</f>
        <v>-8.790391588802978</v>
      </c>
      <c r="J18" s="15">
        <f>IFERROR(J8/J2,"")</f>
        <v>-14.205127498277053</v>
      </c>
      <c r="K18" s="15">
        <f>IFERROR(K8/K2,"")</f>
        <v>-9.231007135822521</v>
      </c>
      <c r="L18" s="15">
        <f>IFERROR(L8/L2,"")</f>
        <v>-6.516676271962878</v>
      </c>
      <c r="M18" s="15">
        <f>IFERROR(M8/M2,"")</f>
        <v>-1.3299999999999998</v>
      </c>
      <c r="N18" s="15">
        <f>IFERROR(N8/N2,"")</f>
        <v>-1.1600000000000001</v>
      </c>
      <c r="O18" s="15">
        <f>IFERROR(O8/O2,"")</f>
        <v>-0.9900000000000002</v>
      </c>
      <c r="P18" s="15">
        <f>IFERROR(P8/P2,"")</f>
        <v>-0.8200000000000001</v>
      </c>
      <c r="Q18" s="15">
        <f>IFERROR(Q8/Q2,"")</f>
        <v>-0.6499999999999999</v>
      </c>
      <c r="R18" s="15">
        <f>IFERROR(R8/R2,"")</f>
        <v>-0.4799999999999999</v>
      </c>
      <c r="S18" s="15">
        <f>IFERROR(S8/S2,"")</f>
        <v>-0.31000000000000016</v>
      </c>
      <c r="T18" s="15">
        <f>IFERROR(T8/T2,"")</f>
        <v>-0.14000000000000007</v>
      </c>
      <c r="U18" s="15">
        <f>IFERROR(U8/U2,"")</f>
        <v>0.0299999999999998</v>
      </c>
      <c r="V18" s="15">
        <f>IFERROR(V8/V2,"")</f>
        <v>0.19999999999999996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INTELLIA THERAPEUTICS,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-0.15</v>
      </c>
      <c r="C12" s="53" t="n">
        <v>-0.1</v>
      </c>
      <c r="D12" s="53" t="n">
        <v>-0.05</v>
      </c>
      <c r="E12" s="54">
        <f>CHOOSE($B$4,B12,C12,D12)</f>
        <v>-0.1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-1.5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0.7645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Model'!L2</f>
        <v>67.671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-171.47388171357494</v>
      </c>
      <c r="C29" s="56">
        <f>NPV!B26</f>
        <v>266.285118286425</v>
      </c>
      <c r="D29" s="35">
        <f>NPV!B28</f>
        <v>1.9003168674395607</v>
      </c>
      <c r="E29" s="57">
        <f>NPV!B30</f>
        <v>-0.8395002645743614</v>
      </c>
    </row>
    <row r="30">
      <c r="A30" s="58" t="n">
        <v>1</v>
      </c>
      <c r="B30" s="59">
        <f t="dataTable" ref="B30:E32" r1="B4"/>
        <v>-162.985891387954</v>
      </c>
      <c r="C30" s="59">
        <v>274.7731086120459</v>
      </c>
      <c r="D30" s="39">
        <v>1.9608905536081263</v>
      </c>
      <c r="E30" s="60">
        <v>-0.8343842437830975</v>
      </c>
    </row>
    <row r="31">
      <c r="A31" s="58" t="n">
        <v>2</v>
      </c>
      <c r="B31" s="59">
        <v>-171.47388171357494</v>
      </c>
      <c r="C31" s="59">
        <v>266.285118286425</v>
      </c>
      <c r="D31" s="39">
        <v>1.9003168674395607</v>
      </c>
      <c r="E31" s="60">
        <v>-0.8395002645743614</v>
      </c>
    </row>
    <row r="32">
      <c r="A32" s="58" t="n">
        <v>3</v>
      </c>
      <c r="B32" s="59">
        <v>-160.56679295891198</v>
      </c>
      <c r="C32" s="59">
        <v>277.19220704108795</v>
      </c>
      <c r="D32" s="39">
        <v>1.978154205359631</v>
      </c>
      <c r="E32" s="60">
        <v>-0.832926165087869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1.9003168674395607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1.9224507172585226</v>
      </c>
      <c r="C37" s="39">
        <v>1.946455532735351</v>
      </c>
      <c r="D37" s="39">
        <v>1.9750329012626178</v>
      </c>
      <c r="E37" s="39">
        <v>2.009335983941473</v>
      </c>
      <c r="F37" s="39">
        <v>2.050937394294945</v>
      </c>
    </row>
    <row r="38">
      <c r="A38" s="62" t="n">
        <v>0.1</v>
      </c>
      <c r="B38" s="39">
        <v>1.8925854506949842</v>
      </c>
      <c r="C38" s="39">
        <v>1.9090123409695157</v>
      </c>
      <c r="D38" s="39">
        <v>1.9283550229556732</v>
      </c>
      <c r="E38" s="39">
        <v>1.9512463926846206</v>
      </c>
      <c r="F38" s="39">
        <v>1.978514179348917</v>
      </c>
    </row>
    <row r="39">
      <c r="A39" s="62" t="n">
        <v>0.11</v>
      </c>
      <c r="B39" s="39">
        <v>1.8756107062527514</v>
      </c>
      <c r="C39" s="39">
        <v>1.8869895009603694</v>
      </c>
      <c r="D39" s="39">
        <v>1.9003168674395607</v>
      </c>
      <c r="E39" s="39">
        <v>1.9159648233597133</v>
      </c>
      <c r="F39" s="39">
        <v>1.9344046689692684</v>
      </c>
    </row>
    <row r="40">
      <c r="A40" s="62" t="n">
        <v>0.12</v>
      </c>
      <c r="B40" s="39">
        <v>1.8674442832550844</v>
      </c>
      <c r="C40" s="39">
        <v>1.875333531544599</v>
      </c>
      <c r="D40" s="39">
        <v>1.8845735390342733</v>
      </c>
      <c r="E40" s="39">
        <v>1.8953950115631357</v>
      </c>
      <c r="F40" s="39">
        <v>1.9080830030980236</v>
      </c>
    </row>
    <row r="41">
      <c r="A41" s="62" t="n">
        <v>0.13</v>
      </c>
      <c r="B41" s="39">
        <v>1.8654532806158588</v>
      </c>
      <c r="C41" s="39">
        <v>1.8708599459297621</v>
      </c>
      <c r="D41" s="39">
        <v>1.877230769450606</v>
      </c>
      <c r="E41" s="39">
        <v>1.8847151105340827</v>
      </c>
      <c r="F41" s="39">
        <v>1.8934938266593628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INTELLIA THERAPEUTICS, INC.: free-cash-flow DCF ($mm)</t>
        </is>
      </c>
    </row>
    <row r="3">
      <c r="A3" s="20" t="inlineStr">
        <is>
          <t>Fiscal year</t>
        </is>
      </c>
      <c r="B3" s="43">
        <f>'Yearly Model'!L1</f>
        <v>2025</v>
      </c>
      <c r="C3" s="43">
        <f>'Yearly Model'!M1</f>
        <v>2026</v>
      </c>
      <c r="D3" s="43">
        <f>'Yearly Model'!N1</f>
        <v>2027</v>
      </c>
      <c r="E3" s="43">
        <f>'Yearly Model'!O1</f>
        <v>2028</v>
      </c>
      <c r="F3" s="43">
        <f>'Yearly Model'!P1</f>
        <v>2029</v>
      </c>
      <c r="G3" s="43">
        <f>'Yearly Model'!Q1</f>
        <v>2030</v>
      </c>
      <c r="H3" s="43">
        <f>'Yearly Model'!R1</f>
        <v>2031</v>
      </c>
      <c r="I3" s="43">
        <f>'Yearly Model'!S1</f>
        <v>2032</v>
      </c>
      <c r="J3" s="43">
        <f>'Yearly Model'!T1</f>
        <v>2033</v>
      </c>
      <c r="K3" s="43">
        <f>'Yearly Model'!U1</f>
        <v>2034</v>
      </c>
      <c r="L3" s="43">
        <f>'Yearly Model'!V1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-0.1</v>
      </c>
      <c r="D5" s="63">
        <f>Assumptions!$E$12+(Assumptions!$E$11-Assumptions!$E$12)*(D4-1)/(Assumptions!$B$21-1)</f>
        <v>-0.08611111111111111</v>
      </c>
      <c r="E5" s="63">
        <f>Assumptions!$E$12+(Assumptions!$E$11-Assumptions!$E$12)*(E4-1)/(Assumptions!$B$21-1)</f>
        <v>-0.07222222222222223</v>
      </c>
      <c r="F5" s="63">
        <f>Assumptions!$E$12+(Assumptions!$E$11-Assumptions!$E$12)*(F4-1)/(Assumptions!$B$21-1)</f>
        <v>-0.05833333333333334</v>
      </c>
      <c r="G5" s="63">
        <f>Assumptions!$E$12+(Assumptions!$E$11-Assumptions!$E$12)*(G4-1)/(Assumptions!$B$21-1)</f>
        <v>-0.04444444444444445</v>
      </c>
      <c r="H5" s="63">
        <f>Assumptions!$E$12+(Assumptions!$E$11-Assumptions!$E$12)*(H4-1)/(Assumptions!$B$21-1)</f>
        <v>-0.030555555555555558</v>
      </c>
      <c r="I5" s="63">
        <f>Assumptions!$E$12+(Assumptions!$E$11-Assumptions!$E$12)*(I4-1)/(Assumptions!$B$21-1)</f>
        <v>-0.016666666666666677</v>
      </c>
      <c r="J5" s="63">
        <f>Assumptions!$E$12+(Assumptions!$E$11-Assumptions!$E$12)*(J4-1)/(Assumptions!$B$21-1)</f>
        <v>-0.002777777777777782</v>
      </c>
      <c r="K5" s="63">
        <f>Assumptions!$E$12+(Assumptions!$E$11-Assumptions!$E$12)*(K4-1)/(Assumptions!$B$21-1)</f>
        <v>0.0111111111111111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-6.516676271962878</v>
      </c>
      <c r="C6" s="63">
        <f>Assumptions!$B$18+(Assumptions!$E$13-Assumptions!$B$18)*C4/Assumptions!$B$21</f>
        <v>-1.33</v>
      </c>
      <c r="D6" s="63">
        <f>Assumptions!$B$18+(Assumptions!$E$13-Assumptions!$B$18)*D4/Assumptions!$B$21</f>
        <v>-1.1600000000000001</v>
      </c>
      <c r="E6" s="63">
        <f>Assumptions!$B$18+(Assumptions!$E$13-Assumptions!$B$18)*E4/Assumptions!$B$21</f>
        <v>-0.99</v>
      </c>
      <c r="F6" s="63">
        <f>Assumptions!$B$18+(Assumptions!$E$13-Assumptions!$B$18)*F4/Assumptions!$B$21</f>
        <v>-0.8200000000000001</v>
      </c>
      <c r="G6" s="63">
        <f>Assumptions!$B$18+(Assumptions!$E$13-Assumptions!$B$18)*G4/Assumptions!$B$21</f>
        <v>-0.65</v>
      </c>
      <c r="H6" s="63">
        <f>Assumptions!$B$18+(Assumptions!$E$13-Assumptions!$B$18)*H4/Assumptions!$B$21</f>
        <v>-0.48</v>
      </c>
      <c r="I6" s="63">
        <f>Assumptions!$B$18+(Assumptions!$E$13-Assumptions!$B$18)*I4/Assumptions!$B$21</f>
        <v>-0.31000000000000005</v>
      </c>
      <c r="J6" s="63">
        <f>Assumptions!$B$18+(Assumptions!$E$13-Assumptions!$B$18)*J4/Assumptions!$B$21</f>
        <v>-0.14000000000000012</v>
      </c>
      <c r="K6" s="63">
        <f>Assumptions!$B$18+(Assumptions!$E$13-Assumptions!$B$18)*K4/Assumptions!$B$21</f>
        <v>0.029999999999999805</v>
      </c>
      <c r="L6" s="63">
        <f>Assumptions!$B$18+(Assumptions!$E$13-Assumptions!$B$18)*L4/Assumptions!$B$21</f>
        <v>0.19999999999999996</v>
      </c>
    </row>
    <row r="7">
      <c r="A7" s="14" t="inlineStr">
        <is>
          <t>Revenue</t>
        </is>
      </c>
      <c r="B7" s="55">
        <f>'Yearly Model'!L2</f>
        <v>67.671</v>
      </c>
      <c r="C7" s="55">
        <f>'Yearly Model'!M2</f>
        <v>60.90390000000001</v>
      </c>
      <c r="D7" s="55">
        <f>'Yearly Model'!N2</f>
        <v>55.659397500000004</v>
      </c>
      <c r="E7" s="55">
        <f>'Yearly Model'!O2</f>
        <v>51.63955212500001</v>
      </c>
      <c r="F7" s="55">
        <f>'Yearly Model'!P2</f>
        <v>48.62724491770834</v>
      </c>
      <c r="G7" s="55">
        <f>'Yearly Model'!Q2</f>
        <v>46.466034032476855</v>
      </c>
      <c r="H7" s="55">
        <f>'Yearly Model'!R2</f>
        <v>45.04623854815117</v>
      </c>
      <c r="I7" s="55">
        <f>'Yearly Model'!S2</f>
        <v>44.29546790568198</v>
      </c>
      <c r="J7" s="55">
        <f>'Yearly Model'!T2</f>
        <v>44.172424939277306</v>
      </c>
      <c r="K7" s="55">
        <f>'Yearly Model'!U2</f>
        <v>44.66322966082483</v>
      </c>
      <c r="L7" s="55">
        <f>'Yearly Model'!V2</f>
        <v>45.77981040234545</v>
      </c>
    </row>
    <row r="8">
      <c r="A8" s="14" t="inlineStr">
        <is>
          <t>Operating income</t>
        </is>
      </c>
      <c r="B8" s="55">
        <f>'Yearly Model'!L8</f>
        <v>-440.99</v>
      </c>
      <c r="C8" s="55">
        <f>'Yearly Model'!M8</f>
        <v>-81.002187</v>
      </c>
      <c r="D8" s="55">
        <f>'Yearly Model'!N8</f>
        <v>-64.56490110000001</v>
      </c>
      <c r="E8" s="55">
        <f>'Yearly Model'!O8</f>
        <v>-51.12315660375002</v>
      </c>
      <c r="F8" s="55">
        <f>'Yearly Model'!P8</f>
        <v>-39.87434083252084</v>
      </c>
      <c r="G8" s="55">
        <f>'Yearly Model'!Q8</f>
        <v>-30.20292212110995</v>
      </c>
      <c r="H8" s="55">
        <f>'Yearly Model'!R8</f>
        <v>-21.62219450311256</v>
      </c>
      <c r="I8" s="55">
        <f>'Yearly Model'!S8</f>
        <v>-13.73159505076142</v>
      </c>
      <c r="J8" s="55">
        <f>'Yearly Model'!T8</f>
        <v>-6.184139491498826</v>
      </c>
      <c r="K8" s="55">
        <f>'Yearly Model'!U8</f>
        <v>1.339896889824736</v>
      </c>
      <c r="L8" s="55">
        <f>'Yearly Model'!V8</f>
        <v>9.155962080469088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0.0</v>
      </c>
      <c r="K9" s="52">
        <f>MAX(0,K8)*Assumptions!$E$14</f>
        <v>0.22778247127020515</v>
      </c>
      <c r="L9" s="52">
        <f>MAX(0,L8)*Assumptions!$E$14</f>
        <v>1.556513553679745</v>
      </c>
    </row>
    <row r="10">
      <c r="A10" s="14" t="inlineStr">
        <is>
          <t>NOPAT</t>
        </is>
      </c>
      <c r="C10" s="52">
        <f>C8-C9</f>
        <v>-81.002187</v>
      </c>
      <c r="D10" s="52">
        <f>D8-D9</f>
        <v>-64.56490110000001</v>
      </c>
      <c r="E10" s="52">
        <f>E8-E9</f>
        <v>-51.12315660375002</v>
      </c>
      <c r="F10" s="52">
        <f>F8-F9</f>
        <v>-39.87434083252084</v>
      </c>
      <c r="G10" s="52">
        <f>G8-G9</f>
        <v>-30.20292212110995</v>
      </c>
      <c r="H10" s="52">
        <f>H8-H9</f>
        <v>-21.62219450311256</v>
      </c>
      <c r="I10" s="52">
        <f>I8-I9</f>
        <v>-13.73159505076142</v>
      </c>
      <c r="J10" s="52">
        <f>J8-J9</f>
        <v>-6.184139491498826</v>
      </c>
      <c r="K10" s="52">
        <f>K8-K9</f>
        <v>1.1121144185545309</v>
      </c>
      <c r="L10" s="52">
        <f>L8-L9</f>
        <v>7.5994485267893435</v>
      </c>
    </row>
    <row r="11">
      <c r="A11" s="14" t="inlineStr">
        <is>
          <t>Reinvestment</t>
        </is>
      </c>
      <c r="C11" s="52">
        <f>(C7-B7)*Assumptions!$E$15</f>
        <v>-1.6917749999999998</v>
      </c>
      <c r="D11" s="52">
        <f>(D7-C7)*Assumptions!$E$15</f>
        <v>-1.3111256250000007</v>
      </c>
      <c r="E11" s="52">
        <f>(E7-D7)*Assumptions!$E$15</f>
        <v>-1.004961343749999</v>
      </c>
      <c r="F11" s="52">
        <f>(F7-E7)*Assumptions!$E$15</f>
        <v>-0.7530768018229175</v>
      </c>
      <c r="G11" s="52">
        <f>(G7-F7)*Assumptions!$E$15</f>
        <v>-0.5403027213078708</v>
      </c>
      <c r="H11" s="52">
        <f>(H7-G7)*Assumptions!$E$15</f>
        <v>-0.3549488710814206</v>
      </c>
      <c r="I11" s="52">
        <f>(I7-H7)*Assumptions!$E$15</f>
        <v>-0.18769266061729795</v>
      </c>
      <c r="J11" s="52">
        <f>(J7-I7)*Assumptions!$E$15</f>
        <v>-0.030760741601168817</v>
      </c>
      <c r="K11" s="52">
        <f>(K7-J7)*Assumptions!$E$15</f>
        <v>0.1227011803868816</v>
      </c>
      <c r="L11" s="52">
        <f>(L7-K7)*Assumptions!$E$15</f>
        <v>0.27914518538015365</v>
      </c>
    </row>
    <row r="12">
      <c r="A12" s="20" t="inlineStr">
        <is>
          <t>Free cash flow</t>
        </is>
      </c>
      <c r="C12" s="64">
        <f>C10-C11</f>
        <v>-79.31041200000001</v>
      </c>
      <c r="D12" s="64">
        <f>D10-D11</f>
        <v>-63.25377547500001</v>
      </c>
      <c r="E12" s="64">
        <f>E10-E11</f>
        <v>-50.11819526000002</v>
      </c>
      <c r="F12" s="64">
        <f>F10-F11</f>
        <v>-39.12126403069793</v>
      </c>
      <c r="G12" s="64">
        <f>G10-G11</f>
        <v>-29.66261939980208</v>
      </c>
      <c r="H12" s="64">
        <f>H10-H11</f>
        <v>-21.26724563203114</v>
      </c>
      <c r="I12" s="64">
        <f>I10-I11</f>
        <v>-13.543902390144122</v>
      </c>
      <c r="J12" s="64">
        <f>J10-J11</f>
        <v>-6.153378749897657</v>
      </c>
      <c r="K12" s="64">
        <f>K10-K11</f>
        <v>0.9894132381676493</v>
      </c>
      <c r="L12" s="64">
        <f>L10-L11</f>
        <v>7.32030334140919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-38.9424478136689</v>
      </c>
      <c r="D16" s="64">
        <f>D12*D13*D15</f>
        <v>-56.961005844999924</v>
      </c>
      <c r="E16" s="64">
        <f>E12*E13*E15</f>
        <v>-40.659650573045525</v>
      </c>
      <c r="F16" s="64">
        <f>F12*F13*F15</f>
        <v>-28.592894252090495</v>
      </c>
      <c r="G16" s="64">
        <f>G12*G13*G15</f>
        <v>-19.53132739732293</v>
      </c>
      <c r="H16" s="64">
        <f>H12*H13*H15</f>
        <v>-12.615676063681777</v>
      </c>
      <c r="I16" s="64">
        <f>I12*I13*I15</f>
        <v>-7.238025657194907</v>
      </c>
      <c r="J16" s="64">
        <f>J12*J13*J15</f>
        <v>-2.96255875108239</v>
      </c>
      <c r="K16" s="64">
        <f>K12*K13*K15</f>
        <v>0.42914895797300845</v>
      </c>
      <c r="L16" s="64">
        <f>L12*L13*L15</f>
        <v>2.860463724771701</v>
      </c>
    </row>
    <row r="19">
      <c r="A19" s="14" t="inlineStr">
        <is>
          <t>PV of forecast free cash flow</t>
        </is>
      </c>
      <c r="B19" s="52">
        <f>SUM(C16:L16)</f>
        <v>-204.21397367034214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7.503310924944417</v>
      </c>
    </row>
    <row r="21">
      <c r="A21" s="14" t="inlineStr">
        <is>
          <t>Terminal value</t>
        </is>
      </c>
      <c r="B21" s="52">
        <f>B20/(Assumptions!$E$10-Assumptions!$E$11)</f>
        <v>88.27424617581669</v>
      </c>
    </row>
    <row r="22">
      <c r="A22" s="14" t="inlineStr">
        <is>
          <t>PV of terminal value</t>
        </is>
      </c>
      <c r="B22" s="52">
        <f>B21/(1+Assumptions!$E$10)^(L14+0.5)</f>
        <v>32.74009195676719</v>
      </c>
    </row>
    <row r="23">
      <c r="A23" s="20" t="inlineStr">
        <is>
          <t>Enterprise value</t>
        </is>
      </c>
      <c r="B23" s="66">
        <f>B19+B22</f>
        <v>-171.47388171357494</v>
      </c>
    </row>
    <row r="24">
      <c r="A24" s="14" t="inlineStr">
        <is>
          <t>Cash &amp; investments</t>
        </is>
      </c>
      <c r="B24" s="55">
        <f>Main!C7</f>
        <v>437.75899999999996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266.285118286425</v>
      </c>
    </row>
    <row r="27">
      <c r="A27" s="14" t="inlineStr">
        <is>
          <t>Shares (mm)</t>
        </is>
      </c>
      <c r="B27" s="55">
        <f>Main!C4</f>
        <v>140.126693</v>
      </c>
    </row>
    <row r="28">
      <c r="A28" s="20" t="inlineStr">
        <is>
          <t>NPV / share</t>
        </is>
      </c>
      <c r="B28" s="49">
        <f>B26/B27</f>
        <v>1.9003168674395607</v>
      </c>
    </row>
    <row r="29">
      <c r="A29" s="14" t="inlineStr">
        <is>
          <t>Price</t>
        </is>
      </c>
      <c r="B29" s="50">
        <f>Main!C3</f>
        <v>11.84</v>
      </c>
    </row>
    <row r="30">
      <c r="A30" s="14" t="inlineStr">
        <is>
          <t>Upside</t>
        </is>
      </c>
      <c r="B30" s="63">
        <f>B28/B29-1</f>
        <v>-0.8395002645743614</v>
      </c>
    </row>
    <row r="31">
      <c r="A31" s="14" t="inlineStr">
        <is>
          <t>Terminal value, % of EV</t>
        </is>
      </c>
      <c r="B31" s="63">
        <f>IFERROR(B22/B23,0)</f>
        <v>-0.19093340414055185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2026-10-21T06:22:58Z</dcterms:modified>
  <cp:lastModifiedBy>Wang, Eric</cp:lastModifiedBy>
</cp:coreProperties>
</file>