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Erasca, Inc.</t>
        </is>
      </c>
      <c r="C2" s="10" t="n"/>
    </row>
    <row r="3">
      <c r="B3" t="inlineStr">
        <is>
          <t>Price</t>
        </is>
      </c>
      <c r="C3" s="11">
        <f>INDEX([1]Pharma!$F$1:$F$1000,MATCH("ERAS",[1]Pharma!$B$1:$B$1000,0))</f>
        <v>14.62</v>
      </c>
      <c r="F3" s="1" t="n"/>
    </row>
    <row r="4">
      <c r="B4" t="inlineStr">
        <is>
          <t>Shares</t>
        </is>
      </c>
      <c r="C4" s="21" t="n">
        <v>349.762035</v>
      </c>
      <c r="F4" s="1" t="n"/>
    </row>
    <row r="5">
      <c r="B5" t="inlineStr">
        <is>
          <t>Market Cap.</t>
        </is>
      </c>
      <c r="C5" s="13">
        <f>C3*C4</f>
        <v>5113.5209517</v>
      </c>
      <c r="F5" s="1" t="n"/>
    </row>
    <row r="6"/>
    <row r="7">
      <c r="B7" t="inlineStr">
        <is>
          <t>Cash</t>
        </is>
      </c>
      <c r="C7" s="21" t="n">
        <v>384.3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4729.2209517</v>
      </c>
    </row>
    <row r="10"/>
    <row r="11">
      <c r="B11" s="14" t="inlineStr">
        <is>
          <t>rNPV / Share</t>
        </is>
      </c>
      <c r="C11" s="11">
        <f>NPV!B27</f>
        <v>1.7540709637896892</v>
      </c>
    </row>
    <row r="12">
      <c r="B12" s="14" t="inlineStr">
        <is>
          <t>Upside</t>
        </is>
      </c>
      <c r="C12" s="15">
        <f>IFERROR(C11/C3-1,"")</f>
        <v>-0.8800225058967381</v>
      </c>
    </row>
    <row r="13">
      <c r="B13" s="14" t="inlineStr">
        <is>
          <t>Cash / Share</t>
        </is>
      </c>
      <c r="C13" s="11">
        <f>IFERROR((C7-C8)/C4,"")</f>
        <v>1.0987470381112117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-98.02200000000001</v>
      </c>
    </row>
    <row r="18">
      <c r="B18" s="14" t="inlineStr">
        <is>
          <t>Runway (years)</t>
        </is>
      </c>
      <c r="C18" s="22">
        <f>IF(AND(ISNUMBER(C17),C17&lt;0),IF(C7&gt;C8,(C7-C8)/-C17,"net debt"),"n/a")</f>
        <v>3.920548448307523</v>
      </c>
    </row>
    <row r="19">
      <c r="B19" s="14" t="inlineStr">
        <is>
          <t>Implied Pipeline Value</t>
        </is>
      </c>
      <c r="C19" s="13">
        <f>C9</f>
        <v>4729.2209517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2020</v>
      </c>
      <c r="C1" s="17" t="n">
        <v>2021</v>
      </c>
      <c r="D1" s="17" t="n">
        <v>2022</v>
      </c>
      <c r="E1" s="17" t="n">
        <v>2023</v>
      </c>
      <c r="F1" s="17" t="n">
        <v>2024</v>
      </c>
      <c r="G1" s="17" t="n">
        <v>2025</v>
      </c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29.55</v>
      </c>
      <c r="C5" s="23" t="n">
        <v>73.922</v>
      </c>
      <c r="D5" s="23" t="n">
        <v>112.457</v>
      </c>
      <c r="E5" s="23" t="n">
        <v>103.821</v>
      </c>
      <c r="F5" s="23" t="n">
        <v>115.359</v>
      </c>
      <c r="G5" s="23" t="n">
        <v>92.854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79.702</v>
      </c>
      <c r="C6" s="23" t="n">
        <v>50.961</v>
      </c>
      <c r="D6" s="23" t="n">
        <v>134.993</v>
      </c>
      <c r="E6" s="23" t="n">
        <v>37.704</v>
      </c>
      <c r="F6" s="23" t="n">
        <v>64.22799999999999</v>
      </c>
      <c r="G6" s="23" t="n">
        <v>48.051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109.252</v>
      </c>
      <c r="C7" s="23">
        <f>SUM(C5:C6)</f>
        <v>124.883</v>
      </c>
      <c r="D7" s="23">
        <f>SUM(D5:D6)</f>
        <v>247.45</v>
      </c>
      <c r="E7" s="23">
        <f>SUM(E5:E6)</f>
        <v>141.525</v>
      </c>
      <c r="F7" s="23">
        <f>SUM(F5:F6)</f>
        <v>179.587</v>
      </c>
      <c r="G7" s="23">
        <f>SUM(G5:G6)</f>
        <v>140.905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-109.252</v>
      </c>
      <c r="C8" s="23">
        <f>C4-C7</f>
        <v>-124.883</v>
      </c>
      <c r="D8" s="23">
        <f>D4-D7</f>
        <v>-247.45</v>
      </c>
      <c r="E8" s="23">
        <f>E4-E7</f>
        <v>-141.525</v>
      </c>
      <c r="F8" s="23">
        <f>F4-F7</f>
        <v>-179.587</v>
      </c>
      <c r="G8" s="23">
        <f>G4-G7</f>
        <v>-140.905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7.592</v>
      </c>
      <c r="C9" s="23" t="n">
        <v>2.119</v>
      </c>
      <c r="D9" s="23" t="n">
        <v>4.645</v>
      </c>
      <c r="E9" s="23" t="n">
        <v>16.483</v>
      </c>
      <c r="F9" s="23" t="n">
        <v>17.937</v>
      </c>
      <c r="G9" s="23" t="n">
        <v>16.359</v>
      </c>
    </row>
    <row r="10">
      <c r="A10" s="2" t="inlineStr">
        <is>
          <t>Pretax</t>
        </is>
      </c>
      <c r="B10" s="23">
        <f>B8+B9</f>
        <v>-101.66</v>
      </c>
      <c r="C10" s="23">
        <f>C8+C9</f>
        <v>-122.764</v>
      </c>
      <c r="D10" s="23">
        <f>D8+D9</f>
        <v>-242.80499999999998</v>
      </c>
      <c r="E10" s="23">
        <f>E8+E9</f>
        <v>-125.042</v>
      </c>
      <c r="F10" s="23">
        <f>F8+F9</f>
        <v>-161.64999999999998</v>
      </c>
      <c r="G10" s="23">
        <f>G8+G9</f>
        <v>-124.54599999999999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</row>
    <row r="12">
      <c r="A12" s="2" t="inlineStr">
        <is>
          <t>Net Income</t>
        </is>
      </c>
      <c r="B12" s="23" t="n">
        <v>-101.66</v>
      </c>
      <c r="C12" s="23" t="n">
        <v>-122.764</v>
      </c>
      <c r="D12" s="23" t="n">
        <v>-242.805</v>
      </c>
      <c r="E12" s="23" t="n">
        <v>-125.042</v>
      </c>
      <c r="F12" s="23" t="n">
        <v>-161.65</v>
      </c>
      <c r="G12" s="23" t="n">
        <v>-124.546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-4.832208384827455</v>
      </c>
      <c r="C13" s="11">
        <f>IFERROR(C12/C14,0)</f>
        <v>-1.8518954307522892</v>
      </c>
      <c r="D13" s="11">
        <f>IFERROR(D12/D14,0)</f>
        <v>-1.9897971727105102</v>
      </c>
      <c r="E13" s="11">
        <f>IFERROR(E12/E14,0)</f>
        <v>-0.8325864766787628</v>
      </c>
      <c r="F13" s="11">
        <f>IFERROR(F12/F14,0)</f>
        <v>-0.6913496822314792</v>
      </c>
      <c r="G13" s="11">
        <f>IFERROR(G12/G14,0)</f>
        <v>-0.4392630160756735</v>
      </c>
    </row>
    <row r="14">
      <c r="A14" s="2" t="inlineStr">
        <is>
          <t>Shares</t>
        </is>
      </c>
      <c r="B14" s="23" t="n">
        <v>21.038</v>
      </c>
      <c r="C14" s="23" t="n">
        <v>66.291</v>
      </c>
      <c r="D14" s="23" t="n">
        <v>122.025</v>
      </c>
      <c r="E14" s="23" t="n">
        <v>150.185</v>
      </c>
      <c r="F14" s="23" t="n">
        <v>233.818</v>
      </c>
      <c r="G14" s="23" t="n">
        <v>283.534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Erasca, Inc.: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1-PRODUCT(Pipeline!AG4:AG7)</f>
        <v>0.5202384482080001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302.68</v>
      </c>
    </row>
    <row r="19">
      <c r="A19" s="14" t="inlineStr">
        <is>
          <t>Years of full burn (until the first launch, max 4)</t>
        </is>
      </c>
      <c r="B19" s="39">
        <f>MIN(4,MAX(1,MIN(Pipeline!I4:I7)-2026))</f>
        <v>3.0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878.5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229.2074298294931</v>
      </c>
      <c r="C29" s="42">
        <f>NPV!B25</f>
        <v>613.507429829493</v>
      </c>
      <c r="D29" s="43">
        <f>NPV!B27</f>
        <v>1.7540709637896892</v>
      </c>
      <c r="E29" s="44">
        <f>NPV!B29</f>
        <v>-0.8800225058967381</v>
      </c>
    </row>
    <row r="30">
      <c r="A30" s="45" t="n">
        <v>1</v>
      </c>
      <c r="B30" s="46">
        <f t="dataTable" ref="B30:E32" r1="B4"/>
        <v>-344.4867927014293</v>
      </c>
      <c r="C30" s="46">
        <v>39.81320729857072</v>
      </c>
      <c r="D30" s="47">
        <v>0.1138294134712783</v>
      </c>
      <c r="E30" s="48">
        <v>-0.9922141304055213</v>
      </c>
    </row>
    <row r="31">
      <c r="A31" s="45" t="n">
        <v>2</v>
      </c>
      <c r="B31" s="46">
        <v>229.2074298294931</v>
      </c>
      <c r="C31" s="46">
        <v>613.507429829493</v>
      </c>
      <c r="D31" s="47">
        <v>1.7540709637896892</v>
      </c>
      <c r="E31" s="48">
        <v>-0.8800225058967381</v>
      </c>
    </row>
    <row r="32">
      <c r="A32" s="45" t="n">
        <v>3</v>
      </c>
      <c r="B32" s="46">
        <v>1094.549558320849</v>
      </c>
      <c r="C32" s="46">
        <v>1478.849558320849</v>
      </c>
      <c r="D32" s="47">
        <v>4.228159177770248</v>
      </c>
      <c r="E32" s="48">
        <v>-0.7107962258707081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1.7540709637896892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-0.22422499952268338</v>
      </c>
      <c r="C37" s="47">
        <v>0.2990641382942479</v>
      </c>
      <c r="D37" s="47">
        <v>0.805406263431703</v>
      </c>
      <c r="E37" s="47">
        <v>1.7048779412400783</v>
      </c>
      <c r="F37" s="47">
        <v>2.5759467567778476</v>
      </c>
    </row>
    <row r="38">
      <c r="A38" s="50" t="n">
        <v>0.8</v>
      </c>
      <c r="B38" s="47">
        <v>-0.02049606638921331</v>
      </c>
      <c r="C38" s="47">
        <v>0.6737734571003493</v>
      </c>
      <c r="D38" s="47">
        <v>1.2829058094019252</v>
      </c>
      <c r="E38" s="47">
        <v>2.452377881824595</v>
      </c>
      <c r="F38" s="47">
        <v>3.5967228107794673</v>
      </c>
    </row>
    <row r="39">
      <c r="A39" s="50" t="n">
        <v>1</v>
      </c>
      <c r="B39" s="47">
        <v>0.19099396671005583</v>
      </c>
      <c r="C39" s="47">
        <v>1.0114448114310364</v>
      </c>
      <c r="D39" s="47">
        <v>1.7540709637896892</v>
      </c>
      <c r="E39" s="47">
        <v>3.1957939786275453</v>
      </c>
      <c r="F39" s="47">
        <v>4.612510791227311</v>
      </c>
    </row>
    <row r="40">
      <c r="A40" s="50" t="n">
        <v>1.2</v>
      </c>
      <c r="B40" s="47">
        <v>0.41006873880623046</v>
      </c>
      <c r="C40" s="47">
        <v>1.3465525067827162</v>
      </c>
      <c r="D40" s="47">
        <v>2.2249141398135337</v>
      </c>
      <c r="E40" s="47">
        <v>3.939646102162088</v>
      </c>
      <c r="F40" s="47">
        <v>5.6300816487474</v>
      </c>
    </row>
    <row r="41">
      <c r="A41" s="50" t="n">
        <v>1.4</v>
      </c>
      <c r="B41" s="47">
        <v>0.6314496401729187</v>
      </c>
      <c r="C41" s="47">
        <v>1.6830966383998327</v>
      </c>
      <c r="D41" s="47">
        <v>2.6981885226353026</v>
      </c>
      <c r="E41" s="47">
        <v>4.685403716569649</v>
      </c>
      <c r="F41" s="47">
        <v>6.649586949315135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Erasca, Inc.: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Melanoma</t>
        </is>
      </c>
      <c r="C4" s="14" t="inlineStr">
        <is>
          <t>Naporafenib, Dacarbazine</t>
        </is>
      </c>
      <c r="D4" s="14" t="inlineStr">
        <is>
          <t>Phase 3</t>
        </is>
      </c>
      <c r="E4" s="14" t="inlineStr">
        <is>
          <t>Oncology / area</t>
        </is>
      </c>
      <c r="F4" s="14" t="inlineStr">
        <is>
          <t>Owned</t>
        </is>
      </c>
      <c r="G4" s="40" t="n">
        <v>1500</v>
      </c>
      <c r="H4" s="27" t="n">
        <v>0.4388</v>
      </c>
      <c r="I4" s="26" t="n">
        <v>2029</v>
      </c>
      <c r="J4" s="39">
        <f>I4+Assumptions!$B$25</f>
        <v>2041.0</v>
      </c>
      <c r="K4" s="53">
        <f>Assumptions!$E$13</f>
        <v>0.4</v>
      </c>
      <c r="L4" s="23">
        <f>K4*SUMPRODUCT(M4:AF4,NPV!$C$15:$V$15)</f>
        <v>944.156702827894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65.82000000000001</v>
      </c>
      <c r="Q4" s="23">
        <f>IF(Q$3&lt;$I4,0,$G4*Assumptions!$E$11*INDEX(Assumptions!$B$24:$G$24,MIN(6,Q$3-$I4+1))*IF(Q$3&gt;$J4,(1-Assumptions!$B$26)^(Q$3-$J4),1)*IF($H4&gt;=1,1,MIN(0.97,$H4*Assumptions!$E$12)))</f>
        <v>164.55</v>
      </c>
      <c r="R4" s="23">
        <f>IF(R$3&lt;$I4,0,$G4*Assumptions!$E$11*INDEX(Assumptions!$B$24:$G$24,MIN(6,R$3-$I4+1))*IF(R$3&gt;$J4,(1-Assumptions!$B$26)^(R$3-$J4),1)*IF($H4&gt;=1,1,MIN(0.97,$H4*Assumptions!$E$12)))</f>
        <v>296.19</v>
      </c>
      <c r="S4" s="23">
        <f>IF(S$3&lt;$I4,0,$G4*Assumptions!$E$11*INDEX(Assumptions!$B$24:$G$24,MIN(6,S$3-$I4+1))*IF(S$3&gt;$J4,(1-Assumptions!$B$26)^(S$3-$J4),1)*IF($H4&gt;=1,1,MIN(0.97,$H4*Assumptions!$E$12)))</f>
        <v>427.83000000000004</v>
      </c>
      <c r="T4" s="23">
        <f>IF(T$3&lt;$I4,0,$G4*Assumptions!$E$11*INDEX(Assumptions!$B$24:$G$24,MIN(6,T$3-$I4+1))*IF(T$3&gt;$J4,(1-Assumptions!$B$26)^(T$3-$J4),1)*IF($H4&gt;=1,1,MIN(0.97,$H4*Assumptions!$E$12)))</f>
        <v>559.47</v>
      </c>
      <c r="U4" s="23">
        <f>IF(U$3&lt;$I4,0,$G4*Assumptions!$E$11*INDEX(Assumptions!$B$24:$G$24,MIN(6,U$3-$I4+1))*IF(U$3&gt;$J4,(1-Assumptions!$B$26)^(U$3-$J4),1)*IF($H4&gt;=1,1,MIN(0.97,$H4*Assumptions!$E$12)))</f>
        <v>658.2</v>
      </c>
      <c r="V4" s="23">
        <f>IF(V$3&lt;$I4,0,$G4*Assumptions!$E$11*INDEX(Assumptions!$B$24:$G$24,MIN(6,V$3-$I4+1))*IF(V$3&gt;$J4,(1-Assumptions!$B$26)^(V$3-$J4),1)*IF($H4&gt;=1,1,MIN(0.97,$H4*Assumptions!$E$12)))</f>
        <v>658.2</v>
      </c>
      <c r="W4" s="23">
        <f>IF(W$3&lt;$I4,0,$G4*Assumptions!$E$11*INDEX(Assumptions!$B$24:$G$24,MIN(6,W$3-$I4+1))*IF(W$3&gt;$J4,(1-Assumptions!$B$26)^(W$3-$J4),1)*IF($H4&gt;=1,1,MIN(0.97,$H4*Assumptions!$E$12)))</f>
        <v>658.2</v>
      </c>
      <c r="X4" s="23">
        <f>IF(X$3&lt;$I4,0,$G4*Assumptions!$E$11*INDEX(Assumptions!$B$24:$G$24,MIN(6,X$3-$I4+1))*IF(X$3&gt;$J4,(1-Assumptions!$B$26)^(X$3-$J4),1)*IF($H4&gt;=1,1,MIN(0.97,$H4*Assumptions!$E$12)))</f>
        <v>658.2</v>
      </c>
      <c r="Y4" s="23">
        <f>IF(Y$3&lt;$I4,0,$G4*Assumptions!$E$11*INDEX(Assumptions!$B$24:$G$24,MIN(6,Y$3-$I4+1))*IF(Y$3&gt;$J4,(1-Assumptions!$B$26)^(Y$3-$J4),1)*IF($H4&gt;=1,1,MIN(0.97,$H4*Assumptions!$E$12)))</f>
        <v>658.2</v>
      </c>
      <c r="Z4" s="23">
        <f>IF(Z$3&lt;$I4,0,$G4*Assumptions!$E$11*INDEX(Assumptions!$B$24:$G$24,MIN(6,Z$3-$I4+1))*IF(Z$3&gt;$J4,(1-Assumptions!$B$26)^(Z$3-$J4),1)*IF($H4&gt;=1,1,MIN(0.97,$H4*Assumptions!$E$12)))</f>
        <v>658.2</v>
      </c>
      <c r="AA4" s="23">
        <f>IF(AA$3&lt;$I4,0,$G4*Assumptions!$E$11*INDEX(Assumptions!$B$24:$G$24,MIN(6,AA$3-$I4+1))*IF(AA$3&gt;$J4,(1-Assumptions!$B$26)^(AA$3-$J4),1)*IF($H4&gt;=1,1,MIN(0.97,$H4*Assumptions!$E$12)))</f>
        <v>658.2</v>
      </c>
      <c r="AB4" s="23">
        <f>IF(AB$3&lt;$I4,0,$G4*Assumptions!$E$11*INDEX(Assumptions!$B$24:$G$24,MIN(6,AB$3-$I4+1))*IF(AB$3&gt;$J4,(1-Assumptions!$B$26)^(AB$3-$J4),1)*IF($H4&gt;=1,1,MIN(0.97,$H4*Assumptions!$E$12)))</f>
        <v>658.2</v>
      </c>
      <c r="AC4" s="23">
        <f>IF(AC$3&lt;$I4,0,$G4*Assumptions!$E$11*INDEX(Assumptions!$B$24:$G$24,MIN(6,AC$3-$I4+1))*IF(AC$3&gt;$J4,(1-Assumptions!$B$26)^(AC$3-$J4),1)*IF($H4&gt;=1,1,MIN(0.97,$H4*Assumptions!$E$12)))</f>
        <v>329.1</v>
      </c>
      <c r="AD4" s="23">
        <f>IF(AD$3&lt;$I4,0,$G4*Assumptions!$E$11*INDEX(Assumptions!$B$24:$G$24,MIN(6,AD$3-$I4+1))*IF(AD$3&gt;$J4,(1-Assumptions!$B$26)^(AD$3-$J4),1)*IF($H4&gt;=1,1,MIN(0.97,$H4*Assumptions!$E$12)))</f>
        <v>164.55</v>
      </c>
      <c r="AE4" s="23">
        <f>IF(AE$3&lt;$I4,0,$G4*Assumptions!$E$11*INDEX(Assumptions!$B$24:$G$24,MIN(6,AE$3-$I4+1))*IF(AE$3&gt;$J4,(1-Assumptions!$B$26)^(AE$3-$J4),1)*IF($H4&gt;=1,1,MIN(0.97,$H4*Assumptions!$E$12)))</f>
        <v>82.275</v>
      </c>
      <c r="AF4" s="23">
        <f>IF(AF$3&lt;$I4,0,$G4*Assumptions!$E$11*INDEX(Assumptions!$B$24:$G$24,MIN(6,AF$3-$I4+1))*IF(AF$3&gt;$J4,(1-Assumptions!$B$26)^(AF$3-$J4),1)*IF($H4&gt;=1,1,MIN(0.97,$H4*Assumptions!$E$12)))</f>
        <v>41.1375</v>
      </c>
      <c r="AG4" s="35">
        <f>IF(F4="Owned",1-IF(H4&gt;=1,1,MIN(0.97,H4*Assumptions!$E$12)),1)</f>
        <v>0.5611999999999999</v>
      </c>
    </row>
    <row r="5">
      <c r="A5" s="39" t="n">
        <v>2</v>
      </c>
      <c r="B5" s="14" t="inlineStr">
        <is>
          <t>Colorectal cancer</t>
        </is>
      </c>
      <c r="C5" s="14" t="inlineStr">
        <is>
          <t>ERAS-007, Encorafenib</t>
        </is>
      </c>
      <c r="D5" s="14" t="inlineStr">
        <is>
          <t>Phase 1/2</t>
        </is>
      </c>
      <c r="E5" s="14" t="inlineStr">
        <is>
          <t>Oncology / area</t>
        </is>
      </c>
      <c r="F5" s="14" t="inlineStr">
        <is>
          <t>Owned</t>
        </is>
      </c>
      <c r="G5" s="40" t="n">
        <v>2000</v>
      </c>
      <c r="H5" s="27" t="n">
        <v>0.07539999999999999</v>
      </c>
      <c r="I5" s="26" t="n">
        <v>2032</v>
      </c>
      <c r="J5" s="39">
        <f>I5+Assumptions!$B$25</f>
        <v>2044.0</v>
      </c>
      <c r="K5" s="53">
        <f>Assumptions!$E$13</f>
        <v>0.4</v>
      </c>
      <c r="L5" s="23">
        <f>K5*SUMPRODUCT(M5:AF5,NPV!$C$15:$V$15)</f>
        <v>151.397504926983</v>
      </c>
      <c r="M5" s="23">
        <f>IF(M$3&lt;$I5,0,$G5*Assumptions!$E$11*INDEX(Assumptions!$B$24:$G$24,MIN(6,M$3-$I5+1))*IF(M$3&gt;$J5,(1-Assumptions!$B$26)^(M$3-$J5),1)*IF($H5&gt;=1,1,MIN(0.97,$H5*Assumptions!$E$12)))</f>
        <v>0</v>
      </c>
      <c r="N5" s="23">
        <f>IF(N$3&lt;$I5,0,$G5*Assumptions!$E$11*INDEX(Assumptions!$B$24:$G$24,MIN(6,N$3-$I5+1))*IF(N$3&gt;$J5,(1-Assumptions!$B$26)^(N$3-$J5),1)*IF($H5&gt;=1,1,MIN(0.97,$H5*Assumptions!$E$12)))</f>
        <v>0</v>
      </c>
      <c r="O5" s="23">
        <f>IF(O$3&lt;$I5,0,$G5*Assumptions!$E$11*INDEX(Assumptions!$B$24:$G$24,MIN(6,O$3-$I5+1))*IF(O$3&gt;$J5,(1-Assumptions!$B$26)^(O$3-$J5),1)*IF($H5&gt;=1,1,MIN(0.97,$H5*Assumptions!$E$12)))</f>
        <v>0</v>
      </c>
      <c r="P5" s="23">
        <f>IF(P$3&lt;$I5,0,$G5*Assumptions!$E$11*INDEX(Assumptions!$B$24:$G$24,MIN(6,P$3-$I5+1))*IF(P$3&gt;$J5,(1-Assumptions!$B$26)^(P$3-$J5),1)*IF($H5&gt;=1,1,MIN(0.97,$H5*Assumptions!$E$12)))</f>
        <v>0</v>
      </c>
      <c r="Q5" s="23">
        <f>IF(Q$3&lt;$I5,0,$G5*Assumptions!$E$11*INDEX(Assumptions!$B$24:$G$24,MIN(6,Q$3-$I5+1))*IF(Q$3&gt;$J5,(1-Assumptions!$B$26)^(Q$3-$J5),1)*IF($H5&gt;=1,1,MIN(0.97,$H5*Assumptions!$E$12)))</f>
        <v>0</v>
      </c>
      <c r="R5" s="23">
        <f>IF(R$3&lt;$I5,0,$G5*Assumptions!$E$11*INDEX(Assumptions!$B$24:$G$24,MIN(6,R$3-$I5+1))*IF(R$3&gt;$J5,(1-Assumptions!$B$26)^(R$3-$J5),1)*IF($H5&gt;=1,1,MIN(0.97,$H5*Assumptions!$E$12)))</f>
        <v>0</v>
      </c>
      <c r="S5" s="23">
        <f>IF(S$3&lt;$I5,0,$G5*Assumptions!$E$11*INDEX(Assumptions!$B$24:$G$24,MIN(6,S$3-$I5+1))*IF(S$3&gt;$J5,(1-Assumptions!$B$26)^(S$3-$J5),1)*IF($H5&gt;=1,1,MIN(0.97,$H5*Assumptions!$E$12)))</f>
        <v>15.079999999999998</v>
      </c>
      <c r="T5" s="23">
        <f>IF(T$3&lt;$I5,0,$G5*Assumptions!$E$11*INDEX(Assumptions!$B$24:$G$24,MIN(6,T$3-$I5+1))*IF(T$3&gt;$J5,(1-Assumptions!$B$26)^(T$3-$J5),1)*IF($H5&gt;=1,1,MIN(0.97,$H5*Assumptions!$E$12)))</f>
        <v>37.699999999999996</v>
      </c>
      <c r="U5" s="23">
        <f>IF(U$3&lt;$I5,0,$G5*Assumptions!$E$11*INDEX(Assumptions!$B$24:$G$24,MIN(6,U$3-$I5+1))*IF(U$3&gt;$J5,(1-Assumptions!$B$26)^(U$3-$J5),1)*IF($H5&gt;=1,1,MIN(0.97,$H5*Assumptions!$E$12)))</f>
        <v>67.86</v>
      </c>
      <c r="V5" s="23">
        <f>IF(V$3&lt;$I5,0,$G5*Assumptions!$E$11*INDEX(Assumptions!$B$24:$G$24,MIN(6,V$3-$I5+1))*IF(V$3&gt;$J5,(1-Assumptions!$B$26)^(V$3-$J5),1)*IF($H5&gt;=1,1,MIN(0.97,$H5*Assumptions!$E$12)))</f>
        <v>98.02</v>
      </c>
      <c r="W5" s="23">
        <f>IF(W$3&lt;$I5,0,$G5*Assumptions!$E$11*INDEX(Assumptions!$B$24:$G$24,MIN(6,W$3-$I5+1))*IF(W$3&gt;$J5,(1-Assumptions!$B$26)^(W$3-$J5),1)*IF($H5&gt;=1,1,MIN(0.97,$H5*Assumptions!$E$12)))</f>
        <v>128.17999999999998</v>
      </c>
      <c r="X5" s="23">
        <f>IF(X$3&lt;$I5,0,$G5*Assumptions!$E$11*INDEX(Assumptions!$B$24:$G$24,MIN(6,X$3-$I5+1))*IF(X$3&gt;$J5,(1-Assumptions!$B$26)^(X$3-$J5),1)*IF($H5&gt;=1,1,MIN(0.97,$H5*Assumptions!$E$12)))</f>
        <v>150.79999999999998</v>
      </c>
      <c r="Y5" s="23">
        <f>IF(Y$3&lt;$I5,0,$G5*Assumptions!$E$11*INDEX(Assumptions!$B$24:$G$24,MIN(6,Y$3-$I5+1))*IF(Y$3&gt;$J5,(1-Assumptions!$B$26)^(Y$3-$J5),1)*IF($H5&gt;=1,1,MIN(0.97,$H5*Assumptions!$E$12)))</f>
        <v>150.79999999999998</v>
      </c>
      <c r="Z5" s="23">
        <f>IF(Z$3&lt;$I5,0,$G5*Assumptions!$E$11*INDEX(Assumptions!$B$24:$G$24,MIN(6,Z$3-$I5+1))*IF(Z$3&gt;$J5,(1-Assumptions!$B$26)^(Z$3-$J5),1)*IF($H5&gt;=1,1,MIN(0.97,$H5*Assumptions!$E$12)))</f>
        <v>150.79999999999998</v>
      </c>
      <c r="AA5" s="23">
        <f>IF(AA$3&lt;$I5,0,$G5*Assumptions!$E$11*INDEX(Assumptions!$B$24:$G$24,MIN(6,AA$3-$I5+1))*IF(AA$3&gt;$J5,(1-Assumptions!$B$26)^(AA$3-$J5),1)*IF($H5&gt;=1,1,MIN(0.97,$H5*Assumptions!$E$12)))</f>
        <v>150.79999999999998</v>
      </c>
      <c r="AB5" s="23">
        <f>IF(AB$3&lt;$I5,0,$G5*Assumptions!$E$11*INDEX(Assumptions!$B$24:$G$24,MIN(6,AB$3-$I5+1))*IF(AB$3&gt;$J5,(1-Assumptions!$B$26)^(AB$3-$J5),1)*IF($H5&gt;=1,1,MIN(0.97,$H5*Assumptions!$E$12)))</f>
        <v>150.79999999999998</v>
      </c>
      <c r="AC5" s="23">
        <f>IF(AC$3&lt;$I5,0,$G5*Assumptions!$E$11*INDEX(Assumptions!$B$24:$G$24,MIN(6,AC$3-$I5+1))*IF(AC$3&gt;$J5,(1-Assumptions!$B$26)^(AC$3-$J5),1)*IF($H5&gt;=1,1,MIN(0.97,$H5*Assumptions!$E$12)))</f>
        <v>150.79999999999998</v>
      </c>
      <c r="AD5" s="23">
        <f>IF(AD$3&lt;$I5,0,$G5*Assumptions!$E$11*INDEX(Assumptions!$B$24:$G$24,MIN(6,AD$3-$I5+1))*IF(AD$3&gt;$J5,(1-Assumptions!$B$26)^(AD$3-$J5),1)*IF($H5&gt;=1,1,MIN(0.97,$H5*Assumptions!$E$12)))</f>
        <v>150.79999999999998</v>
      </c>
      <c r="AE5" s="23">
        <f>IF(AE$3&lt;$I5,0,$G5*Assumptions!$E$11*INDEX(Assumptions!$B$24:$G$24,MIN(6,AE$3-$I5+1))*IF(AE$3&gt;$J5,(1-Assumptions!$B$26)^(AE$3-$J5),1)*IF($H5&gt;=1,1,MIN(0.97,$H5*Assumptions!$E$12)))</f>
        <v>150.79999999999998</v>
      </c>
      <c r="AF5" s="23">
        <f>IF(AF$3&lt;$I5,0,$G5*Assumptions!$E$11*INDEX(Assumptions!$B$24:$G$24,MIN(6,AF$3-$I5+1))*IF(AF$3&gt;$J5,(1-Assumptions!$B$26)^(AF$3-$J5),1)*IF($H5&gt;=1,1,MIN(0.97,$H5*Assumptions!$E$12)))</f>
        <v>75.39999999999999</v>
      </c>
      <c r="AG5" s="35">
        <f>IF(F5="Owned",1-IF(H5&gt;=1,1,MIN(0.97,H5*Assumptions!$E$12)),1)</f>
        <v>0.9246</v>
      </c>
    </row>
    <row r="6">
      <c r="A6" s="39" t="n">
        <v>3</v>
      </c>
      <c r="B6" s="14" t="inlineStr">
        <is>
          <t>Solid tumors (basket)</t>
        </is>
      </c>
      <c r="C6" s="14" t="inlineStr">
        <is>
          <t>ERAS-601, ERAS-007</t>
        </is>
      </c>
      <c r="D6" s="14" t="inlineStr">
        <is>
          <t>Phase 1/2</t>
        </is>
      </c>
      <c r="E6" s="14" t="inlineStr">
        <is>
          <t>Oncology / area</t>
        </is>
      </c>
      <c r="F6" s="14" t="inlineStr">
        <is>
          <t>Owned</t>
        </is>
      </c>
      <c r="G6" s="40" t="n">
        <v>1500</v>
      </c>
      <c r="H6" s="27" t="n">
        <v>0.07539999999999999</v>
      </c>
      <c r="I6" s="26" t="n">
        <v>2032</v>
      </c>
      <c r="J6" s="39">
        <f>I6+Assumptions!$B$25</f>
        <v>2044.0</v>
      </c>
      <c r="K6" s="53">
        <f>Assumptions!$E$13</f>
        <v>0.4</v>
      </c>
      <c r="L6" s="23">
        <f>K6*SUMPRODUCT(M6:AF6,NPV!$C$15:$V$15)</f>
        <v>113.54812869523724</v>
      </c>
      <c r="M6" s="23">
        <f>IF(M$3&lt;$I6,0,$G6*Assumptions!$E$11*INDEX(Assumptions!$B$24:$G$24,MIN(6,M$3-$I6+1))*IF(M$3&gt;$J6,(1-Assumptions!$B$26)^(M$3-$J6),1)*IF($H6&gt;=1,1,MIN(0.97,$H6*Assumptions!$E$12)))</f>
        <v>0</v>
      </c>
      <c r="N6" s="23">
        <f>IF(N$3&lt;$I6,0,$G6*Assumptions!$E$11*INDEX(Assumptions!$B$24:$G$24,MIN(6,N$3-$I6+1))*IF(N$3&gt;$J6,(1-Assumptions!$B$26)^(N$3-$J6),1)*IF($H6&gt;=1,1,MIN(0.97,$H6*Assumptions!$E$12)))</f>
        <v>0</v>
      </c>
      <c r="O6" s="23">
        <f>IF(O$3&lt;$I6,0,$G6*Assumptions!$E$11*INDEX(Assumptions!$B$24:$G$24,MIN(6,O$3-$I6+1))*IF(O$3&gt;$J6,(1-Assumptions!$B$26)^(O$3-$J6),1)*IF($H6&gt;=1,1,MIN(0.97,$H6*Assumptions!$E$12)))</f>
        <v>0</v>
      </c>
      <c r="P6" s="23">
        <f>IF(P$3&lt;$I6,0,$G6*Assumptions!$E$11*INDEX(Assumptions!$B$24:$G$24,MIN(6,P$3-$I6+1))*IF(P$3&gt;$J6,(1-Assumptions!$B$26)^(P$3-$J6),1)*IF($H6&gt;=1,1,MIN(0.97,$H6*Assumptions!$E$12)))</f>
        <v>0</v>
      </c>
      <c r="Q6" s="23">
        <f>IF(Q$3&lt;$I6,0,$G6*Assumptions!$E$11*INDEX(Assumptions!$B$24:$G$24,MIN(6,Q$3-$I6+1))*IF(Q$3&gt;$J6,(1-Assumptions!$B$26)^(Q$3-$J6),1)*IF($H6&gt;=1,1,MIN(0.97,$H6*Assumptions!$E$12)))</f>
        <v>0</v>
      </c>
      <c r="R6" s="23">
        <f>IF(R$3&lt;$I6,0,$G6*Assumptions!$E$11*INDEX(Assumptions!$B$24:$G$24,MIN(6,R$3-$I6+1))*IF(R$3&gt;$J6,(1-Assumptions!$B$26)^(R$3-$J6),1)*IF($H6&gt;=1,1,MIN(0.97,$H6*Assumptions!$E$12)))</f>
        <v>0</v>
      </c>
      <c r="S6" s="23">
        <f>IF(S$3&lt;$I6,0,$G6*Assumptions!$E$11*INDEX(Assumptions!$B$24:$G$24,MIN(6,S$3-$I6+1))*IF(S$3&gt;$J6,(1-Assumptions!$B$26)^(S$3-$J6),1)*IF($H6&gt;=1,1,MIN(0.97,$H6*Assumptions!$E$12)))</f>
        <v>11.309999999999999</v>
      </c>
      <c r="T6" s="23">
        <f>IF(T$3&lt;$I6,0,$G6*Assumptions!$E$11*INDEX(Assumptions!$B$24:$G$24,MIN(6,T$3-$I6+1))*IF(T$3&gt;$J6,(1-Assumptions!$B$26)^(T$3-$J6),1)*IF($H6&gt;=1,1,MIN(0.97,$H6*Assumptions!$E$12)))</f>
        <v>28.275</v>
      </c>
      <c r="U6" s="23">
        <f>IF(U$3&lt;$I6,0,$G6*Assumptions!$E$11*INDEX(Assumptions!$B$24:$G$24,MIN(6,U$3-$I6+1))*IF(U$3&gt;$J6,(1-Assumptions!$B$26)^(U$3-$J6),1)*IF($H6&gt;=1,1,MIN(0.97,$H6*Assumptions!$E$12)))</f>
        <v>50.894999999999996</v>
      </c>
      <c r="V6" s="23">
        <f>IF(V$3&lt;$I6,0,$G6*Assumptions!$E$11*INDEX(Assumptions!$B$24:$G$24,MIN(6,V$3-$I6+1))*IF(V$3&gt;$J6,(1-Assumptions!$B$26)^(V$3-$J6),1)*IF($H6&gt;=1,1,MIN(0.97,$H6*Assumptions!$E$12)))</f>
        <v>73.515</v>
      </c>
      <c r="W6" s="23">
        <f>IF(W$3&lt;$I6,0,$G6*Assumptions!$E$11*INDEX(Assumptions!$B$24:$G$24,MIN(6,W$3-$I6+1))*IF(W$3&gt;$J6,(1-Assumptions!$B$26)^(W$3-$J6),1)*IF($H6&gt;=1,1,MIN(0.97,$H6*Assumptions!$E$12)))</f>
        <v>96.13499999999999</v>
      </c>
      <c r="X6" s="23">
        <f>IF(X$3&lt;$I6,0,$G6*Assumptions!$E$11*INDEX(Assumptions!$B$24:$G$24,MIN(6,X$3-$I6+1))*IF(X$3&gt;$J6,(1-Assumptions!$B$26)^(X$3-$J6),1)*IF($H6&gt;=1,1,MIN(0.97,$H6*Assumptions!$E$12)))</f>
        <v>113.1</v>
      </c>
      <c r="Y6" s="23">
        <f>IF(Y$3&lt;$I6,0,$G6*Assumptions!$E$11*INDEX(Assumptions!$B$24:$G$24,MIN(6,Y$3-$I6+1))*IF(Y$3&gt;$J6,(1-Assumptions!$B$26)^(Y$3-$J6),1)*IF($H6&gt;=1,1,MIN(0.97,$H6*Assumptions!$E$12)))</f>
        <v>113.1</v>
      </c>
      <c r="Z6" s="23">
        <f>IF(Z$3&lt;$I6,0,$G6*Assumptions!$E$11*INDEX(Assumptions!$B$24:$G$24,MIN(6,Z$3-$I6+1))*IF(Z$3&gt;$J6,(1-Assumptions!$B$26)^(Z$3-$J6),1)*IF($H6&gt;=1,1,MIN(0.97,$H6*Assumptions!$E$12)))</f>
        <v>113.1</v>
      </c>
      <c r="AA6" s="23">
        <f>IF(AA$3&lt;$I6,0,$G6*Assumptions!$E$11*INDEX(Assumptions!$B$24:$G$24,MIN(6,AA$3-$I6+1))*IF(AA$3&gt;$J6,(1-Assumptions!$B$26)^(AA$3-$J6),1)*IF($H6&gt;=1,1,MIN(0.97,$H6*Assumptions!$E$12)))</f>
        <v>113.1</v>
      </c>
      <c r="AB6" s="23">
        <f>IF(AB$3&lt;$I6,0,$G6*Assumptions!$E$11*INDEX(Assumptions!$B$24:$G$24,MIN(6,AB$3-$I6+1))*IF(AB$3&gt;$J6,(1-Assumptions!$B$26)^(AB$3-$J6),1)*IF($H6&gt;=1,1,MIN(0.97,$H6*Assumptions!$E$12)))</f>
        <v>113.1</v>
      </c>
      <c r="AC6" s="23">
        <f>IF(AC$3&lt;$I6,0,$G6*Assumptions!$E$11*INDEX(Assumptions!$B$24:$G$24,MIN(6,AC$3-$I6+1))*IF(AC$3&gt;$J6,(1-Assumptions!$B$26)^(AC$3-$J6),1)*IF($H6&gt;=1,1,MIN(0.97,$H6*Assumptions!$E$12)))</f>
        <v>113.1</v>
      </c>
      <c r="AD6" s="23">
        <f>IF(AD$3&lt;$I6,0,$G6*Assumptions!$E$11*INDEX(Assumptions!$B$24:$G$24,MIN(6,AD$3-$I6+1))*IF(AD$3&gt;$J6,(1-Assumptions!$B$26)^(AD$3-$J6),1)*IF($H6&gt;=1,1,MIN(0.97,$H6*Assumptions!$E$12)))</f>
        <v>113.1</v>
      </c>
      <c r="AE6" s="23">
        <f>IF(AE$3&lt;$I6,0,$G6*Assumptions!$E$11*INDEX(Assumptions!$B$24:$G$24,MIN(6,AE$3-$I6+1))*IF(AE$3&gt;$J6,(1-Assumptions!$B$26)^(AE$3-$J6),1)*IF($H6&gt;=1,1,MIN(0.97,$H6*Assumptions!$E$12)))</f>
        <v>113.1</v>
      </c>
      <c r="AF6" s="23">
        <f>IF(AF$3&lt;$I6,0,$G6*Assumptions!$E$11*INDEX(Assumptions!$B$24:$G$24,MIN(6,AF$3-$I6+1))*IF(AF$3&gt;$J6,(1-Assumptions!$B$26)^(AF$3-$J6),1)*IF($H6&gt;=1,1,MIN(0.97,$H6*Assumptions!$E$12)))</f>
        <v>56.55</v>
      </c>
      <c r="AG6" s="35">
        <f>IF(F6="Owned",1-IF(H6&gt;=1,1,MIN(0.97,H6*Assumptions!$E$12)),1)</f>
        <v>0.9246</v>
      </c>
    </row>
    <row r="7">
      <c r="A7" s="39" t="n">
        <v>4</v>
      </c>
      <c r="B7" s="14" t="inlineStr">
        <is>
          <t>Brain cancer</t>
        </is>
      </c>
      <c r="C7" s="14" t="inlineStr">
        <is>
          <t>ERAS-801</t>
        </is>
      </c>
      <c r="D7" s="14" t="inlineStr">
        <is>
          <t>Phase 1</t>
        </is>
      </c>
      <c r="E7" s="14" t="inlineStr">
        <is>
          <t>Oncology / area</t>
        </is>
      </c>
      <c r="F7" s="14" t="inlineStr">
        <is>
          <t>Partnered</t>
        </is>
      </c>
      <c r="G7" s="40" t="n">
        <v>800</v>
      </c>
      <c r="H7" s="27" t="n">
        <v>0.0527</v>
      </c>
      <c r="I7" s="26" t="n">
        <v>2033</v>
      </c>
      <c r="J7" s="39">
        <f>I7+Assumptions!$B$25</f>
        <v>2045.0</v>
      </c>
      <c r="K7" s="53">
        <f>Assumptions!$E$14</f>
        <v>0.12</v>
      </c>
      <c r="L7" s="23">
        <f>K7*SUMPRODUCT(M7:AF7,NPV!$C$15:$V$15)</f>
        <v>11.075488458187758</v>
      </c>
      <c r="M7" s="23">
        <f>IF(M$3&lt;$I7,0,$G7*Assumptions!$E$11*INDEX(Assumptions!$B$24:$G$24,MIN(6,M$3-$I7+1))*IF(M$3&gt;$J7,(1-Assumptions!$B$26)^(M$3-$J7),1)*IF($H7&gt;=1,1,MIN(0.97,$H7*Assumptions!$E$12)))</f>
        <v>0</v>
      </c>
      <c r="N7" s="23">
        <f>IF(N$3&lt;$I7,0,$G7*Assumptions!$E$11*INDEX(Assumptions!$B$24:$G$24,MIN(6,N$3-$I7+1))*IF(N$3&gt;$J7,(1-Assumptions!$B$26)^(N$3-$J7),1)*IF($H7&gt;=1,1,MIN(0.97,$H7*Assumptions!$E$12)))</f>
        <v>0</v>
      </c>
      <c r="O7" s="23">
        <f>IF(O$3&lt;$I7,0,$G7*Assumptions!$E$11*INDEX(Assumptions!$B$24:$G$24,MIN(6,O$3-$I7+1))*IF(O$3&gt;$J7,(1-Assumptions!$B$26)^(O$3-$J7),1)*IF($H7&gt;=1,1,MIN(0.97,$H7*Assumptions!$E$12)))</f>
        <v>0</v>
      </c>
      <c r="P7" s="23">
        <f>IF(P$3&lt;$I7,0,$G7*Assumptions!$E$11*INDEX(Assumptions!$B$24:$G$24,MIN(6,P$3-$I7+1))*IF(P$3&gt;$J7,(1-Assumptions!$B$26)^(P$3-$J7),1)*IF($H7&gt;=1,1,MIN(0.97,$H7*Assumptions!$E$12)))</f>
        <v>0</v>
      </c>
      <c r="Q7" s="23">
        <f>IF(Q$3&lt;$I7,0,$G7*Assumptions!$E$11*INDEX(Assumptions!$B$24:$G$24,MIN(6,Q$3-$I7+1))*IF(Q$3&gt;$J7,(1-Assumptions!$B$26)^(Q$3-$J7),1)*IF($H7&gt;=1,1,MIN(0.97,$H7*Assumptions!$E$12)))</f>
        <v>0</v>
      </c>
      <c r="R7" s="23">
        <f>IF(R$3&lt;$I7,0,$G7*Assumptions!$E$11*INDEX(Assumptions!$B$24:$G$24,MIN(6,R$3-$I7+1))*IF(R$3&gt;$J7,(1-Assumptions!$B$26)^(R$3-$J7),1)*IF($H7&gt;=1,1,MIN(0.97,$H7*Assumptions!$E$12)))</f>
        <v>0</v>
      </c>
      <c r="S7" s="23">
        <f>IF(S$3&lt;$I7,0,$G7*Assumptions!$E$11*INDEX(Assumptions!$B$24:$G$24,MIN(6,S$3-$I7+1))*IF(S$3&gt;$J7,(1-Assumptions!$B$26)^(S$3-$J7),1)*IF($H7&gt;=1,1,MIN(0.97,$H7*Assumptions!$E$12)))</f>
        <v>0</v>
      </c>
      <c r="T7" s="23">
        <f>IF(T$3&lt;$I7,0,$G7*Assumptions!$E$11*INDEX(Assumptions!$B$24:$G$24,MIN(6,T$3-$I7+1))*IF(T$3&gt;$J7,(1-Assumptions!$B$26)^(T$3-$J7),1)*IF($H7&gt;=1,1,MIN(0.97,$H7*Assumptions!$E$12)))</f>
        <v>4.215999999999999</v>
      </c>
      <c r="U7" s="23">
        <f>IF(U$3&lt;$I7,0,$G7*Assumptions!$E$11*INDEX(Assumptions!$B$24:$G$24,MIN(6,U$3-$I7+1))*IF(U$3&gt;$J7,(1-Assumptions!$B$26)^(U$3-$J7),1)*IF($H7&gt;=1,1,MIN(0.97,$H7*Assumptions!$E$12)))</f>
        <v>10.54</v>
      </c>
      <c r="V7" s="23">
        <f>IF(V$3&lt;$I7,0,$G7*Assumptions!$E$11*INDEX(Assumptions!$B$24:$G$24,MIN(6,V$3-$I7+1))*IF(V$3&gt;$J7,(1-Assumptions!$B$26)^(V$3-$J7),1)*IF($H7&gt;=1,1,MIN(0.97,$H7*Assumptions!$E$12)))</f>
        <v>18.971999999999998</v>
      </c>
      <c r="W7" s="23">
        <f>IF(W$3&lt;$I7,0,$G7*Assumptions!$E$11*INDEX(Assumptions!$B$24:$G$24,MIN(6,W$3-$I7+1))*IF(W$3&gt;$J7,(1-Assumptions!$B$26)^(W$3-$J7),1)*IF($H7&gt;=1,1,MIN(0.97,$H7*Assumptions!$E$12)))</f>
        <v>27.404</v>
      </c>
      <c r="X7" s="23">
        <f>IF(X$3&lt;$I7,0,$G7*Assumptions!$E$11*INDEX(Assumptions!$B$24:$G$24,MIN(6,X$3-$I7+1))*IF(X$3&gt;$J7,(1-Assumptions!$B$26)^(X$3-$J7),1)*IF($H7&gt;=1,1,MIN(0.97,$H7*Assumptions!$E$12)))</f>
        <v>35.836</v>
      </c>
      <c r="Y7" s="23">
        <f>IF(Y$3&lt;$I7,0,$G7*Assumptions!$E$11*INDEX(Assumptions!$B$24:$G$24,MIN(6,Y$3-$I7+1))*IF(Y$3&gt;$J7,(1-Assumptions!$B$26)^(Y$3-$J7),1)*IF($H7&gt;=1,1,MIN(0.97,$H7*Assumptions!$E$12)))</f>
        <v>42.16</v>
      </c>
      <c r="Z7" s="23">
        <f>IF(Z$3&lt;$I7,0,$G7*Assumptions!$E$11*INDEX(Assumptions!$B$24:$G$24,MIN(6,Z$3-$I7+1))*IF(Z$3&gt;$J7,(1-Assumptions!$B$26)^(Z$3-$J7),1)*IF($H7&gt;=1,1,MIN(0.97,$H7*Assumptions!$E$12)))</f>
        <v>42.16</v>
      </c>
      <c r="AA7" s="23">
        <f>IF(AA$3&lt;$I7,0,$G7*Assumptions!$E$11*INDEX(Assumptions!$B$24:$G$24,MIN(6,AA$3-$I7+1))*IF(AA$3&gt;$J7,(1-Assumptions!$B$26)^(AA$3-$J7),1)*IF($H7&gt;=1,1,MIN(0.97,$H7*Assumptions!$E$12)))</f>
        <v>42.16</v>
      </c>
      <c r="AB7" s="23">
        <f>IF(AB$3&lt;$I7,0,$G7*Assumptions!$E$11*INDEX(Assumptions!$B$24:$G$24,MIN(6,AB$3-$I7+1))*IF(AB$3&gt;$J7,(1-Assumptions!$B$26)^(AB$3-$J7),1)*IF($H7&gt;=1,1,MIN(0.97,$H7*Assumptions!$E$12)))</f>
        <v>42.16</v>
      </c>
      <c r="AC7" s="23">
        <f>IF(AC$3&lt;$I7,0,$G7*Assumptions!$E$11*INDEX(Assumptions!$B$24:$G$24,MIN(6,AC$3-$I7+1))*IF(AC$3&gt;$J7,(1-Assumptions!$B$26)^(AC$3-$J7),1)*IF($H7&gt;=1,1,MIN(0.97,$H7*Assumptions!$E$12)))</f>
        <v>42.16</v>
      </c>
      <c r="AD7" s="23">
        <f>IF(AD$3&lt;$I7,0,$G7*Assumptions!$E$11*INDEX(Assumptions!$B$24:$G$24,MIN(6,AD$3-$I7+1))*IF(AD$3&gt;$J7,(1-Assumptions!$B$26)^(AD$3-$J7),1)*IF($H7&gt;=1,1,MIN(0.97,$H7*Assumptions!$E$12)))</f>
        <v>42.16</v>
      </c>
      <c r="AE7" s="23">
        <f>IF(AE$3&lt;$I7,0,$G7*Assumptions!$E$11*INDEX(Assumptions!$B$24:$G$24,MIN(6,AE$3-$I7+1))*IF(AE$3&gt;$J7,(1-Assumptions!$B$26)^(AE$3-$J7),1)*IF($H7&gt;=1,1,MIN(0.97,$H7*Assumptions!$E$12)))</f>
        <v>42.16</v>
      </c>
      <c r="AF7" s="23">
        <f>IF(AF$3&lt;$I7,0,$G7*Assumptions!$E$11*INDEX(Assumptions!$B$24:$G$24,MIN(6,AF$3-$I7+1))*IF(AF$3&gt;$J7,(1-Assumptions!$B$26)^(AF$3-$J7),1)*IF($H7&gt;=1,1,MIN(0.97,$H7*Assumptions!$E$12)))</f>
        <v>42.16</v>
      </c>
      <c r="AG7" s="35">
        <f>IF(F7="Owned",1-IF(H7&gt;=1,1,MIN(0.97,H7*Assumptions!$E$12)),1)</f>
        <v>1</v>
      </c>
    </row>
    <row r="8">
      <c r="B8" s="24" t="inlineStr">
        <is>
          <t>Risked revenue</t>
        </is>
      </c>
      <c r="L8" s="54">
        <f>SUM(L4:L7)</f>
        <v>1220.177824908302</v>
      </c>
      <c r="M8" s="54">
        <f>SUM(M4:M7)</f>
        <v>0.0</v>
      </c>
      <c r="N8" s="54">
        <f>SUM(N4:N7)</f>
        <v>0.0</v>
      </c>
      <c r="O8" s="54">
        <f>SUM(O4:O7)</f>
        <v>0.0</v>
      </c>
      <c r="P8" s="54">
        <f>SUM(P4:P7)</f>
        <v>65.82000000000001</v>
      </c>
      <c r="Q8" s="54">
        <f>SUM(Q4:Q7)</f>
        <v>164.55</v>
      </c>
      <c r="R8" s="54">
        <f>SUM(R4:R7)</f>
        <v>296.19</v>
      </c>
      <c r="S8" s="54">
        <f>SUM(S4:S7)</f>
        <v>454.22</v>
      </c>
      <c r="T8" s="54">
        <f>SUM(T4:T7)</f>
        <v>629.6610000000001</v>
      </c>
      <c r="U8" s="54">
        <f>SUM(U4:U7)</f>
        <v>787.495</v>
      </c>
      <c r="V8" s="54">
        <f>SUM(V4:V7)</f>
        <v>848.707</v>
      </c>
      <c r="W8" s="54">
        <f>SUM(W4:W7)</f>
        <v>909.919</v>
      </c>
      <c r="X8" s="54">
        <f>SUM(X4:X7)</f>
        <v>957.936</v>
      </c>
      <c r="Y8" s="54">
        <f>SUM(Y4:Y7)</f>
        <v>964.26</v>
      </c>
      <c r="Z8" s="54">
        <f>SUM(Z4:Z7)</f>
        <v>964.26</v>
      </c>
      <c r="AA8" s="54">
        <f>SUM(AA4:AA7)</f>
        <v>964.26</v>
      </c>
      <c r="AB8" s="54">
        <f>SUM(AB4:AB7)</f>
        <v>964.26</v>
      </c>
      <c r="AC8" s="54">
        <f>SUM(AC4:AC7)</f>
        <v>635.16</v>
      </c>
      <c r="AD8" s="54">
        <f>SUM(AD4:AD7)</f>
        <v>470.61</v>
      </c>
      <c r="AE8" s="54">
        <f>SUM(AE4:AE7)</f>
        <v>388.3349999999999</v>
      </c>
      <c r="AF8" s="54">
        <f>SUM(AF4:AF7)</f>
        <v>215.24749999999997</v>
      </c>
    </row>
    <row r="9">
      <c r="B9" s="24" t="inlineStr">
        <is>
          <t>Risked contribution (revenue x share)</t>
        </is>
      </c>
      <c r="M9" s="55">
        <f>SUMPRODUCT(M4:M7,$K$4:$K$7)</f>
        <v>0.0</v>
      </c>
      <c r="N9" s="55">
        <f>SUMPRODUCT(N4:N7,$K$4:$K$7)</f>
        <v>0.0</v>
      </c>
      <c r="O9" s="55">
        <f>SUMPRODUCT(O4:O7,$K$4:$K$7)</f>
        <v>0.0</v>
      </c>
      <c r="P9" s="55">
        <f>SUMPRODUCT(P4:P7,$K$4:$K$7)</f>
        <v>26.328000000000003</v>
      </c>
      <c r="Q9" s="55">
        <f>SUMPRODUCT(Q4:Q7,$K$4:$K$7)</f>
        <v>65.82000000000001</v>
      </c>
      <c r="R9" s="55">
        <f>SUMPRODUCT(R4:R7,$K$4:$K$7)</f>
        <v>118.476</v>
      </c>
      <c r="S9" s="55">
        <f>SUMPRODUCT(S4:S7,$K$4:$K$7)</f>
        <v>181.68800000000005</v>
      </c>
      <c r="T9" s="55">
        <f>SUMPRODUCT(T4:T7,$K$4:$K$7)</f>
        <v>250.68392</v>
      </c>
      <c r="U9" s="55">
        <f>SUMPRODUCT(U4:U7,$K$4:$K$7)</f>
        <v>312.0468</v>
      </c>
      <c r="V9" s="55">
        <f>SUMPRODUCT(V4:V7,$K$4:$K$7)</f>
        <v>334.17064000000005</v>
      </c>
      <c r="W9" s="55">
        <f>SUMPRODUCT(W4:W7,$K$4:$K$7)</f>
        <v>356.29448</v>
      </c>
      <c r="X9" s="55">
        <f>SUMPRODUCT(X4:X7,$K$4:$K$7)</f>
        <v>373.14032000000003</v>
      </c>
      <c r="Y9" s="55">
        <f>SUMPRODUCT(Y4:Y7,$K$4:$K$7)</f>
        <v>373.8992</v>
      </c>
      <c r="Z9" s="55">
        <f>SUMPRODUCT(Z4:Z7,$K$4:$K$7)</f>
        <v>373.8992</v>
      </c>
      <c r="AA9" s="55">
        <f>SUMPRODUCT(AA4:AA7,$K$4:$K$7)</f>
        <v>373.8992</v>
      </c>
      <c r="AB9" s="55">
        <f>SUMPRODUCT(AB4:AB7,$K$4:$K$7)</f>
        <v>373.8992</v>
      </c>
      <c r="AC9" s="55">
        <f>SUMPRODUCT(AC4:AC7,$K$4:$K$7)</f>
        <v>242.25920000000002</v>
      </c>
      <c r="AD9" s="55">
        <f>SUMPRODUCT(AD4:AD7,$K$4:$K$7)</f>
        <v>176.4392</v>
      </c>
      <c r="AE9" s="55">
        <f>SUMPRODUCT(AE4:AE7,$K$4:$K$7)</f>
        <v>143.5292</v>
      </c>
      <c r="AF9" s="55">
        <f>SUMPRODUCT(AF4:AF7,$K$4:$K$7)</f>
        <v>74.2942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Erasca, Inc.: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Pipeline!M8</f>
        <v>0.0</v>
      </c>
      <c r="D4" s="57">
        <f>Pipeline!N8</f>
        <v>0.0</v>
      </c>
      <c r="E4" s="57">
        <f>Pipeline!O8</f>
        <v>0.0</v>
      </c>
      <c r="F4" s="57">
        <f>Pipeline!P8</f>
        <v>65.82000000000001</v>
      </c>
      <c r="G4" s="57">
        <f>Pipeline!Q8</f>
        <v>164.55</v>
      </c>
      <c r="H4" s="57">
        <f>Pipeline!R8</f>
        <v>296.19</v>
      </c>
      <c r="I4" s="57">
        <f>Pipeline!S8</f>
        <v>454.22</v>
      </c>
      <c r="J4" s="57">
        <f>Pipeline!T8</f>
        <v>629.6610000000001</v>
      </c>
      <c r="K4" s="57">
        <f>Pipeline!U8</f>
        <v>787.495</v>
      </c>
      <c r="L4" s="57">
        <f>Pipeline!V8</f>
        <v>848.707</v>
      </c>
      <c r="M4" s="57">
        <f>Pipeline!W8</f>
        <v>909.919</v>
      </c>
      <c r="N4" s="57">
        <f>Pipeline!X8</f>
        <v>957.936</v>
      </c>
      <c r="O4" s="57">
        <f>Pipeline!Y8</f>
        <v>964.26</v>
      </c>
      <c r="P4" s="57">
        <f>Pipeline!Z8</f>
        <v>964.26</v>
      </c>
      <c r="Q4" s="57">
        <f>Pipeline!AA8</f>
        <v>964.26</v>
      </c>
      <c r="R4" s="57">
        <f>Pipeline!AB8</f>
        <v>964.26</v>
      </c>
      <c r="S4" s="57">
        <f>Pipeline!AC8</f>
        <v>635.16</v>
      </c>
      <c r="T4" s="57">
        <f>Pipeline!AD8</f>
        <v>470.61</v>
      </c>
      <c r="U4" s="57">
        <f>Pipeline!AE8</f>
        <v>388.3349999999999</v>
      </c>
      <c r="V4" s="57">
        <f>Pipeline!AF8</f>
        <v>215.24749999999997</v>
      </c>
    </row>
    <row r="5">
      <c r="A5" s="14" t="inlineStr">
        <is>
          <t>Risked contribution</t>
        </is>
      </c>
      <c r="C5" s="57">
        <f>Pipeline!M9</f>
        <v>0.0</v>
      </c>
      <c r="D5" s="57">
        <f>Pipeline!N9</f>
        <v>0.0</v>
      </c>
      <c r="E5" s="57">
        <f>Pipeline!O9</f>
        <v>0.0</v>
      </c>
      <c r="F5" s="57">
        <f>Pipeline!P9</f>
        <v>26.328000000000003</v>
      </c>
      <c r="G5" s="57">
        <f>Pipeline!Q9</f>
        <v>65.82000000000001</v>
      </c>
      <c r="H5" s="57">
        <f>Pipeline!R9</f>
        <v>118.476</v>
      </c>
      <c r="I5" s="57">
        <f>Pipeline!S9</f>
        <v>181.68800000000005</v>
      </c>
      <c r="J5" s="57">
        <f>Pipeline!T9</f>
        <v>250.68392</v>
      </c>
      <c r="K5" s="57">
        <f>Pipeline!U9</f>
        <v>312.0468</v>
      </c>
      <c r="L5" s="57">
        <f>Pipeline!V9</f>
        <v>334.17064000000005</v>
      </c>
      <c r="M5" s="57">
        <f>Pipeline!W9</f>
        <v>356.29448</v>
      </c>
      <c r="N5" s="57">
        <f>Pipeline!X9</f>
        <v>373.14032000000003</v>
      </c>
      <c r="O5" s="57">
        <f>Pipeline!Y9</f>
        <v>373.8992</v>
      </c>
      <c r="P5" s="57">
        <f>Pipeline!Z9</f>
        <v>373.8992</v>
      </c>
      <c r="Q5" s="57">
        <f>Pipeline!AA9</f>
        <v>373.8992</v>
      </c>
      <c r="R5" s="57">
        <f>Pipeline!AB9</f>
        <v>373.8992</v>
      </c>
      <c r="S5" s="57">
        <f>Pipeline!AC9</f>
        <v>242.25920000000002</v>
      </c>
      <c r="T5" s="57">
        <f>Pipeline!AD9</f>
        <v>176.4392</v>
      </c>
      <c r="U5" s="57">
        <f>Pipeline!AE9</f>
        <v>143.5292</v>
      </c>
      <c r="V5" s="57">
        <f>Pipeline!AF9</f>
        <v>74.2942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-302.68</v>
      </c>
      <c r="D6" s="23">
        <f>-IF(D3-2026&lt;Assumptions!$B$19,Assumptions!$B$18,Assumptions!$B$18*Assumptions!$B$20*Assumptions!$B$16)</f>
        <v>-302.68</v>
      </c>
      <c r="E6" s="23">
        <f>-IF(E3-2026&lt;Assumptions!$B$19,Assumptions!$B$18,Assumptions!$B$18*Assumptions!$B$20*Assumptions!$B$16)</f>
        <v>-302.68</v>
      </c>
      <c r="F6" s="23">
        <f>-IF(F3-2026&lt;Assumptions!$B$19,Assumptions!$B$18,Assumptions!$B$18*Assumptions!$B$20*Assumptions!$B$16)</f>
        <v>-47.239732051079244</v>
      </c>
      <c r="G6" s="23">
        <f>-IF(G3-2026&lt;Assumptions!$B$19,Assumptions!$B$18,Assumptions!$B$18*Assumptions!$B$20*Assumptions!$B$16)</f>
        <v>-47.239732051079244</v>
      </c>
      <c r="H6" s="23">
        <f>-IF(H3-2026&lt;Assumptions!$B$19,Assumptions!$B$18,Assumptions!$B$18*Assumptions!$B$20*Assumptions!$B$16)</f>
        <v>-47.239732051079244</v>
      </c>
      <c r="I6" s="23">
        <f>-IF(I3-2026&lt;Assumptions!$B$19,Assumptions!$B$18,Assumptions!$B$18*Assumptions!$B$20*Assumptions!$B$16)</f>
        <v>-47.239732051079244</v>
      </c>
      <c r="J6" s="23">
        <f>-IF(J3-2026&lt;Assumptions!$B$19,Assumptions!$B$18,Assumptions!$B$18*Assumptions!$B$20*Assumptions!$B$16)</f>
        <v>-47.239732051079244</v>
      </c>
      <c r="K6" s="23">
        <f>-IF(K3-2026&lt;Assumptions!$B$19,Assumptions!$B$18,Assumptions!$B$18*Assumptions!$B$20*Assumptions!$B$16)</f>
        <v>-47.239732051079244</v>
      </c>
      <c r="L6" s="23">
        <f>-IF(L3-2026&lt;Assumptions!$B$19,Assumptions!$B$18,Assumptions!$B$18*Assumptions!$B$20*Assumptions!$B$16)</f>
        <v>-47.239732051079244</v>
      </c>
      <c r="M6" s="23">
        <f>-IF(M3-2026&lt;Assumptions!$B$19,Assumptions!$B$18,Assumptions!$B$18*Assumptions!$B$20*Assumptions!$B$16)</f>
        <v>-47.239732051079244</v>
      </c>
      <c r="N6" s="23">
        <f>-IF(N3-2026&lt;Assumptions!$B$19,Assumptions!$B$18,Assumptions!$B$18*Assumptions!$B$20*Assumptions!$B$16)</f>
        <v>-47.239732051079244</v>
      </c>
      <c r="O6" s="23">
        <f>-IF(O3-2026&lt;Assumptions!$B$19,Assumptions!$B$18,Assumptions!$B$18*Assumptions!$B$20*Assumptions!$B$16)</f>
        <v>-47.239732051079244</v>
      </c>
      <c r="P6" s="23">
        <f>-IF(P3-2026&lt;Assumptions!$B$19,Assumptions!$B$18,Assumptions!$B$18*Assumptions!$B$20*Assumptions!$B$16)</f>
        <v>-47.239732051079244</v>
      </c>
      <c r="Q6" s="23">
        <f>-IF(Q3-2026&lt;Assumptions!$B$19,Assumptions!$B$18,Assumptions!$B$18*Assumptions!$B$20*Assumptions!$B$16)</f>
        <v>-47.239732051079244</v>
      </c>
      <c r="R6" s="23">
        <f>-IF(R3-2026&lt;Assumptions!$B$19,Assumptions!$B$18,Assumptions!$B$18*Assumptions!$B$20*Assumptions!$B$16)</f>
        <v>-47.239732051079244</v>
      </c>
      <c r="S6" s="23">
        <f>-IF(S3-2026&lt;Assumptions!$B$19,Assumptions!$B$18,Assumptions!$B$18*Assumptions!$B$20*Assumptions!$B$16)</f>
        <v>-47.239732051079244</v>
      </c>
      <c r="T6" s="23">
        <f>-IF(T3-2026&lt;Assumptions!$B$19,Assumptions!$B$18,Assumptions!$B$18*Assumptions!$B$20*Assumptions!$B$16)</f>
        <v>-47.239732051079244</v>
      </c>
      <c r="U6" s="23">
        <f>-IF(U3-2026&lt;Assumptions!$B$19,Assumptions!$B$18,Assumptions!$B$18*Assumptions!$B$20*Assumptions!$B$16)</f>
        <v>-47.239732051079244</v>
      </c>
      <c r="V6" s="23">
        <f>-IF(V3-2026&lt;Assumptions!$B$19,Assumptions!$B$18,Assumptions!$B$18*Assumptions!$B$20*Assumptions!$B$16)</f>
        <v>-47.239732051079244</v>
      </c>
    </row>
    <row r="7">
      <c r="A7" s="14" t="inlineStr">
        <is>
          <t>Pre-tax cash flow</t>
        </is>
      </c>
      <c r="C7" s="23">
        <f>C5+C6</f>
        <v>-302.68</v>
      </c>
      <c r="D7" s="23">
        <f>D5+D6</f>
        <v>-302.68</v>
      </c>
      <c r="E7" s="23">
        <f>E5+E6</f>
        <v>-302.68</v>
      </c>
      <c r="F7" s="23">
        <f>F5+F6</f>
        <v>-20.91173205107924</v>
      </c>
      <c r="G7" s="23">
        <f>G5+G6</f>
        <v>18.580267948920763</v>
      </c>
      <c r="H7" s="23">
        <f>H5+H6</f>
        <v>71.23626794892076</v>
      </c>
      <c r="I7" s="23">
        <f>I5+I6</f>
        <v>134.4482679489208</v>
      </c>
      <c r="J7" s="23">
        <f>J5+J6</f>
        <v>203.44418794892076</v>
      </c>
      <c r="K7" s="23">
        <f>K5+K6</f>
        <v>264.8070679489208</v>
      </c>
      <c r="L7" s="23">
        <f>L5+L6</f>
        <v>286.9309079489208</v>
      </c>
      <c r="M7" s="23">
        <f>M5+M6</f>
        <v>309.05474794892075</v>
      </c>
      <c r="N7" s="23">
        <f>N5+N6</f>
        <v>325.9005879489208</v>
      </c>
      <c r="O7" s="23">
        <f>O5+O6</f>
        <v>326.6594679489208</v>
      </c>
      <c r="P7" s="23">
        <f>P5+P6</f>
        <v>326.6594679489208</v>
      </c>
      <c r="Q7" s="23">
        <f>Q5+Q6</f>
        <v>326.6594679489208</v>
      </c>
      <c r="R7" s="23">
        <f>R5+R6</f>
        <v>326.6594679489208</v>
      </c>
      <c r="S7" s="23">
        <f>S5+S6</f>
        <v>195.01946794892078</v>
      </c>
      <c r="T7" s="23">
        <f>T5+T6</f>
        <v>129.19946794892076</v>
      </c>
      <c r="U7" s="23">
        <f>U5+U6</f>
        <v>96.28946794892076</v>
      </c>
      <c r="V7" s="23">
        <f>V5+V6</f>
        <v>27.05446794892076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0</v>
      </c>
      <c r="G8" s="23">
        <f>MIN(F17,MAX(0,G7))</f>
        <v>18.580267948920763</v>
      </c>
      <c r="H8" s="23">
        <f>MIN(G17,MAX(0,H7))</f>
        <v>71.23626794892076</v>
      </c>
      <c r="I8" s="23">
        <f>MIN(H17,MAX(0,I7))</f>
        <v>134.4482679489208</v>
      </c>
      <c r="J8" s="23">
        <f>MIN(I17,MAX(0,J7))</f>
        <v>203.44418794892076</v>
      </c>
      <c r="K8" s="23">
        <f>MIN(J17,MAX(0,K7))</f>
        <v>264.8070679489208</v>
      </c>
      <c r="L8" s="23">
        <f>MIN(K17,MAX(0,L7))</f>
        <v>286.9309079489208</v>
      </c>
      <c r="M8" s="23">
        <f>MIN(L17,MAX(0,M7))</f>
        <v>309.05474794892075</v>
      </c>
      <c r="N8" s="23">
        <f>MIN(M17,MAX(0,N7))</f>
        <v>325.9005879489208</v>
      </c>
      <c r="O8" s="23">
        <f>MIN(N17,MAX(0,O7))</f>
        <v>193.04942845971334</v>
      </c>
      <c r="P8" s="23">
        <f>MIN(O17,MAX(0,P7))</f>
        <v>0.0</v>
      </c>
      <c r="Q8" s="23">
        <f>MIN(P17,MAX(0,Q7))</f>
        <v>0.0</v>
      </c>
      <c r="R8" s="23">
        <f>MIN(Q17,MAX(0,R7))</f>
        <v>0.0</v>
      </c>
      <c r="S8" s="23">
        <f>MIN(R17,MAX(0,S7))</f>
        <v>0.0</v>
      </c>
      <c r="T8" s="23">
        <f>MIN(S17,MAX(0,T7))</f>
        <v>0.0</v>
      </c>
      <c r="U8" s="23">
        <f>MIN(T17,MAX(0,U7))</f>
        <v>0.0</v>
      </c>
      <c r="V8" s="23">
        <f>MIN(U17,MAX(0,V7))</f>
        <v>0.0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0.0</v>
      </c>
      <c r="K9" s="23">
        <f>MAX(0,K7)-K8</f>
        <v>0.0</v>
      </c>
      <c r="L9" s="23">
        <f>MAX(0,L7)-L8</f>
        <v>0.0</v>
      </c>
      <c r="M9" s="23">
        <f>MAX(0,M7)-M8</f>
        <v>0.0</v>
      </c>
      <c r="N9" s="23">
        <f>MAX(0,N7)-N8</f>
        <v>0.0</v>
      </c>
      <c r="O9" s="23">
        <f>MAX(0,O7)-O8</f>
        <v>133.61003948920745</v>
      </c>
      <c r="P9" s="23">
        <f>MAX(0,P7)-P8</f>
        <v>326.6594679489208</v>
      </c>
      <c r="Q9" s="23">
        <f>MAX(0,Q7)-Q8</f>
        <v>326.6594679489208</v>
      </c>
      <c r="R9" s="23">
        <f>MAX(0,R7)-R8</f>
        <v>326.6594679489208</v>
      </c>
      <c r="S9" s="23">
        <f>MAX(0,S7)-S8</f>
        <v>195.01946794892078</v>
      </c>
      <c r="T9" s="23">
        <f>MAX(0,T7)-T8</f>
        <v>129.19946794892076</v>
      </c>
      <c r="U9" s="23">
        <f>MAX(0,U7)-U8</f>
        <v>96.28946794892076</v>
      </c>
      <c r="V9" s="23">
        <f>MAX(0,V7)-V8</f>
        <v>27.05446794892076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0.0</v>
      </c>
      <c r="K10" s="23">
        <f>K9*Assumptions!$E$15</f>
        <v>0.0</v>
      </c>
      <c r="L10" s="23">
        <f>L9*Assumptions!$E$15</f>
        <v>0.0</v>
      </c>
      <c r="M10" s="23">
        <f>M9*Assumptions!$E$15</f>
        <v>0.0</v>
      </c>
      <c r="N10" s="23">
        <f>N9*Assumptions!$E$15</f>
        <v>0.0</v>
      </c>
      <c r="O10" s="23">
        <f>O9*Assumptions!$E$15</f>
        <v>28.058108292733564</v>
      </c>
      <c r="P10" s="23">
        <f>P9*Assumptions!$E$15</f>
        <v>68.59848826927336</v>
      </c>
      <c r="Q10" s="23">
        <f>Q9*Assumptions!$E$15</f>
        <v>68.59848826927336</v>
      </c>
      <c r="R10" s="23">
        <f>R9*Assumptions!$E$15</f>
        <v>68.59848826927336</v>
      </c>
      <c r="S10" s="23">
        <f>S9*Assumptions!$E$15</f>
        <v>40.95408826927336</v>
      </c>
      <c r="T10" s="23">
        <f>T9*Assumptions!$E$15</f>
        <v>27.131888269273357</v>
      </c>
      <c r="U10" s="23">
        <f>U9*Assumptions!$E$15</f>
        <v>20.22078826927336</v>
      </c>
      <c r="V10" s="23">
        <f>V9*Assumptions!$E$15</f>
        <v>5.681438269273359</v>
      </c>
    </row>
    <row r="11">
      <c r="A11" s="24" t="inlineStr">
        <is>
          <t>Free cash flow</t>
        </is>
      </c>
      <c r="C11" s="55">
        <f>C7-C10</f>
        <v>-302.68</v>
      </c>
      <c r="D11" s="55">
        <f>D7-D10</f>
        <v>-302.68</v>
      </c>
      <c r="E11" s="55">
        <f>E7-E10</f>
        <v>-302.68</v>
      </c>
      <c r="F11" s="55">
        <f>F7-F10</f>
        <v>-20.91173205107924</v>
      </c>
      <c r="G11" s="55">
        <f>G7-G10</f>
        <v>18.580267948920763</v>
      </c>
      <c r="H11" s="55">
        <f>H7-H10</f>
        <v>71.23626794892076</v>
      </c>
      <c r="I11" s="55">
        <f>I7-I10</f>
        <v>134.4482679489208</v>
      </c>
      <c r="J11" s="55">
        <f>J7-J10</f>
        <v>203.44418794892076</v>
      </c>
      <c r="K11" s="55">
        <f>K7-K10</f>
        <v>264.8070679489208</v>
      </c>
      <c r="L11" s="55">
        <f>L7-L10</f>
        <v>286.9309079489208</v>
      </c>
      <c r="M11" s="55">
        <f>M7-M10</f>
        <v>309.05474794892075</v>
      </c>
      <c r="N11" s="55">
        <f>N7-N10</f>
        <v>325.9005879489208</v>
      </c>
      <c r="O11" s="55">
        <f>O7-O10</f>
        <v>298.60135965618724</v>
      </c>
      <c r="P11" s="55">
        <f>P7-P10</f>
        <v>258.0609796796474</v>
      </c>
      <c r="Q11" s="55">
        <f>Q7-Q10</f>
        <v>258.0609796796474</v>
      </c>
      <c r="R11" s="55">
        <f>R7-R10</f>
        <v>258.0609796796474</v>
      </c>
      <c r="S11" s="55">
        <f>S7-S10</f>
        <v>154.0653796796474</v>
      </c>
      <c r="T11" s="55">
        <f>T7-T10</f>
        <v>102.0675796796474</v>
      </c>
      <c r="U11" s="55">
        <f>U7-U10</f>
        <v>76.0686796796474</v>
      </c>
      <c r="V11" s="55">
        <f>V7-V10</f>
        <v>21.373029679647402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-148.28424835975767</v>
      </c>
      <c r="D16" s="55">
        <f>D11*D15</f>
        <v>-270.12445815208116</v>
      </c>
      <c r="E16" s="55">
        <f>E11*E15</f>
        <v>-241.182551921501</v>
      </c>
      <c r="F16" s="55">
        <f>F11*F15</f>
        <v>-14.877643353830587</v>
      </c>
      <c r="G16" s="55">
        <f>G11*G15</f>
        <v>11.802610853948934</v>
      </c>
      <c r="H16" s="55">
        <f>H11*H15</f>
        <v>40.402594204475434</v>
      </c>
      <c r="I16" s="55">
        <f>I11*I15</f>
        <v>68.08403429679034</v>
      </c>
      <c r="J16" s="55">
        <f>J11*J15</f>
        <v>91.98506821026167</v>
      </c>
      <c r="K16" s="55">
        <f>K11*K15</f>
        <v>106.90145034991721</v>
      </c>
      <c r="L16" s="55">
        <f>L11*L15</f>
        <v>103.42209588778687</v>
      </c>
      <c r="M16" s="55">
        <f>M11*M15</f>
        <v>99.4611323650553</v>
      </c>
      <c r="N16" s="55">
        <f>N11*N15</f>
        <v>93.64510926045847</v>
      </c>
      <c r="O16" s="55">
        <f>O11*O15</f>
        <v>76.6079277818317</v>
      </c>
      <c r="P16" s="55">
        <f>P11*P15</f>
        <v>59.11344272011662</v>
      </c>
      <c r="Q16" s="55">
        <f>Q11*Q15</f>
        <v>52.779859571532704</v>
      </c>
      <c r="R16" s="55">
        <f>R11*R15</f>
        <v>47.124874617439914</v>
      </c>
      <c r="S16" s="55">
        <f>S11*S15</f>
        <v>25.119726233008432</v>
      </c>
      <c r="T16" s="55">
        <f>T11*T15</f>
        <v>14.858659727945</v>
      </c>
      <c r="U16" s="55">
        <f>U11*U15</f>
        <v>9.887344727713158</v>
      </c>
      <c r="V16" s="55">
        <f>V11*V15</f>
        <v>2.4804008083817166</v>
      </c>
    </row>
    <row r="17">
      <c r="A17" s="14" t="inlineStr">
        <is>
          <t>Tax-loss carryforward, end of year</t>
        </is>
      </c>
      <c r="C17" s="23">
        <f>Assumptions!$B$21-C8+MAX(0,-C7)</f>
        <v>1181.18</v>
      </c>
      <c r="D17" s="23">
        <f>C17-D8+MAX(0,-D7)</f>
        <v>1483.8600000000001</v>
      </c>
      <c r="E17" s="23">
        <f>D17-E8+MAX(0,-E7)</f>
        <v>1786.5400000000002</v>
      </c>
      <c r="F17" s="23">
        <f>E17-F8+MAX(0,-F7)</f>
        <v>1807.4517320510795</v>
      </c>
      <c r="G17" s="23">
        <f>F17-G8+MAX(0,-G7)</f>
        <v>1788.8714641021588</v>
      </c>
      <c r="H17" s="23">
        <f>G17-H8+MAX(0,-H7)</f>
        <v>1717.635196153238</v>
      </c>
      <c r="I17" s="23">
        <f>H17-I8+MAX(0,-I7)</f>
        <v>1583.1869282043172</v>
      </c>
      <c r="J17" s="23">
        <f>I17-J8+MAX(0,-J7)</f>
        <v>1379.7427402553965</v>
      </c>
      <c r="K17" s="23">
        <f>J17-K8+MAX(0,-K7)</f>
        <v>1114.9356723064757</v>
      </c>
      <c r="L17" s="23">
        <f>K17-L8+MAX(0,-L7)</f>
        <v>828.0047643575549</v>
      </c>
      <c r="M17" s="23">
        <f>L17-M8+MAX(0,-M7)</f>
        <v>518.9500164086342</v>
      </c>
      <c r="N17" s="23">
        <f>M17-N8+MAX(0,-N7)</f>
        <v>193.04942845971334</v>
      </c>
      <c r="O17" s="23">
        <f>N17-O8+MAX(0,-O7)</f>
        <v>0.0</v>
      </c>
      <c r="P17" s="23">
        <f>O17-P8+MAX(0,-P7)</f>
        <v>0.0</v>
      </c>
      <c r="Q17" s="23">
        <f>P17-Q8+MAX(0,-Q7)</f>
        <v>0.0</v>
      </c>
      <c r="R17" s="23">
        <f>Q17-R8+MAX(0,-R7)</f>
        <v>0.0</v>
      </c>
      <c r="S17" s="23">
        <f>R17-S8+MAX(0,-S7)</f>
        <v>0.0</v>
      </c>
      <c r="T17" s="23">
        <f>S17-T8+MAX(0,-T7)</f>
        <v>0.0</v>
      </c>
      <c r="U17" s="23">
        <f>T17-U8+MAX(0,-U7)</f>
        <v>0.0</v>
      </c>
      <c r="V17" s="23">
        <f>U17-V8+MAX(0,-V7)</f>
        <v>0.0</v>
      </c>
    </row>
    <row r="19">
      <c r="A19" s="14" t="inlineStr">
        <is>
          <t>PV of risked pipeline contribution</t>
        </is>
      </c>
      <c r="B19" s="23">
        <f>SUMPRODUCT(C5:V5,C15:V15)</f>
        <v>1220.177824908302</v>
      </c>
    </row>
    <row r="20">
      <c r="A20" s="14" t="inlineStr">
        <is>
          <t>PV of corporate burn</t>
        </is>
      </c>
      <c r="B20" s="23">
        <f>SUMPRODUCT(C6:V6,C15:V15)</f>
        <v>-927.5864739849197</v>
      </c>
    </row>
    <row r="21">
      <c r="A21" s="14" t="inlineStr">
        <is>
          <t>PV of taxes</t>
        </is>
      </c>
      <c r="B21" s="23">
        <f>-SUMPRODUCT(C10:V10,C15:V15)</f>
        <v>-63.38392109388922</v>
      </c>
    </row>
    <row r="22">
      <c r="A22" s="24" t="inlineStr">
        <is>
          <t>Pipeline rNPV (operations)</t>
        </is>
      </c>
      <c r="B22" s="54">
        <f>SUM(C16:V16)</f>
        <v>229.2074298294931</v>
      </c>
    </row>
    <row r="23">
      <c r="A23" s="14" t="inlineStr">
        <is>
          <t>Cash &amp; investments</t>
        </is>
      </c>
      <c r="B23" s="57">
        <f>Main!C7</f>
        <v>384.3</v>
      </c>
    </row>
    <row r="24">
      <c r="A24" s="14" t="inlineStr">
        <is>
          <t>Debt</t>
        </is>
      </c>
      <c r="B24" s="57">
        <f>Main!C8</f>
        <v>0</v>
      </c>
    </row>
    <row r="25">
      <c r="A25" s="24" t="inlineStr">
        <is>
          <t>Equity value</t>
        </is>
      </c>
      <c r="B25" s="54">
        <f>B22+B23-B24</f>
        <v>613.507429829493</v>
      </c>
    </row>
    <row r="26">
      <c r="A26" s="14" t="inlineStr">
        <is>
          <t>Shares (mm)</t>
        </is>
      </c>
      <c r="B26" s="57">
        <f>Main!C4</f>
        <v>349.762035</v>
      </c>
    </row>
    <row r="27">
      <c r="A27" s="24" t="inlineStr">
        <is>
          <t>rNPV / share</t>
        </is>
      </c>
      <c r="B27" s="60">
        <f>B25/B26</f>
        <v>1.7540709637896892</v>
      </c>
    </row>
    <row r="28">
      <c r="A28" s="14" t="inlineStr">
        <is>
          <t>Price</t>
        </is>
      </c>
      <c r="B28" s="61">
        <f>Main!C3</f>
        <v>14.62</v>
      </c>
    </row>
    <row r="29">
      <c r="A29" s="14" t="inlineStr">
        <is>
          <t>Upside</t>
        </is>
      </c>
      <c r="B29" s="62">
        <f>B27/B28-1</f>
        <v>-0.8800225058967381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2026-10-21T06:21:46Z</dcterms:modified>
  <cp:lastModifiedBy>Wang, Eric</cp:lastModifiedBy>
</cp:coreProperties>
</file>