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Erasca, Inc.</t>
        </is>
      </c>
      <c r="C2" s="10" t="n"/>
    </row>
    <row r="3">
      <c r="B3" t="inlineStr">
        <is>
          <t>Price</t>
        </is>
      </c>
      <c r="C3" s="11">
        <f>INDEX([1]Pharma!$F$1:$F$1000,MATCH("ERAS",[1]Pharma!$B$1:$B$1000,0))</f>
        <v>14.62</v>
      </c>
      <c r="F3" s="1" t="n"/>
    </row>
    <row r="4">
      <c r="B4" t="inlineStr">
        <is>
          <t>Shares</t>
        </is>
      </c>
      <c r="C4" s="21" t="n">
        <v>349.762035</v>
      </c>
      <c r="F4" s="1" t="n"/>
    </row>
    <row r="5">
      <c r="B5" t="inlineStr">
        <is>
          <t>Market Cap.</t>
        </is>
      </c>
      <c r="C5" s="13">
        <f>C3*C4</f>
        <v>5113.5209517</v>
      </c>
      <c r="F5" s="1" t="n"/>
    </row>
    <row r="6"/>
    <row r="7">
      <c r="B7" t="inlineStr">
        <is>
          <t>Cash</t>
        </is>
      </c>
      <c r="C7" s="21" t="n">
        <v>384.3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4729.2209517</v>
      </c>
    </row>
    <row r="10"/>
    <row r="11">
      <c r="B11" s="14" t="inlineStr">
        <is>
          <t>Net Cash / Share</t>
        </is>
      </c>
      <c r="C11" s="11">
        <f>(C7-C8)/C4</f>
        <v>1.0987470381112117</v>
      </c>
    </row>
    <row r="12">
      <c r="B12" s="14" t="inlineStr">
        <is>
          <t>Upside</t>
        </is>
      </c>
      <c r="C12" s="15">
        <f>IFERROR(C11/C3-1,"")</f>
        <v>-0.9248463038227626</v>
      </c>
    </row>
    <row r="13">
      <c r="B13" s="14" t="inlineStr">
        <is>
          <t>Cash / Share</t>
        </is>
      </c>
      <c r="C13" s="11">
        <f>IFERROR((C7-C8)/C4,"")</f>
        <v>1.0987470381112117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-98.02200000000001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3.920548448307523</v>
      </c>
    </row>
    <row r="19">
      <c r="B19" s="14" t="inlineStr">
        <is>
          <t>Implied Pipeline Value</t>
        </is>
      </c>
      <c r="C19" s="13">
        <f>C9</f>
        <v>4729.2209517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29.55</v>
      </c>
      <c r="C5" s="23" t="n">
        <v>73.922</v>
      </c>
      <c r="D5" s="23" t="n">
        <v>112.457</v>
      </c>
      <c r="E5" s="23" t="n">
        <v>103.821</v>
      </c>
      <c r="F5" s="23" t="n">
        <v>115.359</v>
      </c>
      <c r="G5" s="23" t="n">
        <v>92.854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79.702</v>
      </c>
      <c r="C6" s="23" t="n">
        <v>50.961</v>
      </c>
      <c r="D6" s="23" t="n">
        <v>134.993</v>
      </c>
      <c r="E6" s="23" t="n">
        <v>37.704</v>
      </c>
      <c r="F6" s="23" t="n">
        <v>64.22799999999999</v>
      </c>
      <c r="G6" s="23" t="n">
        <v>48.051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109.252</v>
      </c>
      <c r="C7" s="23">
        <f>SUM(C5:C6)</f>
        <v>124.883</v>
      </c>
      <c r="D7" s="23">
        <f>SUM(D5:D6)</f>
        <v>247.45</v>
      </c>
      <c r="E7" s="23">
        <f>SUM(E5:E6)</f>
        <v>141.525</v>
      </c>
      <c r="F7" s="23">
        <f>SUM(F5:F6)</f>
        <v>179.587</v>
      </c>
      <c r="G7" s="23">
        <f>SUM(G5:G6)</f>
        <v>140.905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-109.252</v>
      </c>
      <c r="C8" s="23">
        <f>C4-C7</f>
        <v>-124.883</v>
      </c>
      <c r="D8" s="23">
        <f>D4-D7</f>
        <v>-247.45</v>
      </c>
      <c r="E8" s="23">
        <f>E4-E7</f>
        <v>-141.525</v>
      </c>
      <c r="F8" s="23">
        <f>F4-F7</f>
        <v>-179.587</v>
      </c>
      <c r="G8" s="23">
        <f>G4-G7</f>
        <v>-140.905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7.592</v>
      </c>
      <c r="C9" s="23" t="n">
        <v>2.119</v>
      </c>
      <c r="D9" s="23" t="n">
        <v>4.645</v>
      </c>
      <c r="E9" s="23" t="n">
        <v>16.483</v>
      </c>
      <c r="F9" s="23" t="n">
        <v>17.937</v>
      </c>
      <c r="G9" s="23" t="n">
        <v>16.359</v>
      </c>
    </row>
    <row r="10">
      <c r="A10" s="2" t="inlineStr">
        <is>
          <t>Pretax</t>
        </is>
      </c>
      <c r="B10" s="23">
        <f>B8+B9</f>
        <v>-101.66</v>
      </c>
      <c r="C10" s="23">
        <f>C8+C9</f>
        <v>-122.764</v>
      </c>
      <c r="D10" s="23">
        <f>D8+D9</f>
        <v>-242.80499999999998</v>
      </c>
      <c r="E10" s="23">
        <f>E8+E9</f>
        <v>-125.042</v>
      </c>
      <c r="F10" s="23">
        <f>F8+F9</f>
        <v>-161.64999999999998</v>
      </c>
      <c r="G10" s="23">
        <f>G8+G9</f>
        <v>-124.54599999999999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-101.66</v>
      </c>
      <c r="C12" s="23" t="n">
        <v>-122.764</v>
      </c>
      <c r="D12" s="23" t="n">
        <v>-242.805</v>
      </c>
      <c r="E12" s="23" t="n">
        <v>-125.042</v>
      </c>
      <c r="F12" s="23" t="n">
        <v>-161.65</v>
      </c>
      <c r="G12" s="23" t="n">
        <v>-124.546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-4.832208384827455</v>
      </c>
      <c r="C13" s="11">
        <f>IFERROR(C12/C14,0)</f>
        <v>-1.8518954307522892</v>
      </c>
      <c r="D13" s="11">
        <f>IFERROR(D12/D14,0)</f>
        <v>-1.9897971727105102</v>
      </c>
      <c r="E13" s="11">
        <f>IFERROR(E12/E14,0)</f>
        <v>-0.8325864766787628</v>
      </c>
      <c r="F13" s="11">
        <f>IFERROR(F12/F14,0)</f>
        <v>-0.6913496822314792</v>
      </c>
      <c r="G13" s="11">
        <f>IFERROR(G12/G14,0)</f>
        <v>-0.4392630160756735</v>
      </c>
    </row>
    <row r="14">
      <c r="A14" s="2" t="inlineStr">
        <is>
          <t>Shares</t>
        </is>
      </c>
      <c r="B14" s="23" t="n">
        <v>21.038</v>
      </c>
      <c r="C14" s="23" t="n">
        <v>66.291</v>
      </c>
      <c r="D14" s="23" t="n">
        <v>122.025</v>
      </c>
      <c r="E14" s="23" t="n">
        <v>150.185</v>
      </c>
      <c r="F14" s="23" t="n">
        <v>233.818</v>
      </c>
      <c r="G14" s="23" t="n">
        <v>283.534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2026-10-21T01:04:07Z</dcterms:modified>
  <cp:lastModifiedBy>Wang, Eric</cp:lastModifiedBy>
</cp:coreProperties>
</file>