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NPV" sheetId="5" state="visible" r:id="rId5"/>
  </sheets>
  <externalReferences>
    <externalReference r:id="rId6"/>
  </externalReference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.0"/>
    <numFmt numFmtId="165" formatCode="0.0%"/>
    <numFmt numFmtId="166" formatCode="#,##0.0;(#,##0.0);&quot;-&quot;"/>
    <numFmt numFmtId="167" formatCode="0.0%;(0.0%);&quot;-&quot;"/>
    <numFmt numFmtId="168" formatCode="yyyy-mm-dd"/>
    <numFmt numFmtId="169" formatCode="0.0000"/>
    <numFmt numFmtId="170" formatCode="#,##0;(#,##0);&quot;-&quot;"/>
    <numFmt numFmtId="171" formatCode="$#,##0.00;($#,##0.00);&quot;-&quot;"/>
    <numFmt numFmtId="172" formatCode="[=1]&quot;Bear&quot;;[=2]&quot;Base&quot;;&quot;Bull&quot;"/>
    <numFmt numFmtId="173" formatCode="0.000"/>
    <numFmt numFmtId="174" formatCode="yyyy-mm-dd h:mm:ss"/>
  </numFmts>
  <fonts count="11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color rgb="00008000"/>
      <sz val="12"/>
    </font>
    <font>
      <name val="Aptos Narrow"/>
      <b val="1"/>
      <color rgb="00008000"/>
      <sz val="12"/>
    </font>
    <font>
      <name val="Aptos Narrow"/>
      <i val="1"/>
      <color rgb="00008000"/>
      <sz val="12"/>
    </font>
    <font>
      <name val="Aptos Narrow"/>
      <sz val="12"/>
    </font>
    <font>
      <name val="Aptos Narrow"/>
      <b val="1"/>
      <color rgb="000000FF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7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0" borderId="1" pivotButton="0" quotePrefix="0" xfId="0"/>
    <xf numFmtId="166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7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7" fontId="3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" fontId="2" fillId="0" borderId="0" pivotButton="0" quotePrefix="0" xfId="0"/>
    <xf numFmtId="2" fontId="5" fillId="0" borderId="0" pivotButton="0" quotePrefix="0" xfId="0"/>
    <xf numFmtId="168" fontId="2" fillId="0" borderId="0" pivotButton="0" quotePrefix="0" xfId="0"/>
    <xf numFmtId="169" fontId="2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71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71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" fontId="7" fillId="2" borderId="0" pivotButton="0" quotePrefix="0" xfId="0"/>
    <xf numFmtId="167" fontId="2" fillId="0" borderId="0" pivotButton="0" quotePrefix="0" xfId="0"/>
    <xf numFmtId="166" fontId="3" fillId="0" borderId="0" pivotButton="0" quotePrefix="0" xfId="0"/>
    <xf numFmtId="2" fontId="6" fillId="0" borderId="0" pivotButton="0" quotePrefix="0" xfId="0"/>
    <xf numFmtId="173" fontId="2" fillId="0" borderId="0" pivotButton="0" quotePrefix="0" xfId="0"/>
    <xf numFmtId="166" fontId="3" fillId="0" borderId="6" pivotButton="0" quotePrefix="0" xfId="0"/>
    <xf numFmtId="171" fontId="3" fillId="0" borderId="6" pivotButton="0" quotePrefix="0" xfId="0"/>
    <xf numFmtId="171" fontId="6" fillId="0" borderId="0" pivotButton="0" quotePrefix="0" xfId="0"/>
    <xf numFmtId="164" fontId="2" fillId="0" borderId="0" pivotButton="0" quotePrefix="0" xfId="0"/>
    <xf numFmtId="166" fontId="2" fillId="0" borderId="0" pivotButton="0" quotePrefix="0" xfId="0"/>
    <xf numFmtId="167" fontId="5" fillId="0" borderId="0" pivotButton="0" quotePrefix="0" xfId="0"/>
    <xf numFmtId="167" fontId="3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67" fontId="2" fillId="0" borderId="0" pivotButton="0" quotePrefix="0" xfId="0"/>
    <xf numFmtId="166" fontId="3" fillId="0" borderId="0" pivotButton="0" quotePrefix="0" xfId="0"/>
    <xf numFmtId="173" fontId="2" fillId="0" borderId="0" pivotButton="0" quotePrefix="0" xfId="0"/>
    <xf numFmtId="166" fontId="3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Cronos Group Inc.</t>
        </is>
      </c>
      <c r="C2" s="10" t="n"/>
    </row>
    <row r="3">
      <c r="B3" t="inlineStr">
        <is>
          <t>Price</t>
        </is>
      </c>
      <c r="C3" s="11">
        <f>INDEX([1]Pharma!$F$1:$F$1000,MATCH("CRON",[1]Pharma!$B$1:$B$1000,0))</f>
        <v>3.28</v>
      </c>
      <c r="F3" s="1" t="n"/>
    </row>
    <row r="4">
      <c r="B4" t="inlineStr">
        <is>
          <t>Shares</t>
        </is>
      </c>
      <c r="C4" s="51" t="n">
        <v>368.412864</v>
      </c>
      <c r="F4" s="1" t="n"/>
    </row>
    <row r="5">
      <c r="B5" t="inlineStr">
        <is>
          <t>Market Cap.</t>
        </is>
      </c>
      <c r="C5" s="13">
        <f>C3*C4</f>
        <v>1208.39419392</v>
      </c>
      <c r="F5" s="1" t="n"/>
    </row>
    <row r="6"/>
    <row r="7">
      <c r="B7" t="inlineStr">
        <is>
          <t>Cash</t>
        </is>
      </c>
      <c r="C7" s="51">
        <f>467.019+330</f>
        <v>797.019</v>
      </c>
    </row>
    <row r="8">
      <c r="B8" t="inlineStr">
        <is>
          <t>Debt</t>
        </is>
      </c>
      <c r="C8" s="51" t="n">
        <v>0</v>
      </c>
    </row>
    <row r="9">
      <c r="B9" t="inlineStr">
        <is>
          <t>Enterprise V.</t>
        </is>
      </c>
      <c r="C9" s="13">
        <f>C5-C7+C8</f>
        <v>411.3751939199999</v>
      </c>
    </row>
    <row r="10"/>
    <row r="11">
      <c r="B11" s="14" t="inlineStr">
        <is>
          <t>NPV / Share</t>
        </is>
      </c>
      <c r="C11" s="11">
        <f>NPV!B28</f>
        <v>4.783643460958719</v>
      </c>
    </row>
    <row r="12">
      <c r="B12" s="14" t="inlineStr">
        <is>
          <t>Upside</t>
        </is>
      </c>
      <c r="C12" s="15">
        <f>IFERROR(C11/C3-1,"")</f>
        <v>0.4584278844386338</v>
      </c>
    </row>
    <row r="13">
      <c r="B13" s="14" t="inlineStr">
        <is>
          <t>Cash / Share</t>
        </is>
      </c>
      <c r="C13" s="11">
        <f>IFERROR((C7-C8)/C4,"")</f>
        <v>2.1633853697356233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DCF</t>
        </is>
      </c>
    </row>
    <row r="16"/>
    <row r="17"/>
    <row r="18"/>
    <row r="19"/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6" t="n">
        <v>2016</v>
      </c>
      <c r="C1" s="16" t="n">
        <v>2017</v>
      </c>
      <c r="D1" s="16" t="n">
        <v>2018</v>
      </c>
      <c r="E1" s="16" t="n">
        <v>2019</v>
      </c>
      <c r="F1" s="16" t="n">
        <v>2020</v>
      </c>
      <c r="G1" s="16" t="n">
        <v>2021</v>
      </c>
      <c r="H1" s="16" t="n">
        <v>2022</v>
      </c>
      <c r="I1" s="16" t="n">
        <v>2023</v>
      </c>
      <c r="J1" s="16" t="n">
        <v>2024</v>
      </c>
      <c r="K1" s="16" t="n">
        <v>2025</v>
      </c>
      <c r="L1" s="16" t="n">
        <v>2026</v>
      </c>
      <c r="M1" s="16" t="n">
        <v>2027</v>
      </c>
      <c r="N1" s="16" t="n">
        <v>2028</v>
      </c>
      <c r="O1" s="16" t="n">
        <v>2029</v>
      </c>
      <c r="P1" s="16" t="n">
        <v>2030</v>
      </c>
      <c r="Q1" s="16" t="n">
        <v>2031</v>
      </c>
      <c r="R1" s="16" t="n">
        <v>2032</v>
      </c>
      <c r="S1" s="16" t="n">
        <v>2033</v>
      </c>
      <c r="T1" s="16" t="n">
        <v>2034</v>
      </c>
      <c r="U1" s="16" t="n">
        <v>2035</v>
      </c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52" t="n">
        <v>0.391</v>
      </c>
      <c r="C2" s="52" t="n">
        <v>3.147</v>
      </c>
      <c r="D2" s="52" t="n">
        <v>13.234</v>
      </c>
      <c r="E2" s="52" t="n">
        <v>25.639</v>
      </c>
      <c r="F2" s="52" t="n">
        <v>54.353</v>
      </c>
      <c r="G2" s="52" t="n">
        <v>79.61199999999999</v>
      </c>
      <c r="H2" s="52" t="n">
        <v>109.301</v>
      </c>
      <c r="I2" s="52" t="n">
        <v>120.27</v>
      </c>
      <c r="J2" s="52" t="n">
        <v>161.821</v>
      </c>
      <c r="K2" s="52" t="n">
        <v>193.363</v>
      </c>
      <c r="L2" s="52">
        <f>K2*(1+NPV!C5)</f>
        <v>260.1699165</v>
      </c>
      <c r="M2" s="52">
        <f>L2*(1+NPV!D5)</f>
        <v>340.7936828465</v>
      </c>
      <c r="N2" s="52">
        <f>M2*(1+NPV!E5)</f>
        <v>434.2658168583429</v>
      </c>
      <c r="O2" s="52">
        <f>N2*(1+NPV!F5)</f>
        <v>537.9105918152006</v>
      </c>
      <c r="P2" s="52">
        <f>O2*(1+NPV!G5)</f>
        <v>647.1363258754538</v>
      </c>
      <c r="Q2" s="52">
        <f>P2*(1+NPV!H5)</f>
        <v>755.4957084414882</v>
      </c>
      <c r="R2" s="52">
        <f>Q2*(1+NPV!I5)</f>
        <v>855.0952260043576</v>
      </c>
      <c r="S2" s="52">
        <f>R2*(1+NPV!J5)</f>
        <v>937.3743888621103</v>
      </c>
      <c r="T2" s="52">
        <f>S2*(1+NPV!K5)</f>
        <v>994.1896920981417</v>
      </c>
      <c r="U2" s="52">
        <f>T2*(1+NPV!L5)</f>
        <v>1019.0444344005952</v>
      </c>
    </row>
    <row r="3" customFormat="1" s="1">
      <c r="A3" s="5" t="inlineStr">
        <is>
          <t>Cost of Sales</t>
        </is>
      </c>
      <c r="B3" s="52" t="n">
        <v>0</v>
      </c>
      <c r="C3" s="52" t="n">
        <v>0</v>
      </c>
      <c r="D3" s="52" t="n">
        <v>0</v>
      </c>
      <c r="E3" s="52" t="n">
        <v>0</v>
      </c>
      <c r="F3" s="52" t="n">
        <v>0</v>
      </c>
      <c r="G3" s="52" t="n">
        <v>0</v>
      </c>
      <c r="H3" s="52" t="n">
        <v>0</v>
      </c>
      <c r="I3" s="52" t="n">
        <v>0</v>
      </c>
      <c r="J3" s="52" t="n">
        <v>0</v>
      </c>
      <c r="K3" s="52" t="n">
        <v>0</v>
      </c>
      <c r="L3" s="52">
        <f>L2*(1-Assumptions!$B$19)</f>
        <v>0.0</v>
      </c>
      <c r="M3" s="52">
        <f>M2*(1-Assumptions!$B$19)</f>
        <v>0.0</v>
      </c>
      <c r="N3" s="52">
        <f>N2*(1-Assumptions!$B$19)</f>
        <v>0.0</v>
      </c>
      <c r="O3" s="52">
        <f>O2*(1-Assumptions!$B$19)</f>
        <v>0.0</v>
      </c>
      <c r="P3" s="52">
        <f>P2*(1-Assumptions!$B$19)</f>
        <v>0.0</v>
      </c>
      <c r="Q3" s="52">
        <f>Q2*(1-Assumptions!$B$19)</f>
        <v>0.0</v>
      </c>
      <c r="R3" s="52">
        <f>R2*(1-Assumptions!$B$19)</f>
        <v>0.0</v>
      </c>
      <c r="S3" s="52">
        <f>S2*(1-Assumptions!$B$19)</f>
        <v>0.0</v>
      </c>
      <c r="T3" s="52">
        <f>T2*(1-Assumptions!$B$19)</f>
        <v>0.0</v>
      </c>
      <c r="U3" s="52">
        <f>U2*(1-Assumptions!$B$19)</f>
        <v>0.0</v>
      </c>
    </row>
    <row r="4" customFormat="1" s="1">
      <c r="A4" s="5" t="inlineStr">
        <is>
          <t>Gross Margin</t>
        </is>
      </c>
      <c r="B4" s="52">
        <f>B2-B3</f>
        <v>0.391</v>
      </c>
      <c r="C4" s="52">
        <f>C2-C3</f>
        <v>3.147</v>
      </c>
      <c r="D4" s="52">
        <f>D2-D3</f>
        <v>13.234</v>
      </c>
      <c r="E4" s="52">
        <f>E2-E3</f>
        <v>25.639</v>
      </c>
      <c r="F4" s="52">
        <f>F2-F3</f>
        <v>54.353</v>
      </c>
      <c r="G4" s="52">
        <f>G2-G3</f>
        <v>79.612</v>
      </c>
      <c r="H4" s="52">
        <f>H2-H3</f>
        <v>109.301</v>
      </c>
      <c r="I4" s="52">
        <f>I2-I3</f>
        <v>120.27</v>
      </c>
      <c r="J4" s="52">
        <f>J2-J3</f>
        <v>161.821</v>
      </c>
      <c r="K4" s="52">
        <f>K2-K3</f>
        <v>193.363</v>
      </c>
      <c r="L4" s="52">
        <f>L2-L3</f>
        <v>260.1699165</v>
      </c>
      <c r="M4" s="52">
        <f>M2-M3</f>
        <v>340.7936828465</v>
      </c>
      <c r="N4" s="52">
        <f>N2-N3</f>
        <v>434.2658168583429</v>
      </c>
      <c r="O4" s="52">
        <f>O2-O3</f>
        <v>537.9105918152006</v>
      </c>
      <c r="P4" s="52">
        <f>P2-P3</f>
        <v>647.1363258754538</v>
      </c>
      <c r="Q4" s="52">
        <f>Q2-Q3</f>
        <v>755.4957084414882</v>
      </c>
      <c r="R4" s="52">
        <f>R2-R3</f>
        <v>855.0952260043576</v>
      </c>
      <c r="S4" s="52">
        <f>S2-S3</f>
        <v>937.3743888621103</v>
      </c>
      <c r="T4" s="52">
        <f>T2-T3</f>
        <v>994.1896920981417</v>
      </c>
      <c r="U4" s="52">
        <f>U2-U3</f>
        <v>1019.0444344005952</v>
      </c>
    </row>
    <row r="5">
      <c r="A5" s="2" t="inlineStr">
        <is>
          <t>Research &amp; Dev.</t>
        </is>
      </c>
      <c r="B5" s="52" t="n">
        <v>0</v>
      </c>
      <c r="C5" s="52" t="n">
        <v>0</v>
      </c>
      <c r="D5" s="52" t="n">
        <v>1.814</v>
      </c>
      <c r="E5" s="52" t="n">
        <v>12.155</v>
      </c>
      <c r="F5" s="52" t="n">
        <v>20.366</v>
      </c>
      <c r="G5" s="52" t="n">
        <v>21.841</v>
      </c>
      <c r="H5" s="52" t="n">
        <v>13.131</v>
      </c>
      <c r="I5" s="52" t="n">
        <v>5.843</v>
      </c>
      <c r="J5" s="52" t="n">
        <v>4.229</v>
      </c>
      <c r="K5" s="52" t="n">
        <v>4.449</v>
      </c>
      <c r="L5" s="52">
        <f>L7*Assumptions!$B$20</f>
        <v>5.430681988544651</v>
      </c>
      <c r="M5" s="52">
        <f>M7*Assumptions!$B$20</f>
        <v>6.962368592613129</v>
      </c>
      <c r="N5" s="52">
        <f>N7*Assumptions!$B$20</f>
        <v>8.679293504552849</v>
      </c>
      <c r="O5" s="52">
        <f>O7*Assumptions!$B$20</f>
        <v>10.512062873668194</v>
      </c>
      <c r="P5" s="52">
        <f>P7*Assumptions!$B$20</f>
        <v>12.359439897226125</v>
      </c>
      <c r="Q5" s="52">
        <f>Q7*Assumptions!$B$20</f>
        <v>14.093721067267788</v>
      </c>
      <c r="R5" s="52">
        <f>R7*Assumptions!$B$20</f>
        <v>15.572309324715333</v>
      </c>
      <c r="S5" s="52">
        <f>S7*Assumptions!$B$20</f>
        <v>16.654767583378323</v>
      </c>
      <c r="T5" s="52">
        <f>T7*Assumptions!$B$20</f>
        <v>17.223076777260417</v>
      </c>
      <c r="U5" s="52">
        <f>U7*Assumptions!$B$20</f>
        <v>17.201470052682044</v>
      </c>
    </row>
    <row r="6">
      <c r="A6" s="18" t="inlineStr">
        <is>
          <t>SG&amp;A &amp; Other</t>
        </is>
      </c>
      <c r="B6" s="52" t="n">
        <v>1.896</v>
      </c>
      <c r="C6" s="52" t="n">
        <v>9.268000000000001</v>
      </c>
      <c r="D6" s="52" t="n">
        <v>31.865</v>
      </c>
      <c r="E6" s="52" t="n">
        <v>166.8</v>
      </c>
      <c r="F6" s="52" t="n">
        <v>253.374</v>
      </c>
      <c r="G6" s="52" t="n">
        <v>349.74</v>
      </c>
      <c r="H6" s="52" t="n">
        <v>207.598</v>
      </c>
      <c r="I6" s="52" t="n">
        <v>199.227</v>
      </c>
      <c r="J6" s="52" t="n">
        <v>234.121</v>
      </c>
      <c r="K6" s="52" t="n">
        <v>206.309</v>
      </c>
      <c r="L6" s="52">
        <f>L7-L5</f>
        <v>251.94761130741037</v>
      </c>
      <c r="M6" s="52">
        <f>M7-M5</f>
        <v>323.00770688668206</v>
      </c>
      <c r="N6" s="52">
        <f>N7-N5</f>
        <v>402.6616308818381</v>
      </c>
      <c r="O6" s="52">
        <f>O7-O5</f>
        <v>487.68996905373433</v>
      </c>
      <c r="P6" s="52">
        <f>P7-P5</f>
        <v>573.3960054689409</v>
      </c>
      <c r="Q6" s="52">
        <f>Q7-Q5</f>
        <v>653.8551446800208</v>
      </c>
      <c r="R6" s="52">
        <f>R7-R5</f>
        <v>722.4518292873857</v>
      </c>
      <c r="S6" s="52">
        <f>S7-S5</f>
        <v>772.6707103018502</v>
      </c>
      <c r="T6" s="52">
        <f>T7-T5</f>
        <v>799.0364861260769</v>
      </c>
      <c r="U6" s="52">
        <f>U7-U5</f>
        <v>798.0340774677941</v>
      </c>
    </row>
    <row r="7">
      <c r="A7" s="2" t="inlineStr">
        <is>
          <t>Operating Expense</t>
        </is>
      </c>
      <c r="B7" s="52">
        <f>SUM(B5:B6)</f>
        <v>1.896</v>
      </c>
      <c r="C7" s="52">
        <f>SUM(C5:C6)</f>
        <v>9.268</v>
      </c>
      <c r="D7" s="52">
        <f>SUM(D5:D6)</f>
        <v>33.679</v>
      </c>
      <c r="E7" s="52">
        <f>SUM(E5:E6)</f>
        <v>178.955</v>
      </c>
      <c r="F7" s="52">
        <f>SUM(F5:F6)</f>
        <v>273.74</v>
      </c>
      <c r="G7" s="52">
        <f>SUM(G5:G6)</f>
        <v>371.581</v>
      </c>
      <c r="H7" s="52">
        <f>SUM(H5:H6)</f>
        <v>220.729</v>
      </c>
      <c r="I7" s="52">
        <f>SUM(I5:I6)</f>
        <v>205.07</v>
      </c>
      <c r="J7" s="52">
        <f>SUM(J5:J6)</f>
        <v>238.35000000000002</v>
      </c>
      <c r="K7" s="52">
        <f>SUM(K5:K6)</f>
        <v>210.758</v>
      </c>
      <c r="L7" s="52">
        <f>L4-L2*NPV!C6</f>
        <v>257.378293295955</v>
      </c>
      <c r="M7" s="52">
        <f>M4-M2*NPV!D6</f>
        <v>329.9700754792952</v>
      </c>
      <c r="N7" s="52">
        <f>N4-N2*NPV!E6</f>
        <v>411.34092438639095</v>
      </c>
      <c r="O7" s="52">
        <f>O4-O2*NPV!F6</f>
        <v>498.2020319274025</v>
      </c>
      <c r="P7" s="52">
        <f>P4-P2*NPV!G6</f>
        <v>585.755445366167</v>
      </c>
      <c r="Q7" s="52">
        <f>Q4-Q2*NPV!H6</f>
        <v>667.9488657472886</v>
      </c>
      <c r="R7" s="52">
        <f>R4-R2*NPV!I6</f>
        <v>738.0241386121011</v>
      </c>
      <c r="S7" s="52">
        <f>S4-S2*NPV!J6</f>
        <v>789.3254778852286</v>
      </c>
      <c r="T7" s="52">
        <f>T4-T2*NPV!K6</f>
        <v>816.2595629033373</v>
      </c>
      <c r="U7" s="52">
        <f>U4-U2*NPV!L6</f>
        <v>815.2355475204761</v>
      </c>
    </row>
    <row r="8">
      <c r="A8" s="2" t="inlineStr">
        <is>
          <t>Operating Income</t>
        </is>
      </c>
      <c r="B8" s="52">
        <f>B4-B7</f>
        <v>-1.505</v>
      </c>
      <c r="C8" s="52">
        <f>C4-C7</f>
        <v>-6.121</v>
      </c>
      <c r="D8" s="52">
        <f>D4-D7</f>
        <v>-20.445</v>
      </c>
      <c r="E8" s="52">
        <f>E4-E7</f>
        <v>-153.316</v>
      </c>
      <c r="F8" s="52">
        <f>F4-F7</f>
        <v>-219.387</v>
      </c>
      <c r="G8" s="52">
        <f>G4-G7</f>
        <v>-291.96900000000005</v>
      </c>
      <c r="H8" s="52">
        <f>H4-H7</f>
        <v>-111.42800000000001</v>
      </c>
      <c r="I8" s="52">
        <f>I4-I7</f>
        <v>-84.8</v>
      </c>
      <c r="J8" s="52">
        <f>J4-J7</f>
        <v>-76.52900000000002</v>
      </c>
      <c r="K8" s="52">
        <f>K4-K7</f>
        <v>-17.39500000000001</v>
      </c>
      <c r="L8" s="52">
        <f>L4-L7</f>
        <v>2.7916232040449813</v>
      </c>
      <c r="M8" s="52">
        <f>M4-M7</f>
        <v>10.82360736720483</v>
      </c>
      <c r="N8" s="52">
        <f>N4-N7</f>
        <v>22.92489247195192</v>
      </c>
      <c r="O8" s="52">
        <f>O4-O7</f>
        <v>39.70855988779812</v>
      </c>
      <c r="P8" s="52">
        <f>P4-P7</f>
        <v>61.38088050928684</v>
      </c>
      <c r="Q8" s="52">
        <f>Q4-Q7</f>
        <v>87.54684269419965</v>
      </c>
      <c r="R8" s="52">
        <f>R4-R7</f>
        <v>117.07108739225657</v>
      </c>
      <c r="S8" s="52">
        <f>S4-S7</f>
        <v>148.04891097688176</v>
      </c>
      <c r="T8" s="52">
        <f>T4-T7</f>
        <v>177.9301291948044</v>
      </c>
      <c r="U8" s="52">
        <f>U4-U7</f>
        <v>203.80888688011908</v>
      </c>
    </row>
    <row r="9">
      <c r="A9" s="18" t="inlineStr">
        <is>
          <t>Interest &amp; Other</t>
        </is>
      </c>
      <c r="B9" s="52" t="n">
        <v>0.263</v>
      </c>
      <c r="C9" s="52" t="n">
        <v>3.776</v>
      </c>
      <c r="D9" s="52" t="n">
        <v>-1.191</v>
      </c>
      <c r="E9" s="52" t="n">
        <v>1319.822</v>
      </c>
      <c r="F9" s="52" t="n">
        <v>147.597</v>
      </c>
      <c r="G9" s="52" t="n">
        <v>-104.562</v>
      </c>
      <c r="H9" s="52" t="n">
        <v>-23.097</v>
      </c>
      <c r="I9" s="52" t="n">
        <v>7.67</v>
      </c>
      <c r="J9" s="52" t="n">
        <v>113.093</v>
      </c>
      <c r="K9" s="52" t="n">
        <v>0.304</v>
      </c>
      <c r="L9" s="52" t="n">
        <v>0</v>
      </c>
      <c r="M9" s="52" t="n">
        <v>0</v>
      </c>
      <c r="N9" s="52" t="n">
        <v>0</v>
      </c>
      <c r="O9" s="52" t="n">
        <v>0</v>
      </c>
      <c r="P9" s="52" t="n">
        <v>0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0</v>
      </c>
    </row>
    <row r="10">
      <c r="A10" s="2" t="inlineStr">
        <is>
          <t>Pretax</t>
        </is>
      </c>
      <c r="B10" s="52">
        <f>B8+B9</f>
        <v>-1.242</v>
      </c>
      <c r="C10" s="52">
        <f>C8+C9</f>
        <v>-2.3450000000000006</v>
      </c>
      <c r="D10" s="52">
        <f>D8+D9</f>
        <v>-21.636</v>
      </c>
      <c r="E10" s="52">
        <f>E8+E9</f>
        <v>1166.5059999999999</v>
      </c>
      <c r="F10" s="52">
        <f>F8+F9</f>
        <v>-71.78999999999999</v>
      </c>
      <c r="G10" s="52">
        <f>G8+G9</f>
        <v>-396.53100000000006</v>
      </c>
      <c r="H10" s="52">
        <f>H8+H9</f>
        <v>-134.525</v>
      </c>
      <c r="I10" s="52">
        <f>I8+I9</f>
        <v>-77.13</v>
      </c>
      <c r="J10" s="52">
        <f>J8+J9</f>
        <v>36.56399999999998</v>
      </c>
      <c r="K10" s="52">
        <f>K8+K9</f>
        <v>-17.09100000000001</v>
      </c>
      <c r="L10" s="52">
        <f>L8+L9</f>
        <v>2.7916232040449813</v>
      </c>
      <c r="M10" s="52">
        <f>M8+M9</f>
        <v>10.82360736720483</v>
      </c>
      <c r="N10" s="52">
        <f>N8+N9</f>
        <v>22.92489247195192</v>
      </c>
      <c r="O10" s="52">
        <f>O8+O9</f>
        <v>39.70855988779812</v>
      </c>
      <c r="P10" s="52">
        <f>P8+P9</f>
        <v>61.38088050928684</v>
      </c>
      <c r="Q10" s="52">
        <f>Q8+Q9</f>
        <v>87.54684269419965</v>
      </c>
      <c r="R10" s="52">
        <f>R8+R9</f>
        <v>117.07108739225657</v>
      </c>
      <c r="S10" s="52">
        <f>S8+S9</f>
        <v>148.04891097688176</v>
      </c>
      <c r="T10" s="52">
        <f>T8+T9</f>
        <v>177.9301291948044</v>
      </c>
      <c r="U10" s="52">
        <f>U8+U9</f>
        <v>203.80888688011908</v>
      </c>
    </row>
    <row r="11">
      <c r="A11" s="2" t="inlineStr">
        <is>
          <t>Taxes</t>
        </is>
      </c>
      <c r="B11" s="52" t="n">
        <v>-0.401</v>
      </c>
      <c r="C11" s="52" t="n">
        <v>-0.862</v>
      </c>
      <c r="D11" s="52" t="n">
        <v>0</v>
      </c>
      <c r="E11" s="52" t="n">
        <v>0</v>
      </c>
      <c r="F11" s="52" t="n">
        <v>1.347</v>
      </c>
      <c r="G11" s="52" t="n">
        <v>-0.431</v>
      </c>
      <c r="H11" s="52" t="n">
        <v>34.175</v>
      </c>
      <c r="I11" s="52" t="n">
        <v>-3.23</v>
      </c>
      <c r="J11" s="52" t="n">
        <v>-3.436</v>
      </c>
      <c r="K11" s="52" t="n">
        <v>-14.191</v>
      </c>
      <c r="L11" s="52">
        <f>MAX(0,L10)*Assumptions!$E$14</f>
        <v>0.47457594468764686</v>
      </c>
      <c r="M11" s="52">
        <f>MAX(0,M10)*Assumptions!$E$14</f>
        <v>1.8400132524248212</v>
      </c>
      <c r="N11" s="52">
        <f>MAX(0,N10)*Assumptions!$E$14</f>
        <v>3.8972317202318267</v>
      </c>
      <c r="O11" s="52">
        <f>MAX(0,O10)*Assumptions!$E$14</f>
        <v>6.75045518092568</v>
      </c>
      <c r="P11" s="52">
        <f>MAX(0,P10)*Assumptions!$E$14</f>
        <v>10.434749686578764</v>
      </c>
      <c r="Q11" s="52">
        <f>MAX(0,Q10)*Assumptions!$E$14</f>
        <v>14.882963258013943</v>
      </c>
      <c r="R11" s="52">
        <f>MAX(0,R10)*Assumptions!$E$14</f>
        <v>19.90208485668362</v>
      </c>
      <c r="S11" s="52">
        <f>MAX(0,S10)*Assumptions!$E$14</f>
        <v>25.1683148660699</v>
      </c>
      <c r="T11" s="52">
        <f>MAX(0,T10)*Assumptions!$E$14</f>
        <v>30.248121963116752</v>
      </c>
      <c r="U11" s="52">
        <f>MAX(0,U10)*Assumptions!$E$14</f>
        <v>34.64751076962025</v>
      </c>
    </row>
    <row r="12">
      <c r="A12" s="2" t="inlineStr">
        <is>
          <t>Net Income</t>
        </is>
      </c>
      <c r="B12" s="52" t="n">
        <v>-0.84</v>
      </c>
      <c r="C12" s="52" t="n">
        <v>-1.483</v>
      </c>
      <c r="D12" s="52" t="n">
        <v>-21.636</v>
      </c>
      <c r="E12" s="52" t="n">
        <v>1166.506</v>
      </c>
      <c r="F12" s="52" t="n">
        <v>-73.137</v>
      </c>
      <c r="G12" s="52" t="n">
        <v>-396.1</v>
      </c>
      <c r="H12" s="52" t="n">
        <v>-168.7</v>
      </c>
      <c r="I12" s="52" t="n">
        <v>-73.90000000000001</v>
      </c>
      <c r="J12" s="52" t="n">
        <v>40</v>
      </c>
      <c r="K12" s="52" t="n">
        <v>-2.9</v>
      </c>
      <c r="L12" s="52">
        <f>L10-L11</f>
        <v>2.3170472593573344</v>
      </c>
      <c r="M12" s="52">
        <f>M10-M11</f>
        <v>8.983594114780008</v>
      </c>
      <c r="N12" s="52">
        <f>N10-N11</f>
        <v>19.027660751720095</v>
      </c>
      <c r="O12" s="52">
        <f>O10-O11</f>
        <v>32.95810470687243</v>
      </c>
      <c r="P12" s="52">
        <f>P10-P11</f>
        <v>50.94613082270808</v>
      </c>
      <c r="Q12" s="52">
        <f>Q10-Q11</f>
        <v>72.66387943618571</v>
      </c>
      <c r="R12" s="52">
        <f>R10-R11</f>
        <v>97.16900253557296</v>
      </c>
      <c r="S12" s="52">
        <f>S10-S11</f>
        <v>122.88059611081187</v>
      </c>
      <c r="T12" s="52">
        <f>T10-T11</f>
        <v>147.68200723168766</v>
      </c>
      <c r="U12" s="52">
        <f>U10-U11</f>
        <v>169.16137611049882</v>
      </c>
    </row>
    <row r="13">
      <c r="A13" s="2" t="inlineStr">
        <is>
          <t>Earnings per Share</t>
        </is>
      </c>
      <c r="B13" s="11">
        <f>IFERROR(B12/B14,0)</f>
        <v>-0.005367549330334321</v>
      </c>
      <c r="C13" s="11">
        <f>IFERROR(C12/C14,0)</f>
        <v>-0.004194265480318346</v>
      </c>
      <c r="D13" s="11">
        <f>IFERROR(D12/D14,0)</f>
        <v>-0.06279713703568256</v>
      </c>
      <c r="E13" s="11">
        <f>IFERROR(E12/E14,0)</f>
        <v>3.4027571963641883</v>
      </c>
      <c r="F13" s="11">
        <f>IFERROR(F12/F14,0)</f>
        <v>-0.20802555343495166</v>
      </c>
      <c r="G13" s="11">
        <f>IFERROR(G12/G14,0)</f>
        <v>-1.0694104338388353</v>
      </c>
      <c r="H13" s="11">
        <f>IFERROR(H12/H14,0)</f>
        <v>-0.4475252147431306</v>
      </c>
      <c r="I13" s="11">
        <f>IFERROR(I12/I14,0)</f>
        <v>-0.19398107437691128</v>
      </c>
      <c r="J13" s="11">
        <f>IFERROR(J12/J14,0)</f>
        <v>0.10374600902071549</v>
      </c>
      <c r="K13" s="11">
        <f>IFERROR(K12/K14,0)</f>
        <v>-0.007562540909434661</v>
      </c>
      <c r="L13" s="11">
        <f>IFERROR(L12/L14,0)</f>
        <v>0.006289268062467369</v>
      </c>
      <c r="M13" s="11">
        <f>IFERROR(M12/M14,0)</f>
        <v>0.02438458314740065</v>
      </c>
      <c r="N13" s="11">
        <f>IFERROR(N12/N14,0)</f>
        <v>0.05164765569022067</v>
      </c>
      <c r="O13" s="11">
        <f>IFERROR(O12/O14,0)</f>
        <v>0.08945970113267389</v>
      </c>
      <c r="P13" s="11">
        <f>IFERROR(P12/P14,0)</f>
        <v>0.1382854286616552</v>
      </c>
      <c r="Q13" s="11">
        <f>IFERROR(Q12/Q14,0)</f>
        <v>0.19723491369776303</v>
      </c>
      <c r="R13" s="11">
        <f>IFERROR(R12/R14,0)</f>
        <v>0.26375029764317065</v>
      </c>
      <c r="S13" s="11">
        <f>IFERROR(S12/S14,0)</f>
        <v>0.3335404599520495</v>
      </c>
      <c r="T13" s="11">
        <f>IFERROR(T12/T14,0)</f>
        <v>0.40086007211650365</v>
      </c>
      <c r="U13" s="11">
        <f>IFERROR(U12/U14,0)</f>
        <v>0.45916251206282205</v>
      </c>
    </row>
    <row r="14">
      <c r="A14" s="2" t="inlineStr">
        <is>
          <t>Shares</t>
        </is>
      </c>
      <c r="B14" s="52" t="n">
        <v>156.496</v>
      </c>
      <c r="C14" s="52" t="n">
        <v>353.578</v>
      </c>
      <c r="D14" s="52" t="n">
        <v>344.538</v>
      </c>
      <c r="E14" s="52" t="n">
        <v>342.812</v>
      </c>
      <c r="F14" s="52" t="n">
        <v>351.577</v>
      </c>
      <c r="G14" s="52" t="n">
        <v>370.391</v>
      </c>
      <c r="H14" s="52" t="n">
        <v>376.962</v>
      </c>
      <c r="I14" s="52" t="n">
        <v>380.965</v>
      </c>
      <c r="J14" s="52" t="n">
        <v>385.557</v>
      </c>
      <c r="K14" s="52" t="n">
        <v>383.469</v>
      </c>
      <c r="L14" s="52">
        <f>Main!$C$4</f>
        <v>368.412864</v>
      </c>
      <c r="M14" s="52">
        <f>Main!$C$4</f>
        <v>368.412864</v>
      </c>
      <c r="N14" s="52">
        <f>Main!$C$4</f>
        <v>368.412864</v>
      </c>
      <c r="O14" s="52">
        <f>Main!$C$4</f>
        <v>368.412864</v>
      </c>
      <c r="P14" s="52">
        <f>Main!$C$4</f>
        <v>368.412864</v>
      </c>
      <c r="Q14" s="52">
        <f>Main!$C$4</f>
        <v>368.412864</v>
      </c>
      <c r="R14" s="52">
        <f>Main!$C$4</f>
        <v>368.412864</v>
      </c>
      <c r="S14" s="52">
        <f>Main!$C$4</f>
        <v>368.412864</v>
      </c>
      <c r="T14" s="52">
        <f>Main!$C$4</f>
        <v>368.412864</v>
      </c>
      <c r="U14" s="52">
        <f>Main!$C$4</f>
        <v>368.412864</v>
      </c>
    </row>
    <row r="15"/>
    <row r="16" customFormat="1" s="4">
      <c r="A16" s="3" t="inlineStr">
        <is>
          <t>Revenue Change</t>
        </is>
      </c>
      <c r="C16" s="15">
        <f>IFERROR(C2/B2-1,"")</f>
        <v>7.048593350383632</v>
      </c>
      <c r="D16" s="15">
        <f>IFERROR(D2/C2-1,"")</f>
        <v>3.2052748649507468</v>
      </c>
      <c r="E16" s="15">
        <f>IFERROR(E2/D2-1,"")</f>
        <v>0.9373583194801269</v>
      </c>
      <c r="F16" s="15">
        <f>IFERROR(F2/E2-1,"")</f>
        <v>1.1199344748235114</v>
      </c>
      <c r="G16" s="15">
        <f>IFERROR(G2/F2-1,"")</f>
        <v>0.46472135852666807</v>
      </c>
      <c r="H16" s="15">
        <f>IFERROR(H2/G2-1,"")</f>
        <v>0.3729211676631665</v>
      </c>
      <c r="I16" s="15">
        <f>IFERROR(I2/H2-1,"")</f>
        <v>0.10035589793323019</v>
      </c>
      <c r="J16" s="15">
        <f>IFERROR(J2/I2-1,"")</f>
        <v>0.3454810010809013</v>
      </c>
      <c r="K16" s="15">
        <f>IFERROR(K2/J2-1,"")</f>
        <v>0.1949190772520255</v>
      </c>
      <c r="L16" s="15">
        <f>IFERROR(L2/K2-1,"")</f>
        <v>0.3454999999999999</v>
      </c>
      <c r="M16" s="15">
        <f>IFERROR(M2/L2-1,"")</f>
        <v>0.3098888888888889</v>
      </c>
      <c r="N16" s="15">
        <f>IFERROR(N2/M2-1,"")</f>
        <v>0.27427777777777784</v>
      </c>
      <c r="O16" s="15">
        <f>IFERROR(O2/N2-1,"")</f>
        <v>0.23866666666666658</v>
      </c>
      <c r="P16" s="15">
        <f>IFERROR(P2/O2-1,"")</f>
        <v>0.20305555555555554</v>
      </c>
      <c r="Q16" s="15">
        <f>IFERROR(Q2/P2-1,"")</f>
        <v>0.1674444444444445</v>
      </c>
      <c r="R16" s="15">
        <f>IFERROR(R2/Q2-1,"")</f>
        <v>0.13183333333333325</v>
      </c>
      <c r="S16" s="15">
        <f>IFERROR(S2/R2-1,"")</f>
        <v>0.09622222222222221</v>
      </c>
      <c r="T16" s="15">
        <f>IFERROR(T2/S2-1,"")</f>
        <v>0.06061111111111117</v>
      </c>
      <c r="U16" s="15">
        <f>IFERROR(U2/T2-1,"")</f>
        <v>0.02499999999999991</v>
      </c>
    </row>
    <row r="17" customFormat="1" s="4">
      <c r="A17" s="3" t="inlineStr">
        <is>
          <t>Gross Margin</t>
        </is>
      </c>
      <c r="B17" s="15">
        <f>IFERROR(B4/B2,"")</f>
        <v>1.0</v>
      </c>
      <c r="C17" s="15">
        <f>IFERROR(C4/C2,"")</f>
        <v>1.0</v>
      </c>
      <c r="D17" s="15">
        <f>IFERROR(D4/D2,"")</f>
        <v>1.0</v>
      </c>
      <c r="E17" s="15">
        <f>IFERROR(E4/E2,"")</f>
        <v>1.0</v>
      </c>
      <c r="F17" s="15">
        <f>IFERROR(F4/F2,"")</f>
        <v>1.0</v>
      </c>
      <c r="G17" s="15">
        <f>IFERROR(G4/G2,"")</f>
        <v>1.0</v>
      </c>
      <c r="H17" s="15">
        <f>IFERROR(H4/H2,"")</f>
        <v>1.0</v>
      </c>
      <c r="I17" s="15">
        <f>IFERROR(I4/I2,"")</f>
        <v>1.0</v>
      </c>
      <c r="J17" s="15">
        <f>IFERROR(J4/J2,"")</f>
        <v>1.0</v>
      </c>
      <c r="K17" s="15">
        <f>IFERROR(K4/K2,"")</f>
        <v>1.0</v>
      </c>
      <c r="L17" s="15">
        <f>IFERROR(L4/L2,"")</f>
        <v>1.0</v>
      </c>
      <c r="M17" s="15">
        <f>IFERROR(M4/M2,"")</f>
        <v>1.0</v>
      </c>
      <c r="N17" s="15">
        <f>IFERROR(N4/N2,"")</f>
        <v>1.0</v>
      </c>
      <c r="O17" s="15">
        <f>IFERROR(O4/O2,"")</f>
        <v>1.0</v>
      </c>
      <c r="P17" s="15">
        <f>IFERROR(P4/P2,"")</f>
        <v>1.0</v>
      </c>
      <c r="Q17" s="15">
        <f>IFERROR(Q4/Q2,"")</f>
        <v>1.0</v>
      </c>
      <c r="R17" s="15">
        <f>IFERROR(R4/R2,"")</f>
        <v>1.0</v>
      </c>
      <c r="S17" s="15">
        <f>IFERROR(S4/S2,"")</f>
        <v>1.0</v>
      </c>
      <c r="T17" s="15">
        <f>IFERROR(T4/T2,"")</f>
        <v>1.0</v>
      </c>
      <c r="U17" s="15">
        <f>IFERROR(U4/U2,"")</f>
        <v>1.0</v>
      </c>
    </row>
    <row r="18">
      <c r="A18" s="14" t="inlineStr">
        <is>
          <t>Operating Margin</t>
        </is>
      </c>
      <c r="B18" s="15">
        <f>IFERROR(B8/B2,"")</f>
        <v>-3.849104859335038</v>
      </c>
      <c r="C18" s="15">
        <f>IFERROR(C8/C2,"")</f>
        <v>-1.9450270098506517</v>
      </c>
      <c r="D18" s="15">
        <f>IFERROR(D8/D2,"")</f>
        <v>-1.5448843886957837</v>
      </c>
      <c r="E18" s="15">
        <f>IFERROR(E8/E2,"")</f>
        <v>-5.97979640391591</v>
      </c>
      <c r="F18" s="15">
        <f>IFERROR(F8/F2,"")</f>
        <v>-4.03633654076132</v>
      </c>
      <c r="G18" s="15">
        <f>IFERROR(G8/G2,"")</f>
        <v>-3.667399387027082</v>
      </c>
      <c r="H18" s="15">
        <f>IFERROR(H8/H2,"")</f>
        <v>-1.0194600232385798</v>
      </c>
      <c r="I18" s="15">
        <f>IFERROR(I8/I2,"")</f>
        <v>-0.7050802361353621</v>
      </c>
      <c r="J18" s="15">
        <f>IFERROR(J8/J2,"")</f>
        <v>-0.47292378615878056</v>
      </c>
      <c r="K18" s="15">
        <f>IFERROR(K8/K2,"")</f>
        <v>-0.08996033367293645</v>
      </c>
      <c r="L18" s="15">
        <f>IFERROR(L8/L2,"")</f>
        <v>0.010729999999999929</v>
      </c>
      <c r="M18" s="15">
        <f>IFERROR(M8/M2,"")</f>
        <v>0.03175999999999997</v>
      </c>
      <c r="N18" s="15">
        <f>IFERROR(N8/N2,"")</f>
        <v>0.052790000000000004</v>
      </c>
      <c r="O18" s="15">
        <f>IFERROR(O8/O2,"")</f>
        <v>0.07382000000000001</v>
      </c>
      <c r="P18" s="15">
        <f>IFERROR(P8/P2,"")</f>
        <v>0.09485000000000006</v>
      </c>
      <c r="Q18" s="15">
        <f>IFERROR(Q8/Q2,"")</f>
        <v>0.11588</v>
      </c>
      <c r="R18" s="15">
        <f>IFERROR(R8/R2,"")</f>
        <v>0.13690999999999995</v>
      </c>
      <c r="S18" s="15">
        <f>IFERROR(S8/S2,"")</f>
        <v>0.15794000000000005</v>
      </c>
      <c r="T18" s="15">
        <f>IFERROR(T8/T2,"")</f>
        <v>0.17897</v>
      </c>
      <c r="U18" s="15">
        <f>IFERROR(U8/U2,"")</f>
        <v>0.20000000000000004</v>
      </c>
    </row>
    <row r="19">
      <c r="A19" s="14" t="inlineStr">
        <is>
          <t>Actual / Estimate</t>
        </is>
      </c>
      <c r="B19" s="19" t="inlineStr">
        <is>
          <t>A</t>
        </is>
      </c>
      <c r="C19" s="19" t="inlineStr">
        <is>
          <t>A</t>
        </is>
      </c>
      <c r="D19" s="19" t="inlineStr">
        <is>
          <t>A</t>
        </is>
      </c>
      <c r="E19" s="19" t="inlineStr">
        <is>
          <t>A</t>
        </is>
      </c>
      <c r="F19" s="19" t="inlineStr">
        <is>
          <t>A</t>
        </is>
      </c>
      <c r="G19" s="19" t="inlineStr">
        <is>
          <t>A</t>
        </is>
      </c>
      <c r="H19" s="19" t="inlineStr">
        <is>
          <t>A</t>
        </is>
      </c>
      <c r="I19" s="19" t="inlineStr">
        <is>
          <t>A</t>
        </is>
      </c>
      <c r="J19" s="19" t="inlineStr">
        <is>
          <t>A</t>
        </is>
      </c>
      <c r="K19" s="19" t="inlineStr">
        <is>
          <t>A</t>
        </is>
      </c>
      <c r="L19" s="19" t="inlineStr">
        <is>
          <t>E</t>
        </is>
      </c>
      <c r="M19" s="19" t="inlineStr">
        <is>
          <t>E</t>
        </is>
      </c>
      <c r="N19" s="19" t="inlineStr">
        <is>
          <t>E</t>
        </is>
      </c>
      <c r="O19" s="19" t="inlineStr">
        <is>
          <t>E</t>
        </is>
      </c>
      <c r="P19" s="19" t="inlineStr">
        <is>
          <t>E</t>
        </is>
      </c>
      <c r="Q19" s="19" t="inlineStr">
        <is>
          <t>E</t>
        </is>
      </c>
      <c r="R19" s="19" t="inlineStr">
        <is>
          <t>E</t>
        </is>
      </c>
      <c r="S19" s="19" t="inlineStr">
        <is>
          <t>E</t>
        </is>
      </c>
      <c r="T19" s="19" t="inlineStr">
        <is>
          <t>E</t>
        </is>
      </c>
      <c r="U19" s="19" t="inlineStr">
        <is>
          <t>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44" customWidth="1" style="9" min="1" max="1"/>
    <col width="14" customWidth="1" style="9" min="2" max="2"/>
    <col width="14" customWidth="1" style="9" min="3" max="3"/>
    <col width="14" customWidth="1" style="9" min="4" max="4"/>
    <col width="14" customWidth="1" style="9" min="5" max="5"/>
    <col width="14" customWidth="1" style="9" min="6" max="6"/>
  </cols>
  <sheetData>
    <row r="1">
      <c r="A1" s="20" t="inlineStr">
        <is>
          <t>Cronos Group Inc.: basic DCF assumptions</t>
        </is>
      </c>
    </row>
    <row r="2">
      <c r="A2" s="21" t="inlineStr">
        <is>
          <t>Blue = input, black = formula, green = link. $mm unless noted.</t>
        </is>
      </c>
    </row>
    <row r="4">
      <c r="A4" s="20" t="inlineStr">
        <is>
          <t>Scenario (1 Bear, 2 Base, 3 Bull)</t>
        </is>
      </c>
      <c r="B4" s="22" t="n">
        <v>2</v>
      </c>
      <c r="C4" s="20" t="str">
        <f>CHOOSE($B$4,"Bear","Base","Bull")</f>
        <v>Base</v>
      </c>
    </row>
    <row r="6">
      <c r="A6" s="14" t="inlineStr">
        <is>
          <t>Discount rate override (blank = scenario)</t>
        </is>
      </c>
      <c r="B6" s="53" t="n"/>
    </row>
    <row r="7">
      <c r="A7" s="14" t="inlineStr">
        <is>
          <t>Terminal growth override (blank = scenario)</t>
        </is>
      </c>
      <c r="B7" s="53" t="n"/>
    </row>
    <row r="9">
      <c r="A9" s="24" t="inlineStr">
        <is>
          <t>Parameter</t>
        </is>
      </c>
      <c r="B9" s="25" t="inlineStr">
        <is>
          <t>Bear</t>
        </is>
      </c>
      <c r="C9" s="25" t="inlineStr">
        <is>
          <t>Base</t>
        </is>
      </c>
      <c r="D9" s="25" t="inlineStr">
        <is>
          <t>Bull</t>
        </is>
      </c>
      <c r="E9" s="25" t="inlineStr">
        <is>
          <t>Live</t>
        </is>
      </c>
    </row>
    <row r="10">
      <c r="A10" s="14" t="inlineStr">
        <is>
          <t>Discount rate</t>
        </is>
      </c>
      <c r="B10" s="53" t="n">
        <v>0.12</v>
      </c>
      <c r="C10" s="53" t="n">
        <v>0.11</v>
      </c>
      <c r="D10" s="53" t="n">
        <v>0.1</v>
      </c>
      <c r="E10" s="54">
        <f>IF(ISNUMBER($B$6),$B$6,CHOOSE($B$4,B10,C10,D10))</f>
        <v>0.11</v>
      </c>
    </row>
    <row r="11">
      <c r="A11" s="14" t="inlineStr">
        <is>
          <t>Terminal growth</t>
        </is>
      </c>
      <c r="B11" s="53" t="n">
        <v>0.02</v>
      </c>
      <c r="C11" s="53" t="n">
        <v>0.025</v>
      </c>
      <c r="D11" s="53" t="n">
        <v>0.03</v>
      </c>
      <c r="E11" s="54">
        <f>IF(ISNUMBER($B$7),$B$7,CHOOSE($B$4,B11,C11,D11))</f>
        <v>0.025</v>
      </c>
    </row>
    <row r="12">
      <c r="A12" s="14" t="inlineStr">
        <is>
          <t>Revenue growth, first forecast year</t>
        </is>
      </c>
      <c r="B12" s="53" t="n">
        <v>0.2955</v>
      </c>
      <c r="C12" s="53" t="n">
        <v>0.3455</v>
      </c>
      <c r="D12" s="53" t="n">
        <v>0.3955</v>
      </c>
      <c r="E12" s="54">
        <f>CHOOSE($B$4,B12,C12,D12)</f>
        <v>0.3455</v>
      </c>
    </row>
    <row r="13">
      <c r="A13" s="14" t="inlineStr">
        <is>
          <t>Operating margin, year 10</t>
        </is>
      </c>
      <c r="B13" s="53" t="n">
        <v>0.15</v>
      </c>
      <c r="C13" s="53" t="n">
        <v>0.2</v>
      </c>
      <c r="D13" s="53" t="n">
        <v>0.25</v>
      </c>
      <c r="E13" s="54">
        <f>CHOOSE($B$4,B13,C13,D13)</f>
        <v>0.2</v>
      </c>
    </row>
    <row r="14">
      <c r="A14" s="14" t="inlineStr">
        <is>
          <t>Tax rate on operating income</t>
        </is>
      </c>
      <c r="B14" s="53" t="n">
        <v>0.17</v>
      </c>
      <c r="C14" s="53" t="n">
        <v>0.17</v>
      </c>
      <c r="D14" s="53" t="n">
        <v>0.17</v>
      </c>
      <c r="E14" s="54">
        <f>CHOOSE($B$4,B14,C14,D14)</f>
        <v>0.17</v>
      </c>
    </row>
    <row r="15">
      <c r="A15" s="14" t="inlineStr">
        <is>
          <t>Reinvestment, % of revenue increase</t>
        </is>
      </c>
      <c r="B15" s="53" t="n">
        <v>0.25</v>
      </c>
      <c r="C15" s="53" t="n">
        <v>0.25</v>
      </c>
      <c r="D15" s="53" t="n">
        <v>0.25</v>
      </c>
      <c r="E15" s="54">
        <f>CHOOSE($B$4,B15,C15,D15)</f>
        <v>0.25</v>
      </c>
    </row>
    <row r="17">
      <c r="A17" s="27" t="inlineStr">
        <is>
          <t>Single inputs</t>
        </is>
      </c>
      <c r="B17" s="28" t="n"/>
      <c r="C17" s="28" t="n"/>
      <c r="D17" s="28" t="n"/>
      <c r="E17" s="28" t="n"/>
    </row>
    <row r="18">
      <c r="A18" s="14" t="inlineStr">
        <is>
          <t>Starting operating margin (TTM)</t>
        </is>
      </c>
      <c r="B18" s="53" t="n">
        <v>-0.0103</v>
      </c>
    </row>
    <row r="19">
      <c r="A19" s="14" t="inlineStr">
        <is>
          <t>Gross margin (forecast)</t>
        </is>
      </c>
      <c r="B19" s="53" t="n">
        <v>1</v>
      </c>
    </row>
    <row r="20">
      <c r="A20" s="14" t="inlineStr">
        <is>
          <t>R&amp;D share of operating expense (forecast)</t>
        </is>
      </c>
      <c r="B20" s="53" t="n">
        <v>0.0211</v>
      </c>
    </row>
    <row r="21">
      <c r="A21" s="14" t="inlineStr">
        <is>
          <t>Forecast years</t>
        </is>
      </c>
      <c r="B21" s="29" t="n">
        <v>10</v>
      </c>
    </row>
    <row r="22">
      <c r="A22" s="14" t="inlineStr">
        <is>
          <t>First forecast year, fraction after balance sheet date</t>
        </is>
      </c>
      <c r="B22" s="30" t="n">
        <v>0.5041</v>
      </c>
    </row>
    <row r="23">
      <c r="A23" s="14" t="inlineStr">
        <is>
          <t>Balance sheet date</t>
        </is>
      </c>
      <c r="B23" s="31" t="n">
        <v>46203</v>
      </c>
    </row>
    <row r="24">
      <c r="A24" s="14" t="inlineStr">
        <is>
          <t>Reporting currency per USD (USD)</t>
        </is>
      </c>
      <c r="B24" s="32" t="n">
        <v>1</v>
      </c>
    </row>
    <row r="25">
      <c r="A25" s="14" t="inlineStr">
        <is>
          <t>Base revenue, FY2025</t>
        </is>
      </c>
      <c r="B25" s="55">
        <f>'Yearly Model'!K2</f>
        <v>193.363</v>
      </c>
    </row>
    <row r="27">
      <c r="A27" s="27" t="inlineStr">
        <is>
          <t>Scenario summary</t>
        </is>
      </c>
      <c r="B27" s="28" t="n"/>
      <c r="C27" s="28" t="n"/>
      <c r="D27" s="28" t="n"/>
      <c r="E27" s="28" t="n"/>
    </row>
    <row r="28">
      <c r="A28" s="24" t="inlineStr">
        <is>
          <t>Scenario</t>
        </is>
      </c>
      <c r="B28" s="25" t="inlineStr">
        <is>
          <t>Enterprise value</t>
        </is>
      </c>
      <c r="C28" s="25" t="inlineStr">
        <is>
          <t>Equity value</t>
        </is>
      </c>
      <c r="D28" s="25" t="inlineStr">
        <is>
          <t>NPV / share</t>
        </is>
      </c>
      <c r="E28" s="25" t="inlineStr">
        <is>
          <t>Upside</t>
        </is>
      </c>
    </row>
    <row r="29">
      <c r="A29" s="21" t="inlineStr">
        <is>
          <t>Live</t>
        </is>
      </c>
      <c r="B29" s="56">
        <f>NPV!B23</f>
        <v>965.3367878066738</v>
      </c>
      <c r="C29" s="56">
        <f>NPV!B26</f>
        <v>1762.3557878066738</v>
      </c>
      <c r="D29" s="35">
        <f>NPV!B28</f>
        <v>4.783643460958719</v>
      </c>
      <c r="E29" s="57">
        <f>NPV!B30</f>
        <v>0.4584278844386338</v>
      </c>
    </row>
    <row r="30">
      <c r="A30" s="58" t="n">
        <v>1</v>
      </c>
      <c r="B30" s="59">
        <f t="dataTable" ref="B30:E32" r1="B4"/>
        <v>454.2481654106563</v>
      </c>
      <c r="C30" s="59">
        <v>1251.2671654106564</v>
      </c>
      <c r="D30" s="39">
        <v>3.396372080565179</v>
      </c>
      <c r="E30" s="60">
        <v>0.03547929285523743</v>
      </c>
    </row>
    <row r="31">
      <c r="A31" s="58" t="n">
        <v>2</v>
      </c>
      <c r="B31" s="59">
        <v>965.3367878066738</v>
      </c>
      <c r="C31" s="59">
        <v>1762.3557878066738</v>
      </c>
      <c r="D31" s="39">
        <v>4.783643460958719</v>
      </c>
      <c r="E31" s="60">
        <v>0.4584278844386338</v>
      </c>
    </row>
    <row r="32">
      <c r="A32" s="58" t="n">
        <v>3</v>
      </c>
      <c r="B32" s="59">
        <v>1927.8807769974317</v>
      </c>
      <c r="C32" s="59">
        <v>2724.8997769974317</v>
      </c>
      <c r="D32" s="39">
        <v>7.396320930306689</v>
      </c>
      <c r="E32" s="60">
        <v>1.2549758933861859</v>
      </c>
    </row>
    <row r="35">
      <c r="A35" s="27" t="inlineStr">
        <is>
          <t>NPV / share: discount rate (rows) x terminal growth (columns)</t>
        </is>
      </c>
      <c r="B35" s="28" t="n"/>
      <c r="C35" s="28" t="n"/>
      <c r="D35" s="28" t="n"/>
      <c r="E35" s="28" t="n"/>
      <c r="F35" s="28" t="n"/>
    </row>
    <row r="36">
      <c r="A36" s="35">
        <f>NPV!B28</f>
        <v>4.783643460958719</v>
      </c>
      <c r="B36" s="61" t="n">
        <v>0.015</v>
      </c>
      <c r="C36" s="61" t="n">
        <v>0.02</v>
      </c>
      <c r="D36" s="61" t="n">
        <v>0.025</v>
      </c>
      <c r="E36" s="61" t="n">
        <v>0.03</v>
      </c>
      <c r="F36" s="61" t="n">
        <v>0.035</v>
      </c>
    </row>
    <row r="37">
      <c r="A37" s="62" t="n">
        <v>0.09</v>
      </c>
      <c r="B37" s="39">
        <f t="dataTable" ref="B37:F41" dt2D="1" r1="B7" r2="B6"/>
        <v>5.451538620654353</v>
      </c>
      <c r="C37" s="39">
        <v>5.694902329238271</v>
      </c>
      <c r="D37" s="39">
        <v>5.975915609087184</v>
      </c>
      <c r="E37" s="39">
        <v>6.303993808782317</v>
      </c>
      <c r="F37" s="39">
        <v>6.691976081464764</v>
      </c>
    </row>
    <row r="38">
      <c r="A38" s="62" t="n">
        <v>0.1</v>
      </c>
      <c r="B38" s="39">
        <v>4.913602725995756</v>
      </c>
      <c r="C38" s="39">
        <v>5.092173452256272</v>
      </c>
      <c r="D38" s="39">
        <v>5.294722310191163</v>
      </c>
      <c r="E38" s="39">
        <v>5.526389817091642</v>
      </c>
      <c r="F38" s="39">
        <v>5.793898220494627</v>
      </c>
    </row>
    <row r="39">
      <c r="A39" s="62" t="n">
        <v>0.11</v>
      </c>
      <c r="B39" s="39">
        <v>4.497587100566264</v>
      </c>
      <c r="C39" s="39">
        <v>4.632603674163028</v>
      </c>
      <c r="D39" s="39">
        <v>4.783643460958719</v>
      </c>
      <c r="E39" s="39">
        <v>4.953712717324311</v>
      </c>
      <c r="F39" s="39">
        <v>5.146619394318007</v>
      </c>
    </row>
    <row r="40">
      <c r="A40" s="62" t="n">
        <v>0.12</v>
      </c>
      <c r="B40" s="39">
        <v>4.168022294260703</v>
      </c>
      <c r="C40" s="39">
        <v>4.272571968760756</v>
      </c>
      <c r="D40" s="39">
        <v>4.3882430832417</v>
      </c>
      <c r="E40" s="39">
        <v>4.516890782735767</v>
      </c>
      <c r="F40" s="39">
        <v>4.660806738634443</v>
      </c>
    </row>
    <row r="41">
      <c r="A41" s="62" t="n">
        <v>0.13</v>
      </c>
      <c r="B41" s="39">
        <v>3.901831067339104</v>
      </c>
      <c r="C41" s="39">
        <v>3.9843776833409317</v>
      </c>
      <c r="D41" s="39">
        <v>4.074884380696229</v>
      </c>
      <c r="E41" s="39">
        <v>4.1745464871228695</v>
      </c>
      <c r="F41" s="39">
        <v>4.28481099634644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38" customWidth="1" style="9" min="1" max="1"/>
    <col width="13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</cols>
  <sheetData>
    <row r="1">
      <c r="A1" s="20" t="inlineStr">
        <is>
          <t>Cronos Group Inc.: free-cash-flow DCF ($mm)</t>
        </is>
      </c>
    </row>
    <row r="3">
      <c r="A3" s="20" t="inlineStr">
        <is>
          <t>Fiscal year</t>
        </is>
      </c>
      <c r="B3" s="43">
        <f>'Yearly Model'!K1</f>
        <v>2025</v>
      </c>
      <c r="C3" s="43">
        <f>'Yearly Model'!L1</f>
        <v>2026</v>
      </c>
      <c r="D3" s="43">
        <f>'Yearly Model'!M1</f>
        <v>2027</v>
      </c>
      <c r="E3" s="43">
        <f>'Yearly Model'!N1</f>
        <v>2028</v>
      </c>
      <c r="F3" s="43">
        <f>'Yearly Model'!O1</f>
        <v>2029</v>
      </c>
      <c r="G3" s="43">
        <f>'Yearly Model'!P1</f>
        <v>2030</v>
      </c>
      <c r="H3" s="43">
        <f>'Yearly Model'!Q1</f>
        <v>2031</v>
      </c>
      <c r="I3" s="43">
        <f>'Yearly Model'!R1</f>
        <v>2032</v>
      </c>
      <c r="J3" s="43">
        <f>'Yearly Model'!S1</f>
        <v>2033</v>
      </c>
      <c r="K3" s="43">
        <f>'Yearly Model'!T1</f>
        <v>2034</v>
      </c>
      <c r="L3" s="43">
        <f>'Yearly Model'!U1</f>
        <v>2035</v>
      </c>
    </row>
    <row r="4">
      <c r="A4" s="14" t="inlineStr">
        <is>
          <t>Period</t>
        </is>
      </c>
      <c r="B4" s="19" t="inlineStr">
        <is>
          <t>Actual</t>
        </is>
      </c>
      <c r="C4" s="29" t="n">
        <v>1</v>
      </c>
      <c r="D4" s="29" t="n">
        <v>2</v>
      </c>
      <c r="E4" s="29" t="n">
        <v>3</v>
      </c>
      <c r="F4" s="29" t="n">
        <v>4</v>
      </c>
      <c r="G4" s="29" t="n">
        <v>5</v>
      </c>
      <c r="H4" s="29" t="n">
        <v>6</v>
      </c>
      <c r="I4" s="29" t="n">
        <v>7</v>
      </c>
      <c r="J4" s="29" t="n">
        <v>8</v>
      </c>
      <c r="K4" s="29" t="n">
        <v>9</v>
      </c>
      <c r="L4" s="29" t="n">
        <v>10</v>
      </c>
    </row>
    <row r="5">
      <c r="A5" s="14" t="inlineStr">
        <is>
          <t>Revenue growth</t>
        </is>
      </c>
      <c r="C5" s="63">
        <f>Assumptions!$E$12+(Assumptions!$E$11-Assumptions!$E$12)*(C4-1)/(Assumptions!$B$21-1)</f>
        <v>0.3455</v>
      </c>
      <c r="D5" s="63">
        <f>Assumptions!$E$12+(Assumptions!$E$11-Assumptions!$E$12)*(D4-1)/(Assumptions!$B$21-1)</f>
        <v>0.3098888888888889</v>
      </c>
      <c r="E5" s="63">
        <f>Assumptions!$E$12+(Assumptions!$E$11-Assumptions!$E$12)*(E4-1)/(Assumptions!$B$21-1)</f>
        <v>0.27427777777777773</v>
      </c>
      <c r="F5" s="63">
        <f>Assumptions!$E$12+(Assumptions!$E$11-Assumptions!$E$12)*(F4-1)/(Assumptions!$B$21-1)</f>
        <v>0.23866666666666667</v>
      </c>
      <c r="G5" s="63">
        <f>Assumptions!$E$12+(Assumptions!$E$11-Assumptions!$E$12)*(G4-1)/(Assumptions!$B$21-1)</f>
        <v>0.20305555555555554</v>
      </c>
      <c r="H5" s="63">
        <f>Assumptions!$E$12+(Assumptions!$E$11-Assumptions!$E$12)*(H4-1)/(Assumptions!$B$21-1)</f>
        <v>0.16744444444444445</v>
      </c>
      <c r="I5" s="63">
        <f>Assumptions!$E$12+(Assumptions!$E$11-Assumptions!$E$12)*(I4-1)/(Assumptions!$B$21-1)</f>
        <v>0.13183333333333336</v>
      </c>
      <c r="J5" s="63">
        <f>Assumptions!$E$12+(Assumptions!$E$11-Assumptions!$E$12)*(J4-1)/(Assumptions!$B$21-1)</f>
        <v>0.09622222222222224</v>
      </c>
      <c r="K5" s="63">
        <f>Assumptions!$E$12+(Assumptions!$E$11-Assumptions!$E$12)*(K4-1)/(Assumptions!$B$21-1)</f>
        <v>0.060611111111111116</v>
      </c>
      <c r="L5" s="63">
        <f>Assumptions!$E$12+(Assumptions!$E$11-Assumptions!$E$12)*(L4-1)/(Assumptions!$B$21-1)</f>
        <v>0.025000000000000022</v>
      </c>
    </row>
    <row r="6">
      <c r="A6" s="14" t="inlineStr">
        <is>
          <t>Operating margin</t>
        </is>
      </c>
      <c r="B6" s="63">
        <f>IFERROR(B8/B7,0)</f>
        <v>-0.08996033367293645</v>
      </c>
      <c r="C6" s="63">
        <f>Assumptions!$B$18+(Assumptions!$E$13-Assumptions!$B$18)*C4/Assumptions!$B$21</f>
        <v>0.01073</v>
      </c>
      <c r="D6" s="63">
        <f>Assumptions!$B$18+(Assumptions!$E$13-Assumptions!$B$18)*D4/Assumptions!$B$21</f>
        <v>0.03176</v>
      </c>
      <c r="E6" s="63">
        <f>Assumptions!$B$18+(Assumptions!$E$13-Assumptions!$B$18)*E4/Assumptions!$B$21</f>
        <v>0.052790000000000004</v>
      </c>
      <c r="F6" s="63">
        <f>Assumptions!$B$18+(Assumptions!$E$13-Assumptions!$B$18)*F4/Assumptions!$B$21</f>
        <v>0.07382</v>
      </c>
      <c r="G6" s="63">
        <f>Assumptions!$B$18+(Assumptions!$E$13-Assumptions!$B$18)*G4/Assumptions!$B$21</f>
        <v>0.09485</v>
      </c>
      <c r="H6" s="63">
        <f>Assumptions!$B$18+(Assumptions!$E$13-Assumptions!$B$18)*H4/Assumptions!$B$21</f>
        <v>0.11588000000000001</v>
      </c>
      <c r="I6" s="63">
        <f>Assumptions!$B$18+(Assumptions!$E$13-Assumptions!$B$18)*I4/Assumptions!$B$21</f>
        <v>0.13691</v>
      </c>
      <c r="J6" s="63">
        <f>Assumptions!$B$18+(Assumptions!$E$13-Assumptions!$B$18)*J4/Assumptions!$B$21</f>
        <v>0.15794</v>
      </c>
      <c r="K6" s="63">
        <f>Assumptions!$B$18+(Assumptions!$E$13-Assumptions!$B$18)*K4/Assumptions!$B$21</f>
        <v>0.17897</v>
      </c>
      <c r="L6" s="63">
        <f>Assumptions!$B$18+(Assumptions!$E$13-Assumptions!$B$18)*L4/Assumptions!$B$21</f>
        <v>0.2</v>
      </c>
    </row>
    <row r="7">
      <c r="A7" s="14" t="inlineStr">
        <is>
          <t>Revenue</t>
        </is>
      </c>
      <c r="B7" s="55">
        <f>'Yearly Model'!K2</f>
        <v>193.363</v>
      </c>
      <c r="C7" s="55">
        <f>'Yearly Model'!L2</f>
        <v>260.1699165</v>
      </c>
      <c r="D7" s="55">
        <f>'Yearly Model'!M2</f>
        <v>340.7936828465</v>
      </c>
      <c r="E7" s="55">
        <f>'Yearly Model'!N2</f>
        <v>434.2658168583429</v>
      </c>
      <c r="F7" s="55">
        <f>'Yearly Model'!O2</f>
        <v>537.9105918152006</v>
      </c>
      <c r="G7" s="55">
        <f>'Yearly Model'!P2</f>
        <v>647.1363258754538</v>
      </c>
      <c r="H7" s="55">
        <f>'Yearly Model'!Q2</f>
        <v>755.4957084414882</v>
      </c>
      <c r="I7" s="55">
        <f>'Yearly Model'!R2</f>
        <v>855.0952260043576</v>
      </c>
      <c r="J7" s="55">
        <f>'Yearly Model'!S2</f>
        <v>937.3743888621103</v>
      </c>
      <c r="K7" s="55">
        <f>'Yearly Model'!T2</f>
        <v>994.1896920981417</v>
      </c>
      <c r="L7" s="55">
        <f>'Yearly Model'!U2</f>
        <v>1019.0444344005952</v>
      </c>
    </row>
    <row r="8">
      <c r="A8" s="14" t="inlineStr">
        <is>
          <t>Operating income</t>
        </is>
      </c>
      <c r="B8" s="55">
        <f>'Yearly Model'!K8</f>
        <v>-17.39500000000001</v>
      </c>
      <c r="C8" s="55">
        <f>'Yearly Model'!L8</f>
        <v>2.7916232040449813</v>
      </c>
      <c r="D8" s="55">
        <f>'Yearly Model'!M8</f>
        <v>10.82360736720483</v>
      </c>
      <c r="E8" s="55">
        <f>'Yearly Model'!N8</f>
        <v>22.92489247195192</v>
      </c>
      <c r="F8" s="55">
        <f>'Yearly Model'!O8</f>
        <v>39.70855988779812</v>
      </c>
      <c r="G8" s="55">
        <f>'Yearly Model'!P8</f>
        <v>61.38088050928684</v>
      </c>
      <c r="H8" s="55">
        <f>'Yearly Model'!Q8</f>
        <v>87.54684269419965</v>
      </c>
      <c r="I8" s="55">
        <f>'Yearly Model'!R8</f>
        <v>117.07108739225657</v>
      </c>
      <c r="J8" s="55">
        <f>'Yearly Model'!S8</f>
        <v>148.04891097688176</v>
      </c>
      <c r="K8" s="55">
        <f>'Yearly Model'!T8</f>
        <v>177.9301291948044</v>
      </c>
      <c r="L8" s="55">
        <f>'Yearly Model'!U8</f>
        <v>203.80888688011908</v>
      </c>
    </row>
    <row r="9">
      <c r="A9" s="14" t="inlineStr">
        <is>
          <t>Tax on operating income</t>
        </is>
      </c>
      <c r="C9" s="52">
        <f>MAX(0,C8)*Assumptions!$E$14</f>
        <v>0.47457594468764686</v>
      </c>
      <c r="D9" s="52">
        <f>MAX(0,D8)*Assumptions!$E$14</f>
        <v>1.8400132524248212</v>
      </c>
      <c r="E9" s="52">
        <f>MAX(0,E8)*Assumptions!$E$14</f>
        <v>3.8972317202318267</v>
      </c>
      <c r="F9" s="52">
        <f>MAX(0,F8)*Assumptions!$E$14</f>
        <v>6.75045518092568</v>
      </c>
      <c r="G9" s="52">
        <f>MAX(0,G8)*Assumptions!$E$14</f>
        <v>10.434749686578764</v>
      </c>
      <c r="H9" s="52">
        <f>MAX(0,H8)*Assumptions!$E$14</f>
        <v>14.882963258013943</v>
      </c>
      <c r="I9" s="52">
        <f>MAX(0,I8)*Assumptions!$E$14</f>
        <v>19.90208485668362</v>
      </c>
      <c r="J9" s="52">
        <f>MAX(0,J8)*Assumptions!$E$14</f>
        <v>25.1683148660699</v>
      </c>
      <c r="K9" s="52">
        <f>MAX(0,K8)*Assumptions!$E$14</f>
        <v>30.248121963116752</v>
      </c>
      <c r="L9" s="52">
        <f>MAX(0,L8)*Assumptions!$E$14</f>
        <v>34.64751076962025</v>
      </c>
    </row>
    <row r="10">
      <c r="A10" s="14" t="inlineStr">
        <is>
          <t>NOPAT</t>
        </is>
      </c>
      <c r="C10" s="52">
        <f>C8-C9</f>
        <v>2.3170472593573344</v>
      </c>
      <c r="D10" s="52">
        <f>D8-D9</f>
        <v>8.983594114780008</v>
      </c>
      <c r="E10" s="52">
        <f>E8-E9</f>
        <v>19.027660751720095</v>
      </c>
      <c r="F10" s="52">
        <f>F8-F9</f>
        <v>32.95810470687243</v>
      </c>
      <c r="G10" s="52">
        <f>G8-G9</f>
        <v>50.94613082270808</v>
      </c>
      <c r="H10" s="52">
        <f>H8-H9</f>
        <v>72.66387943618571</v>
      </c>
      <c r="I10" s="52">
        <f>I8-I9</f>
        <v>97.16900253557296</v>
      </c>
      <c r="J10" s="52">
        <f>J8-J9</f>
        <v>122.88059611081187</v>
      </c>
      <c r="K10" s="52">
        <f>K8-K9</f>
        <v>147.68200723168766</v>
      </c>
      <c r="L10" s="52">
        <f>L8-L9</f>
        <v>169.16137611049882</v>
      </c>
    </row>
    <row r="11">
      <c r="A11" s="14" t="inlineStr">
        <is>
          <t>Reinvestment</t>
        </is>
      </c>
      <c r="C11" s="52">
        <f>(C7-B7)*Assumptions!$E$15</f>
        <v>16.701729125</v>
      </c>
      <c r="D11" s="52">
        <f>(D7-C7)*Assumptions!$E$15</f>
        <v>20.155941586625005</v>
      </c>
      <c r="E11" s="52">
        <f>(E7-D7)*Assumptions!$E$15</f>
        <v>23.368033502960714</v>
      </c>
      <c r="F11" s="52">
        <f>(F7-E7)*Assumptions!$E$15</f>
        <v>25.91119373921444</v>
      </c>
      <c r="G11" s="52">
        <f>(G7-F7)*Assumptions!$E$15</f>
        <v>27.306433515063304</v>
      </c>
      <c r="H11" s="52">
        <f>(H7-G7)*Assumptions!$E$15</f>
        <v>27.08984564150859</v>
      </c>
      <c r="I11" s="52">
        <f>(I7-H7)*Assumptions!$E$15</f>
        <v>24.89987939071736</v>
      </c>
      <c r="J11" s="52">
        <f>(J7-I7)*Assumptions!$E$15</f>
        <v>20.56979071443817</v>
      </c>
      <c r="K11" s="52">
        <f>(K7-J7)*Assumptions!$E$15</f>
        <v>14.203825809007839</v>
      </c>
      <c r="L11" s="52">
        <f>(L7-K7)*Assumptions!$E$15</f>
        <v>6.213685575613368</v>
      </c>
    </row>
    <row r="12">
      <c r="A12" s="20" t="inlineStr">
        <is>
          <t>Free cash flow</t>
        </is>
      </c>
      <c r="C12" s="64">
        <f>C10-C11</f>
        <v>-14.384681865642666</v>
      </c>
      <c r="D12" s="64">
        <f>D10-D11</f>
        <v>-11.172347471844997</v>
      </c>
      <c r="E12" s="64">
        <f>E10-E11</f>
        <v>-4.3403727512406185</v>
      </c>
      <c r="F12" s="64">
        <f>F10-F11</f>
        <v>7.046910967657993</v>
      </c>
      <c r="G12" s="64">
        <f>G10-G11</f>
        <v>23.639697307644774</v>
      </c>
      <c r="H12" s="64">
        <f>H10-H11</f>
        <v>45.57403379467712</v>
      </c>
      <c r="I12" s="64">
        <f>I10-I11</f>
        <v>72.2691231448556</v>
      </c>
      <c r="J12" s="64">
        <f>J10-J11</f>
        <v>102.3108053963737</v>
      </c>
      <c r="K12" s="64">
        <f>K10-K11</f>
        <v>133.47818142267982</v>
      </c>
      <c r="L12" s="64">
        <f>L10-L11</f>
        <v>162.94769053488545</v>
      </c>
    </row>
    <row r="13">
      <c r="A13" s="14" t="inlineStr">
        <is>
          <t>Year fraction</t>
        </is>
      </c>
      <c r="C13" s="46">
        <f>Assumptions!$B$22</f>
        <v>0.5041</v>
      </c>
      <c r="D13" s="11" t="n">
        <v>1</v>
      </c>
      <c r="E13" s="11" t="n">
        <v>1</v>
      </c>
      <c r="F13" s="11" t="n">
        <v>1</v>
      </c>
      <c r="G13" s="11" t="n">
        <v>1</v>
      </c>
      <c r="H13" s="11" t="n">
        <v>1</v>
      </c>
      <c r="I13" s="11" t="n">
        <v>1</v>
      </c>
      <c r="J13" s="11" t="n">
        <v>1</v>
      </c>
      <c r="K13" s="11" t="n">
        <v>1</v>
      </c>
      <c r="L13" s="11" t="n">
        <v>1</v>
      </c>
    </row>
    <row r="14">
      <c r="A14" s="14" t="inlineStr">
        <is>
          <t>Discount time (mid-period)</t>
        </is>
      </c>
      <c r="C14" s="11">
        <f>C13/2</f>
        <v>0.25205</v>
      </c>
      <c r="D14" s="11">
        <f>C14+C13/2+D13/2</f>
        <v>1.0041</v>
      </c>
      <c r="E14" s="11">
        <f>D14+D13/2+E13/2</f>
        <v>2.0041</v>
      </c>
      <c r="F14" s="11">
        <f>E14+E13/2+F13/2</f>
        <v>3.0041</v>
      </c>
      <c r="G14" s="11">
        <f>F14+F13/2+G13/2</f>
        <v>4.0041</v>
      </c>
      <c r="H14" s="11">
        <f>G14+G13/2+H13/2</f>
        <v>5.0041</v>
      </c>
      <c r="I14" s="11">
        <f>H14+H13/2+I13/2</f>
        <v>6.0041</v>
      </c>
      <c r="J14" s="11">
        <f>I14+I13/2+J13/2</f>
        <v>7.0041</v>
      </c>
      <c r="K14" s="11">
        <f>J14+J13/2+K13/2</f>
        <v>8.004100000000001</v>
      </c>
      <c r="L14" s="11">
        <f>K14+K13/2+L13/2</f>
        <v>9.004100000000001</v>
      </c>
    </row>
    <row r="15">
      <c r="A15" s="14" t="inlineStr">
        <is>
          <t>Discount factor</t>
        </is>
      </c>
      <c r="C15" s="65">
        <f>1/(1+Assumptions!$E$10)^C14</f>
        <v>0.9740389933872364</v>
      </c>
      <c r="D15" s="65">
        <f>1/(1+Assumptions!$E$10)^D14</f>
        <v>0.9005155094261971</v>
      </c>
      <c r="E15" s="65">
        <f>1/(1+Assumptions!$E$10)^E14</f>
        <v>0.8112752337172946</v>
      </c>
      <c r="F15" s="65">
        <f>1/(1+Assumptions!$E$10)^F14</f>
        <v>0.7308785889344995</v>
      </c>
      <c r="G15" s="65">
        <f>1/(1+Assumptions!$E$10)^G14</f>
        <v>0.6584491792202698</v>
      </c>
      <c r="H15" s="65">
        <f>1/(1+Assumptions!$E$10)^H14</f>
        <v>0.5931974587569998</v>
      </c>
      <c r="I15" s="65">
        <f>1/(1+Assumptions!$E$10)^I14</f>
        <v>0.534412125006306</v>
      </c>
      <c r="J15" s="65">
        <f>1/(1+Assumptions!$E$10)^J14</f>
        <v>0.4814523648705459</v>
      </c>
      <c r="K15" s="65">
        <f>1/(1+Assumptions!$E$10)^K14</f>
        <v>0.433740869252744</v>
      </c>
      <c r="L15" s="65">
        <f>1/(1+Assumptions!$E$10)^L14</f>
        <v>0.3907575398673369</v>
      </c>
    </row>
    <row r="16">
      <c r="A16" s="20" t="inlineStr">
        <is>
          <t>PV of free cash flow</t>
        </is>
      </c>
      <c r="C16" s="64">
        <f>C12*C13*C15</f>
        <v>-7.063066610585993</v>
      </c>
      <c r="D16" s="64">
        <f>D12*D13*D15</f>
        <v>-10.060872175094982</v>
      </c>
      <c r="E16" s="64">
        <f>E12*E13*E15</f>
        <v>-3.5212369181829097</v>
      </c>
      <c r="F16" s="64">
        <f>F12*F13*F15</f>
        <v>5.150436344388923</v>
      </c>
      <c r="G16" s="64">
        <f>G12*G13*G15</f>
        <v>15.565539289234323</v>
      </c>
      <c r="H16" s="64">
        <f>H12*H13*H15</f>
        <v>27.034401032308097</v>
      </c>
      <c r="I16" s="64">
        <f>I12*I13*I15</f>
        <v>38.62149567218469</v>
      </c>
      <c r="J16" s="64">
        <f>J12*J13*J15</f>
        <v>49.25777920989432</v>
      </c>
      <c r="K16" s="64">
        <f>K12*K13*K15</f>
        <v>57.89494243654862</v>
      </c>
      <c r="L16" s="64">
        <f>L12*L13*L15</f>
        <v>63.67303868047598</v>
      </c>
    </row>
    <row r="19">
      <c r="A19" s="14" t="inlineStr">
        <is>
          <t>PV of forecast free cash flow</t>
        </is>
      </c>
      <c r="B19" s="52">
        <f>SUM(C16:L16)</f>
        <v>236.55245696117106</v>
      </c>
    </row>
    <row r="20">
      <c r="A20" s="14" t="inlineStr">
        <is>
          <t>Terminal free cash flow (year 11)</t>
        </is>
      </c>
      <c r="B20" s="52">
        <f>L10*(1+Assumptions!$E$11)-L7*Assumptions!$E$11*Assumptions!$E$15</f>
        <v>167.02138279825758</v>
      </c>
    </row>
    <row r="21">
      <c r="A21" s="14" t="inlineStr">
        <is>
          <t>Terminal value</t>
        </is>
      </c>
      <c r="B21" s="52">
        <f>B20/(Assumptions!$E$10-Assumptions!$E$11)</f>
        <v>1964.9574446853835</v>
      </c>
    </row>
    <row r="22">
      <c r="A22" s="14" t="inlineStr">
        <is>
          <t>PV of terminal value</t>
        </is>
      </c>
      <c r="B22" s="52">
        <f>B21/(1+Assumptions!$E$10)^(L14+0.5)</f>
        <v>728.7843308455027</v>
      </c>
    </row>
    <row r="23">
      <c r="A23" s="20" t="inlineStr">
        <is>
          <t>Enterprise value</t>
        </is>
      </c>
      <c r="B23" s="66">
        <f>B19+B22</f>
        <v>965.3367878066738</v>
      </c>
    </row>
    <row r="24">
      <c r="A24" s="14" t="inlineStr">
        <is>
          <t>Cash &amp; investments</t>
        </is>
      </c>
      <c r="B24" s="55">
        <f>Main!C7</f>
        <v>797.019</v>
      </c>
    </row>
    <row r="25">
      <c r="A25" s="14" t="inlineStr">
        <is>
          <t>Debt</t>
        </is>
      </c>
      <c r="B25" s="55">
        <f>Main!C8</f>
        <v>0</v>
      </c>
    </row>
    <row r="26">
      <c r="A26" s="20" t="inlineStr">
        <is>
          <t>Equity value</t>
        </is>
      </c>
      <c r="B26" s="66">
        <f>B23+B24-B25</f>
        <v>1762.3557878066738</v>
      </c>
    </row>
    <row r="27">
      <c r="A27" s="14" t="inlineStr">
        <is>
          <t>Shares (mm)</t>
        </is>
      </c>
      <c r="B27" s="55">
        <f>Main!C4</f>
        <v>368.412864</v>
      </c>
    </row>
    <row r="28">
      <c r="A28" s="20" t="inlineStr">
        <is>
          <t>NPV / share</t>
        </is>
      </c>
      <c r="B28" s="49">
        <f>B26/B27</f>
        <v>4.783643460958719</v>
      </c>
    </row>
    <row r="29">
      <c r="A29" s="14" t="inlineStr">
        <is>
          <t>Price</t>
        </is>
      </c>
      <c r="B29" s="50">
        <f>Main!C3</f>
        <v>3.28</v>
      </c>
    </row>
    <row r="30">
      <c r="A30" s="14" t="inlineStr">
        <is>
          <t>Upside</t>
        </is>
      </c>
      <c r="B30" s="63">
        <f>B28/B29-1</f>
        <v>0.4584278844386338</v>
      </c>
    </row>
    <row r="31">
      <c r="A31" s="14" t="inlineStr">
        <is>
          <t>Terminal value, % of EV</t>
        </is>
      </c>
      <c r="B31" s="63">
        <f>IFERROR(B22/B23,0)</f>
        <v>0.7549534422088708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2026-10-21T06:23:35Z</dcterms:modified>
  <cp:lastModifiedBy>Wang, Eric</cp:lastModifiedBy>
</cp:coreProperties>
</file>