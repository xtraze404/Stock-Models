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Hyperliquid Strategies Inc</t>
        </is>
      </c>
      <c r="C2" s="10" t="n"/>
    </row>
    <row r="3">
      <c r="B3" t="inlineStr">
        <is>
          <t>Price</t>
        </is>
      </c>
      <c r="C3" s="11">
        <f>INDEX([1]Pharma!$F$1:$F$1000,MATCH("PURR",[1]Pharma!$B$1:$B$1000,0))</f>
        <v>9.15</v>
      </c>
      <c r="F3" s="1" t="n"/>
    </row>
    <row r="4">
      <c r="B4" t="inlineStr">
        <is>
          <t>Shares</t>
        </is>
      </c>
      <c r="C4" s="21" t="n">
        <v>197.837597</v>
      </c>
      <c r="F4" s="1" t="n"/>
    </row>
    <row r="5">
      <c r="B5" t="inlineStr">
        <is>
          <t>Market Cap.</t>
        </is>
      </c>
      <c r="C5" s="13">
        <f>C3*C4</f>
        <v>1810.21401255</v>
      </c>
      <c r="F5" s="1" t="n"/>
    </row>
    <row r="6"/>
    <row r="7">
      <c r="B7" t="inlineStr">
        <is>
          <t>Cash</t>
        </is>
      </c>
      <c r="C7" s="21" t="n">
        <v>137.917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1672.29701255</v>
      </c>
    </row>
    <row r="10"/>
    <row r="11">
      <c r="B11" s="14" t="inlineStr">
        <is>
          <t>Net Cash / Share</t>
        </is>
      </c>
      <c r="C11" s="11">
        <f>(C7-C8)/C4</f>
        <v>0.6971222967290692</v>
      </c>
    </row>
    <row r="12">
      <c r="B12" s="14" t="inlineStr">
        <is>
          <t>Upside</t>
        </is>
      </c>
      <c r="C12" s="15">
        <f>IFERROR(C11/C3-1,"")</f>
        <v>-0.923811770849282</v>
      </c>
    </row>
    <row r="13">
      <c r="B13" s="14" t="inlineStr">
        <is>
          <t>Cash / Share</t>
        </is>
      </c>
      <c r="C13" s="11">
        <f>IFERROR((C7-C8)/C4,"")</f>
        <v>0.6971222967290692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-19.147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7.203060531675981</v>
      </c>
    </row>
    <row r="19">
      <c r="B19" s="14" t="inlineStr">
        <is>
          <t>Implied Pipeline Value</t>
        </is>
      </c>
      <c r="C19" s="13">
        <f>C9</f>
        <v>1672.29701255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2026</v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9.460000000000001</v>
      </c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9.46</v>
      </c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1" t="n"/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-491.163</v>
      </c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-491.163</v>
      </c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500.623</v>
      </c>
      <c r="C8" s="1" t="n"/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-11.606</v>
      </c>
    </row>
    <row r="10">
      <c r="A10" s="2" t="inlineStr">
        <is>
          <t>Pretax</t>
        </is>
      </c>
      <c r="B10" s="23">
        <f>B8+B9</f>
        <v>489.017</v>
      </c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183.475</v>
      </c>
    </row>
    <row r="12">
      <c r="A12" s="2" t="inlineStr">
        <is>
          <t>Net Income</t>
        </is>
      </c>
      <c r="B12" s="23" t="n">
        <v>305.542</v>
      </c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3.8288950989360764</v>
      </c>
    </row>
    <row r="14">
      <c r="A14" s="2" t="inlineStr">
        <is>
          <t>Shares</t>
        </is>
      </c>
      <c r="B14" s="23" t="n">
        <v>79.79900000000001</v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52.919978858350945</v>
      </c>
    </row>
    <row r="19">
      <c r="A19" s="14" t="inlineStr">
        <is>
          <t>Actual / Estimate</t>
        </is>
      </c>
      <c r="B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2026-10-21T01:04:32Z</dcterms:modified>
  <cp:lastModifiedBy>Wang, Eric</cp:lastModifiedBy>
</cp:coreProperties>
</file>