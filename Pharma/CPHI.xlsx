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China Pharma Holdings Inc</t>
        </is>
      </c>
      <c r="C2" s="10" t="n"/>
    </row>
    <row r="3">
      <c r="B3" t="inlineStr">
        <is>
          <t>Price</t>
        </is>
      </c>
      <c r="C3" s="11">
        <f>INDEX([1]Pharma!$F$1:$F$1000,MATCH("CPHI",[1]Pharma!$B$1:$B$1000,0))</f>
        <v>0.7243</v>
      </c>
      <c r="F3" s="1" t="n"/>
    </row>
    <row r="4">
      <c r="B4" t="inlineStr">
        <is>
          <t>Shares</t>
        </is>
      </c>
      <c r="C4" s="21" t="n">
        <v>43.022002</v>
      </c>
      <c r="F4" s="1" t="n"/>
    </row>
    <row r="5">
      <c r="B5" t="inlineStr">
        <is>
          <t>Market Cap.</t>
        </is>
      </c>
      <c r="C5" s="13">
        <f>C3*C4</f>
        <v>31.160836048600004</v>
      </c>
      <c r="F5" s="1" t="n"/>
    </row>
    <row r="6"/>
    <row r="7">
      <c r="B7" t="inlineStr">
        <is>
          <t>Cash</t>
        </is>
      </c>
      <c r="C7" s="21" t="n">
        <v>0.304874</v>
      </c>
    </row>
    <row r="8">
      <c r="B8" t="inlineStr">
        <is>
          <t>Debt</t>
        </is>
      </c>
      <c r="C8" s="21">
        <f>1.644857+1.959543</f>
        <v>3.6044</v>
      </c>
    </row>
    <row r="9">
      <c r="B9" t="inlineStr">
        <is>
          <t>Enterprise V.</t>
        </is>
      </c>
      <c r="C9" s="13">
        <f>C5-C7+C8</f>
        <v>34.460362048600004</v>
      </c>
    </row>
    <row r="10"/>
    <row r="11">
      <c r="B11" s="14" t="inlineStr">
        <is>
          <t>Net Cash / Share</t>
        </is>
      </c>
      <c r="C11" s="11">
        <f>(C7-C8)/C4</f>
        <v>-0.07669392047352887</v>
      </c>
    </row>
    <row r="12">
      <c r="B12" s="14" t="inlineStr">
        <is>
          <t>Upside</t>
        </is>
      </c>
      <c r="C12" s="15">
        <f>IFERROR(C11/C3-1,"")</f>
        <v>-1.1058869535738352</v>
      </c>
    </row>
    <row r="13">
      <c r="B13" s="14" t="inlineStr">
        <is>
          <t>Cash / Share</t>
        </is>
      </c>
      <c r="C13" s="11">
        <f>IFERROR((C7-C8)/C4,"")</f>
        <v>-0.07669392047352887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-0.14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34.460362048600004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74.38800000000001</v>
      </c>
      <c r="C2" s="23" t="n">
        <v>81.167</v>
      </c>
      <c r="D2" s="23" t="n">
        <v>54.507</v>
      </c>
      <c r="E2" s="23" t="n">
        <v>32.807</v>
      </c>
      <c r="F2" s="23" t="n">
        <v>22.134</v>
      </c>
      <c r="G2" s="23" t="n">
        <v>20.352</v>
      </c>
      <c r="H2" s="23" t="n">
        <v>15.571</v>
      </c>
      <c r="I2" s="23" t="n">
        <v>13.212</v>
      </c>
      <c r="J2" s="23" t="n">
        <v>12.331</v>
      </c>
      <c r="K2" s="23" t="n">
        <v>10.924</v>
      </c>
      <c r="L2" s="23" t="n">
        <v>10.866</v>
      </c>
      <c r="M2" s="23" t="n">
        <v>9.641999999999999</v>
      </c>
      <c r="N2" s="23" t="n">
        <v>8.103999999999999</v>
      </c>
      <c r="O2" s="23" t="n">
        <v>7.011</v>
      </c>
      <c r="P2" s="23" t="n">
        <v>4.529</v>
      </c>
      <c r="Q2" s="23" t="n">
        <v>4.144</v>
      </c>
    </row>
    <row r="3" customFormat="1" s="1">
      <c r="A3" s="5" t="inlineStr">
        <is>
          <t>Cost of Sales</t>
        </is>
      </c>
      <c r="B3" s="23" t="n">
        <v>44.105</v>
      </c>
      <c r="C3" s="23" t="n">
        <v>52.179</v>
      </c>
      <c r="D3" s="23" t="n">
        <v>38.661</v>
      </c>
      <c r="E3" s="23" t="n">
        <v>23.406</v>
      </c>
      <c r="F3" s="23" t="n">
        <v>17.216</v>
      </c>
      <c r="G3" s="23" t="n">
        <v>15.778</v>
      </c>
      <c r="H3" s="23" t="n">
        <v>12.352</v>
      </c>
      <c r="I3" s="23" t="n">
        <v>10.744</v>
      </c>
      <c r="J3" s="23" t="n">
        <v>10.356</v>
      </c>
      <c r="K3" s="23" t="n">
        <v>9.442</v>
      </c>
      <c r="L3" s="23" t="n">
        <v>8.914</v>
      </c>
      <c r="M3" s="23" t="n">
        <v>9.292999999999999</v>
      </c>
      <c r="N3" s="23" t="n">
        <v>8.598000000000001</v>
      </c>
      <c r="O3" s="23" t="n">
        <v>7.292</v>
      </c>
      <c r="P3" s="23" t="n">
        <v>6.515</v>
      </c>
      <c r="Q3" s="23" t="n">
        <v>4.276</v>
      </c>
    </row>
    <row r="4" customFormat="1" s="1">
      <c r="A4" s="5" t="inlineStr">
        <is>
          <t>Gross Margin</t>
        </is>
      </c>
      <c r="B4" s="23">
        <f>B2-B3</f>
        <v>30.28300000000001</v>
      </c>
      <c r="C4" s="23">
        <f>C2-C3</f>
        <v>28.988</v>
      </c>
      <c r="D4" s="23">
        <f>D2-D3</f>
        <v>15.845999999999997</v>
      </c>
      <c r="E4" s="23">
        <f>E2-E3</f>
        <v>9.401000000000003</v>
      </c>
      <c r="F4" s="23">
        <f>F2-F3</f>
        <v>4.917999999999999</v>
      </c>
      <c r="G4" s="23">
        <f>G2-G3</f>
        <v>4.574</v>
      </c>
      <c r="H4" s="23">
        <f>H2-H3</f>
        <v>3.2189999999999994</v>
      </c>
      <c r="I4" s="23">
        <f>I2-I3</f>
        <v>2.468</v>
      </c>
      <c r="J4" s="23">
        <f>J2-J3</f>
        <v>1.9749999999999996</v>
      </c>
      <c r="K4" s="23">
        <f>K2-K3</f>
        <v>1.4819999999999993</v>
      </c>
      <c r="L4" s="23">
        <f>L2-L3</f>
        <v>1.952</v>
      </c>
      <c r="M4" s="23">
        <f>M2-M3</f>
        <v>0.3490000000000002</v>
      </c>
      <c r="N4" s="23">
        <f>N2-N3</f>
        <v>-0.49400000000000155</v>
      </c>
      <c r="O4" s="23">
        <f>O2-O3</f>
        <v>-0.2809999999999997</v>
      </c>
      <c r="P4" s="23">
        <f>P2-P3</f>
        <v>-1.9859999999999998</v>
      </c>
      <c r="Q4" s="23">
        <f>Q2-Q3</f>
        <v>-0.13199999999999967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0.439</v>
      </c>
      <c r="E5" s="23" t="n">
        <v>1.683</v>
      </c>
      <c r="F5" s="23" t="n">
        <v>2.799</v>
      </c>
      <c r="G5" s="23" t="n">
        <v>0.962</v>
      </c>
      <c r="H5" s="23" t="n">
        <v>0.366</v>
      </c>
      <c r="I5" s="23" t="n">
        <v>0.09</v>
      </c>
      <c r="J5" s="23" t="n">
        <v>0.172</v>
      </c>
      <c r="K5" s="23" t="n">
        <v>0.23</v>
      </c>
      <c r="L5" s="23" t="n">
        <v>0.378</v>
      </c>
      <c r="M5" s="23" t="n">
        <v>0.319</v>
      </c>
      <c r="N5" s="23" t="n">
        <v>0.186</v>
      </c>
      <c r="O5" s="23" t="n">
        <v>0.24</v>
      </c>
      <c r="P5" s="23" t="n">
        <v>0.284</v>
      </c>
      <c r="Q5" s="23" t="n">
        <v>0.281</v>
      </c>
    </row>
    <row r="6">
      <c r="A6" s="19" t="inlineStr">
        <is>
          <t>SG&amp;A &amp; Other</t>
        </is>
      </c>
      <c r="B6" s="23" t="n">
        <v>5.618</v>
      </c>
      <c r="C6" s="23" t="n">
        <v>6.962</v>
      </c>
      <c r="D6" s="23" t="n">
        <v>9.503</v>
      </c>
      <c r="E6" s="23" t="n">
        <v>26.324</v>
      </c>
      <c r="F6" s="23" t="n">
        <v>40.877</v>
      </c>
      <c r="G6" s="23" t="n">
        <v>17.911</v>
      </c>
      <c r="H6" s="23" t="n">
        <v>11.008</v>
      </c>
      <c r="I6" s="23" t="n">
        <v>21.058</v>
      </c>
      <c r="J6" s="23" t="n">
        <v>12.25</v>
      </c>
      <c r="K6" s="23" t="n">
        <v>21.66</v>
      </c>
      <c r="L6" s="23" t="n">
        <v>4.153</v>
      </c>
      <c r="M6" s="23" t="n">
        <v>2.891</v>
      </c>
      <c r="N6" s="23" t="n">
        <v>2.869</v>
      </c>
      <c r="O6" s="23" t="n">
        <v>2.231</v>
      </c>
      <c r="P6" s="23" t="n">
        <v>2.319</v>
      </c>
      <c r="Q6" s="23" t="n">
        <v>2.826</v>
      </c>
    </row>
    <row r="7">
      <c r="A7" s="2" t="inlineStr">
        <is>
          <t>Operating Expense</t>
        </is>
      </c>
      <c r="B7" s="23">
        <f>SUM(B5:B6)</f>
        <v>5.618</v>
      </c>
      <c r="C7" s="23">
        <f>SUM(C5:C6)</f>
        <v>6.962</v>
      </c>
      <c r="D7" s="23">
        <f>SUM(D5:D6)</f>
        <v>9.942</v>
      </c>
      <c r="E7" s="23">
        <f>SUM(E5:E6)</f>
        <v>28.007</v>
      </c>
      <c r="F7" s="23">
        <f>SUM(F5:F6)</f>
        <v>43.676</v>
      </c>
      <c r="G7" s="23">
        <f>SUM(G5:G6)</f>
        <v>18.873</v>
      </c>
      <c r="H7" s="23">
        <f>SUM(H5:H6)</f>
        <v>11.373999999999999</v>
      </c>
      <c r="I7" s="23">
        <f>SUM(I5:I6)</f>
        <v>21.148</v>
      </c>
      <c r="J7" s="23">
        <f>SUM(J5:J6)</f>
        <v>12.422</v>
      </c>
      <c r="K7" s="23">
        <f>SUM(K5:K6)</f>
        <v>21.89</v>
      </c>
      <c r="L7" s="23">
        <f>SUM(L5:L6)</f>
        <v>4.531</v>
      </c>
      <c r="M7" s="23">
        <f>SUM(M5:M6)</f>
        <v>3.21</v>
      </c>
      <c r="N7" s="23">
        <f>SUM(N5:N6)</f>
        <v>3.055</v>
      </c>
      <c r="O7" s="23">
        <f>SUM(O5:O6)</f>
        <v>2.471</v>
      </c>
      <c r="P7" s="23">
        <f>SUM(P5:P6)</f>
        <v>2.6029999999999998</v>
      </c>
      <c r="Q7" s="23">
        <f>SUM(Q5:Q6)</f>
        <v>3.107</v>
      </c>
    </row>
    <row r="8">
      <c r="A8" s="2" t="inlineStr">
        <is>
          <t>Operating Income</t>
        </is>
      </c>
      <c r="B8" s="23">
        <f>B4-B7</f>
        <v>24.665000000000006</v>
      </c>
      <c r="C8" s="23">
        <f>C4-C7</f>
        <v>22.026</v>
      </c>
      <c r="D8" s="23">
        <f>D4-D7</f>
        <v>5.903999999999996</v>
      </c>
      <c r="E8" s="23">
        <f>E4-E7</f>
        <v>-18.605999999999998</v>
      </c>
      <c r="F8" s="23">
        <f>F4-F7</f>
        <v>-38.758</v>
      </c>
      <c r="G8" s="23">
        <f>G4-G7</f>
        <v>-14.299000000000001</v>
      </c>
      <c r="H8" s="23">
        <f>H4-H7</f>
        <v>-8.155</v>
      </c>
      <c r="I8" s="23">
        <f>I4-I7</f>
        <v>-18.68</v>
      </c>
      <c r="J8" s="23">
        <f>J4-J7</f>
        <v>-10.447000000000001</v>
      </c>
      <c r="K8" s="23">
        <f>K4-K7</f>
        <v>-20.408</v>
      </c>
      <c r="L8" s="23">
        <f>L4-L7</f>
        <v>-2.5789999999999997</v>
      </c>
      <c r="M8" s="23">
        <f>M4-M7</f>
        <v>-2.8609999999999998</v>
      </c>
      <c r="N8" s="23">
        <f>N4-N7</f>
        <v>-3.5490000000000017</v>
      </c>
      <c r="O8" s="23">
        <f>O4-O7</f>
        <v>-2.752</v>
      </c>
      <c r="P8" s="23">
        <f>P4-P7</f>
        <v>-4.5889999999999995</v>
      </c>
      <c r="Q8" s="23">
        <f>Q4-Q7</f>
        <v>-3.239</v>
      </c>
    </row>
    <row r="9">
      <c r="A9" s="19" t="inlineStr">
        <is>
          <t>Interest &amp; Other</t>
        </is>
      </c>
      <c r="B9" s="23" t="n">
        <v>-3.937</v>
      </c>
      <c r="C9" s="23" t="n">
        <v>-6.198</v>
      </c>
      <c r="D9" s="23" t="n">
        <v>-2.271</v>
      </c>
      <c r="E9" s="23" t="n">
        <v>-2.463</v>
      </c>
      <c r="F9" s="23" t="n">
        <v>-0.87</v>
      </c>
      <c r="G9" s="23" t="n">
        <v>-1.045</v>
      </c>
      <c r="H9" s="23" t="n">
        <v>-0.719</v>
      </c>
      <c r="I9" s="23" t="n">
        <v>-0.475</v>
      </c>
      <c r="J9" s="23" t="n">
        <v>-0.413</v>
      </c>
      <c r="K9" s="23" t="n">
        <v>-0.294</v>
      </c>
      <c r="L9" s="23" t="n">
        <v>-0.288</v>
      </c>
      <c r="M9" s="23" t="n">
        <v>-0.539</v>
      </c>
      <c r="N9" s="23" t="n">
        <v>-0.424</v>
      </c>
      <c r="O9" s="23" t="n">
        <v>-0.327</v>
      </c>
      <c r="P9" s="23" t="n">
        <v>-0.147</v>
      </c>
      <c r="Q9" s="23" t="n">
        <v>0.052</v>
      </c>
    </row>
    <row r="10">
      <c r="A10" s="2" t="inlineStr">
        <is>
          <t>Pretax</t>
        </is>
      </c>
      <c r="B10" s="23">
        <f>B8+B9</f>
        <v>20.728000000000005</v>
      </c>
      <c r="C10" s="23">
        <f>C8+C9</f>
        <v>15.828</v>
      </c>
      <c r="D10" s="23">
        <f>D8+D9</f>
        <v>3.6329999999999965</v>
      </c>
      <c r="E10" s="23">
        <f>E8+E9</f>
        <v>-21.069</v>
      </c>
      <c r="F10" s="23">
        <f>F8+F9</f>
        <v>-39.628</v>
      </c>
      <c r="G10" s="23">
        <f>G8+G9</f>
        <v>-15.344000000000001</v>
      </c>
      <c r="H10" s="23">
        <f>H8+H9</f>
        <v>-8.873999999999999</v>
      </c>
      <c r="I10" s="23">
        <f>I8+I9</f>
        <v>-19.155</v>
      </c>
      <c r="J10" s="23">
        <f>J8+J9</f>
        <v>-10.860000000000001</v>
      </c>
      <c r="K10" s="23">
        <f>K8+K9</f>
        <v>-20.702</v>
      </c>
      <c r="L10" s="23">
        <f>L8+L9</f>
        <v>-2.8669999999999995</v>
      </c>
      <c r="M10" s="23">
        <f>M8+M9</f>
        <v>-3.4</v>
      </c>
      <c r="N10" s="23">
        <f>N8+N9</f>
        <v>-3.9730000000000016</v>
      </c>
      <c r="O10" s="23">
        <f>O8+O9</f>
        <v>-3.0789999999999997</v>
      </c>
      <c r="P10" s="23">
        <f>P8+P9</f>
        <v>-4.736</v>
      </c>
      <c r="Q10" s="23">
        <f>Q8+Q9</f>
        <v>-3.187</v>
      </c>
    </row>
    <row r="11">
      <c r="A11" s="2" t="inlineStr">
        <is>
          <t>Taxes</t>
        </is>
      </c>
      <c r="B11" s="23" t="n">
        <v>-2.686</v>
      </c>
      <c r="C11" s="23" t="n">
        <v>-3.442</v>
      </c>
      <c r="D11" s="23" t="n">
        <v>-0.984</v>
      </c>
      <c r="E11" s="23" t="n">
        <v>-1.061</v>
      </c>
      <c r="F11" s="23" t="n">
        <v>-0.077</v>
      </c>
      <c r="G11" s="23" t="n">
        <v>0.06</v>
      </c>
      <c r="H11" s="23" t="n">
        <v>0.308</v>
      </c>
      <c r="I11" s="23" t="n">
        <v>0.123</v>
      </c>
      <c r="J11" s="23" t="n">
        <v>-0.11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</row>
    <row r="12">
      <c r="A12" s="2" t="inlineStr">
        <is>
          <t>Net Income</t>
        </is>
      </c>
      <c r="B12" s="23" t="n">
        <v>23.414</v>
      </c>
      <c r="C12" s="23" t="n">
        <v>19.27</v>
      </c>
      <c r="D12" s="23" t="n">
        <v>4.618</v>
      </c>
      <c r="E12" s="23" t="n">
        <v>-20.008</v>
      </c>
      <c r="F12" s="23" t="n">
        <v>-39.551</v>
      </c>
      <c r="G12" s="23" t="n">
        <v>-15.406</v>
      </c>
      <c r="H12" s="23" t="n">
        <v>-9.183</v>
      </c>
      <c r="I12" s="23" t="n">
        <v>-19.278</v>
      </c>
      <c r="J12" s="23" t="n">
        <v>-10.75</v>
      </c>
      <c r="K12" s="23" t="n">
        <v>-20.702</v>
      </c>
      <c r="L12" s="23" t="n">
        <v>-2.867</v>
      </c>
      <c r="M12" s="23" t="n">
        <v>-3.399</v>
      </c>
      <c r="N12" s="23" t="n">
        <v>-3.973</v>
      </c>
      <c r="O12" s="23" t="n">
        <v>-3.079</v>
      </c>
      <c r="P12" s="23" t="n">
        <v>-4.736</v>
      </c>
      <c r="Q12" s="23" t="n">
        <v>-3.188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19.504048582995953</v>
      </c>
      <c r="D13" s="11">
        <f>IFERROR(D12/D14,0)</f>
        <v>4.664646464646465</v>
      </c>
      <c r="E13" s="11">
        <f>IFERROR(E12/E14,0)</f>
        <v>0</v>
      </c>
      <c r="F13" s="11">
        <f>IFERROR(F12/F14,0)</f>
        <v>-39.95050505050505</v>
      </c>
      <c r="G13" s="11">
        <f>IFERROR(G12/G14,0)</f>
        <v>-15.561616161616163</v>
      </c>
      <c r="H13" s="11">
        <f>IFERROR(H12/H14,0)</f>
        <v>-9.275757575757575</v>
      </c>
      <c r="I13" s="11">
        <f>IFERROR(I12/I14,0)</f>
        <v>-19.472727272727273</v>
      </c>
      <c r="J13" s="11">
        <f>IFERROR(J12/J14,0)</f>
        <v>-10.858585858585858</v>
      </c>
      <c r="K13" s="11">
        <f>IFERROR(K12/K14,0)</f>
        <v>-20.91111111111111</v>
      </c>
      <c r="L13" s="11">
        <f>IFERROR(L12/L14,0)</f>
        <v>-2.893037336024218</v>
      </c>
      <c r="M13" s="11">
        <f>IFERROR(M12/M14,0)</f>
        <v>-3.243320610687023</v>
      </c>
      <c r="N13" s="11">
        <f>IFERROR(N12/N14,0)</f>
        <v>-3.780209324452902</v>
      </c>
      <c r="O13" s="11">
        <f>IFERROR(O12/O14,0)</f>
        <v>-0.9098699763593382</v>
      </c>
      <c r="P13" s="11">
        <f>IFERROR(P12/P14,0)</f>
        <v>-2.712485681557846</v>
      </c>
      <c r="Q13" s="11">
        <f>IFERROR(Q12/Q14,0)</f>
        <v>-0.7429503612211605</v>
      </c>
    </row>
    <row r="14">
      <c r="A14" s="2" t="inlineStr">
        <is>
          <t>Shares</t>
        </is>
      </c>
      <c r="B14" s="23" t="n"/>
      <c r="C14" s="23" t="n">
        <v>0.988</v>
      </c>
      <c r="D14" s="23" t="n">
        <v>0.99</v>
      </c>
      <c r="E14" s="23" t="n"/>
      <c r="F14" s="23" t="n">
        <v>0.99</v>
      </c>
      <c r="G14" s="23" t="n">
        <v>0.99</v>
      </c>
      <c r="H14" s="23" t="n">
        <v>0.99</v>
      </c>
      <c r="I14" s="23" t="n">
        <v>0.99</v>
      </c>
      <c r="J14" s="23" t="n">
        <v>0.99</v>
      </c>
      <c r="K14" s="23" t="n">
        <v>0.99</v>
      </c>
      <c r="L14" s="23" t="n">
        <v>0.991</v>
      </c>
      <c r="M14" s="23" t="n">
        <v>1.048</v>
      </c>
      <c r="N14" s="23" t="n">
        <v>1.051</v>
      </c>
      <c r="O14" s="23" t="n">
        <v>3.384</v>
      </c>
      <c r="P14" s="23" t="n">
        <v>1.746</v>
      </c>
      <c r="Q14" s="23" t="n">
        <v>4.291</v>
      </c>
    </row>
    <row r="15"/>
    <row r="16" customFormat="1" s="4">
      <c r="A16" s="3" t="inlineStr">
        <is>
          <t>Revenue Change</t>
        </is>
      </c>
      <c r="C16" s="15">
        <f>IFERROR(C2/B2-1,"")</f>
        <v>0.09113028983169325</v>
      </c>
      <c r="D16" s="15">
        <f>IFERROR(D2/C2-1,"")</f>
        <v>-0.3284586100262422</v>
      </c>
      <c r="E16" s="15">
        <f>IFERROR(E2/D2-1,"")</f>
        <v>-0.39811400370594596</v>
      </c>
      <c r="F16" s="15">
        <f>IFERROR(F2/E2-1,"")</f>
        <v>-0.3253269119395251</v>
      </c>
      <c r="G16" s="15">
        <f>IFERROR(G2/F2-1,"")</f>
        <v>-0.08050962320412036</v>
      </c>
      <c r="H16" s="15">
        <f>IFERROR(H2/G2-1,"")</f>
        <v>-0.23491548742138368</v>
      </c>
      <c r="I16" s="15">
        <f>IFERROR(I2/H2-1,"")</f>
        <v>-0.1514995825573181</v>
      </c>
      <c r="J16" s="15">
        <f>IFERROR(J2/I2-1,"")</f>
        <v>-0.06668180442022409</v>
      </c>
      <c r="K16" s="15">
        <f>IFERROR(K2/J2-1,"")</f>
        <v>-0.11410266807233804</v>
      </c>
      <c r="L16" s="15">
        <f>IFERROR(L2/K2-1,"")</f>
        <v>-0.005309410472354448</v>
      </c>
      <c r="M16" s="15">
        <f>IFERROR(M2/L2-1,"")</f>
        <v>-0.11264494754279408</v>
      </c>
      <c r="N16" s="15">
        <f>IFERROR(N2/M2-1,"")</f>
        <v>-0.15951047500518567</v>
      </c>
      <c r="O16" s="15">
        <f>IFERROR(O2/N2-1,"")</f>
        <v>-0.13487166831194464</v>
      </c>
      <c r="P16" s="15">
        <f>IFERROR(P2/O2-1,"")</f>
        <v>-0.3540151190985594</v>
      </c>
      <c r="Q16" s="15">
        <f>IFERROR(Q2/P2-1,"")</f>
        <v>-0.08500772797527045</v>
      </c>
    </row>
    <row r="17" customFormat="1" s="4">
      <c r="A17" s="3" t="inlineStr">
        <is>
          <t>Gross Margin</t>
        </is>
      </c>
      <c r="B17" s="15">
        <f>IFERROR(B4/B2,"")</f>
        <v>0.40709523041350765</v>
      </c>
      <c r="C17" s="15">
        <f>IFERROR(C4/C2,"")</f>
        <v>0.3571402170832974</v>
      </c>
      <c r="D17" s="15">
        <f>IFERROR(D4/D2,"")</f>
        <v>0.2907149540426</v>
      </c>
      <c r="E17" s="15">
        <f>IFERROR(E4/E2,"")</f>
        <v>0.28655469869235234</v>
      </c>
      <c r="F17" s="15">
        <f>IFERROR(F4/F2,"")</f>
        <v>0.22219210264751058</v>
      </c>
      <c r="G17" s="15">
        <f>IFERROR(G4/G2,"")</f>
        <v>0.2247444968553459</v>
      </c>
      <c r="H17" s="15">
        <f>IFERROR(H4/H2,"")</f>
        <v>0.2067304604713891</v>
      </c>
      <c r="I17" s="15">
        <f>IFERROR(I4/I2,"")</f>
        <v>0.18679987889797153</v>
      </c>
      <c r="J17" s="15">
        <f>IFERROR(J4/J2,"")</f>
        <v>0.16016543670424133</v>
      </c>
      <c r="K17" s="15">
        <f>IFERROR(K4/K2,"")</f>
        <v>0.13566459172464293</v>
      </c>
      <c r="L17" s="15">
        <f>IFERROR(L4/L2,"")</f>
        <v>0.1796429228787042</v>
      </c>
      <c r="M17" s="15">
        <f>IFERROR(M4/M2,"")</f>
        <v>0.036195809997925765</v>
      </c>
      <c r="N17" s="15">
        <f>IFERROR(N4/N2,"")</f>
        <v>-0.06095755182625884</v>
      </c>
      <c r="O17" s="15">
        <f>IFERROR(O4/O2,"")</f>
        <v>-0.04007987448295531</v>
      </c>
      <c r="P17" s="15">
        <f>IFERROR(P4/P2,"")</f>
        <v>-0.43850739677633027</v>
      </c>
      <c r="Q17" s="15">
        <f>IFERROR(Q4/Q2,"")</f>
        <v>-0.031853281853281776</v>
      </c>
    </row>
    <row r="18">
      <c r="A18" s="14" t="inlineStr">
        <is>
          <t>Operating Margin</t>
        </is>
      </c>
      <c r="B18" s="15">
        <f>IFERROR(B8/B2,"")</f>
        <v>0.3315722966069797</v>
      </c>
      <c r="C18" s="15">
        <f>IFERROR(C8/C2,"")</f>
        <v>0.2713664420269321</v>
      </c>
      <c r="D18" s="15">
        <f>IFERROR(D8/D2,"")</f>
        <v>0.10831636303594028</v>
      </c>
      <c r="E18" s="15">
        <f>IFERROR(E8/E2,"")</f>
        <v>-0.5671350626390709</v>
      </c>
      <c r="F18" s="15">
        <f>IFERROR(F8/F2,"")</f>
        <v>-1.751061715008584</v>
      </c>
      <c r="G18" s="15">
        <f>IFERROR(G8/G2,"")</f>
        <v>-0.7025845125786164</v>
      </c>
      <c r="H18" s="15">
        <f>IFERROR(H8/H2,"")</f>
        <v>-0.5237300109177316</v>
      </c>
      <c r="I18" s="15">
        <f>IFERROR(I8/I2,"")</f>
        <v>-1.4138661822585528</v>
      </c>
      <c r="J18" s="15">
        <f>IFERROR(J8/J2,"")</f>
        <v>-0.8472143378477011</v>
      </c>
      <c r="K18" s="15">
        <f>IFERROR(K8/K2,"")</f>
        <v>-1.8681801537898208</v>
      </c>
      <c r="L18" s="15">
        <f>IFERROR(L8/L2,"")</f>
        <v>-0.23734584943861584</v>
      </c>
      <c r="M18" s="15">
        <f>IFERROR(M8/M2,"")</f>
        <v>-0.29672267164488697</v>
      </c>
      <c r="N18" s="15">
        <f>IFERROR(N8/N2,"")</f>
        <v>-0.4379318854886478</v>
      </c>
      <c r="O18" s="15">
        <f>IFERROR(O8/O2,"")</f>
        <v>-0.3925260305234631</v>
      </c>
      <c r="P18" s="15">
        <f>IFERROR(P8/P2,"")</f>
        <v>-1.0132479576065356</v>
      </c>
      <c r="Q18" s="15">
        <f>IFERROR(Q8/Q2,"")</f>
        <v>-0.7816119691119691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2026-10-21T01:06:22Z</dcterms:modified>
  <cp:lastModifiedBy>Wang, Eric</cp:lastModifiedBy>
</cp:coreProperties>
</file>