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RenovoRx Inc</t>
        </is>
      </c>
      <c r="C2" s="10" t="n"/>
    </row>
    <row r="3">
      <c r="B3" t="inlineStr">
        <is>
          <t>Price</t>
        </is>
      </c>
      <c r="C3" s="11">
        <f>INDEX([1]Pharma!$F$1:$F$1000,MATCH("RNXT",[1]Pharma!$B$1:$B$1000,0))</f>
        <v>1.2</v>
      </c>
      <c r="F3" s="1" t="n"/>
    </row>
    <row r="4">
      <c r="B4" t="inlineStr">
        <is>
          <t>Shares</t>
        </is>
      </c>
      <c r="C4" s="21" t="n">
        <v>45.129508</v>
      </c>
      <c r="F4" s="1" t="n"/>
    </row>
    <row r="5">
      <c r="B5" t="inlineStr">
        <is>
          <t>Market Cap.</t>
        </is>
      </c>
      <c r="C5" s="13">
        <f>C3*C4</f>
        <v>54.1554096</v>
      </c>
      <c r="F5" s="1" t="n"/>
    </row>
    <row r="6"/>
    <row r="7">
      <c r="B7" t="inlineStr">
        <is>
          <t>Cash</t>
        </is>
      </c>
      <c r="C7" s="21" t="n">
        <v>9.478999999999999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44.6764096</v>
      </c>
    </row>
    <row r="10"/>
    <row r="11">
      <c r="B11" s="14" t="inlineStr">
        <is>
          <t>Net Cash / Share</t>
        </is>
      </c>
      <c r="C11" s="11">
        <f>(C7-C8)/C4</f>
        <v>0.21003995877819007</v>
      </c>
    </row>
    <row r="12">
      <c r="B12" s="14" t="inlineStr">
        <is>
          <t>Upside</t>
        </is>
      </c>
      <c r="C12" s="15">
        <f>IFERROR(C11/C3-1,"")</f>
        <v>-0.8249667010181749</v>
      </c>
    </row>
    <row r="13">
      <c r="B13" s="14" t="inlineStr">
        <is>
          <t>Cash / Share</t>
        </is>
      </c>
      <c r="C13" s="11">
        <f>IFERROR((C7-C8)/C4,"")</f>
        <v>0.21003995877819007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-11.866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0.7988370133153547</v>
      </c>
    </row>
    <row r="19">
      <c r="B19" s="14" t="inlineStr">
        <is>
          <t>Implied Pipeline Value</t>
        </is>
      </c>
      <c r="C19" s="13">
        <f>C9</f>
        <v>44.6764096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0.043</v>
      </c>
      <c r="G2" s="23" t="n">
        <v>1.123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0.327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0.043</v>
      </c>
      <c r="G4" s="23">
        <f>G2-G3</f>
        <v>0.796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2.386</v>
      </c>
      <c r="C5" s="23" t="n">
        <v>3.039</v>
      </c>
      <c r="D5" s="23" t="n">
        <v>4.301</v>
      </c>
      <c r="E5" s="23" t="n">
        <v>5.667</v>
      </c>
      <c r="F5" s="23" t="n">
        <v>6.025</v>
      </c>
      <c r="G5" s="23" t="n">
        <v>6.269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0.8179999999999999</v>
      </c>
      <c r="C6" s="23" t="n">
        <v>2.632</v>
      </c>
      <c r="D6" s="23" t="n">
        <v>5.649</v>
      </c>
      <c r="E6" s="23" t="n">
        <v>5.729</v>
      </c>
      <c r="F6" s="23" t="n">
        <v>4.988</v>
      </c>
      <c r="G6" s="23" t="n">
        <v>7.037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3.204</v>
      </c>
      <c r="C7" s="23">
        <f>SUM(C5:C6)</f>
        <v>5.671</v>
      </c>
      <c r="D7" s="23">
        <f>SUM(D5:D6)</f>
        <v>9.95</v>
      </c>
      <c r="E7" s="23">
        <f>SUM(E5:E6)</f>
        <v>11.396</v>
      </c>
      <c r="F7" s="23">
        <f>SUM(F5:F6)</f>
        <v>11.013000000000002</v>
      </c>
      <c r="G7" s="23">
        <f>SUM(G5:G6)</f>
        <v>13.306000000000001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-3.204</v>
      </c>
      <c r="C8" s="23">
        <f>C4-C7</f>
        <v>-5.671</v>
      </c>
      <c r="D8" s="23">
        <f>D4-D7</f>
        <v>-9.95</v>
      </c>
      <c r="E8" s="23">
        <f>E4-E7</f>
        <v>-11.396</v>
      </c>
      <c r="F8" s="23">
        <f>F4-F7</f>
        <v>-10.970000000000002</v>
      </c>
      <c r="G8" s="23">
        <f>G4-G7</f>
        <v>-12.510000000000002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-0.594</v>
      </c>
      <c r="C9" s="23" t="n">
        <v>-0.653</v>
      </c>
      <c r="D9" s="23" t="n">
        <v>0.061</v>
      </c>
      <c r="E9" s="23" t="n">
        <v>1.164</v>
      </c>
      <c r="F9" s="23" t="n">
        <v>2.156</v>
      </c>
      <c r="G9" s="23" t="n">
        <v>1.344</v>
      </c>
    </row>
    <row r="10">
      <c r="A10" s="2" t="inlineStr">
        <is>
          <t>Pretax</t>
        </is>
      </c>
      <c r="B10" s="23">
        <f>B8+B9</f>
        <v>-3.798</v>
      </c>
      <c r="C10" s="23">
        <f>C8+C9</f>
        <v>-6.324</v>
      </c>
      <c r="D10" s="23">
        <f>D8+D9</f>
        <v>-9.889</v>
      </c>
      <c r="E10" s="23">
        <f>E8+E9</f>
        <v>-10.232000000000001</v>
      </c>
      <c r="F10" s="23">
        <f>F8+F9</f>
        <v>-8.814000000000002</v>
      </c>
      <c r="G10" s="23">
        <f>G8+G9</f>
        <v>-11.166000000000002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0.002</v>
      </c>
    </row>
    <row r="12">
      <c r="A12" s="2" t="inlineStr">
        <is>
          <t>Net Income</t>
        </is>
      </c>
      <c r="B12" s="23" t="n">
        <v>-3.798</v>
      </c>
      <c r="C12" s="23" t="n">
        <v>-6.324</v>
      </c>
      <c r="D12" s="23" t="n">
        <v>-9.888999999999999</v>
      </c>
      <c r="E12" s="23" t="n">
        <v>-10.232</v>
      </c>
      <c r="F12" s="23" t="n">
        <v>-8.814</v>
      </c>
      <c r="G12" s="23" t="n">
        <v>-11.168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-1.7154471544715448</v>
      </c>
      <c r="C13" s="11">
        <f>IFERROR(C12/C14,0)</f>
        <v>-1.2121909143185738</v>
      </c>
      <c r="D13" s="11">
        <f>IFERROR(D12/D14,0)</f>
        <v>-1.0924657534246576</v>
      </c>
      <c r="E13" s="11">
        <f>IFERROR(E12/E14,0)</f>
        <v>-0.9942668350986298</v>
      </c>
      <c r="F13" s="11">
        <f>IFERROR(F12/F14,0)</f>
        <v>-0.3957613039378564</v>
      </c>
      <c r="G13" s="11">
        <f>IFERROR(G12/G14,0)</f>
        <v>-0.3160784535703167</v>
      </c>
    </row>
    <row r="14">
      <c r="A14" s="2" t="inlineStr">
        <is>
          <t>Shares</t>
        </is>
      </c>
      <c r="B14" s="23" t="n">
        <v>2.214</v>
      </c>
      <c r="C14" s="23" t="n">
        <v>5.217</v>
      </c>
      <c r="D14" s="23" t="n">
        <v>9.052</v>
      </c>
      <c r="E14" s="23" t="n">
        <v>10.291</v>
      </c>
      <c r="F14" s="23" t="n">
        <v>22.271</v>
      </c>
      <c r="G14" s="23" t="n">
        <v>35.333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25.116279069767444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0.7088156723063224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-255.11627906976753</v>
      </c>
      <c r="G18" s="15">
        <f>IFERROR(G8/G2,"")</f>
        <v>-11.139804096170971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2026-10-21T01:06:10Z</dcterms:modified>
  <cp:lastModifiedBy>Wang, Eric</cp:lastModifiedBy>
</cp:coreProperties>
</file>