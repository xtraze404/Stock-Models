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RenovoRx Inc</t>
        </is>
      </c>
      <c r="C2" s="10" t="n"/>
    </row>
    <row r="3">
      <c r="B3" t="inlineStr">
        <is>
          <t>Price</t>
        </is>
      </c>
      <c r="C3" s="11">
        <f>INDEX([1]Pharma!$F$1:$F$1000,MATCH("RNXT",[1]Pharma!$B$1:$B$1000,0))</f>
        <v>1.2</v>
      </c>
      <c r="F3" s="1" t="n"/>
    </row>
    <row r="4">
      <c r="B4" t="inlineStr">
        <is>
          <t>Shares</t>
        </is>
      </c>
      <c r="C4" s="21" t="n">
        <v>45.129508</v>
      </c>
      <c r="F4" s="1" t="n"/>
    </row>
    <row r="5">
      <c r="B5" t="inlineStr">
        <is>
          <t>Market Cap.</t>
        </is>
      </c>
      <c r="C5" s="13">
        <f>C3*C4</f>
        <v>54.1554096</v>
      </c>
      <c r="F5" s="1" t="n"/>
    </row>
    <row r="6"/>
    <row r="7">
      <c r="B7" t="inlineStr">
        <is>
          <t>Cash</t>
        </is>
      </c>
      <c r="C7" s="21" t="n">
        <v>9.478999999999999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44.6764096</v>
      </c>
    </row>
    <row r="10"/>
    <row r="11">
      <c r="B11" s="14" t="inlineStr">
        <is>
          <t>rNPV / Share</t>
        </is>
      </c>
      <c r="C11" s="11">
        <f>NPV!B27</f>
        <v>27.208658984594194</v>
      </c>
    </row>
    <row r="12">
      <c r="B12" s="14" t="inlineStr">
        <is>
          <t>Upside</t>
        </is>
      </c>
      <c r="C12" s="15">
        <f>IFERROR(C11/C3-1,"")</f>
        <v>21.67388248716183</v>
      </c>
    </row>
    <row r="13">
      <c r="B13" s="14" t="inlineStr">
        <is>
          <t>Cash / Share</t>
        </is>
      </c>
      <c r="C13" s="11">
        <f>IFERROR((C7-C8)/C4,"")</f>
        <v>0.21003995877819007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-11.866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0.7988370133153547</v>
      </c>
    </row>
    <row r="19">
      <c r="B19" s="14" t="inlineStr">
        <is>
          <t>Implied Pipeline Value</t>
        </is>
      </c>
      <c r="C19" s="13">
        <f>C9</f>
        <v>44.6764096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0.043</v>
      </c>
      <c r="G2" s="23" t="n">
        <v>1.123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0.327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0.043</v>
      </c>
      <c r="G4" s="23">
        <f>G2-G3</f>
        <v>0.796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2.386</v>
      </c>
      <c r="C5" s="23" t="n">
        <v>3.039</v>
      </c>
      <c r="D5" s="23" t="n">
        <v>4.301</v>
      </c>
      <c r="E5" s="23" t="n">
        <v>5.667</v>
      </c>
      <c r="F5" s="23" t="n">
        <v>6.025</v>
      </c>
      <c r="G5" s="23" t="n">
        <v>6.269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0.8179999999999999</v>
      </c>
      <c r="C6" s="23" t="n">
        <v>2.632</v>
      </c>
      <c r="D6" s="23" t="n">
        <v>5.649</v>
      </c>
      <c r="E6" s="23" t="n">
        <v>5.729</v>
      </c>
      <c r="F6" s="23" t="n">
        <v>4.988</v>
      </c>
      <c r="G6" s="23" t="n">
        <v>7.037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3.204</v>
      </c>
      <c r="C7" s="23">
        <f>SUM(C5:C6)</f>
        <v>5.671</v>
      </c>
      <c r="D7" s="23">
        <f>SUM(D5:D6)</f>
        <v>9.95</v>
      </c>
      <c r="E7" s="23">
        <f>SUM(E5:E6)</f>
        <v>11.396</v>
      </c>
      <c r="F7" s="23">
        <f>SUM(F5:F6)</f>
        <v>11.013000000000002</v>
      </c>
      <c r="G7" s="23">
        <f>SUM(G5:G6)</f>
        <v>13.306000000000001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-3.204</v>
      </c>
      <c r="C8" s="23">
        <f>C4-C7</f>
        <v>-5.671</v>
      </c>
      <c r="D8" s="23">
        <f>D4-D7</f>
        <v>-9.95</v>
      </c>
      <c r="E8" s="23">
        <f>E4-E7</f>
        <v>-11.396</v>
      </c>
      <c r="F8" s="23">
        <f>F4-F7</f>
        <v>-10.970000000000002</v>
      </c>
      <c r="G8" s="23">
        <f>G4-G7</f>
        <v>-12.510000000000002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-0.594</v>
      </c>
      <c r="C9" s="23" t="n">
        <v>-0.653</v>
      </c>
      <c r="D9" s="23" t="n">
        <v>0.061</v>
      </c>
      <c r="E9" s="23" t="n">
        <v>1.164</v>
      </c>
      <c r="F9" s="23" t="n">
        <v>2.156</v>
      </c>
      <c r="G9" s="23" t="n">
        <v>1.344</v>
      </c>
    </row>
    <row r="10">
      <c r="A10" s="2" t="inlineStr">
        <is>
          <t>Pretax</t>
        </is>
      </c>
      <c r="B10" s="23">
        <f>B8+B9</f>
        <v>-3.798</v>
      </c>
      <c r="C10" s="23">
        <f>C8+C9</f>
        <v>-6.324</v>
      </c>
      <c r="D10" s="23">
        <f>D8+D9</f>
        <v>-9.889</v>
      </c>
      <c r="E10" s="23">
        <f>E8+E9</f>
        <v>-10.232000000000001</v>
      </c>
      <c r="F10" s="23">
        <f>F8+F9</f>
        <v>-8.814000000000002</v>
      </c>
      <c r="G10" s="23">
        <f>G8+G9</f>
        <v>-11.166000000000002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0.002</v>
      </c>
    </row>
    <row r="12">
      <c r="A12" s="2" t="inlineStr">
        <is>
          <t>Net Income</t>
        </is>
      </c>
      <c r="B12" s="23" t="n">
        <v>-3.798</v>
      </c>
      <c r="C12" s="23" t="n">
        <v>-6.324</v>
      </c>
      <c r="D12" s="23" t="n">
        <v>-9.888999999999999</v>
      </c>
      <c r="E12" s="23" t="n">
        <v>-10.232</v>
      </c>
      <c r="F12" s="23" t="n">
        <v>-8.814</v>
      </c>
      <c r="G12" s="23" t="n">
        <v>-11.168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-1.7154471544715448</v>
      </c>
      <c r="C13" s="11">
        <f>IFERROR(C12/C14,0)</f>
        <v>-1.2121909143185738</v>
      </c>
      <c r="D13" s="11">
        <f>IFERROR(D12/D14,0)</f>
        <v>-1.0924657534246576</v>
      </c>
      <c r="E13" s="11">
        <f>IFERROR(E12/E14,0)</f>
        <v>-0.9942668350986298</v>
      </c>
      <c r="F13" s="11">
        <f>IFERROR(F12/F14,0)</f>
        <v>-0.3957613039378564</v>
      </c>
      <c r="G13" s="11">
        <f>IFERROR(G12/G14,0)</f>
        <v>-0.3160784535703167</v>
      </c>
    </row>
    <row r="14">
      <c r="A14" s="2" t="inlineStr">
        <is>
          <t>Shares</t>
        </is>
      </c>
      <c r="B14" s="23" t="n">
        <v>2.214</v>
      </c>
      <c r="C14" s="23" t="n">
        <v>5.217</v>
      </c>
      <c r="D14" s="23" t="n">
        <v>9.052</v>
      </c>
      <c r="E14" s="23" t="n">
        <v>10.291</v>
      </c>
      <c r="F14" s="23" t="n">
        <v>22.271</v>
      </c>
      <c r="G14" s="23" t="n">
        <v>35.333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25.116279069767444</v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0.7088156723063224</v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-255.11627906976753</v>
      </c>
      <c r="G18" s="15">
        <f>IFERROR(G8/G2,"")</f>
        <v>-11.139804096170971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RenovoRx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0.4388000000000001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13.54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50.2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1218.4343933145155</v>
      </c>
      <c r="C29" s="42">
        <f>NPV!B25</f>
        <v>1227.9133933145156</v>
      </c>
      <c r="D29" s="43">
        <f>NPV!B27</f>
        <v>27.208658984594194</v>
      </c>
      <c r="E29" s="44">
        <f>NPV!B29</f>
        <v>21.67388248716183</v>
      </c>
    </row>
    <row r="30">
      <c r="A30" s="45" t="n">
        <v>1</v>
      </c>
      <c r="B30" s="46">
        <f t="dataTable" ref="B30:E32" r1="B4"/>
        <v>483.1960368532</v>
      </c>
      <c r="C30" s="46">
        <v>492.67503685319997</v>
      </c>
      <c r="D30" s="47">
        <v>10.91691575394972</v>
      </c>
      <c r="E30" s="48">
        <v>8.097429794958101</v>
      </c>
    </row>
    <row r="31">
      <c r="A31" s="45" t="n">
        <v>2</v>
      </c>
      <c r="B31" s="46">
        <v>1218.4343933145155</v>
      </c>
      <c r="C31" s="46">
        <v>1227.9133933145156</v>
      </c>
      <c r="D31" s="47">
        <v>27.208658984594194</v>
      </c>
      <c r="E31" s="48">
        <v>21.67388248716183</v>
      </c>
    </row>
    <row r="32">
      <c r="A32" s="45" t="n">
        <v>3</v>
      </c>
      <c r="B32" s="46">
        <v>2348.0821676386668</v>
      </c>
      <c r="C32" s="46">
        <v>2357.5611676386666</v>
      </c>
      <c r="D32" s="47">
        <v>52.239904047672454</v>
      </c>
      <c r="E32" s="48">
        <v>42.53325337306038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27.208658984594194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7.971736894108021</v>
      </c>
      <c r="C37" s="47">
        <v>12.113274789606091</v>
      </c>
      <c r="D37" s="47">
        <v>16.254812685104163</v>
      </c>
      <c r="E37" s="47">
        <v>24.52355364907249</v>
      </c>
      <c r="F37" s="47">
        <v>32.79203780523357</v>
      </c>
    </row>
    <row r="38">
      <c r="A38" s="50" t="n">
        <v>0.8</v>
      </c>
      <c r="B38" s="47">
        <v>10.697008337714266</v>
      </c>
      <c r="C38" s="47">
        <v>16.219058865045028</v>
      </c>
      <c r="D38" s="47">
        <v>21.7318642387528</v>
      </c>
      <c r="E38" s="47">
        <v>32.75650978030091</v>
      </c>
      <c r="F38" s="47">
        <v>43.78115532184903</v>
      </c>
    </row>
    <row r="39">
      <c r="A39" s="50" t="n">
        <v>1</v>
      </c>
      <c r="B39" s="47">
        <v>13.42227978132051</v>
      </c>
      <c r="C39" s="47">
        <v>20.318255521126627</v>
      </c>
      <c r="D39" s="47">
        <v>27.208658984594194</v>
      </c>
      <c r="E39" s="47">
        <v>40.989465911529344</v>
      </c>
      <c r="F39" s="47">
        <v>54.77027283846447</v>
      </c>
    </row>
    <row r="40">
      <c r="A40" s="50" t="n">
        <v>1.2</v>
      </c>
      <c r="B40" s="47">
        <v>16.14755122492675</v>
      </c>
      <c r="C40" s="47">
        <v>24.41696957427451</v>
      </c>
      <c r="D40" s="47">
        <v>32.6854537304356</v>
      </c>
      <c r="E40" s="47">
        <v>49.22242204275777</v>
      </c>
      <c r="F40" s="47">
        <v>65.75500865667682</v>
      </c>
    </row>
    <row r="41">
      <c r="A41" s="50" t="n">
        <v>1.4</v>
      </c>
      <c r="B41" s="47">
        <v>18.869118778567795</v>
      </c>
      <c r="C41" s="47">
        <v>28.51568362742239</v>
      </c>
      <c r="D41" s="47">
        <v>38.162248476277</v>
      </c>
      <c r="E41" s="47">
        <v>57.45537817398619</v>
      </c>
      <c r="F41" s="47">
        <v>76.73802685436684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RenovoRx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Pancreatic cancer</t>
        </is>
      </c>
      <c r="C4" s="14" t="inlineStr"/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2500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1573.5945047131565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109.7</v>
      </c>
      <c r="Q4" s="23">
        <f>IF(Q$3&lt;$I4,0,$G4*Assumptions!$E$11*INDEX(Assumptions!$B$24:$G$24,MIN(6,Q$3-$I4+1))*IF(Q$3&gt;$J4,(1-Assumptions!$B$26)^(Q$3-$J4),1)*IF($H4&gt;=1,1,MIN(0.97,$H4*Assumptions!$E$12)))</f>
        <v>274.25</v>
      </c>
      <c r="R4" s="23">
        <f>IF(R$3&lt;$I4,0,$G4*Assumptions!$E$11*INDEX(Assumptions!$B$24:$G$24,MIN(6,R$3-$I4+1))*IF(R$3&gt;$J4,(1-Assumptions!$B$26)^(R$3-$J4),1)*IF($H4&gt;=1,1,MIN(0.97,$H4*Assumptions!$E$12)))</f>
        <v>493.65000000000003</v>
      </c>
      <c r="S4" s="23">
        <f>IF(S$3&lt;$I4,0,$G4*Assumptions!$E$11*INDEX(Assumptions!$B$24:$G$24,MIN(6,S$3-$I4+1))*IF(S$3&gt;$J4,(1-Assumptions!$B$26)^(S$3-$J4),1)*IF($H4&gt;=1,1,MIN(0.97,$H4*Assumptions!$E$12)))</f>
        <v>713.0500000000001</v>
      </c>
      <c r="T4" s="23">
        <f>IF(T$3&lt;$I4,0,$G4*Assumptions!$E$11*INDEX(Assumptions!$B$24:$G$24,MIN(6,T$3-$I4+1))*IF(T$3&gt;$J4,(1-Assumptions!$B$26)^(T$3-$J4),1)*IF($H4&gt;=1,1,MIN(0.97,$H4*Assumptions!$E$12)))</f>
        <v>932.45</v>
      </c>
      <c r="U4" s="23">
        <f>IF(U$3&lt;$I4,0,$G4*Assumptions!$E$11*INDEX(Assumptions!$B$24:$G$24,MIN(6,U$3-$I4+1))*IF(U$3&gt;$J4,(1-Assumptions!$B$26)^(U$3-$J4),1)*IF($H4&gt;=1,1,MIN(0.97,$H4*Assumptions!$E$12)))</f>
        <v>1097.0</v>
      </c>
      <c r="V4" s="23">
        <f>IF(V$3&lt;$I4,0,$G4*Assumptions!$E$11*INDEX(Assumptions!$B$24:$G$24,MIN(6,V$3-$I4+1))*IF(V$3&gt;$J4,(1-Assumptions!$B$26)^(V$3-$J4),1)*IF($H4&gt;=1,1,MIN(0.97,$H4*Assumptions!$E$12)))</f>
        <v>1097.0</v>
      </c>
      <c r="W4" s="23">
        <f>IF(W$3&lt;$I4,0,$G4*Assumptions!$E$11*INDEX(Assumptions!$B$24:$G$24,MIN(6,W$3-$I4+1))*IF(W$3&gt;$J4,(1-Assumptions!$B$26)^(W$3-$J4),1)*IF($H4&gt;=1,1,MIN(0.97,$H4*Assumptions!$E$12)))</f>
        <v>1097.0</v>
      </c>
      <c r="X4" s="23">
        <f>IF(X$3&lt;$I4,0,$G4*Assumptions!$E$11*INDEX(Assumptions!$B$24:$G$24,MIN(6,X$3-$I4+1))*IF(X$3&gt;$J4,(1-Assumptions!$B$26)^(X$3-$J4),1)*IF($H4&gt;=1,1,MIN(0.97,$H4*Assumptions!$E$12)))</f>
        <v>1097.0</v>
      </c>
      <c r="Y4" s="23">
        <f>IF(Y$3&lt;$I4,0,$G4*Assumptions!$E$11*INDEX(Assumptions!$B$24:$G$24,MIN(6,Y$3-$I4+1))*IF(Y$3&gt;$J4,(1-Assumptions!$B$26)^(Y$3-$J4),1)*IF($H4&gt;=1,1,MIN(0.97,$H4*Assumptions!$E$12)))</f>
        <v>1097.0</v>
      </c>
      <c r="Z4" s="23">
        <f>IF(Z$3&lt;$I4,0,$G4*Assumptions!$E$11*INDEX(Assumptions!$B$24:$G$24,MIN(6,Z$3-$I4+1))*IF(Z$3&gt;$J4,(1-Assumptions!$B$26)^(Z$3-$J4),1)*IF($H4&gt;=1,1,MIN(0.97,$H4*Assumptions!$E$12)))</f>
        <v>1097.0</v>
      </c>
      <c r="AA4" s="23">
        <f>IF(AA$3&lt;$I4,0,$G4*Assumptions!$E$11*INDEX(Assumptions!$B$24:$G$24,MIN(6,AA$3-$I4+1))*IF(AA$3&gt;$J4,(1-Assumptions!$B$26)^(AA$3-$J4),1)*IF($H4&gt;=1,1,MIN(0.97,$H4*Assumptions!$E$12)))</f>
        <v>1097.0</v>
      </c>
      <c r="AB4" s="23">
        <f>IF(AB$3&lt;$I4,0,$G4*Assumptions!$E$11*INDEX(Assumptions!$B$24:$G$24,MIN(6,AB$3-$I4+1))*IF(AB$3&gt;$J4,(1-Assumptions!$B$26)^(AB$3-$J4),1)*IF($H4&gt;=1,1,MIN(0.97,$H4*Assumptions!$E$12)))</f>
        <v>1097.0</v>
      </c>
      <c r="AC4" s="23">
        <f>IF(AC$3&lt;$I4,0,$G4*Assumptions!$E$11*INDEX(Assumptions!$B$24:$G$24,MIN(6,AC$3-$I4+1))*IF(AC$3&gt;$J4,(1-Assumptions!$B$26)^(AC$3-$J4),1)*IF($H4&gt;=1,1,MIN(0.97,$H4*Assumptions!$E$12)))</f>
        <v>548.5</v>
      </c>
      <c r="AD4" s="23">
        <f>IF(AD$3&lt;$I4,0,$G4*Assumptions!$E$11*INDEX(Assumptions!$B$24:$G$24,MIN(6,AD$3-$I4+1))*IF(AD$3&gt;$J4,(1-Assumptions!$B$26)^(AD$3-$J4),1)*IF($H4&gt;=1,1,MIN(0.97,$H4*Assumptions!$E$12)))</f>
        <v>274.25</v>
      </c>
      <c r="AE4" s="23">
        <f>IF(AE$3&lt;$I4,0,$G4*Assumptions!$E$11*INDEX(Assumptions!$B$24:$G$24,MIN(6,AE$3-$I4+1))*IF(AE$3&gt;$J4,(1-Assumptions!$B$26)^(AE$3-$J4),1)*IF($H4&gt;=1,1,MIN(0.97,$H4*Assumptions!$E$12)))</f>
        <v>137.125</v>
      </c>
      <c r="AF4" s="23">
        <f>IF(AF$3&lt;$I4,0,$G4*Assumptions!$E$11*INDEX(Assumptions!$B$24:$G$24,MIN(6,AF$3-$I4+1))*IF(AF$3&gt;$J4,(1-Assumptions!$B$26)^(AF$3-$J4),1)*IF($H4&gt;=1,1,MIN(0.97,$H4*Assumptions!$E$12)))</f>
        <v>68.5625</v>
      </c>
      <c r="AG4" s="35">
        <f>IF(F4="Owned",1-IF(H4&gt;=1,1,MIN(0.97,H4*Assumptions!$E$12)),1)</f>
        <v>0.5611999999999999</v>
      </c>
    </row>
    <row r="5">
      <c r="B5" s="24" t="inlineStr">
        <is>
          <t>Risked revenue</t>
        </is>
      </c>
      <c r="L5" s="54">
        <f>SUM(L4:L4)</f>
        <v>1573.5945047131565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109.7</v>
      </c>
      <c r="Q5" s="54">
        <f>SUM(Q4:Q4)</f>
        <v>274.25</v>
      </c>
      <c r="R5" s="54">
        <f>SUM(R4:R4)</f>
        <v>493.65000000000003</v>
      </c>
      <c r="S5" s="54">
        <f>SUM(S4:S4)</f>
        <v>713.0500000000001</v>
      </c>
      <c r="T5" s="54">
        <f>SUM(T4:T4)</f>
        <v>932.45</v>
      </c>
      <c r="U5" s="54">
        <f>SUM(U4:U4)</f>
        <v>1097.0</v>
      </c>
      <c r="V5" s="54">
        <f>SUM(V4:V4)</f>
        <v>1097.0</v>
      </c>
      <c r="W5" s="54">
        <f>SUM(W4:W4)</f>
        <v>1097.0</v>
      </c>
      <c r="X5" s="54">
        <f>SUM(X4:X4)</f>
        <v>1097.0</v>
      </c>
      <c r="Y5" s="54">
        <f>SUM(Y4:Y4)</f>
        <v>1097.0</v>
      </c>
      <c r="Z5" s="54">
        <f>SUM(Z4:Z4)</f>
        <v>1097.0</v>
      </c>
      <c r="AA5" s="54">
        <f>SUM(AA4:AA4)</f>
        <v>1097.0</v>
      </c>
      <c r="AB5" s="54">
        <f>SUM(AB4:AB4)</f>
        <v>1097.0</v>
      </c>
      <c r="AC5" s="54">
        <f>SUM(AC4:AC4)</f>
        <v>548.5</v>
      </c>
      <c r="AD5" s="54">
        <f>SUM(AD4:AD4)</f>
        <v>274.25</v>
      </c>
      <c r="AE5" s="54">
        <f>SUM(AE4:AE4)</f>
        <v>137.125</v>
      </c>
      <c r="AF5" s="54">
        <f>SUM(AF4:AF4)</f>
        <v>68.5625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43.88</v>
      </c>
      <c r="Q6" s="55">
        <f>SUMPRODUCT(Q4:Q4,$K$4:$K$4)</f>
        <v>109.7</v>
      </c>
      <c r="R6" s="55">
        <f>SUMPRODUCT(R4:R4,$K$4:$K$4)</f>
        <v>197.46000000000004</v>
      </c>
      <c r="S6" s="55">
        <f>SUMPRODUCT(S4:S4,$K$4:$K$4)</f>
        <v>285.22</v>
      </c>
      <c r="T6" s="55">
        <f>SUMPRODUCT(T4:T4,$K$4:$K$4)</f>
        <v>372.98</v>
      </c>
      <c r="U6" s="55">
        <f>SUMPRODUCT(U4:U4,$K$4:$K$4)</f>
        <v>438.8</v>
      </c>
      <c r="V6" s="55">
        <f>SUMPRODUCT(V4:V4,$K$4:$K$4)</f>
        <v>438.8</v>
      </c>
      <c r="W6" s="55">
        <f>SUMPRODUCT(W4:W4,$K$4:$K$4)</f>
        <v>438.8</v>
      </c>
      <c r="X6" s="55">
        <f>SUMPRODUCT(X4:X4,$K$4:$K$4)</f>
        <v>438.8</v>
      </c>
      <c r="Y6" s="55">
        <f>SUMPRODUCT(Y4:Y4,$K$4:$K$4)</f>
        <v>438.8</v>
      </c>
      <c r="Z6" s="55">
        <f>SUMPRODUCT(Z4:Z4,$K$4:$K$4)</f>
        <v>438.8</v>
      </c>
      <c r="AA6" s="55">
        <f>SUMPRODUCT(AA4:AA4,$K$4:$K$4)</f>
        <v>438.8</v>
      </c>
      <c r="AB6" s="55">
        <f>SUMPRODUCT(AB4:AB4,$K$4:$K$4)</f>
        <v>438.8</v>
      </c>
      <c r="AC6" s="55">
        <f>SUMPRODUCT(AC4:AC4,$K$4:$K$4)</f>
        <v>219.4</v>
      </c>
      <c r="AD6" s="55">
        <f>SUMPRODUCT(AD4:AD4,$K$4:$K$4)</f>
        <v>109.7</v>
      </c>
      <c r="AE6" s="55">
        <f>SUMPRODUCT(AE4:AE4,$K$4:$K$4)</f>
        <v>54.85</v>
      </c>
      <c r="AF6" s="55">
        <f>SUMPRODUCT(AF4:AF4,$K$4:$K$4)</f>
        <v>27.425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RenovoRx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109.7</v>
      </c>
      <c r="G4" s="57">
        <f>Pipeline!Q5</f>
        <v>274.25</v>
      </c>
      <c r="H4" s="57">
        <f>Pipeline!R5</f>
        <v>493.65000000000003</v>
      </c>
      <c r="I4" s="57">
        <f>Pipeline!S5</f>
        <v>713.0500000000001</v>
      </c>
      <c r="J4" s="57">
        <f>Pipeline!T5</f>
        <v>932.45</v>
      </c>
      <c r="K4" s="57">
        <f>Pipeline!U5</f>
        <v>1097.0</v>
      </c>
      <c r="L4" s="57">
        <f>Pipeline!V5</f>
        <v>1097.0</v>
      </c>
      <c r="M4" s="57">
        <f>Pipeline!W5</f>
        <v>1097.0</v>
      </c>
      <c r="N4" s="57">
        <f>Pipeline!X5</f>
        <v>1097.0</v>
      </c>
      <c r="O4" s="57">
        <f>Pipeline!Y5</f>
        <v>1097.0</v>
      </c>
      <c r="P4" s="57">
        <f>Pipeline!Z5</f>
        <v>1097.0</v>
      </c>
      <c r="Q4" s="57">
        <f>Pipeline!AA5</f>
        <v>1097.0</v>
      </c>
      <c r="R4" s="57">
        <f>Pipeline!AB5</f>
        <v>1097.0</v>
      </c>
      <c r="S4" s="57">
        <f>Pipeline!AC5</f>
        <v>548.5</v>
      </c>
      <c r="T4" s="57">
        <f>Pipeline!AD5</f>
        <v>274.25</v>
      </c>
      <c r="U4" s="57">
        <f>Pipeline!AE5</f>
        <v>137.125</v>
      </c>
      <c r="V4" s="57">
        <f>Pipeline!AF5</f>
        <v>68.5625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43.88</v>
      </c>
      <c r="G5" s="57">
        <f>Pipeline!Q6</f>
        <v>109.7</v>
      </c>
      <c r="H5" s="57">
        <f>Pipeline!R6</f>
        <v>197.46000000000004</v>
      </c>
      <c r="I5" s="57">
        <f>Pipeline!S6</f>
        <v>285.22</v>
      </c>
      <c r="J5" s="57">
        <f>Pipeline!T6</f>
        <v>372.98</v>
      </c>
      <c r="K5" s="57">
        <f>Pipeline!U6</f>
        <v>438.8</v>
      </c>
      <c r="L5" s="57">
        <f>Pipeline!V6</f>
        <v>438.8</v>
      </c>
      <c r="M5" s="57">
        <f>Pipeline!W6</f>
        <v>438.8</v>
      </c>
      <c r="N5" s="57">
        <f>Pipeline!X6</f>
        <v>438.8</v>
      </c>
      <c r="O5" s="57">
        <f>Pipeline!Y6</f>
        <v>438.8</v>
      </c>
      <c r="P5" s="57">
        <f>Pipeline!Z6</f>
        <v>438.8</v>
      </c>
      <c r="Q5" s="57">
        <f>Pipeline!AA6</f>
        <v>438.8</v>
      </c>
      <c r="R5" s="57">
        <f>Pipeline!AB6</f>
        <v>438.8</v>
      </c>
      <c r="S5" s="57">
        <f>Pipeline!AC6</f>
        <v>219.4</v>
      </c>
      <c r="T5" s="57">
        <f>Pipeline!AD6</f>
        <v>109.7</v>
      </c>
      <c r="U5" s="57">
        <f>Pipeline!AE6</f>
        <v>54.85</v>
      </c>
      <c r="V5" s="57">
        <f>Pipeline!AF6</f>
        <v>27.425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-13.54</v>
      </c>
      <c r="D6" s="23">
        <f>-IF(D3-2026&lt;Assumptions!$B$19,Assumptions!$B$18,Assumptions!$B$18*Assumptions!$B$20*Assumptions!$B$16)</f>
        <v>-13.54</v>
      </c>
      <c r="E6" s="23">
        <f>-IF(E3-2026&lt;Assumptions!$B$19,Assumptions!$B$18,Assumptions!$B$18*Assumptions!$B$20*Assumptions!$B$16)</f>
        <v>-13.54</v>
      </c>
      <c r="F6" s="23">
        <f>-IF(F3-2026&lt;Assumptions!$B$19,Assumptions!$B$18,Assumptions!$B$18*Assumptions!$B$20*Assumptions!$B$16)</f>
        <v>-1.7824056000000001</v>
      </c>
      <c r="G6" s="23">
        <f>-IF(G3-2026&lt;Assumptions!$B$19,Assumptions!$B$18,Assumptions!$B$18*Assumptions!$B$20*Assumptions!$B$16)</f>
        <v>-1.7824056000000001</v>
      </c>
      <c r="H6" s="23">
        <f>-IF(H3-2026&lt;Assumptions!$B$19,Assumptions!$B$18,Assumptions!$B$18*Assumptions!$B$20*Assumptions!$B$16)</f>
        <v>-1.7824056000000001</v>
      </c>
      <c r="I6" s="23">
        <f>-IF(I3-2026&lt;Assumptions!$B$19,Assumptions!$B$18,Assumptions!$B$18*Assumptions!$B$20*Assumptions!$B$16)</f>
        <v>-1.7824056000000001</v>
      </c>
      <c r="J6" s="23">
        <f>-IF(J3-2026&lt;Assumptions!$B$19,Assumptions!$B$18,Assumptions!$B$18*Assumptions!$B$20*Assumptions!$B$16)</f>
        <v>-1.7824056000000001</v>
      </c>
      <c r="K6" s="23">
        <f>-IF(K3-2026&lt;Assumptions!$B$19,Assumptions!$B$18,Assumptions!$B$18*Assumptions!$B$20*Assumptions!$B$16)</f>
        <v>-1.7824056000000001</v>
      </c>
      <c r="L6" s="23">
        <f>-IF(L3-2026&lt;Assumptions!$B$19,Assumptions!$B$18,Assumptions!$B$18*Assumptions!$B$20*Assumptions!$B$16)</f>
        <v>-1.7824056000000001</v>
      </c>
      <c r="M6" s="23">
        <f>-IF(M3-2026&lt;Assumptions!$B$19,Assumptions!$B$18,Assumptions!$B$18*Assumptions!$B$20*Assumptions!$B$16)</f>
        <v>-1.7824056000000001</v>
      </c>
      <c r="N6" s="23">
        <f>-IF(N3-2026&lt;Assumptions!$B$19,Assumptions!$B$18,Assumptions!$B$18*Assumptions!$B$20*Assumptions!$B$16)</f>
        <v>-1.7824056000000001</v>
      </c>
      <c r="O6" s="23">
        <f>-IF(O3-2026&lt;Assumptions!$B$19,Assumptions!$B$18,Assumptions!$B$18*Assumptions!$B$20*Assumptions!$B$16)</f>
        <v>-1.7824056000000001</v>
      </c>
      <c r="P6" s="23">
        <f>-IF(P3-2026&lt;Assumptions!$B$19,Assumptions!$B$18,Assumptions!$B$18*Assumptions!$B$20*Assumptions!$B$16)</f>
        <v>-1.7824056000000001</v>
      </c>
      <c r="Q6" s="23">
        <f>-IF(Q3-2026&lt;Assumptions!$B$19,Assumptions!$B$18,Assumptions!$B$18*Assumptions!$B$20*Assumptions!$B$16)</f>
        <v>-1.7824056000000001</v>
      </c>
      <c r="R6" s="23">
        <f>-IF(R3-2026&lt;Assumptions!$B$19,Assumptions!$B$18,Assumptions!$B$18*Assumptions!$B$20*Assumptions!$B$16)</f>
        <v>-1.7824056000000001</v>
      </c>
      <c r="S6" s="23">
        <f>-IF(S3-2026&lt;Assumptions!$B$19,Assumptions!$B$18,Assumptions!$B$18*Assumptions!$B$20*Assumptions!$B$16)</f>
        <v>-1.7824056000000001</v>
      </c>
      <c r="T6" s="23">
        <f>-IF(T3-2026&lt;Assumptions!$B$19,Assumptions!$B$18,Assumptions!$B$18*Assumptions!$B$20*Assumptions!$B$16)</f>
        <v>-1.7824056000000001</v>
      </c>
      <c r="U6" s="23">
        <f>-IF(U3-2026&lt;Assumptions!$B$19,Assumptions!$B$18,Assumptions!$B$18*Assumptions!$B$20*Assumptions!$B$16)</f>
        <v>-1.7824056000000001</v>
      </c>
      <c r="V6" s="23">
        <f>-IF(V3-2026&lt;Assumptions!$B$19,Assumptions!$B$18,Assumptions!$B$18*Assumptions!$B$20*Assumptions!$B$16)</f>
        <v>-1.7824056000000001</v>
      </c>
    </row>
    <row r="7">
      <c r="A7" s="14" t="inlineStr">
        <is>
          <t>Pre-tax cash flow</t>
        </is>
      </c>
      <c r="C7" s="23">
        <f>C5+C6</f>
        <v>-13.54</v>
      </c>
      <c r="D7" s="23">
        <f>D5+D6</f>
        <v>-13.54</v>
      </c>
      <c r="E7" s="23">
        <f>E5+E6</f>
        <v>-13.54</v>
      </c>
      <c r="F7" s="23">
        <f>F5+F6</f>
        <v>42.097594400000006</v>
      </c>
      <c r="G7" s="23">
        <f>G5+G6</f>
        <v>107.9175944</v>
      </c>
      <c r="H7" s="23">
        <f>H5+H6</f>
        <v>195.67759440000003</v>
      </c>
      <c r="I7" s="23">
        <f>I5+I6</f>
        <v>283.4375944</v>
      </c>
      <c r="J7" s="23">
        <f>J5+J6</f>
        <v>371.1975944</v>
      </c>
      <c r="K7" s="23">
        <f>K5+K6</f>
        <v>437.0175944</v>
      </c>
      <c r="L7" s="23">
        <f>L5+L6</f>
        <v>437.0175944</v>
      </c>
      <c r="M7" s="23">
        <f>M5+M6</f>
        <v>437.0175944</v>
      </c>
      <c r="N7" s="23">
        <f>N5+N6</f>
        <v>437.0175944</v>
      </c>
      <c r="O7" s="23">
        <f>O5+O6</f>
        <v>437.0175944</v>
      </c>
      <c r="P7" s="23">
        <f>P5+P6</f>
        <v>437.0175944</v>
      </c>
      <c r="Q7" s="23">
        <f>Q5+Q6</f>
        <v>437.0175944</v>
      </c>
      <c r="R7" s="23">
        <f>R5+R6</f>
        <v>437.0175944</v>
      </c>
      <c r="S7" s="23">
        <f>S5+S6</f>
        <v>217.6175944</v>
      </c>
      <c r="T7" s="23">
        <f>T5+T6</f>
        <v>107.9175944</v>
      </c>
      <c r="U7" s="23">
        <f>U5+U6</f>
        <v>53.067594400000004</v>
      </c>
      <c r="V7" s="23">
        <f>V5+V6</f>
        <v>25.6425944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42.097594400000006</v>
      </c>
      <c r="G8" s="23">
        <f>MIN(F17,MAX(0,G7))</f>
        <v>48.72240559999999</v>
      </c>
      <c r="H8" s="23">
        <f>MIN(G17,MAX(0,H7))</f>
        <v>0.0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59.19518880000001</v>
      </c>
      <c r="H9" s="23">
        <f>MAX(0,H7)-H8</f>
        <v>195.67759440000003</v>
      </c>
      <c r="I9" s="23">
        <f>MAX(0,I7)-I8</f>
        <v>283.4375944</v>
      </c>
      <c r="J9" s="23">
        <f>MAX(0,J7)-J8</f>
        <v>371.1975944</v>
      </c>
      <c r="K9" s="23">
        <f>MAX(0,K7)-K8</f>
        <v>437.0175944</v>
      </c>
      <c r="L9" s="23">
        <f>MAX(0,L7)-L8</f>
        <v>437.0175944</v>
      </c>
      <c r="M9" s="23">
        <f>MAX(0,M7)-M8</f>
        <v>437.0175944</v>
      </c>
      <c r="N9" s="23">
        <f>MAX(0,N7)-N8</f>
        <v>437.0175944</v>
      </c>
      <c r="O9" s="23">
        <f>MAX(0,O7)-O8</f>
        <v>437.0175944</v>
      </c>
      <c r="P9" s="23">
        <f>MAX(0,P7)-P8</f>
        <v>437.0175944</v>
      </c>
      <c r="Q9" s="23">
        <f>MAX(0,Q7)-Q8</f>
        <v>437.0175944</v>
      </c>
      <c r="R9" s="23">
        <f>MAX(0,R7)-R8</f>
        <v>437.0175944</v>
      </c>
      <c r="S9" s="23">
        <f>MAX(0,S7)-S8</f>
        <v>217.6175944</v>
      </c>
      <c r="T9" s="23">
        <f>MAX(0,T7)-T8</f>
        <v>107.9175944</v>
      </c>
      <c r="U9" s="23">
        <f>MAX(0,U7)-U8</f>
        <v>53.067594400000004</v>
      </c>
      <c r="V9" s="23">
        <f>MAX(0,V7)-V8</f>
        <v>25.6425944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12.430989648000002</v>
      </c>
      <c r="H10" s="23">
        <f>H9*Assumptions!$E$15</f>
        <v>41.09229482400001</v>
      </c>
      <c r="I10" s="23">
        <f>I9*Assumptions!$E$15</f>
        <v>59.521894824</v>
      </c>
      <c r="J10" s="23">
        <f>J9*Assumptions!$E$15</f>
        <v>77.951494824</v>
      </c>
      <c r="K10" s="23">
        <f>K9*Assumptions!$E$15</f>
        <v>91.773694824</v>
      </c>
      <c r="L10" s="23">
        <f>L9*Assumptions!$E$15</f>
        <v>91.773694824</v>
      </c>
      <c r="M10" s="23">
        <f>M9*Assumptions!$E$15</f>
        <v>91.773694824</v>
      </c>
      <c r="N10" s="23">
        <f>N9*Assumptions!$E$15</f>
        <v>91.773694824</v>
      </c>
      <c r="O10" s="23">
        <f>O9*Assumptions!$E$15</f>
        <v>91.773694824</v>
      </c>
      <c r="P10" s="23">
        <f>P9*Assumptions!$E$15</f>
        <v>91.773694824</v>
      </c>
      <c r="Q10" s="23">
        <f>Q9*Assumptions!$E$15</f>
        <v>91.773694824</v>
      </c>
      <c r="R10" s="23">
        <f>R9*Assumptions!$E$15</f>
        <v>91.773694824</v>
      </c>
      <c r="S10" s="23">
        <f>S9*Assumptions!$E$15</f>
        <v>45.699694824</v>
      </c>
      <c r="T10" s="23">
        <f>T9*Assumptions!$E$15</f>
        <v>22.662694824</v>
      </c>
      <c r="U10" s="23">
        <f>U9*Assumptions!$E$15</f>
        <v>11.144194824000001</v>
      </c>
      <c r="V10" s="23">
        <f>V9*Assumptions!$E$15</f>
        <v>5.384944824</v>
      </c>
    </row>
    <row r="11">
      <c r="A11" s="24" t="inlineStr">
        <is>
          <t>Free cash flow</t>
        </is>
      </c>
      <c r="C11" s="55">
        <f>C7-C10</f>
        <v>-13.54</v>
      </c>
      <c r="D11" s="55">
        <f>D7-D10</f>
        <v>-13.54</v>
      </c>
      <c r="E11" s="55">
        <f>E7-E10</f>
        <v>-13.54</v>
      </c>
      <c r="F11" s="55">
        <f>F7-F10</f>
        <v>42.097594400000006</v>
      </c>
      <c r="G11" s="55">
        <f>G7-G10</f>
        <v>95.48660475199999</v>
      </c>
      <c r="H11" s="55">
        <f>H7-H10</f>
        <v>154.585299576</v>
      </c>
      <c r="I11" s="55">
        <f>I7-I10</f>
        <v>223.915699576</v>
      </c>
      <c r="J11" s="55">
        <f>J7-J10</f>
        <v>293.246099576</v>
      </c>
      <c r="K11" s="55">
        <f>K7-K10</f>
        <v>345.243899576</v>
      </c>
      <c r="L11" s="55">
        <f>L7-L10</f>
        <v>345.243899576</v>
      </c>
      <c r="M11" s="55">
        <f>M7-M10</f>
        <v>345.243899576</v>
      </c>
      <c r="N11" s="55">
        <f>N7-N10</f>
        <v>345.243899576</v>
      </c>
      <c r="O11" s="55">
        <f>O7-O10</f>
        <v>345.243899576</v>
      </c>
      <c r="P11" s="55">
        <f>P7-P10</f>
        <v>345.243899576</v>
      </c>
      <c r="Q11" s="55">
        <f>Q7-Q10</f>
        <v>345.243899576</v>
      </c>
      <c r="R11" s="55">
        <f>R7-R10</f>
        <v>345.243899576</v>
      </c>
      <c r="S11" s="55">
        <f>S7-S10</f>
        <v>171.917899576</v>
      </c>
      <c r="T11" s="55">
        <f>T7-T10</f>
        <v>85.254899576</v>
      </c>
      <c r="U11" s="55">
        <f>U7-U10</f>
        <v>41.923399576</v>
      </c>
      <c r="V11" s="55">
        <f>V7-V10</f>
        <v>20.257649576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-6.633304885658513</v>
      </c>
      <c r="D16" s="55">
        <f>D11*D15</f>
        <v>-12.083669761395463</v>
      </c>
      <c r="E16" s="55">
        <f>E11*E15</f>
        <v>-10.788990858388804</v>
      </c>
      <c r="F16" s="55">
        <f>F11*F15</f>
        <v>29.950316597763226</v>
      </c>
      <c r="G16" s="55">
        <f>G11*G15</f>
        <v>60.655273688781676</v>
      </c>
      <c r="H16" s="55">
        <f>H11*H15</f>
        <v>87.67510298581018</v>
      </c>
      <c r="I16" s="55">
        <f>I11*I15</f>
        <v>113.38996330777614</v>
      </c>
      <c r="J16" s="55">
        <f>J11*J15</f>
        <v>132.5880220213715</v>
      </c>
      <c r="K16" s="55">
        <f>K11*K15</f>
        <v>139.37344601487243</v>
      </c>
      <c r="L16" s="55">
        <f>L11*L15</f>
        <v>124.44057679899322</v>
      </c>
      <c r="M16" s="55">
        <f>M11*M15</f>
        <v>111.10765785624393</v>
      </c>
      <c r="N16" s="55">
        <f>N11*N15</f>
        <v>99.20326594307492</v>
      </c>
      <c r="O16" s="55">
        <f>O11*O15</f>
        <v>88.57434459203118</v>
      </c>
      <c r="P16" s="55">
        <f>P11*P15</f>
        <v>79.08423624288497</v>
      </c>
      <c r="Q16" s="55">
        <f>Q11*Q15</f>
        <v>70.61092521686157</v>
      </c>
      <c r="R16" s="55">
        <f>R11*R15</f>
        <v>63.04546894362641</v>
      </c>
      <c r="S16" s="55">
        <f>S11*S15</f>
        <v>28.030506145394906</v>
      </c>
      <c r="T16" s="55">
        <f>T11*T15</f>
        <v>12.411125520129337</v>
      </c>
      <c r="U16" s="55">
        <f>U11*U15</f>
        <v>5.449169165433542</v>
      </c>
      <c r="V16" s="55">
        <f>V11*V15</f>
        <v>2.3509577789091844</v>
      </c>
    </row>
    <row r="17">
      <c r="A17" s="14" t="inlineStr">
        <is>
          <t>Tax-loss carryforward, end of year</t>
        </is>
      </c>
      <c r="C17" s="23">
        <f>Assumptions!$B$21-C8+MAX(0,-C7)</f>
        <v>63.74</v>
      </c>
      <c r="D17" s="23">
        <f>C17-D8+MAX(0,-D7)</f>
        <v>77.28</v>
      </c>
      <c r="E17" s="23">
        <f>D17-E8+MAX(0,-E7)</f>
        <v>90.82</v>
      </c>
      <c r="F17" s="23">
        <f>E17-F8+MAX(0,-F7)</f>
        <v>48.72240559999999</v>
      </c>
      <c r="G17" s="23">
        <f>F17-G8+MAX(0,-G7)</f>
        <v>0.0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1573.594504713156</v>
      </c>
    </row>
    <row r="20">
      <c r="A20" s="14" t="inlineStr">
        <is>
          <t>PV of corporate burn</t>
        </is>
      </c>
      <c r="B20" s="23">
        <f>SUMPRODUCT(C6:V6,C15:V15)</f>
        <v>-39.61771153431192</v>
      </c>
    </row>
    <row r="21">
      <c r="A21" s="14" t="inlineStr">
        <is>
          <t>PV of taxes</t>
        </is>
      </c>
      <c r="B21" s="23">
        <f>-SUMPRODUCT(C10:V10,C15:V15)</f>
        <v>-315.54239986432873</v>
      </c>
    </row>
    <row r="22">
      <c r="A22" s="24" t="inlineStr">
        <is>
          <t>Pipeline rNPV (operations)</t>
        </is>
      </c>
      <c r="B22" s="54">
        <f>SUM(C16:V16)</f>
        <v>1218.4343933145155</v>
      </c>
    </row>
    <row r="23">
      <c r="A23" s="14" t="inlineStr">
        <is>
          <t>Cash &amp; investments</t>
        </is>
      </c>
      <c r="B23" s="57">
        <f>Main!C7</f>
        <v>9.479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1227.9133933145156</v>
      </c>
    </row>
    <row r="26">
      <c r="A26" s="14" t="inlineStr">
        <is>
          <t>Shares (mm)</t>
        </is>
      </c>
      <c r="B26" s="57">
        <f>Main!C4</f>
        <v>45.129508</v>
      </c>
    </row>
    <row r="27">
      <c r="A27" s="24" t="inlineStr">
        <is>
          <t>rNPV / share</t>
        </is>
      </c>
      <c r="B27" s="60">
        <f>B25/B26</f>
        <v>27.208658984594194</v>
      </c>
    </row>
    <row r="28">
      <c r="A28" s="14" t="inlineStr">
        <is>
          <t>Price</t>
        </is>
      </c>
      <c r="B28" s="61">
        <f>Main!C3</f>
        <v>1.2</v>
      </c>
    </row>
    <row r="29">
      <c r="A29" s="14" t="inlineStr">
        <is>
          <t>Upside</t>
        </is>
      </c>
      <c r="B29" s="62">
        <f>B27/B28-1</f>
        <v>21.67388248716183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2026-10-21T06:29:09Z</dcterms:modified>
  <cp:lastModifiedBy>Wang, Eric</cp:lastModifiedBy>
</cp:coreProperties>
</file>