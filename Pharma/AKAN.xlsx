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Akanda Corp</t>
        </is>
      </c>
      <c r="C2" s="10" t="n"/>
    </row>
    <row r="3">
      <c r="B3" t="inlineStr">
        <is>
          <t>Price</t>
        </is>
      </c>
      <c r="C3" s="11">
        <f>INDEX([1]Pharma!$F$1:$F$1000,MATCH("AKAN",[1]Pharma!$B$1:$B$1000,0))</f>
        <v>1.08</v>
      </c>
      <c r="F3" s="1" t="n"/>
    </row>
    <row r="4">
      <c r="B4" t="inlineStr">
        <is>
          <t>Shares</t>
        </is>
      </c>
      <c r="C4" s="21" t="n">
        <v>1.983546</v>
      </c>
      <c r="F4" s="1" t="n"/>
    </row>
    <row r="5">
      <c r="B5" t="inlineStr">
        <is>
          <t>Market Cap.</t>
        </is>
      </c>
      <c r="C5" s="13">
        <f>C3*C4</f>
        <v>2.1422296800000002</v>
      </c>
      <c r="F5" s="1" t="n"/>
    </row>
    <row r="6"/>
    <row r="7">
      <c r="B7" t="inlineStr">
        <is>
          <t>Cash</t>
        </is>
      </c>
      <c r="C7" s="21" t="n">
        <v>2.529535</v>
      </c>
    </row>
    <row r="8">
      <c r="B8" t="inlineStr">
        <is>
          <t>Debt</t>
        </is>
      </c>
      <c r="C8" s="21" t="n">
        <v>0.184285</v>
      </c>
    </row>
    <row r="9">
      <c r="B9" t="inlineStr">
        <is>
          <t>Enterprise V.</t>
        </is>
      </c>
      <c r="C9" s="13">
        <f>C5-C7+C8</f>
        <v>-0.20302031999999984</v>
      </c>
    </row>
    <row r="10"/>
    <row r="11">
      <c r="B11" s="14" t="inlineStr">
        <is>
          <t>Net Cash / Share</t>
        </is>
      </c>
      <c r="C11" s="11">
        <f>(C7-C8)/C4</f>
        <v>1.1823522116452052</v>
      </c>
    </row>
    <row r="12">
      <c r="B12" s="14" t="inlineStr">
        <is>
          <t>Upside</t>
        </is>
      </c>
      <c r="C12" s="15">
        <f>IFERROR(C11/C3-1,"")</f>
        <v>0.09477056633815284</v>
      </c>
    </row>
    <row r="13">
      <c r="B13" s="14" t="inlineStr">
        <is>
          <t>Cash / Share</t>
        </is>
      </c>
      <c r="C13" s="11">
        <f>IFERROR((C7-C8)/C4,"")</f>
        <v>1.1823522116452052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-1.764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1.3295068027210886</v>
      </c>
    </row>
    <row r="19">
      <c r="B19" s="14" t="inlineStr">
        <is>
          <t>Implied Pipeline Value</t>
        </is>
      </c>
      <c r="C19" s="13">
        <f>C9</f>
        <v>-0.20302031999999984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0.002</v>
      </c>
      <c r="D2" s="23" t="n">
        <v>0.041</v>
      </c>
      <c r="E2" s="23" t="n">
        <v>2.62</v>
      </c>
      <c r="F2" s="23" t="n">
        <v>0.424</v>
      </c>
      <c r="G2" s="23" t="n">
        <v>0.837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0.002</v>
      </c>
      <c r="D3" s="23" t="n">
        <v>0.043</v>
      </c>
      <c r="E3" s="23" t="n">
        <v>0.5659999999999999</v>
      </c>
      <c r="F3" s="23" t="n">
        <v>0.364</v>
      </c>
      <c r="G3" s="23" t="n">
        <v>0.628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-0.001999999999999995</v>
      </c>
      <c r="E4" s="23">
        <f>E2-E3</f>
        <v>2.0540000000000003</v>
      </c>
      <c r="F4" s="23">
        <f>F2-F3</f>
        <v>0.06</v>
      </c>
      <c r="G4" s="23">
        <f>G2-G3</f>
        <v>0.20899999999999996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0.901</v>
      </c>
      <c r="C6" s="23" t="n">
        <v>1.666</v>
      </c>
      <c r="D6" s="23" t="n">
        <v>2.569</v>
      </c>
      <c r="E6" s="23" t="n">
        <v>22.23</v>
      </c>
      <c r="F6" s="23" t="n">
        <v>3.718</v>
      </c>
      <c r="G6" s="23" t="n">
        <v>4.591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0.901</v>
      </c>
      <c r="C7" s="23">
        <f>SUM(C5:C6)</f>
        <v>1.666</v>
      </c>
      <c r="D7" s="23">
        <f>SUM(D5:D6)</f>
        <v>2.569</v>
      </c>
      <c r="E7" s="23">
        <f>SUM(E5:E6)</f>
        <v>22.23</v>
      </c>
      <c r="F7" s="23">
        <f>SUM(F5:F6)</f>
        <v>3.718</v>
      </c>
      <c r="G7" s="23">
        <f>SUM(G5:G6)</f>
        <v>4.591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-0.901</v>
      </c>
      <c r="C8" s="23">
        <f>C4-C7</f>
        <v>-1.666</v>
      </c>
      <c r="D8" s="23">
        <f>D4-D7</f>
        <v>-2.5709999999999997</v>
      </c>
      <c r="E8" s="23">
        <f>E4-E7</f>
        <v>-20.176000000000002</v>
      </c>
      <c r="F8" s="23">
        <f>F4-F7</f>
        <v>-3.658</v>
      </c>
      <c r="G8" s="23">
        <f>G4-G7</f>
        <v>-4.382000000000001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-0.493</v>
      </c>
      <c r="C9" s="23" t="n">
        <v>-0.635</v>
      </c>
      <c r="D9" s="23" t="n">
        <v>-5.561</v>
      </c>
      <c r="E9" s="23" t="n">
        <v>8.519</v>
      </c>
      <c r="F9" s="23" t="n">
        <v>-28.616</v>
      </c>
      <c r="G9" s="23" t="n">
        <v>0.286</v>
      </c>
    </row>
    <row r="10">
      <c r="A10" s="2" t="inlineStr">
        <is>
          <t>Pretax</t>
        </is>
      </c>
      <c r="B10" s="23">
        <f>B8+B9</f>
        <v>-1.3940000000000001</v>
      </c>
      <c r="C10" s="23">
        <f>C8+C9</f>
        <v>-2.301</v>
      </c>
      <c r="D10" s="23">
        <f>D8+D9</f>
        <v>-8.132</v>
      </c>
      <c r="E10" s="23">
        <f>E8+E9</f>
        <v>-11.657000000000002</v>
      </c>
      <c r="F10" s="23">
        <f>F8+F9</f>
        <v>-32.274</v>
      </c>
      <c r="G10" s="23">
        <f>G8+G9</f>
        <v>-4.096000000000001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-1.395</v>
      </c>
      <c r="C12" s="23" t="n">
        <v>-2.301</v>
      </c>
      <c r="D12" s="23" t="n">
        <v>-8.131</v>
      </c>
      <c r="E12" s="23" t="n">
        <v>-11.658</v>
      </c>
      <c r="F12" s="23" t="n">
        <v>-32.275</v>
      </c>
      <c r="G12" s="23" t="n">
        <v>-4.096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-5.625</v>
      </c>
      <c r="C13" s="11">
        <f>IFERROR(C12/C14,0)</f>
        <v>-9.278225806451614</v>
      </c>
      <c r="D13" s="11">
        <f>IFERROR(D12/D14,0)</f>
        <v>-26.5718954248366</v>
      </c>
      <c r="E13" s="11">
        <f>IFERROR(E12/E14,0)</f>
        <v>-208.17857142857142</v>
      </c>
      <c r="F13" s="11">
        <f>IFERROR(F12/F14,0)</f>
        <v>-576.3392857142857</v>
      </c>
      <c r="G13" s="11">
        <f>IFERROR(G12/G14,0)</f>
        <v>-3.930902111324376</v>
      </c>
    </row>
    <row r="14">
      <c r="A14" s="2" t="inlineStr">
        <is>
          <t>Shares</t>
        </is>
      </c>
      <c r="B14" s="23" t="n">
        <v>0.248</v>
      </c>
      <c r="C14" s="23" t="n">
        <v>0.248</v>
      </c>
      <c r="D14" s="23" t="n">
        <v>0.306</v>
      </c>
      <c r="E14" s="23" t="n">
        <v>0.056</v>
      </c>
      <c r="F14" s="23" t="n">
        <v>0.056</v>
      </c>
      <c r="G14" s="23" t="n">
        <v>1.042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19.5</v>
      </c>
      <c r="E16" s="15">
        <f>IFERROR(E2/D2-1,"")</f>
        <v>62.90243902439025</v>
      </c>
      <c r="F16" s="15">
        <f>IFERROR(F2/E2-1,"")</f>
        <v>-0.8381679389312977</v>
      </c>
      <c r="G16" s="15">
        <f>IFERROR(G2/F2-1,"")</f>
        <v>0.9740566037735849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0.0</v>
      </c>
      <c r="D17" s="15">
        <f>IFERROR(D4/D2,"")</f>
        <v>-0.04878048780487792</v>
      </c>
      <c r="E17" s="15">
        <f>IFERROR(E4/E2,"")</f>
        <v>0.7839694656488551</v>
      </c>
      <c r="F17" s="15">
        <f>IFERROR(F4/F2,"")</f>
        <v>0.14150943396226415</v>
      </c>
      <c r="G17" s="15">
        <f>IFERROR(G4/G2,"")</f>
        <v>0.2497013142174432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-833.0</v>
      </c>
      <c r="D18" s="15">
        <f>IFERROR(D8/D2,"")</f>
        <v>-62.70731707317072</v>
      </c>
      <c r="E18" s="15">
        <f>IFERROR(E8/E2,"")</f>
        <v>-7.700763358778627</v>
      </c>
      <c r="F18" s="15">
        <f>IFERROR(F8/F2,"")</f>
        <v>-8.627358490566039</v>
      </c>
      <c r="G18" s="15">
        <f>IFERROR(G8/G2,"")</f>
        <v>-5.23536439665472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2026-10-21T01:06:51Z</dcterms:modified>
  <cp:lastModifiedBy>Wang, Eric</cp:lastModifiedBy>
</cp:coreProperties>
</file>