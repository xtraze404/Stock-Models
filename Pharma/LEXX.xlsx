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Lexaria Bioscience Corp</t>
        </is>
      </c>
      <c r="C2" s="10" t="n"/>
    </row>
    <row r="3">
      <c r="B3" t="inlineStr">
        <is>
          <t>Price</t>
        </is>
      </c>
      <c r="C3" s="11">
        <f>INDEX([1]Pharma!$F$1:$F$1000,MATCH("LEXX",[1]Pharma!$B$1:$B$1000,0))</f>
        <v>2.65</v>
      </c>
      <c r="F3" s="1" t="n"/>
    </row>
    <row r="4">
      <c r="B4" t="inlineStr">
        <is>
          <t>Shares</t>
        </is>
      </c>
      <c r="C4" s="21" t="n">
        <v>24.787446</v>
      </c>
      <c r="F4" s="1" t="n"/>
    </row>
    <row r="5">
      <c r="B5" t="inlineStr">
        <is>
          <t>Market Cap.</t>
        </is>
      </c>
      <c r="C5" s="13">
        <f>C3*C4</f>
        <v>65.6867319</v>
      </c>
      <c r="F5" s="1" t="n"/>
    </row>
    <row r="6"/>
    <row r="7">
      <c r="B7" t="inlineStr">
        <is>
          <t>Cash</t>
        </is>
      </c>
      <c r="C7" s="21">
        <f>3.5+0.142103</f>
        <v>3.642103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62.0446289</v>
      </c>
    </row>
    <row r="10"/>
    <row r="11">
      <c r="B11" s="14" t="inlineStr">
        <is>
          <t>rNPV / Share</t>
        </is>
      </c>
      <c r="C11" s="11">
        <f>NPV!B27</f>
        <v>3.4933036554396266</v>
      </c>
    </row>
    <row r="12">
      <c r="B12" s="14" t="inlineStr">
        <is>
          <t>Upside</t>
        </is>
      </c>
      <c r="C12" s="15">
        <f>IFERROR(C11/C3-1,"")</f>
        <v>0.31822779450551963</v>
      </c>
    </row>
    <row r="13">
      <c r="B13" s="14" t="inlineStr">
        <is>
          <t>Cash / Share</t>
        </is>
      </c>
      <c r="C13" s="11">
        <f>IFERROR((C7-C8)/C4,"")</f>
        <v>0.14693337102983503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-7.425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0.4905189225589226</v>
      </c>
    </row>
    <row r="19">
      <c r="B19" s="14" t="inlineStr">
        <is>
          <t>Implied Pipeline Value</t>
        </is>
      </c>
      <c r="C19" s="13">
        <f>C9</f>
        <v>62.0446289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2011</v>
      </c>
      <c r="D1" s="17" t="n">
        <v>2012</v>
      </c>
      <c r="E1" s="17" t="n">
        <v>2013</v>
      </c>
      <c r="F1" s="17" t="n">
        <v>2014</v>
      </c>
      <c r="G1" s="17" t="n">
        <v>2015</v>
      </c>
      <c r="H1" s="17" t="n">
        <v>2016</v>
      </c>
      <c r="I1" s="17" t="n">
        <v>2017</v>
      </c>
      <c r="J1" s="17" t="n">
        <v>2018</v>
      </c>
      <c r="K1" s="17" t="n">
        <v>2019</v>
      </c>
      <c r="L1" s="17" t="n">
        <v>2020</v>
      </c>
      <c r="M1" s="17" t="n">
        <v>2021</v>
      </c>
      <c r="N1" s="17" t="n">
        <v>2022</v>
      </c>
      <c r="O1" s="17" t="n">
        <v>2023</v>
      </c>
      <c r="P1" s="17" t="n">
        <v>2024</v>
      </c>
      <c r="Q1" s="17" t="n">
        <v>2025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0.015</v>
      </c>
      <c r="H2" s="23" t="n">
        <v>0.041</v>
      </c>
      <c r="I2" s="23" t="n">
        <v>0.064</v>
      </c>
      <c r="J2" s="23" t="n">
        <v>0.433</v>
      </c>
      <c r="K2" s="23" t="n">
        <v>0.223</v>
      </c>
      <c r="L2" s="23" t="n">
        <v>0.385</v>
      </c>
      <c r="M2" s="23" t="n">
        <v>0.723</v>
      </c>
      <c r="N2" s="23" t="n">
        <v>0.255</v>
      </c>
      <c r="O2" s="23" t="n">
        <v>0.226</v>
      </c>
      <c r="P2" s="23" t="n">
        <v>0.464</v>
      </c>
      <c r="Q2" s="23" t="n">
        <v>0.706</v>
      </c>
    </row>
    <row r="3" customFormat="1" s="1">
      <c r="A3" s="5" t="inlineStr">
        <is>
          <t>Cost of Sales</t>
        </is>
      </c>
      <c r="B3" s="23" t="n">
        <v>0.274</v>
      </c>
      <c r="C3" s="23" t="n">
        <v>0.668</v>
      </c>
      <c r="D3" s="23" t="n">
        <v>0.783</v>
      </c>
      <c r="E3" s="23" t="n">
        <v>0.795</v>
      </c>
      <c r="F3" s="23" t="n">
        <v>0</v>
      </c>
      <c r="G3" s="23" t="n">
        <v>0.03</v>
      </c>
      <c r="H3" s="23" t="n">
        <v>0.046</v>
      </c>
      <c r="I3" s="23" t="n">
        <v>0.03</v>
      </c>
      <c r="J3" s="23" t="n">
        <v>0.025</v>
      </c>
      <c r="K3" s="23" t="n">
        <v>0.023</v>
      </c>
      <c r="L3" s="23" t="n">
        <v>0.099</v>
      </c>
      <c r="M3" s="23" t="n">
        <v>0.175</v>
      </c>
      <c r="N3" s="23" t="n">
        <v>0.07199999999999999</v>
      </c>
      <c r="O3" s="23" t="n">
        <v>0.032</v>
      </c>
      <c r="P3" s="23" t="n">
        <v>0.005</v>
      </c>
      <c r="Q3" s="23" t="n">
        <v>0.003</v>
      </c>
    </row>
    <row r="4" customFormat="1" s="1">
      <c r="A4" s="5" t="inlineStr">
        <is>
          <t>Gross Margin</t>
        </is>
      </c>
      <c r="B4" s="23">
        <f>B2-B3</f>
        <v>-0.274</v>
      </c>
      <c r="C4" s="23">
        <f>C2-C3</f>
        <v>-0.668</v>
      </c>
      <c r="D4" s="23">
        <f>D2-D3</f>
        <v>-0.783</v>
      </c>
      <c r="E4" s="23">
        <f>E2-E3</f>
        <v>-0.795</v>
      </c>
      <c r="F4" s="23">
        <f>F2-F3</f>
        <v>0.0</v>
      </c>
      <c r="G4" s="23">
        <f>G2-G3</f>
        <v>-0.015</v>
      </c>
      <c r="H4" s="23">
        <f>H2-H3</f>
        <v>-0.0049999999999999975</v>
      </c>
      <c r="I4" s="23">
        <f>I2-I3</f>
        <v>0.034</v>
      </c>
      <c r="J4" s="23">
        <f>J2-J3</f>
        <v>0.408</v>
      </c>
      <c r="K4" s="23">
        <f>K2-K3</f>
        <v>0.2</v>
      </c>
      <c r="L4" s="23">
        <f>L2-L3</f>
        <v>0.28600000000000003</v>
      </c>
      <c r="M4" s="23">
        <f>M2-M3</f>
        <v>0.548</v>
      </c>
      <c r="N4" s="23">
        <f>N2-N3</f>
        <v>0.183</v>
      </c>
      <c r="O4" s="23">
        <f>O2-O3</f>
        <v>0.194</v>
      </c>
      <c r="P4" s="23">
        <f>P2-P3</f>
        <v>0.459</v>
      </c>
      <c r="Q4" s="23">
        <f>Q2-Q3</f>
        <v>0.703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0.146</v>
      </c>
      <c r="H5" s="23" t="n">
        <v>0.008999999999999999</v>
      </c>
      <c r="I5" s="23" t="n">
        <v>0.054</v>
      </c>
      <c r="J5" s="23" t="n">
        <v>0.493</v>
      </c>
      <c r="K5" s="23" t="n">
        <v>0.556</v>
      </c>
      <c r="L5" s="23" t="n">
        <v>0.387</v>
      </c>
      <c r="M5" s="23" t="n">
        <v>1.263</v>
      </c>
      <c r="N5" s="23" t="n">
        <v>1.843</v>
      </c>
      <c r="O5" s="23" t="n">
        <v>3.667</v>
      </c>
      <c r="P5" s="23" t="n">
        <v>2.361</v>
      </c>
      <c r="Q5" s="23" t="n">
        <v>8.239000000000001</v>
      </c>
    </row>
    <row r="6">
      <c r="A6" s="19" t="inlineStr">
        <is>
          <t>SG&amp;A &amp; Other</t>
        </is>
      </c>
      <c r="B6" s="23" t="n">
        <v>0.368</v>
      </c>
      <c r="C6" s="23" t="n">
        <v>0.336</v>
      </c>
      <c r="D6" s="23" t="n">
        <v>0.043</v>
      </c>
      <c r="E6" s="23" t="n">
        <v>-0.149</v>
      </c>
      <c r="F6" s="23" t="n">
        <v>1.559</v>
      </c>
      <c r="G6" s="23" t="n">
        <v>1.822</v>
      </c>
      <c r="H6" s="23" t="n">
        <v>1.263</v>
      </c>
      <c r="I6" s="23" t="n">
        <v>1.879</v>
      </c>
      <c r="J6" s="23" t="n">
        <v>6.499</v>
      </c>
      <c r="K6" s="23" t="n">
        <v>3.78</v>
      </c>
      <c r="L6" s="23" t="n">
        <v>3.878</v>
      </c>
      <c r="M6" s="23" t="n">
        <v>4.971</v>
      </c>
      <c r="N6" s="23" t="n">
        <v>4.96</v>
      </c>
      <c r="O6" s="23" t="n">
        <v>3.062</v>
      </c>
      <c r="P6" s="23" t="n">
        <v>3.852</v>
      </c>
      <c r="Q6" s="23" t="n">
        <v>4.345</v>
      </c>
    </row>
    <row r="7">
      <c r="A7" s="2" t="inlineStr">
        <is>
          <t>Operating Expense</t>
        </is>
      </c>
      <c r="B7" s="23">
        <f>SUM(B5:B6)</f>
        <v>0.368</v>
      </c>
      <c r="C7" s="23">
        <f>SUM(C5:C6)</f>
        <v>0.336</v>
      </c>
      <c r="D7" s="23">
        <f>SUM(D5:D6)</f>
        <v>0.043</v>
      </c>
      <c r="E7" s="23">
        <f>SUM(E5:E6)</f>
        <v>-0.149</v>
      </c>
      <c r="F7" s="23">
        <f>SUM(F5:F6)</f>
        <v>1.559</v>
      </c>
      <c r="G7" s="23">
        <f>SUM(G5:G6)</f>
        <v>1.968</v>
      </c>
      <c r="H7" s="23">
        <f>SUM(H5:H6)</f>
        <v>1.2719999999999998</v>
      </c>
      <c r="I7" s="23">
        <f>SUM(I5:I6)</f>
        <v>1.933</v>
      </c>
      <c r="J7" s="23">
        <f>SUM(J5:J6)</f>
        <v>6.992</v>
      </c>
      <c r="K7" s="23">
        <f>SUM(K5:K6)</f>
        <v>4.336</v>
      </c>
      <c r="L7" s="23">
        <f>SUM(L5:L6)</f>
        <v>4.265000000000001</v>
      </c>
      <c r="M7" s="23">
        <f>SUM(M5:M6)</f>
        <v>6.234</v>
      </c>
      <c r="N7" s="23">
        <f>SUM(N5:N6)</f>
        <v>6.803</v>
      </c>
      <c r="O7" s="23">
        <f>SUM(O5:O6)</f>
        <v>6.728999999999999</v>
      </c>
      <c r="P7" s="23">
        <f>SUM(P5:P6)</f>
        <v>6.213</v>
      </c>
      <c r="Q7" s="23">
        <f>SUM(Q5:Q6)</f>
        <v>12.584</v>
      </c>
    </row>
    <row r="8">
      <c r="A8" s="2" t="inlineStr">
        <is>
          <t>Operating Income</t>
        </is>
      </c>
      <c r="B8" s="23">
        <f>B4-B7</f>
        <v>-0.642</v>
      </c>
      <c r="C8" s="23">
        <f>C4-C7</f>
        <v>-1.004</v>
      </c>
      <c r="D8" s="23">
        <f>D4-D7</f>
        <v>-0.8260000000000001</v>
      </c>
      <c r="E8" s="23">
        <f>E4-E7</f>
        <v>-0.646</v>
      </c>
      <c r="F8" s="23">
        <f>F4-F7</f>
        <v>-1.559</v>
      </c>
      <c r="G8" s="23">
        <f>G4-G7</f>
        <v>-1.9829999999999999</v>
      </c>
      <c r="H8" s="23">
        <f>H4-H7</f>
        <v>-1.2769999999999997</v>
      </c>
      <c r="I8" s="23">
        <f>I4-I7</f>
        <v>-1.899</v>
      </c>
      <c r="J8" s="23">
        <f>J4-J7</f>
        <v>-6.584</v>
      </c>
      <c r="K8" s="23">
        <f>K4-K7</f>
        <v>-4.136</v>
      </c>
      <c r="L8" s="23">
        <f>L4-L7</f>
        <v>-3.9790000000000005</v>
      </c>
      <c r="M8" s="23">
        <f>M4-M7</f>
        <v>-5.686</v>
      </c>
      <c r="N8" s="23">
        <f>N4-N7</f>
        <v>-6.62</v>
      </c>
      <c r="O8" s="23">
        <f>O4-O7</f>
        <v>-6.534999999999999</v>
      </c>
      <c r="P8" s="23">
        <f>P4-P7</f>
        <v>-5.7540000000000004</v>
      </c>
      <c r="Q8" s="23">
        <f>Q4-Q7</f>
        <v>-11.881</v>
      </c>
    </row>
    <row r="9">
      <c r="A9" s="19" t="inlineStr">
        <is>
          <t>Interest &amp; Other</t>
        </is>
      </c>
      <c r="B9" s="23" t="n">
        <v>0.089</v>
      </c>
      <c r="C9" s="23" t="n">
        <v>0.466</v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0</v>
      </c>
      <c r="I9" s="23" t="n">
        <v>-0.03</v>
      </c>
      <c r="J9" s="23" t="n">
        <v>13.184</v>
      </c>
      <c r="K9" s="23" t="n">
        <v>8.253</v>
      </c>
      <c r="L9" s="23" t="n">
        <v>-0.103</v>
      </c>
      <c r="M9" s="23" t="n">
        <v>1.666</v>
      </c>
      <c r="N9" s="23" t="n">
        <v>-0.65</v>
      </c>
      <c r="O9" s="23" t="n">
        <v>-0.131</v>
      </c>
      <c r="P9" s="23" t="n">
        <v>-0.042</v>
      </c>
      <c r="Q9" s="23" t="n">
        <v>-0.021</v>
      </c>
    </row>
    <row r="10">
      <c r="A10" s="2" t="inlineStr">
        <is>
          <t>Pretax</t>
        </is>
      </c>
      <c r="B10" s="23">
        <f>B8+B9</f>
        <v>-0.553</v>
      </c>
      <c r="C10" s="23">
        <f>C8+C9</f>
        <v>-0.538</v>
      </c>
      <c r="D10" s="23">
        <f>D8+D9</f>
        <v>-0.8260000000000001</v>
      </c>
      <c r="E10" s="23">
        <f>E8+E9</f>
        <v>-0.646</v>
      </c>
      <c r="F10" s="23">
        <f>F8+F9</f>
        <v>-1.559</v>
      </c>
      <c r="G10" s="23">
        <f>G8+G9</f>
        <v>-1.9829999999999999</v>
      </c>
      <c r="H10" s="23">
        <f>H8+H9</f>
        <v>-1.2769999999999997</v>
      </c>
      <c r="I10" s="23">
        <f>I8+I9</f>
        <v>-1.929</v>
      </c>
      <c r="J10" s="23">
        <f>J8+J9</f>
        <v>6.6</v>
      </c>
      <c r="K10" s="23">
        <f>K8+K9</f>
        <v>4.117</v>
      </c>
      <c r="L10" s="23">
        <f>L8+L9</f>
        <v>-4.082000000000001</v>
      </c>
      <c r="M10" s="23">
        <f>M8+M9</f>
        <v>-4.02</v>
      </c>
      <c r="N10" s="23">
        <f>N8+N9</f>
        <v>-7.2700000000000005</v>
      </c>
      <c r="O10" s="23">
        <f>O8+O9</f>
        <v>-6.6659999999999995</v>
      </c>
      <c r="P10" s="23">
        <f>P8+P9</f>
        <v>-5.796</v>
      </c>
      <c r="Q10" s="23">
        <f>Q8+Q9</f>
        <v>-11.902000000000001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0.018</v>
      </c>
      <c r="L11" s="23" t="n">
        <v>0.002</v>
      </c>
      <c r="M11" s="23" t="n">
        <v>0.006</v>
      </c>
      <c r="N11" s="23" t="n">
        <v>0</v>
      </c>
      <c r="O11" s="23" t="n">
        <v>0</v>
      </c>
      <c r="P11" s="23" t="n">
        <v>0</v>
      </c>
      <c r="Q11" s="23" t="n">
        <v>0</v>
      </c>
    </row>
    <row r="12">
      <c r="A12" s="2" t="inlineStr">
        <is>
          <t>Net Income</t>
        </is>
      </c>
      <c r="B12" s="23" t="n">
        <v>-0.552</v>
      </c>
      <c r="C12" s="23" t="n">
        <v>-0.538</v>
      </c>
      <c r="D12" s="23" t="n">
        <v>-0.826</v>
      </c>
      <c r="E12" s="23" t="n">
        <v>-0.646</v>
      </c>
      <c r="F12" s="23" t="n">
        <v>-1.559</v>
      </c>
      <c r="G12" s="23" t="n">
        <v>-1.983</v>
      </c>
      <c r="H12" s="23" t="n">
        <v>-1.277</v>
      </c>
      <c r="I12" s="23" t="n">
        <v>-1.929</v>
      </c>
      <c r="J12" s="23" t="n">
        <v>6.6</v>
      </c>
      <c r="K12" s="23" t="n">
        <v>4.1</v>
      </c>
      <c r="L12" s="23" t="n">
        <v>-4.085</v>
      </c>
      <c r="M12" s="23" t="n">
        <v>-4.027</v>
      </c>
      <c r="N12" s="23" t="n">
        <v>-7.269</v>
      </c>
      <c r="O12" s="23" t="n">
        <v>-6.665</v>
      </c>
      <c r="P12" s="23" t="n">
        <v>-5.795</v>
      </c>
      <c r="Q12" s="23" t="n">
        <v>-11.902</v>
      </c>
    </row>
    <row r="13">
      <c r="A13" s="2" t="inlineStr">
        <is>
          <t>Earnings per Share</t>
        </is>
      </c>
      <c r="B13" s="11">
        <f>IFERROR(B12/B14,0)</f>
        <v>-1.2545454545454546</v>
      </c>
      <c r="C13" s="11">
        <f>IFERROR(C12/C14,0)</f>
        <v>-1.0632411067193677</v>
      </c>
      <c r="D13" s="11">
        <f>IFERROR(D12/D14,0)</f>
        <v>-1.4071550255536627</v>
      </c>
      <c r="E13" s="11">
        <f>IFERROR(E12/E14,0)</f>
        <v>-1.1005110732538332</v>
      </c>
      <c r="F13" s="11">
        <f>IFERROR(F12/F14,0)</f>
        <v>-1.867065868263473</v>
      </c>
      <c r="G13" s="11">
        <f>IFERROR(G12/G14,0)</f>
        <v>-1.3984485190409028</v>
      </c>
      <c r="H13" s="11">
        <f>IFERROR(H12/H14,0)</f>
        <v>-0.8154533844189016</v>
      </c>
      <c r="I13" s="11">
        <f>IFERROR(I12/I14,0)</f>
        <v>-0.9190090519294901</v>
      </c>
      <c r="J13" s="11">
        <f>IFERROR(J12/J14,0)</f>
        <v>2.6045777426992895</v>
      </c>
      <c r="K13" s="11">
        <f>IFERROR(K12/K14,0)</f>
        <v>1.4758819294456442</v>
      </c>
      <c r="L13" s="11">
        <f>IFERROR(L12/L14,0)</f>
        <v>-1.4731337901190047</v>
      </c>
      <c r="M13" s="11">
        <f>IFERROR(M12/M14,0)</f>
        <v>-0.9171031655659303</v>
      </c>
      <c r="N13" s="11">
        <f>IFERROR(N12/N14,0)</f>
        <v>0</v>
      </c>
      <c r="O13" s="11">
        <f>IFERROR(O12/O14,0)</f>
        <v>-1.0077109162382825</v>
      </c>
      <c r="P13" s="11">
        <f>IFERROR(P12/P14,0)</f>
        <v>-0.4679425064599483</v>
      </c>
      <c r="Q13" s="11">
        <f>IFERROR(Q12/Q14,0)</f>
        <v>-0.6612589588310461</v>
      </c>
    </row>
    <row r="14">
      <c r="A14" s="2" t="inlineStr">
        <is>
          <t>Shares</t>
        </is>
      </c>
      <c r="B14" s="23" t="n">
        <v>0.44</v>
      </c>
      <c r="C14" s="23" t="n">
        <v>0.506</v>
      </c>
      <c r="D14" s="23" t="n">
        <v>0.587</v>
      </c>
      <c r="E14" s="23" t="n">
        <v>0.587</v>
      </c>
      <c r="F14" s="23" t="n">
        <v>0.835</v>
      </c>
      <c r="G14" s="23" t="n">
        <v>1.418</v>
      </c>
      <c r="H14" s="23" t="n">
        <v>1.566</v>
      </c>
      <c r="I14" s="23" t="n">
        <v>2.099</v>
      </c>
      <c r="J14" s="23" t="n">
        <v>2.534</v>
      </c>
      <c r="K14" s="23" t="n">
        <v>2.778</v>
      </c>
      <c r="L14" s="23" t="n">
        <v>2.773</v>
      </c>
      <c r="M14" s="23" t="n">
        <v>4.391</v>
      </c>
      <c r="N14" s="23" t="n"/>
      <c r="O14" s="23" t="n">
        <v>6.614</v>
      </c>
      <c r="P14" s="23" t="n">
        <v>12.384</v>
      </c>
      <c r="Q14" s="23" t="n">
        <v>17.999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>1.7333333333333334</v>
      </c>
      <c r="I16" s="15">
        <f>IFERROR(I2/H2-1,"")</f>
        <v>0.5609756097560976</v>
      </c>
      <c r="J16" s="15">
        <f>IFERROR(J2/I2-1,"")</f>
        <v>5.765625</v>
      </c>
      <c r="K16" s="15">
        <f>IFERROR(K2/J2-1,"")</f>
        <v>-0.4849884526558891</v>
      </c>
      <c r="L16" s="15">
        <f>IFERROR(L2/K2-1,"")</f>
        <v>0.7264573991031391</v>
      </c>
      <c r="M16" s="15">
        <f>IFERROR(M2/L2-1,"")</f>
        <v>0.8779220779220778</v>
      </c>
      <c r="N16" s="15">
        <f>IFERROR(N2/M2-1,"")</f>
        <v>-0.6473029045643153</v>
      </c>
      <c r="O16" s="15">
        <f>IFERROR(O2/N2-1,"")</f>
        <v>-0.11372549019607847</v>
      </c>
      <c r="P16" s="15">
        <f>IFERROR(P2/O2-1,"")</f>
        <v>1.0530973451327434</v>
      </c>
      <c r="Q16" s="15">
        <f>IFERROR(Q2/P2-1,"")</f>
        <v>0.5215517241379308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>-1.0</v>
      </c>
      <c r="H17" s="15">
        <f>IFERROR(H4/H2,"")</f>
        <v>-0.12195121951219505</v>
      </c>
      <c r="I17" s="15">
        <f>IFERROR(I4/I2,"")</f>
        <v>0.53125</v>
      </c>
      <c r="J17" s="15">
        <f>IFERROR(J4/J2,"")</f>
        <v>0.9422632794457274</v>
      </c>
      <c r="K17" s="15">
        <f>IFERROR(K4/K2,"")</f>
        <v>0.8968609865470852</v>
      </c>
      <c r="L17" s="15">
        <f>IFERROR(L4/L2,"")</f>
        <v>0.7428571428571429</v>
      </c>
      <c r="M17" s="15">
        <f>IFERROR(M4/M2,"")</f>
        <v>0.7579529737206087</v>
      </c>
      <c r="N17" s="15">
        <f>IFERROR(N4/N2,"")</f>
        <v>0.7176470588235294</v>
      </c>
      <c r="O17" s="15">
        <f>IFERROR(O4/O2,"")</f>
        <v>0.8584070796460177</v>
      </c>
      <c r="P17" s="15">
        <f>IFERROR(P4/P2,"")</f>
        <v>0.9892241379310345</v>
      </c>
      <c r="Q17" s="15">
        <f>IFERROR(Q4/Q2,"")</f>
        <v>0.9957507082152974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>-132.2</v>
      </c>
      <c r="H18" s="15">
        <f>IFERROR(H8/H2,"")</f>
        <v>-31.146341463414625</v>
      </c>
      <c r="I18" s="15">
        <f>IFERROR(I8/I2,"")</f>
        <v>-29.671875</v>
      </c>
      <c r="J18" s="15">
        <f>IFERROR(J8/J2,"")</f>
        <v>-15.20554272517321</v>
      </c>
      <c r="K18" s="15">
        <f>IFERROR(K8/K2,"")</f>
        <v>-18.54708520179372</v>
      </c>
      <c r="L18" s="15">
        <f>IFERROR(L8/L2,"")</f>
        <v>-10.335064935064937</v>
      </c>
      <c r="M18" s="15">
        <f>IFERROR(M8/M2,"")</f>
        <v>-7.864453665283541</v>
      </c>
      <c r="N18" s="15">
        <f>IFERROR(N8/N2,"")</f>
        <v>-25.96078431372549</v>
      </c>
      <c r="O18" s="15">
        <f>IFERROR(O8/O2,"")</f>
        <v>-28.915929203539818</v>
      </c>
      <c r="P18" s="15">
        <f>IFERROR(P8/P2,"")</f>
        <v>-12.400862068965518</v>
      </c>
      <c r="Q18" s="15">
        <f>IFERROR(Q8/Q2,"")</f>
        <v>-16.828611898016998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Lexaria Bioscience Corp: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0.058499999999999996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7.708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49.1</v>
      </c>
    </row>
    <row r="22">
      <c r="A22" s="14" t="inlineStr">
        <is>
          <t>First year, fraction after the balance sheet date</t>
        </is>
      </c>
      <c r="B22" s="28" t="n">
        <v>0.5863</v>
      </c>
    </row>
    <row r="23">
      <c r="A23" s="14" t="inlineStr">
        <is>
          <t>Balance sheet date</t>
        </is>
      </c>
      <c r="B23" s="41" t="n">
        <v>46173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82.94797272081234</v>
      </c>
      <c r="C29" s="42">
        <f>NPV!B25</f>
        <v>86.59007572081235</v>
      </c>
      <c r="D29" s="43">
        <f>NPV!B27</f>
        <v>3.4933036554396266</v>
      </c>
      <c r="E29" s="44">
        <f>NPV!B29</f>
        <v>0.31822779450551963</v>
      </c>
    </row>
    <row r="30">
      <c r="A30" s="45" t="n">
        <v>1</v>
      </c>
      <c r="B30" s="46">
        <f t="dataTable" ref="B30:E32" r1="B4"/>
        <v>20.140290657910963</v>
      </c>
      <c r="C30" s="46">
        <v>23.782393657910962</v>
      </c>
      <c r="D30" s="47">
        <v>0.9594531706861192</v>
      </c>
      <c r="E30" s="48">
        <v>-0.637942199741087</v>
      </c>
    </row>
    <row r="31">
      <c r="A31" s="45" t="n">
        <v>2</v>
      </c>
      <c r="B31" s="46">
        <v>82.94797272081234</v>
      </c>
      <c r="C31" s="46">
        <v>86.59007572081235</v>
      </c>
      <c r="D31" s="47">
        <v>3.4933036554396266</v>
      </c>
      <c r="E31" s="48">
        <v>0.31822779450551963</v>
      </c>
    </row>
    <row r="32">
      <c r="A32" s="45" t="n">
        <v>3</v>
      </c>
      <c r="B32" s="46">
        <v>188.19822578065782</v>
      </c>
      <c r="C32" s="46">
        <v>191.8403287806578</v>
      </c>
      <c r="D32" s="47">
        <v>7.739414894969729</v>
      </c>
      <c r="E32" s="48">
        <v>1.9205339226300864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3.4933036554396266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0.6214445760982229</v>
      </c>
      <c r="C37" s="47">
        <v>1.2469909455608044</v>
      </c>
      <c r="D37" s="47">
        <v>1.8661631679765784</v>
      </c>
      <c r="E37" s="47">
        <v>3.0941538365214143</v>
      </c>
      <c r="F37" s="47">
        <v>4.3159828772727575</v>
      </c>
    </row>
    <row r="38">
      <c r="A38" s="50" t="n">
        <v>0.8</v>
      </c>
      <c r="B38" s="47">
        <v>1.03516186192436</v>
      </c>
      <c r="C38" s="47">
        <v>1.8616264844817842</v>
      </c>
      <c r="D38" s="47">
        <v>2.680304440526333</v>
      </c>
      <c r="E38" s="47">
        <v>4.3115185153950035</v>
      </c>
      <c r="F38" s="47">
        <v>5.939019511550243</v>
      </c>
    </row>
    <row r="39">
      <c r="A39" s="50" t="n">
        <v>1</v>
      </c>
      <c r="B39" s="47">
        <v>1.4442442868458363</v>
      </c>
      <c r="C39" s="47">
        <v>2.4711201559553917</v>
      </c>
      <c r="D39" s="47">
        <v>3.4933036554396266</v>
      </c>
      <c r="E39" s="47">
        <v>5.527679900633678</v>
      </c>
      <c r="F39" s="47">
        <v>7.557888808811443</v>
      </c>
    </row>
    <row r="40">
      <c r="A40" s="50" t="n">
        <v>1.2</v>
      </c>
      <c r="B40" s="47">
        <v>1.85247627845543</v>
      </c>
      <c r="C40" s="47">
        <v>3.0805963170810062</v>
      </c>
      <c r="D40" s="47">
        <v>4.302589791639492</v>
      </c>
      <c r="E40" s="47">
        <v>6.7427605766857805</v>
      </c>
      <c r="F40" s="47">
        <v>9.174910043884363</v>
      </c>
    </row>
    <row r="41">
      <c r="A41" s="50" t="n">
        <v>1.4</v>
      </c>
      <c r="B41" s="47">
        <v>2.2574166982376473</v>
      </c>
      <c r="C41" s="47">
        <v>3.6878125562035216</v>
      </c>
      <c r="D41" s="47">
        <v>5.111875927839357</v>
      </c>
      <c r="E41" s="47">
        <v>7.954423567225603</v>
      </c>
      <c r="F41" s="47">
        <v>10.791931278957286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Lexaria Bioscience Corp: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Type 2 diabetes</t>
        </is>
      </c>
      <c r="C4" s="14" t="inlineStr">
        <is>
          <t>Arm 1 - DehydraTECH-CBD alone, Arm 5- Tirzepatide</t>
        </is>
      </c>
      <c r="D4" s="14" t="inlineStr">
        <is>
          <t>Phase 1</t>
        </is>
      </c>
      <c r="E4" s="14" t="inlineStr">
        <is>
          <t>Metabolic / chronic</t>
        </is>
      </c>
      <c r="F4" s="14" t="inlineStr">
        <is>
          <t>Owned</t>
        </is>
      </c>
      <c r="G4" s="40" t="n">
        <v>2500</v>
      </c>
      <c r="H4" s="27" t="n">
        <v>0.0585</v>
      </c>
      <c r="I4" s="26" t="n">
        <v>2033</v>
      </c>
      <c r="J4" s="39">
        <f>I4+Assumptions!$B$25</f>
        <v>2045.0</v>
      </c>
      <c r="K4" s="53">
        <f>Assumptions!$E$13</f>
        <v>0.4</v>
      </c>
      <c r="L4" s="23">
        <f>K4*SUMPRODUCT(M4:AF4,NPV!$C$15:$V$15)</f>
        <v>126.87942014975422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0</v>
      </c>
      <c r="T4" s="23">
        <f>IF(T$3&lt;$I4,0,$G4*Assumptions!$E$11*INDEX(Assumptions!$B$24:$G$24,MIN(6,T$3-$I4+1))*IF(T$3&gt;$J4,(1-Assumptions!$B$26)^(T$3-$J4),1)*IF($H4&gt;=1,1,MIN(0.97,$H4*Assumptions!$E$12)))</f>
        <v>14.625</v>
      </c>
      <c r="U4" s="23">
        <f>IF(U$3&lt;$I4,0,$G4*Assumptions!$E$11*INDEX(Assumptions!$B$24:$G$24,MIN(6,U$3-$I4+1))*IF(U$3&gt;$J4,(1-Assumptions!$B$26)^(U$3-$J4),1)*IF($H4&gt;=1,1,MIN(0.97,$H4*Assumptions!$E$12)))</f>
        <v>36.5625</v>
      </c>
      <c r="V4" s="23">
        <f>IF(V$3&lt;$I4,0,$G4*Assumptions!$E$11*INDEX(Assumptions!$B$24:$G$24,MIN(6,V$3-$I4+1))*IF(V$3&gt;$J4,(1-Assumptions!$B$26)^(V$3-$J4),1)*IF($H4&gt;=1,1,MIN(0.97,$H4*Assumptions!$E$12)))</f>
        <v>65.8125</v>
      </c>
      <c r="W4" s="23">
        <f>IF(W$3&lt;$I4,0,$G4*Assumptions!$E$11*INDEX(Assumptions!$B$24:$G$24,MIN(6,W$3-$I4+1))*IF(W$3&gt;$J4,(1-Assumptions!$B$26)^(W$3-$J4),1)*IF($H4&gt;=1,1,MIN(0.97,$H4*Assumptions!$E$12)))</f>
        <v>95.0625</v>
      </c>
      <c r="X4" s="23">
        <f>IF(X$3&lt;$I4,0,$G4*Assumptions!$E$11*INDEX(Assumptions!$B$24:$G$24,MIN(6,X$3-$I4+1))*IF(X$3&gt;$J4,(1-Assumptions!$B$26)^(X$3-$J4),1)*IF($H4&gt;=1,1,MIN(0.97,$H4*Assumptions!$E$12)))</f>
        <v>124.31250000000001</v>
      </c>
      <c r="Y4" s="23">
        <f>IF(Y$3&lt;$I4,0,$G4*Assumptions!$E$11*INDEX(Assumptions!$B$24:$G$24,MIN(6,Y$3-$I4+1))*IF(Y$3&gt;$J4,(1-Assumptions!$B$26)^(Y$3-$J4),1)*IF($H4&gt;=1,1,MIN(0.97,$H4*Assumptions!$E$12)))</f>
        <v>146.25</v>
      </c>
      <c r="Z4" s="23">
        <f>IF(Z$3&lt;$I4,0,$G4*Assumptions!$E$11*INDEX(Assumptions!$B$24:$G$24,MIN(6,Z$3-$I4+1))*IF(Z$3&gt;$J4,(1-Assumptions!$B$26)^(Z$3-$J4),1)*IF($H4&gt;=1,1,MIN(0.97,$H4*Assumptions!$E$12)))</f>
        <v>146.25</v>
      </c>
      <c r="AA4" s="23">
        <f>IF(AA$3&lt;$I4,0,$G4*Assumptions!$E$11*INDEX(Assumptions!$B$24:$G$24,MIN(6,AA$3-$I4+1))*IF(AA$3&gt;$J4,(1-Assumptions!$B$26)^(AA$3-$J4),1)*IF($H4&gt;=1,1,MIN(0.97,$H4*Assumptions!$E$12)))</f>
        <v>146.25</v>
      </c>
      <c r="AB4" s="23">
        <f>IF(AB$3&lt;$I4,0,$G4*Assumptions!$E$11*INDEX(Assumptions!$B$24:$G$24,MIN(6,AB$3-$I4+1))*IF(AB$3&gt;$J4,(1-Assumptions!$B$26)^(AB$3-$J4),1)*IF($H4&gt;=1,1,MIN(0.97,$H4*Assumptions!$E$12)))</f>
        <v>146.25</v>
      </c>
      <c r="AC4" s="23">
        <f>IF(AC$3&lt;$I4,0,$G4*Assumptions!$E$11*INDEX(Assumptions!$B$24:$G$24,MIN(6,AC$3-$I4+1))*IF(AC$3&gt;$J4,(1-Assumptions!$B$26)^(AC$3-$J4),1)*IF($H4&gt;=1,1,MIN(0.97,$H4*Assumptions!$E$12)))</f>
        <v>146.25</v>
      </c>
      <c r="AD4" s="23">
        <f>IF(AD$3&lt;$I4,0,$G4*Assumptions!$E$11*INDEX(Assumptions!$B$24:$G$24,MIN(6,AD$3-$I4+1))*IF(AD$3&gt;$J4,(1-Assumptions!$B$26)^(AD$3-$J4),1)*IF($H4&gt;=1,1,MIN(0.97,$H4*Assumptions!$E$12)))</f>
        <v>146.25</v>
      </c>
      <c r="AE4" s="23">
        <f>IF(AE$3&lt;$I4,0,$G4*Assumptions!$E$11*INDEX(Assumptions!$B$24:$G$24,MIN(6,AE$3-$I4+1))*IF(AE$3&gt;$J4,(1-Assumptions!$B$26)^(AE$3-$J4),1)*IF($H4&gt;=1,1,MIN(0.97,$H4*Assumptions!$E$12)))</f>
        <v>146.25</v>
      </c>
      <c r="AF4" s="23">
        <f>IF(AF$3&lt;$I4,0,$G4*Assumptions!$E$11*INDEX(Assumptions!$B$24:$G$24,MIN(6,AF$3-$I4+1))*IF(AF$3&gt;$J4,(1-Assumptions!$B$26)^(AF$3-$J4),1)*IF($H4&gt;=1,1,MIN(0.97,$H4*Assumptions!$E$12)))</f>
        <v>146.25</v>
      </c>
      <c r="AG4" s="35">
        <f>IF(F4="Owned",1-IF(H4&gt;=1,1,MIN(0.97,H4*Assumptions!$E$12)),1)</f>
        <v>0.9415</v>
      </c>
    </row>
    <row r="5">
      <c r="B5" s="24" t="inlineStr">
        <is>
          <t>Risked revenue</t>
        </is>
      </c>
      <c r="L5" s="54">
        <f>SUM(L4:L4)</f>
        <v>126.87942014975422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0.0</v>
      </c>
      <c r="S5" s="54">
        <f>SUM(S4:S4)</f>
        <v>0.0</v>
      </c>
      <c r="T5" s="54">
        <f>SUM(T4:T4)</f>
        <v>14.625</v>
      </c>
      <c r="U5" s="54">
        <f>SUM(U4:U4)</f>
        <v>36.5625</v>
      </c>
      <c r="V5" s="54">
        <f>SUM(V4:V4)</f>
        <v>65.8125</v>
      </c>
      <c r="W5" s="54">
        <f>SUM(W4:W4)</f>
        <v>95.0625</v>
      </c>
      <c r="X5" s="54">
        <f>SUM(X4:X4)</f>
        <v>124.31250000000001</v>
      </c>
      <c r="Y5" s="54">
        <f>SUM(Y4:Y4)</f>
        <v>146.25</v>
      </c>
      <c r="Z5" s="54">
        <f>SUM(Z4:Z4)</f>
        <v>146.25</v>
      </c>
      <c r="AA5" s="54">
        <f>SUM(AA4:AA4)</f>
        <v>146.25</v>
      </c>
      <c r="AB5" s="54">
        <f>SUM(AB4:AB4)</f>
        <v>146.25</v>
      </c>
      <c r="AC5" s="54">
        <f>SUM(AC4:AC4)</f>
        <v>146.25</v>
      </c>
      <c r="AD5" s="54">
        <f>SUM(AD4:AD4)</f>
        <v>146.25</v>
      </c>
      <c r="AE5" s="54">
        <f>SUM(AE4:AE4)</f>
        <v>146.25</v>
      </c>
      <c r="AF5" s="54">
        <f>SUM(AF4:AF4)</f>
        <v>146.25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0.0</v>
      </c>
      <c r="S6" s="55">
        <f>SUMPRODUCT(S4:S4,$K$4:$K$4)</f>
        <v>0.0</v>
      </c>
      <c r="T6" s="55">
        <f>SUMPRODUCT(T4:T4,$K$4:$K$4)</f>
        <v>5.8500000000000005</v>
      </c>
      <c r="U6" s="55">
        <f>SUMPRODUCT(U4:U4,$K$4:$K$4)</f>
        <v>14.625</v>
      </c>
      <c r="V6" s="55">
        <f>SUMPRODUCT(V4:V4,$K$4:$K$4)</f>
        <v>26.325000000000003</v>
      </c>
      <c r="W6" s="55">
        <f>SUMPRODUCT(W4:W4,$K$4:$K$4)</f>
        <v>38.025</v>
      </c>
      <c r="X6" s="55">
        <f>SUMPRODUCT(X4:X4,$K$4:$K$4)</f>
        <v>49.72500000000001</v>
      </c>
      <c r="Y6" s="55">
        <f>SUMPRODUCT(Y4:Y4,$K$4:$K$4)</f>
        <v>58.5</v>
      </c>
      <c r="Z6" s="55">
        <f>SUMPRODUCT(Z4:Z4,$K$4:$K$4)</f>
        <v>58.5</v>
      </c>
      <c r="AA6" s="55">
        <f>SUMPRODUCT(AA4:AA4,$K$4:$K$4)</f>
        <v>58.5</v>
      </c>
      <c r="AB6" s="55">
        <f>SUMPRODUCT(AB4:AB4,$K$4:$K$4)</f>
        <v>58.5</v>
      </c>
      <c r="AC6" s="55">
        <f>SUMPRODUCT(AC4:AC4,$K$4:$K$4)</f>
        <v>58.5</v>
      </c>
      <c r="AD6" s="55">
        <f>SUMPRODUCT(AD4:AD4,$K$4:$K$4)</f>
        <v>58.5</v>
      </c>
      <c r="AE6" s="55">
        <f>SUMPRODUCT(AE4:AE4,$K$4:$K$4)</f>
        <v>58.5</v>
      </c>
      <c r="AF6" s="55">
        <f>SUMPRODUCT(AF4:AF4,$K$4:$K$4)</f>
        <v>58.5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Lexaria Bioscience Corp: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0.0</v>
      </c>
      <c r="I4" s="57">
        <f>Pipeline!S5</f>
        <v>0.0</v>
      </c>
      <c r="J4" s="57">
        <f>Pipeline!T5</f>
        <v>14.625</v>
      </c>
      <c r="K4" s="57">
        <f>Pipeline!U5</f>
        <v>36.5625</v>
      </c>
      <c r="L4" s="57">
        <f>Pipeline!V5</f>
        <v>65.8125</v>
      </c>
      <c r="M4" s="57">
        <f>Pipeline!W5</f>
        <v>95.0625</v>
      </c>
      <c r="N4" s="57">
        <f>Pipeline!X5</f>
        <v>124.31250000000001</v>
      </c>
      <c r="O4" s="57">
        <f>Pipeline!Y5</f>
        <v>146.25</v>
      </c>
      <c r="P4" s="57">
        <f>Pipeline!Z5</f>
        <v>146.25</v>
      </c>
      <c r="Q4" s="57">
        <f>Pipeline!AA5</f>
        <v>146.25</v>
      </c>
      <c r="R4" s="57">
        <f>Pipeline!AB5</f>
        <v>146.25</v>
      </c>
      <c r="S4" s="57">
        <f>Pipeline!AC5</f>
        <v>146.25</v>
      </c>
      <c r="T4" s="57">
        <f>Pipeline!AD5</f>
        <v>146.25</v>
      </c>
      <c r="U4" s="57">
        <f>Pipeline!AE5</f>
        <v>146.25</v>
      </c>
      <c r="V4" s="57">
        <f>Pipeline!AF5</f>
        <v>146.25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0.0</v>
      </c>
      <c r="I5" s="57">
        <f>Pipeline!S6</f>
        <v>0.0</v>
      </c>
      <c r="J5" s="57">
        <f>Pipeline!T6</f>
        <v>5.8500000000000005</v>
      </c>
      <c r="K5" s="57">
        <f>Pipeline!U6</f>
        <v>14.625</v>
      </c>
      <c r="L5" s="57">
        <f>Pipeline!V6</f>
        <v>26.325000000000003</v>
      </c>
      <c r="M5" s="57">
        <f>Pipeline!W6</f>
        <v>38.025</v>
      </c>
      <c r="N5" s="57">
        <f>Pipeline!X6</f>
        <v>49.72500000000001</v>
      </c>
      <c r="O5" s="57">
        <f>Pipeline!Y6</f>
        <v>58.5</v>
      </c>
      <c r="P5" s="57">
        <f>Pipeline!Z6</f>
        <v>58.5</v>
      </c>
      <c r="Q5" s="57">
        <f>Pipeline!AA6</f>
        <v>58.5</v>
      </c>
      <c r="R5" s="57">
        <f>Pipeline!AB6</f>
        <v>58.5</v>
      </c>
      <c r="S5" s="57">
        <f>Pipeline!AC6</f>
        <v>58.5</v>
      </c>
      <c r="T5" s="57">
        <f>Pipeline!AD6</f>
        <v>58.5</v>
      </c>
      <c r="U5" s="57">
        <f>Pipeline!AE6</f>
        <v>58.5</v>
      </c>
      <c r="V5" s="57">
        <f>Pipeline!AF6</f>
        <v>58.5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-7.708</v>
      </c>
      <c r="D6" s="23">
        <f>-IF(D3-2026&lt;Assumptions!$B$19,Assumptions!$B$18,Assumptions!$B$18*Assumptions!$B$20*Assumptions!$B$16)</f>
        <v>-7.708</v>
      </c>
      <c r="E6" s="23">
        <f>-IF(E3-2026&lt;Assumptions!$B$19,Assumptions!$B$18,Assumptions!$B$18*Assumptions!$B$20*Assumptions!$B$16)</f>
        <v>-7.708</v>
      </c>
      <c r="F6" s="23">
        <f>-IF(F3-2026&lt;Assumptions!$B$19,Assumptions!$B$18,Assumptions!$B$18*Assumptions!$B$20*Assumptions!$B$16)</f>
        <v>-7.708</v>
      </c>
      <c r="G6" s="23">
        <f>-IF(G3-2026&lt;Assumptions!$B$19,Assumptions!$B$18,Assumptions!$B$18*Assumptions!$B$20*Assumptions!$B$16)</f>
        <v>-0.1352754</v>
      </c>
      <c r="H6" s="23">
        <f>-IF(H3-2026&lt;Assumptions!$B$19,Assumptions!$B$18,Assumptions!$B$18*Assumptions!$B$20*Assumptions!$B$16)</f>
        <v>-0.1352754</v>
      </c>
      <c r="I6" s="23">
        <f>-IF(I3-2026&lt;Assumptions!$B$19,Assumptions!$B$18,Assumptions!$B$18*Assumptions!$B$20*Assumptions!$B$16)</f>
        <v>-0.1352754</v>
      </c>
      <c r="J6" s="23">
        <f>-IF(J3-2026&lt;Assumptions!$B$19,Assumptions!$B$18,Assumptions!$B$18*Assumptions!$B$20*Assumptions!$B$16)</f>
        <v>-0.1352754</v>
      </c>
      <c r="K6" s="23">
        <f>-IF(K3-2026&lt;Assumptions!$B$19,Assumptions!$B$18,Assumptions!$B$18*Assumptions!$B$20*Assumptions!$B$16)</f>
        <v>-0.1352754</v>
      </c>
      <c r="L6" s="23">
        <f>-IF(L3-2026&lt;Assumptions!$B$19,Assumptions!$B$18,Assumptions!$B$18*Assumptions!$B$20*Assumptions!$B$16)</f>
        <v>-0.1352754</v>
      </c>
      <c r="M6" s="23">
        <f>-IF(M3-2026&lt;Assumptions!$B$19,Assumptions!$B$18,Assumptions!$B$18*Assumptions!$B$20*Assumptions!$B$16)</f>
        <v>-0.1352754</v>
      </c>
      <c r="N6" s="23">
        <f>-IF(N3-2026&lt;Assumptions!$B$19,Assumptions!$B$18,Assumptions!$B$18*Assumptions!$B$20*Assumptions!$B$16)</f>
        <v>-0.1352754</v>
      </c>
      <c r="O6" s="23">
        <f>-IF(O3-2026&lt;Assumptions!$B$19,Assumptions!$B$18,Assumptions!$B$18*Assumptions!$B$20*Assumptions!$B$16)</f>
        <v>-0.1352754</v>
      </c>
      <c r="P6" s="23">
        <f>-IF(P3-2026&lt;Assumptions!$B$19,Assumptions!$B$18,Assumptions!$B$18*Assumptions!$B$20*Assumptions!$B$16)</f>
        <v>-0.1352754</v>
      </c>
      <c r="Q6" s="23">
        <f>-IF(Q3-2026&lt;Assumptions!$B$19,Assumptions!$B$18,Assumptions!$B$18*Assumptions!$B$20*Assumptions!$B$16)</f>
        <v>-0.1352754</v>
      </c>
      <c r="R6" s="23">
        <f>-IF(R3-2026&lt;Assumptions!$B$19,Assumptions!$B$18,Assumptions!$B$18*Assumptions!$B$20*Assumptions!$B$16)</f>
        <v>-0.1352754</v>
      </c>
      <c r="S6" s="23">
        <f>-IF(S3-2026&lt;Assumptions!$B$19,Assumptions!$B$18,Assumptions!$B$18*Assumptions!$B$20*Assumptions!$B$16)</f>
        <v>-0.1352754</v>
      </c>
      <c r="T6" s="23">
        <f>-IF(T3-2026&lt;Assumptions!$B$19,Assumptions!$B$18,Assumptions!$B$18*Assumptions!$B$20*Assumptions!$B$16)</f>
        <v>-0.1352754</v>
      </c>
      <c r="U6" s="23">
        <f>-IF(U3-2026&lt;Assumptions!$B$19,Assumptions!$B$18,Assumptions!$B$18*Assumptions!$B$20*Assumptions!$B$16)</f>
        <v>-0.1352754</v>
      </c>
      <c r="V6" s="23">
        <f>-IF(V3-2026&lt;Assumptions!$B$19,Assumptions!$B$18,Assumptions!$B$18*Assumptions!$B$20*Assumptions!$B$16)</f>
        <v>-0.1352754</v>
      </c>
    </row>
    <row r="7">
      <c r="A7" s="14" t="inlineStr">
        <is>
          <t>Pre-tax cash flow</t>
        </is>
      </c>
      <c r="C7" s="23">
        <f>C5+C6</f>
        <v>-7.708</v>
      </c>
      <c r="D7" s="23">
        <f>D5+D6</f>
        <v>-7.708</v>
      </c>
      <c r="E7" s="23">
        <f>E5+E6</f>
        <v>-7.708</v>
      </c>
      <c r="F7" s="23">
        <f>F5+F6</f>
        <v>-7.708</v>
      </c>
      <c r="G7" s="23">
        <f>G5+G6</f>
        <v>-0.1352754</v>
      </c>
      <c r="H7" s="23">
        <f>H5+H6</f>
        <v>-0.1352754</v>
      </c>
      <c r="I7" s="23">
        <f>I5+I6</f>
        <v>-0.1352754</v>
      </c>
      <c r="J7" s="23">
        <f>J5+J6</f>
        <v>5.7147246</v>
      </c>
      <c r="K7" s="23">
        <f>K5+K6</f>
        <v>14.4897246</v>
      </c>
      <c r="L7" s="23">
        <f>L5+L6</f>
        <v>26.1897246</v>
      </c>
      <c r="M7" s="23">
        <f>M5+M6</f>
        <v>37.8897246</v>
      </c>
      <c r="N7" s="23">
        <f>N5+N6</f>
        <v>49.58972460000001</v>
      </c>
      <c r="O7" s="23">
        <f>O5+O6</f>
        <v>58.3647246</v>
      </c>
      <c r="P7" s="23">
        <f>P5+P6</f>
        <v>58.3647246</v>
      </c>
      <c r="Q7" s="23">
        <f>Q5+Q6</f>
        <v>58.3647246</v>
      </c>
      <c r="R7" s="23">
        <f>R5+R6</f>
        <v>58.3647246</v>
      </c>
      <c r="S7" s="23">
        <f>S5+S6</f>
        <v>58.3647246</v>
      </c>
      <c r="T7" s="23">
        <f>T5+T6</f>
        <v>58.3647246</v>
      </c>
      <c r="U7" s="23">
        <f>U5+U6</f>
        <v>58.3647246</v>
      </c>
      <c r="V7" s="23">
        <f>V5+V6</f>
        <v>58.3647246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0</v>
      </c>
      <c r="J8" s="23">
        <f>MIN(I17,MAX(0,J7))</f>
        <v>5.7147246</v>
      </c>
      <c r="K8" s="23">
        <f>MIN(J17,MAX(0,K7))</f>
        <v>14.4897246</v>
      </c>
      <c r="L8" s="23">
        <f>MIN(K17,MAX(0,L7))</f>
        <v>26.1897246</v>
      </c>
      <c r="M8" s="23">
        <f>MIN(L17,MAX(0,M7))</f>
        <v>33.94365239999999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3.9460722000000104</v>
      </c>
      <c r="N9" s="23">
        <f>MAX(0,N7)-N8</f>
        <v>49.58972460000001</v>
      </c>
      <c r="O9" s="23">
        <f>MAX(0,O7)-O8</f>
        <v>58.3647246</v>
      </c>
      <c r="P9" s="23">
        <f>MAX(0,P7)-P8</f>
        <v>58.3647246</v>
      </c>
      <c r="Q9" s="23">
        <f>MAX(0,Q7)-Q8</f>
        <v>58.3647246</v>
      </c>
      <c r="R9" s="23">
        <f>MAX(0,R7)-R8</f>
        <v>58.3647246</v>
      </c>
      <c r="S9" s="23">
        <f>MAX(0,S7)-S8</f>
        <v>58.3647246</v>
      </c>
      <c r="T9" s="23">
        <f>MAX(0,T7)-T8</f>
        <v>58.3647246</v>
      </c>
      <c r="U9" s="23">
        <f>MAX(0,U7)-U8</f>
        <v>58.3647246</v>
      </c>
      <c r="V9" s="23">
        <f>MAX(0,V7)-V8</f>
        <v>58.3647246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0.8286751620000021</v>
      </c>
      <c r="N10" s="23">
        <f>N9*Assumptions!$E$15</f>
        <v>10.413842166000002</v>
      </c>
      <c r="O10" s="23">
        <f>O9*Assumptions!$E$15</f>
        <v>12.256592166</v>
      </c>
      <c r="P10" s="23">
        <f>P9*Assumptions!$E$15</f>
        <v>12.256592166</v>
      </c>
      <c r="Q10" s="23">
        <f>Q9*Assumptions!$E$15</f>
        <v>12.256592166</v>
      </c>
      <c r="R10" s="23">
        <f>R9*Assumptions!$E$15</f>
        <v>12.256592166</v>
      </c>
      <c r="S10" s="23">
        <f>S9*Assumptions!$E$15</f>
        <v>12.256592166</v>
      </c>
      <c r="T10" s="23">
        <f>T9*Assumptions!$E$15</f>
        <v>12.256592166</v>
      </c>
      <c r="U10" s="23">
        <f>U9*Assumptions!$E$15</f>
        <v>12.256592166</v>
      </c>
      <c r="V10" s="23">
        <f>V9*Assumptions!$E$15</f>
        <v>12.256592166</v>
      </c>
    </row>
    <row r="11">
      <c r="A11" s="24" t="inlineStr">
        <is>
          <t>Free cash flow</t>
        </is>
      </c>
      <c r="C11" s="55">
        <f>C7-C10</f>
        <v>-7.708</v>
      </c>
      <c r="D11" s="55">
        <f>D7-D10</f>
        <v>-7.708</v>
      </c>
      <c r="E11" s="55">
        <f>E7-E10</f>
        <v>-7.708</v>
      </c>
      <c r="F11" s="55">
        <f>F7-F10</f>
        <v>-7.708</v>
      </c>
      <c r="G11" s="55">
        <f>G7-G10</f>
        <v>-0.1352754</v>
      </c>
      <c r="H11" s="55">
        <f>H7-H10</f>
        <v>-0.1352754</v>
      </c>
      <c r="I11" s="55">
        <f>I7-I10</f>
        <v>-0.1352754</v>
      </c>
      <c r="J11" s="55">
        <f>J7-J10</f>
        <v>5.7147246</v>
      </c>
      <c r="K11" s="55">
        <f>K7-K10</f>
        <v>14.4897246</v>
      </c>
      <c r="L11" s="55">
        <f>L7-L10</f>
        <v>26.1897246</v>
      </c>
      <c r="M11" s="55">
        <f>M7-M10</f>
        <v>37.061049438</v>
      </c>
      <c r="N11" s="55">
        <f>N7-N10</f>
        <v>39.17588243400001</v>
      </c>
      <c r="O11" s="55">
        <f>O7-O10</f>
        <v>46.108132434</v>
      </c>
      <c r="P11" s="55">
        <f>P7-P10</f>
        <v>46.108132434</v>
      </c>
      <c r="Q11" s="55">
        <f>Q7-Q10</f>
        <v>46.108132434</v>
      </c>
      <c r="R11" s="55">
        <f>R7-R10</f>
        <v>46.108132434</v>
      </c>
      <c r="S11" s="55">
        <f>S7-S10</f>
        <v>46.108132434</v>
      </c>
      <c r="T11" s="55">
        <f>T7-T10</f>
        <v>46.108132434</v>
      </c>
      <c r="U11" s="55">
        <f>U7-U10</f>
        <v>46.108132434</v>
      </c>
      <c r="V11" s="55">
        <f>V7-V10</f>
        <v>46.108132434</v>
      </c>
    </row>
    <row r="12">
      <c r="A12" s="14" t="inlineStr">
        <is>
          <t>Year fraction</t>
        </is>
      </c>
      <c r="C12" s="58">
        <f>Assumptions!$B$22</f>
        <v>0.5863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0.29315</v>
      </c>
      <c r="D13" s="11">
        <f>C13+C12/2+D12/2</f>
        <v>1.0863</v>
      </c>
      <c r="E13" s="11">
        <f>D13+D12/2+E12/2</f>
        <v>2.0863</v>
      </c>
      <c r="F13" s="11">
        <f>E13+E12/2+F12/2</f>
        <v>3.0863</v>
      </c>
      <c r="G13" s="11">
        <f>F13+F12/2+G12/2</f>
        <v>4.0863</v>
      </c>
      <c r="H13" s="11">
        <f>G13+G12/2+H12/2</f>
        <v>5.0863</v>
      </c>
      <c r="I13" s="11">
        <f>H13+H12/2+I12/2</f>
        <v>6.0863</v>
      </c>
      <c r="J13" s="11">
        <f>I13+I12/2+J12/2</f>
        <v>7.0863</v>
      </c>
      <c r="K13" s="11">
        <f>J13+J12/2+K12/2</f>
        <v>8.0863</v>
      </c>
      <c r="L13" s="11">
        <f>K13+K12/2+L12/2</f>
        <v>9.0863</v>
      </c>
      <c r="M13" s="11">
        <f>L13+L12/2+M12/2</f>
        <v>10.0863</v>
      </c>
      <c r="N13" s="11">
        <f>M13+M12/2+N12/2</f>
        <v>11.0863</v>
      </c>
      <c r="O13" s="11">
        <f>N13+N12/2+O12/2</f>
        <v>12.0863</v>
      </c>
      <c r="P13" s="11">
        <f>O13+O12/2+P12/2</f>
        <v>13.0863</v>
      </c>
      <c r="Q13" s="11">
        <f>P13+P12/2+Q12/2</f>
        <v>14.0863</v>
      </c>
      <c r="R13" s="11">
        <f>Q13+Q12/2+R12/2</f>
        <v>15.0863</v>
      </c>
      <c r="S13" s="11">
        <f>R13+R12/2+S12/2</f>
        <v>16.0863</v>
      </c>
      <c r="T13" s="11">
        <f>S13+S12/2+T12/2</f>
        <v>17.0863</v>
      </c>
      <c r="U13" s="11">
        <f>T13+T12/2+U12/2</f>
        <v>18.0863</v>
      </c>
      <c r="V13" s="11">
        <f>U13+U12/2+V12/2</f>
        <v>19.0863</v>
      </c>
    </row>
    <row r="14">
      <c r="A14" s="14" t="inlineStr">
        <is>
          <t>Discount factor</t>
        </is>
      </c>
      <c r="C14" s="59">
        <f>1/(1+Assumptions!$E$10)^C13</f>
        <v>0.9673234957081828</v>
      </c>
      <c r="D14" s="59">
        <f>1/(1+Assumptions!$E$10)^D13</f>
        <v>0.8841673265320884</v>
      </c>
      <c r="E14" s="59">
        <f>1/(1+Assumptions!$E$10)^E13</f>
        <v>0.789435112975079</v>
      </c>
      <c r="F14" s="59">
        <f>1/(1+Assumptions!$E$10)^F13</f>
        <v>0.7048527794420346</v>
      </c>
      <c r="G14" s="59">
        <f>1/(1+Assumptions!$E$10)^G13</f>
        <v>0.629332838787531</v>
      </c>
      <c r="H14" s="59">
        <f>1/(1+Assumptions!$E$10)^H13</f>
        <v>0.5619043203460097</v>
      </c>
      <c r="I14" s="59">
        <f>1/(1+Assumptions!$E$10)^I13</f>
        <v>0.5017002860232229</v>
      </c>
      <c r="J14" s="59">
        <f>1/(1+Assumptions!$E$10)^J13</f>
        <v>0.4479466839493061</v>
      </c>
      <c r="K14" s="59">
        <f>1/(1+Assumptions!$E$10)^K13</f>
        <v>0.399952396383309</v>
      </c>
      <c r="L14" s="59">
        <f>1/(1+Assumptions!$E$10)^L13</f>
        <v>0.35710035391366873</v>
      </c>
      <c r="M14" s="59">
        <f>1/(1+Assumptions!$E$10)^M13</f>
        <v>0.31883960170863274</v>
      </c>
      <c r="N14" s="59">
        <f>1/(1+Assumptions!$E$10)^N13</f>
        <v>0.2846782158112792</v>
      </c>
      <c r="O14" s="59">
        <f>1/(1+Assumptions!$E$10)^O13</f>
        <v>0.25417697840292786</v>
      </c>
      <c r="P14" s="59">
        <f>1/(1+Assumptions!$E$10)^P13</f>
        <v>0.22694373071689983</v>
      </c>
      <c r="Q14" s="59">
        <f>1/(1+Assumptions!$E$10)^Q13</f>
        <v>0.202628330997232</v>
      </c>
      <c r="R14" s="59">
        <f>1/(1+Assumptions!$E$10)^R13</f>
        <v>0.18091815267609995</v>
      </c>
      <c r="S14" s="59">
        <f>1/(1+Assumptions!$E$10)^S13</f>
        <v>0.1615340648893749</v>
      </c>
      <c r="T14" s="59">
        <f>1/(1+Assumptions!$E$10)^T13</f>
        <v>0.1442268436512276</v>
      </c>
      <c r="U14" s="59">
        <f>1/(1+Assumptions!$E$10)^U13</f>
        <v>0.12877396754573892</v>
      </c>
      <c r="V14" s="59">
        <f>1/(1+Assumptions!$E$10)^V13</f>
        <v>0.11497675673726687</v>
      </c>
    </row>
    <row r="15">
      <c r="A15" s="14" t="inlineStr">
        <is>
          <t>PV factor</t>
        </is>
      </c>
      <c r="C15" s="59">
        <f>C12*C14</f>
        <v>0.5671417655337077</v>
      </c>
      <c r="D15" s="59">
        <f>D12*D14</f>
        <v>0.8841673265320884</v>
      </c>
      <c r="E15" s="59">
        <f>E12*E14</f>
        <v>0.789435112975079</v>
      </c>
      <c r="F15" s="59">
        <f>F12*F14</f>
        <v>0.7048527794420346</v>
      </c>
      <c r="G15" s="59">
        <f>G12*G14</f>
        <v>0.629332838787531</v>
      </c>
      <c r="H15" s="59">
        <f>H12*H14</f>
        <v>0.5619043203460097</v>
      </c>
      <c r="I15" s="59">
        <f>I12*I14</f>
        <v>0.5017002860232229</v>
      </c>
      <c r="J15" s="59">
        <f>J12*J14</f>
        <v>0.4479466839493061</v>
      </c>
      <c r="K15" s="59">
        <f>K12*K14</f>
        <v>0.399952396383309</v>
      </c>
      <c r="L15" s="59">
        <f>L12*L14</f>
        <v>0.35710035391366873</v>
      </c>
      <c r="M15" s="59">
        <f>M12*M14</f>
        <v>0.31883960170863274</v>
      </c>
      <c r="N15" s="59">
        <f>N12*N14</f>
        <v>0.2846782158112792</v>
      </c>
      <c r="O15" s="59">
        <f>O12*O14</f>
        <v>0.25417697840292786</v>
      </c>
      <c r="P15" s="59">
        <f>P12*P14</f>
        <v>0.22694373071689983</v>
      </c>
      <c r="Q15" s="59">
        <f>Q12*Q14</f>
        <v>0.202628330997232</v>
      </c>
      <c r="R15" s="59">
        <f>R12*R14</f>
        <v>0.18091815267609995</v>
      </c>
      <c r="S15" s="59">
        <f>S12*S14</f>
        <v>0.1615340648893749</v>
      </c>
      <c r="T15" s="59">
        <f>T12*T14</f>
        <v>0.1442268436512276</v>
      </c>
      <c r="U15" s="59">
        <f>U12*U14</f>
        <v>0.12877396754573892</v>
      </c>
      <c r="V15" s="59">
        <f>V12*V14</f>
        <v>0.11497675673726687</v>
      </c>
    </row>
    <row r="16">
      <c r="A16" s="24" t="inlineStr">
        <is>
          <t>PV of free cash flow</t>
        </is>
      </c>
      <c r="C16" s="55">
        <f>C11*C15</f>
        <v>-4.371528728733819</v>
      </c>
      <c r="D16" s="55">
        <f>D11*D15</f>
        <v>-6.815161752909337</v>
      </c>
      <c r="E16" s="55">
        <f>E11*E15</f>
        <v>-6.084965850811908</v>
      </c>
      <c r="F16" s="55">
        <f>F11*F15</f>
        <v>-5.433005223939203</v>
      </c>
      <c r="G16" s="55">
        <f>G11*G15</f>
        <v>-0.08513325150011876</v>
      </c>
      <c r="H16" s="55">
        <f>H11*H15</f>
        <v>-0.0760118316965346</v>
      </c>
      <c r="I16" s="55">
        <f>I11*I15</f>
        <v>-0.06786770687190588</v>
      </c>
      <c r="J16" s="55">
        <f>J11*J15</f>
        <v>2.5598919342535247</v>
      </c>
      <c r="K16" s="55">
        <f>K11*K15</f>
        <v>5.795200076704184</v>
      </c>
      <c r="L16" s="55">
        <f>L11*L15</f>
        <v>9.352359923561517</v>
      </c>
      <c r="M16" s="55">
        <f>M11*M15</f>
        <v>11.816530241715867</v>
      </c>
      <c r="N16" s="55">
        <f>N11*N15</f>
        <v>11.152520314143556</v>
      </c>
      <c r="O16" s="55">
        <f>O11*O15</f>
        <v>11.719625781876156</v>
      </c>
      <c r="P16" s="55">
        <f>P11*P15</f>
        <v>10.46395159096085</v>
      </c>
      <c r="Q16" s="55">
        <f>Q11*Q15</f>
        <v>9.34281392050076</v>
      </c>
      <c r="R16" s="55">
        <f>R11*R15</f>
        <v>8.341798143304247</v>
      </c>
      <c r="S16" s="55">
        <f>S11*S15</f>
        <v>7.448034056521648</v>
      </c>
      <c r="T16" s="55">
        <f>T11*T15</f>
        <v>6.650030407608614</v>
      </c>
      <c r="U16" s="55">
        <f>U11*U15</f>
        <v>5.937527149650547</v>
      </c>
      <c r="V16" s="55">
        <f>V11*V15</f>
        <v>5.301363526473702</v>
      </c>
    </row>
    <row r="17">
      <c r="A17" s="14" t="inlineStr">
        <is>
          <t>Tax-loss carryforward, end of year</t>
        </is>
      </c>
      <c r="C17" s="23">
        <f>Assumptions!$B$21-C8+MAX(0,-C7)</f>
        <v>56.808</v>
      </c>
      <c r="D17" s="23">
        <f>C17-D8+MAX(0,-D7)</f>
        <v>64.516</v>
      </c>
      <c r="E17" s="23">
        <f>D17-E8+MAX(0,-E7)</f>
        <v>72.224</v>
      </c>
      <c r="F17" s="23">
        <f>E17-F8+MAX(0,-F7)</f>
        <v>79.932</v>
      </c>
      <c r="G17" s="23">
        <f>F17-G8+MAX(0,-G7)</f>
        <v>80.0672754</v>
      </c>
      <c r="H17" s="23">
        <f>G17-H8+MAX(0,-H7)</f>
        <v>80.2025508</v>
      </c>
      <c r="I17" s="23">
        <f>H17-I8+MAX(0,-I7)</f>
        <v>80.3378262</v>
      </c>
      <c r="J17" s="23">
        <f>I17-J8+MAX(0,-J7)</f>
        <v>74.6231016</v>
      </c>
      <c r="K17" s="23">
        <f>J17-K8+MAX(0,-K7)</f>
        <v>60.133376999999996</v>
      </c>
      <c r="L17" s="23">
        <f>K17-L8+MAX(0,-L7)</f>
        <v>33.94365239999999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126.87942014975421</v>
      </c>
    </row>
    <row r="20">
      <c r="A20" s="14" t="inlineStr">
        <is>
          <t>PV of corporate burn</t>
        </is>
      </c>
      <c r="B20" s="23">
        <f>SUMPRODUCT(C6:V6,C15:V15)</f>
        <v>-23.369625847409235</v>
      </c>
    </row>
    <row r="21">
      <c r="A21" s="14" t="inlineStr">
        <is>
          <t>PV of taxes</t>
        </is>
      </c>
      <c r="B21" s="23">
        <f>-SUMPRODUCT(C10:V10,C15:V15)</f>
        <v>-20.561821581532627</v>
      </c>
    </row>
    <row r="22">
      <c r="A22" s="24" t="inlineStr">
        <is>
          <t>Pipeline rNPV (operations)</t>
        </is>
      </c>
      <c r="B22" s="54">
        <f>SUM(C16:V16)</f>
        <v>82.94797272081234</v>
      </c>
    </row>
    <row r="23">
      <c r="A23" s="14" t="inlineStr">
        <is>
          <t>Cash &amp; investments</t>
        </is>
      </c>
      <c r="B23" s="57">
        <f>Main!C7</f>
        <v>3.642103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86.59007572081235</v>
      </c>
    </row>
    <row r="26">
      <c r="A26" s="14" t="inlineStr">
        <is>
          <t>Shares (mm)</t>
        </is>
      </c>
      <c r="B26" s="57">
        <f>Main!C4</f>
        <v>24.787446</v>
      </c>
    </row>
    <row r="27">
      <c r="A27" s="24" t="inlineStr">
        <is>
          <t>rNPV / share</t>
        </is>
      </c>
      <c r="B27" s="60">
        <f>B25/B26</f>
        <v>3.4933036554396266</v>
      </c>
    </row>
    <row r="28">
      <c r="A28" s="14" t="inlineStr">
        <is>
          <t>Price</t>
        </is>
      </c>
      <c r="B28" s="61">
        <f>Main!C3</f>
        <v>2.65</v>
      </c>
    </row>
    <row r="29">
      <c r="A29" s="14" t="inlineStr">
        <is>
          <t>Upside</t>
        </is>
      </c>
      <c r="B29" s="62">
        <f>B27/B28-1</f>
        <v>0.31822779450551963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2026-10-21T06:28:40Z</dcterms:modified>
  <cp:lastModifiedBy>Wang, Eric</cp:lastModifiedBy>
</cp:coreProperties>
</file>