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Lexaria Bioscience Corp</t>
        </is>
      </c>
      <c r="C2" s="10" t="n"/>
    </row>
    <row r="3">
      <c r="B3" t="inlineStr">
        <is>
          <t>Price</t>
        </is>
      </c>
      <c r="C3" s="11">
        <f>INDEX([1]Pharma!$F$1:$F$1000,MATCH("LEXX",[1]Pharma!$B$1:$B$1000,0))</f>
        <v>2.65</v>
      </c>
      <c r="F3" s="1" t="n"/>
    </row>
    <row r="4">
      <c r="B4" t="inlineStr">
        <is>
          <t>Shares</t>
        </is>
      </c>
      <c r="C4" s="21" t="n">
        <v>24.787446</v>
      </c>
      <c r="F4" s="1" t="n"/>
    </row>
    <row r="5">
      <c r="B5" t="inlineStr">
        <is>
          <t>Market Cap.</t>
        </is>
      </c>
      <c r="C5" s="13">
        <f>C3*C4</f>
        <v>65.6867319</v>
      </c>
      <c r="F5" s="1" t="n"/>
    </row>
    <row r="6"/>
    <row r="7">
      <c r="B7" t="inlineStr">
        <is>
          <t>Cash</t>
        </is>
      </c>
      <c r="C7" s="21">
        <f>3.5+0.142103</f>
        <v>3.642103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62.0446289</v>
      </c>
    </row>
    <row r="10"/>
    <row r="11">
      <c r="B11" s="14" t="inlineStr">
        <is>
          <t>Net Cash / Share</t>
        </is>
      </c>
      <c r="C11" s="11">
        <f>(C7-C8)/C4</f>
        <v>0.14693337102983503</v>
      </c>
    </row>
    <row r="12">
      <c r="B12" s="14" t="inlineStr">
        <is>
          <t>Upside</t>
        </is>
      </c>
      <c r="C12" s="15">
        <f>IFERROR(C11/C3-1,"")</f>
        <v>-0.9445534448944019</v>
      </c>
    </row>
    <row r="13">
      <c r="B13" s="14" t="inlineStr">
        <is>
          <t>Cash / Share</t>
        </is>
      </c>
      <c r="C13" s="11">
        <f>IFERROR((C7-C8)/C4,"")</f>
        <v>0.14693337102983503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-7.425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0.4905189225589226</v>
      </c>
    </row>
    <row r="19">
      <c r="B19" s="14" t="inlineStr">
        <is>
          <t>Implied Pipeline Value</t>
        </is>
      </c>
      <c r="C19" s="13">
        <f>C9</f>
        <v>62.0446289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0.015</v>
      </c>
      <c r="H2" s="23" t="n">
        <v>0.041</v>
      </c>
      <c r="I2" s="23" t="n">
        <v>0.064</v>
      </c>
      <c r="J2" s="23" t="n">
        <v>0.433</v>
      </c>
      <c r="K2" s="23" t="n">
        <v>0.223</v>
      </c>
      <c r="L2" s="23" t="n">
        <v>0.385</v>
      </c>
      <c r="M2" s="23" t="n">
        <v>0.723</v>
      </c>
      <c r="N2" s="23" t="n">
        <v>0.255</v>
      </c>
      <c r="O2" s="23" t="n">
        <v>0.226</v>
      </c>
      <c r="P2" s="23" t="n">
        <v>0.464</v>
      </c>
      <c r="Q2" s="23" t="n">
        <v>0.706</v>
      </c>
    </row>
    <row r="3" customFormat="1" s="1">
      <c r="A3" s="5" t="inlineStr">
        <is>
          <t>Cost of Sales</t>
        </is>
      </c>
      <c r="B3" s="23" t="n">
        <v>0.274</v>
      </c>
      <c r="C3" s="23" t="n">
        <v>0.668</v>
      </c>
      <c r="D3" s="23" t="n">
        <v>0.783</v>
      </c>
      <c r="E3" s="23" t="n">
        <v>0.795</v>
      </c>
      <c r="F3" s="23" t="n">
        <v>0</v>
      </c>
      <c r="G3" s="23" t="n">
        <v>0.03</v>
      </c>
      <c r="H3" s="23" t="n">
        <v>0.046</v>
      </c>
      <c r="I3" s="23" t="n">
        <v>0.03</v>
      </c>
      <c r="J3" s="23" t="n">
        <v>0.025</v>
      </c>
      <c r="K3" s="23" t="n">
        <v>0.023</v>
      </c>
      <c r="L3" s="23" t="n">
        <v>0.099</v>
      </c>
      <c r="M3" s="23" t="n">
        <v>0.175</v>
      </c>
      <c r="N3" s="23" t="n">
        <v>0.07199999999999999</v>
      </c>
      <c r="O3" s="23" t="n">
        <v>0.032</v>
      </c>
      <c r="P3" s="23" t="n">
        <v>0.005</v>
      </c>
      <c r="Q3" s="23" t="n">
        <v>0.003</v>
      </c>
    </row>
    <row r="4" customFormat="1" s="1">
      <c r="A4" s="5" t="inlineStr">
        <is>
          <t>Gross Margin</t>
        </is>
      </c>
      <c r="B4" s="23">
        <f>B2-B3</f>
        <v>-0.274</v>
      </c>
      <c r="C4" s="23">
        <f>C2-C3</f>
        <v>-0.668</v>
      </c>
      <c r="D4" s="23">
        <f>D2-D3</f>
        <v>-0.783</v>
      </c>
      <c r="E4" s="23">
        <f>E2-E3</f>
        <v>-0.795</v>
      </c>
      <c r="F4" s="23">
        <f>F2-F3</f>
        <v>0.0</v>
      </c>
      <c r="G4" s="23">
        <f>G2-G3</f>
        <v>-0.015</v>
      </c>
      <c r="H4" s="23">
        <f>H2-H3</f>
        <v>-0.0049999999999999975</v>
      </c>
      <c r="I4" s="23">
        <f>I2-I3</f>
        <v>0.034</v>
      </c>
      <c r="J4" s="23">
        <f>J2-J3</f>
        <v>0.408</v>
      </c>
      <c r="K4" s="23">
        <f>K2-K3</f>
        <v>0.2</v>
      </c>
      <c r="L4" s="23">
        <f>L2-L3</f>
        <v>0.28600000000000003</v>
      </c>
      <c r="M4" s="23">
        <f>M2-M3</f>
        <v>0.548</v>
      </c>
      <c r="N4" s="23">
        <f>N2-N3</f>
        <v>0.183</v>
      </c>
      <c r="O4" s="23">
        <f>O2-O3</f>
        <v>0.194</v>
      </c>
      <c r="P4" s="23">
        <f>P2-P3</f>
        <v>0.459</v>
      </c>
      <c r="Q4" s="23">
        <f>Q2-Q3</f>
        <v>0.703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0.146</v>
      </c>
      <c r="H5" s="23" t="n">
        <v>0.008999999999999999</v>
      </c>
      <c r="I5" s="23" t="n">
        <v>0.054</v>
      </c>
      <c r="J5" s="23" t="n">
        <v>0.493</v>
      </c>
      <c r="K5" s="23" t="n">
        <v>0.556</v>
      </c>
      <c r="L5" s="23" t="n">
        <v>0.387</v>
      </c>
      <c r="M5" s="23" t="n">
        <v>1.263</v>
      </c>
      <c r="N5" s="23" t="n">
        <v>1.843</v>
      </c>
      <c r="O5" s="23" t="n">
        <v>3.667</v>
      </c>
      <c r="P5" s="23" t="n">
        <v>2.361</v>
      </c>
      <c r="Q5" s="23" t="n">
        <v>8.239000000000001</v>
      </c>
    </row>
    <row r="6">
      <c r="A6" s="19" t="inlineStr">
        <is>
          <t>SG&amp;A &amp; Other</t>
        </is>
      </c>
      <c r="B6" s="23" t="n">
        <v>0.368</v>
      </c>
      <c r="C6" s="23" t="n">
        <v>0.336</v>
      </c>
      <c r="D6" s="23" t="n">
        <v>0.043</v>
      </c>
      <c r="E6" s="23" t="n">
        <v>-0.149</v>
      </c>
      <c r="F6" s="23" t="n">
        <v>1.559</v>
      </c>
      <c r="G6" s="23" t="n">
        <v>1.822</v>
      </c>
      <c r="H6" s="23" t="n">
        <v>1.263</v>
      </c>
      <c r="I6" s="23" t="n">
        <v>1.879</v>
      </c>
      <c r="J6" s="23" t="n">
        <v>6.499</v>
      </c>
      <c r="K6" s="23" t="n">
        <v>3.78</v>
      </c>
      <c r="L6" s="23" t="n">
        <v>3.878</v>
      </c>
      <c r="M6" s="23" t="n">
        <v>4.971</v>
      </c>
      <c r="N6" s="23" t="n">
        <v>4.96</v>
      </c>
      <c r="O6" s="23" t="n">
        <v>3.062</v>
      </c>
      <c r="P6" s="23" t="n">
        <v>3.852</v>
      </c>
      <c r="Q6" s="23" t="n">
        <v>4.345</v>
      </c>
    </row>
    <row r="7">
      <c r="A7" s="2" t="inlineStr">
        <is>
          <t>Operating Expense</t>
        </is>
      </c>
      <c r="B7" s="23">
        <f>SUM(B5:B6)</f>
        <v>0.368</v>
      </c>
      <c r="C7" s="23">
        <f>SUM(C5:C6)</f>
        <v>0.336</v>
      </c>
      <c r="D7" s="23">
        <f>SUM(D5:D6)</f>
        <v>0.043</v>
      </c>
      <c r="E7" s="23">
        <f>SUM(E5:E6)</f>
        <v>-0.149</v>
      </c>
      <c r="F7" s="23">
        <f>SUM(F5:F6)</f>
        <v>1.559</v>
      </c>
      <c r="G7" s="23">
        <f>SUM(G5:G6)</f>
        <v>1.968</v>
      </c>
      <c r="H7" s="23">
        <f>SUM(H5:H6)</f>
        <v>1.2719999999999998</v>
      </c>
      <c r="I7" s="23">
        <f>SUM(I5:I6)</f>
        <v>1.933</v>
      </c>
      <c r="J7" s="23">
        <f>SUM(J5:J6)</f>
        <v>6.992</v>
      </c>
      <c r="K7" s="23">
        <f>SUM(K5:K6)</f>
        <v>4.336</v>
      </c>
      <c r="L7" s="23">
        <f>SUM(L5:L6)</f>
        <v>4.265000000000001</v>
      </c>
      <c r="M7" s="23">
        <f>SUM(M5:M6)</f>
        <v>6.234</v>
      </c>
      <c r="N7" s="23">
        <f>SUM(N5:N6)</f>
        <v>6.803</v>
      </c>
      <c r="O7" s="23">
        <f>SUM(O5:O6)</f>
        <v>6.728999999999999</v>
      </c>
      <c r="P7" s="23">
        <f>SUM(P5:P6)</f>
        <v>6.213</v>
      </c>
      <c r="Q7" s="23">
        <f>SUM(Q5:Q6)</f>
        <v>12.584</v>
      </c>
    </row>
    <row r="8">
      <c r="A8" s="2" t="inlineStr">
        <is>
          <t>Operating Income</t>
        </is>
      </c>
      <c r="B8" s="23">
        <f>B4-B7</f>
        <v>-0.642</v>
      </c>
      <c r="C8" s="23">
        <f>C4-C7</f>
        <v>-1.004</v>
      </c>
      <c r="D8" s="23">
        <f>D4-D7</f>
        <v>-0.8260000000000001</v>
      </c>
      <c r="E8" s="23">
        <f>E4-E7</f>
        <v>-0.646</v>
      </c>
      <c r="F8" s="23">
        <f>F4-F7</f>
        <v>-1.559</v>
      </c>
      <c r="G8" s="23">
        <f>G4-G7</f>
        <v>-1.9829999999999999</v>
      </c>
      <c r="H8" s="23">
        <f>H4-H7</f>
        <v>-1.2769999999999997</v>
      </c>
      <c r="I8" s="23">
        <f>I4-I7</f>
        <v>-1.899</v>
      </c>
      <c r="J8" s="23">
        <f>J4-J7</f>
        <v>-6.584</v>
      </c>
      <c r="K8" s="23">
        <f>K4-K7</f>
        <v>-4.136</v>
      </c>
      <c r="L8" s="23">
        <f>L4-L7</f>
        <v>-3.9790000000000005</v>
      </c>
      <c r="M8" s="23">
        <f>M4-M7</f>
        <v>-5.686</v>
      </c>
      <c r="N8" s="23">
        <f>N4-N7</f>
        <v>-6.62</v>
      </c>
      <c r="O8" s="23">
        <f>O4-O7</f>
        <v>-6.534999999999999</v>
      </c>
      <c r="P8" s="23">
        <f>P4-P7</f>
        <v>-5.7540000000000004</v>
      </c>
      <c r="Q8" s="23">
        <f>Q4-Q7</f>
        <v>-11.881</v>
      </c>
    </row>
    <row r="9">
      <c r="A9" s="19" t="inlineStr">
        <is>
          <t>Interest &amp; Other</t>
        </is>
      </c>
      <c r="B9" s="23" t="n">
        <v>0.089</v>
      </c>
      <c r="C9" s="23" t="n">
        <v>0.466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-0.03</v>
      </c>
      <c r="J9" s="23" t="n">
        <v>13.184</v>
      </c>
      <c r="K9" s="23" t="n">
        <v>8.253</v>
      </c>
      <c r="L9" s="23" t="n">
        <v>-0.103</v>
      </c>
      <c r="M9" s="23" t="n">
        <v>1.666</v>
      </c>
      <c r="N9" s="23" t="n">
        <v>-0.65</v>
      </c>
      <c r="O9" s="23" t="n">
        <v>-0.131</v>
      </c>
      <c r="P9" s="23" t="n">
        <v>-0.042</v>
      </c>
      <c r="Q9" s="23" t="n">
        <v>-0.021</v>
      </c>
    </row>
    <row r="10">
      <c r="A10" s="2" t="inlineStr">
        <is>
          <t>Pretax</t>
        </is>
      </c>
      <c r="B10" s="23">
        <f>B8+B9</f>
        <v>-0.553</v>
      </c>
      <c r="C10" s="23">
        <f>C8+C9</f>
        <v>-0.538</v>
      </c>
      <c r="D10" s="23">
        <f>D8+D9</f>
        <v>-0.8260000000000001</v>
      </c>
      <c r="E10" s="23">
        <f>E8+E9</f>
        <v>-0.646</v>
      </c>
      <c r="F10" s="23">
        <f>F8+F9</f>
        <v>-1.559</v>
      </c>
      <c r="G10" s="23">
        <f>G8+G9</f>
        <v>-1.9829999999999999</v>
      </c>
      <c r="H10" s="23">
        <f>H8+H9</f>
        <v>-1.2769999999999997</v>
      </c>
      <c r="I10" s="23">
        <f>I8+I9</f>
        <v>-1.929</v>
      </c>
      <c r="J10" s="23">
        <f>J8+J9</f>
        <v>6.6</v>
      </c>
      <c r="K10" s="23">
        <f>K8+K9</f>
        <v>4.117</v>
      </c>
      <c r="L10" s="23">
        <f>L8+L9</f>
        <v>-4.082000000000001</v>
      </c>
      <c r="M10" s="23">
        <f>M8+M9</f>
        <v>-4.02</v>
      </c>
      <c r="N10" s="23">
        <f>N8+N9</f>
        <v>-7.2700000000000005</v>
      </c>
      <c r="O10" s="23">
        <f>O8+O9</f>
        <v>-6.6659999999999995</v>
      </c>
      <c r="P10" s="23">
        <f>P8+P9</f>
        <v>-5.796</v>
      </c>
      <c r="Q10" s="23">
        <f>Q8+Q9</f>
        <v>-11.902000000000001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0.018</v>
      </c>
      <c r="L11" s="23" t="n">
        <v>0.002</v>
      </c>
      <c r="M11" s="23" t="n">
        <v>0.006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-0.552</v>
      </c>
      <c r="C12" s="23" t="n">
        <v>-0.538</v>
      </c>
      <c r="D12" s="23" t="n">
        <v>-0.826</v>
      </c>
      <c r="E12" s="23" t="n">
        <v>-0.646</v>
      </c>
      <c r="F12" s="23" t="n">
        <v>-1.559</v>
      </c>
      <c r="G12" s="23" t="n">
        <v>-1.983</v>
      </c>
      <c r="H12" s="23" t="n">
        <v>-1.277</v>
      </c>
      <c r="I12" s="23" t="n">
        <v>-1.929</v>
      </c>
      <c r="J12" s="23" t="n">
        <v>6.6</v>
      </c>
      <c r="K12" s="23" t="n">
        <v>4.1</v>
      </c>
      <c r="L12" s="23" t="n">
        <v>-4.085</v>
      </c>
      <c r="M12" s="23" t="n">
        <v>-4.027</v>
      </c>
      <c r="N12" s="23" t="n">
        <v>-7.269</v>
      </c>
      <c r="O12" s="23" t="n">
        <v>-6.665</v>
      </c>
      <c r="P12" s="23" t="n">
        <v>-5.795</v>
      </c>
      <c r="Q12" s="23" t="n">
        <v>-11.902</v>
      </c>
    </row>
    <row r="13">
      <c r="A13" s="2" t="inlineStr">
        <is>
          <t>Earnings per Share</t>
        </is>
      </c>
      <c r="B13" s="11">
        <f>IFERROR(B12/B14,0)</f>
        <v>-1.2545454545454546</v>
      </c>
      <c r="C13" s="11">
        <f>IFERROR(C12/C14,0)</f>
        <v>-1.0632411067193677</v>
      </c>
      <c r="D13" s="11">
        <f>IFERROR(D12/D14,0)</f>
        <v>-1.4071550255536627</v>
      </c>
      <c r="E13" s="11">
        <f>IFERROR(E12/E14,0)</f>
        <v>-1.1005110732538332</v>
      </c>
      <c r="F13" s="11">
        <f>IFERROR(F12/F14,0)</f>
        <v>-1.867065868263473</v>
      </c>
      <c r="G13" s="11">
        <f>IFERROR(G12/G14,0)</f>
        <v>-1.3984485190409028</v>
      </c>
      <c r="H13" s="11">
        <f>IFERROR(H12/H14,0)</f>
        <v>-0.8154533844189016</v>
      </c>
      <c r="I13" s="11">
        <f>IFERROR(I12/I14,0)</f>
        <v>-0.9190090519294901</v>
      </c>
      <c r="J13" s="11">
        <f>IFERROR(J12/J14,0)</f>
        <v>2.6045777426992895</v>
      </c>
      <c r="K13" s="11">
        <f>IFERROR(K12/K14,0)</f>
        <v>1.4758819294456442</v>
      </c>
      <c r="L13" s="11">
        <f>IFERROR(L12/L14,0)</f>
        <v>-1.4731337901190047</v>
      </c>
      <c r="M13" s="11">
        <f>IFERROR(M12/M14,0)</f>
        <v>-0.9171031655659303</v>
      </c>
      <c r="N13" s="11">
        <f>IFERROR(N12/N14,0)</f>
        <v>0</v>
      </c>
      <c r="O13" s="11">
        <f>IFERROR(O12/O14,0)</f>
        <v>-1.0077109162382825</v>
      </c>
      <c r="P13" s="11">
        <f>IFERROR(P12/P14,0)</f>
        <v>-0.4679425064599483</v>
      </c>
      <c r="Q13" s="11">
        <f>IFERROR(Q12/Q14,0)</f>
        <v>-0.6612589588310461</v>
      </c>
    </row>
    <row r="14">
      <c r="A14" s="2" t="inlineStr">
        <is>
          <t>Shares</t>
        </is>
      </c>
      <c r="B14" s="23" t="n">
        <v>0.44</v>
      </c>
      <c r="C14" s="23" t="n">
        <v>0.506</v>
      </c>
      <c r="D14" s="23" t="n">
        <v>0.587</v>
      </c>
      <c r="E14" s="23" t="n">
        <v>0.587</v>
      </c>
      <c r="F14" s="23" t="n">
        <v>0.835</v>
      </c>
      <c r="G14" s="23" t="n">
        <v>1.418</v>
      </c>
      <c r="H14" s="23" t="n">
        <v>1.566</v>
      </c>
      <c r="I14" s="23" t="n">
        <v>2.099</v>
      </c>
      <c r="J14" s="23" t="n">
        <v>2.534</v>
      </c>
      <c r="K14" s="23" t="n">
        <v>2.778</v>
      </c>
      <c r="L14" s="23" t="n">
        <v>2.773</v>
      </c>
      <c r="M14" s="23" t="n">
        <v>4.391</v>
      </c>
      <c r="N14" s="23" t="n"/>
      <c r="O14" s="23" t="n">
        <v>6.614</v>
      </c>
      <c r="P14" s="23" t="n">
        <v>12.384</v>
      </c>
      <c r="Q14" s="23" t="n">
        <v>17.999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1.7333333333333334</v>
      </c>
      <c r="I16" s="15">
        <f>IFERROR(I2/H2-1,"")</f>
        <v>0.5609756097560976</v>
      </c>
      <c r="J16" s="15">
        <f>IFERROR(J2/I2-1,"")</f>
        <v>5.765625</v>
      </c>
      <c r="K16" s="15">
        <f>IFERROR(K2/J2-1,"")</f>
        <v>-0.4849884526558891</v>
      </c>
      <c r="L16" s="15">
        <f>IFERROR(L2/K2-1,"")</f>
        <v>0.7264573991031391</v>
      </c>
      <c r="M16" s="15">
        <f>IFERROR(M2/L2-1,"")</f>
        <v>0.8779220779220778</v>
      </c>
      <c r="N16" s="15">
        <f>IFERROR(N2/M2-1,"")</f>
        <v>-0.6473029045643153</v>
      </c>
      <c r="O16" s="15">
        <f>IFERROR(O2/N2-1,"")</f>
        <v>-0.11372549019607847</v>
      </c>
      <c r="P16" s="15">
        <f>IFERROR(P2/O2-1,"")</f>
        <v>1.0530973451327434</v>
      </c>
      <c r="Q16" s="15">
        <f>IFERROR(Q2/P2-1,"")</f>
        <v>0.5215517241379308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-1.0</v>
      </c>
      <c r="H17" s="15">
        <f>IFERROR(H4/H2,"")</f>
        <v>-0.12195121951219505</v>
      </c>
      <c r="I17" s="15">
        <f>IFERROR(I4/I2,"")</f>
        <v>0.53125</v>
      </c>
      <c r="J17" s="15">
        <f>IFERROR(J4/J2,"")</f>
        <v>0.9422632794457274</v>
      </c>
      <c r="K17" s="15">
        <f>IFERROR(K4/K2,"")</f>
        <v>0.8968609865470852</v>
      </c>
      <c r="L17" s="15">
        <f>IFERROR(L4/L2,"")</f>
        <v>0.7428571428571429</v>
      </c>
      <c r="M17" s="15">
        <f>IFERROR(M4/M2,"")</f>
        <v>0.7579529737206087</v>
      </c>
      <c r="N17" s="15">
        <f>IFERROR(N4/N2,"")</f>
        <v>0.7176470588235294</v>
      </c>
      <c r="O17" s="15">
        <f>IFERROR(O4/O2,"")</f>
        <v>0.8584070796460177</v>
      </c>
      <c r="P17" s="15">
        <f>IFERROR(P4/P2,"")</f>
        <v>0.9892241379310345</v>
      </c>
      <c r="Q17" s="15">
        <f>IFERROR(Q4/Q2,"")</f>
        <v>0.9957507082152974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-132.2</v>
      </c>
      <c r="H18" s="15">
        <f>IFERROR(H8/H2,"")</f>
        <v>-31.146341463414625</v>
      </c>
      <c r="I18" s="15">
        <f>IFERROR(I8/I2,"")</f>
        <v>-29.671875</v>
      </c>
      <c r="J18" s="15">
        <f>IFERROR(J8/J2,"")</f>
        <v>-15.20554272517321</v>
      </c>
      <c r="K18" s="15">
        <f>IFERROR(K8/K2,"")</f>
        <v>-18.54708520179372</v>
      </c>
      <c r="L18" s="15">
        <f>IFERROR(L8/L2,"")</f>
        <v>-10.335064935064937</v>
      </c>
      <c r="M18" s="15">
        <f>IFERROR(M8/M2,"")</f>
        <v>-7.864453665283541</v>
      </c>
      <c r="N18" s="15">
        <f>IFERROR(N8/N2,"")</f>
        <v>-25.96078431372549</v>
      </c>
      <c r="O18" s="15">
        <f>IFERROR(O8/O2,"")</f>
        <v>-28.915929203539818</v>
      </c>
      <c r="P18" s="15">
        <f>IFERROR(P8/P2,"")</f>
        <v>-12.400862068965518</v>
      </c>
      <c r="Q18" s="15">
        <f>IFERROR(Q8/Q2,"")</f>
        <v>-16.828611898016998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2026-10-21T01:06:03Z</dcterms:modified>
  <cp:lastModifiedBy>Wang, Eric</cp:lastModifiedBy>
</cp:coreProperties>
</file>