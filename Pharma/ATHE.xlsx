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Alterity Therapeutics Limited</t>
        </is>
      </c>
      <c r="C2" s="10" t="n"/>
    </row>
    <row r="3">
      <c r="B3" t="inlineStr">
        <is>
          <t>Price</t>
        </is>
      </c>
      <c r="C3" s="11">
        <f>INDEX([1]Pharma!$F$1:$F$1000,MATCH("ATHE",[1]Pharma!$B$1:$B$1000,0))</f>
        <v>2.37</v>
      </c>
      <c r="F3" s="1" t="n"/>
    </row>
    <row r="4">
      <c r="B4" t="inlineStr">
        <is>
          <t>Shares</t>
        </is>
      </c>
      <c r="C4" s="21">
        <f>217.508862/12</f>
        <v>18.1257385</v>
      </c>
      <c r="F4" s="1" t="n"/>
    </row>
    <row r="5">
      <c r="B5" t="inlineStr">
        <is>
          <t>Market Cap.</t>
        </is>
      </c>
      <c r="C5" s="13">
        <f>C3*C4</f>
        <v>42.958000245</v>
      </c>
      <c r="F5" s="1" t="n"/>
    </row>
    <row r="6"/>
    <row r="7">
      <c r="B7" t="inlineStr">
        <is>
          <t>Cash</t>
        </is>
      </c>
      <c r="C7" s="21">
        <f>(33.159+0.042)/1.437</f>
        <v>23.104384133611692</v>
      </c>
    </row>
    <row r="8">
      <c r="B8" t="inlineStr">
        <is>
          <t>Debt</t>
        </is>
      </c>
      <c r="C8" s="21" t="n"/>
    </row>
    <row r="9">
      <c r="B9" t="inlineStr">
        <is>
          <t>Enterprise V.</t>
        </is>
      </c>
      <c r="C9" s="13">
        <f>C5-C7+C8</f>
        <v>19.85361611138831</v>
      </c>
    </row>
    <row r="10"/>
    <row r="11">
      <c r="B11" s="14" t="inlineStr">
        <is>
          <t>Net Cash / Share</t>
        </is>
      </c>
      <c r="C11" s="11">
        <f>(C7-C8)/C4</f>
        <v>1.2746727055348224</v>
      </c>
    </row>
    <row r="12">
      <c r="B12" s="14" t="inlineStr">
        <is>
          <t>Upside</t>
        </is>
      </c>
      <c r="C12" s="15">
        <f>IFERROR(C11/C3-1,"")</f>
        <v>-0.4621634153861509</v>
      </c>
    </row>
    <row r="13">
      <c r="B13" s="14" t="inlineStr">
        <is>
          <t>Cash / Share</t>
        </is>
      </c>
      <c r="C13" s="11">
        <f>IFERROR((C7-C8)/C4,"")</f>
        <v>1.2746727055348224</v>
      </c>
    </row>
    <row r="14">
      <c r="B14" s="14" t="inlineStr">
        <is>
          <t>Scenario</t>
        </is>
      </c>
      <c r="C14" s="14" t="inlineStr">
        <is>
          <t>small 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-7.969</v>
      </c>
    </row>
    <row r="18">
      <c r="B18" s="14" t="inlineStr">
        <is>
          <t>Runway (years)</t>
        </is>
      </c>
      <c r="C18" s="22">
        <f>IF(AND(ISNUMBER(C17),C17&lt;0),IF(C7&gt;C8,(C7-C8)/-C17,"net debt"),"n/a")</f>
        <v>2.899282737308532</v>
      </c>
    </row>
    <row r="19">
      <c r="B19" s="14" t="inlineStr">
        <is>
          <t>Implied Pipeline Value</t>
        </is>
      </c>
      <c r="C19" s="13">
        <f>C9</f>
        <v>19.85361611138831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2016</v>
      </c>
      <c r="C1" s="17" t="n">
        <v>2017</v>
      </c>
      <c r="D1" s="17" t="n">
        <v>2018</v>
      </c>
      <c r="E1" s="17" t="n">
        <v>2019</v>
      </c>
      <c r="F1" s="17" t="n">
        <v>2020</v>
      </c>
      <c r="G1" s="17" t="n">
        <v>2021</v>
      </c>
      <c r="H1" s="17" t="n">
        <v>2022</v>
      </c>
      <c r="I1" s="17" t="n">
        <v>2023</v>
      </c>
      <c r="J1" s="17" t="n">
        <v>2024</v>
      </c>
      <c r="K1" s="17" t="n">
        <v>2025</v>
      </c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3.407</v>
      </c>
      <c r="C2" s="23" t="n">
        <v>2.196</v>
      </c>
      <c r="D2" s="23" t="n">
        <v>2.315</v>
      </c>
      <c r="E2" s="23" t="n">
        <v>3.521</v>
      </c>
      <c r="F2" s="23" t="n">
        <v>0.097</v>
      </c>
      <c r="G2" s="23" t="n">
        <v>3.136</v>
      </c>
      <c r="H2" s="23" t="n">
        <v>3.567</v>
      </c>
      <c r="I2" s="23" t="n">
        <v>2.737</v>
      </c>
      <c r="J2" s="23" t="n">
        <v>2.984</v>
      </c>
      <c r="K2" s="23" t="n">
        <v>5.628</v>
      </c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H3" s="23" t="n">
        <v>0</v>
      </c>
      <c r="I3" s="23" t="n">
        <v>0</v>
      </c>
      <c r="J3" s="23" t="n">
        <v>0</v>
      </c>
      <c r="K3" s="23" t="n">
        <v>0</v>
      </c>
    </row>
    <row r="4" customFormat="1" s="1">
      <c r="A4" s="5" t="inlineStr">
        <is>
          <t>Gross Margin</t>
        </is>
      </c>
      <c r="B4" s="23">
        <f>B2-B3</f>
        <v>3.407</v>
      </c>
      <c r="C4" s="23">
        <f>C2-C3</f>
        <v>2.196</v>
      </c>
      <c r="D4" s="23">
        <f>D2-D3</f>
        <v>2.315</v>
      </c>
      <c r="E4" s="23">
        <f>E2-E3</f>
        <v>3.521</v>
      </c>
      <c r="F4" s="23">
        <f>F2-F3</f>
        <v>0.097</v>
      </c>
      <c r="G4" s="23">
        <f>G2-G3</f>
        <v>3.136</v>
      </c>
      <c r="H4" s="23">
        <f>H2-H3</f>
        <v>3.567</v>
      </c>
      <c r="I4" s="23">
        <f>I2-I3</f>
        <v>2.737</v>
      </c>
      <c r="J4" s="23">
        <f>J2-J3</f>
        <v>2.984</v>
      </c>
      <c r="K4" s="23">
        <f>K2-K3</f>
        <v>5.628</v>
      </c>
    </row>
    <row r="5">
      <c r="A5" s="2" t="inlineStr">
        <is>
          <t>Research &amp; Dev.</t>
        </is>
      </c>
      <c r="B5" s="23" t="n">
        <v>6.67</v>
      </c>
      <c r="C5" s="23" t="n">
        <v>3.967</v>
      </c>
      <c r="D5" s="23" t="n">
        <v>4.661</v>
      </c>
      <c r="E5" s="23" t="n">
        <v>9.035</v>
      </c>
      <c r="F5" s="23" t="n">
        <v>7.027</v>
      </c>
      <c r="G5" s="23" t="n">
        <v>8.548</v>
      </c>
      <c r="H5" s="23" t="n">
        <v>10.262</v>
      </c>
      <c r="I5" s="23" t="n">
        <v>9.185</v>
      </c>
      <c r="J5" s="23" t="n">
        <v>12.974</v>
      </c>
      <c r="K5" s="23" t="n">
        <v>10.024</v>
      </c>
    </row>
    <row r="6">
      <c r="A6" s="19" t="inlineStr">
        <is>
          <t>SG&amp;A &amp; Other</t>
        </is>
      </c>
      <c r="B6" s="23" t="n">
        <v>0.756</v>
      </c>
      <c r="C6" s="23" t="n">
        <v>0.474</v>
      </c>
      <c r="D6" s="23" t="n">
        <v>0.628</v>
      </c>
      <c r="E6" s="23" t="n">
        <v>0.5600000000000001</v>
      </c>
      <c r="F6" s="23" t="n">
        <v>0.467</v>
      </c>
      <c r="G6" s="23" t="n">
        <v>0.5</v>
      </c>
      <c r="H6" s="23" t="n">
        <v>0.634</v>
      </c>
      <c r="I6" s="23" t="n">
        <v>0.719</v>
      </c>
      <c r="J6" s="23" t="n">
        <v>0.716</v>
      </c>
      <c r="K6" s="23" t="n">
        <v>0.362</v>
      </c>
    </row>
    <row r="7">
      <c r="A7" s="2" t="inlineStr">
        <is>
          <t>Operating Expense</t>
        </is>
      </c>
      <c r="B7" s="23">
        <f>SUM(B5:B6)</f>
        <v>7.426</v>
      </c>
      <c r="C7" s="23">
        <f>SUM(C5:C6)</f>
        <v>4.441</v>
      </c>
      <c r="D7" s="23">
        <f>SUM(D5:D6)</f>
        <v>5.289</v>
      </c>
      <c r="E7" s="23">
        <f>SUM(E5:E6)</f>
        <v>9.595</v>
      </c>
      <c r="F7" s="23">
        <f>SUM(F5:F6)</f>
        <v>7.494</v>
      </c>
      <c r="G7" s="23">
        <f>SUM(G5:G6)</f>
        <v>9.048</v>
      </c>
      <c r="H7" s="23">
        <f>SUM(H5:H6)</f>
        <v>10.896</v>
      </c>
      <c r="I7" s="23">
        <f>SUM(I5:I6)</f>
        <v>9.904</v>
      </c>
      <c r="J7" s="23">
        <f>SUM(J5:J6)</f>
        <v>13.69</v>
      </c>
      <c r="K7" s="23">
        <f>SUM(K5:K6)</f>
        <v>10.386</v>
      </c>
    </row>
    <row r="8">
      <c r="A8" s="2" t="inlineStr">
        <is>
          <t>Operating Income</t>
        </is>
      </c>
      <c r="B8" s="23">
        <f>B4-B7</f>
        <v>-4.019</v>
      </c>
      <c r="C8" s="23">
        <f>C4-C7</f>
        <v>-2.2449999999999997</v>
      </c>
      <c r="D8" s="23">
        <f>D4-D7</f>
        <v>-2.9739999999999998</v>
      </c>
      <c r="E8" s="23">
        <f>E4-E7</f>
        <v>-6.074000000000001</v>
      </c>
      <c r="F8" s="23">
        <f>F4-F7</f>
        <v>-7.396999999999999</v>
      </c>
      <c r="G8" s="23">
        <f>G4-G7</f>
        <v>-5.912</v>
      </c>
      <c r="H8" s="23">
        <f>H4-H7</f>
        <v>-7.329000000000001</v>
      </c>
      <c r="I8" s="23">
        <f>I4-I7</f>
        <v>-7.167</v>
      </c>
      <c r="J8" s="23">
        <f>J4-J7</f>
        <v>-10.706</v>
      </c>
      <c r="K8" s="23">
        <f>K4-K7</f>
        <v>-4.757999999999999</v>
      </c>
    </row>
    <row r="9">
      <c r="A9" s="19" t="inlineStr">
        <is>
          <t>Interest &amp; Other</t>
        </is>
      </c>
      <c r="B9" s="23" t="n">
        <v>-1.36</v>
      </c>
      <c r="C9" s="23" t="n">
        <v>-3.003</v>
      </c>
      <c r="D9" s="23" t="n">
        <v>-2.778</v>
      </c>
      <c r="E9" s="23" t="n">
        <v>14.66</v>
      </c>
      <c r="F9" s="23" t="n">
        <v>16.761</v>
      </c>
      <c r="G9" s="23" t="n">
        <v>16.566</v>
      </c>
      <c r="H9" s="23" t="n">
        <v>16.317</v>
      </c>
      <c r="I9" s="23" t="n">
        <v>16.847</v>
      </c>
      <c r="J9" s="23" t="n">
        <v>-2.57</v>
      </c>
      <c r="K9" s="23" t="n">
        <v>-3.649</v>
      </c>
    </row>
    <row r="10">
      <c r="A10" s="2" t="inlineStr">
        <is>
          <t>Pretax</t>
        </is>
      </c>
      <c r="B10" s="23">
        <f>B8+B9</f>
        <v>-5.3790000000000004</v>
      </c>
      <c r="C10" s="23">
        <f>C8+C9</f>
        <v>-5.247999999999999</v>
      </c>
      <c r="D10" s="23">
        <f>D8+D9</f>
        <v>-5.752</v>
      </c>
      <c r="E10" s="23">
        <f>E8+E9</f>
        <v>8.585999999999999</v>
      </c>
      <c r="F10" s="23">
        <f>F8+F9</f>
        <v>9.364</v>
      </c>
      <c r="G10" s="23">
        <f>G8+G9</f>
        <v>10.654</v>
      </c>
      <c r="H10" s="23">
        <f>H8+H9</f>
        <v>8.988</v>
      </c>
      <c r="I10" s="23">
        <f>I8+I9</f>
        <v>9.680000000000001</v>
      </c>
      <c r="J10" s="23">
        <f>J8+J9</f>
        <v>-13.276</v>
      </c>
      <c r="K10" s="23">
        <f>K8+K9</f>
        <v>-8.407</v>
      </c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  <c r="E11" s="23" t="n">
        <v>0</v>
      </c>
      <c r="F11" s="23" t="n">
        <v>0</v>
      </c>
      <c r="G11" s="23" t="n">
        <v>0</v>
      </c>
      <c r="H11" s="23" t="n">
        <v>0.049</v>
      </c>
      <c r="I11" s="23" t="n">
        <v>0.073</v>
      </c>
      <c r="J11" s="23" t="n">
        <v>0.032</v>
      </c>
      <c r="K11" s="23" t="n">
        <v>0.047</v>
      </c>
    </row>
    <row r="12">
      <c r="A12" s="2" t="inlineStr">
        <is>
          <t>Net Income</t>
        </is>
      </c>
      <c r="B12" s="23" t="n">
        <v>-5.379</v>
      </c>
      <c r="C12" s="23" t="n">
        <v>-5.248</v>
      </c>
      <c r="D12" s="23" t="n">
        <v>-5.752</v>
      </c>
      <c r="E12" s="23" t="n">
        <v>8.586</v>
      </c>
      <c r="F12" s="23" t="n">
        <v>9.365</v>
      </c>
      <c r="G12" s="23" t="n">
        <v>10.654</v>
      </c>
      <c r="H12" s="23" t="n">
        <v>8.94</v>
      </c>
      <c r="I12" s="23" t="n">
        <v>9.608000000000001</v>
      </c>
      <c r="J12" s="23" t="n">
        <v>-13.308</v>
      </c>
      <c r="K12" s="23" t="n">
        <v>-8.454000000000001</v>
      </c>
    </row>
    <row r="13">
      <c r="A13" s="2" t="inlineStr">
        <is>
          <t>Earnings per Share</t>
        </is>
      </c>
      <c r="B13" s="11">
        <f>IFERROR(B12/B14,0)</f>
        <v>-0.010075090233774309</v>
      </c>
      <c r="C13" s="11">
        <f>IFERROR(C12/C14,0)</f>
        <v>-0.009829721797145861</v>
      </c>
      <c r="D13" s="11">
        <f>IFERROR(D12/D14,0)</f>
        <v>-0.01077373471364005</v>
      </c>
      <c r="E13" s="11">
        <f>IFERROR(E12/E14,0)</f>
        <v>0.013943472584008366</v>
      </c>
      <c r="F13" s="11">
        <f>IFERROR(F12/F14,0)</f>
        <v>0.010465183847522328</v>
      </c>
      <c r="G13" s="11">
        <f>IFERROR(G12/G14,0)</f>
        <v>0.006278596668230324</v>
      </c>
      <c r="H13" s="11">
        <f>IFERROR(H12/H14,0)</f>
        <v>0.0037157261667754233</v>
      </c>
      <c r="I13" s="11">
        <f>IFERROR(I12/I14,0)</f>
        <v>0.00395742391803091</v>
      </c>
      <c r="J13" s="11">
        <f>IFERROR(J12/J14,0)</f>
        <v>-0.003647150519776501</v>
      </c>
      <c r="K13" s="11">
        <f>IFERROR(K12/K14,0)</f>
        <v>-0.0013215726808697432</v>
      </c>
    </row>
    <row r="14">
      <c r="A14" s="2" t="inlineStr">
        <is>
          <t>Shares</t>
        </is>
      </c>
      <c r="B14" s="23" t="n">
        <v>533.891</v>
      </c>
      <c r="C14" s="23" t="n">
        <v>533.891</v>
      </c>
      <c r="D14" s="23" t="n">
        <v>533.891</v>
      </c>
      <c r="E14" s="23" t="n">
        <v>615.772</v>
      </c>
      <c r="F14" s="23" t="n">
        <v>894.872</v>
      </c>
      <c r="G14" s="23" t="n">
        <v>1696.876</v>
      </c>
      <c r="H14" s="23" t="n">
        <v>2405.99</v>
      </c>
      <c r="I14" s="23" t="n">
        <v>2427.842</v>
      </c>
      <c r="J14" s="23" t="n">
        <v>3648.876</v>
      </c>
      <c r="K14" s="23" t="n">
        <v>6396.924</v>
      </c>
    </row>
    <row r="15"/>
    <row r="16" customFormat="1" s="4">
      <c r="A16" s="3" t="inlineStr">
        <is>
          <t>Revenue Change</t>
        </is>
      </c>
      <c r="C16" s="15">
        <f>IFERROR(C2/B2-1,"")</f>
        <v>-0.35544467273260927</v>
      </c>
      <c r="D16" s="15">
        <f>IFERROR(D2/C2-1,"")</f>
        <v>0.05418943533697629</v>
      </c>
      <c r="E16" s="15">
        <f>IFERROR(E2/D2-1,"")</f>
        <v>0.520950323974082</v>
      </c>
      <c r="F16" s="15">
        <f>IFERROR(F2/E2-1,"")</f>
        <v>-0.9724510082362965</v>
      </c>
      <c r="G16" s="15">
        <f>IFERROR(G2/F2-1,"")</f>
        <v>31.329896907216494</v>
      </c>
      <c r="H16" s="15">
        <f>IFERROR(H2/G2-1,"")</f>
        <v>0.13743622448979598</v>
      </c>
      <c r="I16" s="15">
        <f>IFERROR(I2/H2-1,"")</f>
        <v>-0.23268853378188958</v>
      </c>
      <c r="J16" s="15">
        <f>IFERROR(J2/I2-1,"")</f>
        <v>0.0902447935696018</v>
      </c>
      <c r="K16" s="15">
        <f>IFERROR(K2/J2-1,"")</f>
        <v>0.886058981233244</v>
      </c>
    </row>
    <row r="17" customFormat="1" s="4">
      <c r="A17" s="3" t="inlineStr">
        <is>
          <t>Gross Margin</t>
        </is>
      </c>
      <c r="B17" s="15">
        <f>IFERROR(B4/B2,"")</f>
        <v>1.0</v>
      </c>
      <c r="C17" s="15">
        <f>IFERROR(C4/C2,"")</f>
        <v>1.0</v>
      </c>
      <c r="D17" s="15">
        <f>IFERROR(D4/D2,"")</f>
        <v>1.0</v>
      </c>
      <c r="E17" s="15">
        <f>IFERROR(E4/E2,"")</f>
        <v>1.0</v>
      </c>
      <c r="F17" s="15">
        <f>IFERROR(F4/F2,"")</f>
        <v>1.0</v>
      </c>
      <c r="G17" s="15">
        <f>IFERROR(G4/G2,"")</f>
        <v>1.0</v>
      </c>
      <c r="H17" s="15">
        <f>IFERROR(H4/H2,"")</f>
        <v>1.0</v>
      </c>
      <c r="I17" s="15">
        <f>IFERROR(I4/I2,"")</f>
        <v>1.0</v>
      </c>
      <c r="J17" s="15">
        <f>IFERROR(J4/J2,"")</f>
        <v>1.0</v>
      </c>
      <c r="K17" s="15">
        <f>IFERROR(K4/K2,"")</f>
        <v>1.0</v>
      </c>
    </row>
    <row r="18">
      <c r="A18" s="14" t="inlineStr">
        <is>
          <t>Operating Margin</t>
        </is>
      </c>
      <c r="B18" s="15">
        <f>IFERROR(B8/B2,"")</f>
        <v>-1.1796301731728793</v>
      </c>
      <c r="C18" s="15">
        <f>IFERROR(C8/C2,"")</f>
        <v>-1.0223132969034605</v>
      </c>
      <c r="D18" s="15">
        <f>IFERROR(D8/D2,"")</f>
        <v>-1.2846652267818575</v>
      </c>
      <c r="E18" s="15">
        <f>IFERROR(E8/E2,"")</f>
        <v>-1.7250781028117015</v>
      </c>
      <c r="F18" s="15">
        <f>IFERROR(F8/F2,"")</f>
        <v>-76.25773195876288</v>
      </c>
      <c r="G18" s="15">
        <f>IFERROR(G8/G2,"")</f>
        <v>-1.885204081632653</v>
      </c>
      <c r="H18" s="15">
        <f>IFERROR(H8/H2,"")</f>
        <v>-2.054667788057191</v>
      </c>
      <c r="I18" s="15">
        <f>IFERROR(I8/I2,"")</f>
        <v>-2.618560467665327</v>
      </c>
      <c r="J18" s="15">
        <f>IFERROR(J8/J2,"")</f>
        <v>-3.5878016085790883</v>
      </c>
      <c r="K18" s="15">
        <f>IFERROR(K8/K2,"")</f>
        <v>-0.845415778251599</v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  <c r="I19" s="20" t="inlineStr">
        <is>
          <t>A</t>
        </is>
      </c>
      <c r="J19" s="20" t="inlineStr">
        <is>
          <t>A</t>
        </is>
      </c>
      <c r="K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2026-10-21T01:06:12Z</dcterms:modified>
  <cp:lastModifiedBy>Wang, Eric</cp:lastModifiedBy>
</cp:coreProperties>
</file>