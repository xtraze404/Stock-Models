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Pmv Pharmaceuticals, Inc</t>
        </is>
      </c>
      <c r="C2" s="10" t="n"/>
    </row>
    <row r="3">
      <c r="B3" t="inlineStr">
        <is>
          <t>Price</t>
        </is>
      </c>
      <c r="C3" s="11">
        <f>INDEX([1]Pharma!$F$1:$F$1000,MATCH("PMVP",[1]Pharma!$B$1:$B$1000,0))</f>
        <v>1.39</v>
      </c>
      <c r="F3" s="1" t="n"/>
    </row>
    <row r="4">
      <c r="B4" t="inlineStr">
        <is>
          <t>Shares</t>
        </is>
      </c>
      <c r="C4" s="21" t="n">
        <v>53.458058</v>
      </c>
      <c r="F4" s="1" t="n"/>
    </row>
    <row r="5">
      <c r="B5" t="inlineStr">
        <is>
          <t>Market Cap.</t>
        </is>
      </c>
      <c r="C5" s="13">
        <f>C3*C4</f>
        <v>74.30670062</v>
      </c>
      <c r="F5" s="1" t="n"/>
    </row>
    <row r="6"/>
    <row r="7">
      <c r="B7" t="inlineStr">
        <is>
          <t>Cash</t>
        </is>
      </c>
      <c r="C7" s="21">
        <f>12.469+66.962</f>
        <v>79.431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-5.1242993799999965</v>
      </c>
    </row>
    <row r="10"/>
    <row r="11">
      <c r="B11" s="14" t="inlineStr">
        <is>
          <t>Net Cash / Share</t>
        </is>
      </c>
      <c r="C11" s="11">
        <f>(C7-C8)/C4</f>
        <v>1.4858564446916496</v>
      </c>
    </row>
    <row r="12">
      <c r="B12" s="14" t="inlineStr">
        <is>
          <t>Upside</t>
        </is>
      </c>
      <c r="C12" s="15">
        <f>IFERROR(C11/C3-1,"")</f>
        <v>0.06896147100118677</v>
      </c>
    </row>
    <row r="13">
      <c r="B13" s="14" t="inlineStr">
        <is>
          <t>Cash / Share</t>
        </is>
      </c>
      <c r="C13" s="11">
        <f>IFERROR((C7-C8)/C4,"")</f>
        <v>1.4858564446916496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-71.265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1.1145864028625552</v>
      </c>
    </row>
    <row r="19">
      <c r="B19" s="14" t="inlineStr">
        <is>
          <t>Implied Pipeline Value</t>
        </is>
      </c>
      <c r="C19" s="13">
        <f>C9</f>
        <v>-5.1242993799999965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13.853</v>
      </c>
      <c r="C5" s="23" t="n">
        <v>20.759</v>
      </c>
      <c r="D5" s="23" t="n">
        <v>23.933</v>
      </c>
      <c r="E5" s="23" t="n">
        <v>36.493</v>
      </c>
      <c r="F5" s="23" t="n">
        <v>51.988</v>
      </c>
      <c r="G5" s="23" t="n">
        <v>55.885</v>
      </c>
      <c r="H5" s="23" t="n">
        <v>58.527</v>
      </c>
      <c r="I5" s="23" t="n">
        <v>69.877</v>
      </c>
      <c r="J5" s="1" t="n"/>
      <c r="K5" s="1" t="n"/>
    </row>
    <row r="6">
      <c r="A6" s="19" t="inlineStr">
        <is>
          <t>SG&amp;A &amp; Other</t>
        </is>
      </c>
      <c r="B6" s="23" t="n">
        <v>5.039</v>
      </c>
      <c r="C6" s="23" t="n">
        <v>5.878</v>
      </c>
      <c r="D6" s="23" t="n">
        <v>11.009</v>
      </c>
      <c r="E6" s="23" t="n">
        <v>21.8</v>
      </c>
      <c r="F6" s="23" t="n">
        <v>25.052</v>
      </c>
      <c r="G6" s="23" t="n">
        <v>24.247</v>
      </c>
      <c r="H6" s="23" t="n">
        <v>26.921</v>
      </c>
      <c r="I6" s="23" t="n">
        <v>16.329</v>
      </c>
      <c r="J6" s="1" t="n"/>
      <c r="K6" s="1" t="n"/>
    </row>
    <row r="7">
      <c r="A7" s="2" t="inlineStr">
        <is>
          <t>Operating Expense</t>
        </is>
      </c>
      <c r="B7" s="23">
        <f>SUM(B5:B6)</f>
        <v>18.892</v>
      </c>
      <c r="C7" s="23">
        <f>SUM(C5:C6)</f>
        <v>26.637</v>
      </c>
      <c r="D7" s="23">
        <f>SUM(D5:D6)</f>
        <v>34.942</v>
      </c>
      <c r="E7" s="23">
        <f>SUM(E5:E6)</f>
        <v>58.293000000000006</v>
      </c>
      <c r="F7" s="23">
        <f>SUM(F5:F6)</f>
        <v>77.03999999999999</v>
      </c>
      <c r="G7" s="23">
        <f>SUM(G5:G6)</f>
        <v>80.132</v>
      </c>
      <c r="H7" s="23">
        <f>SUM(H5:H6)</f>
        <v>85.44800000000001</v>
      </c>
      <c r="I7" s="23">
        <f>SUM(I5:I6)</f>
        <v>86.20599999999999</v>
      </c>
      <c r="J7" s="1" t="n"/>
      <c r="K7" s="1" t="n"/>
    </row>
    <row r="8">
      <c r="A8" s="2" t="inlineStr">
        <is>
          <t>Operating Income</t>
        </is>
      </c>
      <c r="B8" s="23">
        <f>B4-B7</f>
        <v>-18.892</v>
      </c>
      <c r="C8" s="23">
        <f>C4-C7</f>
        <v>-26.637</v>
      </c>
      <c r="D8" s="23">
        <f>D4-D7</f>
        <v>-34.942</v>
      </c>
      <c r="E8" s="23">
        <f>E4-E7</f>
        <v>-58.293000000000006</v>
      </c>
      <c r="F8" s="23">
        <f>F4-F7</f>
        <v>-77.03999999999999</v>
      </c>
      <c r="G8" s="23">
        <f>G4-G7</f>
        <v>-80.132</v>
      </c>
      <c r="H8" s="23">
        <f>H4-H7</f>
        <v>-85.44800000000001</v>
      </c>
      <c r="I8" s="23">
        <f>I4-I7</f>
        <v>-86.20599999999999</v>
      </c>
      <c r="J8" s="1" t="n"/>
      <c r="K8" s="1" t="n"/>
    </row>
    <row r="9">
      <c r="A9" s="19" t="inlineStr">
        <is>
          <t>Interest &amp; Other</t>
        </is>
      </c>
      <c r="B9" s="23" t="n">
        <v>1.357</v>
      </c>
      <c r="C9" s="23" t="n">
        <v>1.293</v>
      </c>
      <c r="D9" s="23" t="n">
        <v>0.508</v>
      </c>
      <c r="E9" s="23" t="n">
        <v>0.47</v>
      </c>
      <c r="F9" s="23" t="n">
        <v>3.714</v>
      </c>
      <c r="G9" s="23" t="n">
        <v>11.174</v>
      </c>
      <c r="H9" s="23" t="n">
        <v>10.451</v>
      </c>
      <c r="I9" s="23" t="n">
        <v>6.292</v>
      </c>
    </row>
    <row r="10">
      <c r="A10" s="2" t="inlineStr">
        <is>
          <t>Pretax</t>
        </is>
      </c>
      <c r="B10" s="23">
        <f>B8+B9</f>
        <v>-17.535</v>
      </c>
      <c r="C10" s="23">
        <f>C8+C9</f>
        <v>-25.344</v>
      </c>
      <c r="D10" s="23">
        <f>D8+D9</f>
        <v>-34.434</v>
      </c>
      <c r="E10" s="23">
        <f>E8+E9</f>
        <v>-57.82300000000001</v>
      </c>
      <c r="F10" s="23">
        <f>F8+F9</f>
        <v>-73.326</v>
      </c>
      <c r="G10" s="23">
        <f>G8+G9</f>
        <v>-68.958</v>
      </c>
      <c r="H10" s="23">
        <f>H8+H9</f>
        <v>-74.99700000000001</v>
      </c>
      <c r="I10" s="23">
        <f>I8+I9</f>
        <v>-79.91399999999999</v>
      </c>
      <c r="J10" s="1" t="n"/>
      <c r="K10" s="1" t="n"/>
    </row>
    <row r="11">
      <c r="A11" s="2" t="inlineStr">
        <is>
          <t>Taxes</t>
        </is>
      </c>
      <c r="B11" s="23" t="n">
        <v>0.003</v>
      </c>
      <c r="C11" s="23" t="n">
        <v>0.008</v>
      </c>
      <c r="D11" s="23" t="n">
        <v>0.006</v>
      </c>
      <c r="E11" s="23" t="n">
        <v>0.023</v>
      </c>
      <c r="F11" s="23" t="n">
        <v>-0.008999999999999999</v>
      </c>
      <c r="G11" s="23" t="n">
        <v>0.002</v>
      </c>
      <c r="H11" s="23" t="n">
        <v>-16.1</v>
      </c>
      <c r="I11" s="23" t="n">
        <v>-2.172</v>
      </c>
    </row>
    <row r="12">
      <c r="A12" s="2" t="inlineStr">
        <is>
          <t>Net Income</t>
        </is>
      </c>
      <c r="B12" s="23" t="n">
        <v>-17.538</v>
      </c>
      <c r="C12" s="23" t="n">
        <v>-25.352</v>
      </c>
      <c r="D12" s="23" t="n">
        <v>-34.44</v>
      </c>
      <c r="E12" s="23" t="n">
        <v>-57.846</v>
      </c>
      <c r="F12" s="23" t="n">
        <v>-73.31699999999999</v>
      </c>
      <c r="G12" s="23" t="n">
        <v>-68.95999999999999</v>
      </c>
      <c r="H12" s="23" t="n">
        <v>-58.897</v>
      </c>
      <c r="I12" s="23" t="n">
        <v>-77.742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-5.822709163346613</v>
      </c>
      <c r="C13" s="11">
        <f>IFERROR(C12/C14,0)</f>
        <v>-8.35321252059308</v>
      </c>
      <c r="D13" s="11">
        <f>IFERROR(D12/D14,0)</f>
        <v>-2.39766081871345</v>
      </c>
      <c r="E13" s="11">
        <f>IFERROR(E12/E14,0)</f>
        <v>-1.2815366210288448</v>
      </c>
      <c r="F13" s="11">
        <f>IFERROR(F12/F14,0)</f>
        <v>-1.6080052637350586</v>
      </c>
      <c r="G13" s="11">
        <f>IFERROR(G12/G14,0)</f>
        <v>-1.4362178485889825</v>
      </c>
      <c r="H13" s="11">
        <f>IFERROR(H12/H14,0)</f>
        <v>-1.1418794470617886</v>
      </c>
      <c r="I13" s="11">
        <f>IFERROR(I12/I14,0)</f>
        <v>-1.4796163069544366</v>
      </c>
    </row>
    <row r="14">
      <c r="A14" s="2" t="inlineStr">
        <is>
          <t>Shares</t>
        </is>
      </c>
      <c r="B14" s="23" t="n">
        <v>3.012</v>
      </c>
      <c r="C14" s="23" t="n">
        <v>3.035</v>
      </c>
      <c r="D14" s="23" t="n">
        <v>14.364</v>
      </c>
      <c r="E14" s="23" t="n">
        <v>45.138</v>
      </c>
      <c r="F14" s="23" t="n">
        <v>45.595</v>
      </c>
      <c r="G14" s="23" t="n">
        <v>48.015</v>
      </c>
      <c r="H14" s="23" t="n">
        <v>51.579</v>
      </c>
      <c r="I14" s="23" t="n">
        <v>52.542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2026-10-21T01:06:05Z</dcterms:modified>
  <cp:lastModifiedBy>Wang, Eric</cp:lastModifiedBy>
</cp:coreProperties>
</file>