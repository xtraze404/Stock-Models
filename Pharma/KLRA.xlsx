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Kailera Therapeutics Inc</t>
        </is>
      </c>
      <c r="C2" s="10" t="n"/>
    </row>
    <row r="3">
      <c r="B3" t="inlineStr">
        <is>
          <t>Price</t>
        </is>
      </c>
      <c r="C3" s="11">
        <f>INDEX([1]Pharma!$F$1:$F$1000,MATCH("KLRA",[1]Pharma!$B$1:$B$1000,0))</f>
        <v>12.89</v>
      </c>
      <c r="F3" s="1" t="n"/>
    </row>
    <row r="4">
      <c r="B4" t="inlineStr">
        <is>
          <t>Shares</t>
        </is>
      </c>
      <c r="C4" s="12" t="n">
        <v>129.643676</v>
      </c>
      <c r="F4" s="1" t="n"/>
    </row>
    <row r="5">
      <c r="B5" t="inlineStr">
        <is>
          <t>Market Cap.</t>
        </is>
      </c>
      <c r="C5" s="13">
        <f>C3*C4</f>
        <v>1671.10698364</v>
      </c>
      <c r="F5" s="1" t="n"/>
    </row>
    <row r="6"/>
    <row r="7">
      <c r="B7" t="inlineStr">
        <is>
          <t>Cash</t>
        </is>
      </c>
      <c r="C7" s="12" t="n">
        <v>1171.8</v>
      </c>
    </row>
    <row r="8">
      <c r="B8" t="inlineStr">
        <is>
          <t>Debt</t>
        </is>
      </c>
      <c r="C8" s="12" t="n">
        <v>0</v>
      </c>
    </row>
    <row r="9">
      <c r="B9" t="inlineStr">
        <is>
          <t>Enterprise V.</t>
        </is>
      </c>
      <c r="C9" s="13">
        <f>C5-C7+C8</f>
        <v>499.30698364</v>
      </c>
    </row>
    <row r="10"/>
    <row r="11">
      <c r="B11" s="14" t="inlineStr">
        <is>
          <t>Net Cash / Share</t>
        </is>
      </c>
      <c r="C11" s="11">
        <f>(C7-C8)/C4</f>
        <v>9.03862059573195</v>
      </c>
    </row>
    <row r="12">
      <c r="B12" s="14" t="inlineStr">
        <is>
          <t>Upside</t>
        </is>
      </c>
      <c r="C12" s="15">
        <f>IFERROR(C11/C3-1,"")</f>
        <v>-0.2987881616965128</v>
      </c>
    </row>
    <row r="13">
      <c r="B13" s="14" t="inlineStr">
        <is>
          <t>Cash / Share</t>
        </is>
      </c>
      <c r="C13" s="11">
        <f>IFERROR((C7-C8)/C4,"")</f>
        <v>9.03862059573195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12" t="n"/>
    </row>
    <row r="18">
      <c r="B18" s="14" t="inlineStr">
        <is>
          <t>Runway (years)</t>
        </is>
      </c>
      <c r="C18" s="16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499.30698364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1" t="n"/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1" t="n"/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1" t="n"/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1" t="n"/>
      <c r="C5" s="1" t="n"/>
      <c r="D5" s="1" t="n"/>
      <c r="I5" s="1" t="n"/>
      <c r="J5" s="1" t="n"/>
      <c r="K5" s="1" t="n"/>
    </row>
    <row r="6">
      <c r="A6" s="17" t="inlineStr">
        <is>
          <t>SG&amp;A &amp; Other</t>
        </is>
      </c>
      <c r="B6" s="1" t="n"/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1" t="n"/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1" t="n"/>
      <c r="C8" s="1" t="n"/>
      <c r="D8" s="1" t="n"/>
      <c r="I8" s="1" t="n"/>
      <c r="J8" s="1" t="n"/>
      <c r="K8" s="1" t="n"/>
    </row>
    <row r="9">
      <c r="A9" s="17" t="inlineStr">
        <is>
          <t>Interest &amp; Other</t>
        </is>
      </c>
    </row>
    <row r="10">
      <c r="A10" s="2" t="inlineStr">
        <is>
          <t>Pretax</t>
        </is>
      </c>
      <c r="B10" s="1" t="n"/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</row>
    <row r="12">
      <c r="A12" s="2" t="inlineStr">
        <is>
          <t>Net Income</t>
        </is>
      </c>
      <c r="B12" s="1" t="n"/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</row>
    <row r="14">
      <c r="A14" s="2" t="inlineStr">
        <is>
          <t>Shares</t>
        </is>
      </c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</row>
    <row r="19">
      <c r="A19" s="14" t="inlineStr">
        <is>
          <t>Actual / Estimate</t>
        </is>
      </c>
      <c r="B19" s="14" t="inlineStr">
        <is>
          <t>No annual financials in SEC XBRL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2026-10-21T01:04:41Z</dcterms:modified>
  <cp:lastModifiedBy>Wang, Eric</cp:lastModifiedBy>
</cp:coreProperties>
</file>