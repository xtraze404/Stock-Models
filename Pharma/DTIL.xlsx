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Precision Biosciences, Inc</t>
        </is>
      </c>
      <c r="C2" s="10" t="n"/>
    </row>
    <row r="3">
      <c r="B3" t="inlineStr">
        <is>
          <t>Price</t>
        </is>
      </c>
      <c r="C3" s="11">
        <f>INDEX([1]Pharma!$F$1:$F$1000,MATCH("DTIL",[1]Pharma!$B$1:$B$1000,0))</f>
        <v>6.56</v>
      </c>
      <c r="F3" s="1" t="n"/>
    </row>
    <row r="4">
      <c r="B4" t="inlineStr">
        <is>
          <t>Shares</t>
        </is>
      </c>
      <c r="C4" s="21" t="n">
        <v>27.601554</v>
      </c>
      <c r="F4" s="1" t="n"/>
    </row>
    <row r="5">
      <c r="B5" t="inlineStr">
        <is>
          <t>Market Cap.</t>
        </is>
      </c>
      <c r="C5" s="13">
        <f>C3*C4</f>
        <v>181.06619424</v>
      </c>
      <c r="F5" s="1" t="n"/>
    </row>
    <row r="6"/>
    <row r="7">
      <c r="B7" t="inlineStr">
        <is>
          <t>Cash</t>
        </is>
      </c>
      <c r="C7" s="21">
        <f>86.076+1.473</f>
        <v>87.54899999999999</v>
      </c>
    </row>
    <row r="8">
      <c r="B8" t="inlineStr">
        <is>
          <t>Debt</t>
        </is>
      </c>
      <c r="C8" s="21" t="n">
        <v>22.421</v>
      </c>
    </row>
    <row r="9">
      <c r="B9" t="inlineStr">
        <is>
          <t>Enterprise V.</t>
        </is>
      </c>
      <c r="C9" s="13">
        <f>C5-C7+C8</f>
        <v>115.93819424</v>
      </c>
    </row>
    <row r="10"/>
    <row r="11">
      <c r="B11" s="14" t="inlineStr">
        <is>
          <t>rNPV / Share</t>
        </is>
      </c>
      <c r="C11" s="11">
        <f>NPV!B27</f>
        <v>10.468599380116359</v>
      </c>
    </row>
    <row r="12">
      <c r="B12" s="14" t="inlineStr">
        <is>
          <t>Upside</t>
        </is>
      </c>
      <c r="C12" s="15">
        <f>IFERROR(C11/C3-1,"")</f>
        <v>0.5958230762372501</v>
      </c>
    </row>
    <row r="13">
      <c r="B13" s="14" t="inlineStr">
        <is>
          <t>Cash / Share</t>
        </is>
      </c>
      <c r="C13" s="11">
        <f>IFERROR((C7-C8)/C4,"")</f>
        <v>2.3595772904670507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-51.899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1.2548989383225106</v>
      </c>
    </row>
    <row r="19">
      <c r="B19" s="14" t="inlineStr">
        <is>
          <t>Implied Pipeline Value</t>
        </is>
      </c>
      <c r="C19" s="13">
        <f>C9</f>
        <v>115.93819424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10.883</v>
      </c>
      <c r="C2" s="23" t="n">
        <v>1070</v>
      </c>
      <c r="D2" s="23" t="n">
        <v>24.285</v>
      </c>
      <c r="E2" s="23" t="n">
        <v>115.529</v>
      </c>
      <c r="F2" s="23" t="n">
        <v>25.098</v>
      </c>
      <c r="G2" s="23" t="n">
        <v>48.727</v>
      </c>
      <c r="H2" s="23" t="n">
        <v>68.696</v>
      </c>
      <c r="I2" s="23" t="n">
        <v>34.264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10.883</v>
      </c>
      <c r="C4" s="23">
        <f>C2-C3</f>
        <v>1070.0</v>
      </c>
      <c r="D4" s="23">
        <f>D2-D3</f>
        <v>24.285</v>
      </c>
      <c r="E4" s="23">
        <f>E2-E3</f>
        <v>115.529</v>
      </c>
      <c r="F4" s="23">
        <f>F2-F3</f>
        <v>25.098</v>
      </c>
      <c r="G4" s="23">
        <f>G2-G3</f>
        <v>48.727</v>
      </c>
      <c r="H4" s="23">
        <f>H2-H3</f>
        <v>68.696</v>
      </c>
      <c r="I4" s="23">
        <f>I2-I3</f>
        <v>34.264</v>
      </c>
      <c r="J4" s="1" t="n"/>
      <c r="K4" s="1" t="n"/>
    </row>
    <row r="5">
      <c r="A5" s="2" t="inlineStr">
        <is>
          <t>Research &amp; Dev.</t>
        </is>
      </c>
      <c r="B5" s="23" t="n">
        <v>45.122</v>
      </c>
      <c r="C5" s="23" t="n">
        <v>82.416</v>
      </c>
      <c r="D5" s="23" t="n">
        <v>98.06100000000001</v>
      </c>
      <c r="E5" s="23" t="n">
        <v>115.238</v>
      </c>
      <c r="F5" s="23" t="n">
        <v>46.122</v>
      </c>
      <c r="G5" s="23" t="n">
        <v>53.375</v>
      </c>
      <c r="H5" s="23" t="n">
        <v>59.559</v>
      </c>
      <c r="I5" s="23" t="n">
        <v>54.172</v>
      </c>
      <c r="J5" s="1" t="n"/>
      <c r="K5" s="1" t="n"/>
    </row>
    <row r="6">
      <c r="A6" s="19" t="inlineStr">
        <is>
          <t>SG&amp;A &amp; Other</t>
        </is>
      </c>
      <c r="B6" s="23" t="n">
        <v>13.673</v>
      </c>
      <c r="C6" s="23" t="n">
        <v>1074.788</v>
      </c>
      <c r="D6" s="23" t="n">
        <v>36.052</v>
      </c>
      <c r="E6" s="23" t="n">
        <v>39.667</v>
      </c>
      <c r="F6" s="23" t="n">
        <v>41.284</v>
      </c>
      <c r="G6" s="23" t="n">
        <v>39.088</v>
      </c>
      <c r="H6" s="23" t="n">
        <v>35.299</v>
      </c>
      <c r="I6" s="23" t="n">
        <v>32.24</v>
      </c>
      <c r="J6" s="1" t="n"/>
      <c r="K6" s="1" t="n"/>
    </row>
    <row r="7">
      <c r="A7" s="2" t="inlineStr">
        <is>
          <t>Operating Expense</t>
        </is>
      </c>
      <c r="B7" s="23">
        <f>SUM(B5:B6)</f>
        <v>58.795</v>
      </c>
      <c r="C7" s="23">
        <f>SUM(C5:C6)</f>
        <v>1157.204</v>
      </c>
      <c r="D7" s="23">
        <f>SUM(D5:D6)</f>
        <v>134.113</v>
      </c>
      <c r="E7" s="23">
        <f>SUM(E5:E6)</f>
        <v>154.905</v>
      </c>
      <c r="F7" s="23">
        <f>SUM(F5:F6)</f>
        <v>87.406</v>
      </c>
      <c r="G7" s="23">
        <f>SUM(G5:G6)</f>
        <v>92.463</v>
      </c>
      <c r="H7" s="23">
        <f>SUM(H5:H6)</f>
        <v>94.858</v>
      </c>
      <c r="I7" s="23">
        <f>SUM(I5:I6)</f>
        <v>86.412</v>
      </c>
      <c r="J7" s="1" t="n"/>
      <c r="K7" s="1" t="n"/>
    </row>
    <row r="8">
      <c r="A8" s="2" t="inlineStr">
        <is>
          <t>Operating Income</t>
        </is>
      </c>
      <c r="B8" s="23">
        <f>B4-B7</f>
        <v>-47.912000000000006</v>
      </c>
      <c r="C8" s="23">
        <f>C4-C7</f>
        <v>-87.20399999999995</v>
      </c>
      <c r="D8" s="23">
        <f>D4-D7</f>
        <v>-109.828</v>
      </c>
      <c r="E8" s="23">
        <f>E4-E7</f>
        <v>-39.376000000000005</v>
      </c>
      <c r="F8" s="23">
        <f>F4-F7</f>
        <v>-62.30800000000001</v>
      </c>
      <c r="G8" s="23">
        <f>G4-G7</f>
        <v>-43.736</v>
      </c>
      <c r="H8" s="23">
        <f>H4-H7</f>
        <v>-26.162000000000006</v>
      </c>
      <c r="I8" s="23">
        <f>I4-I7</f>
        <v>-52.148</v>
      </c>
      <c r="J8" s="1" t="n"/>
      <c r="K8" s="1" t="n"/>
    </row>
    <row r="9">
      <c r="A9" s="19" t="inlineStr">
        <is>
          <t>Interest &amp; Other</t>
        </is>
      </c>
      <c r="B9" s="23" t="n">
        <v>1.875</v>
      </c>
      <c r="C9" s="23" t="n">
        <v>-5.673</v>
      </c>
      <c r="D9" s="23" t="n">
        <v>0.845</v>
      </c>
      <c r="E9" s="23" t="n">
        <v>8.773999999999999</v>
      </c>
      <c r="F9" s="23" t="n">
        <v>-49.329</v>
      </c>
      <c r="G9" s="23" t="n">
        <v>-17.583</v>
      </c>
      <c r="H9" s="23" t="n">
        <v>33.329</v>
      </c>
      <c r="I9" s="23" t="n">
        <v>6.424</v>
      </c>
    </row>
    <row r="10">
      <c r="A10" s="2" t="inlineStr">
        <is>
          <t>Pretax</t>
        </is>
      </c>
      <c r="B10" s="23">
        <f>B8+B9</f>
        <v>-46.037000000000006</v>
      </c>
      <c r="C10" s="23">
        <f>C8+C9</f>
        <v>-92.87699999999995</v>
      </c>
      <c r="D10" s="23">
        <f>D8+D9</f>
        <v>-108.983</v>
      </c>
      <c r="E10" s="23">
        <f>E8+E9</f>
        <v>-30.602000000000004</v>
      </c>
      <c r="F10" s="23">
        <f>F8+F9</f>
        <v>-111.637</v>
      </c>
      <c r="G10" s="23">
        <f>G8+G9</f>
        <v>-61.318999999999996</v>
      </c>
      <c r="H10" s="23">
        <f>H8+H9</f>
        <v>7.1669999999999945</v>
      </c>
      <c r="I10" s="23">
        <f>I8+I9</f>
        <v>-45.724000000000004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0.023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</row>
    <row r="12">
      <c r="A12" s="2" t="inlineStr">
        <is>
          <t>Net Income</t>
        </is>
      </c>
      <c r="B12" s="23" t="n">
        <v>-46.037</v>
      </c>
      <c r="C12" s="23" t="n">
        <v>-92.877</v>
      </c>
      <c r="D12" s="23" t="n">
        <v>-109.006</v>
      </c>
      <c r="E12" s="23" t="n">
        <v>-30.602</v>
      </c>
      <c r="F12" s="23" t="n">
        <v>-111.637</v>
      </c>
      <c r="G12" s="23" t="n">
        <v>-61.319</v>
      </c>
      <c r="H12" s="23" t="n">
        <v>7.167</v>
      </c>
      <c r="I12" s="23" t="n">
        <v>-45.724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-58.348542458808616</v>
      </c>
      <c r="C13" s="11">
        <f>IFERROR(C12/C14,0)</f>
        <v>-44.22714285714285</v>
      </c>
      <c r="D13" s="11">
        <f>IFERROR(D12/D14,0)</f>
        <v>-41.89315910837817</v>
      </c>
      <c r="E13" s="11">
        <f>IFERROR(E12/E14,0)</f>
        <v>-10.430129516019086</v>
      </c>
      <c r="F13" s="11">
        <f>IFERROR(F12/F14,0)</f>
        <v>-38.101365187713306</v>
      </c>
      <c r="G13" s="11">
        <f>IFERROR(G12/G14,0)</f>
        <v>-15.964332205154907</v>
      </c>
      <c r="H13" s="11">
        <f>IFERROR(H12/H14,0)</f>
        <v>1.0411098198721673</v>
      </c>
      <c r="I13" s="11">
        <f>IFERROR(I12/I14,0)</f>
        <v>-3.5649462030251047</v>
      </c>
    </row>
    <row r="14">
      <c r="A14" s="2" t="inlineStr">
        <is>
          <t>Shares</t>
        </is>
      </c>
      <c r="B14" s="23" t="n">
        <v>0.789</v>
      </c>
      <c r="C14" s="23" t="n">
        <v>2.1</v>
      </c>
      <c r="D14" s="23" t="n">
        <v>2.602</v>
      </c>
      <c r="E14" s="23" t="n">
        <v>2.934</v>
      </c>
      <c r="F14" s="23" t="n">
        <v>2.93</v>
      </c>
      <c r="G14" s="23" t="n">
        <v>3.841</v>
      </c>
      <c r="H14" s="23" t="n">
        <v>6.884</v>
      </c>
      <c r="I14" s="23" t="n">
        <v>12.826</v>
      </c>
    </row>
    <row r="15"/>
    <row r="16" customFormat="1" s="4">
      <c r="A16" s="3" t="inlineStr">
        <is>
          <t>Revenue Change</t>
        </is>
      </c>
      <c r="C16" s="15">
        <f>IFERROR(C2/B2-1,"")</f>
        <v>97.31847836074613</v>
      </c>
      <c r="D16" s="15">
        <f>IFERROR(D2/C2-1,"")</f>
        <v>-0.977303738317757</v>
      </c>
      <c r="E16" s="15">
        <f>IFERROR(E2/D2-1,"")</f>
        <v>3.757216388717315</v>
      </c>
      <c r="F16" s="15">
        <f>IFERROR(F2/E2-1,"")</f>
        <v>-0.7827558448528076</v>
      </c>
      <c r="G16" s="15">
        <f>IFERROR(G2/F2-1,"")</f>
        <v>0.9414694397959997</v>
      </c>
      <c r="H16" s="15">
        <f>IFERROR(H2/G2-1,"")</f>
        <v>0.40981386089847516</v>
      </c>
      <c r="I16" s="15">
        <f>IFERROR(I2/H2-1,"")</f>
        <v>-0.5012227786188423</v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>-4.4024625562804385</v>
      </c>
      <c r="C18" s="15">
        <f>IFERROR(C8/C2,"")</f>
        <v>-0.0814990654205607</v>
      </c>
      <c r="D18" s="15">
        <f>IFERROR(D8/D2,"")</f>
        <v>-4.522462425365452</v>
      </c>
      <c r="E18" s="15">
        <f>IFERROR(E8/E2,"")</f>
        <v>-0.34083217200875976</v>
      </c>
      <c r="F18" s="15">
        <f>IFERROR(F8/F2,"")</f>
        <v>-2.4825882540441473</v>
      </c>
      <c r="G18" s="15">
        <f>IFERROR(G8/G2,"")</f>
        <v>-0.8975721879040368</v>
      </c>
      <c r="H18" s="15">
        <f>IFERROR(H8/H2,"")</f>
        <v>-0.38083731221614076</v>
      </c>
      <c r="I18" s="15">
        <f>IFERROR(I8/I2,"")</f>
        <v>-1.5219472332477235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Precision Biosciences,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0.31167599999999995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36.395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497.2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223.8216110946482</v>
      </c>
      <c r="C29" s="42">
        <f>NPV!B25</f>
        <v>288.9496110946482</v>
      </c>
      <c r="D29" s="43">
        <f>NPV!B27</f>
        <v>10.468599380116359</v>
      </c>
      <c r="E29" s="44">
        <f>NPV!B29</f>
        <v>0.5958230762372501</v>
      </c>
    </row>
    <row r="30">
      <c r="A30" s="45" t="n">
        <v>1</v>
      </c>
      <c r="B30" s="46">
        <f t="dataTable" ref="B30:E32" r1="B4"/>
        <v>30.12171559333505</v>
      </c>
      <c r="C30" s="46">
        <v>95.24971559333505</v>
      </c>
      <c r="D30" s="47">
        <v>3.4508823522521612</v>
      </c>
      <c r="E30" s="48">
        <v>-0.47395086093717054</v>
      </c>
    </row>
    <row r="31">
      <c r="A31" s="45" t="n">
        <v>2</v>
      </c>
      <c r="B31" s="46">
        <v>223.8216110946482</v>
      </c>
      <c r="C31" s="46">
        <v>288.9496110946482</v>
      </c>
      <c r="D31" s="47">
        <v>10.468599380116359</v>
      </c>
      <c r="E31" s="48">
        <v>0.5958230762372501</v>
      </c>
    </row>
    <row r="32">
      <c r="A32" s="45" t="n">
        <v>3</v>
      </c>
      <c r="B32" s="46">
        <v>537.9309040235107</v>
      </c>
      <c r="C32" s="46">
        <v>603.0589040235106</v>
      </c>
      <c r="D32" s="47">
        <v>21.84873011220711</v>
      </c>
      <c r="E32" s="48">
        <v>2.3305991024705963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10.468599380116359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2.3114196236558304</v>
      </c>
      <c r="C37" s="47">
        <v>4.296709517516719</v>
      </c>
      <c r="D37" s="47">
        <v>6.082937431346806</v>
      </c>
      <c r="E37" s="47">
        <v>9.535869062863046</v>
      </c>
      <c r="F37" s="47">
        <v>12.917833639388643</v>
      </c>
    </row>
    <row r="38">
      <c r="A38" s="50" t="n">
        <v>0.8</v>
      </c>
      <c r="B38" s="47">
        <v>3.5744571991056433</v>
      </c>
      <c r="C38" s="47">
        <v>5.977429858710157</v>
      </c>
      <c r="D38" s="47">
        <v>8.29236195004809</v>
      </c>
      <c r="E38" s="47">
        <v>12.817166104310212</v>
      </c>
      <c r="F38" s="47">
        <v>17.28193454461585</v>
      </c>
    </row>
    <row r="39">
      <c r="A39" s="50" t="n">
        <v>1</v>
      </c>
      <c r="B39" s="47">
        <v>4.689028514721994</v>
      </c>
      <c r="C39" s="47">
        <v>7.619285848631234</v>
      </c>
      <c r="D39" s="47">
        <v>10.468599380116359</v>
      </c>
      <c r="E39" s="47">
        <v>16.076856136805468</v>
      </c>
      <c r="F39" s="47">
        <v>21.623132188835566</v>
      </c>
    </row>
    <row r="40">
      <c r="A40" s="50" t="n">
        <v>1.2</v>
      </c>
      <c r="B40" s="47">
        <v>5.777917649790106</v>
      </c>
      <c r="C40" s="47">
        <v>9.24126806671748</v>
      </c>
      <c r="D40" s="47">
        <v>12.626806286639095</v>
      </c>
      <c r="E40" s="47">
        <v>19.312412264574633</v>
      </c>
      <c r="F40" s="47">
        <v>25.951728799007338</v>
      </c>
    </row>
    <row r="41">
      <c r="A41" s="50" t="n">
        <v>1.4</v>
      </c>
      <c r="B41" s="47">
        <v>6.852341287006783</v>
      </c>
      <c r="C41" s="47">
        <v>10.84972589912244</v>
      </c>
      <c r="D41" s="47">
        <v>14.776958408745521</v>
      </c>
      <c r="E41" s="47">
        <v>22.551582086299252</v>
      </c>
      <c r="F41" s="47">
        <v>30.26919333202964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Precision Biosciences,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Muscular dystrophy / SMA</t>
        </is>
      </c>
      <c r="C4" s="14" t="inlineStr">
        <is>
          <t>PBGENE-DMD (IV)</t>
        </is>
      </c>
      <c r="D4" s="14" t="inlineStr">
        <is>
          <t>Phase 1/2</t>
        </is>
      </c>
      <c r="E4" s="14" t="inlineStr">
        <is>
          <t>Neurology / rare</t>
        </is>
      </c>
      <c r="F4" s="14" t="inlineStr">
        <is>
          <t>Owned</t>
        </is>
      </c>
      <c r="G4" s="40" t="n">
        <v>1000</v>
      </c>
      <c r="H4" s="27" t="n">
        <v>0.207</v>
      </c>
      <c r="I4" s="26" t="n">
        <v>2032</v>
      </c>
      <c r="J4" s="39">
        <f>I4+Assumptions!$B$25</f>
        <v>2044.0</v>
      </c>
      <c r="K4" s="53">
        <f>Assumptions!$E$13</f>
        <v>0.4</v>
      </c>
      <c r="L4" s="23">
        <f>K4*SUMPRODUCT(M4:AF4,NPV!$C$15:$V$15)</f>
        <v>207.8201824926093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20.7</v>
      </c>
      <c r="T4" s="23">
        <f>IF(T$3&lt;$I4,0,$G4*Assumptions!$E$11*INDEX(Assumptions!$B$24:$G$24,MIN(6,T$3-$I4+1))*IF(T$3&gt;$J4,(1-Assumptions!$B$26)^(T$3-$J4),1)*IF($H4&gt;=1,1,MIN(0.97,$H4*Assumptions!$E$12)))</f>
        <v>51.75</v>
      </c>
      <c r="U4" s="23">
        <f>IF(U$3&lt;$I4,0,$G4*Assumptions!$E$11*INDEX(Assumptions!$B$24:$G$24,MIN(6,U$3-$I4+1))*IF(U$3&gt;$J4,(1-Assumptions!$B$26)^(U$3-$J4),1)*IF($H4&gt;=1,1,MIN(0.97,$H4*Assumptions!$E$12)))</f>
        <v>93.14999999999999</v>
      </c>
      <c r="V4" s="23">
        <f>IF(V$3&lt;$I4,0,$G4*Assumptions!$E$11*INDEX(Assumptions!$B$24:$G$24,MIN(6,V$3-$I4+1))*IF(V$3&gt;$J4,(1-Assumptions!$B$26)^(V$3-$J4),1)*IF($H4&gt;=1,1,MIN(0.97,$H4*Assumptions!$E$12)))</f>
        <v>134.54999999999998</v>
      </c>
      <c r="W4" s="23">
        <f>IF(W$3&lt;$I4,0,$G4*Assumptions!$E$11*INDEX(Assumptions!$B$24:$G$24,MIN(6,W$3-$I4+1))*IF(W$3&gt;$J4,(1-Assumptions!$B$26)^(W$3-$J4),1)*IF($H4&gt;=1,1,MIN(0.97,$H4*Assumptions!$E$12)))</f>
        <v>175.95</v>
      </c>
      <c r="X4" s="23">
        <f>IF(X$3&lt;$I4,0,$G4*Assumptions!$E$11*INDEX(Assumptions!$B$24:$G$24,MIN(6,X$3-$I4+1))*IF(X$3&gt;$J4,(1-Assumptions!$B$26)^(X$3-$J4),1)*IF($H4&gt;=1,1,MIN(0.97,$H4*Assumptions!$E$12)))</f>
        <v>207.0</v>
      </c>
      <c r="Y4" s="23">
        <f>IF(Y$3&lt;$I4,0,$G4*Assumptions!$E$11*INDEX(Assumptions!$B$24:$G$24,MIN(6,Y$3-$I4+1))*IF(Y$3&gt;$J4,(1-Assumptions!$B$26)^(Y$3-$J4),1)*IF($H4&gt;=1,1,MIN(0.97,$H4*Assumptions!$E$12)))</f>
        <v>207.0</v>
      </c>
      <c r="Z4" s="23">
        <f>IF(Z$3&lt;$I4,0,$G4*Assumptions!$E$11*INDEX(Assumptions!$B$24:$G$24,MIN(6,Z$3-$I4+1))*IF(Z$3&gt;$J4,(1-Assumptions!$B$26)^(Z$3-$J4),1)*IF($H4&gt;=1,1,MIN(0.97,$H4*Assumptions!$E$12)))</f>
        <v>207.0</v>
      </c>
      <c r="AA4" s="23">
        <f>IF(AA$3&lt;$I4,0,$G4*Assumptions!$E$11*INDEX(Assumptions!$B$24:$G$24,MIN(6,AA$3-$I4+1))*IF(AA$3&gt;$J4,(1-Assumptions!$B$26)^(AA$3-$J4),1)*IF($H4&gt;=1,1,MIN(0.97,$H4*Assumptions!$E$12)))</f>
        <v>207.0</v>
      </c>
      <c r="AB4" s="23">
        <f>IF(AB$3&lt;$I4,0,$G4*Assumptions!$E$11*INDEX(Assumptions!$B$24:$G$24,MIN(6,AB$3-$I4+1))*IF(AB$3&gt;$J4,(1-Assumptions!$B$26)^(AB$3-$J4),1)*IF($H4&gt;=1,1,MIN(0.97,$H4*Assumptions!$E$12)))</f>
        <v>207.0</v>
      </c>
      <c r="AC4" s="23">
        <f>IF(AC$3&lt;$I4,0,$G4*Assumptions!$E$11*INDEX(Assumptions!$B$24:$G$24,MIN(6,AC$3-$I4+1))*IF(AC$3&gt;$J4,(1-Assumptions!$B$26)^(AC$3-$J4),1)*IF($H4&gt;=1,1,MIN(0.97,$H4*Assumptions!$E$12)))</f>
        <v>207.0</v>
      </c>
      <c r="AD4" s="23">
        <f>IF(AD$3&lt;$I4,0,$G4*Assumptions!$E$11*INDEX(Assumptions!$B$24:$G$24,MIN(6,AD$3-$I4+1))*IF(AD$3&gt;$J4,(1-Assumptions!$B$26)^(AD$3-$J4),1)*IF($H4&gt;=1,1,MIN(0.97,$H4*Assumptions!$E$12)))</f>
        <v>207.0</v>
      </c>
      <c r="AE4" s="23">
        <f>IF(AE$3&lt;$I4,0,$G4*Assumptions!$E$11*INDEX(Assumptions!$B$24:$G$24,MIN(6,AE$3-$I4+1))*IF(AE$3&gt;$J4,(1-Assumptions!$B$26)^(AE$3-$J4),1)*IF($H4&gt;=1,1,MIN(0.97,$H4*Assumptions!$E$12)))</f>
        <v>207.0</v>
      </c>
      <c r="AF4" s="23">
        <f>IF(AF$3&lt;$I4,0,$G4*Assumptions!$E$11*INDEX(Assumptions!$B$24:$G$24,MIN(6,AF$3-$I4+1))*IF(AF$3&gt;$J4,(1-Assumptions!$B$26)^(AF$3-$J4),1)*IF($H4&gt;=1,1,MIN(0.97,$H4*Assumptions!$E$12)))</f>
        <v>103.5</v>
      </c>
      <c r="AG4" s="35">
        <f>IF(F4="Owned",1-IF(H4&gt;=1,1,MIN(0.97,H4*Assumptions!$E$12)),1)</f>
        <v>0.793</v>
      </c>
    </row>
    <row r="5">
      <c r="A5" s="39" t="n">
        <v>2</v>
      </c>
      <c r="B5" s="14" t="inlineStr">
        <is>
          <t>HIV / hepatitis</t>
        </is>
      </c>
      <c r="C5" s="14" t="inlineStr">
        <is>
          <t>PBGENE-HBV</t>
        </is>
      </c>
      <c r="D5" s="14" t="inlineStr">
        <is>
          <t>Phase 1</t>
        </is>
      </c>
      <c r="E5" s="14" t="inlineStr">
        <is>
          <t>Infectious disease / area</t>
        </is>
      </c>
      <c r="F5" s="14" t="inlineStr">
        <is>
          <t>Owned</t>
        </is>
      </c>
      <c r="G5" s="40" t="n">
        <v>1500</v>
      </c>
      <c r="H5" s="27" t="n">
        <v>0.132</v>
      </c>
      <c r="I5" s="26" t="n">
        <v>2033</v>
      </c>
      <c r="J5" s="39">
        <f>I5+Assumptions!$B$25</f>
        <v>2045.0</v>
      </c>
      <c r="K5" s="53">
        <f>Assumptions!$E$13</f>
        <v>0.4</v>
      </c>
      <c r="L5" s="23">
        <f>K5*SUMPRODUCT(M5:AF5,NPV!$C$15:$V$15)</f>
        <v>173.3828838331101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0</v>
      </c>
      <c r="T5" s="23">
        <f>IF(T$3&lt;$I5,0,$G5*Assumptions!$E$11*INDEX(Assumptions!$B$24:$G$24,MIN(6,T$3-$I5+1))*IF(T$3&gt;$J5,(1-Assumptions!$B$26)^(T$3-$J5),1)*IF($H5&gt;=1,1,MIN(0.97,$H5*Assumptions!$E$12)))</f>
        <v>19.8</v>
      </c>
      <c r="U5" s="23">
        <f>IF(U$3&lt;$I5,0,$G5*Assumptions!$E$11*INDEX(Assumptions!$B$24:$G$24,MIN(6,U$3-$I5+1))*IF(U$3&gt;$J5,(1-Assumptions!$B$26)^(U$3-$J5),1)*IF($H5&gt;=1,1,MIN(0.97,$H5*Assumptions!$E$12)))</f>
        <v>49.5</v>
      </c>
      <c r="V5" s="23">
        <f>IF(V$3&lt;$I5,0,$G5*Assumptions!$E$11*INDEX(Assumptions!$B$24:$G$24,MIN(6,V$3-$I5+1))*IF(V$3&gt;$J5,(1-Assumptions!$B$26)^(V$3-$J5),1)*IF($H5&gt;=1,1,MIN(0.97,$H5*Assumptions!$E$12)))</f>
        <v>89.10000000000001</v>
      </c>
      <c r="W5" s="23">
        <f>IF(W$3&lt;$I5,0,$G5*Assumptions!$E$11*INDEX(Assumptions!$B$24:$G$24,MIN(6,W$3-$I5+1))*IF(W$3&gt;$J5,(1-Assumptions!$B$26)^(W$3-$J5),1)*IF($H5&gt;=1,1,MIN(0.97,$H5*Assumptions!$E$12)))</f>
        <v>128.70000000000002</v>
      </c>
      <c r="X5" s="23">
        <f>IF(X$3&lt;$I5,0,$G5*Assumptions!$E$11*INDEX(Assumptions!$B$24:$G$24,MIN(6,X$3-$I5+1))*IF(X$3&gt;$J5,(1-Assumptions!$B$26)^(X$3-$J5),1)*IF($H5&gt;=1,1,MIN(0.97,$H5*Assumptions!$E$12)))</f>
        <v>168.3</v>
      </c>
      <c r="Y5" s="23">
        <f>IF(Y$3&lt;$I5,0,$G5*Assumptions!$E$11*INDEX(Assumptions!$B$24:$G$24,MIN(6,Y$3-$I5+1))*IF(Y$3&gt;$J5,(1-Assumptions!$B$26)^(Y$3-$J5),1)*IF($H5&gt;=1,1,MIN(0.97,$H5*Assumptions!$E$12)))</f>
        <v>198.0</v>
      </c>
      <c r="Z5" s="23">
        <f>IF(Z$3&lt;$I5,0,$G5*Assumptions!$E$11*INDEX(Assumptions!$B$24:$G$24,MIN(6,Z$3-$I5+1))*IF(Z$3&gt;$J5,(1-Assumptions!$B$26)^(Z$3-$J5),1)*IF($H5&gt;=1,1,MIN(0.97,$H5*Assumptions!$E$12)))</f>
        <v>198.0</v>
      </c>
      <c r="AA5" s="23">
        <f>IF(AA$3&lt;$I5,0,$G5*Assumptions!$E$11*INDEX(Assumptions!$B$24:$G$24,MIN(6,AA$3-$I5+1))*IF(AA$3&gt;$J5,(1-Assumptions!$B$26)^(AA$3-$J5),1)*IF($H5&gt;=1,1,MIN(0.97,$H5*Assumptions!$E$12)))</f>
        <v>198.0</v>
      </c>
      <c r="AB5" s="23">
        <f>IF(AB$3&lt;$I5,0,$G5*Assumptions!$E$11*INDEX(Assumptions!$B$24:$G$24,MIN(6,AB$3-$I5+1))*IF(AB$3&gt;$J5,(1-Assumptions!$B$26)^(AB$3-$J5),1)*IF($H5&gt;=1,1,MIN(0.97,$H5*Assumptions!$E$12)))</f>
        <v>198.0</v>
      </c>
      <c r="AC5" s="23">
        <f>IF(AC$3&lt;$I5,0,$G5*Assumptions!$E$11*INDEX(Assumptions!$B$24:$G$24,MIN(6,AC$3-$I5+1))*IF(AC$3&gt;$J5,(1-Assumptions!$B$26)^(AC$3-$J5),1)*IF($H5&gt;=1,1,MIN(0.97,$H5*Assumptions!$E$12)))</f>
        <v>198.0</v>
      </c>
      <c r="AD5" s="23">
        <f>IF(AD$3&lt;$I5,0,$G5*Assumptions!$E$11*INDEX(Assumptions!$B$24:$G$24,MIN(6,AD$3-$I5+1))*IF(AD$3&gt;$J5,(1-Assumptions!$B$26)^(AD$3-$J5),1)*IF($H5&gt;=1,1,MIN(0.97,$H5*Assumptions!$E$12)))</f>
        <v>198.0</v>
      </c>
      <c r="AE5" s="23">
        <f>IF(AE$3&lt;$I5,0,$G5*Assumptions!$E$11*INDEX(Assumptions!$B$24:$G$24,MIN(6,AE$3-$I5+1))*IF(AE$3&gt;$J5,(1-Assumptions!$B$26)^(AE$3-$J5),1)*IF($H5&gt;=1,1,MIN(0.97,$H5*Assumptions!$E$12)))</f>
        <v>198.0</v>
      </c>
      <c r="AF5" s="23">
        <f>IF(AF$3&lt;$I5,0,$G5*Assumptions!$E$11*INDEX(Assumptions!$B$24:$G$24,MIN(6,AF$3-$I5+1))*IF(AF$3&gt;$J5,(1-Assumptions!$B$26)^(AF$3-$J5),1)*IF($H5&gt;=1,1,MIN(0.97,$H5*Assumptions!$E$12)))</f>
        <v>198.0</v>
      </c>
      <c r="AG5" s="35">
        <f>IF(F5="Owned",1-IF(H5&gt;=1,1,MIN(0.97,H5*Assumptions!$E$12)),1)</f>
        <v>0.868</v>
      </c>
    </row>
    <row r="6">
      <c r="B6" s="24" t="inlineStr">
        <is>
          <t>Risked revenue</t>
        </is>
      </c>
      <c r="L6" s="54">
        <f>SUM(L4:L5)</f>
        <v>381.2030663257194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0.0</v>
      </c>
      <c r="S6" s="54">
        <f>SUM(S4:S5)</f>
        <v>20.7</v>
      </c>
      <c r="T6" s="54">
        <f>SUM(T4:T5)</f>
        <v>71.55</v>
      </c>
      <c r="U6" s="54">
        <f>SUM(U4:U5)</f>
        <v>142.64999999999998</v>
      </c>
      <c r="V6" s="54">
        <f>SUM(V4:V5)</f>
        <v>223.64999999999998</v>
      </c>
      <c r="W6" s="54">
        <f>SUM(W4:W5)</f>
        <v>304.65</v>
      </c>
      <c r="X6" s="54">
        <f>SUM(X4:X5)</f>
        <v>375.3</v>
      </c>
      <c r="Y6" s="54">
        <f>SUM(Y4:Y5)</f>
        <v>405.0</v>
      </c>
      <c r="Z6" s="54">
        <f>SUM(Z4:Z5)</f>
        <v>405.0</v>
      </c>
      <c r="AA6" s="54">
        <f>SUM(AA4:AA5)</f>
        <v>405.0</v>
      </c>
      <c r="AB6" s="54">
        <f>SUM(AB4:AB5)</f>
        <v>405.0</v>
      </c>
      <c r="AC6" s="54">
        <f>SUM(AC4:AC5)</f>
        <v>405.0</v>
      </c>
      <c r="AD6" s="54">
        <f>SUM(AD4:AD5)</f>
        <v>405.0</v>
      </c>
      <c r="AE6" s="54">
        <f>SUM(AE4:AE5)</f>
        <v>405.0</v>
      </c>
      <c r="AF6" s="54">
        <f>SUM(AF4:AF5)</f>
        <v>301.5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0.0</v>
      </c>
      <c r="S7" s="55">
        <f>SUMPRODUCT(S4:S5,$K$4:$K$5)</f>
        <v>8.28</v>
      </c>
      <c r="T7" s="55">
        <f>SUMPRODUCT(T4:T5,$K$4:$K$5)</f>
        <v>28.620000000000005</v>
      </c>
      <c r="U7" s="55">
        <f>SUMPRODUCT(U4:U5,$K$4:$K$5)</f>
        <v>57.06</v>
      </c>
      <c r="V7" s="55">
        <f>SUMPRODUCT(V4:V5,$K$4:$K$5)</f>
        <v>89.46000000000001</v>
      </c>
      <c r="W7" s="55">
        <f>SUMPRODUCT(W4:W5,$K$4:$K$5)</f>
        <v>121.86000000000001</v>
      </c>
      <c r="X7" s="55">
        <f>SUMPRODUCT(X4:X5,$K$4:$K$5)</f>
        <v>150.12</v>
      </c>
      <c r="Y7" s="55">
        <f>SUMPRODUCT(Y4:Y5,$K$4:$K$5)</f>
        <v>162.0</v>
      </c>
      <c r="Z7" s="55">
        <f>SUMPRODUCT(Z4:Z5,$K$4:$K$5)</f>
        <v>162.0</v>
      </c>
      <c r="AA7" s="55">
        <f>SUMPRODUCT(AA4:AA5,$K$4:$K$5)</f>
        <v>162.0</v>
      </c>
      <c r="AB7" s="55">
        <f>SUMPRODUCT(AB4:AB5,$K$4:$K$5)</f>
        <v>162.0</v>
      </c>
      <c r="AC7" s="55">
        <f>SUMPRODUCT(AC4:AC5,$K$4:$K$5)</f>
        <v>162.0</v>
      </c>
      <c r="AD7" s="55">
        <f>SUMPRODUCT(AD4:AD5,$K$4:$K$5)</f>
        <v>162.0</v>
      </c>
      <c r="AE7" s="55">
        <f>SUMPRODUCT(AE4:AE5,$K$4:$K$5)</f>
        <v>162.0</v>
      </c>
      <c r="AF7" s="55">
        <f>SUMPRODUCT(AF4:AF5,$K$4:$K$5)</f>
        <v>120.60000000000001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Precision Biosciences,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0.0</v>
      </c>
      <c r="I4" s="57">
        <f>Pipeline!S6</f>
        <v>20.7</v>
      </c>
      <c r="J4" s="57">
        <f>Pipeline!T6</f>
        <v>71.55</v>
      </c>
      <c r="K4" s="57">
        <f>Pipeline!U6</f>
        <v>142.64999999999998</v>
      </c>
      <c r="L4" s="57">
        <f>Pipeline!V6</f>
        <v>223.64999999999998</v>
      </c>
      <c r="M4" s="57">
        <f>Pipeline!W6</f>
        <v>304.65</v>
      </c>
      <c r="N4" s="57">
        <f>Pipeline!X6</f>
        <v>375.3</v>
      </c>
      <c r="O4" s="57">
        <f>Pipeline!Y6</f>
        <v>405.0</v>
      </c>
      <c r="P4" s="57">
        <f>Pipeline!Z6</f>
        <v>405.0</v>
      </c>
      <c r="Q4" s="57">
        <f>Pipeline!AA6</f>
        <v>405.0</v>
      </c>
      <c r="R4" s="57">
        <f>Pipeline!AB6</f>
        <v>405.0</v>
      </c>
      <c r="S4" s="57">
        <f>Pipeline!AC6</f>
        <v>405.0</v>
      </c>
      <c r="T4" s="57">
        <f>Pipeline!AD6</f>
        <v>405.0</v>
      </c>
      <c r="U4" s="57">
        <f>Pipeline!AE6</f>
        <v>405.0</v>
      </c>
      <c r="V4" s="57">
        <f>Pipeline!AF6</f>
        <v>301.5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0.0</v>
      </c>
      <c r="I5" s="57">
        <f>Pipeline!S7</f>
        <v>8.28</v>
      </c>
      <c r="J5" s="57">
        <f>Pipeline!T7</f>
        <v>28.620000000000005</v>
      </c>
      <c r="K5" s="57">
        <f>Pipeline!U7</f>
        <v>57.06</v>
      </c>
      <c r="L5" s="57">
        <f>Pipeline!V7</f>
        <v>89.46000000000001</v>
      </c>
      <c r="M5" s="57">
        <f>Pipeline!W7</f>
        <v>121.86000000000001</v>
      </c>
      <c r="N5" s="57">
        <f>Pipeline!X7</f>
        <v>150.12</v>
      </c>
      <c r="O5" s="57">
        <f>Pipeline!Y7</f>
        <v>162.0</v>
      </c>
      <c r="P5" s="57">
        <f>Pipeline!Z7</f>
        <v>162.0</v>
      </c>
      <c r="Q5" s="57">
        <f>Pipeline!AA7</f>
        <v>162.0</v>
      </c>
      <c r="R5" s="57">
        <f>Pipeline!AB7</f>
        <v>162.0</v>
      </c>
      <c r="S5" s="57">
        <f>Pipeline!AC7</f>
        <v>162.0</v>
      </c>
      <c r="T5" s="57">
        <f>Pipeline!AD7</f>
        <v>162.0</v>
      </c>
      <c r="U5" s="57">
        <f>Pipeline!AE7</f>
        <v>162.0</v>
      </c>
      <c r="V5" s="57">
        <f>Pipeline!AF7</f>
        <v>120.60000000000001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-36.395</v>
      </c>
      <c r="D6" s="23">
        <f>-IF(D3-2026&lt;Assumptions!$B$19,Assumptions!$B$18,Assumptions!$B$18*Assumptions!$B$20*Assumptions!$B$16)</f>
        <v>-36.395</v>
      </c>
      <c r="E6" s="23">
        <f>-IF(E3-2026&lt;Assumptions!$B$19,Assumptions!$B$18,Assumptions!$B$18*Assumptions!$B$20*Assumptions!$B$16)</f>
        <v>-36.395</v>
      </c>
      <c r="F6" s="23">
        <f>-IF(F3-2026&lt;Assumptions!$B$19,Assumptions!$B$18,Assumptions!$B$18*Assumptions!$B$20*Assumptions!$B$16)</f>
        <v>-36.395</v>
      </c>
      <c r="G6" s="23">
        <f>-IF(G3-2026&lt;Assumptions!$B$19,Assumptions!$B$18,Assumptions!$B$18*Assumptions!$B$20*Assumptions!$B$16)</f>
        <v>-3.4030344059999993</v>
      </c>
      <c r="H6" s="23">
        <f>-IF(H3-2026&lt;Assumptions!$B$19,Assumptions!$B$18,Assumptions!$B$18*Assumptions!$B$20*Assumptions!$B$16)</f>
        <v>-3.4030344059999993</v>
      </c>
      <c r="I6" s="23">
        <f>-IF(I3-2026&lt;Assumptions!$B$19,Assumptions!$B$18,Assumptions!$B$18*Assumptions!$B$20*Assumptions!$B$16)</f>
        <v>-3.4030344059999993</v>
      </c>
      <c r="J6" s="23">
        <f>-IF(J3-2026&lt;Assumptions!$B$19,Assumptions!$B$18,Assumptions!$B$18*Assumptions!$B$20*Assumptions!$B$16)</f>
        <v>-3.4030344059999993</v>
      </c>
      <c r="K6" s="23">
        <f>-IF(K3-2026&lt;Assumptions!$B$19,Assumptions!$B$18,Assumptions!$B$18*Assumptions!$B$20*Assumptions!$B$16)</f>
        <v>-3.4030344059999993</v>
      </c>
      <c r="L6" s="23">
        <f>-IF(L3-2026&lt;Assumptions!$B$19,Assumptions!$B$18,Assumptions!$B$18*Assumptions!$B$20*Assumptions!$B$16)</f>
        <v>-3.4030344059999993</v>
      </c>
      <c r="M6" s="23">
        <f>-IF(M3-2026&lt;Assumptions!$B$19,Assumptions!$B$18,Assumptions!$B$18*Assumptions!$B$20*Assumptions!$B$16)</f>
        <v>-3.4030344059999993</v>
      </c>
      <c r="N6" s="23">
        <f>-IF(N3-2026&lt;Assumptions!$B$19,Assumptions!$B$18,Assumptions!$B$18*Assumptions!$B$20*Assumptions!$B$16)</f>
        <v>-3.4030344059999993</v>
      </c>
      <c r="O6" s="23">
        <f>-IF(O3-2026&lt;Assumptions!$B$19,Assumptions!$B$18,Assumptions!$B$18*Assumptions!$B$20*Assumptions!$B$16)</f>
        <v>-3.4030344059999993</v>
      </c>
      <c r="P6" s="23">
        <f>-IF(P3-2026&lt;Assumptions!$B$19,Assumptions!$B$18,Assumptions!$B$18*Assumptions!$B$20*Assumptions!$B$16)</f>
        <v>-3.4030344059999993</v>
      </c>
      <c r="Q6" s="23">
        <f>-IF(Q3-2026&lt;Assumptions!$B$19,Assumptions!$B$18,Assumptions!$B$18*Assumptions!$B$20*Assumptions!$B$16)</f>
        <v>-3.4030344059999993</v>
      </c>
      <c r="R6" s="23">
        <f>-IF(R3-2026&lt;Assumptions!$B$19,Assumptions!$B$18,Assumptions!$B$18*Assumptions!$B$20*Assumptions!$B$16)</f>
        <v>-3.4030344059999993</v>
      </c>
      <c r="S6" s="23">
        <f>-IF(S3-2026&lt;Assumptions!$B$19,Assumptions!$B$18,Assumptions!$B$18*Assumptions!$B$20*Assumptions!$B$16)</f>
        <v>-3.4030344059999993</v>
      </c>
      <c r="T6" s="23">
        <f>-IF(T3-2026&lt;Assumptions!$B$19,Assumptions!$B$18,Assumptions!$B$18*Assumptions!$B$20*Assumptions!$B$16)</f>
        <v>-3.4030344059999993</v>
      </c>
      <c r="U6" s="23">
        <f>-IF(U3-2026&lt;Assumptions!$B$19,Assumptions!$B$18,Assumptions!$B$18*Assumptions!$B$20*Assumptions!$B$16)</f>
        <v>-3.4030344059999993</v>
      </c>
      <c r="V6" s="23">
        <f>-IF(V3-2026&lt;Assumptions!$B$19,Assumptions!$B$18,Assumptions!$B$18*Assumptions!$B$20*Assumptions!$B$16)</f>
        <v>-3.4030344059999993</v>
      </c>
    </row>
    <row r="7">
      <c r="A7" s="14" t="inlineStr">
        <is>
          <t>Pre-tax cash flow</t>
        </is>
      </c>
      <c r="C7" s="23">
        <f>C5+C6</f>
        <v>-36.395</v>
      </c>
      <c r="D7" s="23">
        <f>D5+D6</f>
        <v>-36.395</v>
      </c>
      <c r="E7" s="23">
        <f>E5+E6</f>
        <v>-36.395</v>
      </c>
      <c r="F7" s="23">
        <f>F5+F6</f>
        <v>-36.395</v>
      </c>
      <c r="G7" s="23">
        <f>G5+G6</f>
        <v>-3.4030344059999993</v>
      </c>
      <c r="H7" s="23">
        <f>H5+H6</f>
        <v>-3.4030344059999993</v>
      </c>
      <c r="I7" s="23">
        <f>I5+I6</f>
        <v>4.876965594</v>
      </c>
      <c r="J7" s="23">
        <f>J5+J6</f>
        <v>25.216965594000005</v>
      </c>
      <c r="K7" s="23">
        <f>K5+K6</f>
        <v>53.656965594000006</v>
      </c>
      <c r="L7" s="23">
        <f>L5+L6</f>
        <v>86.056965594</v>
      </c>
      <c r="M7" s="23">
        <f>M5+M6</f>
        <v>118.45696559400001</v>
      </c>
      <c r="N7" s="23">
        <f>N5+N6</f>
        <v>146.71696559400002</v>
      </c>
      <c r="O7" s="23">
        <f>O5+O6</f>
        <v>158.596965594</v>
      </c>
      <c r="P7" s="23">
        <f>P5+P6</f>
        <v>158.596965594</v>
      </c>
      <c r="Q7" s="23">
        <f>Q5+Q6</f>
        <v>158.596965594</v>
      </c>
      <c r="R7" s="23">
        <f>R5+R6</f>
        <v>158.596965594</v>
      </c>
      <c r="S7" s="23">
        <f>S5+S6</f>
        <v>158.596965594</v>
      </c>
      <c r="T7" s="23">
        <f>T5+T6</f>
        <v>158.596965594</v>
      </c>
      <c r="U7" s="23">
        <f>U5+U6</f>
        <v>158.596965594</v>
      </c>
      <c r="V7" s="23">
        <f>V5+V6</f>
        <v>117.196965594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4.876965594</v>
      </c>
      <c r="J8" s="23">
        <f>MIN(I17,MAX(0,J7))</f>
        <v>25.216965594000005</v>
      </c>
      <c r="K8" s="23">
        <f>MIN(J17,MAX(0,K7))</f>
        <v>53.656965594000006</v>
      </c>
      <c r="L8" s="23">
        <f>MIN(K17,MAX(0,L7))</f>
        <v>86.056965594</v>
      </c>
      <c r="M8" s="23">
        <f>MIN(L17,MAX(0,M7))</f>
        <v>118.45696559400001</v>
      </c>
      <c r="N8" s="23">
        <f>MIN(M17,MAX(0,N7))</f>
        <v>146.71696559400002</v>
      </c>
      <c r="O8" s="23">
        <f>MIN(N17,MAX(0,O7))</f>
        <v>158.596965594</v>
      </c>
      <c r="P8" s="23">
        <f>MIN(O17,MAX(0,P7))</f>
        <v>56.00730965399981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102.5896559400002</v>
      </c>
      <c r="Q9" s="23">
        <f>MAX(0,Q7)-Q8</f>
        <v>158.596965594</v>
      </c>
      <c r="R9" s="23">
        <f>MAX(0,R7)-R8</f>
        <v>158.596965594</v>
      </c>
      <c r="S9" s="23">
        <f>MAX(0,S7)-S8</f>
        <v>158.596965594</v>
      </c>
      <c r="T9" s="23">
        <f>MAX(0,T7)-T8</f>
        <v>158.596965594</v>
      </c>
      <c r="U9" s="23">
        <f>MAX(0,U7)-U8</f>
        <v>158.596965594</v>
      </c>
      <c r="V9" s="23">
        <f>MAX(0,V7)-V8</f>
        <v>117.196965594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21.54382774740004</v>
      </c>
      <c r="Q10" s="23">
        <f>Q9*Assumptions!$E$15</f>
        <v>33.305362774740004</v>
      </c>
      <c r="R10" s="23">
        <f>R9*Assumptions!$E$15</f>
        <v>33.305362774740004</v>
      </c>
      <c r="S10" s="23">
        <f>S9*Assumptions!$E$15</f>
        <v>33.305362774740004</v>
      </c>
      <c r="T10" s="23">
        <f>T9*Assumptions!$E$15</f>
        <v>33.305362774740004</v>
      </c>
      <c r="U10" s="23">
        <f>U9*Assumptions!$E$15</f>
        <v>33.305362774740004</v>
      </c>
      <c r="V10" s="23">
        <f>V9*Assumptions!$E$15</f>
        <v>24.61136277474</v>
      </c>
    </row>
    <row r="11">
      <c r="A11" s="24" t="inlineStr">
        <is>
          <t>Free cash flow</t>
        </is>
      </c>
      <c r="C11" s="55">
        <f>C7-C10</f>
        <v>-36.395</v>
      </c>
      <c r="D11" s="55">
        <f>D7-D10</f>
        <v>-36.395</v>
      </c>
      <c r="E11" s="55">
        <f>E7-E10</f>
        <v>-36.395</v>
      </c>
      <c r="F11" s="55">
        <f>F7-F10</f>
        <v>-36.395</v>
      </c>
      <c r="G11" s="55">
        <f>G7-G10</f>
        <v>-3.4030344059999993</v>
      </c>
      <c r="H11" s="55">
        <f>H7-H10</f>
        <v>-3.4030344059999993</v>
      </c>
      <c r="I11" s="55">
        <f>I7-I10</f>
        <v>4.876965594</v>
      </c>
      <c r="J11" s="55">
        <f>J7-J10</f>
        <v>25.216965594000005</v>
      </c>
      <c r="K11" s="55">
        <f>K7-K10</f>
        <v>53.656965594000006</v>
      </c>
      <c r="L11" s="55">
        <f>L7-L10</f>
        <v>86.056965594</v>
      </c>
      <c r="M11" s="55">
        <f>M7-M10</f>
        <v>118.45696559400001</v>
      </c>
      <c r="N11" s="55">
        <f>N7-N10</f>
        <v>146.71696559400002</v>
      </c>
      <c r="O11" s="55">
        <f>O7-O10</f>
        <v>158.596965594</v>
      </c>
      <c r="P11" s="55">
        <f>P7-P10</f>
        <v>137.05313784659998</v>
      </c>
      <c r="Q11" s="55">
        <f>Q7-Q10</f>
        <v>125.29160281926</v>
      </c>
      <c r="R11" s="55">
        <f>R7-R10</f>
        <v>125.29160281926</v>
      </c>
      <c r="S11" s="55">
        <f>S7-S10</f>
        <v>125.29160281926</v>
      </c>
      <c r="T11" s="55">
        <f>T7-T10</f>
        <v>125.29160281926</v>
      </c>
      <c r="U11" s="55">
        <f>U7-U10</f>
        <v>125.29160281926</v>
      </c>
      <c r="V11" s="55">
        <f>V7-V10</f>
        <v>92.58560281926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-17.830068782388597</v>
      </c>
      <c r="D16" s="55">
        <f>D11*D15</f>
        <v>-32.48044024859586</v>
      </c>
      <c r="E16" s="55">
        <f>E11*E15</f>
        <v>-29.00039307910344</v>
      </c>
      <c r="F16" s="55">
        <f>F11*F15</f>
        <v>-25.893208106342357</v>
      </c>
      <c r="G16" s="55">
        <f>G11*G15</f>
        <v>-2.1616852311836667</v>
      </c>
      <c r="H16" s="55">
        <f>H11*H15</f>
        <v>-1.930076099271131</v>
      </c>
      <c r="I16" s="55">
        <f>I11*I15</f>
        <v>2.4696747517216915</v>
      </c>
      <c r="J16" s="55">
        <f>J11*J15</f>
        <v>11.401575653772404</v>
      </c>
      <c r="K16" s="55">
        <f>K11*K15</f>
        <v>21.66108135935646</v>
      </c>
      <c r="L16" s="55">
        <f>L11*L15</f>
        <v>31.01858845077453</v>
      </c>
      <c r="M16" s="55">
        <f>M11*M15</f>
        <v>38.122255078426726</v>
      </c>
      <c r="N16" s="55">
        <f>N11*N15</f>
        <v>42.158028495384166</v>
      </c>
      <c r="O16" s="55">
        <f>O11*O15</f>
        <v>40.688980454182094</v>
      </c>
      <c r="P16" s="55">
        <f>P11*P15</f>
        <v>31.394451124554088</v>
      </c>
      <c r="Q16" s="55">
        <f>Q11*Q15</f>
        <v>25.625234820475008</v>
      </c>
      <c r="R16" s="55">
        <f>R11*R15</f>
        <v>22.879673946852684</v>
      </c>
      <c r="S16" s="55">
        <f>S11*S15</f>
        <v>20.428280309689892</v>
      </c>
      <c r="T16" s="55">
        <f>T11*T15</f>
        <v>18.239535990794547</v>
      </c>
      <c r="U16" s="55">
        <f>U11*U15</f>
        <v>16.285299991780846</v>
      </c>
      <c r="V16" s="55">
        <f>V11*V15</f>
        <v>10.744822213768135</v>
      </c>
    </row>
    <row r="17">
      <c r="A17" s="14" t="inlineStr">
        <is>
          <t>Tax-loss carryforward, end of year</t>
        </is>
      </c>
      <c r="C17" s="23">
        <f>Assumptions!$B$21-C8+MAX(0,-C7)</f>
        <v>533.595</v>
      </c>
      <c r="D17" s="23">
        <f>C17-D8+MAX(0,-D7)</f>
        <v>569.99</v>
      </c>
      <c r="E17" s="23">
        <f>D17-E8+MAX(0,-E7)</f>
        <v>606.385</v>
      </c>
      <c r="F17" s="23">
        <f>E17-F8+MAX(0,-F7)</f>
        <v>642.78</v>
      </c>
      <c r="G17" s="23">
        <f>F17-G8+MAX(0,-G7)</f>
        <v>646.1830344059999</v>
      </c>
      <c r="H17" s="23">
        <f>G17-H8+MAX(0,-H7)</f>
        <v>649.5860688119999</v>
      </c>
      <c r="I17" s="23">
        <f>H17-I8+MAX(0,-I7)</f>
        <v>644.7091032179999</v>
      </c>
      <c r="J17" s="23">
        <f>I17-J8+MAX(0,-J7)</f>
        <v>619.4921376239998</v>
      </c>
      <c r="K17" s="23">
        <f>J17-K8+MAX(0,-K7)</f>
        <v>565.8351720299999</v>
      </c>
      <c r="L17" s="23">
        <f>K17-L8+MAX(0,-L7)</f>
        <v>479.77820643599983</v>
      </c>
      <c r="M17" s="23">
        <f>L17-M8+MAX(0,-M7)</f>
        <v>361.32124084199984</v>
      </c>
      <c r="N17" s="23">
        <f>M17-N8+MAX(0,-N7)</f>
        <v>214.60427524799982</v>
      </c>
      <c r="O17" s="23">
        <f>N17-O8+MAX(0,-O7)</f>
        <v>56.00730965399981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381.2030663257194</v>
      </c>
    </row>
    <row r="20">
      <c r="A20" s="14" t="inlineStr">
        <is>
          <t>PV of corporate burn</t>
        </is>
      </c>
      <c r="B20" s="23">
        <f>SUMPRODUCT(C6:V6,C15:V15)</f>
        <v>-122.08874062608369</v>
      </c>
    </row>
    <row r="21">
      <c r="A21" s="14" t="inlineStr">
        <is>
          <t>PV of taxes</t>
        </is>
      </c>
      <c r="B21" s="23">
        <f>-SUMPRODUCT(C10:V10,C15:V15)</f>
        <v>-35.29271460498749</v>
      </c>
    </row>
    <row r="22">
      <c r="A22" s="24" t="inlineStr">
        <is>
          <t>Pipeline rNPV (operations)</t>
        </is>
      </c>
      <c r="B22" s="54">
        <f>SUM(C16:V16)</f>
        <v>223.8216110946482</v>
      </c>
    </row>
    <row r="23">
      <c r="A23" s="14" t="inlineStr">
        <is>
          <t>Cash &amp; investments</t>
        </is>
      </c>
      <c r="B23" s="57">
        <f>Main!C7</f>
        <v>87.54899999999999</v>
      </c>
    </row>
    <row r="24">
      <c r="A24" s="14" t="inlineStr">
        <is>
          <t>Debt</t>
        </is>
      </c>
      <c r="B24" s="57">
        <f>Main!C8</f>
        <v>22.421</v>
      </c>
    </row>
    <row r="25">
      <c r="A25" s="24" t="inlineStr">
        <is>
          <t>Equity value</t>
        </is>
      </c>
      <c r="B25" s="54">
        <f>B22+B23-B24</f>
        <v>288.9496110946482</v>
      </c>
    </row>
    <row r="26">
      <c r="A26" s="14" t="inlineStr">
        <is>
          <t>Shares (mm)</t>
        </is>
      </c>
      <c r="B26" s="57">
        <f>Main!C4</f>
        <v>27.601554</v>
      </c>
    </row>
    <row r="27">
      <c r="A27" s="24" t="inlineStr">
        <is>
          <t>rNPV / share</t>
        </is>
      </c>
      <c r="B27" s="60">
        <f>B25/B26</f>
        <v>10.468599380116359</v>
      </c>
    </row>
    <row r="28">
      <c r="A28" s="14" t="inlineStr">
        <is>
          <t>Price</t>
        </is>
      </c>
      <c r="B28" s="61">
        <f>Main!C3</f>
        <v>6.56</v>
      </c>
    </row>
    <row r="29">
      <c r="A29" s="14" t="inlineStr">
        <is>
          <t>Upside</t>
        </is>
      </c>
      <c r="B29" s="62">
        <f>B27/B28-1</f>
        <v>0.5958230762372501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2026-10-21T06:27:14Z</dcterms:modified>
  <cp:lastModifiedBy>Wang, Eric</cp:lastModifiedBy>
</cp:coreProperties>
</file>