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Precision Biosciences, Inc</t>
        </is>
      </c>
      <c r="C2" s="10" t="n"/>
    </row>
    <row r="3">
      <c r="B3" t="inlineStr">
        <is>
          <t>Price</t>
        </is>
      </c>
      <c r="C3" s="11">
        <f>INDEX([1]Pharma!$F$1:$F$1000,MATCH("DTIL",[1]Pharma!$B$1:$B$1000,0))</f>
        <v>6.56</v>
      </c>
      <c r="F3" s="1" t="n"/>
    </row>
    <row r="4">
      <c r="B4" t="inlineStr">
        <is>
          <t>Shares</t>
        </is>
      </c>
      <c r="C4" s="21" t="n">
        <v>27.601554</v>
      </c>
      <c r="F4" s="1" t="n"/>
    </row>
    <row r="5">
      <c r="B5" t="inlineStr">
        <is>
          <t>Market Cap.</t>
        </is>
      </c>
      <c r="C5" s="13">
        <f>C3*C4</f>
        <v>181.06619424</v>
      </c>
      <c r="F5" s="1" t="n"/>
    </row>
    <row r="6"/>
    <row r="7">
      <c r="B7" t="inlineStr">
        <is>
          <t>Cash</t>
        </is>
      </c>
      <c r="C7" s="21">
        <f>86.076+1.473</f>
        <v>87.54899999999999</v>
      </c>
    </row>
    <row r="8">
      <c r="B8" t="inlineStr">
        <is>
          <t>Debt</t>
        </is>
      </c>
      <c r="C8" s="21" t="n">
        <v>22.421</v>
      </c>
    </row>
    <row r="9">
      <c r="B9" t="inlineStr">
        <is>
          <t>Enterprise V.</t>
        </is>
      </c>
      <c r="C9" s="13">
        <f>C5-C7+C8</f>
        <v>115.93819424</v>
      </c>
    </row>
    <row r="10"/>
    <row r="11">
      <c r="B11" s="14" t="inlineStr">
        <is>
          <t>Net Cash / Share</t>
        </is>
      </c>
      <c r="C11" s="11">
        <f>(C7-C8)/C4</f>
        <v>2.3595772904670507</v>
      </c>
    </row>
    <row r="12">
      <c r="B12" s="14" t="inlineStr">
        <is>
          <t>Upside</t>
        </is>
      </c>
      <c r="C12" s="15">
        <f>IFERROR(C11/C3-1,"")</f>
        <v>-0.6403083398678276</v>
      </c>
    </row>
    <row r="13">
      <c r="B13" s="14" t="inlineStr">
        <is>
          <t>Cash / Share</t>
        </is>
      </c>
      <c r="C13" s="11">
        <f>IFERROR((C7-C8)/C4,"")</f>
        <v>2.3595772904670507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-51.899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1.2548989383225106</v>
      </c>
    </row>
    <row r="19">
      <c r="B19" s="14" t="inlineStr">
        <is>
          <t>Implied Pipeline Value</t>
        </is>
      </c>
      <c r="C19" s="13">
        <f>C9</f>
        <v>115.93819424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10.883</v>
      </c>
      <c r="C2" s="23" t="n">
        <v>1070</v>
      </c>
      <c r="D2" s="23" t="n">
        <v>24.285</v>
      </c>
      <c r="E2" s="23" t="n">
        <v>115.529</v>
      </c>
      <c r="F2" s="23" t="n">
        <v>25.098</v>
      </c>
      <c r="G2" s="23" t="n">
        <v>48.727</v>
      </c>
      <c r="H2" s="23" t="n">
        <v>68.696</v>
      </c>
      <c r="I2" s="23" t="n">
        <v>34.264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10.883</v>
      </c>
      <c r="C4" s="23">
        <f>C2-C3</f>
        <v>1070.0</v>
      </c>
      <c r="D4" s="23">
        <f>D2-D3</f>
        <v>24.285</v>
      </c>
      <c r="E4" s="23">
        <f>E2-E3</f>
        <v>115.529</v>
      </c>
      <c r="F4" s="23">
        <f>F2-F3</f>
        <v>25.098</v>
      </c>
      <c r="G4" s="23">
        <f>G2-G3</f>
        <v>48.727</v>
      </c>
      <c r="H4" s="23">
        <f>H2-H3</f>
        <v>68.696</v>
      </c>
      <c r="I4" s="23">
        <f>I2-I3</f>
        <v>34.264</v>
      </c>
      <c r="J4" s="1" t="n"/>
      <c r="K4" s="1" t="n"/>
    </row>
    <row r="5">
      <c r="A5" s="2" t="inlineStr">
        <is>
          <t>Research &amp; Dev.</t>
        </is>
      </c>
      <c r="B5" s="23" t="n">
        <v>45.122</v>
      </c>
      <c r="C5" s="23" t="n">
        <v>82.416</v>
      </c>
      <c r="D5" s="23" t="n">
        <v>98.06100000000001</v>
      </c>
      <c r="E5" s="23" t="n">
        <v>115.238</v>
      </c>
      <c r="F5" s="23" t="n">
        <v>46.122</v>
      </c>
      <c r="G5" s="23" t="n">
        <v>53.375</v>
      </c>
      <c r="H5" s="23" t="n">
        <v>59.559</v>
      </c>
      <c r="I5" s="23" t="n">
        <v>54.172</v>
      </c>
      <c r="J5" s="1" t="n"/>
      <c r="K5" s="1" t="n"/>
    </row>
    <row r="6">
      <c r="A6" s="19" t="inlineStr">
        <is>
          <t>SG&amp;A &amp; Other</t>
        </is>
      </c>
      <c r="B6" s="23" t="n">
        <v>13.673</v>
      </c>
      <c r="C6" s="23" t="n">
        <v>1074.788</v>
      </c>
      <c r="D6" s="23" t="n">
        <v>36.052</v>
      </c>
      <c r="E6" s="23" t="n">
        <v>39.667</v>
      </c>
      <c r="F6" s="23" t="n">
        <v>41.284</v>
      </c>
      <c r="G6" s="23" t="n">
        <v>39.088</v>
      </c>
      <c r="H6" s="23" t="n">
        <v>35.299</v>
      </c>
      <c r="I6" s="23" t="n">
        <v>32.24</v>
      </c>
      <c r="J6" s="1" t="n"/>
      <c r="K6" s="1" t="n"/>
    </row>
    <row r="7">
      <c r="A7" s="2" t="inlineStr">
        <is>
          <t>Operating Expense</t>
        </is>
      </c>
      <c r="B7" s="23">
        <f>SUM(B5:B6)</f>
        <v>58.795</v>
      </c>
      <c r="C7" s="23">
        <f>SUM(C5:C6)</f>
        <v>1157.204</v>
      </c>
      <c r="D7" s="23">
        <f>SUM(D5:D6)</f>
        <v>134.113</v>
      </c>
      <c r="E7" s="23">
        <f>SUM(E5:E6)</f>
        <v>154.905</v>
      </c>
      <c r="F7" s="23">
        <f>SUM(F5:F6)</f>
        <v>87.406</v>
      </c>
      <c r="G7" s="23">
        <f>SUM(G5:G6)</f>
        <v>92.463</v>
      </c>
      <c r="H7" s="23">
        <f>SUM(H5:H6)</f>
        <v>94.858</v>
      </c>
      <c r="I7" s="23">
        <f>SUM(I5:I6)</f>
        <v>86.412</v>
      </c>
      <c r="J7" s="1" t="n"/>
      <c r="K7" s="1" t="n"/>
    </row>
    <row r="8">
      <c r="A8" s="2" t="inlineStr">
        <is>
          <t>Operating Income</t>
        </is>
      </c>
      <c r="B8" s="23">
        <f>B4-B7</f>
        <v>-47.912000000000006</v>
      </c>
      <c r="C8" s="23">
        <f>C4-C7</f>
        <v>-87.20399999999995</v>
      </c>
      <c r="D8" s="23">
        <f>D4-D7</f>
        <v>-109.828</v>
      </c>
      <c r="E8" s="23">
        <f>E4-E7</f>
        <v>-39.376000000000005</v>
      </c>
      <c r="F8" s="23">
        <f>F4-F7</f>
        <v>-62.30800000000001</v>
      </c>
      <c r="G8" s="23">
        <f>G4-G7</f>
        <v>-43.736</v>
      </c>
      <c r="H8" s="23">
        <f>H4-H7</f>
        <v>-26.162000000000006</v>
      </c>
      <c r="I8" s="23">
        <f>I4-I7</f>
        <v>-52.148</v>
      </c>
      <c r="J8" s="1" t="n"/>
      <c r="K8" s="1" t="n"/>
    </row>
    <row r="9">
      <c r="A9" s="19" t="inlineStr">
        <is>
          <t>Interest &amp; Other</t>
        </is>
      </c>
      <c r="B9" s="23" t="n">
        <v>1.875</v>
      </c>
      <c r="C9" s="23" t="n">
        <v>-5.673</v>
      </c>
      <c r="D9" s="23" t="n">
        <v>0.845</v>
      </c>
      <c r="E9" s="23" t="n">
        <v>8.773999999999999</v>
      </c>
      <c r="F9" s="23" t="n">
        <v>-49.329</v>
      </c>
      <c r="G9" s="23" t="n">
        <v>-17.583</v>
      </c>
      <c r="H9" s="23" t="n">
        <v>33.329</v>
      </c>
      <c r="I9" s="23" t="n">
        <v>6.424</v>
      </c>
    </row>
    <row r="10">
      <c r="A10" s="2" t="inlineStr">
        <is>
          <t>Pretax</t>
        </is>
      </c>
      <c r="B10" s="23">
        <f>B8+B9</f>
        <v>-46.037000000000006</v>
      </c>
      <c r="C10" s="23">
        <f>C8+C9</f>
        <v>-92.87699999999995</v>
      </c>
      <c r="D10" s="23">
        <f>D8+D9</f>
        <v>-108.983</v>
      </c>
      <c r="E10" s="23">
        <f>E8+E9</f>
        <v>-30.602000000000004</v>
      </c>
      <c r="F10" s="23">
        <f>F8+F9</f>
        <v>-111.637</v>
      </c>
      <c r="G10" s="23">
        <f>G8+G9</f>
        <v>-61.318999999999996</v>
      </c>
      <c r="H10" s="23">
        <f>H8+H9</f>
        <v>7.1669999999999945</v>
      </c>
      <c r="I10" s="23">
        <f>I8+I9</f>
        <v>-45.724000000000004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0.023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-46.037</v>
      </c>
      <c r="C12" s="23" t="n">
        <v>-92.877</v>
      </c>
      <c r="D12" s="23" t="n">
        <v>-109.006</v>
      </c>
      <c r="E12" s="23" t="n">
        <v>-30.602</v>
      </c>
      <c r="F12" s="23" t="n">
        <v>-111.637</v>
      </c>
      <c r="G12" s="23" t="n">
        <v>-61.319</v>
      </c>
      <c r="H12" s="23" t="n">
        <v>7.167</v>
      </c>
      <c r="I12" s="23" t="n">
        <v>-45.724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-58.348542458808616</v>
      </c>
      <c r="C13" s="11">
        <f>IFERROR(C12/C14,0)</f>
        <v>-44.22714285714285</v>
      </c>
      <c r="D13" s="11">
        <f>IFERROR(D12/D14,0)</f>
        <v>-41.89315910837817</v>
      </c>
      <c r="E13" s="11">
        <f>IFERROR(E12/E14,0)</f>
        <v>-10.430129516019086</v>
      </c>
      <c r="F13" s="11">
        <f>IFERROR(F12/F14,0)</f>
        <v>-38.101365187713306</v>
      </c>
      <c r="G13" s="11">
        <f>IFERROR(G12/G14,0)</f>
        <v>-15.964332205154907</v>
      </c>
      <c r="H13" s="11">
        <f>IFERROR(H12/H14,0)</f>
        <v>1.0411098198721673</v>
      </c>
      <c r="I13" s="11">
        <f>IFERROR(I12/I14,0)</f>
        <v>-3.5649462030251047</v>
      </c>
    </row>
    <row r="14">
      <c r="A14" s="2" t="inlineStr">
        <is>
          <t>Shares</t>
        </is>
      </c>
      <c r="B14" s="23" t="n">
        <v>0.789</v>
      </c>
      <c r="C14" s="23" t="n">
        <v>2.1</v>
      </c>
      <c r="D14" s="23" t="n">
        <v>2.602</v>
      </c>
      <c r="E14" s="23" t="n">
        <v>2.934</v>
      </c>
      <c r="F14" s="23" t="n">
        <v>2.93</v>
      </c>
      <c r="G14" s="23" t="n">
        <v>3.841</v>
      </c>
      <c r="H14" s="23" t="n">
        <v>6.884</v>
      </c>
      <c r="I14" s="23" t="n">
        <v>12.826</v>
      </c>
    </row>
    <row r="15"/>
    <row r="16" customFormat="1" s="4">
      <c r="A16" s="3" t="inlineStr">
        <is>
          <t>Revenue Change</t>
        </is>
      </c>
      <c r="C16" s="15">
        <f>IFERROR(C2/B2-1,"")</f>
        <v>97.31847836074613</v>
      </c>
      <c r="D16" s="15">
        <f>IFERROR(D2/C2-1,"")</f>
        <v>-0.977303738317757</v>
      </c>
      <c r="E16" s="15">
        <f>IFERROR(E2/D2-1,"")</f>
        <v>3.757216388717315</v>
      </c>
      <c r="F16" s="15">
        <f>IFERROR(F2/E2-1,"")</f>
        <v>-0.7827558448528076</v>
      </c>
      <c r="G16" s="15">
        <f>IFERROR(G2/F2-1,"")</f>
        <v>0.9414694397959997</v>
      </c>
      <c r="H16" s="15">
        <f>IFERROR(H2/G2-1,"")</f>
        <v>0.40981386089847516</v>
      </c>
      <c r="I16" s="15">
        <f>IFERROR(I2/H2-1,"")</f>
        <v>-0.5012227786188423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>-4.4024625562804385</v>
      </c>
      <c r="C18" s="15">
        <f>IFERROR(C8/C2,"")</f>
        <v>-0.0814990654205607</v>
      </c>
      <c r="D18" s="15">
        <f>IFERROR(D8/D2,"")</f>
        <v>-4.522462425365452</v>
      </c>
      <c r="E18" s="15">
        <f>IFERROR(E8/E2,"")</f>
        <v>-0.34083217200875976</v>
      </c>
      <c r="F18" s="15">
        <f>IFERROR(F8/F2,"")</f>
        <v>-2.4825882540441473</v>
      </c>
      <c r="G18" s="15">
        <f>IFERROR(G8/G2,"")</f>
        <v>-0.8975721879040368</v>
      </c>
      <c r="H18" s="15">
        <f>IFERROR(H8/H2,"")</f>
        <v>-0.38083731221614076</v>
      </c>
      <c r="I18" s="15">
        <f>IFERROR(I8/I2,"")</f>
        <v>-1.5219472332477235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2026-10-21T01:05:44Z</dcterms:modified>
  <cp:lastModifiedBy>Wang, Eric</cp:lastModifiedBy>
</cp:coreProperties>
</file>