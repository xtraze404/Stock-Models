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SCYNEXIS Inc</t>
        </is>
      </c>
      <c r="C2" s="10" t="n"/>
    </row>
    <row r="3">
      <c r="B3" t="inlineStr">
        <is>
          <t>Price</t>
        </is>
      </c>
      <c r="C3" s="11">
        <f>INDEX([1]Pharma!$F$1:$F$1000,MATCH("SCYX",[1]Pharma!$B$1:$B$1000,0))</f>
        <v>3.8</v>
      </c>
      <c r="F3" s="1" t="n"/>
    </row>
    <row r="4">
      <c r="B4" t="inlineStr">
        <is>
          <t>Shares</t>
        </is>
      </c>
      <c r="C4" s="21" t="n">
        <v>9.949609000000001</v>
      </c>
      <c r="F4" s="1" t="n"/>
    </row>
    <row r="5">
      <c r="B5" t="inlineStr">
        <is>
          <t>Market Cap.</t>
        </is>
      </c>
      <c r="C5" s="13">
        <f>C3*C4</f>
        <v>37.8085142</v>
      </c>
      <c r="F5" s="1" t="n"/>
    </row>
    <row r="6"/>
    <row r="7">
      <c r="B7" t="inlineStr">
        <is>
          <t>Cash</t>
        </is>
      </c>
      <c r="C7" s="21" t="n">
        <v>71.09999999999999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-33.2914858</v>
      </c>
    </row>
    <row r="10"/>
    <row r="11">
      <c r="B11" s="14" t="inlineStr">
        <is>
          <t>Net Cash / Share</t>
        </is>
      </c>
      <c r="C11" s="11">
        <f>(C7-C8)/C4</f>
        <v>7.146009456250994</v>
      </c>
    </row>
    <row r="12">
      <c r="B12" s="14" t="inlineStr">
        <is>
          <t>Upside</t>
        </is>
      </c>
      <c r="C12" s="15">
        <f>IFERROR(C11/C3-1,"")</f>
        <v>0.8805288042765773</v>
      </c>
    </row>
    <row r="13">
      <c r="B13" s="14" t="inlineStr">
        <is>
          <t>Cash / Share</t>
        </is>
      </c>
      <c r="C13" s="11">
        <f>IFERROR((C7-C8)/C4,"")</f>
        <v>7.146009456250994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-13.309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5.3422496055300925</v>
      </c>
    </row>
    <row r="19">
      <c r="B19" s="14" t="inlineStr">
        <is>
          <t>Implied Pipeline Value</t>
        </is>
      </c>
      <c r="C19" s="13">
        <f>C9</f>
        <v>-33.2914858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2013</v>
      </c>
      <c r="C1" s="17" t="n">
        <v>2014</v>
      </c>
      <c r="D1" s="17" t="n">
        <v>2015</v>
      </c>
      <c r="E1" s="17" t="n">
        <v>2016</v>
      </c>
      <c r="F1" s="17" t="n">
        <v>2017</v>
      </c>
      <c r="G1" s="17" t="n">
        <v>2018</v>
      </c>
      <c r="H1" s="17" t="n">
        <v>2019</v>
      </c>
      <c r="I1" s="17" t="n">
        <v>2020</v>
      </c>
      <c r="J1" s="17" t="n">
        <v>2021</v>
      </c>
      <c r="K1" s="17" t="n">
        <v>2022</v>
      </c>
      <c r="L1" s="17" t="n">
        <v>2023</v>
      </c>
      <c r="M1" s="17" t="n">
        <v>2024</v>
      </c>
      <c r="N1" s="17" t="n">
        <v>2025</v>
      </c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9.569000000000001</v>
      </c>
      <c r="C2" s="23" t="n">
        <v>11.736</v>
      </c>
      <c r="D2" s="23" t="n">
        <v>0.257</v>
      </c>
      <c r="E2" s="23" t="n">
        <v>0.257</v>
      </c>
      <c r="F2" s="23" t="n">
        <v>0.257</v>
      </c>
      <c r="G2" s="23" t="n">
        <v>0.257</v>
      </c>
      <c r="H2" s="23" t="n">
        <v>0.121</v>
      </c>
      <c r="I2" s="23" t="n">
        <v>0</v>
      </c>
      <c r="J2" s="23" t="n">
        <v>13.163</v>
      </c>
      <c r="K2" s="23" t="n">
        <v>5.091</v>
      </c>
      <c r="L2" s="23" t="n">
        <v>140.141</v>
      </c>
      <c r="M2" s="23" t="n">
        <v>3.746</v>
      </c>
      <c r="N2" s="23" t="n">
        <v>20.601</v>
      </c>
    </row>
    <row r="3" customFormat="1" s="1">
      <c r="A3" s="5" t="inlineStr">
        <is>
          <t>Cost of Sales</t>
        </is>
      </c>
      <c r="B3" s="23" t="n">
        <v>16.305</v>
      </c>
      <c r="C3" s="23" t="n">
        <v>15.446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</row>
    <row r="4" customFormat="1" s="1">
      <c r="A4" s="5" t="inlineStr">
        <is>
          <t>Gross Margin</t>
        </is>
      </c>
      <c r="B4" s="23">
        <f>B2-B3</f>
        <v>-6.735999999999999</v>
      </c>
      <c r="C4" s="23">
        <f>C2-C3</f>
        <v>-3.709999999999999</v>
      </c>
      <c r="D4" s="23">
        <f>D2-D3</f>
        <v>0.257</v>
      </c>
      <c r="E4" s="23">
        <f>E2-E3</f>
        <v>0.257</v>
      </c>
      <c r="F4" s="23">
        <f>F2-F3</f>
        <v>0.257</v>
      </c>
      <c r="G4" s="23">
        <f>G2-G3</f>
        <v>0.257</v>
      </c>
      <c r="H4" s="23">
        <f>H2-H3</f>
        <v>0.121</v>
      </c>
      <c r="I4" s="23">
        <f>I2-I3</f>
        <v>0.0</v>
      </c>
      <c r="J4" s="23">
        <f>J2-J3</f>
        <v>13.163</v>
      </c>
      <c r="K4" s="23">
        <f>K2-K3</f>
        <v>5.091</v>
      </c>
      <c r="L4" s="23">
        <f>L2-L3</f>
        <v>140.141</v>
      </c>
      <c r="M4" s="23">
        <f>M2-M3</f>
        <v>3.746</v>
      </c>
      <c r="N4" s="23">
        <f>N2-N3</f>
        <v>20.601</v>
      </c>
    </row>
    <row r="5">
      <c r="A5" s="2" t="inlineStr">
        <is>
          <t>Research &amp; Dev.</t>
        </is>
      </c>
      <c r="B5" s="23" t="n">
        <v>4.363</v>
      </c>
      <c r="C5" s="23" t="n">
        <v>8.287000000000001</v>
      </c>
      <c r="D5" s="23" t="n">
        <v>16.44</v>
      </c>
      <c r="E5" s="23" t="n">
        <v>20.076</v>
      </c>
      <c r="F5" s="23" t="n">
        <v>18.326</v>
      </c>
      <c r="G5" s="23" t="n">
        <v>21.56</v>
      </c>
      <c r="H5" s="23" t="n">
        <v>38.394</v>
      </c>
      <c r="I5" s="23" t="n">
        <v>36.522</v>
      </c>
      <c r="J5" s="23" t="n">
        <v>23.773</v>
      </c>
      <c r="K5" s="23" t="n">
        <v>27.259</v>
      </c>
      <c r="L5" s="23" t="n">
        <v>30.928</v>
      </c>
      <c r="M5" s="23" t="n">
        <v>26.405</v>
      </c>
      <c r="N5" s="23" t="n">
        <v>22.28</v>
      </c>
    </row>
    <row r="6">
      <c r="A6" s="19" t="inlineStr">
        <is>
          <t>SG&amp;A &amp; Other</t>
        </is>
      </c>
      <c r="B6" s="23" t="n">
        <v>-2.45</v>
      </c>
      <c r="C6" s="23" t="n">
        <v>2.65</v>
      </c>
      <c r="D6" s="23" t="n">
        <v>12.166</v>
      </c>
      <c r="E6" s="23" t="n">
        <v>7.998</v>
      </c>
      <c r="F6" s="23" t="n">
        <v>8.250999999999999</v>
      </c>
      <c r="G6" s="23" t="n">
        <v>8.68</v>
      </c>
      <c r="H6" s="23" t="n">
        <v>10.648</v>
      </c>
      <c r="I6" s="23" t="n">
        <v>14.627</v>
      </c>
      <c r="J6" s="23" t="n">
        <v>50.228</v>
      </c>
      <c r="K6" s="23" t="n">
        <v>63.589</v>
      </c>
      <c r="L6" s="23" t="n">
        <v>36.544</v>
      </c>
      <c r="M6" s="23" t="n">
        <v>14.458</v>
      </c>
      <c r="N6" s="23" t="n">
        <v>14.395</v>
      </c>
    </row>
    <row r="7">
      <c r="A7" s="2" t="inlineStr">
        <is>
          <t>Operating Expense</t>
        </is>
      </c>
      <c r="B7" s="23">
        <f>SUM(B5:B6)</f>
        <v>1.9130000000000003</v>
      </c>
      <c r="C7" s="23">
        <f>SUM(C5:C6)</f>
        <v>10.937000000000001</v>
      </c>
      <c r="D7" s="23">
        <f>SUM(D5:D6)</f>
        <v>28.606</v>
      </c>
      <c r="E7" s="23">
        <f>SUM(E5:E6)</f>
        <v>28.074</v>
      </c>
      <c r="F7" s="23">
        <f>SUM(F5:F6)</f>
        <v>26.576999999999998</v>
      </c>
      <c r="G7" s="23">
        <f>SUM(G5:G6)</f>
        <v>30.24</v>
      </c>
      <c r="H7" s="23">
        <f>SUM(H5:H6)</f>
        <v>49.042</v>
      </c>
      <c r="I7" s="23">
        <f>SUM(I5:I6)</f>
        <v>51.149</v>
      </c>
      <c r="J7" s="23">
        <f>SUM(J5:J6)</f>
        <v>74.001</v>
      </c>
      <c r="K7" s="23">
        <f>SUM(K5:K6)</f>
        <v>90.848</v>
      </c>
      <c r="L7" s="23">
        <f>SUM(L5:L6)</f>
        <v>67.472</v>
      </c>
      <c r="M7" s="23">
        <f>SUM(M5:M6)</f>
        <v>40.863</v>
      </c>
      <c r="N7" s="23">
        <f>SUM(N5:N6)</f>
        <v>36.675</v>
      </c>
    </row>
    <row r="8">
      <c r="A8" s="2" t="inlineStr">
        <is>
          <t>Operating Income</t>
        </is>
      </c>
      <c r="B8" s="23">
        <f>B4-B7</f>
        <v>-8.649</v>
      </c>
      <c r="C8" s="23">
        <f>C4-C7</f>
        <v>-14.647</v>
      </c>
      <c r="D8" s="23">
        <f>D4-D7</f>
        <v>-28.349</v>
      </c>
      <c r="E8" s="23">
        <f>E4-E7</f>
        <v>-27.817</v>
      </c>
      <c r="F8" s="23">
        <f>F4-F7</f>
        <v>-26.319999999999997</v>
      </c>
      <c r="G8" s="23">
        <f>G4-G7</f>
        <v>-29.982999999999997</v>
      </c>
      <c r="H8" s="23">
        <f>H4-H7</f>
        <v>-48.921</v>
      </c>
      <c r="I8" s="23">
        <f>I4-I7</f>
        <v>-51.149</v>
      </c>
      <c r="J8" s="23">
        <f>J4-J7</f>
        <v>-60.83800000000001</v>
      </c>
      <c r="K8" s="23">
        <f>K4-K7</f>
        <v>-85.757</v>
      </c>
      <c r="L8" s="23">
        <f>L4-L7</f>
        <v>72.669</v>
      </c>
      <c r="M8" s="23">
        <f>M4-M7</f>
        <v>-37.117</v>
      </c>
      <c r="N8" s="23">
        <f>N4-N7</f>
        <v>-16.073999999999998</v>
      </c>
    </row>
    <row r="9">
      <c r="A9" s="19" t="inlineStr">
        <is>
          <t>Interest &amp; Other</t>
        </is>
      </c>
      <c r="B9" s="23" t="n">
        <v>-22.387</v>
      </c>
      <c r="C9" s="23" t="n">
        <v>9.247</v>
      </c>
      <c r="D9" s="23" t="n">
        <v>-4.274</v>
      </c>
      <c r="E9" s="23" t="n">
        <v>-2.172</v>
      </c>
      <c r="F9" s="23" t="n">
        <v>1.26</v>
      </c>
      <c r="G9" s="23" t="n">
        <v>10.779</v>
      </c>
      <c r="H9" s="23" t="n">
        <v>-4.789</v>
      </c>
      <c r="I9" s="23" t="n">
        <v>-7.184</v>
      </c>
      <c r="J9" s="23" t="n">
        <v>24.884</v>
      </c>
      <c r="K9" s="23" t="n">
        <v>18.248</v>
      </c>
      <c r="L9" s="23" t="n">
        <v>-5.49</v>
      </c>
      <c r="M9" s="23" t="n">
        <v>15.98</v>
      </c>
      <c r="N9" s="23" t="n">
        <v>7.465</v>
      </c>
    </row>
    <row r="10">
      <c r="A10" s="2" t="inlineStr">
        <is>
          <t>Pretax</t>
        </is>
      </c>
      <c r="B10" s="23">
        <f>B8+B9</f>
        <v>-31.036</v>
      </c>
      <c r="C10" s="23">
        <f>C8+C9</f>
        <v>-5.4</v>
      </c>
      <c r="D10" s="23">
        <f>D8+D9</f>
        <v>-32.623</v>
      </c>
      <c r="E10" s="23">
        <f>E8+E9</f>
        <v>-29.989</v>
      </c>
      <c r="F10" s="23">
        <f>F8+F9</f>
        <v>-25.059999999999995</v>
      </c>
      <c r="G10" s="23">
        <f>G8+G9</f>
        <v>-19.203999999999997</v>
      </c>
      <c r="H10" s="23">
        <f>H8+H9</f>
        <v>-53.71</v>
      </c>
      <c r="I10" s="23">
        <f>I8+I9</f>
        <v>-58.333</v>
      </c>
      <c r="J10" s="23">
        <f>J8+J9</f>
        <v>-35.95400000000001</v>
      </c>
      <c r="K10" s="23">
        <f>K8+K9</f>
        <v>-67.509</v>
      </c>
      <c r="L10" s="23">
        <f>L8+L9</f>
        <v>67.179</v>
      </c>
      <c r="M10" s="23">
        <f>M8+M9</f>
        <v>-21.136999999999997</v>
      </c>
      <c r="N10" s="23">
        <f>N8+N9</f>
        <v>-8.608999999999998</v>
      </c>
    </row>
    <row r="11">
      <c r="A11" s="2" t="inlineStr">
        <is>
          <t>Taxes</t>
        </is>
      </c>
      <c r="B11" s="23" t="n">
        <v>-0.575</v>
      </c>
      <c r="C11" s="23" t="n">
        <v>-1.166</v>
      </c>
      <c r="D11" s="23" t="n">
        <v>0</v>
      </c>
      <c r="E11" s="23" t="n">
        <v>0</v>
      </c>
      <c r="F11" s="23" t="n">
        <v>0</v>
      </c>
      <c r="G11" s="23" t="n">
        <v>-6.736</v>
      </c>
      <c r="H11" s="23" t="n">
        <v>0</v>
      </c>
      <c r="I11" s="23" t="n">
        <v>-3.148</v>
      </c>
      <c r="J11" s="23" t="n">
        <v>-3.088</v>
      </c>
      <c r="K11" s="23" t="n">
        <v>-4.7</v>
      </c>
      <c r="L11" s="23" t="n">
        <v>0.138</v>
      </c>
      <c r="M11" s="23" t="n">
        <v>0.151</v>
      </c>
      <c r="N11" s="23" t="n">
        <v>0</v>
      </c>
    </row>
    <row r="12">
      <c r="A12" s="2" t="inlineStr">
        <is>
          <t>Net Income</t>
        </is>
      </c>
      <c r="B12" s="23" t="n">
        <v>-30.461</v>
      </c>
      <c r="C12" s="23" t="n">
        <v>-4.234</v>
      </c>
      <c r="D12" s="23" t="n">
        <v>-32.623</v>
      </c>
      <c r="E12" s="23" t="n">
        <v>-29.989</v>
      </c>
      <c r="F12" s="23" t="n">
        <v>-25.06</v>
      </c>
      <c r="G12" s="23" t="n">
        <v>-12.468</v>
      </c>
      <c r="H12" s="23" t="n">
        <v>-53.71</v>
      </c>
      <c r="I12" s="23" t="n">
        <v>-55.185</v>
      </c>
      <c r="J12" s="23" t="n">
        <v>-32.866</v>
      </c>
      <c r="K12" s="23" t="n">
        <v>-62.809</v>
      </c>
      <c r="L12" s="23" t="n">
        <v>67.041</v>
      </c>
      <c r="M12" s="23" t="n">
        <v>-21.288</v>
      </c>
      <c r="N12" s="23" t="n">
        <v>-8.609</v>
      </c>
    </row>
    <row r="13">
      <c r="A13" s="2" t="inlineStr">
        <is>
          <t>Earnings per Share</t>
        </is>
      </c>
      <c r="B13" s="11">
        <f>IFERROR(B12/B14,0)</f>
        <v>-5.04237708988578</v>
      </c>
      <c r="C13" s="11">
        <f>IFERROR(C12/C14,0)</f>
        <v>-0.7131547919824827</v>
      </c>
      <c r="D13" s="11">
        <f>IFERROR(D12/D14,0)</f>
        <v>-2.6819302860901018</v>
      </c>
      <c r="E13" s="11">
        <f>IFERROR(E12/E14,0)</f>
        <v>-1.5754662463882323</v>
      </c>
      <c r="F13" s="11">
        <f>IFERROR(F12/F14,0)</f>
        <v>-0.9369625364540493</v>
      </c>
      <c r="G13" s="11">
        <f>IFERROR(G12/G14,0)</f>
        <v>-0.28411266065080665</v>
      </c>
      <c r="H13" s="11">
        <f>IFERROR(H12/H14,0)</f>
        <v>-9.577389443651926</v>
      </c>
      <c r="I13" s="11">
        <f>IFERROR(I12/I14,0)</f>
        <v>-5.14785447761194</v>
      </c>
      <c r="J13" s="11">
        <f>IFERROR(J12/J14,0)</f>
        <v>-1.2456319878718969</v>
      </c>
      <c r="K13" s="11">
        <f>IFERROR(K12/K14,0)</f>
        <v>-1.473905289341531</v>
      </c>
      <c r="L13" s="11">
        <f>IFERROR(L12/L14,0)</f>
        <v>1.3854022442189664</v>
      </c>
      <c r="M13" s="11">
        <f>IFERROR(M12/M14,0)</f>
        <v>-0.43881021581844043</v>
      </c>
      <c r="N13" s="11">
        <f>IFERROR(N12/N14,0)</f>
        <v>-0.17241103078124687</v>
      </c>
    </row>
    <row r="14">
      <c r="A14" s="2" t="inlineStr">
        <is>
          <t>Shares</t>
        </is>
      </c>
      <c r="B14" s="23" t="n">
        <v>6.041</v>
      </c>
      <c r="C14" s="23" t="n">
        <v>5.937</v>
      </c>
      <c r="D14" s="23" t="n">
        <v>12.164</v>
      </c>
      <c r="E14" s="23" t="n">
        <v>19.035</v>
      </c>
      <c r="F14" s="23" t="n">
        <v>26.746</v>
      </c>
      <c r="G14" s="23" t="n">
        <v>43.884</v>
      </c>
      <c r="H14" s="23" t="n">
        <v>5.608</v>
      </c>
      <c r="I14" s="23" t="n">
        <v>10.72</v>
      </c>
      <c r="J14" s="23" t="n">
        <v>26.385</v>
      </c>
      <c r="K14" s="23" t="n">
        <v>42.614</v>
      </c>
      <c r="L14" s="23" t="n">
        <v>48.391</v>
      </c>
      <c r="M14" s="23" t="n">
        <v>48.513</v>
      </c>
      <c r="N14" s="23" t="n">
        <v>49.933</v>
      </c>
    </row>
    <row r="15"/>
    <row r="16" customFormat="1" s="4">
      <c r="A16" s="3" t="inlineStr">
        <is>
          <t>Revenue Change</t>
        </is>
      </c>
      <c r="C16" s="15">
        <f>IFERROR(C2/B2-1,"")</f>
        <v>0.2264604451875849</v>
      </c>
      <c r="D16" s="15">
        <f>IFERROR(D2/C2-1,"")</f>
        <v>-0.9781015678254942</v>
      </c>
      <c r="E16" s="15">
        <f>IFERROR(E2/D2-1,"")</f>
        <v>0.0</v>
      </c>
      <c r="F16" s="15">
        <f>IFERROR(F2/E2-1,"")</f>
        <v>0.0</v>
      </c>
      <c r="G16" s="15">
        <f>IFERROR(G2/F2-1,"")</f>
        <v>0.0</v>
      </c>
      <c r="H16" s="15">
        <f>IFERROR(H2/G2-1,"")</f>
        <v>-0.5291828793774319</v>
      </c>
      <c r="I16" s="15">
        <f>IFERROR(I2/H2-1,"")</f>
        <v>-1.0</v>
      </c>
      <c r="J16" s="15">
        <f>IFERROR(J2/I2-1,"")</f>
        <v/>
      </c>
      <c r="K16" s="15">
        <f>IFERROR(K2/J2-1,"")</f>
        <v>-0.6132340651827091</v>
      </c>
      <c r="L16" s="15">
        <f>IFERROR(L2/K2-1,"")</f>
        <v>26.52720487134158</v>
      </c>
      <c r="M16" s="15">
        <f>IFERROR(M2/L2-1,"")</f>
        <v>-0.9732697782947175</v>
      </c>
      <c r="N16" s="15">
        <f>IFERROR(N2/M2-1,"")</f>
        <v>4.499466097170314</v>
      </c>
    </row>
    <row r="17" customFormat="1" s="4">
      <c r="A17" s="3" t="inlineStr">
        <is>
          <t>Gross Margin</t>
        </is>
      </c>
      <c r="B17" s="15">
        <f>IFERROR(B4/B2,"")</f>
        <v>-0.703939805622322</v>
      </c>
      <c r="C17" s="15">
        <f>IFERROR(C4/C2,"")</f>
        <v>-0.31612133605998627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/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</row>
    <row r="18">
      <c r="A18" s="14" t="inlineStr">
        <is>
          <t>Operating Margin</t>
        </is>
      </c>
      <c r="B18" s="15">
        <f>IFERROR(B8/B2,"")</f>
        <v>-0.9038562023199914</v>
      </c>
      <c r="C18" s="15">
        <f>IFERROR(C8/C2,"")</f>
        <v>-1.2480402181322425</v>
      </c>
      <c r="D18" s="15">
        <f>IFERROR(D8/D2,"")</f>
        <v>-110.30739299610894</v>
      </c>
      <c r="E18" s="15">
        <f>IFERROR(E8/E2,"")</f>
        <v>-108.23735408560312</v>
      </c>
      <c r="F18" s="15">
        <f>IFERROR(F8/F2,"")</f>
        <v>-102.4124513618677</v>
      </c>
      <c r="G18" s="15">
        <f>IFERROR(G8/G2,"")</f>
        <v>-116.66536964980543</v>
      </c>
      <c r="H18" s="15">
        <f>IFERROR(H8/H2,"")</f>
        <v>-404.3057851239669</v>
      </c>
      <c r="I18" s="15">
        <f>IFERROR(I8/I2,"")</f>
        <v/>
      </c>
      <c r="J18" s="15">
        <f>IFERROR(J8/J2,"")</f>
        <v>-4.621894704854517</v>
      </c>
      <c r="K18" s="15">
        <f>IFERROR(K8/K2,"")</f>
        <v>-16.844824199567864</v>
      </c>
      <c r="L18" s="15">
        <f>IFERROR(L8/L2,"")</f>
        <v>0.51854203980277</v>
      </c>
      <c r="M18" s="15">
        <f>IFERROR(M8/M2,"")</f>
        <v>-9.908435664709023</v>
      </c>
      <c r="N18" s="15">
        <f>IFERROR(N8/N2,"")</f>
        <v>-0.7802533857579729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2026-10-21T01:06:18Z</dcterms:modified>
  <cp:lastModifiedBy>Wang, Eric</cp:lastModifiedBy>
</cp:coreProperties>
</file>