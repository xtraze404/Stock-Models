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Opus Genetics Inc</t>
        </is>
      </c>
      <c r="C2" s="10" t="n"/>
    </row>
    <row r="3">
      <c r="B3" t="inlineStr">
        <is>
          <t>Price</t>
        </is>
      </c>
      <c r="C3" s="11">
        <f>INDEX([1]Pharma!$F$1:$F$1000,MATCH("IRD",[1]Pharma!$B$1:$B$1000,0))</f>
        <v>4.01</v>
      </c>
      <c r="F3" s="1" t="n"/>
    </row>
    <row r="4">
      <c r="B4" t="inlineStr">
        <is>
          <t>Shares</t>
        </is>
      </c>
      <c r="C4" s="21" t="n">
        <v>83.195823</v>
      </c>
      <c r="F4" s="1" t="n"/>
    </row>
    <row r="5">
      <c r="B5" t="inlineStr">
        <is>
          <t>Market Cap.</t>
        </is>
      </c>
      <c r="C5" s="13">
        <f>C3*C4</f>
        <v>333.61525023</v>
      </c>
      <c r="F5" s="1" t="n"/>
    </row>
    <row r="6"/>
    <row r="7">
      <c r="B7" t="inlineStr">
        <is>
          <t>Cash</t>
        </is>
      </c>
      <c r="C7" s="21" t="n">
        <v>88.812</v>
      </c>
    </row>
    <row r="8">
      <c r="B8" t="inlineStr">
        <is>
          <t>Debt</t>
        </is>
      </c>
      <c r="C8" s="21" t="n">
        <v>35.281</v>
      </c>
    </row>
    <row r="9">
      <c r="B9" t="inlineStr">
        <is>
          <t>Enterprise V.</t>
        </is>
      </c>
      <c r="C9" s="13">
        <f>C5-C7+C8</f>
        <v>280.08425023</v>
      </c>
    </row>
    <row r="10"/>
    <row r="11">
      <c r="B11" s="14" t="inlineStr">
        <is>
          <t>rNPV / Share</t>
        </is>
      </c>
      <c r="C11" s="11">
        <f>NPV!B27</f>
        <v>10.005694794987244</v>
      </c>
    </row>
    <row r="12">
      <c r="B12" s="14" t="inlineStr">
        <is>
          <t>Upside</t>
        </is>
      </c>
      <c r="C12" s="15">
        <f>IFERROR(C11/C3-1,"")</f>
        <v>1.4951857344107844</v>
      </c>
    </row>
    <row r="13">
      <c r="B13" s="14" t="inlineStr">
        <is>
          <t>Cash / Share</t>
        </is>
      </c>
      <c r="C13" s="11">
        <f>IFERROR((C7-C8)/C4,"")</f>
        <v>0.643433745465803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-40.667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1.3163252760223276</v>
      </c>
    </row>
    <row r="19">
      <c r="B19" s="14" t="inlineStr">
        <is>
          <t>Implied Pipeline Value</t>
        </is>
      </c>
      <c r="C19" s="13">
        <f>C9</f>
        <v>280.08425023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2002</v>
      </c>
      <c r="C1" s="17" t="n">
        <v>2003</v>
      </c>
      <c r="D1" s="17" t="n">
        <v>2004</v>
      </c>
      <c r="E1" s="17" t="n">
        <v>2005</v>
      </c>
      <c r="F1" s="17" t="n">
        <v>2006</v>
      </c>
      <c r="G1" s="17" t="n">
        <v>2007</v>
      </c>
      <c r="H1" s="17" t="n">
        <v>2008</v>
      </c>
      <c r="I1" s="17" t="n">
        <v>2009</v>
      </c>
      <c r="J1" s="17" t="n">
        <v>2010</v>
      </c>
      <c r="K1" s="17" t="n">
        <v>2011</v>
      </c>
      <c r="L1" s="17" t="n">
        <v>2012</v>
      </c>
      <c r="M1" s="17" t="n">
        <v>2013</v>
      </c>
      <c r="N1" s="17" t="n">
        <v>2014</v>
      </c>
      <c r="O1" s="17" t="n">
        <v>2015</v>
      </c>
      <c r="P1" s="17" t="n">
        <v>2016</v>
      </c>
      <c r="Q1" s="17" t="n">
        <v>2017</v>
      </c>
      <c r="R1" s="17" t="n">
        <v>2018</v>
      </c>
      <c r="S1" s="17" t="n">
        <v>2019</v>
      </c>
      <c r="T1" s="17" t="n">
        <v>2020</v>
      </c>
      <c r="U1" s="17" t="n">
        <v>2021</v>
      </c>
      <c r="V1" s="17" t="n">
        <v>2022</v>
      </c>
      <c r="W1" s="17" t="n">
        <v>2023</v>
      </c>
      <c r="X1" s="17" t="n">
        <v>2024</v>
      </c>
      <c r="Y1" s="17" t="n">
        <v>2025</v>
      </c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3</v>
      </c>
      <c r="T2" s="23" t="n">
        <v>0</v>
      </c>
      <c r="U2" s="23" t="n">
        <v>0.589</v>
      </c>
      <c r="V2" s="23" t="n">
        <v>39.85</v>
      </c>
      <c r="W2" s="23" t="n">
        <v>19.049</v>
      </c>
      <c r="X2" s="23" t="n">
        <v>10.992</v>
      </c>
      <c r="Y2" s="23" t="n">
        <v>14.196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0.1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  <c r="X3" s="23" t="n">
        <v>0</v>
      </c>
      <c r="Y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-0.1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  <c r="R4" s="23">
        <f>R2-R3</f>
        <v>0.0</v>
      </c>
      <c r="S4" s="23">
        <f>S2-S3</f>
        <v>3.0</v>
      </c>
      <c r="T4" s="23">
        <f>T2-T3</f>
        <v>0.0</v>
      </c>
      <c r="U4" s="23">
        <f>U2-U3</f>
        <v>0.589</v>
      </c>
      <c r="V4" s="23">
        <f>V2-V3</f>
        <v>39.85</v>
      </c>
      <c r="W4" s="23">
        <f>W2-W3</f>
        <v>19.049</v>
      </c>
      <c r="X4" s="23">
        <f>X2-X3</f>
        <v>10.992</v>
      </c>
      <c r="Y4" s="23">
        <f>Y2-Y3</f>
        <v>14.196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3.177</v>
      </c>
      <c r="J5" s="23" t="n">
        <v>3.935</v>
      </c>
      <c r="K5" s="23" t="n">
        <v>11.992</v>
      </c>
      <c r="L5" s="23" t="n">
        <v>3.393</v>
      </c>
      <c r="M5" s="23" t="n">
        <v>3.253</v>
      </c>
      <c r="N5" s="23" t="n">
        <v>7.016</v>
      </c>
      <c r="O5" s="23" t="n">
        <v>12.148</v>
      </c>
      <c r="P5" s="23" t="n">
        <v>10.089</v>
      </c>
      <c r="Q5" s="23" t="n">
        <v>10.715</v>
      </c>
      <c r="R5" s="23" t="n">
        <v>13.109</v>
      </c>
      <c r="S5" s="23" t="n">
        <v>5.477</v>
      </c>
      <c r="T5" s="23" t="n">
        <v>6.648</v>
      </c>
      <c r="U5" s="23" t="n">
        <v>15.173</v>
      </c>
      <c r="V5" s="23" t="n">
        <v>14.355</v>
      </c>
      <c r="W5" s="23" t="n">
        <v>17.653</v>
      </c>
      <c r="X5" s="23" t="n">
        <v>26.851</v>
      </c>
      <c r="Y5" s="23" t="n">
        <v>30.812</v>
      </c>
    </row>
    <row r="6">
      <c r="A6" s="19" t="inlineStr">
        <is>
          <t>SG&amp;A &amp; Other</t>
        </is>
      </c>
      <c r="B6" s="23" t="n">
        <v>1.181</v>
      </c>
      <c r="C6" s="23" t="n">
        <v>2.775</v>
      </c>
      <c r="D6" s="23" t="n">
        <v>3.273</v>
      </c>
      <c r="E6" s="23" t="n">
        <v>6.35</v>
      </c>
      <c r="F6" s="23" t="n">
        <v>6.486</v>
      </c>
      <c r="G6" s="23" t="n">
        <v>4.442</v>
      </c>
      <c r="H6" s="23" t="n">
        <v>3.682</v>
      </c>
      <c r="I6" s="23" t="n">
        <v>3.189</v>
      </c>
      <c r="J6" s="23" t="n">
        <v>6.371</v>
      </c>
      <c r="K6" s="23" t="n">
        <v>4.139</v>
      </c>
      <c r="L6" s="23" t="n">
        <v>3.187</v>
      </c>
      <c r="M6" s="23" t="n">
        <v>4.726</v>
      </c>
      <c r="N6" s="23" t="n">
        <v>6.253</v>
      </c>
      <c r="O6" s="23" t="n">
        <v>6.115</v>
      </c>
      <c r="P6" s="23" t="n">
        <v>6.324</v>
      </c>
      <c r="Q6" s="23" t="n">
        <v>6.639</v>
      </c>
      <c r="R6" s="23" t="n">
        <v>7.429</v>
      </c>
      <c r="S6" s="23" t="n">
        <v>1.716</v>
      </c>
      <c r="T6" s="23" t="n">
        <v>13.32</v>
      </c>
      <c r="U6" s="23" t="n">
        <v>8.121</v>
      </c>
      <c r="V6" s="23" t="n">
        <v>7.269</v>
      </c>
      <c r="W6" s="23" t="n">
        <v>11.959</v>
      </c>
      <c r="X6" s="23" t="n">
        <v>46.215</v>
      </c>
      <c r="Y6" s="23" t="n">
        <v>21.983</v>
      </c>
    </row>
    <row r="7">
      <c r="A7" s="2" t="inlineStr">
        <is>
          <t>Operating Expense</t>
        </is>
      </c>
      <c r="B7" s="23">
        <f>SUM(B5:B6)</f>
        <v>1.181</v>
      </c>
      <c r="C7" s="23">
        <f>SUM(C5:C6)</f>
        <v>2.775</v>
      </c>
      <c r="D7" s="23">
        <f>SUM(D5:D6)</f>
        <v>3.273</v>
      </c>
      <c r="E7" s="23">
        <f>SUM(E5:E6)</f>
        <v>6.35</v>
      </c>
      <c r="F7" s="23">
        <f>SUM(F5:F6)</f>
        <v>6.486</v>
      </c>
      <c r="G7" s="23">
        <f>SUM(G5:G6)</f>
        <v>4.442</v>
      </c>
      <c r="H7" s="23">
        <f>SUM(H5:H6)</f>
        <v>3.682</v>
      </c>
      <c r="I7" s="23">
        <f>SUM(I5:I6)</f>
        <v>6.366</v>
      </c>
      <c r="J7" s="23">
        <f>SUM(J5:J6)</f>
        <v>10.306000000000001</v>
      </c>
      <c r="K7" s="23">
        <f>SUM(K5:K6)</f>
        <v>16.131</v>
      </c>
      <c r="L7" s="23">
        <f>SUM(L5:L6)</f>
        <v>6.58</v>
      </c>
      <c r="M7" s="23">
        <f>SUM(M5:M6)</f>
        <v>7.979</v>
      </c>
      <c r="N7" s="23">
        <f>SUM(N5:N6)</f>
        <v>13.269</v>
      </c>
      <c r="O7" s="23">
        <f>SUM(O5:O6)</f>
        <v>18.262999999999998</v>
      </c>
      <c r="P7" s="23">
        <f>SUM(P5:P6)</f>
        <v>16.413</v>
      </c>
      <c r="Q7" s="23">
        <f>SUM(Q5:Q6)</f>
        <v>17.354</v>
      </c>
      <c r="R7" s="23">
        <f>SUM(R5:R6)</f>
        <v>20.538</v>
      </c>
      <c r="S7" s="23">
        <f>SUM(S5:S6)</f>
        <v>7.1930000000000005</v>
      </c>
      <c r="T7" s="23">
        <f>SUM(T5:T6)</f>
        <v>19.968</v>
      </c>
      <c r="U7" s="23">
        <f>SUM(U5:U6)</f>
        <v>23.294</v>
      </c>
      <c r="V7" s="23">
        <f>SUM(V5:V6)</f>
        <v>21.624000000000002</v>
      </c>
      <c r="W7" s="23">
        <f>SUM(W5:W6)</f>
        <v>29.612</v>
      </c>
      <c r="X7" s="23">
        <f>SUM(X5:X6)</f>
        <v>73.066</v>
      </c>
      <c r="Y7" s="23">
        <f>SUM(Y5:Y6)</f>
        <v>52.795</v>
      </c>
    </row>
    <row r="8">
      <c r="A8" s="2" t="inlineStr">
        <is>
          <t>Operating Income</t>
        </is>
      </c>
      <c r="B8" s="23">
        <f>B4-B7</f>
        <v>-1.181</v>
      </c>
      <c r="C8" s="23">
        <f>C4-C7</f>
        <v>-2.775</v>
      </c>
      <c r="D8" s="23">
        <f>D4-D7</f>
        <v>-3.273</v>
      </c>
      <c r="E8" s="23">
        <f>E4-E7</f>
        <v>-6.35</v>
      </c>
      <c r="F8" s="23">
        <f>F4-F7</f>
        <v>-6.486</v>
      </c>
      <c r="G8" s="23">
        <f>G4-G7</f>
        <v>-4.442</v>
      </c>
      <c r="H8" s="23">
        <f>H4-H7</f>
        <v>-3.682</v>
      </c>
      <c r="I8" s="23">
        <f>I4-I7</f>
        <v>-6.465999999999999</v>
      </c>
      <c r="J8" s="23">
        <f>J4-J7</f>
        <v>-10.306000000000001</v>
      </c>
      <c r="K8" s="23">
        <f>K4-K7</f>
        <v>-16.131</v>
      </c>
      <c r="L8" s="23">
        <f>L4-L7</f>
        <v>-6.58</v>
      </c>
      <c r="M8" s="23">
        <f>M4-M7</f>
        <v>-7.979</v>
      </c>
      <c r="N8" s="23">
        <f>N4-N7</f>
        <v>-13.269</v>
      </c>
      <c r="O8" s="23">
        <f>O4-O7</f>
        <v>-18.262999999999998</v>
      </c>
      <c r="P8" s="23">
        <f>P4-P7</f>
        <v>-16.413</v>
      </c>
      <c r="Q8" s="23">
        <f>Q4-Q7</f>
        <v>-17.354</v>
      </c>
      <c r="R8" s="23">
        <f>R4-R7</f>
        <v>-20.538</v>
      </c>
      <c r="S8" s="23">
        <f>S4-S7</f>
        <v>-4.1930000000000005</v>
      </c>
      <c r="T8" s="23">
        <f>T4-T7</f>
        <v>-19.968</v>
      </c>
      <c r="U8" s="23">
        <f>U4-U7</f>
        <v>-22.705000000000002</v>
      </c>
      <c r="V8" s="23">
        <f>V4-V7</f>
        <v>18.226</v>
      </c>
      <c r="W8" s="23">
        <f>W4-W7</f>
        <v>-10.562999999999999</v>
      </c>
      <c r="X8" s="23">
        <f>X4-X7</f>
        <v>-62.074</v>
      </c>
      <c r="Y8" s="23">
        <f>Y4-Y7</f>
        <v>-38.599000000000004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3.563</v>
      </c>
      <c r="J9" s="23" t="n">
        <v>-3.716</v>
      </c>
      <c r="K9" s="23" t="n">
        <v>4.786</v>
      </c>
      <c r="L9" s="23" t="n">
        <v>0.353</v>
      </c>
      <c r="M9" s="23" t="n">
        <v>-1.521</v>
      </c>
      <c r="N9" s="23" t="n">
        <v>-5.252</v>
      </c>
      <c r="O9" s="23" t="n">
        <v>3.879</v>
      </c>
      <c r="P9" s="23" t="n">
        <v>7.106</v>
      </c>
      <c r="Q9" s="23" t="n">
        <v>-7.94</v>
      </c>
      <c r="R9" s="23" t="n">
        <v>6.169</v>
      </c>
      <c r="S9" s="23" t="n">
        <v>-1.976</v>
      </c>
      <c r="T9" s="23" t="n">
        <v>-4.652</v>
      </c>
      <c r="U9" s="23" t="n">
        <v>-33.988</v>
      </c>
      <c r="V9" s="23" t="n">
        <v>-0.023</v>
      </c>
      <c r="W9" s="23" t="n">
        <v>0.589</v>
      </c>
      <c r="X9" s="23" t="n">
        <v>4.542</v>
      </c>
      <c r="Y9" s="23" t="n">
        <v>-10.992</v>
      </c>
    </row>
    <row r="10">
      <c r="A10" s="2" t="inlineStr">
        <is>
          <t>Pretax</t>
        </is>
      </c>
      <c r="B10" s="23">
        <f>B8+B9</f>
        <v>-1.181</v>
      </c>
      <c r="C10" s="23">
        <f>C8+C9</f>
        <v>-2.775</v>
      </c>
      <c r="D10" s="23">
        <f>D8+D9</f>
        <v>-3.273</v>
      </c>
      <c r="E10" s="23">
        <f>E8+E9</f>
        <v>-6.35</v>
      </c>
      <c r="F10" s="23">
        <f>F8+F9</f>
        <v>-6.486</v>
      </c>
      <c r="G10" s="23">
        <f>G8+G9</f>
        <v>-4.442</v>
      </c>
      <c r="H10" s="23">
        <f>H8+H9</f>
        <v>-3.682</v>
      </c>
      <c r="I10" s="23">
        <f>I8+I9</f>
        <v>-2.902999999999999</v>
      </c>
      <c r="J10" s="23">
        <f>J8+J9</f>
        <v>-14.022000000000002</v>
      </c>
      <c r="K10" s="23">
        <f>K8+K9</f>
        <v>-11.345</v>
      </c>
      <c r="L10" s="23">
        <f>L8+L9</f>
        <v>-6.227</v>
      </c>
      <c r="M10" s="23">
        <f>M8+M9</f>
        <v>-9.5</v>
      </c>
      <c r="N10" s="23">
        <f>N8+N9</f>
        <v>-18.521</v>
      </c>
      <c r="O10" s="23">
        <f>O8+O9</f>
        <v>-14.383999999999999</v>
      </c>
      <c r="P10" s="23">
        <f>P8+P9</f>
        <v>-9.307</v>
      </c>
      <c r="Q10" s="23">
        <f>Q8+Q9</f>
        <v>-25.294</v>
      </c>
      <c r="R10" s="23">
        <f>R8+R9</f>
        <v>-14.369</v>
      </c>
      <c r="S10" s="23">
        <f>S8+S9</f>
        <v>-6.1690000000000005</v>
      </c>
      <c r="T10" s="23">
        <f>T8+T9</f>
        <v>-24.62</v>
      </c>
      <c r="U10" s="23">
        <f>U8+U9</f>
        <v>-56.693</v>
      </c>
      <c r="V10" s="23">
        <f>V8+V9</f>
        <v>18.203</v>
      </c>
      <c r="W10" s="23">
        <f>W8+W9</f>
        <v>-9.973999999999998</v>
      </c>
      <c r="X10" s="23">
        <f>X8+X9</f>
        <v>-57.532</v>
      </c>
      <c r="Y10" s="23">
        <f>Y8+Y9</f>
        <v>-49.59100000000001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0.315</v>
      </c>
      <c r="W11" s="23" t="n">
        <v>0.012</v>
      </c>
      <c r="X11" s="23" t="n">
        <v>0</v>
      </c>
      <c r="Y11" s="23" t="n">
        <v>0</v>
      </c>
    </row>
    <row r="12">
      <c r="A12" s="2" t="inlineStr">
        <is>
          <t>Net Income</t>
        </is>
      </c>
      <c r="B12" s="23" t="n">
        <v>-1.181</v>
      </c>
      <c r="C12" s="23" t="n">
        <v>-2.775</v>
      </c>
      <c r="D12" s="23" t="n">
        <v>-3.273</v>
      </c>
      <c r="E12" s="23" t="n">
        <v>-6.35</v>
      </c>
      <c r="F12" s="23" t="n">
        <v>-6.486</v>
      </c>
      <c r="G12" s="23" t="n">
        <v>-4.442</v>
      </c>
      <c r="H12" s="23" t="n">
        <v>-3.682</v>
      </c>
      <c r="I12" s="23" t="n">
        <v>-2.903</v>
      </c>
      <c r="J12" s="23" t="n">
        <v>-14.022</v>
      </c>
      <c r="K12" s="23" t="n">
        <v>-11.345</v>
      </c>
      <c r="L12" s="23" t="n">
        <v>-6.227</v>
      </c>
      <c r="M12" s="23" t="n">
        <v>-9.499000000000001</v>
      </c>
      <c r="N12" s="23" t="n">
        <v>-18.522</v>
      </c>
      <c r="O12" s="23" t="n">
        <v>-14.385</v>
      </c>
      <c r="P12" s="23" t="n">
        <v>-9.307</v>
      </c>
      <c r="Q12" s="23" t="n">
        <v>-25.295</v>
      </c>
      <c r="R12" s="23" t="n">
        <v>-14.369</v>
      </c>
      <c r="S12" s="23" t="n">
        <v>-6.169</v>
      </c>
      <c r="T12" s="23" t="n">
        <v>-24.62</v>
      </c>
      <c r="U12" s="23" t="n">
        <v>-56.693</v>
      </c>
      <c r="V12" s="23" t="n">
        <v>17.888</v>
      </c>
      <c r="W12" s="23" t="n">
        <v>-9.986000000000001</v>
      </c>
      <c r="X12" s="23" t="n">
        <v>-57.532</v>
      </c>
      <c r="Y12" s="23" t="n">
        <v>-49.591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0</v>
      </c>
      <c r="J13" s="11">
        <f>IFERROR(J12/J14,0)</f>
        <v>0</v>
      </c>
      <c r="K13" s="11">
        <f>IFERROR(K12/K14,0)</f>
        <v>-1.2192369693713059</v>
      </c>
      <c r="L13" s="11">
        <f>IFERROR(L12/L14,0)</f>
        <v>-0.6410335598105826</v>
      </c>
      <c r="M13" s="11">
        <f>IFERROR(M12/M14,0)</f>
        <v>-0.7383598911776137</v>
      </c>
      <c r="N13" s="11">
        <f>IFERROR(N12/N14,0)</f>
        <v>-1.0517290329907443</v>
      </c>
      <c r="O13" s="11">
        <f>IFERROR(O12/O14,0)</f>
        <v>-7.886513157894736</v>
      </c>
      <c r="P13" s="11">
        <f>IFERROR(P12/P14,0)</f>
        <v>-4.281048758049678</v>
      </c>
      <c r="Q13" s="11">
        <f>IFERROR(Q12/Q14,0)</f>
        <v>-9.235122307411466</v>
      </c>
      <c r="R13" s="11">
        <f>IFERROR(R12/R14,0)</f>
        <v>-5.246075209930631</v>
      </c>
      <c r="S13" s="11">
        <f>IFERROR(S12/S14,0)</f>
        <v>-2.1683655536028117</v>
      </c>
      <c r="T13" s="11">
        <f>IFERROR(T12/T14,0)</f>
        <v>-5.2821282986483595</v>
      </c>
      <c r="U13" s="11">
        <f>IFERROR(U12/U14,0)</f>
        <v>-3.8169393388541035</v>
      </c>
      <c r="V13" s="11">
        <f>IFERROR(V12/V14,0)</f>
        <v>0.8684759916492694</v>
      </c>
      <c r="W13" s="11">
        <f>IFERROR(W12/W14,0)</f>
        <v>-0.462528948587309</v>
      </c>
      <c r="X13" s="11">
        <f>IFERROR(X12/X14,0)</f>
        <v>-2.153466087737685</v>
      </c>
      <c r="Y13" s="11">
        <f>IFERROR(Y12/Y14,0)</f>
        <v>-0.797001060718074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>
        <v>9.305</v>
      </c>
      <c r="L14" s="23" t="n">
        <v>9.714</v>
      </c>
      <c r="M14" s="23" t="n">
        <v>12.865</v>
      </c>
      <c r="N14" s="23" t="n">
        <v>17.611</v>
      </c>
      <c r="O14" s="23" t="n">
        <v>1.824</v>
      </c>
      <c r="P14" s="23" t="n">
        <v>2.174</v>
      </c>
      <c r="Q14" s="23" t="n">
        <v>2.739</v>
      </c>
      <c r="R14" s="23" t="n">
        <v>2.739</v>
      </c>
      <c r="S14" s="23" t="n">
        <v>2.845</v>
      </c>
      <c r="T14" s="23" t="n">
        <v>4.661</v>
      </c>
      <c r="U14" s="23" t="n">
        <v>14.853</v>
      </c>
      <c r="V14" s="23" t="n">
        <v>20.597</v>
      </c>
      <c r="W14" s="23" t="n">
        <v>21.59</v>
      </c>
      <c r="X14" s="23" t="n">
        <v>26.716</v>
      </c>
      <c r="Y14" s="23" t="n">
        <v>62.222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  <c r="S16" s="15">
        <f>IFERROR(S2/R2-1,"")</f>
        <v/>
      </c>
      <c r="T16" s="15">
        <f>IFERROR(T2/S2-1,"")</f>
        <v>-1.0</v>
      </c>
      <c r="U16" s="15">
        <f>IFERROR(U2/T2-1,"")</f>
        <v/>
      </c>
      <c r="V16" s="15">
        <f>IFERROR(V2/U2-1,"")</f>
        <v>66.65704584040748</v>
      </c>
      <c r="W16" s="15">
        <f>IFERROR(W2/V2-1,"")</f>
        <v>-0.52198243412798</v>
      </c>
      <c r="X16" s="15">
        <f>IFERROR(X2/W2-1,"")</f>
        <v>-0.4229618352669431</v>
      </c>
      <c r="Y16" s="15">
        <f>IFERROR(Y2/X2-1,"")</f>
        <v>0.29148471615720517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/>
      </c>
      <c r="S17" s="15">
        <f>IFERROR(S4/S2,"")</f>
        <v>1.0</v>
      </c>
      <c r="T17" s="15">
        <f>IFERROR(T4/T2,"")</f>
        <v/>
      </c>
      <c r="U17" s="15">
        <f>IFERROR(U4/U2,"")</f>
        <v>1.0</v>
      </c>
      <c r="V17" s="15">
        <f>IFERROR(V4/V2,"")</f>
        <v>1.0</v>
      </c>
      <c r="W17" s="15">
        <f>IFERROR(W4/W2,"")</f>
        <v>1.0</v>
      </c>
      <c r="X17" s="15">
        <f>IFERROR(X4/X2,"")</f>
        <v>1.0</v>
      </c>
      <c r="Y17" s="15">
        <f>IFERROR(Y4/Y2,"")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/>
      </c>
      <c r="S18" s="15">
        <f>IFERROR(S8/S2,"")</f>
        <v>-1.3976666666666668</v>
      </c>
      <c r="T18" s="15">
        <f>IFERROR(T8/T2,"")</f>
        <v/>
      </c>
      <c r="U18" s="15">
        <f>IFERROR(U8/U2,"")</f>
        <v>-38.5483870967742</v>
      </c>
      <c r="V18" s="15">
        <f>IFERROR(V8/V2,"")</f>
        <v>0.4573651191969887</v>
      </c>
      <c r="W18" s="15">
        <f>IFERROR(W8/W2,"")</f>
        <v>-0.5545172974959315</v>
      </c>
      <c r="X18" s="15">
        <f>IFERROR(X8/X2,"")</f>
        <v>-5.647197962154293</v>
      </c>
      <c r="Y18" s="15">
        <f>IFERROR(Y8/Y2,"")</f>
        <v>-2.7190053536207386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  <c r="W19" s="20" t="inlineStr">
        <is>
          <t>A</t>
        </is>
      </c>
      <c r="X19" s="20" t="inlineStr">
        <is>
          <t>A</t>
        </is>
      </c>
      <c r="Y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Opus Genetics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0.3383208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50.608</v>
      </c>
    </row>
    <row r="19">
      <c r="A19" s="14" t="inlineStr">
        <is>
          <t>Years of full burn (until the first launch, max 4)</t>
        </is>
      </c>
      <c r="B19" s="39">
        <f>MIN(4,MAX(1,MIN(Pipeline!I4:I6)-2026))</f>
        <v>1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358.7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778.90101315578</v>
      </c>
      <c r="C29" s="42">
        <f>NPV!B25</f>
        <v>832.43201315578</v>
      </c>
      <c r="D29" s="43">
        <f>NPV!B27</f>
        <v>10.005694794987244</v>
      </c>
      <c r="E29" s="44">
        <f>NPV!B29</f>
        <v>1.4951857344107844</v>
      </c>
    </row>
    <row r="30">
      <c r="A30" s="45" t="n">
        <v>1</v>
      </c>
      <c r="B30" s="46">
        <f t="dataTable" ref="B30:E32" r1="B4"/>
        <v>354.4302324972227</v>
      </c>
      <c r="C30" s="46">
        <v>407.9612324972227</v>
      </c>
      <c r="D30" s="47">
        <v>4.903626381545894</v>
      </c>
      <c r="E30" s="48">
        <v>0.22284947170720537</v>
      </c>
    </row>
    <row r="31">
      <c r="A31" s="45" t="n">
        <v>2</v>
      </c>
      <c r="B31" s="46">
        <v>778.90101315578</v>
      </c>
      <c r="C31" s="46">
        <v>832.43201315578</v>
      </c>
      <c r="D31" s="47">
        <v>10.005694794987244</v>
      </c>
      <c r="E31" s="48">
        <v>1.4951857344107844</v>
      </c>
    </row>
    <row r="32">
      <c r="A32" s="45" t="n">
        <v>3</v>
      </c>
      <c r="B32" s="46">
        <v>1396.9430762255954</v>
      </c>
      <c r="C32" s="46">
        <v>1450.4740762255954</v>
      </c>
      <c r="D32" s="47">
        <v>17.434457932168005</v>
      </c>
      <c r="E32" s="48">
        <v>3.347745120241398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10.005694794987244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4.248829120072482</v>
      </c>
      <c r="C37" s="47">
        <v>6.120864456955488</v>
      </c>
      <c r="D37" s="47">
        <v>7.963716173018717</v>
      </c>
      <c r="E37" s="47">
        <v>11.607885954708875</v>
      </c>
      <c r="F37" s="47">
        <v>15.21821317446682</v>
      </c>
    </row>
    <row r="38">
      <c r="A38" s="50" t="n">
        <v>0.8</v>
      </c>
      <c r="B38" s="47">
        <v>4.725897430899555</v>
      </c>
      <c r="C38" s="47">
        <v>6.868045085913429</v>
      </c>
      <c r="D38" s="47">
        <v>8.983193829546952</v>
      </c>
      <c r="E38" s="47">
        <v>13.173560459929975</v>
      </c>
      <c r="F38" s="47">
        <v>17.329728229403273</v>
      </c>
    </row>
    <row r="39">
      <c r="A39" s="50" t="n">
        <v>1</v>
      </c>
      <c r="B39" s="47">
        <v>5.206095266144518</v>
      </c>
      <c r="C39" s="47">
        <v>7.618283236173142</v>
      </c>
      <c r="D39" s="47">
        <v>10.005694794987244</v>
      </c>
      <c r="E39" s="47">
        <v>14.741638700354436</v>
      </c>
      <c r="F39" s="47">
        <v>19.444182018034812</v>
      </c>
    </row>
    <row r="40">
      <c r="A40" s="50" t="n">
        <v>1.2</v>
      </c>
      <c r="B40" s="47">
        <v>5.689422625807373</v>
      </c>
      <c r="C40" s="47">
        <v>8.371578907734632</v>
      </c>
      <c r="D40" s="47">
        <v>11.031219069339599</v>
      </c>
      <c r="E40" s="47">
        <v>16.312618633495514</v>
      </c>
      <c r="F40" s="47">
        <v>21.561069513012857</v>
      </c>
    </row>
    <row r="41">
      <c r="A41" s="50" t="n">
        <v>1.4</v>
      </c>
      <c r="B41" s="47">
        <v>6.17446428711906</v>
      </c>
      <c r="C41" s="47">
        <v>9.127932100597901</v>
      </c>
      <c r="D41" s="47">
        <v>12.059766652604011</v>
      </c>
      <c r="E41" s="47">
        <v>17.886589943984923</v>
      </c>
      <c r="F41" s="47">
        <v>23.680903913458557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Opus Genetics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Retinal disease (AMD / DME)</t>
        </is>
      </c>
      <c r="C4" s="14" t="inlineStr">
        <is>
          <t>APX3330, OPGx-BEST1</t>
        </is>
      </c>
      <c r="D4" s="14" t="inlineStr">
        <is>
          <t>Phase 2</t>
        </is>
      </c>
      <c r="E4" s="14" t="inlineStr">
        <is>
          <t>Ophthalmology / area</t>
        </is>
      </c>
      <c r="F4" s="14" t="inlineStr">
        <is>
          <t>Owned</t>
        </is>
      </c>
      <c r="G4" s="40" t="n">
        <v>2500</v>
      </c>
      <c r="H4" s="27" t="n">
        <v>0.1656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470.32179638783055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41.4</v>
      </c>
      <c r="S4" s="23">
        <f>IF(S$3&lt;$I4,0,$G4*Assumptions!$E$11*INDEX(Assumptions!$B$24:$G$24,MIN(6,S$3-$I4+1))*IF(S$3&gt;$J4,(1-Assumptions!$B$26)^(S$3-$J4),1)*IF($H4&gt;=1,1,MIN(0.97,$H4*Assumptions!$E$12)))</f>
        <v>103.5</v>
      </c>
      <c r="T4" s="23">
        <f>IF(T$3&lt;$I4,0,$G4*Assumptions!$E$11*INDEX(Assumptions!$B$24:$G$24,MIN(6,T$3-$I4+1))*IF(T$3&gt;$J4,(1-Assumptions!$B$26)^(T$3-$J4),1)*IF($H4&gt;=1,1,MIN(0.97,$H4*Assumptions!$E$12)))</f>
        <v>186.29999999999998</v>
      </c>
      <c r="U4" s="23">
        <f>IF(U$3&lt;$I4,0,$G4*Assumptions!$E$11*INDEX(Assumptions!$B$24:$G$24,MIN(6,U$3-$I4+1))*IF(U$3&gt;$J4,(1-Assumptions!$B$26)^(U$3-$J4),1)*IF($H4&gt;=1,1,MIN(0.97,$H4*Assumptions!$E$12)))</f>
        <v>269.1</v>
      </c>
      <c r="V4" s="23">
        <f>IF(V$3&lt;$I4,0,$G4*Assumptions!$E$11*INDEX(Assumptions!$B$24:$G$24,MIN(6,V$3-$I4+1))*IF(V$3&gt;$J4,(1-Assumptions!$B$26)^(V$3-$J4),1)*IF($H4&gt;=1,1,MIN(0.97,$H4*Assumptions!$E$12)))</f>
        <v>351.9</v>
      </c>
      <c r="W4" s="23">
        <f>IF(W$3&lt;$I4,0,$G4*Assumptions!$E$11*INDEX(Assumptions!$B$24:$G$24,MIN(6,W$3-$I4+1))*IF(W$3&gt;$J4,(1-Assumptions!$B$26)^(W$3-$J4),1)*IF($H4&gt;=1,1,MIN(0.97,$H4*Assumptions!$E$12)))</f>
        <v>414.0</v>
      </c>
      <c r="X4" s="23">
        <f>IF(X$3&lt;$I4,0,$G4*Assumptions!$E$11*INDEX(Assumptions!$B$24:$G$24,MIN(6,X$3-$I4+1))*IF(X$3&gt;$J4,(1-Assumptions!$B$26)^(X$3-$J4),1)*IF($H4&gt;=1,1,MIN(0.97,$H4*Assumptions!$E$12)))</f>
        <v>414.0</v>
      </c>
      <c r="Y4" s="23">
        <f>IF(Y$3&lt;$I4,0,$G4*Assumptions!$E$11*INDEX(Assumptions!$B$24:$G$24,MIN(6,Y$3-$I4+1))*IF(Y$3&gt;$J4,(1-Assumptions!$B$26)^(Y$3-$J4),1)*IF($H4&gt;=1,1,MIN(0.97,$H4*Assumptions!$E$12)))</f>
        <v>414.0</v>
      </c>
      <c r="Z4" s="23">
        <f>IF(Z$3&lt;$I4,0,$G4*Assumptions!$E$11*INDEX(Assumptions!$B$24:$G$24,MIN(6,Z$3-$I4+1))*IF(Z$3&gt;$J4,(1-Assumptions!$B$26)^(Z$3-$J4),1)*IF($H4&gt;=1,1,MIN(0.97,$H4*Assumptions!$E$12)))</f>
        <v>414.0</v>
      </c>
      <c r="AA4" s="23">
        <f>IF(AA$3&lt;$I4,0,$G4*Assumptions!$E$11*INDEX(Assumptions!$B$24:$G$24,MIN(6,AA$3-$I4+1))*IF(AA$3&gt;$J4,(1-Assumptions!$B$26)^(AA$3-$J4),1)*IF($H4&gt;=1,1,MIN(0.97,$H4*Assumptions!$E$12)))</f>
        <v>414.0</v>
      </c>
      <c r="AB4" s="23">
        <f>IF(AB$3&lt;$I4,0,$G4*Assumptions!$E$11*INDEX(Assumptions!$B$24:$G$24,MIN(6,AB$3-$I4+1))*IF(AB$3&gt;$J4,(1-Assumptions!$B$26)^(AB$3-$J4),1)*IF($H4&gt;=1,1,MIN(0.97,$H4*Assumptions!$E$12)))</f>
        <v>414.0</v>
      </c>
      <c r="AC4" s="23">
        <f>IF(AC$3&lt;$I4,0,$G4*Assumptions!$E$11*INDEX(Assumptions!$B$24:$G$24,MIN(6,AC$3-$I4+1))*IF(AC$3&gt;$J4,(1-Assumptions!$B$26)^(AC$3-$J4),1)*IF($H4&gt;=1,1,MIN(0.97,$H4*Assumptions!$E$12)))</f>
        <v>414.0</v>
      </c>
      <c r="AD4" s="23">
        <f>IF(AD$3&lt;$I4,0,$G4*Assumptions!$E$11*INDEX(Assumptions!$B$24:$G$24,MIN(6,AD$3-$I4+1))*IF(AD$3&gt;$J4,(1-Assumptions!$B$26)^(AD$3-$J4),1)*IF($H4&gt;=1,1,MIN(0.97,$H4*Assumptions!$E$12)))</f>
        <v>414.0</v>
      </c>
      <c r="AE4" s="23">
        <f>IF(AE$3&lt;$I4,0,$G4*Assumptions!$E$11*INDEX(Assumptions!$B$24:$G$24,MIN(6,AE$3-$I4+1))*IF(AE$3&gt;$J4,(1-Assumptions!$B$26)^(AE$3-$J4),1)*IF($H4&gt;=1,1,MIN(0.97,$H4*Assumptions!$E$12)))</f>
        <v>207.0</v>
      </c>
      <c r="AF4" s="23">
        <f>IF(AF$3&lt;$I4,0,$G4*Assumptions!$E$11*INDEX(Assumptions!$B$24:$G$24,MIN(6,AF$3-$I4+1))*IF(AF$3&gt;$J4,(1-Assumptions!$B$26)^(AF$3-$J4),1)*IF($H4&gt;=1,1,MIN(0.97,$H4*Assumptions!$E$12)))</f>
        <v>103.5</v>
      </c>
      <c r="AG4" s="35">
        <f>IF(F4="Owned",1-IF(H4&gt;=1,1,MIN(0.97,H4*Assumptions!$E$12)),1)</f>
        <v>0.8344</v>
      </c>
    </row>
    <row r="5">
      <c r="A5" s="39" t="n">
        <v>2</v>
      </c>
      <c r="B5" s="14" t="inlineStr">
        <is>
          <t>Eye disease (other)</t>
        </is>
      </c>
      <c r="C5" s="14" t="inlineStr">
        <is>
          <t>Phentolamine Ophthalmic Solution 0.75%, Pilocarpine</t>
        </is>
      </c>
      <c r="D5" s="14" t="inlineStr">
        <is>
          <t>Approved</t>
        </is>
      </c>
      <c r="E5" s="14" t="inlineStr">
        <is>
          <t>Ophthalmology / area</t>
        </is>
      </c>
      <c r="F5" s="14" t="inlineStr">
        <is>
          <t>Partnered</t>
        </is>
      </c>
      <c r="G5" s="40" t="n">
        <v>600</v>
      </c>
      <c r="H5" s="27" t="n">
        <v>1</v>
      </c>
      <c r="I5" s="26" t="n">
        <v>2024</v>
      </c>
      <c r="J5" s="39">
        <f>I5+Assumptions!$B$25</f>
        <v>2036.0</v>
      </c>
      <c r="K5" s="53">
        <f>Assumptions!$E$14</f>
        <v>0.12</v>
      </c>
      <c r="L5" s="23">
        <f>K5*SUMPRODUCT(M5:AF5,NPV!$C$15:$V$15)</f>
        <v>410.0781088458791</v>
      </c>
      <c r="M5" s="23">
        <f>IF(M$3&lt;$I5,0,$G5*Assumptions!$E$11*INDEX(Assumptions!$B$24:$G$24,MIN(6,M$3-$I5+1))*IF(M$3&gt;$J5,(1-Assumptions!$B$26)^(M$3-$J5),1)*IF($H5&gt;=1,1,MIN(0.97,$H5*Assumptions!$E$12)))</f>
        <v>270.0</v>
      </c>
      <c r="N5" s="23">
        <f>IF(N$3&lt;$I5,0,$G5*Assumptions!$E$11*INDEX(Assumptions!$B$24:$G$24,MIN(6,N$3-$I5+1))*IF(N$3&gt;$J5,(1-Assumptions!$B$26)^(N$3-$J5),1)*IF($H5&gt;=1,1,MIN(0.97,$H5*Assumptions!$E$12)))</f>
        <v>390.0</v>
      </c>
      <c r="O5" s="23">
        <f>IF(O$3&lt;$I5,0,$G5*Assumptions!$E$11*INDEX(Assumptions!$B$24:$G$24,MIN(6,O$3-$I5+1))*IF(O$3&gt;$J5,(1-Assumptions!$B$26)^(O$3-$J5),1)*IF($H5&gt;=1,1,MIN(0.97,$H5*Assumptions!$E$12)))</f>
        <v>510.0</v>
      </c>
      <c r="P5" s="23">
        <f>IF(P$3&lt;$I5,0,$G5*Assumptions!$E$11*INDEX(Assumptions!$B$24:$G$24,MIN(6,P$3-$I5+1))*IF(P$3&gt;$J5,(1-Assumptions!$B$26)^(P$3-$J5),1)*IF($H5&gt;=1,1,MIN(0.97,$H5*Assumptions!$E$12)))</f>
        <v>600.0</v>
      </c>
      <c r="Q5" s="23">
        <f>IF(Q$3&lt;$I5,0,$G5*Assumptions!$E$11*INDEX(Assumptions!$B$24:$G$24,MIN(6,Q$3-$I5+1))*IF(Q$3&gt;$J5,(1-Assumptions!$B$26)^(Q$3-$J5),1)*IF($H5&gt;=1,1,MIN(0.97,$H5*Assumptions!$E$12)))</f>
        <v>600.0</v>
      </c>
      <c r="R5" s="23">
        <f>IF(R$3&lt;$I5,0,$G5*Assumptions!$E$11*INDEX(Assumptions!$B$24:$G$24,MIN(6,R$3-$I5+1))*IF(R$3&gt;$J5,(1-Assumptions!$B$26)^(R$3-$J5),1)*IF($H5&gt;=1,1,MIN(0.97,$H5*Assumptions!$E$12)))</f>
        <v>600.0</v>
      </c>
      <c r="S5" s="23">
        <f>IF(S$3&lt;$I5,0,$G5*Assumptions!$E$11*INDEX(Assumptions!$B$24:$G$24,MIN(6,S$3-$I5+1))*IF(S$3&gt;$J5,(1-Assumptions!$B$26)^(S$3-$J5),1)*IF($H5&gt;=1,1,MIN(0.97,$H5*Assumptions!$E$12)))</f>
        <v>600.0</v>
      </c>
      <c r="T5" s="23">
        <f>IF(T$3&lt;$I5,0,$G5*Assumptions!$E$11*INDEX(Assumptions!$B$24:$G$24,MIN(6,T$3-$I5+1))*IF(T$3&gt;$J5,(1-Assumptions!$B$26)^(T$3-$J5),1)*IF($H5&gt;=1,1,MIN(0.97,$H5*Assumptions!$E$12)))</f>
        <v>600.0</v>
      </c>
      <c r="U5" s="23">
        <f>IF(U$3&lt;$I5,0,$G5*Assumptions!$E$11*INDEX(Assumptions!$B$24:$G$24,MIN(6,U$3-$I5+1))*IF(U$3&gt;$J5,(1-Assumptions!$B$26)^(U$3-$J5),1)*IF($H5&gt;=1,1,MIN(0.97,$H5*Assumptions!$E$12)))</f>
        <v>600.0</v>
      </c>
      <c r="V5" s="23">
        <f>IF(V$3&lt;$I5,0,$G5*Assumptions!$E$11*INDEX(Assumptions!$B$24:$G$24,MIN(6,V$3-$I5+1))*IF(V$3&gt;$J5,(1-Assumptions!$B$26)^(V$3-$J5),1)*IF($H5&gt;=1,1,MIN(0.97,$H5*Assumptions!$E$12)))</f>
        <v>600.0</v>
      </c>
      <c r="W5" s="23">
        <f>IF(W$3&lt;$I5,0,$G5*Assumptions!$E$11*INDEX(Assumptions!$B$24:$G$24,MIN(6,W$3-$I5+1))*IF(W$3&gt;$J5,(1-Assumptions!$B$26)^(W$3-$J5),1)*IF($H5&gt;=1,1,MIN(0.97,$H5*Assumptions!$E$12)))</f>
        <v>600.0</v>
      </c>
      <c r="X5" s="23">
        <f>IF(X$3&lt;$I5,0,$G5*Assumptions!$E$11*INDEX(Assumptions!$B$24:$G$24,MIN(6,X$3-$I5+1))*IF(X$3&gt;$J5,(1-Assumptions!$B$26)^(X$3-$J5),1)*IF($H5&gt;=1,1,MIN(0.97,$H5*Assumptions!$E$12)))</f>
        <v>300.0</v>
      </c>
      <c r="Y5" s="23">
        <f>IF(Y$3&lt;$I5,0,$G5*Assumptions!$E$11*INDEX(Assumptions!$B$24:$G$24,MIN(6,Y$3-$I5+1))*IF(Y$3&gt;$J5,(1-Assumptions!$B$26)^(Y$3-$J5),1)*IF($H5&gt;=1,1,MIN(0.97,$H5*Assumptions!$E$12)))</f>
        <v>150.0</v>
      </c>
      <c r="Z5" s="23">
        <f>IF(Z$3&lt;$I5,0,$G5*Assumptions!$E$11*INDEX(Assumptions!$B$24:$G$24,MIN(6,Z$3-$I5+1))*IF(Z$3&gt;$J5,(1-Assumptions!$B$26)^(Z$3-$J5),1)*IF($H5&gt;=1,1,MIN(0.97,$H5*Assumptions!$E$12)))</f>
        <v>75.0</v>
      </c>
      <c r="AA5" s="23">
        <f>IF(AA$3&lt;$I5,0,$G5*Assumptions!$E$11*INDEX(Assumptions!$B$24:$G$24,MIN(6,AA$3-$I5+1))*IF(AA$3&gt;$J5,(1-Assumptions!$B$26)^(AA$3-$J5),1)*IF($H5&gt;=1,1,MIN(0.97,$H5*Assumptions!$E$12)))</f>
        <v>37.5</v>
      </c>
      <c r="AB5" s="23">
        <f>IF(AB$3&lt;$I5,0,$G5*Assumptions!$E$11*INDEX(Assumptions!$B$24:$G$24,MIN(6,AB$3-$I5+1))*IF(AB$3&gt;$J5,(1-Assumptions!$B$26)^(AB$3-$J5),1)*IF($H5&gt;=1,1,MIN(0.97,$H5*Assumptions!$E$12)))</f>
        <v>18.75</v>
      </c>
      <c r="AC5" s="23">
        <f>IF(AC$3&lt;$I5,0,$G5*Assumptions!$E$11*INDEX(Assumptions!$B$24:$G$24,MIN(6,AC$3-$I5+1))*IF(AC$3&gt;$J5,(1-Assumptions!$B$26)^(AC$3-$J5),1)*IF($H5&gt;=1,1,MIN(0.97,$H5*Assumptions!$E$12)))</f>
        <v>9.375</v>
      </c>
      <c r="AD5" s="23">
        <f>IF(AD$3&lt;$I5,0,$G5*Assumptions!$E$11*INDEX(Assumptions!$B$24:$G$24,MIN(6,AD$3-$I5+1))*IF(AD$3&gt;$J5,(1-Assumptions!$B$26)^(AD$3-$J5),1)*IF($H5&gt;=1,1,MIN(0.97,$H5*Assumptions!$E$12)))</f>
        <v>4.6875</v>
      </c>
      <c r="AE5" s="23">
        <f>IF(AE$3&lt;$I5,0,$G5*Assumptions!$E$11*INDEX(Assumptions!$B$24:$G$24,MIN(6,AE$3-$I5+1))*IF(AE$3&gt;$J5,(1-Assumptions!$B$26)^(AE$3-$J5),1)*IF($H5&gt;=1,1,MIN(0.97,$H5*Assumptions!$E$12)))</f>
        <v>2.34375</v>
      </c>
      <c r="AF5" s="23">
        <f>IF(AF$3&lt;$I5,0,$G5*Assumptions!$E$11*INDEX(Assumptions!$B$24:$G$24,MIN(6,AF$3-$I5+1))*IF(AF$3&gt;$J5,(1-Assumptions!$B$26)^(AF$3-$J5),1)*IF($H5&gt;=1,1,MIN(0.97,$H5*Assumptions!$E$12)))</f>
        <v>1.171875</v>
      </c>
      <c r="AG5" s="35">
        <f>IF(F5="Owned",1-IF(H5&gt;=1,1,MIN(0.97,H5*Assumptions!$E$12)),1)</f>
        <v>1</v>
      </c>
    </row>
    <row r="6">
      <c r="A6" s="39" t="n">
        <v>3</v>
      </c>
      <c r="B6" s="14" t="inlineStr">
        <is>
          <t>Inherited retinal disease</t>
        </is>
      </c>
      <c r="C6" s="14" t="inlineStr">
        <is>
          <t>OPGx-RDH12</t>
        </is>
      </c>
      <c r="D6" s="14" t="inlineStr">
        <is>
          <t>Phase 1/2</t>
        </is>
      </c>
      <c r="E6" s="14" t="inlineStr">
        <is>
          <t>Ophthalmology / rare</t>
        </is>
      </c>
      <c r="F6" s="14" t="inlineStr">
        <is>
          <t>Owned</t>
        </is>
      </c>
      <c r="G6" s="40" t="n">
        <v>500</v>
      </c>
      <c r="H6" s="27" t="n">
        <v>0.207</v>
      </c>
      <c r="I6" s="26" t="n">
        <v>2032</v>
      </c>
      <c r="J6" s="39">
        <f>I6+Assumptions!$B$25</f>
        <v>2044.0</v>
      </c>
      <c r="K6" s="53">
        <f>Assumptions!$E$13</f>
        <v>0.4</v>
      </c>
      <c r="L6" s="23">
        <f>K6*SUMPRODUCT(M6:AF6,NPV!$C$15:$V$15)</f>
        <v>103.91009124630465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10.35</v>
      </c>
      <c r="T6" s="23">
        <f>IF(T$3&lt;$I6,0,$G6*Assumptions!$E$11*INDEX(Assumptions!$B$24:$G$24,MIN(6,T$3-$I6+1))*IF(T$3&gt;$J6,(1-Assumptions!$B$26)^(T$3-$J6),1)*IF($H6&gt;=1,1,MIN(0.97,$H6*Assumptions!$E$12)))</f>
        <v>25.875</v>
      </c>
      <c r="U6" s="23">
        <f>IF(U$3&lt;$I6,0,$G6*Assumptions!$E$11*INDEX(Assumptions!$B$24:$G$24,MIN(6,U$3-$I6+1))*IF(U$3&gt;$J6,(1-Assumptions!$B$26)^(U$3-$J6),1)*IF($H6&gt;=1,1,MIN(0.97,$H6*Assumptions!$E$12)))</f>
        <v>46.574999999999996</v>
      </c>
      <c r="V6" s="23">
        <f>IF(V$3&lt;$I6,0,$G6*Assumptions!$E$11*INDEX(Assumptions!$B$24:$G$24,MIN(6,V$3-$I6+1))*IF(V$3&gt;$J6,(1-Assumptions!$B$26)^(V$3-$J6),1)*IF($H6&gt;=1,1,MIN(0.97,$H6*Assumptions!$E$12)))</f>
        <v>67.27499999999999</v>
      </c>
      <c r="W6" s="23">
        <f>IF(W$3&lt;$I6,0,$G6*Assumptions!$E$11*INDEX(Assumptions!$B$24:$G$24,MIN(6,W$3-$I6+1))*IF(W$3&gt;$J6,(1-Assumptions!$B$26)^(W$3-$J6),1)*IF($H6&gt;=1,1,MIN(0.97,$H6*Assumptions!$E$12)))</f>
        <v>87.975</v>
      </c>
      <c r="X6" s="23">
        <f>IF(X$3&lt;$I6,0,$G6*Assumptions!$E$11*INDEX(Assumptions!$B$24:$G$24,MIN(6,X$3-$I6+1))*IF(X$3&gt;$J6,(1-Assumptions!$B$26)^(X$3-$J6),1)*IF($H6&gt;=1,1,MIN(0.97,$H6*Assumptions!$E$12)))</f>
        <v>103.5</v>
      </c>
      <c r="Y6" s="23">
        <f>IF(Y$3&lt;$I6,0,$G6*Assumptions!$E$11*INDEX(Assumptions!$B$24:$G$24,MIN(6,Y$3-$I6+1))*IF(Y$3&gt;$J6,(1-Assumptions!$B$26)^(Y$3-$J6),1)*IF($H6&gt;=1,1,MIN(0.97,$H6*Assumptions!$E$12)))</f>
        <v>103.5</v>
      </c>
      <c r="Z6" s="23">
        <f>IF(Z$3&lt;$I6,0,$G6*Assumptions!$E$11*INDEX(Assumptions!$B$24:$G$24,MIN(6,Z$3-$I6+1))*IF(Z$3&gt;$J6,(1-Assumptions!$B$26)^(Z$3-$J6),1)*IF($H6&gt;=1,1,MIN(0.97,$H6*Assumptions!$E$12)))</f>
        <v>103.5</v>
      </c>
      <c r="AA6" s="23">
        <f>IF(AA$3&lt;$I6,0,$G6*Assumptions!$E$11*INDEX(Assumptions!$B$24:$G$24,MIN(6,AA$3-$I6+1))*IF(AA$3&gt;$J6,(1-Assumptions!$B$26)^(AA$3-$J6),1)*IF($H6&gt;=1,1,MIN(0.97,$H6*Assumptions!$E$12)))</f>
        <v>103.5</v>
      </c>
      <c r="AB6" s="23">
        <f>IF(AB$3&lt;$I6,0,$G6*Assumptions!$E$11*INDEX(Assumptions!$B$24:$G$24,MIN(6,AB$3-$I6+1))*IF(AB$3&gt;$J6,(1-Assumptions!$B$26)^(AB$3-$J6),1)*IF($H6&gt;=1,1,MIN(0.97,$H6*Assumptions!$E$12)))</f>
        <v>103.5</v>
      </c>
      <c r="AC6" s="23">
        <f>IF(AC$3&lt;$I6,0,$G6*Assumptions!$E$11*INDEX(Assumptions!$B$24:$G$24,MIN(6,AC$3-$I6+1))*IF(AC$3&gt;$J6,(1-Assumptions!$B$26)^(AC$3-$J6),1)*IF($H6&gt;=1,1,MIN(0.97,$H6*Assumptions!$E$12)))</f>
        <v>103.5</v>
      </c>
      <c r="AD6" s="23">
        <f>IF(AD$3&lt;$I6,0,$G6*Assumptions!$E$11*INDEX(Assumptions!$B$24:$G$24,MIN(6,AD$3-$I6+1))*IF(AD$3&gt;$J6,(1-Assumptions!$B$26)^(AD$3-$J6),1)*IF($H6&gt;=1,1,MIN(0.97,$H6*Assumptions!$E$12)))</f>
        <v>103.5</v>
      </c>
      <c r="AE6" s="23">
        <f>IF(AE$3&lt;$I6,0,$G6*Assumptions!$E$11*INDEX(Assumptions!$B$24:$G$24,MIN(6,AE$3-$I6+1))*IF(AE$3&gt;$J6,(1-Assumptions!$B$26)^(AE$3-$J6),1)*IF($H6&gt;=1,1,MIN(0.97,$H6*Assumptions!$E$12)))</f>
        <v>103.5</v>
      </c>
      <c r="AF6" s="23">
        <f>IF(AF$3&lt;$I6,0,$G6*Assumptions!$E$11*INDEX(Assumptions!$B$24:$G$24,MIN(6,AF$3-$I6+1))*IF(AF$3&gt;$J6,(1-Assumptions!$B$26)^(AF$3-$J6),1)*IF($H6&gt;=1,1,MIN(0.97,$H6*Assumptions!$E$12)))</f>
        <v>51.75</v>
      </c>
      <c r="AG6" s="35">
        <f>IF(F6="Owned",1-IF(H6&gt;=1,1,MIN(0.97,H6*Assumptions!$E$12)),1)</f>
        <v>0.793</v>
      </c>
    </row>
    <row r="7">
      <c r="B7" s="24" t="inlineStr">
        <is>
          <t>Risked revenue</t>
        </is>
      </c>
      <c r="L7" s="54">
        <f>SUM(L4:L6)</f>
        <v>984.3099964800143</v>
      </c>
      <c r="M7" s="54">
        <f>SUM(M4:M6)</f>
        <v>270.0</v>
      </c>
      <c r="N7" s="54">
        <f>SUM(N4:N6)</f>
        <v>390.0</v>
      </c>
      <c r="O7" s="54">
        <f>SUM(O4:O6)</f>
        <v>510.0</v>
      </c>
      <c r="P7" s="54">
        <f>SUM(P4:P6)</f>
        <v>600.0</v>
      </c>
      <c r="Q7" s="54">
        <f>SUM(Q4:Q6)</f>
        <v>600.0</v>
      </c>
      <c r="R7" s="54">
        <f>SUM(R4:R6)</f>
        <v>641.4</v>
      </c>
      <c r="S7" s="54">
        <f>SUM(S4:S6)</f>
        <v>713.85</v>
      </c>
      <c r="T7" s="54">
        <f>SUM(T4:T6)</f>
        <v>812.175</v>
      </c>
      <c r="U7" s="54">
        <f>SUM(U4:U6)</f>
        <v>915.6750000000001</v>
      </c>
      <c r="V7" s="54">
        <f>SUM(V4:V6)</f>
        <v>1019.175</v>
      </c>
      <c r="W7" s="54">
        <f>SUM(W4:W6)</f>
        <v>1101.975</v>
      </c>
      <c r="X7" s="54">
        <f>SUM(X4:X6)</f>
        <v>817.5</v>
      </c>
      <c r="Y7" s="54">
        <f>SUM(Y4:Y6)</f>
        <v>667.5</v>
      </c>
      <c r="Z7" s="54">
        <f>SUM(Z4:Z6)</f>
        <v>592.5</v>
      </c>
      <c r="AA7" s="54">
        <f>SUM(AA4:AA6)</f>
        <v>555.0</v>
      </c>
      <c r="AB7" s="54">
        <f>SUM(AB4:AB6)</f>
        <v>536.25</v>
      </c>
      <c r="AC7" s="54">
        <f>SUM(AC4:AC6)</f>
        <v>526.875</v>
      </c>
      <c r="AD7" s="54">
        <f>SUM(AD4:AD6)</f>
        <v>522.1875</v>
      </c>
      <c r="AE7" s="54">
        <f>SUM(AE4:AE6)</f>
        <v>312.84375</v>
      </c>
      <c r="AF7" s="54">
        <f>SUM(AF4:AF6)</f>
        <v>156.421875</v>
      </c>
    </row>
    <row r="8">
      <c r="B8" s="24" t="inlineStr">
        <is>
          <t>Risked contribution (revenue x share)</t>
        </is>
      </c>
      <c r="M8" s="55">
        <f>SUMPRODUCT(M4:M6,$K$4:$K$6)</f>
        <v>32.4</v>
      </c>
      <c r="N8" s="55">
        <f>SUMPRODUCT(N4:N6,$K$4:$K$6)</f>
        <v>46.8</v>
      </c>
      <c r="O8" s="55">
        <f>SUMPRODUCT(O4:O6,$K$4:$K$6)</f>
        <v>61.199999999999996</v>
      </c>
      <c r="P8" s="55">
        <f>SUMPRODUCT(P4:P6,$K$4:$K$6)</f>
        <v>72.0</v>
      </c>
      <c r="Q8" s="55">
        <f>SUMPRODUCT(Q4:Q6,$K$4:$K$6)</f>
        <v>72.0</v>
      </c>
      <c r="R8" s="55">
        <f>SUMPRODUCT(R4:R6,$K$4:$K$6)</f>
        <v>88.56</v>
      </c>
      <c r="S8" s="55">
        <f>SUMPRODUCT(S4:S6,$K$4:$K$6)</f>
        <v>117.54</v>
      </c>
      <c r="T8" s="55">
        <f>SUMPRODUCT(T4:T6,$K$4:$K$6)</f>
        <v>156.86999999999998</v>
      </c>
      <c r="U8" s="55">
        <f>SUMPRODUCT(U4:U6,$K$4:$K$6)</f>
        <v>198.27</v>
      </c>
      <c r="V8" s="55">
        <f>SUMPRODUCT(V4:V6,$K$4:$K$6)</f>
        <v>239.67</v>
      </c>
      <c r="W8" s="55">
        <f>SUMPRODUCT(W4:W6,$K$4:$K$6)</f>
        <v>272.79</v>
      </c>
      <c r="X8" s="55">
        <f>SUMPRODUCT(X4:X6,$K$4:$K$6)</f>
        <v>243.00000000000003</v>
      </c>
      <c r="Y8" s="55">
        <f>SUMPRODUCT(Y4:Y6,$K$4:$K$6)</f>
        <v>225.00000000000003</v>
      </c>
      <c r="Z8" s="55">
        <f>SUMPRODUCT(Z4:Z6,$K$4:$K$6)</f>
        <v>216.00000000000003</v>
      </c>
      <c r="AA8" s="55">
        <f>SUMPRODUCT(AA4:AA6,$K$4:$K$6)</f>
        <v>211.50000000000003</v>
      </c>
      <c r="AB8" s="55">
        <f>SUMPRODUCT(AB4:AB6,$K$4:$K$6)</f>
        <v>209.25000000000003</v>
      </c>
      <c r="AC8" s="55">
        <f>SUMPRODUCT(AC4:AC6,$K$4:$K$6)</f>
        <v>208.12500000000003</v>
      </c>
      <c r="AD8" s="55">
        <f>SUMPRODUCT(AD4:AD6,$K$4:$K$6)</f>
        <v>207.56250000000003</v>
      </c>
      <c r="AE8" s="55">
        <f>SUMPRODUCT(AE4:AE6,$K$4:$K$6)</f>
        <v>124.48125000000002</v>
      </c>
      <c r="AF8" s="55">
        <f>SUMPRODUCT(AF4:AF6,$K$4:$K$6)</f>
        <v>62.24062500000001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Opus Genetics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270.0</v>
      </c>
      <c r="D4" s="57">
        <f>Pipeline!N7</f>
        <v>390.0</v>
      </c>
      <c r="E4" s="57">
        <f>Pipeline!O7</f>
        <v>510.0</v>
      </c>
      <c r="F4" s="57">
        <f>Pipeline!P7</f>
        <v>600.0</v>
      </c>
      <c r="G4" s="57">
        <f>Pipeline!Q7</f>
        <v>600.0</v>
      </c>
      <c r="H4" s="57">
        <f>Pipeline!R7</f>
        <v>641.4</v>
      </c>
      <c r="I4" s="57">
        <f>Pipeline!S7</f>
        <v>713.85</v>
      </c>
      <c r="J4" s="57">
        <f>Pipeline!T7</f>
        <v>812.175</v>
      </c>
      <c r="K4" s="57">
        <f>Pipeline!U7</f>
        <v>915.6750000000001</v>
      </c>
      <c r="L4" s="57">
        <f>Pipeline!V7</f>
        <v>1019.175</v>
      </c>
      <c r="M4" s="57">
        <f>Pipeline!W7</f>
        <v>1101.975</v>
      </c>
      <c r="N4" s="57">
        <f>Pipeline!X7</f>
        <v>817.5</v>
      </c>
      <c r="O4" s="57">
        <f>Pipeline!Y7</f>
        <v>667.5</v>
      </c>
      <c r="P4" s="57">
        <f>Pipeline!Z7</f>
        <v>592.5</v>
      </c>
      <c r="Q4" s="57">
        <f>Pipeline!AA7</f>
        <v>555.0</v>
      </c>
      <c r="R4" s="57">
        <f>Pipeline!AB7</f>
        <v>536.25</v>
      </c>
      <c r="S4" s="57">
        <f>Pipeline!AC7</f>
        <v>526.875</v>
      </c>
      <c r="T4" s="57">
        <f>Pipeline!AD7</f>
        <v>522.1875</v>
      </c>
      <c r="U4" s="57">
        <f>Pipeline!AE7</f>
        <v>312.84375</v>
      </c>
      <c r="V4" s="57">
        <f>Pipeline!AF7</f>
        <v>156.421875</v>
      </c>
    </row>
    <row r="5">
      <c r="A5" s="14" t="inlineStr">
        <is>
          <t>Risked contribution</t>
        </is>
      </c>
      <c r="C5" s="57">
        <f>Pipeline!M8</f>
        <v>32.4</v>
      </c>
      <c r="D5" s="57">
        <f>Pipeline!N8</f>
        <v>46.8</v>
      </c>
      <c r="E5" s="57">
        <f>Pipeline!O8</f>
        <v>61.199999999999996</v>
      </c>
      <c r="F5" s="57">
        <f>Pipeline!P8</f>
        <v>72.0</v>
      </c>
      <c r="G5" s="57">
        <f>Pipeline!Q8</f>
        <v>72.0</v>
      </c>
      <c r="H5" s="57">
        <f>Pipeline!R8</f>
        <v>88.56</v>
      </c>
      <c r="I5" s="57">
        <f>Pipeline!S8</f>
        <v>117.54</v>
      </c>
      <c r="J5" s="57">
        <f>Pipeline!T8</f>
        <v>156.86999999999998</v>
      </c>
      <c r="K5" s="57">
        <f>Pipeline!U8</f>
        <v>198.27</v>
      </c>
      <c r="L5" s="57">
        <f>Pipeline!V8</f>
        <v>239.67</v>
      </c>
      <c r="M5" s="57">
        <f>Pipeline!W8</f>
        <v>272.79</v>
      </c>
      <c r="N5" s="57">
        <f>Pipeline!X8</f>
        <v>243.00000000000003</v>
      </c>
      <c r="O5" s="57">
        <f>Pipeline!Y8</f>
        <v>225.00000000000003</v>
      </c>
      <c r="P5" s="57">
        <f>Pipeline!Z8</f>
        <v>216.00000000000003</v>
      </c>
      <c r="Q5" s="57">
        <f>Pipeline!AA8</f>
        <v>211.50000000000003</v>
      </c>
      <c r="R5" s="57">
        <f>Pipeline!AB8</f>
        <v>209.25000000000003</v>
      </c>
      <c r="S5" s="57">
        <f>Pipeline!AC8</f>
        <v>208.12500000000003</v>
      </c>
      <c r="T5" s="57">
        <f>Pipeline!AD8</f>
        <v>207.56250000000003</v>
      </c>
      <c r="U5" s="57">
        <f>Pipeline!AE8</f>
        <v>124.48125000000002</v>
      </c>
      <c r="V5" s="57">
        <f>Pipeline!AF8</f>
        <v>62.24062500000001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-50.608</v>
      </c>
      <c r="D6" s="23">
        <f>-IF(D3-2026&lt;Assumptions!$B$19,Assumptions!$B$18,Assumptions!$B$18*Assumptions!$B$20*Assumptions!$B$16)</f>
        <v>-5.136521713919999</v>
      </c>
      <c r="E6" s="23">
        <f>-IF(E3-2026&lt;Assumptions!$B$19,Assumptions!$B$18,Assumptions!$B$18*Assumptions!$B$20*Assumptions!$B$16)</f>
        <v>-5.136521713919999</v>
      </c>
      <c r="F6" s="23">
        <f>-IF(F3-2026&lt;Assumptions!$B$19,Assumptions!$B$18,Assumptions!$B$18*Assumptions!$B$20*Assumptions!$B$16)</f>
        <v>-5.136521713919999</v>
      </c>
      <c r="G6" s="23">
        <f>-IF(G3-2026&lt;Assumptions!$B$19,Assumptions!$B$18,Assumptions!$B$18*Assumptions!$B$20*Assumptions!$B$16)</f>
        <v>-5.136521713919999</v>
      </c>
      <c r="H6" s="23">
        <f>-IF(H3-2026&lt;Assumptions!$B$19,Assumptions!$B$18,Assumptions!$B$18*Assumptions!$B$20*Assumptions!$B$16)</f>
        <v>-5.136521713919999</v>
      </c>
      <c r="I6" s="23">
        <f>-IF(I3-2026&lt;Assumptions!$B$19,Assumptions!$B$18,Assumptions!$B$18*Assumptions!$B$20*Assumptions!$B$16)</f>
        <v>-5.136521713919999</v>
      </c>
      <c r="J6" s="23">
        <f>-IF(J3-2026&lt;Assumptions!$B$19,Assumptions!$B$18,Assumptions!$B$18*Assumptions!$B$20*Assumptions!$B$16)</f>
        <v>-5.136521713919999</v>
      </c>
      <c r="K6" s="23">
        <f>-IF(K3-2026&lt;Assumptions!$B$19,Assumptions!$B$18,Assumptions!$B$18*Assumptions!$B$20*Assumptions!$B$16)</f>
        <v>-5.136521713919999</v>
      </c>
      <c r="L6" s="23">
        <f>-IF(L3-2026&lt;Assumptions!$B$19,Assumptions!$B$18,Assumptions!$B$18*Assumptions!$B$20*Assumptions!$B$16)</f>
        <v>-5.136521713919999</v>
      </c>
      <c r="M6" s="23">
        <f>-IF(M3-2026&lt;Assumptions!$B$19,Assumptions!$B$18,Assumptions!$B$18*Assumptions!$B$20*Assumptions!$B$16)</f>
        <v>-5.136521713919999</v>
      </c>
      <c r="N6" s="23">
        <f>-IF(N3-2026&lt;Assumptions!$B$19,Assumptions!$B$18,Assumptions!$B$18*Assumptions!$B$20*Assumptions!$B$16)</f>
        <v>-5.136521713919999</v>
      </c>
      <c r="O6" s="23">
        <f>-IF(O3-2026&lt;Assumptions!$B$19,Assumptions!$B$18,Assumptions!$B$18*Assumptions!$B$20*Assumptions!$B$16)</f>
        <v>-5.136521713919999</v>
      </c>
      <c r="P6" s="23">
        <f>-IF(P3-2026&lt;Assumptions!$B$19,Assumptions!$B$18,Assumptions!$B$18*Assumptions!$B$20*Assumptions!$B$16)</f>
        <v>-5.136521713919999</v>
      </c>
      <c r="Q6" s="23">
        <f>-IF(Q3-2026&lt;Assumptions!$B$19,Assumptions!$B$18,Assumptions!$B$18*Assumptions!$B$20*Assumptions!$B$16)</f>
        <v>-5.136521713919999</v>
      </c>
      <c r="R6" s="23">
        <f>-IF(R3-2026&lt;Assumptions!$B$19,Assumptions!$B$18,Assumptions!$B$18*Assumptions!$B$20*Assumptions!$B$16)</f>
        <v>-5.136521713919999</v>
      </c>
      <c r="S6" s="23">
        <f>-IF(S3-2026&lt;Assumptions!$B$19,Assumptions!$B$18,Assumptions!$B$18*Assumptions!$B$20*Assumptions!$B$16)</f>
        <v>-5.136521713919999</v>
      </c>
      <c r="T6" s="23">
        <f>-IF(T3-2026&lt;Assumptions!$B$19,Assumptions!$B$18,Assumptions!$B$18*Assumptions!$B$20*Assumptions!$B$16)</f>
        <v>-5.136521713919999</v>
      </c>
      <c r="U6" s="23">
        <f>-IF(U3-2026&lt;Assumptions!$B$19,Assumptions!$B$18,Assumptions!$B$18*Assumptions!$B$20*Assumptions!$B$16)</f>
        <v>-5.136521713919999</v>
      </c>
      <c r="V6" s="23">
        <f>-IF(V3-2026&lt;Assumptions!$B$19,Assumptions!$B$18,Assumptions!$B$18*Assumptions!$B$20*Assumptions!$B$16)</f>
        <v>-5.136521713919999</v>
      </c>
    </row>
    <row r="7">
      <c r="A7" s="14" t="inlineStr">
        <is>
          <t>Pre-tax cash flow</t>
        </is>
      </c>
      <c r="C7" s="23">
        <f>C5+C6</f>
        <v>-18.208</v>
      </c>
      <c r="D7" s="23">
        <f>D5+D6</f>
        <v>41.66347828608</v>
      </c>
      <c r="E7" s="23">
        <f>E5+E6</f>
        <v>56.06347828608</v>
      </c>
      <c r="F7" s="23">
        <f>F5+F6</f>
        <v>66.86347828608</v>
      </c>
      <c r="G7" s="23">
        <f>G5+G6</f>
        <v>66.86347828608</v>
      </c>
      <c r="H7" s="23">
        <f>H5+H6</f>
        <v>83.42347828608</v>
      </c>
      <c r="I7" s="23">
        <f>I5+I6</f>
        <v>112.40347828608</v>
      </c>
      <c r="J7" s="23">
        <f>J5+J6</f>
        <v>151.73347828608</v>
      </c>
      <c r="K7" s="23">
        <f>K5+K6</f>
        <v>193.13347828608002</v>
      </c>
      <c r="L7" s="23">
        <f>L5+L6</f>
        <v>234.53347828608</v>
      </c>
      <c r="M7" s="23">
        <f>M5+M6</f>
        <v>267.65347828608003</v>
      </c>
      <c r="N7" s="23">
        <f>N5+N6</f>
        <v>237.86347828608004</v>
      </c>
      <c r="O7" s="23">
        <f>O5+O6</f>
        <v>219.86347828608004</v>
      </c>
      <c r="P7" s="23">
        <f>P5+P6</f>
        <v>210.86347828608004</v>
      </c>
      <c r="Q7" s="23">
        <f>Q5+Q6</f>
        <v>206.36347828608004</v>
      </c>
      <c r="R7" s="23">
        <f>R5+R6</f>
        <v>204.11347828608004</v>
      </c>
      <c r="S7" s="23">
        <f>S5+S6</f>
        <v>202.98847828608004</v>
      </c>
      <c r="T7" s="23">
        <f>T5+T6</f>
        <v>202.42597828608004</v>
      </c>
      <c r="U7" s="23">
        <f>U5+U6</f>
        <v>119.34472828608001</v>
      </c>
      <c r="V7" s="23">
        <f>V5+V6</f>
        <v>57.10410328608001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41.66347828608</v>
      </c>
      <c r="E8" s="23">
        <f>MIN(D17,MAX(0,E7))</f>
        <v>56.06347828608</v>
      </c>
      <c r="F8" s="23">
        <f>MIN(E17,MAX(0,F7))</f>
        <v>66.86347828608</v>
      </c>
      <c r="G8" s="23">
        <f>MIN(F17,MAX(0,G7))</f>
        <v>66.86347828608</v>
      </c>
      <c r="H8" s="23">
        <f>MIN(G17,MAX(0,H7))</f>
        <v>83.42347828608</v>
      </c>
      <c r="I8" s="23">
        <f>MIN(H17,MAX(0,I7))</f>
        <v>62.03060856959998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50.372869716480025</v>
      </c>
      <c r="J9" s="23">
        <f>MAX(0,J7)-J8</f>
        <v>151.73347828608</v>
      </c>
      <c r="K9" s="23">
        <f>MAX(0,K7)-K8</f>
        <v>193.13347828608002</v>
      </c>
      <c r="L9" s="23">
        <f>MAX(0,L7)-L8</f>
        <v>234.53347828608</v>
      </c>
      <c r="M9" s="23">
        <f>MAX(0,M7)-M8</f>
        <v>267.65347828608003</v>
      </c>
      <c r="N9" s="23">
        <f>MAX(0,N7)-N8</f>
        <v>237.86347828608004</v>
      </c>
      <c r="O9" s="23">
        <f>MAX(0,O7)-O8</f>
        <v>219.86347828608004</v>
      </c>
      <c r="P9" s="23">
        <f>MAX(0,P7)-P8</f>
        <v>210.86347828608004</v>
      </c>
      <c r="Q9" s="23">
        <f>MAX(0,Q7)-Q8</f>
        <v>206.36347828608004</v>
      </c>
      <c r="R9" s="23">
        <f>MAX(0,R7)-R8</f>
        <v>204.11347828608004</v>
      </c>
      <c r="S9" s="23">
        <f>MAX(0,S7)-S8</f>
        <v>202.98847828608004</v>
      </c>
      <c r="T9" s="23">
        <f>MAX(0,T7)-T8</f>
        <v>202.42597828608004</v>
      </c>
      <c r="U9" s="23">
        <f>MAX(0,U7)-U8</f>
        <v>119.34472828608001</v>
      </c>
      <c r="V9" s="23">
        <f>MAX(0,V7)-V8</f>
        <v>57.10410328608001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10.578302640460805</v>
      </c>
      <c r="J10" s="23">
        <f>J9*Assumptions!$E$15</f>
        <v>31.864030440076796</v>
      </c>
      <c r="K10" s="23">
        <f>K9*Assumptions!$E$15</f>
        <v>40.558030440076806</v>
      </c>
      <c r="L10" s="23">
        <f>L9*Assumptions!$E$15</f>
        <v>49.2520304400768</v>
      </c>
      <c r="M10" s="23">
        <f>M9*Assumptions!$E$15</f>
        <v>56.207230440076806</v>
      </c>
      <c r="N10" s="23">
        <f>N9*Assumptions!$E$15</f>
        <v>49.95133044007681</v>
      </c>
      <c r="O10" s="23">
        <f>O9*Assumptions!$E$15</f>
        <v>46.17133044007681</v>
      </c>
      <c r="P10" s="23">
        <f>P9*Assumptions!$E$15</f>
        <v>44.28133044007681</v>
      </c>
      <c r="Q10" s="23">
        <f>Q9*Assumptions!$E$15</f>
        <v>43.33633044007681</v>
      </c>
      <c r="R10" s="23">
        <f>R9*Assumptions!$E$15</f>
        <v>42.8638304400768</v>
      </c>
      <c r="S10" s="23">
        <f>S9*Assumptions!$E$15</f>
        <v>42.627580440076805</v>
      </c>
      <c r="T10" s="23">
        <f>T9*Assumptions!$E$15</f>
        <v>42.509455440076806</v>
      </c>
      <c r="U10" s="23">
        <f>U9*Assumptions!$E$15</f>
        <v>25.0623929400768</v>
      </c>
      <c r="V10" s="23">
        <f>V9*Assumptions!$E$15</f>
        <v>11.991861690076801</v>
      </c>
    </row>
    <row r="11">
      <c r="A11" s="24" t="inlineStr">
        <is>
          <t>Free cash flow</t>
        </is>
      </c>
      <c r="C11" s="55">
        <f>C7-C10</f>
        <v>-18.208</v>
      </c>
      <c r="D11" s="55">
        <f>D7-D10</f>
        <v>41.66347828608</v>
      </c>
      <c r="E11" s="55">
        <f>E7-E10</f>
        <v>56.06347828608</v>
      </c>
      <c r="F11" s="55">
        <f>F7-F10</f>
        <v>66.86347828608</v>
      </c>
      <c r="G11" s="55">
        <f>G7-G10</f>
        <v>66.86347828608</v>
      </c>
      <c r="H11" s="55">
        <f>H7-H10</f>
        <v>83.42347828608</v>
      </c>
      <c r="I11" s="55">
        <f>I7-I10</f>
        <v>101.8251756456192</v>
      </c>
      <c r="J11" s="55">
        <f>J7-J10</f>
        <v>119.8694478460032</v>
      </c>
      <c r="K11" s="55">
        <f>K7-K10</f>
        <v>152.57544784600321</v>
      </c>
      <c r="L11" s="55">
        <f>L7-L10</f>
        <v>185.2814478460032</v>
      </c>
      <c r="M11" s="55">
        <f>M7-M10</f>
        <v>211.44624784600322</v>
      </c>
      <c r="N11" s="55">
        <f>N7-N10</f>
        <v>187.91214784600322</v>
      </c>
      <c r="O11" s="55">
        <f>O7-O10</f>
        <v>173.69214784600322</v>
      </c>
      <c r="P11" s="55">
        <f>P7-P10</f>
        <v>166.58214784600324</v>
      </c>
      <c r="Q11" s="55">
        <f>Q7-Q10</f>
        <v>163.02714784600323</v>
      </c>
      <c r="R11" s="55">
        <f>R7-R10</f>
        <v>161.24964784600323</v>
      </c>
      <c r="S11" s="55">
        <f>S7-S10</f>
        <v>160.36089784600324</v>
      </c>
      <c r="T11" s="55">
        <f>T7-T10</f>
        <v>159.91652284600323</v>
      </c>
      <c r="U11" s="55">
        <f>U7-U10</f>
        <v>94.28233534600321</v>
      </c>
      <c r="V11" s="55">
        <f>V7-V10</f>
        <v>45.11224159600321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-8.92017838685895</v>
      </c>
      <c r="D16" s="55">
        <f>D11*D15</f>
        <v>37.18225352437677</v>
      </c>
      <c r="E16" s="55">
        <f>E11*E15</f>
        <v>44.672699757606814</v>
      </c>
      <c r="F16" s="55">
        <f>F11*F15</f>
        <v>47.5699947238734</v>
      </c>
      <c r="G16" s="55">
        <f>G11*G15</f>
        <v>42.47320957488696</v>
      </c>
      <c r="H16" s="55">
        <f>H11*H15</f>
        <v>47.31473219140507</v>
      </c>
      <c r="I16" s="55">
        <f>I11*I15</f>
        <v>51.56383832008068</v>
      </c>
      <c r="J16" s="55">
        <f>J11*J15</f>
        <v>54.197662010425105</v>
      </c>
      <c r="K16" s="55">
        <f>K11*K15</f>
        <v>61.59403821378389</v>
      </c>
      <c r="L16" s="55">
        <f>L11*L15</f>
        <v>66.7833096208951</v>
      </c>
      <c r="M16" s="55">
        <f>M11*M15</f>
        <v>68.04840690744372</v>
      </c>
      <c r="N16" s="55">
        <f>N11*N15</f>
        <v>53.995157625074384</v>
      </c>
      <c r="O16" s="55">
        <f>O11*O15</f>
        <v>44.561737876139425</v>
      </c>
      <c r="P16" s="55">
        <f>P11*P15</f>
        <v>38.158594403202365</v>
      </c>
      <c r="Q16" s="55">
        <f>Q11*Q15</f>
        <v>33.34308805748585</v>
      </c>
      <c r="R16" s="55">
        <f>R11*R15</f>
        <v>29.44602258846863</v>
      </c>
      <c r="S16" s="55">
        <f>S11*S15</f>
        <v>26.146184566234353</v>
      </c>
      <c r="T16" s="55">
        <f>T11*T15</f>
        <v>23.28011700975717</v>
      </c>
      <c r="U16" s="55">
        <f>U11*U15</f>
        <v>12.254740784586073</v>
      </c>
      <c r="V16" s="55">
        <f>V11*V15</f>
        <v>5.235403786913361</v>
      </c>
    </row>
    <row r="17">
      <c r="A17" s="14" t="inlineStr">
        <is>
          <t>Tax-loss carryforward, end of year</t>
        </is>
      </c>
      <c r="C17" s="23">
        <f>Assumptions!$B$21-C8+MAX(0,-C7)</f>
        <v>376.908</v>
      </c>
      <c r="D17" s="23">
        <f>C17-D8+MAX(0,-D7)</f>
        <v>335.24452171392</v>
      </c>
      <c r="E17" s="23">
        <f>D17-E8+MAX(0,-E7)</f>
        <v>279.18104342784</v>
      </c>
      <c r="F17" s="23">
        <f>E17-F8+MAX(0,-F7)</f>
        <v>212.31756514175999</v>
      </c>
      <c r="G17" s="23">
        <f>F17-G8+MAX(0,-G7)</f>
        <v>145.45408685567998</v>
      </c>
      <c r="H17" s="23">
        <f>G17-H8+MAX(0,-H7)</f>
        <v>62.03060856959998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984.3099964800143</v>
      </c>
    </row>
    <row r="20">
      <c r="A20" s="14" t="inlineStr">
        <is>
          <t>PV of corporate burn</t>
        </is>
      </c>
      <c r="B20" s="23">
        <f>SUMPRODUCT(C6:V6,C15:V15)</f>
        <v>-62.60997645855232</v>
      </c>
    </row>
    <row r="21">
      <c r="A21" s="14" t="inlineStr">
        <is>
          <t>PV of taxes</t>
        </is>
      </c>
      <c r="B21" s="23">
        <f>-SUMPRODUCT(C10:V10,C15:V15)</f>
        <v>-142.79900686568186</v>
      </c>
    </row>
    <row r="22">
      <c r="A22" s="24" t="inlineStr">
        <is>
          <t>Pipeline rNPV (operations)</t>
        </is>
      </c>
      <c r="B22" s="54">
        <f>SUM(C16:V16)</f>
        <v>778.90101315578</v>
      </c>
    </row>
    <row r="23">
      <c r="A23" s="14" t="inlineStr">
        <is>
          <t>Cash &amp; investments</t>
        </is>
      </c>
      <c r="B23" s="57">
        <f>Main!C7</f>
        <v>88.812</v>
      </c>
    </row>
    <row r="24">
      <c r="A24" s="14" t="inlineStr">
        <is>
          <t>Debt</t>
        </is>
      </c>
      <c r="B24" s="57">
        <f>Main!C8</f>
        <v>35.281</v>
      </c>
    </row>
    <row r="25">
      <c r="A25" s="24" t="inlineStr">
        <is>
          <t>Equity value</t>
        </is>
      </c>
      <c r="B25" s="54">
        <f>B22+B23-B24</f>
        <v>832.43201315578</v>
      </c>
    </row>
    <row r="26">
      <c r="A26" s="14" t="inlineStr">
        <is>
          <t>Shares (mm)</t>
        </is>
      </c>
      <c r="B26" s="57">
        <f>Main!C4</f>
        <v>83.195823</v>
      </c>
    </row>
    <row r="27">
      <c r="A27" s="24" t="inlineStr">
        <is>
          <t>rNPV / share</t>
        </is>
      </c>
      <c r="B27" s="60">
        <f>B25/B26</f>
        <v>10.005694794987244</v>
      </c>
    </row>
    <row r="28">
      <c r="A28" s="14" t="inlineStr">
        <is>
          <t>Price</t>
        </is>
      </c>
      <c r="B28" s="61">
        <f>Main!C3</f>
        <v>4.01</v>
      </c>
    </row>
    <row r="29">
      <c r="A29" s="14" t="inlineStr">
        <is>
          <t>Upside</t>
        </is>
      </c>
      <c r="B29" s="62">
        <f>B27/B28-1</f>
        <v>1.4951857344107844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2026-10-21T06:25:59Z</dcterms:modified>
  <cp:lastModifiedBy>Wang, Eric</cp:lastModifiedBy>
</cp:coreProperties>
</file>