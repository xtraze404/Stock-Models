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Opus Genetics Inc</t>
        </is>
      </c>
      <c r="C2" s="10" t="n"/>
    </row>
    <row r="3">
      <c r="B3" t="inlineStr">
        <is>
          <t>Price</t>
        </is>
      </c>
      <c r="C3" s="11">
        <f>INDEX([1]Pharma!$F$1:$F$1000,MATCH("IRD",[1]Pharma!$B$1:$B$1000,0))</f>
        <v>4.01</v>
      </c>
      <c r="F3" s="1" t="n"/>
    </row>
    <row r="4">
      <c r="B4" t="inlineStr">
        <is>
          <t>Shares</t>
        </is>
      </c>
      <c r="C4" s="21" t="n">
        <v>83.195823</v>
      </c>
      <c r="F4" s="1" t="n"/>
    </row>
    <row r="5">
      <c r="B5" t="inlineStr">
        <is>
          <t>Market Cap.</t>
        </is>
      </c>
      <c r="C5" s="13">
        <f>C3*C4</f>
        <v>333.61525023</v>
      </c>
      <c r="F5" s="1" t="n"/>
    </row>
    <row r="6"/>
    <row r="7">
      <c r="B7" t="inlineStr">
        <is>
          <t>Cash</t>
        </is>
      </c>
      <c r="C7" s="21" t="n">
        <v>88.812</v>
      </c>
    </row>
    <row r="8">
      <c r="B8" t="inlineStr">
        <is>
          <t>Debt</t>
        </is>
      </c>
      <c r="C8" s="21" t="n">
        <v>35.281</v>
      </c>
    </row>
    <row r="9">
      <c r="B9" t="inlineStr">
        <is>
          <t>Enterprise V.</t>
        </is>
      </c>
      <c r="C9" s="13">
        <f>C5-C7+C8</f>
        <v>280.08425023</v>
      </c>
    </row>
    <row r="10"/>
    <row r="11">
      <c r="B11" s="14" t="inlineStr">
        <is>
          <t>Net Cash / Share</t>
        </is>
      </c>
      <c r="C11" s="11">
        <f>(C7-C8)/C4</f>
        <v>0.643433745465803</v>
      </c>
    </row>
    <row r="12">
      <c r="B12" s="14" t="inlineStr">
        <is>
          <t>Upside</t>
        </is>
      </c>
      <c r="C12" s="15">
        <f>IFERROR(C11/C3-1,"")</f>
        <v>-0.8395427068663832</v>
      </c>
    </row>
    <row r="13">
      <c r="B13" s="14" t="inlineStr">
        <is>
          <t>Cash / Share</t>
        </is>
      </c>
      <c r="C13" s="11">
        <f>IFERROR((C7-C8)/C4,"")</f>
        <v>0.643433745465803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-40.667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1.3163252760223276</v>
      </c>
    </row>
    <row r="19">
      <c r="B19" s="14" t="inlineStr">
        <is>
          <t>Implied Pipeline Value</t>
        </is>
      </c>
      <c r="C19" s="13">
        <f>C9</f>
        <v>280.08425023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2002</v>
      </c>
      <c r="C1" s="17" t="n">
        <v>2003</v>
      </c>
      <c r="D1" s="17" t="n">
        <v>2004</v>
      </c>
      <c r="E1" s="17" t="n">
        <v>2005</v>
      </c>
      <c r="F1" s="17" t="n">
        <v>2006</v>
      </c>
      <c r="G1" s="17" t="n">
        <v>2007</v>
      </c>
      <c r="H1" s="17" t="n">
        <v>2008</v>
      </c>
      <c r="I1" s="17" t="n">
        <v>2009</v>
      </c>
      <c r="J1" s="17" t="n">
        <v>2010</v>
      </c>
      <c r="K1" s="17" t="n">
        <v>2011</v>
      </c>
      <c r="L1" s="17" t="n">
        <v>2012</v>
      </c>
      <c r="M1" s="17" t="n">
        <v>2013</v>
      </c>
      <c r="N1" s="17" t="n">
        <v>2014</v>
      </c>
      <c r="O1" s="17" t="n">
        <v>2015</v>
      </c>
      <c r="P1" s="17" t="n">
        <v>2016</v>
      </c>
      <c r="Q1" s="17" t="n">
        <v>2017</v>
      </c>
      <c r="R1" s="17" t="n">
        <v>2018</v>
      </c>
      <c r="S1" s="17" t="n">
        <v>2019</v>
      </c>
      <c r="T1" s="17" t="n">
        <v>2020</v>
      </c>
      <c r="U1" s="17" t="n">
        <v>2021</v>
      </c>
      <c r="V1" s="17" t="n">
        <v>2022</v>
      </c>
      <c r="W1" s="17" t="n">
        <v>2023</v>
      </c>
      <c r="X1" s="17" t="n">
        <v>2024</v>
      </c>
      <c r="Y1" s="17" t="n">
        <v>2025</v>
      </c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  <c r="P2" s="23" t="n">
        <v>0</v>
      </c>
      <c r="Q2" s="23" t="n">
        <v>0</v>
      </c>
      <c r="R2" s="23" t="n">
        <v>0</v>
      </c>
      <c r="S2" s="23" t="n">
        <v>3</v>
      </c>
      <c r="T2" s="23" t="n">
        <v>0</v>
      </c>
      <c r="U2" s="23" t="n">
        <v>0.589</v>
      </c>
      <c r="V2" s="23" t="n">
        <v>39.85</v>
      </c>
      <c r="W2" s="23" t="n">
        <v>19.049</v>
      </c>
      <c r="X2" s="23" t="n">
        <v>10.992</v>
      </c>
      <c r="Y2" s="23" t="n">
        <v>14.196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0.1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</v>
      </c>
      <c r="S3" s="23" t="n">
        <v>0</v>
      </c>
      <c r="T3" s="23" t="n">
        <v>0</v>
      </c>
      <c r="U3" s="23" t="n">
        <v>0</v>
      </c>
      <c r="V3" s="23" t="n">
        <v>0</v>
      </c>
      <c r="W3" s="23" t="n">
        <v>0</v>
      </c>
      <c r="X3" s="23" t="n">
        <v>0</v>
      </c>
      <c r="Y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-0.1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  <c r="P4" s="23">
        <f>P2-P3</f>
        <v>0.0</v>
      </c>
      <c r="Q4" s="23">
        <f>Q2-Q3</f>
        <v>0.0</v>
      </c>
      <c r="R4" s="23">
        <f>R2-R3</f>
        <v>0.0</v>
      </c>
      <c r="S4" s="23">
        <f>S2-S3</f>
        <v>3.0</v>
      </c>
      <c r="T4" s="23">
        <f>T2-T3</f>
        <v>0.0</v>
      </c>
      <c r="U4" s="23">
        <f>U2-U3</f>
        <v>0.589</v>
      </c>
      <c r="V4" s="23">
        <f>V2-V3</f>
        <v>39.85</v>
      </c>
      <c r="W4" s="23">
        <f>W2-W3</f>
        <v>19.049</v>
      </c>
      <c r="X4" s="23">
        <f>X2-X3</f>
        <v>10.992</v>
      </c>
      <c r="Y4" s="23">
        <f>Y2-Y3</f>
        <v>14.196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0</v>
      </c>
      <c r="H5" s="23" t="n">
        <v>0</v>
      </c>
      <c r="I5" s="23" t="n">
        <v>3.177</v>
      </c>
      <c r="J5" s="23" t="n">
        <v>3.935</v>
      </c>
      <c r="K5" s="23" t="n">
        <v>11.992</v>
      </c>
      <c r="L5" s="23" t="n">
        <v>3.393</v>
      </c>
      <c r="M5" s="23" t="n">
        <v>3.253</v>
      </c>
      <c r="N5" s="23" t="n">
        <v>7.016</v>
      </c>
      <c r="O5" s="23" t="n">
        <v>12.148</v>
      </c>
      <c r="P5" s="23" t="n">
        <v>10.089</v>
      </c>
      <c r="Q5" s="23" t="n">
        <v>10.715</v>
      </c>
      <c r="R5" s="23" t="n">
        <v>13.109</v>
      </c>
      <c r="S5" s="23" t="n">
        <v>5.477</v>
      </c>
      <c r="T5" s="23" t="n">
        <v>6.648</v>
      </c>
      <c r="U5" s="23" t="n">
        <v>15.173</v>
      </c>
      <c r="V5" s="23" t="n">
        <v>14.355</v>
      </c>
      <c r="W5" s="23" t="n">
        <v>17.653</v>
      </c>
      <c r="X5" s="23" t="n">
        <v>26.851</v>
      </c>
      <c r="Y5" s="23" t="n">
        <v>30.812</v>
      </c>
    </row>
    <row r="6">
      <c r="A6" s="19" t="inlineStr">
        <is>
          <t>SG&amp;A &amp; Other</t>
        </is>
      </c>
      <c r="B6" s="23" t="n">
        <v>1.181</v>
      </c>
      <c r="C6" s="23" t="n">
        <v>2.775</v>
      </c>
      <c r="D6" s="23" t="n">
        <v>3.273</v>
      </c>
      <c r="E6" s="23" t="n">
        <v>6.35</v>
      </c>
      <c r="F6" s="23" t="n">
        <v>6.486</v>
      </c>
      <c r="G6" s="23" t="n">
        <v>4.442</v>
      </c>
      <c r="H6" s="23" t="n">
        <v>3.682</v>
      </c>
      <c r="I6" s="23" t="n">
        <v>3.189</v>
      </c>
      <c r="J6" s="23" t="n">
        <v>6.371</v>
      </c>
      <c r="K6" s="23" t="n">
        <v>4.139</v>
      </c>
      <c r="L6" s="23" t="n">
        <v>3.187</v>
      </c>
      <c r="M6" s="23" t="n">
        <v>4.726</v>
      </c>
      <c r="N6" s="23" t="n">
        <v>6.253</v>
      </c>
      <c r="O6" s="23" t="n">
        <v>6.115</v>
      </c>
      <c r="P6" s="23" t="n">
        <v>6.324</v>
      </c>
      <c r="Q6" s="23" t="n">
        <v>6.639</v>
      </c>
      <c r="R6" s="23" t="n">
        <v>7.429</v>
      </c>
      <c r="S6" s="23" t="n">
        <v>1.716</v>
      </c>
      <c r="T6" s="23" t="n">
        <v>13.32</v>
      </c>
      <c r="U6" s="23" t="n">
        <v>8.121</v>
      </c>
      <c r="V6" s="23" t="n">
        <v>7.269</v>
      </c>
      <c r="W6" s="23" t="n">
        <v>11.959</v>
      </c>
      <c r="X6" s="23" t="n">
        <v>46.215</v>
      </c>
      <c r="Y6" s="23" t="n">
        <v>21.983</v>
      </c>
    </row>
    <row r="7">
      <c r="A7" s="2" t="inlineStr">
        <is>
          <t>Operating Expense</t>
        </is>
      </c>
      <c r="B7" s="23">
        <f>SUM(B5:B6)</f>
        <v>1.181</v>
      </c>
      <c r="C7" s="23">
        <f>SUM(C5:C6)</f>
        <v>2.775</v>
      </c>
      <c r="D7" s="23">
        <f>SUM(D5:D6)</f>
        <v>3.273</v>
      </c>
      <c r="E7" s="23">
        <f>SUM(E5:E6)</f>
        <v>6.35</v>
      </c>
      <c r="F7" s="23">
        <f>SUM(F5:F6)</f>
        <v>6.486</v>
      </c>
      <c r="G7" s="23">
        <f>SUM(G5:G6)</f>
        <v>4.442</v>
      </c>
      <c r="H7" s="23">
        <f>SUM(H5:H6)</f>
        <v>3.682</v>
      </c>
      <c r="I7" s="23">
        <f>SUM(I5:I6)</f>
        <v>6.366</v>
      </c>
      <c r="J7" s="23">
        <f>SUM(J5:J6)</f>
        <v>10.306000000000001</v>
      </c>
      <c r="K7" s="23">
        <f>SUM(K5:K6)</f>
        <v>16.131</v>
      </c>
      <c r="L7" s="23">
        <f>SUM(L5:L6)</f>
        <v>6.58</v>
      </c>
      <c r="M7" s="23">
        <f>SUM(M5:M6)</f>
        <v>7.979</v>
      </c>
      <c r="N7" s="23">
        <f>SUM(N5:N6)</f>
        <v>13.269</v>
      </c>
      <c r="O7" s="23">
        <f>SUM(O5:O6)</f>
        <v>18.262999999999998</v>
      </c>
      <c r="P7" s="23">
        <f>SUM(P5:P6)</f>
        <v>16.413</v>
      </c>
      <c r="Q7" s="23">
        <f>SUM(Q5:Q6)</f>
        <v>17.354</v>
      </c>
      <c r="R7" s="23">
        <f>SUM(R5:R6)</f>
        <v>20.538</v>
      </c>
      <c r="S7" s="23">
        <f>SUM(S5:S6)</f>
        <v>7.1930000000000005</v>
      </c>
      <c r="T7" s="23">
        <f>SUM(T5:T6)</f>
        <v>19.968</v>
      </c>
      <c r="U7" s="23">
        <f>SUM(U5:U6)</f>
        <v>23.294</v>
      </c>
      <c r="V7" s="23">
        <f>SUM(V5:V6)</f>
        <v>21.624000000000002</v>
      </c>
      <c r="W7" s="23">
        <f>SUM(W5:W6)</f>
        <v>29.612</v>
      </c>
      <c r="X7" s="23">
        <f>SUM(X5:X6)</f>
        <v>73.066</v>
      </c>
      <c r="Y7" s="23">
        <f>SUM(Y5:Y6)</f>
        <v>52.795</v>
      </c>
    </row>
    <row r="8">
      <c r="A8" s="2" t="inlineStr">
        <is>
          <t>Operating Income</t>
        </is>
      </c>
      <c r="B8" s="23">
        <f>B4-B7</f>
        <v>-1.181</v>
      </c>
      <c r="C8" s="23">
        <f>C4-C7</f>
        <v>-2.775</v>
      </c>
      <c r="D8" s="23">
        <f>D4-D7</f>
        <v>-3.273</v>
      </c>
      <c r="E8" s="23">
        <f>E4-E7</f>
        <v>-6.35</v>
      </c>
      <c r="F8" s="23">
        <f>F4-F7</f>
        <v>-6.486</v>
      </c>
      <c r="G8" s="23">
        <f>G4-G7</f>
        <v>-4.442</v>
      </c>
      <c r="H8" s="23">
        <f>H4-H7</f>
        <v>-3.682</v>
      </c>
      <c r="I8" s="23">
        <f>I4-I7</f>
        <v>-6.465999999999999</v>
      </c>
      <c r="J8" s="23">
        <f>J4-J7</f>
        <v>-10.306000000000001</v>
      </c>
      <c r="K8" s="23">
        <f>K4-K7</f>
        <v>-16.131</v>
      </c>
      <c r="L8" s="23">
        <f>L4-L7</f>
        <v>-6.58</v>
      </c>
      <c r="M8" s="23">
        <f>M4-M7</f>
        <v>-7.979</v>
      </c>
      <c r="N8" s="23">
        <f>N4-N7</f>
        <v>-13.269</v>
      </c>
      <c r="O8" s="23">
        <f>O4-O7</f>
        <v>-18.262999999999998</v>
      </c>
      <c r="P8" s="23">
        <f>P4-P7</f>
        <v>-16.413</v>
      </c>
      <c r="Q8" s="23">
        <f>Q4-Q7</f>
        <v>-17.354</v>
      </c>
      <c r="R8" s="23">
        <f>R4-R7</f>
        <v>-20.538</v>
      </c>
      <c r="S8" s="23">
        <f>S4-S7</f>
        <v>-4.1930000000000005</v>
      </c>
      <c r="T8" s="23">
        <f>T4-T7</f>
        <v>-19.968</v>
      </c>
      <c r="U8" s="23">
        <f>U4-U7</f>
        <v>-22.705000000000002</v>
      </c>
      <c r="V8" s="23">
        <f>V4-V7</f>
        <v>18.226</v>
      </c>
      <c r="W8" s="23">
        <f>W4-W7</f>
        <v>-10.562999999999999</v>
      </c>
      <c r="X8" s="23">
        <f>X4-X7</f>
        <v>-62.074</v>
      </c>
      <c r="Y8" s="23">
        <f>Y4-Y7</f>
        <v>-38.599000000000004</v>
      </c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0</v>
      </c>
      <c r="E9" s="23" t="n">
        <v>0</v>
      </c>
      <c r="F9" s="23" t="n">
        <v>0</v>
      </c>
      <c r="G9" s="23" t="n">
        <v>0</v>
      </c>
      <c r="H9" s="23" t="n">
        <v>0</v>
      </c>
      <c r="I9" s="23" t="n">
        <v>3.563</v>
      </c>
      <c r="J9" s="23" t="n">
        <v>-3.716</v>
      </c>
      <c r="K9" s="23" t="n">
        <v>4.786</v>
      </c>
      <c r="L9" s="23" t="n">
        <v>0.353</v>
      </c>
      <c r="M9" s="23" t="n">
        <v>-1.521</v>
      </c>
      <c r="N9" s="23" t="n">
        <v>-5.252</v>
      </c>
      <c r="O9" s="23" t="n">
        <v>3.879</v>
      </c>
      <c r="P9" s="23" t="n">
        <v>7.106</v>
      </c>
      <c r="Q9" s="23" t="n">
        <v>-7.94</v>
      </c>
      <c r="R9" s="23" t="n">
        <v>6.169</v>
      </c>
      <c r="S9" s="23" t="n">
        <v>-1.976</v>
      </c>
      <c r="T9" s="23" t="n">
        <v>-4.652</v>
      </c>
      <c r="U9" s="23" t="n">
        <v>-33.988</v>
      </c>
      <c r="V9" s="23" t="n">
        <v>-0.023</v>
      </c>
      <c r="W9" s="23" t="n">
        <v>0.589</v>
      </c>
      <c r="X9" s="23" t="n">
        <v>4.542</v>
      </c>
      <c r="Y9" s="23" t="n">
        <v>-10.992</v>
      </c>
    </row>
    <row r="10">
      <c r="A10" s="2" t="inlineStr">
        <is>
          <t>Pretax</t>
        </is>
      </c>
      <c r="B10" s="23">
        <f>B8+B9</f>
        <v>-1.181</v>
      </c>
      <c r="C10" s="23">
        <f>C8+C9</f>
        <v>-2.775</v>
      </c>
      <c r="D10" s="23">
        <f>D8+D9</f>
        <v>-3.273</v>
      </c>
      <c r="E10" s="23">
        <f>E8+E9</f>
        <v>-6.35</v>
      </c>
      <c r="F10" s="23">
        <f>F8+F9</f>
        <v>-6.486</v>
      </c>
      <c r="G10" s="23">
        <f>G8+G9</f>
        <v>-4.442</v>
      </c>
      <c r="H10" s="23">
        <f>H8+H9</f>
        <v>-3.682</v>
      </c>
      <c r="I10" s="23">
        <f>I8+I9</f>
        <v>-2.902999999999999</v>
      </c>
      <c r="J10" s="23">
        <f>J8+J9</f>
        <v>-14.022000000000002</v>
      </c>
      <c r="K10" s="23">
        <f>K8+K9</f>
        <v>-11.345</v>
      </c>
      <c r="L10" s="23">
        <f>L8+L9</f>
        <v>-6.227</v>
      </c>
      <c r="M10" s="23">
        <f>M8+M9</f>
        <v>-9.5</v>
      </c>
      <c r="N10" s="23">
        <f>N8+N9</f>
        <v>-18.521</v>
      </c>
      <c r="O10" s="23">
        <f>O8+O9</f>
        <v>-14.383999999999999</v>
      </c>
      <c r="P10" s="23">
        <f>P8+P9</f>
        <v>-9.307</v>
      </c>
      <c r="Q10" s="23">
        <f>Q8+Q9</f>
        <v>-25.294</v>
      </c>
      <c r="R10" s="23">
        <f>R8+R9</f>
        <v>-14.369</v>
      </c>
      <c r="S10" s="23">
        <f>S8+S9</f>
        <v>-6.1690000000000005</v>
      </c>
      <c r="T10" s="23">
        <f>T8+T9</f>
        <v>-24.62</v>
      </c>
      <c r="U10" s="23">
        <f>U8+U9</f>
        <v>-56.693</v>
      </c>
      <c r="V10" s="23">
        <f>V8+V9</f>
        <v>18.203</v>
      </c>
      <c r="W10" s="23">
        <f>W8+W9</f>
        <v>-9.973999999999998</v>
      </c>
      <c r="X10" s="23">
        <f>X8+X9</f>
        <v>-57.532</v>
      </c>
      <c r="Y10" s="23">
        <f>Y8+Y9</f>
        <v>-49.59100000000001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  <c r="R11" s="23" t="n">
        <v>0</v>
      </c>
      <c r="S11" s="23" t="n">
        <v>0</v>
      </c>
      <c r="T11" s="23" t="n">
        <v>0</v>
      </c>
      <c r="U11" s="23" t="n">
        <v>0</v>
      </c>
      <c r="V11" s="23" t="n">
        <v>0.315</v>
      </c>
      <c r="W11" s="23" t="n">
        <v>0.012</v>
      </c>
      <c r="X11" s="23" t="n">
        <v>0</v>
      </c>
      <c r="Y11" s="23" t="n">
        <v>0</v>
      </c>
    </row>
    <row r="12">
      <c r="A12" s="2" t="inlineStr">
        <is>
          <t>Net Income</t>
        </is>
      </c>
      <c r="B12" s="23" t="n">
        <v>-1.181</v>
      </c>
      <c r="C12" s="23" t="n">
        <v>-2.775</v>
      </c>
      <c r="D12" s="23" t="n">
        <v>-3.273</v>
      </c>
      <c r="E12" s="23" t="n">
        <v>-6.35</v>
      </c>
      <c r="F12" s="23" t="n">
        <v>-6.486</v>
      </c>
      <c r="G12" s="23" t="n">
        <v>-4.442</v>
      </c>
      <c r="H12" s="23" t="n">
        <v>-3.682</v>
      </c>
      <c r="I12" s="23" t="n">
        <v>-2.903</v>
      </c>
      <c r="J12" s="23" t="n">
        <v>-14.022</v>
      </c>
      <c r="K12" s="23" t="n">
        <v>-11.345</v>
      </c>
      <c r="L12" s="23" t="n">
        <v>-6.227</v>
      </c>
      <c r="M12" s="23" t="n">
        <v>-9.499000000000001</v>
      </c>
      <c r="N12" s="23" t="n">
        <v>-18.522</v>
      </c>
      <c r="O12" s="23" t="n">
        <v>-14.385</v>
      </c>
      <c r="P12" s="23" t="n">
        <v>-9.307</v>
      </c>
      <c r="Q12" s="23" t="n">
        <v>-25.295</v>
      </c>
      <c r="R12" s="23" t="n">
        <v>-14.369</v>
      </c>
      <c r="S12" s="23" t="n">
        <v>-6.169</v>
      </c>
      <c r="T12" s="23" t="n">
        <v>-24.62</v>
      </c>
      <c r="U12" s="23" t="n">
        <v>-56.693</v>
      </c>
      <c r="V12" s="23" t="n">
        <v>17.888</v>
      </c>
      <c r="W12" s="23" t="n">
        <v>-9.986000000000001</v>
      </c>
      <c r="X12" s="23" t="n">
        <v>-57.532</v>
      </c>
      <c r="Y12" s="23" t="n">
        <v>-49.591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0</v>
      </c>
      <c r="G13" s="11">
        <f>IFERROR(G12/G14,0)</f>
        <v>0</v>
      </c>
      <c r="H13" s="11">
        <f>IFERROR(H12/H14,0)</f>
        <v>0</v>
      </c>
      <c r="I13" s="11">
        <f>IFERROR(I12/I14,0)</f>
        <v>0</v>
      </c>
      <c r="J13" s="11">
        <f>IFERROR(J12/J14,0)</f>
        <v>0</v>
      </c>
      <c r="K13" s="11">
        <f>IFERROR(K12/K14,0)</f>
        <v>-1.2192369693713059</v>
      </c>
      <c r="L13" s="11">
        <f>IFERROR(L12/L14,0)</f>
        <v>-0.6410335598105826</v>
      </c>
      <c r="M13" s="11">
        <f>IFERROR(M12/M14,0)</f>
        <v>-0.7383598911776137</v>
      </c>
      <c r="N13" s="11">
        <f>IFERROR(N12/N14,0)</f>
        <v>-1.0517290329907443</v>
      </c>
      <c r="O13" s="11">
        <f>IFERROR(O12/O14,0)</f>
        <v>-7.886513157894736</v>
      </c>
      <c r="P13" s="11">
        <f>IFERROR(P12/P14,0)</f>
        <v>-4.281048758049678</v>
      </c>
      <c r="Q13" s="11">
        <f>IFERROR(Q12/Q14,0)</f>
        <v>-9.235122307411466</v>
      </c>
      <c r="R13" s="11">
        <f>IFERROR(R12/R14,0)</f>
        <v>-5.246075209930631</v>
      </c>
      <c r="S13" s="11">
        <f>IFERROR(S12/S14,0)</f>
        <v>-2.1683655536028117</v>
      </c>
      <c r="T13" s="11">
        <f>IFERROR(T12/T14,0)</f>
        <v>-5.2821282986483595</v>
      </c>
      <c r="U13" s="11">
        <f>IFERROR(U12/U14,0)</f>
        <v>-3.8169393388541035</v>
      </c>
      <c r="V13" s="11">
        <f>IFERROR(V12/V14,0)</f>
        <v>0.8684759916492694</v>
      </c>
      <c r="W13" s="11">
        <f>IFERROR(W12/W14,0)</f>
        <v>-0.462528948587309</v>
      </c>
      <c r="X13" s="11">
        <f>IFERROR(X12/X14,0)</f>
        <v>-2.153466087737685</v>
      </c>
      <c r="Y13" s="11">
        <f>IFERROR(Y12/Y14,0)</f>
        <v>-0.797001060718074</v>
      </c>
    </row>
    <row r="14">
      <c r="A14" s="2" t="inlineStr">
        <is>
          <t>Shares</t>
        </is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>
        <v>9.305</v>
      </c>
      <c r="L14" s="23" t="n">
        <v>9.714</v>
      </c>
      <c r="M14" s="23" t="n">
        <v>12.865</v>
      </c>
      <c r="N14" s="23" t="n">
        <v>17.611</v>
      </c>
      <c r="O14" s="23" t="n">
        <v>1.824</v>
      </c>
      <c r="P14" s="23" t="n">
        <v>2.174</v>
      </c>
      <c r="Q14" s="23" t="n">
        <v>2.739</v>
      </c>
      <c r="R14" s="23" t="n">
        <v>2.739</v>
      </c>
      <c r="S14" s="23" t="n">
        <v>2.845</v>
      </c>
      <c r="T14" s="23" t="n">
        <v>4.661</v>
      </c>
      <c r="U14" s="23" t="n">
        <v>14.853</v>
      </c>
      <c r="V14" s="23" t="n">
        <v>20.597</v>
      </c>
      <c r="W14" s="23" t="n">
        <v>21.59</v>
      </c>
      <c r="X14" s="23" t="n">
        <v>26.716</v>
      </c>
      <c r="Y14" s="23" t="n">
        <v>62.222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  <c r="Q16" s="15">
        <f>IFERROR(Q2/P2-1,"")</f>
        <v/>
      </c>
      <c r="R16" s="15">
        <f>IFERROR(R2/Q2-1,"")</f>
        <v/>
      </c>
      <c r="S16" s="15">
        <f>IFERROR(S2/R2-1,"")</f>
        <v/>
      </c>
      <c r="T16" s="15">
        <f>IFERROR(T2/S2-1,"")</f>
        <v>-1.0</v>
      </c>
      <c r="U16" s="15">
        <f>IFERROR(U2/T2-1,"")</f>
        <v/>
      </c>
      <c r="V16" s="15">
        <f>IFERROR(V2/U2-1,"")</f>
        <v>66.65704584040748</v>
      </c>
      <c r="W16" s="15">
        <f>IFERROR(W2/V2-1,"")</f>
        <v>-0.52198243412798</v>
      </c>
      <c r="X16" s="15">
        <f>IFERROR(X2/W2-1,"")</f>
        <v>-0.4229618352669431</v>
      </c>
      <c r="Y16" s="15">
        <f>IFERROR(Y2/X2-1,"")</f>
        <v>0.29148471615720517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/>
      </c>
      <c r="Q17" s="15">
        <f>IFERROR(Q4/Q2,"")</f>
        <v/>
      </c>
      <c r="R17" s="15">
        <f>IFERROR(R4/R2,"")</f>
        <v/>
      </c>
      <c r="S17" s="15">
        <f>IFERROR(S4/S2,"")</f>
        <v>1.0</v>
      </c>
      <c r="T17" s="15">
        <f>IFERROR(T4/T2,"")</f>
        <v/>
      </c>
      <c r="U17" s="15">
        <f>IFERROR(U4/U2,"")</f>
        <v>1.0</v>
      </c>
      <c r="V17" s="15">
        <f>IFERROR(V4/V2,"")</f>
        <v>1.0</v>
      </c>
      <c r="W17" s="15">
        <f>IFERROR(W4/W2,"")</f>
        <v>1.0</v>
      </c>
      <c r="X17" s="15">
        <f>IFERROR(X4/X2,"")</f>
        <v>1.0</v>
      </c>
      <c r="Y17" s="15">
        <f>IFERROR(Y4/Y2,"")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/>
      </c>
      <c r="Q18" s="15">
        <f>IFERROR(Q8/Q2,"")</f>
        <v/>
      </c>
      <c r="R18" s="15">
        <f>IFERROR(R8/R2,"")</f>
        <v/>
      </c>
      <c r="S18" s="15">
        <f>IFERROR(S8/S2,"")</f>
        <v>-1.3976666666666668</v>
      </c>
      <c r="T18" s="15">
        <f>IFERROR(T8/T2,"")</f>
        <v/>
      </c>
      <c r="U18" s="15">
        <f>IFERROR(U8/U2,"")</f>
        <v>-38.5483870967742</v>
      </c>
      <c r="V18" s="15">
        <f>IFERROR(V8/V2,"")</f>
        <v>0.4573651191969887</v>
      </c>
      <c r="W18" s="15">
        <f>IFERROR(W8/W2,"")</f>
        <v>-0.5545172974959315</v>
      </c>
      <c r="X18" s="15">
        <f>IFERROR(X8/X2,"")</f>
        <v>-5.647197962154293</v>
      </c>
      <c r="Y18" s="15">
        <f>IFERROR(Y8/Y2,"")</f>
        <v>-2.7190053536207386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  <c r="S19" s="20" t="inlineStr">
        <is>
          <t>A</t>
        </is>
      </c>
      <c r="T19" s="20" t="inlineStr">
        <is>
          <t>A</t>
        </is>
      </c>
      <c r="U19" s="20" t="inlineStr">
        <is>
          <t>A</t>
        </is>
      </c>
      <c r="V19" s="20" t="inlineStr">
        <is>
          <t>A</t>
        </is>
      </c>
      <c r="W19" s="20" t="inlineStr">
        <is>
          <t>A</t>
        </is>
      </c>
      <c r="X19" s="20" t="inlineStr">
        <is>
          <t>A</t>
        </is>
      </c>
      <c r="Y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2026-10-21T01:05:22Z</dcterms:modified>
  <cp:lastModifiedBy>Wang, Eric</cp:lastModifiedBy>
</cp:coreProperties>
</file>