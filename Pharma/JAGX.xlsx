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Jaguar Health Inc</t>
        </is>
      </c>
      <c r="C2" s="10" t="n"/>
    </row>
    <row r="3">
      <c r="B3" t="inlineStr">
        <is>
          <t>Price</t>
        </is>
      </c>
      <c r="C3" s="11">
        <f>INDEX([1]Pharma!$F$1:$F$1000,MATCH("JAGX",[1]Pharma!$B$1:$B$1000,0))</f>
        <v>2.63</v>
      </c>
      <c r="F3" s="1" t="n"/>
    </row>
    <row r="4">
      <c r="B4" t="inlineStr">
        <is>
          <t>Shares</t>
        </is>
      </c>
      <c r="C4" s="21" t="n">
        <v>5.1683</v>
      </c>
      <c r="F4" s="1" t="n"/>
    </row>
    <row r="5">
      <c r="B5" t="inlineStr">
        <is>
          <t>Market Cap.</t>
        </is>
      </c>
      <c r="C5" s="13">
        <f>C3*C4</f>
        <v>13.592629</v>
      </c>
      <c r="F5" s="1" t="n"/>
    </row>
    <row r="6"/>
    <row r="7">
      <c r="B7" t="inlineStr">
        <is>
          <t>Cash</t>
        </is>
      </c>
      <c r="C7" s="21" t="n">
        <v>3.788</v>
      </c>
    </row>
    <row r="8">
      <c r="B8" t="inlineStr">
        <is>
          <t>Debt</t>
        </is>
      </c>
      <c r="C8" s="21">
        <f>13.833+1.726</f>
        <v>15.559000000000001</v>
      </c>
    </row>
    <row r="9">
      <c r="B9" t="inlineStr">
        <is>
          <t>Enterprise V.</t>
        </is>
      </c>
      <c r="C9" s="13">
        <f>C5-C7+C8</f>
        <v>25.363629000000003</v>
      </c>
    </row>
    <row r="10"/>
    <row r="11">
      <c r="B11" s="14" t="inlineStr">
        <is>
          <t>Net Cash / Share</t>
        </is>
      </c>
      <c r="C11" s="11">
        <f>(C7-C8)/C4</f>
        <v>-2.277538068610568</v>
      </c>
    </row>
    <row r="12">
      <c r="B12" s="14" t="inlineStr">
        <is>
          <t>Upside</t>
        </is>
      </c>
      <c r="C12" s="15">
        <f>IFERROR(C11/C3-1,"")</f>
        <v>-1.8659840565059196</v>
      </c>
    </row>
    <row r="13">
      <c r="B13" s="14" t="inlineStr">
        <is>
          <t>Cash / Share</t>
        </is>
      </c>
      <c r="C13" s="11">
        <f>IFERROR((C7-C8)/C4,"")</f>
        <v>-2.277538068610568</v>
      </c>
    </row>
    <row r="14">
      <c r="B14" s="14" t="inlineStr">
        <is>
          <t>Scenario</t>
        </is>
      </c>
      <c r="C14" s="14" t="inlineStr">
        <is>
          <t>small 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-6.685</v>
      </c>
    </row>
    <row r="18">
      <c r="B18" s="14" t="inlineStr">
        <is>
          <t>Runway (years)</t>
        </is>
      </c>
      <c r="C18" s="22" t="str">
        <f>IF(AND(ISNUMBER(C17),C17&lt;0),IF(C7&gt;C8,(C7-C8)/-C17,"net debt"),"n/a")</f>
        <v>net debt</v>
      </c>
    </row>
    <row r="19">
      <c r="B19" s="14" t="inlineStr">
        <is>
          <t>Implied Pipeline Value</t>
        </is>
      </c>
      <c r="C19" s="13">
        <f>C9</f>
        <v>25.363629000000003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2014</v>
      </c>
      <c r="C1" s="17" t="n">
        <v>2015</v>
      </c>
      <c r="D1" s="17" t="n">
        <v>2016</v>
      </c>
      <c r="E1" s="17" t="n">
        <v>2017</v>
      </c>
      <c r="F1" s="17" t="n">
        <v>2018</v>
      </c>
      <c r="G1" s="17" t="n">
        <v>2019</v>
      </c>
      <c r="H1" s="17" t="n">
        <v>2020</v>
      </c>
      <c r="I1" s="17" t="n">
        <v>2021</v>
      </c>
      <c r="J1" s="17" t="n">
        <v>2022</v>
      </c>
      <c r="K1" s="17" t="n">
        <v>2023</v>
      </c>
      <c r="L1" s="17" t="n">
        <v>2024</v>
      </c>
      <c r="M1" s="17" t="n">
        <v>2025</v>
      </c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0.258</v>
      </c>
      <c r="D2" s="23" t="n">
        <v>0.142</v>
      </c>
      <c r="E2" s="23" t="n">
        <v>4.361</v>
      </c>
      <c r="F2" s="23" t="n">
        <v>4.416</v>
      </c>
      <c r="G2" s="23" t="n">
        <v>5.775</v>
      </c>
      <c r="H2" s="23" t="n">
        <v>9.385</v>
      </c>
      <c r="I2" s="23" t="n">
        <v>4.335</v>
      </c>
      <c r="J2" s="23" t="n">
        <v>11.956</v>
      </c>
      <c r="K2" s="23" t="n">
        <v>9.760999999999999</v>
      </c>
      <c r="L2" s="23" t="n">
        <v>11.689</v>
      </c>
      <c r="M2" s="23" t="n">
        <v>11.511</v>
      </c>
    </row>
    <row r="3" customFormat="1" s="1">
      <c r="A3" s="5" t="inlineStr">
        <is>
          <t>Cost of Sales</t>
        </is>
      </c>
      <c r="B3" s="23" t="n">
        <v>0</v>
      </c>
      <c r="C3" s="23" t="n">
        <v>0.123</v>
      </c>
      <c r="D3" s="23" t="n">
        <v>0.052</v>
      </c>
      <c r="E3" s="23" t="n">
        <v>0.88</v>
      </c>
      <c r="F3" s="23" t="n">
        <v>2.766</v>
      </c>
      <c r="G3" s="23" t="n">
        <v>3.816</v>
      </c>
      <c r="H3" s="23" t="n">
        <v>3.28</v>
      </c>
      <c r="I3" s="23" t="n">
        <v>2.333</v>
      </c>
      <c r="J3" s="23" t="n">
        <v>2.019</v>
      </c>
      <c r="K3" s="23" t="n">
        <v>2.037</v>
      </c>
      <c r="L3" s="23" t="n">
        <v>1.955</v>
      </c>
      <c r="M3" s="23" t="n">
        <v>3.774</v>
      </c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0.135</v>
      </c>
      <c r="D4" s="23">
        <f>D2-D3</f>
        <v>0.09</v>
      </c>
      <c r="E4" s="23">
        <f>E2-E3</f>
        <v>3.481</v>
      </c>
      <c r="F4" s="23">
        <f>F2-F3</f>
        <v>1.6500000000000004</v>
      </c>
      <c r="G4" s="23">
        <f>G2-G3</f>
        <v>1.9590000000000005</v>
      </c>
      <c r="H4" s="23">
        <f>H2-H3</f>
        <v>6.105</v>
      </c>
      <c r="I4" s="23">
        <f>I2-I3</f>
        <v>2.002</v>
      </c>
      <c r="J4" s="23">
        <f>J2-J3</f>
        <v>9.937</v>
      </c>
      <c r="K4" s="23">
        <f>K2-K3</f>
        <v>7.723999999999999</v>
      </c>
      <c r="L4" s="23">
        <f>L2-L3</f>
        <v>9.734</v>
      </c>
      <c r="M4" s="23">
        <f>M2-M3</f>
        <v>7.736999999999999</v>
      </c>
    </row>
    <row r="5">
      <c r="A5" s="2" t="inlineStr">
        <is>
          <t>Research &amp; Dev.</t>
        </is>
      </c>
      <c r="B5" s="23" t="n">
        <v>4.22</v>
      </c>
      <c r="C5" s="23" t="n">
        <v>6.476</v>
      </c>
      <c r="D5" s="23" t="n">
        <v>7.207</v>
      </c>
      <c r="E5" s="23" t="n">
        <v>4.269</v>
      </c>
      <c r="F5" s="23" t="n">
        <v>5.155</v>
      </c>
      <c r="G5" s="23" t="n">
        <v>5.82</v>
      </c>
      <c r="H5" s="23" t="n">
        <v>6.413</v>
      </c>
      <c r="I5" s="23" t="n">
        <v>15.079</v>
      </c>
      <c r="J5" s="23" t="n">
        <v>17.647</v>
      </c>
      <c r="K5" s="23" t="n">
        <v>18.596</v>
      </c>
      <c r="L5" s="23" t="n">
        <v>16.542</v>
      </c>
      <c r="M5" s="23" t="n">
        <v>24.966</v>
      </c>
    </row>
    <row r="6">
      <c r="A6" s="19" t="inlineStr">
        <is>
          <t>SG&amp;A &amp; Other</t>
        </is>
      </c>
      <c r="B6" s="23" t="n">
        <v>4.095</v>
      </c>
      <c r="C6" s="23" t="n">
        <v>6.104</v>
      </c>
      <c r="D6" s="23" t="n">
        <v>6.469</v>
      </c>
      <c r="E6" s="23" t="n">
        <v>33.458</v>
      </c>
      <c r="F6" s="23" t="n">
        <v>27.32</v>
      </c>
      <c r="G6" s="23" t="n">
        <v>25.087</v>
      </c>
      <c r="H6" s="23" t="n">
        <v>26.339</v>
      </c>
      <c r="I6" s="23" t="n">
        <v>27.631</v>
      </c>
      <c r="J6" s="23" t="n">
        <v>26.705</v>
      </c>
      <c r="K6" s="23" t="n">
        <v>23.419</v>
      </c>
      <c r="L6" s="23" t="n">
        <v>24.023</v>
      </c>
      <c r="M6" s="23" t="n">
        <v>28.679</v>
      </c>
    </row>
    <row r="7">
      <c r="A7" s="2" t="inlineStr">
        <is>
          <t>Operating Expense</t>
        </is>
      </c>
      <c r="B7" s="23">
        <f>SUM(B5:B6)</f>
        <v>8.315</v>
      </c>
      <c r="C7" s="23">
        <f>SUM(C5:C6)</f>
        <v>12.58</v>
      </c>
      <c r="D7" s="23">
        <f>SUM(D5:D6)</f>
        <v>13.676</v>
      </c>
      <c r="E7" s="23">
        <f>SUM(E5:E6)</f>
        <v>37.727</v>
      </c>
      <c r="F7" s="23">
        <f>SUM(F5:F6)</f>
        <v>32.475</v>
      </c>
      <c r="G7" s="23">
        <f>SUM(G5:G6)</f>
        <v>30.907</v>
      </c>
      <c r="H7" s="23">
        <f>SUM(H5:H6)</f>
        <v>32.751999999999995</v>
      </c>
      <c r="I7" s="23">
        <f>SUM(I5:I6)</f>
        <v>42.71</v>
      </c>
      <c r="J7" s="23">
        <f>SUM(J5:J6)</f>
        <v>44.352</v>
      </c>
      <c r="K7" s="23">
        <f>SUM(K5:K6)</f>
        <v>42.015</v>
      </c>
      <c r="L7" s="23">
        <f>SUM(L5:L6)</f>
        <v>40.565</v>
      </c>
      <c r="M7" s="23">
        <f>SUM(M5:M6)</f>
        <v>53.644999999999996</v>
      </c>
    </row>
    <row r="8">
      <c r="A8" s="2" t="inlineStr">
        <is>
          <t>Operating Income</t>
        </is>
      </c>
      <c r="B8" s="23">
        <f>B4-B7</f>
        <v>-8.315</v>
      </c>
      <c r="C8" s="23">
        <f>C4-C7</f>
        <v>-12.445</v>
      </c>
      <c r="D8" s="23">
        <f>D4-D7</f>
        <v>-13.586</v>
      </c>
      <c r="E8" s="23">
        <f>E4-E7</f>
        <v>-34.245999999999995</v>
      </c>
      <c r="F8" s="23">
        <f>F4-F7</f>
        <v>-30.825000000000003</v>
      </c>
      <c r="G8" s="23">
        <f>G4-G7</f>
        <v>-28.948</v>
      </c>
      <c r="H8" s="23">
        <f>H4-H7</f>
        <v>-26.646999999999995</v>
      </c>
      <c r="I8" s="23">
        <f>I4-I7</f>
        <v>-40.708</v>
      </c>
      <c r="J8" s="23">
        <f>J4-J7</f>
        <v>-34.415</v>
      </c>
      <c r="K8" s="23">
        <f>K4-K7</f>
        <v>-34.291000000000004</v>
      </c>
      <c r="L8" s="23">
        <f>L4-L7</f>
        <v>-30.830999999999996</v>
      </c>
      <c r="M8" s="23">
        <f>M4-M7</f>
        <v>-45.907999999999994</v>
      </c>
    </row>
    <row r="9">
      <c r="A9" s="19" t="inlineStr">
        <is>
          <t>Interest &amp; Other</t>
        </is>
      </c>
      <c r="B9" s="23" t="n">
        <v>-0.294</v>
      </c>
      <c r="C9" s="23" t="n">
        <v>-3.846</v>
      </c>
      <c r="D9" s="23" t="n">
        <v>-1.148</v>
      </c>
      <c r="E9" s="23" t="n">
        <v>-0.903</v>
      </c>
      <c r="F9" s="23" t="n">
        <v>-1.322</v>
      </c>
      <c r="G9" s="23" t="n">
        <v>-9.581</v>
      </c>
      <c r="H9" s="23" t="n">
        <v>-7.162</v>
      </c>
      <c r="I9" s="23" t="n">
        <v>40.655</v>
      </c>
      <c r="J9" s="23" t="n">
        <v>34.367</v>
      </c>
      <c r="K9" s="23" t="n">
        <v>34.249</v>
      </c>
      <c r="L9" s="23" t="n">
        <v>30.792</v>
      </c>
      <c r="M9" s="23" t="n">
        <v>45.854</v>
      </c>
    </row>
    <row r="10">
      <c r="A10" s="2" t="inlineStr">
        <is>
          <t>Pretax</t>
        </is>
      </c>
      <c r="B10" s="23">
        <f>B8+B9</f>
        <v>-8.609</v>
      </c>
      <c r="C10" s="23">
        <f>C8+C9</f>
        <v>-16.291</v>
      </c>
      <c r="D10" s="23">
        <f>D8+D9</f>
        <v>-14.734</v>
      </c>
      <c r="E10" s="23">
        <f>E8+E9</f>
        <v>-35.148999999999994</v>
      </c>
      <c r="F10" s="23">
        <f>F8+F9</f>
        <v>-32.147000000000006</v>
      </c>
      <c r="G10" s="23">
        <f>G8+G9</f>
        <v>-38.528999999999996</v>
      </c>
      <c r="H10" s="23">
        <f>H8+H9</f>
        <v>-33.809</v>
      </c>
      <c r="I10" s="23">
        <f>I8+I9</f>
        <v>-0.05299999999999727</v>
      </c>
      <c r="J10" s="23">
        <f>J8+J9</f>
        <v>-0.04800000000000182</v>
      </c>
      <c r="K10" s="23">
        <f>K8+K9</f>
        <v>-0.04200000000000159</v>
      </c>
      <c r="L10" s="23">
        <f>L8+L9</f>
        <v>-0.03899999999999437</v>
      </c>
      <c r="M10" s="23">
        <f>M8+M9</f>
        <v>-0.05399999999999494</v>
      </c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-13.181</v>
      </c>
      <c r="F11" s="23" t="n">
        <v>0</v>
      </c>
      <c r="G11" s="23" t="n">
        <v>0.01</v>
      </c>
      <c r="H11" s="23" t="n">
        <v>0</v>
      </c>
      <c r="I11" s="23" t="n">
        <v>0</v>
      </c>
      <c r="J11" s="23" t="n">
        <v>0</v>
      </c>
      <c r="K11" s="23" t="n">
        <v>0</v>
      </c>
      <c r="L11" s="23" t="n">
        <v>0</v>
      </c>
      <c r="M11" s="23" t="n">
        <v>0</v>
      </c>
    </row>
    <row r="12">
      <c r="A12" s="2" t="inlineStr">
        <is>
          <t>Net Income</t>
        </is>
      </c>
      <c r="B12" s="23" t="n">
        <v>-8.609999999999999</v>
      </c>
      <c r="C12" s="23" t="n">
        <v>-16.292</v>
      </c>
      <c r="D12" s="23" t="n">
        <v>-14.734</v>
      </c>
      <c r="E12" s="23" t="n">
        <v>-21.969</v>
      </c>
      <c r="F12" s="23" t="n">
        <v>-32.146</v>
      </c>
      <c r="G12" s="23" t="n">
        <v>-38.539</v>
      </c>
      <c r="H12" s="23" t="n">
        <v>-33.809</v>
      </c>
      <c r="I12" s="23" t="n">
        <v>-0.053</v>
      </c>
      <c r="J12" s="23" t="n">
        <v>-0.048</v>
      </c>
      <c r="K12" s="23" t="n">
        <v>-0.042</v>
      </c>
      <c r="L12" s="23" t="n">
        <v>-0.039</v>
      </c>
      <c r="M12" s="23" t="n">
        <v>-0.054</v>
      </c>
    </row>
    <row r="13">
      <c r="A13" s="2" t="inlineStr">
        <is>
          <t>Earnings per Share</t>
        </is>
      </c>
      <c r="B13" s="11">
        <f>IFERROR(B12/B14,0)</f>
        <v>-21.633165829145725</v>
      </c>
      <c r="C13" s="11">
        <f>IFERROR(C12/C14,0)</f>
        <v>-19.010501750291716</v>
      </c>
      <c r="D13" s="11">
        <f>IFERROR(D12/D14,0)</f>
        <v>-9.655307994757536</v>
      </c>
      <c r="E13" s="11">
        <f>IFERROR(E12/E14,0)</f>
        <v>-54.5136476426799</v>
      </c>
      <c r="F13" s="11">
        <f>IFERROR(F12/F14,0)</f>
        <v>-78.59657701711492</v>
      </c>
      <c r="G13" s="11">
        <f>IFERROR(G12/G14,0)</f>
        <v>-95.39356435643565</v>
      </c>
      <c r="H13" s="11">
        <f>IFERROR(H12/H14,0)</f>
        <v>-32.291308500477555</v>
      </c>
      <c r="I13" s="11">
        <f>IFERROR(I12/I14,0)</f>
        <v>-0.049718574108818005</v>
      </c>
      <c r="J13" s="11">
        <f>IFERROR(J12/J14,0)</f>
        <v>-0.020469083155650318</v>
      </c>
      <c r="K13" s="11">
        <f>IFERROR(K12/K14,0)</f>
        <v>-0.017918088737201368</v>
      </c>
      <c r="L13" s="11">
        <f>IFERROR(L12/L14,0)</f>
        <v>-0.016553480475382003</v>
      </c>
      <c r="M13" s="11">
        <f>IFERROR(M12/M14,0)</f>
        <v>-0.023156089193825044</v>
      </c>
    </row>
    <row r="14">
      <c r="A14" s="2" t="inlineStr">
        <is>
          <t>Shares</t>
        </is>
      </c>
      <c r="B14" s="23" t="n">
        <v>0.398</v>
      </c>
      <c r="C14" s="23" t="n">
        <v>0.857</v>
      </c>
      <c r="D14" s="23" t="n">
        <v>1.526</v>
      </c>
      <c r="E14" s="23" t="n">
        <v>0.403</v>
      </c>
      <c r="F14" s="23" t="n">
        <v>0.409</v>
      </c>
      <c r="G14" s="23" t="n">
        <v>0.404</v>
      </c>
      <c r="H14" s="23" t="n">
        <v>1.047</v>
      </c>
      <c r="I14" s="23" t="n">
        <v>1.066</v>
      </c>
      <c r="J14" s="23" t="n">
        <v>2.345</v>
      </c>
      <c r="K14" s="23" t="n">
        <v>2.344</v>
      </c>
      <c r="L14" s="23" t="n">
        <v>2.356</v>
      </c>
      <c r="M14" s="23" t="n">
        <v>2.332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>-0.4496124031007752</v>
      </c>
      <c r="E16" s="15">
        <f>IFERROR(E2/D2-1,"")</f>
        <v>29.711267605633804</v>
      </c>
      <c r="F16" s="15">
        <f>IFERROR(F2/E2-1,"")</f>
        <v>0.012611786287548776</v>
      </c>
      <c r="G16" s="15">
        <f>IFERROR(G2/F2-1,"")</f>
        <v>0.30774456521739135</v>
      </c>
      <c r="H16" s="15">
        <f>IFERROR(H2/G2-1,"")</f>
        <v>0.625108225108225</v>
      </c>
      <c r="I16" s="15">
        <f>IFERROR(I2/H2-1,"")</f>
        <v>-0.5380927011188066</v>
      </c>
      <c r="J16" s="15">
        <f>IFERROR(J2/I2-1,"")</f>
        <v>1.7580161476355247</v>
      </c>
      <c r="K16" s="15">
        <f>IFERROR(K2/J2-1,"")</f>
        <v>-0.18358982937437274</v>
      </c>
      <c r="L16" s="15">
        <f>IFERROR(L2/K2-1,"")</f>
        <v>0.19752074582522283</v>
      </c>
      <c r="M16" s="15">
        <f>IFERROR(M2/L2-1,"")</f>
        <v>-0.015227992129352441</v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>0.5232558139534884</v>
      </c>
      <c r="D17" s="15">
        <f>IFERROR(D4/D2,"")</f>
        <v>0.6338028169014085</v>
      </c>
      <c r="E17" s="15">
        <f>IFERROR(E4/E2,"")</f>
        <v>0.7982114193992204</v>
      </c>
      <c r="F17" s="15">
        <f>IFERROR(F4/F2,"")</f>
        <v>0.3736413043478261</v>
      </c>
      <c r="G17" s="15">
        <f>IFERROR(G4/G2,"")</f>
        <v>0.3392207792207793</v>
      </c>
      <c r="H17" s="15">
        <f>IFERROR(H4/H2,"")</f>
        <v>0.6505061267980821</v>
      </c>
      <c r="I17" s="15">
        <f>IFERROR(I4/I2,"")</f>
        <v>0.46182237600922715</v>
      </c>
      <c r="J17" s="15">
        <f>IFERROR(J4/J2,"")</f>
        <v>0.8311308129809301</v>
      </c>
      <c r="K17" s="15">
        <f>IFERROR(K4/K2,"")</f>
        <v>0.791312365536318</v>
      </c>
      <c r="L17" s="15">
        <f>IFERROR(L4/L2,"")</f>
        <v>0.8327487381298657</v>
      </c>
      <c r="M17" s="15">
        <f>IFERROR(M4/M2,"")</f>
        <v>0.672139692468074</v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>-48.236434108527135</v>
      </c>
      <c r="D18" s="15">
        <f>IFERROR(D8/D2,"")</f>
        <v>-95.67605633802818</v>
      </c>
      <c r="E18" s="15">
        <f>IFERROR(E8/E2,"")</f>
        <v>-7.852786058243521</v>
      </c>
      <c r="F18" s="15">
        <f>IFERROR(F8/F2,"")</f>
        <v>-6.9802989130434785</v>
      </c>
      <c r="G18" s="15">
        <f>IFERROR(G8/G2,"")</f>
        <v>-5.012640692640693</v>
      </c>
      <c r="H18" s="15">
        <f>IFERROR(H8/H2,"")</f>
        <v>-2.839318060735215</v>
      </c>
      <c r="I18" s="15">
        <f>IFERROR(I8/I2,"")</f>
        <v>-9.390542099192619</v>
      </c>
      <c r="J18" s="15">
        <f>IFERROR(J8/J2,"")</f>
        <v>-2.87847106055537</v>
      </c>
      <c r="K18" s="15">
        <f>IFERROR(K8/K2,"")</f>
        <v>-3.5130621862514095</v>
      </c>
      <c r="L18" s="15">
        <f>IFERROR(L8/L2,"")</f>
        <v>-2.637608007528445</v>
      </c>
      <c r="M18" s="15">
        <f>IFERROR(M8/M2,"")</f>
        <v>-3.988185214142993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  <c r="M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2026-10-21T01:06:28Z</dcterms:modified>
  <cp:lastModifiedBy>Wang, Eric</cp:lastModifiedBy>
</cp:coreProperties>
</file>