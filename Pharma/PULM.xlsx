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Pulmatrix Inc</t>
        </is>
      </c>
      <c r="C2" s="10" t="n"/>
    </row>
    <row r="3">
      <c r="B3" t="inlineStr">
        <is>
          <t>Price</t>
        </is>
      </c>
      <c r="C3" s="11">
        <f>INDEX([1]Pharma!$F$1:$F$1000,MATCH("PULM",[1]Pharma!$B$1:$B$1000,0))</f>
        <v>1.43</v>
      </c>
      <c r="F3" s="1" t="n"/>
    </row>
    <row r="4">
      <c r="B4" t="inlineStr">
        <is>
          <t>Shares</t>
        </is>
      </c>
      <c r="C4" s="21" t="n">
        <v>3.652285</v>
      </c>
      <c r="F4" s="1" t="n"/>
    </row>
    <row r="5">
      <c r="B5" t="inlineStr">
        <is>
          <t>Market Cap.</t>
        </is>
      </c>
      <c r="C5" s="13">
        <f>C3*C4</f>
        <v>5.2227675499999995</v>
      </c>
      <c r="F5" s="1" t="n"/>
    </row>
    <row r="6"/>
    <row r="7">
      <c r="B7" t="inlineStr">
        <is>
          <t>Cash</t>
        </is>
      </c>
      <c r="C7" s="21" t="n">
        <v>2.168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3.0547675499999993</v>
      </c>
    </row>
    <row r="10"/>
    <row r="11">
      <c r="B11" s="14" t="inlineStr">
        <is>
          <t>Net Cash / Share</t>
        </is>
      </c>
      <c r="C11" s="11">
        <f>(C7-C8)/C4</f>
        <v>0.5936009922555332</v>
      </c>
    </row>
    <row r="12">
      <c r="B12" s="14" t="inlineStr">
        <is>
          <t>Upside</t>
        </is>
      </c>
      <c r="C12" s="15">
        <f>IFERROR(C11/C3-1,"")</f>
        <v>-0.5848944110101166</v>
      </c>
    </row>
    <row r="13">
      <c r="B13" s="14" t="inlineStr">
        <is>
          <t>Cash / Share</t>
        </is>
      </c>
      <c r="C13" s="11">
        <f>IFERROR((C7-C8)/C4,"")</f>
        <v>0.5936009922555332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-3.91</v>
      </c>
    </row>
    <row r="18">
      <c r="B18" s="14" t="inlineStr">
        <is>
          <t>Runway (years)</t>
        </is>
      </c>
      <c r="C18" s="22">
        <f>IF(AND(ISNUMBER(C17),C17&lt;0),IF(C7&gt;C8,(C7-C8)/-C17,"net debt"),"n/a")</f>
        <v>0.5544757033248082</v>
      </c>
    </row>
    <row r="19">
      <c r="B19" s="14" t="inlineStr">
        <is>
          <t>Implied Pipeline Value</t>
        </is>
      </c>
      <c r="C19" s="13">
        <f>C9</f>
        <v>3.0547675499999993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2014</v>
      </c>
      <c r="C1" s="17" t="n">
        <v>2015</v>
      </c>
      <c r="D1" s="17" t="n">
        <v>2016</v>
      </c>
      <c r="E1" s="17" t="n">
        <v>2017</v>
      </c>
      <c r="F1" s="17" t="n">
        <v>2018</v>
      </c>
      <c r="G1" s="17" t="n">
        <v>2019</v>
      </c>
      <c r="H1" s="17" t="n">
        <v>2020</v>
      </c>
      <c r="I1" s="17" t="n">
        <v>2021</v>
      </c>
      <c r="J1" s="17" t="n">
        <v>2022</v>
      </c>
      <c r="K1" s="17" t="n">
        <v>2023</v>
      </c>
      <c r="L1" s="17" t="n">
        <v>2024</v>
      </c>
      <c r="M1" s="17" t="n">
        <v>2025</v>
      </c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0.352</v>
      </c>
      <c r="C2" s="23" t="n">
        <v>1.201</v>
      </c>
      <c r="D2" s="23" t="n">
        <v>0.835</v>
      </c>
      <c r="E2" s="23" t="n">
        <v>0.335</v>
      </c>
      <c r="F2" s="23" t="n">
        <v>0.153</v>
      </c>
      <c r="G2" s="23" t="n">
        <v>7.91</v>
      </c>
      <c r="H2" s="23" t="n">
        <v>12.634</v>
      </c>
      <c r="I2" s="23" t="n">
        <v>5.169</v>
      </c>
      <c r="J2" s="23" t="n">
        <v>6.071</v>
      </c>
      <c r="K2" s="23" t="n">
        <v>7.298</v>
      </c>
      <c r="L2" s="23" t="n">
        <v>7.806</v>
      </c>
      <c r="M2" s="23" t="n">
        <v>0</v>
      </c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0</v>
      </c>
      <c r="J3" s="23" t="n">
        <v>0</v>
      </c>
      <c r="K3" s="23" t="n">
        <v>0</v>
      </c>
      <c r="L3" s="23" t="n">
        <v>0</v>
      </c>
      <c r="M3" s="23" t="n">
        <v>0</v>
      </c>
    </row>
    <row r="4" customFormat="1" s="1">
      <c r="A4" s="5" t="inlineStr">
        <is>
          <t>Gross Margin</t>
        </is>
      </c>
      <c r="B4" s="23">
        <f>B2-B3</f>
        <v>0.352</v>
      </c>
      <c r="C4" s="23">
        <f>C2-C3</f>
        <v>1.201</v>
      </c>
      <c r="D4" s="23">
        <f>D2-D3</f>
        <v>0.835</v>
      </c>
      <c r="E4" s="23">
        <f>E2-E3</f>
        <v>0.335</v>
      </c>
      <c r="F4" s="23">
        <f>F2-F3</f>
        <v>0.153</v>
      </c>
      <c r="G4" s="23">
        <f>G2-G3</f>
        <v>7.91</v>
      </c>
      <c r="H4" s="23">
        <f>H2-H3</f>
        <v>12.634</v>
      </c>
      <c r="I4" s="23">
        <f>I2-I3</f>
        <v>5.169</v>
      </c>
      <c r="J4" s="23">
        <f>J2-J3</f>
        <v>6.071</v>
      </c>
      <c r="K4" s="23">
        <f>K2-K3</f>
        <v>7.298</v>
      </c>
      <c r="L4" s="23">
        <f>L2-L3</f>
        <v>7.806</v>
      </c>
      <c r="M4" s="23">
        <f>M2-M3</f>
        <v>0.0</v>
      </c>
    </row>
    <row r="5">
      <c r="A5" s="2" t="inlineStr">
        <is>
          <t>Research &amp; Dev.</t>
        </is>
      </c>
      <c r="B5" s="23" t="n">
        <v>6.59</v>
      </c>
      <c r="C5" s="23" t="n">
        <v>7.187</v>
      </c>
      <c r="D5" s="23" t="n">
        <v>10.152</v>
      </c>
      <c r="E5" s="23" t="n">
        <v>10.243</v>
      </c>
      <c r="F5" s="23" t="n">
        <v>12.966</v>
      </c>
      <c r="G5" s="23" t="n">
        <v>12.845</v>
      </c>
      <c r="H5" s="23" t="n">
        <v>15.609</v>
      </c>
      <c r="I5" s="23" t="n">
        <v>15.382</v>
      </c>
      <c r="J5" s="23" t="n">
        <v>18.24</v>
      </c>
      <c r="K5" s="23" t="n">
        <v>15.518</v>
      </c>
      <c r="L5" s="23" t="n">
        <v>7.166</v>
      </c>
      <c r="M5" s="23" t="n">
        <v>0.038</v>
      </c>
    </row>
    <row r="6">
      <c r="A6" s="19" t="inlineStr">
        <is>
          <t>SG&amp;A &amp; Other</t>
        </is>
      </c>
      <c r="B6" s="23" t="n">
        <v>2.838</v>
      </c>
      <c r="C6" s="23" t="n">
        <v>17.032</v>
      </c>
      <c r="D6" s="23" t="n">
        <v>15.549</v>
      </c>
      <c r="E6" s="23" t="n">
        <v>7.567</v>
      </c>
      <c r="F6" s="23" t="n">
        <v>7.587</v>
      </c>
      <c r="G6" s="23" t="n">
        <v>15.757</v>
      </c>
      <c r="H6" s="23" t="n">
        <v>6.887</v>
      </c>
      <c r="I6" s="23" t="n">
        <v>9.954000000000001</v>
      </c>
      <c r="J6" s="23" t="n">
        <v>6.778</v>
      </c>
      <c r="K6" s="23" t="n">
        <v>6.52</v>
      </c>
      <c r="L6" s="23" t="n">
        <v>10.403</v>
      </c>
      <c r="M6" s="23" t="n">
        <v>5.131</v>
      </c>
    </row>
    <row r="7">
      <c r="A7" s="2" t="inlineStr">
        <is>
          <t>Operating Expense</t>
        </is>
      </c>
      <c r="B7" s="23">
        <f>SUM(B5:B6)</f>
        <v>9.428</v>
      </c>
      <c r="C7" s="23">
        <f>SUM(C5:C6)</f>
        <v>24.219</v>
      </c>
      <c r="D7" s="23">
        <f>SUM(D5:D6)</f>
        <v>25.701</v>
      </c>
      <c r="E7" s="23">
        <f>SUM(E5:E6)</f>
        <v>17.810000000000002</v>
      </c>
      <c r="F7" s="23">
        <f>SUM(F5:F6)</f>
        <v>20.552999999999997</v>
      </c>
      <c r="G7" s="23">
        <f>SUM(G5:G6)</f>
        <v>28.602</v>
      </c>
      <c r="H7" s="23">
        <f>SUM(H5:H6)</f>
        <v>22.496</v>
      </c>
      <c r="I7" s="23">
        <f>SUM(I5:I6)</f>
        <v>25.336</v>
      </c>
      <c r="J7" s="23">
        <f>SUM(J5:J6)</f>
        <v>25.017999999999997</v>
      </c>
      <c r="K7" s="23">
        <f>SUM(K5:K6)</f>
        <v>22.038</v>
      </c>
      <c r="L7" s="23">
        <f>SUM(L5:L6)</f>
        <v>17.569000000000003</v>
      </c>
      <c r="M7" s="23">
        <f>SUM(M5:M6)</f>
        <v>5.1690000000000005</v>
      </c>
    </row>
    <row r="8">
      <c r="A8" s="2" t="inlineStr">
        <is>
          <t>Operating Income</t>
        </is>
      </c>
      <c r="B8" s="23">
        <f>B4-B7</f>
        <v>-9.076</v>
      </c>
      <c r="C8" s="23">
        <f>C4-C7</f>
        <v>-23.018</v>
      </c>
      <c r="D8" s="23">
        <f>D4-D7</f>
        <v>-24.866</v>
      </c>
      <c r="E8" s="23">
        <f>E4-E7</f>
        <v>-17.475</v>
      </c>
      <c r="F8" s="23">
        <f>F4-F7</f>
        <v>-20.4</v>
      </c>
      <c r="G8" s="23">
        <f>G4-G7</f>
        <v>-20.692</v>
      </c>
      <c r="H8" s="23">
        <f>H4-H7</f>
        <v>-9.861999999999998</v>
      </c>
      <c r="I8" s="23">
        <f>I4-I7</f>
        <v>-20.166999999999998</v>
      </c>
      <c r="J8" s="23">
        <f>J4-J7</f>
        <v>-18.946999999999996</v>
      </c>
      <c r="K8" s="23">
        <f>K4-K7</f>
        <v>-14.74</v>
      </c>
      <c r="L8" s="23">
        <f>L4-L7</f>
        <v>-9.763000000000002</v>
      </c>
      <c r="M8" s="23">
        <f>M4-M7</f>
        <v>-5.1690000000000005</v>
      </c>
    </row>
    <row r="9">
      <c r="A9" s="19" t="inlineStr">
        <is>
          <t>Interest &amp; Other</t>
        </is>
      </c>
      <c r="B9" s="23" t="n">
        <v>-15.068</v>
      </c>
      <c r="C9" s="23" t="n">
        <v>-3.149</v>
      </c>
      <c r="D9" s="23" t="n">
        <v>-5.936</v>
      </c>
      <c r="E9" s="23" t="n">
        <v>-0.581</v>
      </c>
      <c r="F9" s="23" t="n">
        <v>-0.163</v>
      </c>
      <c r="G9" s="23" t="n">
        <v>0.096</v>
      </c>
      <c r="H9" s="23" t="n">
        <v>-9.446</v>
      </c>
      <c r="I9" s="23" t="n">
        <v>-0.004</v>
      </c>
      <c r="J9" s="23" t="n">
        <v>0.111</v>
      </c>
      <c r="K9" s="23" t="n">
        <v>0.619</v>
      </c>
      <c r="L9" s="23" t="n">
        <v>0.204</v>
      </c>
      <c r="M9" s="23" t="n">
        <v>0.007</v>
      </c>
    </row>
    <row r="10">
      <c r="A10" s="2" t="inlineStr">
        <is>
          <t>Pretax</t>
        </is>
      </c>
      <c r="B10" s="23">
        <f>B8+B9</f>
        <v>-24.144</v>
      </c>
      <c r="C10" s="23">
        <f>C8+C9</f>
        <v>-26.167</v>
      </c>
      <c r="D10" s="23">
        <f>D8+D9</f>
        <v>-30.802</v>
      </c>
      <c r="E10" s="23">
        <f>E8+E9</f>
        <v>-18.056</v>
      </c>
      <c r="F10" s="23">
        <f>F8+F9</f>
        <v>-20.563</v>
      </c>
      <c r="G10" s="23">
        <f>G8+G9</f>
        <v>-20.596</v>
      </c>
      <c r="H10" s="23">
        <f>H8+H9</f>
        <v>-19.308</v>
      </c>
      <c r="I10" s="23">
        <f>I8+I9</f>
        <v>-20.171</v>
      </c>
      <c r="J10" s="23">
        <f>J8+J9</f>
        <v>-18.835999999999995</v>
      </c>
      <c r="K10" s="23">
        <f>K8+K9</f>
        <v>-14.121</v>
      </c>
      <c r="L10" s="23">
        <f>L8+L9</f>
        <v>-9.559000000000001</v>
      </c>
      <c r="M10" s="23">
        <f>M8+M9</f>
        <v>-5.162000000000001</v>
      </c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-2.959</v>
      </c>
      <c r="E11" s="23" t="n">
        <v>0</v>
      </c>
      <c r="F11" s="23" t="n">
        <v>0</v>
      </c>
      <c r="G11" s="23" t="n">
        <v>0</v>
      </c>
      <c r="H11" s="23" t="n">
        <v>0</v>
      </c>
      <c r="I11" s="23" t="n">
        <v>0</v>
      </c>
      <c r="J11" s="23" t="n">
        <v>0</v>
      </c>
      <c r="K11" s="23" t="n">
        <v>0</v>
      </c>
      <c r="L11" s="23" t="n">
        <v>0</v>
      </c>
      <c r="M11" s="23" t="n">
        <v>0</v>
      </c>
    </row>
    <row r="12">
      <c r="A12" s="2" t="inlineStr">
        <is>
          <t>Net Income</t>
        </is>
      </c>
      <c r="B12" s="23" t="n">
        <v>-24.144</v>
      </c>
      <c r="C12" s="23" t="n">
        <v>-26.167</v>
      </c>
      <c r="D12" s="23" t="n">
        <v>-27.843</v>
      </c>
      <c r="E12" s="23" t="n">
        <v>-18.056</v>
      </c>
      <c r="F12" s="23" t="n">
        <v>-20.563</v>
      </c>
      <c r="G12" s="23" t="n">
        <v>-20.596</v>
      </c>
      <c r="H12" s="23" t="n">
        <v>-19.308</v>
      </c>
      <c r="I12" s="23" t="n">
        <v>-20.171</v>
      </c>
      <c r="J12" s="23" t="n">
        <v>-18.836</v>
      </c>
      <c r="K12" s="23" t="n">
        <v>-14.121</v>
      </c>
      <c r="L12" s="23" t="n">
        <v>-9.558999999999999</v>
      </c>
      <c r="M12" s="23" t="n">
        <v>-5.162</v>
      </c>
    </row>
    <row r="13">
      <c r="A13" s="2" t="inlineStr">
        <is>
          <t>Earnings per Share</t>
        </is>
      </c>
      <c r="B13" s="11">
        <f>IFERROR(B12/B14,0)</f>
        <v>-0.7508396566737157</v>
      </c>
      <c r="C13" s="11">
        <f>IFERROR(C12/C14,0)</f>
        <v>-0.8086217552533993</v>
      </c>
      <c r="D13" s="11">
        <f>IFERROR(D12/D14,0)</f>
        <v>-0.4698368235433084</v>
      </c>
      <c r="E13" s="11">
        <f>IFERROR(E12/E14,0)</f>
        <v>-2.330107110594916</v>
      </c>
      <c r="F13" s="11">
        <f>IFERROR(F12/F14,0)</f>
        <v>-1.2457894099115472</v>
      </c>
      <c r="G13" s="11">
        <f>IFERROR(G12/G14,0)</f>
        <v>-1.2307876180231863</v>
      </c>
      <c r="H13" s="11">
        <f>IFERROR(H12/H14,0)</f>
        <v>-13.426981919332407</v>
      </c>
      <c r="I13" s="11">
        <f>IFERROR(I12/I14,0)</f>
        <v>-7.445921004060539</v>
      </c>
      <c r="J13" s="11">
        <f>IFERROR(J12/J14,0)</f>
        <v>-5.462877030162413</v>
      </c>
      <c r="K13" s="11">
        <f>IFERROR(K12/K14,0)</f>
        <v>-3.866648411829135</v>
      </c>
      <c r="L13" s="11">
        <f>IFERROR(L12/L14,0)</f>
        <v>-2.617469879518072</v>
      </c>
      <c r="M13" s="11">
        <f>IFERROR(M12/M14,0)</f>
        <v>-1.4134720700985761</v>
      </c>
    </row>
    <row r="14">
      <c r="A14" s="2" t="inlineStr">
        <is>
          <t>Shares</t>
        </is>
      </c>
      <c r="B14" s="23" t="n">
        <v>32.156</v>
      </c>
      <c r="C14" s="23" t="n">
        <v>32.36</v>
      </c>
      <c r="D14" s="23" t="n">
        <v>59.261</v>
      </c>
      <c r="E14" s="23" t="n">
        <v>7.749</v>
      </c>
      <c r="F14" s="23" t="n">
        <v>16.506</v>
      </c>
      <c r="G14" s="23" t="n">
        <v>16.734</v>
      </c>
      <c r="H14" s="23" t="n">
        <v>1.438</v>
      </c>
      <c r="I14" s="23" t="n">
        <v>2.709</v>
      </c>
      <c r="J14" s="23" t="n">
        <v>3.448</v>
      </c>
      <c r="K14" s="23" t="n">
        <v>3.652</v>
      </c>
      <c r="L14" s="23" t="n">
        <v>3.652</v>
      </c>
      <c r="M14" s="23" t="n">
        <v>3.652</v>
      </c>
    </row>
    <row r="15"/>
    <row r="16" customFormat="1" s="4">
      <c r="A16" s="3" t="inlineStr">
        <is>
          <t>Revenue Change</t>
        </is>
      </c>
      <c r="C16" s="15">
        <f>IFERROR(C2/B2-1,"")</f>
        <v>2.411931818181819</v>
      </c>
      <c r="D16" s="15">
        <f>IFERROR(D2/C2-1,"")</f>
        <v>-0.3047460449625313</v>
      </c>
      <c r="E16" s="15">
        <f>IFERROR(E2/D2-1,"")</f>
        <v>-0.5988023952095808</v>
      </c>
      <c r="F16" s="15">
        <f>IFERROR(F2/E2-1,"")</f>
        <v>-0.5432835820895523</v>
      </c>
      <c r="G16" s="15">
        <f>IFERROR(G2/F2-1,"")</f>
        <v>50.69934640522876</v>
      </c>
      <c r="H16" s="15">
        <f>IFERROR(H2/G2-1,"")</f>
        <v>0.5972187104930469</v>
      </c>
      <c r="I16" s="15">
        <f>IFERROR(I2/H2-1,"")</f>
        <v>-0.5908659173658383</v>
      </c>
      <c r="J16" s="15">
        <f>IFERROR(J2/I2-1,"")</f>
        <v>0.17450183787966722</v>
      </c>
      <c r="K16" s="15">
        <f>IFERROR(K2/J2-1,"")</f>
        <v>0.2021083841212321</v>
      </c>
      <c r="L16" s="15">
        <f>IFERROR(L2/K2-1,"")</f>
        <v>0.0696081118114551</v>
      </c>
      <c r="M16" s="15">
        <f>IFERROR(M2/L2-1,"")</f>
        <v>-1.0</v>
      </c>
    </row>
    <row r="17" customFormat="1" s="4">
      <c r="A17" s="3" t="inlineStr">
        <is>
          <t>Gross Margin</t>
        </is>
      </c>
      <c r="B17" s="15">
        <f>IFERROR(B4/B2,"")</f>
        <v>1.0</v>
      </c>
      <c r="C17" s="15">
        <f>IFERROR(C4/C2,"")</f>
        <v>1.0</v>
      </c>
      <c r="D17" s="15">
        <f>IFERROR(D4/D2,"")</f>
        <v>1.0</v>
      </c>
      <c r="E17" s="15">
        <f>IFERROR(E4/E2,"")</f>
        <v>1.0</v>
      </c>
      <c r="F17" s="15">
        <f>IFERROR(F4/F2,"")</f>
        <v>1.0</v>
      </c>
      <c r="G17" s="15">
        <f>IFERROR(G4/G2,"")</f>
        <v>1.0</v>
      </c>
      <c r="H17" s="15">
        <f>IFERROR(H4/H2,"")</f>
        <v>1.0</v>
      </c>
      <c r="I17" s="15">
        <f>IFERROR(I4/I2,"")</f>
        <v>1.0</v>
      </c>
      <c r="J17" s="15">
        <f>IFERROR(J4/J2,"")</f>
        <v>1.0</v>
      </c>
      <c r="K17" s="15">
        <f>IFERROR(K4/K2,"")</f>
        <v>1.0</v>
      </c>
      <c r="L17" s="15">
        <f>IFERROR(L4/L2,"")</f>
        <v>1.0</v>
      </c>
      <c r="M17" s="15">
        <f>IFERROR(M4/M2,"")</f>
        <v/>
      </c>
    </row>
    <row r="18">
      <c r="A18" s="14" t="inlineStr">
        <is>
          <t>Operating Margin</t>
        </is>
      </c>
      <c r="B18" s="15">
        <f>IFERROR(B8/B2,"")</f>
        <v>-25.784090909090914</v>
      </c>
      <c r="C18" s="15">
        <f>IFERROR(C8/C2,"")</f>
        <v>-19.165695253955036</v>
      </c>
      <c r="D18" s="15">
        <f>IFERROR(D8/D2,"")</f>
        <v>-29.779640718562874</v>
      </c>
      <c r="E18" s="15">
        <f>IFERROR(E8/E2,"")</f>
        <v>-52.16417910447761</v>
      </c>
      <c r="F18" s="15">
        <f>IFERROR(F8/F2,"")</f>
        <v>-133.33333333333331</v>
      </c>
      <c r="G18" s="15">
        <f>IFERROR(G8/G2,"")</f>
        <v>-2.615929203539823</v>
      </c>
      <c r="H18" s="15">
        <f>IFERROR(H8/H2,"")</f>
        <v>-0.7805920531898052</v>
      </c>
      <c r="I18" s="15">
        <f>IFERROR(I8/I2,"")</f>
        <v>-3.901528342039079</v>
      </c>
      <c r="J18" s="15">
        <f>IFERROR(J8/J2,"")</f>
        <v>-3.120902651951902</v>
      </c>
      <c r="K18" s="15">
        <f>IFERROR(K8/K2,"")</f>
        <v>-2.019731433269389</v>
      </c>
      <c r="L18" s="15">
        <f>IFERROR(L8/L2,"")</f>
        <v>-1.2507045862157318</v>
      </c>
      <c r="M18" s="15">
        <f>IFERROR(M8/M2,"")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  <c r="L19" s="20" t="inlineStr">
        <is>
          <t>A</t>
        </is>
      </c>
      <c r="M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2026-10-21T06:31:26Z</dcterms:modified>
  <cp:lastModifiedBy>Wang, Eric</cp:lastModifiedBy>
</cp:coreProperties>
</file>