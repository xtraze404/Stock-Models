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Spyre Therapeutics Inc</t>
        </is>
      </c>
      <c r="C2" s="10" t="n"/>
    </row>
    <row r="3">
      <c r="B3" t="inlineStr">
        <is>
          <t>Price</t>
        </is>
      </c>
      <c r="C3" s="11">
        <f>INDEX([1]Pharma!$F$1:$F$1000,MATCH("SYRE",[1]Pharma!$B$1:$B$1000,0))</f>
        <v>91.4</v>
      </c>
      <c r="F3" s="1" t="n"/>
    </row>
    <row r="4">
      <c r="B4" t="inlineStr">
        <is>
          <t>Shares</t>
        </is>
      </c>
      <c r="C4" s="21" t="n">
        <v>88.173762</v>
      </c>
      <c r="F4" s="1" t="n"/>
    </row>
    <row r="5">
      <c r="B5" t="inlineStr">
        <is>
          <t>Market Cap.</t>
        </is>
      </c>
      <c r="C5" s="13">
        <f>C3*C4</f>
        <v>8059.0818468</v>
      </c>
      <c r="F5" s="1" t="n"/>
    </row>
    <row r="6"/>
    <row r="7">
      <c r="B7" t="inlineStr">
        <is>
          <t>Cash</t>
        </is>
      </c>
      <c r="C7" s="21">
        <f>162.007+983.339</f>
        <v>1145.346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6913.7358468</v>
      </c>
    </row>
    <row r="10"/>
    <row r="11">
      <c r="B11" s="14" t="inlineStr">
        <is>
          <t>rNPV / Share</t>
        </is>
      </c>
      <c r="C11" s="11">
        <f>NPV!B27</f>
        <v>19.508076889165785</v>
      </c>
    </row>
    <row r="12">
      <c r="B12" s="14" t="inlineStr">
        <is>
          <t>Upside</t>
        </is>
      </c>
      <c r="C12" s="15">
        <f>IFERROR(C11/C3-1,"")</f>
        <v>-0.7865637101841818</v>
      </c>
    </row>
    <row r="13">
      <c r="B13" s="14" t="inlineStr">
        <is>
          <t>Cash / Share</t>
        </is>
      </c>
      <c r="C13" s="11">
        <f>IFERROR((C7-C8)/C4,"")</f>
        <v>12.98964651185009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-208.944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5.481593154146566</v>
      </c>
    </row>
    <row r="19">
      <c r="B19" s="14" t="inlineStr">
        <is>
          <t>Implied Pipeline Value</t>
        </is>
      </c>
      <c r="C19" s="13">
        <f>C9</f>
        <v>6913.7358468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4.628</v>
      </c>
      <c r="E2" s="23" t="n">
        <v>5.205</v>
      </c>
      <c r="F2" s="23" t="n">
        <v>3.888</v>
      </c>
      <c r="G2" s="23" t="n">
        <v>0</v>
      </c>
      <c r="H2" s="23" t="n">
        <v>0</v>
      </c>
      <c r="I2" s="23" t="n">
        <v>18.739</v>
      </c>
      <c r="J2" s="23" t="n">
        <v>2.329</v>
      </c>
      <c r="K2" s="23" t="n">
        <v>0.886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4.628</v>
      </c>
      <c r="E4" s="23">
        <f>E2-E3</f>
        <v>5.205</v>
      </c>
      <c r="F4" s="23">
        <f>F2-F3</f>
        <v>3.888</v>
      </c>
      <c r="G4" s="23">
        <f>G2-G3</f>
        <v>0.0</v>
      </c>
      <c r="H4" s="23">
        <f>H2-H3</f>
        <v>0.0</v>
      </c>
      <c r="I4" s="23">
        <f>I2-I3</f>
        <v>18.739</v>
      </c>
      <c r="J4" s="23">
        <f>J2-J3</f>
        <v>2.329</v>
      </c>
      <c r="K4" s="23">
        <f>K2-K3</f>
        <v>0.886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6.83</v>
      </c>
      <c r="C5" s="23" t="n">
        <v>11.453</v>
      </c>
      <c r="D5" s="23" t="n">
        <v>18.143</v>
      </c>
      <c r="E5" s="23" t="n">
        <v>22.815</v>
      </c>
      <c r="F5" s="23" t="n">
        <v>36.719</v>
      </c>
      <c r="G5" s="23" t="n">
        <v>64.59999999999999</v>
      </c>
      <c r="H5" s="23" t="n">
        <v>59.638</v>
      </c>
      <c r="I5" s="23" t="n">
        <v>57.069</v>
      </c>
      <c r="J5" s="23" t="n">
        <v>58.579</v>
      </c>
      <c r="K5" s="23" t="n">
        <v>89.504</v>
      </c>
      <c r="L5" s="23" t="n">
        <v>162.79</v>
      </c>
      <c r="M5" s="23" t="n">
        <v>171.653</v>
      </c>
    </row>
    <row r="6">
      <c r="A6" s="19" t="inlineStr">
        <is>
          <t>SG&amp;A &amp; Other</t>
        </is>
      </c>
      <c r="B6" s="23" t="n">
        <v>2.074</v>
      </c>
      <c r="C6" s="23" t="n">
        <v>-0.138</v>
      </c>
      <c r="D6" s="23" t="n">
        <v>8.391</v>
      </c>
      <c r="E6" s="23" t="n">
        <v>10.066</v>
      </c>
      <c r="F6" s="23" t="n">
        <v>12.632</v>
      </c>
      <c r="G6" s="23" t="n">
        <v>15.734</v>
      </c>
      <c r="H6" s="23" t="n">
        <v>21.843</v>
      </c>
      <c r="I6" s="23" t="n">
        <v>27.319</v>
      </c>
      <c r="J6" s="23" t="n">
        <v>28.531</v>
      </c>
      <c r="K6" s="23" t="n">
        <v>153.685</v>
      </c>
      <c r="L6" s="23" t="n">
        <v>45.776</v>
      </c>
      <c r="M6" s="23" t="n">
        <v>37.909</v>
      </c>
    </row>
    <row r="7">
      <c r="A7" s="2" t="inlineStr">
        <is>
          <t>Operating Expense</t>
        </is>
      </c>
      <c r="B7" s="23">
        <f>SUM(B5:B6)</f>
        <v>8.904</v>
      </c>
      <c r="C7" s="23">
        <f>SUM(C5:C6)</f>
        <v>11.315</v>
      </c>
      <c r="D7" s="23">
        <f>SUM(D5:D6)</f>
        <v>26.534</v>
      </c>
      <c r="E7" s="23">
        <f>SUM(E5:E6)</f>
        <v>32.881</v>
      </c>
      <c r="F7" s="23">
        <f>SUM(F5:F6)</f>
        <v>49.351</v>
      </c>
      <c r="G7" s="23">
        <f>SUM(G5:G6)</f>
        <v>80.33399999999999</v>
      </c>
      <c r="H7" s="23">
        <f>SUM(H5:H6)</f>
        <v>81.481</v>
      </c>
      <c r="I7" s="23">
        <f>SUM(I5:I6)</f>
        <v>84.388</v>
      </c>
      <c r="J7" s="23">
        <f>SUM(J5:J6)</f>
        <v>87.11</v>
      </c>
      <c r="K7" s="23">
        <f>SUM(K5:K6)</f>
        <v>243.18900000000002</v>
      </c>
      <c r="L7" s="23">
        <f>SUM(L5:L6)</f>
        <v>208.566</v>
      </c>
      <c r="M7" s="23">
        <f>SUM(M5:M6)</f>
        <v>209.56199999999998</v>
      </c>
    </row>
    <row r="8">
      <c r="A8" s="2" t="inlineStr">
        <is>
          <t>Operating Income</t>
        </is>
      </c>
      <c r="B8" s="23">
        <f>B4-B7</f>
        <v>-8.904</v>
      </c>
      <c r="C8" s="23">
        <f>C4-C7</f>
        <v>-11.315</v>
      </c>
      <c r="D8" s="23">
        <f>D4-D7</f>
        <v>-21.906</v>
      </c>
      <c r="E8" s="23">
        <f>E4-E7</f>
        <v>-27.676000000000002</v>
      </c>
      <c r="F8" s="23">
        <f>F4-F7</f>
        <v>-45.463</v>
      </c>
      <c r="G8" s="23">
        <f>G4-G7</f>
        <v>-80.33399999999999</v>
      </c>
      <c r="H8" s="23">
        <f>H4-H7</f>
        <v>-81.481</v>
      </c>
      <c r="I8" s="23">
        <f>I4-I7</f>
        <v>-65.649</v>
      </c>
      <c r="J8" s="23">
        <f>J4-J7</f>
        <v>-84.781</v>
      </c>
      <c r="K8" s="23">
        <f>K4-K7</f>
        <v>-242.30300000000003</v>
      </c>
      <c r="L8" s="23">
        <f>L4-L7</f>
        <v>-208.566</v>
      </c>
      <c r="M8" s="23">
        <f>M4-M7</f>
        <v>-209.56199999999998</v>
      </c>
    </row>
    <row r="9">
      <c r="A9" s="19" t="inlineStr">
        <is>
          <t>Interest &amp; Other</t>
        </is>
      </c>
      <c r="B9" s="23" t="n">
        <v>-1.443</v>
      </c>
      <c r="C9" s="23" t="n">
        <v>0.02</v>
      </c>
      <c r="D9" s="23" t="n">
        <v>0.208</v>
      </c>
      <c r="E9" s="23" t="n">
        <v>0.44</v>
      </c>
      <c r="F9" s="23" t="n">
        <v>1.115</v>
      </c>
      <c r="G9" s="23" t="n">
        <v>2.08</v>
      </c>
      <c r="H9" s="23" t="n">
        <v>0.588</v>
      </c>
      <c r="I9" s="23" t="n">
        <v>-0.011</v>
      </c>
      <c r="J9" s="23" t="n">
        <v>0.83</v>
      </c>
      <c r="K9" s="23" t="n">
        <v>-96.51300000000001</v>
      </c>
      <c r="L9" s="23" t="n">
        <v>0.599</v>
      </c>
      <c r="M9" s="23" t="n">
        <v>54.347</v>
      </c>
    </row>
    <row r="10">
      <c r="A10" s="2" t="inlineStr">
        <is>
          <t>Pretax</t>
        </is>
      </c>
      <c r="B10" s="23">
        <f>B8+B9</f>
        <v>-10.347</v>
      </c>
      <c r="C10" s="23">
        <f>C8+C9</f>
        <v>-11.295</v>
      </c>
      <c r="D10" s="23">
        <f>D8+D9</f>
        <v>-21.698</v>
      </c>
      <c r="E10" s="23">
        <f>E8+E9</f>
        <v>-27.236</v>
      </c>
      <c r="F10" s="23">
        <f>F8+F9</f>
        <v>-44.348</v>
      </c>
      <c r="G10" s="23">
        <f>G8+G9</f>
        <v>-78.25399999999999</v>
      </c>
      <c r="H10" s="23">
        <f>H8+H9</f>
        <v>-80.893</v>
      </c>
      <c r="I10" s="23">
        <f>I8+I9</f>
        <v>-65.66</v>
      </c>
      <c r="J10" s="23">
        <f>J8+J9</f>
        <v>-83.95100000000001</v>
      </c>
      <c r="K10" s="23">
        <f>K8+K9</f>
        <v>-338.81600000000003</v>
      </c>
      <c r="L10" s="23">
        <f>L8+L9</f>
        <v>-207.967</v>
      </c>
      <c r="M10" s="23">
        <f>M8+M9</f>
        <v>-155.21499999999997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0.141</v>
      </c>
      <c r="J11" s="23" t="n">
        <v>-0.136</v>
      </c>
      <c r="K11" s="23" t="n">
        <v>-0.026</v>
      </c>
      <c r="L11" s="23" t="n">
        <v>0.051</v>
      </c>
      <c r="M11" s="23" t="n">
        <v>-0.015</v>
      </c>
    </row>
    <row r="12">
      <c r="A12" s="2" t="inlineStr">
        <is>
          <t>Net Income</t>
        </is>
      </c>
      <c r="B12" s="23" t="n">
        <v>-10.347</v>
      </c>
      <c r="C12" s="23" t="n">
        <v>-11.295</v>
      </c>
      <c r="D12" s="23" t="n">
        <v>-21.698</v>
      </c>
      <c r="E12" s="23" t="n">
        <v>-27.236</v>
      </c>
      <c r="F12" s="23" t="n">
        <v>-44.348</v>
      </c>
      <c r="G12" s="23" t="n">
        <v>-78.254</v>
      </c>
      <c r="H12" s="23" t="n">
        <v>-80.893</v>
      </c>
      <c r="I12" s="23" t="n">
        <v>-65.801</v>
      </c>
      <c r="J12" s="23" t="n">
        <v>-83.815</v>
      </c>
      <c r="K12" s="23" t="n">
        <v>-338.79</v>
      </c>
      <c r="L12" s="23" t="n">
        <v>-208.018</v>
      </c>
      <c r="M12" s="23" t="n">
        <v>-155.2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-376.5</v>
      </c>
      <c r="D13" s="11">
        <f>IFERROR(D12/D14,0)</f>
        <v>-44.28163265306122</v>
      </c>
      <c r="E13" s="11">
        <f>IFERROR(E12/E14,0)</f>
        <v>-36.026455026455025</v>
      </c>
      <c r="F13" s="11">
        <f>IFERROR(F12/F14,0)</f>
        <v>-42.60134486071086</v>
      </c>
      <c r="G13" s="11">
        <f>IFERROR(G12/G14,0)</f>
        <v>-49.000626174076395</v>
      </c>
      <c r="H13" s="11">
        <f>IFERROR(H12/H14,0)</f>
        <v>-30.30835518920944</v>
      </c>
      <c r="I13" s="11">
        <f>IFERROR(I12/I14,0)</f>
        <v>-25.01939163498099</v>
      </c>
      <c r="J13" s="11">
        <f>IFERROR(J12/J14,0)</f>
        <v>-24.863541975674874</v>
      </c>
      <c r="K13" s="11">
        <f>IFERROR(K12/K14,0)</f>
        <v>-49.12135711178774</v>
      </c>
      <c r="L13" s="11">
        <f>IFERROR(L12/L14,0)</f>
        <v>0</v>
      </c>
      <c r="M13" s="11">
        <f>IFERROR(M12/M14,0)</f>
        <v>0</v>
      </c>
    </row>
    <row r="14">
      <c r="A14" s="2" t="inlineStr">
        <is>
          <t>Shares</t>
        </is>
      </c>
      <c r="B14" s="23" t="n"/>
      <c r="C14" s="23" t="n">
        <v>0.03</v>
      </c>
      <c r="D14" s="23" t="n">
        <v>0.49</v>
      </c>
      <c r="E14" s="23" t="n">
        <v>0.756</v>
      </c>
      <c r="F14" s="23" t="n">
        <v>1.041</v>
      </c>
      <c r="G14" s="23" t="n">
        <v>1.597</v>
      </c>
      <c r="H14" s="23" t="n">
        <v>2.669</v>
      </c>
      <c r="I14" s="23" t="n">
        <v>2.63</v>
      </c>
      <c r="J14" s="23" t="n">
        <v>3.371</v>
      </c>
      <c r="K14" s="23" t="n">
        <v>6.897</v>
      </c>
      <c r="L14" s="23" t="n"/>
      <c r="M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0.12467588591184087</v>
      </c>
      <c r="F16" s="15">
        <f>IFERROR(F2/E2-1,"")</f>
        <v>-0.25302593659942363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>-0.8757137520678798</v>
      </c>
      <c r="K16" s="15">
        <f>IFERROR(K2/J2-1,"")</f>
        <v>-0.6195792185487334</v>
      </c>
      <c r="L16" s="15">
        <f>IFERROR(L2/K2-1,"")</f>
        <v>-1.0</v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-4.733362143474503</v>
      </c>
      <c r="E18" s="15">
        <f>IFERROR(E8/E2,"")</f>
        <v>-5.317195004803074</v>
      </c>
      <c r="F18" s="15">
        <f>IFERROR(F8/F2,"")</f>
        <v>-11.693158436213992</v>
      </c>
      <c r="G18" s="15">
        <f>IFERROR(G8/G2,"")</f>
        <v/>
      </c>
      <c r="H18" s="15">
        <f>IFERROR(H8/H2,"")</f>
        <v/>
      </c>
      <c r="I18" s="15">
        <f>IFERROR(I8/I2,"")</f>
        <v>-3.5033352900368215</v>
      </c>
      <c r="J18" s="15">
        <f>IFERROR(J8/J2,"")</f>
        <v>-36.402318591670245</v>
      </c>
      <c r="K18" s="15">
        <f>IFERROR(K8/K2,"")</f>
        <v>-273.47968397291197</v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Spyre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0.4742466580889999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201.34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1125.7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574.7545287030043</v>
      </c>
      <c r="C29" s="42">
        <f>NPV!B25</f>
        <v>1720.1005287030043</v>
      </c>
      <c r="D29" s="43">
        <f>NPV!B27</f>
        <v>19.508076889165785</v>
      </c>
      <c r="E29" s="44">
        <f>NPV!B29</f>
        <v>-0.7865637101841818</v>
      </c>
    </row>
    <row r="30">
      <c r="A30" s="45" t="n">
        <v>1</v>
      </c>
      <c r="B30" s="46">
        <f t="dataTable" ref="B30:E32" r1="B4"/>
        <v>-113.18783289530847</v>
      </c>
      <c r="C30" s="46">
        <v>1032.1581671046915</v>
      </c>
      <c r="D30" s="47">
        <v>11.705955872731069</v>
      </c>
      <c r="E30" s="48">
        <v>-0.8719260845434238</v>
      </c>
    </row>
    <row r="31">
      <c r="A31" s="45" t="n">
        <v>2</v>
      </c>
      <c r="B31" s="46">
        <v>574.7545287030043</v>
      </c>
      <c r="C31" s="46">
        <v>1720.1005287030043</v>
      </c>
      <c r="D31" s="47">
        <v>19.508076889165785</v>
      </c>
      <c r="E31" s="48">
        <v>-0.7865637101841818</v>
      </c>
    </row>
    <row r="32">
      <c r="A32" s="45" t="n">
        <v>3</v>
      </c>
      <c r="B32" s="46">
        <v>1663.9678636296967</v>
      </c>
      <c r="C32" s="46">
        <v>2809.3138636296967</v>
      </c>
      <c r="D32" s="47">
        <v>31.861109245057467</v>
      </c>
      <c r="E32" s="48">
        <v>-0.6514101833144698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19.508076889165785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10.186665716758945</v>
      </c>
      <c r="C37" s="47">
        <v>12.524290196915025</v>
      </c>
      <c r="D37" s="47">
        <v>14.616843068482257</v>
      </c>
      <c r="E37" s="47">
        <v>18.656859969611578</v>
      </c>
      <c r="F37" s="47">
        <v>22.613700256197028</v>
      </c>
    </row>
    <row r="38">
      <c r="A38" s="50" t="n">
        <v>0.8</v>
      </c>
      <c r="B38" s="47">
        <v>11.507772657985619</v>
      </c>
      <c r="C38" s="47">
        <v>14.359688260603216</v>
      </c>
      <c r="D38" s="47">
        <v>17.073220299853805</v>
      </c>
      <c r="E38" s="47">
        <v>22.36575421968115</v>
      </c>
      <c r="F38" s="47">
        <v>27.582765672006694</v>
      </c>
    </row>
    <row r="39">
      <c r="A39" s="50" t="n">
        <v>1</v>
      </c>
      <c r="B39" s="47">
        <v>12.727028825150393</v>
      </c>
      <c r="C39" s="47">
        <v>16.16690116583209</v>
      </c>
      <c r="D39" s="47">
        <v>19.508076889165785</v>
      </c>
      <c r="E39" s="47">
        <v>26.057233586085236</v>
      </c>
      <c r="F39" s="47">
        <v>32.54821802116235</v>
      </c>
    </row>
    <row r="40">
      <c r="A40" s="50" t="n">
        <v>1.2</v>
      </c>
      <c r="B40" s="47">
        <v>13.906558158119871</v>
      </c>
      <c r="C40" s="47">
        <v>17.968484050101484</v>
      </c>
      <c r="D40" s="47">
        <v>21.933739616754455</v>
      </c>
      <c r="E40" s="47">
        <v>29.759895466694477</v>
      </c>
      <c r="F40" s="47">
        <v>37.512787450818536</v>
      </c>
    </row>
    <row r="41">
      <c r="A41" s="50" t="n">
        <v>1.4</v>
      </c>
      <c r="B41" s="47">
        <v>15.085906689603185</v>
      </c>
      <c r="C41" s="47">
        <v>19.774381951622214</v>
      </c>
      <c r="D41" s="47">
        <v>24.36830126665575</v>
      </c>
      <c r="E41" s="47">
        <v>33.45714153997702</v>
      </c>
      <c r="F41" s="47">
        <v>42.49653834268931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Spyre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IBD (UC / Crohn's)</t>
        </is>
      </c>
      <c r="C4" s="14" t="inlineStr">
        <is>
          <t>SPY001, SPY002</t>
        </is>
      </c>
      <c r="D4" s="14" t="inlineStr">
        <is>
          <t>Phase 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3000</v>
      </c>
      <c r="H4" s="27" t="n">
        <v>0.1929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657.4280762551631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57.87</v>
      </c>
      <c r="S4" s="23">
        <f>IF(S$3&lt;$I4,0,$G4*Assumptions!$E$11*INDEX(Assumptions!$B$24:$G$24,MIN(6,S$3-$I4+1))*IF(S$3&gt;$J4,(1-Assumptions!$B$26)^(S$3-$J4),1)*IF($H4&gt;=1,1,MIN(0.97,$H4*Assumptions!$E$12)))</f>
        <v>144.67499999999998</v>
      </c>
      <c r="T4" s="23">
        <f>IF(T$3&lt;$I4,0,$G4*Assumptions!$E$11*INDEX(Assumptions!$B$24:$G$24,MIN(6,T$3-$I4+1))*IF(T$3&gt;$J4,(1-Assumptions!$B$26)^(T$3-$J4),1)*IF($H4&gt;=1,1,MIN(0.97,$H4*Assumptions!$E$12)))</f>
        <v>260.41499999999996</v>
      </c>
      <c r="U4" s="23">
        <f>IF(U$3&lt;$I4,0,$G4*Assumptions!$E$11*INDEX(Assumptions!$B$24:$G$24,MIN(6,U$3-$I4+1))*IF(U$3&gt;$J4,(1-Assumptions!$B$26)^(U$3-$J4),1)*IF($H4&gt;=1,1,MIN(0.97,$H4*Assumptions!$E$12)))</f>
        <v>376.155</v>
      </c>
      <c r="V4" s="23">
        <f>IF(V$3&lt;$I4,0,$G4*Assumptions!$E$11*INDEX(Assumptions!$B$24:$G$24,MIN(6,V$3-$I4+1))*IF(V$3&gt;$J4,(1-Assumptions!$B$26)^(V$3-$J4),1)*IF($H4&gt;=1,1,MIN(0.97,$H4*Assumptions!$E$12)))</f>
        <v>491.895</v>
      </c>
      <c r="W4" s="23">
        <f>IF(W$3&lt;$I4,0,$G4*Assumptions!$E$11*INDEX(Assumptions!$B$24:$G$24,MIN(6,W$3-$I4+1))*IF(W$3&gt;$J4,(1-Assumptions!$B$26)^(W$3-$J4),1)*IF($H4&gt;=1,1,MIN(0.97,$H4*Assumptions!$E$12)))</f>
        <v>578.6999999999999</v>
      </c>
      <c r="X4" s="23">
        <f>IF(X$3&lt;$I4,0,$G4*Assumptions!$E$11*INDEX(Assumptions!$B$24:$G$24,MIN(6,X$3-$I4+1))*IF(X$3&gt;$J4,(1-Assumptions!$B$26)^(X$3-$J4),1)*IF($H4&gt;=1,1,MIN(0.97,$H4*Assumptions!$E$12)))</f>
        <v>578.6999999999999</v>
      </c>
      <c r="Y4" s="23">
        <f>IF(Y$3&lt;$I4,0,$G4*Assumptions!$E$11*INDEX(Assumptions!$B$24:$G$24,MIN(6,Y$3-$I4+1))*IF(Y$3&gt;$J4,(1-Assumptions!$B$26)^(Y$3-$J4),1)*IF($H4&gt;=1,1,MIN(0.97,$H4*Assumptions!$E$12)))</f>
        <v>578.6999999999999</v>
      </c>
      <c r="Z4" s="23">
        <f>IF(Z$3&lt;$I4,0,$G4*Assumptions!$E$11*INDEX(Assumptions!$B$24:$G$24,MIN(6,Z$3-$I4+1))*IF(Z$3&gt;$J4,(1-Assumptions!$B$26)^(Z$3-$J4),1)*IF($H4&gt;=1,1,MIN(0.97,$H4*Assumptions!$E$12)))</f>
        <v>578.6999999999999</v>
      </c>
      <c r="AA4" s="23">
        <f>IF(AA$3&lt;$I4,0,$G4*Assumptions!$E$11*INDEX(Assumptions!$B$24:$G$24,MIN(6,AA$3-$I4+1))*IF(AA$3&gt;$J4,(1-Assumptions!$B$26)^(AA$3-$J4),1)*IF($H4&gt;=1,1,MIN(0.97,$H4*Assumptions!$E$12)))</f>
        <v>578.6999999999999</v>
      </c>
      <c r="AB4" s="23">
        <f>IF(AB$3&lt;$I4,0,$G4*Assumptions!$E$11*INDEX(Assumptions!$B$24:$G$24,MIN(6,AB$3-$I4+1))*IF(AB$3&gt;$J4,(1-Assumptions!$B$26)^(AB$3-$J4),1)*IF($H4&gt;=1,1,MIN(0.97,$H4*Assumptions!$E$12)))</f>
        <v>578.6999999999999</v>
      </c>
      <c r="AC4" s="23">
        <f>IF(AC$3&lt;$I4,0,$G4*Assumptions!$E$11*INDEX(Assumptions!$B$24:$G$24,MIN(6,AC$3-$I4+1))*IF(AC$3&gt;$J4,(1-Assumptions!$B$26)^(AC$3-$J4),1)*IF($H4&gt;=1,1,MIN(0.97,$H4*Assumptions!$E$12)))</f>
        <v>578.6999999999999</v>
      </c>
      <c r="AD4" s="23">
        <f>IF(AD$3&lt;$I4,0,$G4*Assumptions!$E$11*INDEX(Assumptions!$B$24:$G$24,MIN(6,AD$3-$I4+1))*IF(AD$3&gt;$J4,(1-Assumptions!$B$26)^(AD$3-$J4),1)*IF($H4&gt;=1,1,MIN(0.97,$H4*Assumptions!$E$12)))</f>
        <v>578.6999999999999</v>
      </c>
      <c r="AE4" s="23">
        <f>IF(AE$3&lt;$I4,0,$G4*Assumptions!$E$11*INDEX(Assumptions!$B$24:$G$24,MIN(6,AE$3-$I4+1))*IF(AE$3&gt;$J4,(1-Assumptions!$B$26)^(AE$3-$J4),1)*IF($H4&gt;=1,1,MIN(0.97,$H4*Assumptions!$E$12)))</f>
        <v>289.34999999999997</v>
      </c>
      <c r="AF4" s="23">
        <f>IF(AF$3&lt;$I4,0,$G4*Assumptions!$E$11*INDEX(Assumptions!$B$24:$G$24,MIN(6,AF$3-$I4+1))*IF(AF$3&gt;$J4,(1-Assumptions!$B$26)^(AF$3-$J4),1)*IF($H4&gt;=1,1,MIN(0.97,$H4*Assumptions!$E$12)))</f>
        <v>144.67499999999998</v>
      </c>
      <c r="AG4" s="35">
        <f>IF(F4="Owned",1-IF(H4&gt;=1,1,MIN(0.97,H4*Assumptions!$E$12)),1)</f>
        <v>0.8071</v>
      </c>
    </row>
    <row r="5">
      <c r="A5" s="39" t="n">
        <v>2</v>
      </c>
      <c r="B5" s="14" t="inlineStr">
        <is>
          <t>Rheumatoid / spondyloarthritis</t>
        </is>
      </c>
      <c r="C5" s="14" t="inlineStr">
        <is>
          <t>SPY002-072</t>
        </is>
      </c>
      <c r="D5" s="14" t="inlineStr">
        <is>
          <t>Phase 2</t>
        </is>
      </c>
      <c r="E5" s="14" t="inlineStr">
        <is>
          <t>Autoimmune / area</t>
        </is>
      </c>
      <c r="F5" s="14" t="inlineStr">
        <is>
          <t>Owned</t>
        </is>
      </c>
      <c r="G5" s="40" t="n">
        <v>2000</v>
      </c>
      <c r="H5" s="27" t="n">
        <v>0.1929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438.2853841701088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38.58</v>
      </c>
      <c r="S5" s="23">
        <f>IF(S$3&lt;$I5,0,$G5*Assumptions!$E$11*INDEX(Assumptions!$B$24:$G$24,MIN(6,S$3-$I5+1))*IF(S$3&gt;$J5,(1-Assumptions!$B$26)^(S$3-$J5),1)*IF($H5&gt;=1,1,MIN(0.97,$H5*Assumptions!$E$12)))</f>
        <v>96.44999999999999</v>
      </c>
      <c r="T5" s="23">
        <f>IF(T$3&lt;$I5,0,$G5*Assumptions!$E$11*INDEX(Assumptions!$B$24:$G$24,MIN(6,T$3-$I5+1))*IF(T$3&gt;$J5,(1-Assumptions!$B$26)^(T$3-$J5),1)*IF($H5&gt;=1,1,MIN(0.97,$H5*Assumptions!$E$12)))</f>
        <v>173.60999999999999</v>
      </c>
      <c r="U5" s="23">
        <f>IF(U$3&lt;$I5,0,$G5*Assumptions!$E$11*INDEX(Assumptions!$B$24:$G$24,MIN(6,U$3-$I5+1))*IF(U$3&gt;$J5,(1-Assumptions!$B$26)^(U$3-$J5),1)*IF($H5&gt;=1,1,MIN(0.97,$H5*Assumptions!$E$12)))</f>
        <v>250.76999999999998</v>
      </c>
      <c r="V5" s="23">
        <f>IF(V$3&lt;$I5,0,$G5*Assumptions!$E$11*INDEX(Assumptions!$B$24:$G$24,MIN(6,V$3-$I5+1))*IF(V$3&gt;$J5,(1-Assumptions!$B$26)^(V$3-$J5),1)*IF($H5&gt;=1,1,MIN(0.97,$H5*Assumptions!$E$12)))</f>
        <v>327.93</v>
      </c>
      <c r="W5" s="23">
        <f>IF(W$3&lt;$I5,0,$G5*Assumptions!$E$11*INDEX(Assumptions!$B$24:$G$24,MIN(6,W$3-$I5+1))*IF(W$3&gt;$J5,(1-Assumptions!$B$26)^(W$3-$J5),1)*IF($H5&gt;=1,1,MIN(0.97,$H5*Assumptions!$E$12)))</f>
        <v>385.79999999999995</v>
      </c>
      <c r="X5" s="23">
        <f>IF(X$3&lt;$I5,0,$G5*Assumptions!$E$11*INDEX(Assumptions!$B$24:$G$24,MIN(6,X$3-$I5+1))*IF(X$3&gt;$J5,(1-Assumptions!$B$26)^(X$3-$J5),1)*IF($H5&gt;=1,1,MIN(0.97,$H5*Assumptions!$E$12)))</f>
        <v>385.79999999999995</v>
      </c>
      <c r="Y5" s="23">
        <f>IF(Y$3&lt;$I5,0,$G5*Assumptions!$E$11*INDEX(Assumptions!$B$24:$G$24,MIN(6,Y$3-$I5+1))*IF(Y$3&gt;$J5,(1-Assumptions!$B$26)^(Y$3-$J5),1)*IF($H5&gt;=1,1,MIN(0.97,$H5*Assumptions!$E$12)))</f>
        <v>385.79999999999995</v>
      </c>
      <c r="Z5" s="23">
        <f>IF(Z$3&lt;$I5,0,$G5*Assumptions!$E$11*INDEX(Assumptions!$B$24:$G$24,MIN(6,Z$3-$I5+1))*IF(Z$3&gt;$J5,(1-Assumptions!$B$26)^(Z$3-$J5),1)*IF($H5&gt;=1,1,MIN(0.97,$H5*Assumptions!$E$12)))</f>
        <v>385.79999999999995</v>
      </c>
      <c r="AA5" s="23">
        <f>IF(AA$3&lt;$I5,0,$G5*Assumptions!$E$11*INDEX(Assumptions!$B$24:$G$24,MIN(6,AA$3-$I5+1))*IF(AA$3&gt;$J5,(1-Assumptions!$B$26)^(AA$3-$J5),1)*IF($H5&gt;=1,1,MIN(0.97,$H5*Assumptions!$E$12)))</f>
        <v>385.79999999999995</v>
      </c>
      <c r="AB5" s="23">
        <f>IF(AB$3&lt;$I5,0,$G5*Assumptions!$E$11*INDEX(Assumptions!$B$24:$G$24,MIN(6,AB$3-$I5+1))*IF(AB$3&gt;$J5,(1-Assumptions!$B$26)^(AB$3-$J5),1)*IF($H5&gt;=1,1,MIN(0.97,$H5*Assumptions!$E$12)))</f>
        <v>385.79999999999995</v>
      </c>
      <c r="AC5" s="23">
        <f>IF(AC$3&lt;$I5,0,$G5*Assumptions!$E$11*INDEX(Assumptions!$B$24:$G$24,MIN(6,AC$3-$I5+1))*IF(AC$3&gt;$J5,(1-Assumptions!$B$26)^(AC$3-$J5),1)*IF($H5&gt;=1,1,MIN(0.97,$H5*Assumptions!$E$12)))</f>
        <v>385.79999999999995</v>
      </c>
      <c r="AD5" s="23">
        <f>IF(AD$3&lt;$I5,0,$G5*Assumptions!$E$11*INDEX(Assumptions!$B$24:$G$24,MIN(6,AD$3-$I5+1))*IF(AD$3&gt;$J5,(1-Assumptions!$B$26)^(AD$3-$J5),1)*IF($H5&gt;=1,1,MIN(0.97,$H5*Assumptions!$E$12)))</f>
        <v>385.79999999999995</v>
      </c>
      <c r="AE5" s="23">
        <f>IF(AE$3&lt;$I5,0,$G5*Assumptions!$E$11*INDEX(Assumptions!$B$24:$G$24,MIN(6,AE$3-$I5+1))*IF(AE$3&gt;$J5,(1-Assumptions!$B$26)^(AE$3-$J5),1)*IF($H5&gt;=1,1,MIN(0.97,$H5*Assumptions!$E$12)))</f>
        <v>192.89999999999998</v>
      </c>
      <c r="AF5" s="23">
        <f>IF(AF$3&lt;$I5,0,$G5*Assumptions!$E$11*INDEX(Assumptions!$B$24:$G$24,MIN(6,AF$3-$I5+1))*IF(AF$3&gt;$J5,(1-Assumptions!$B$26)^(AF$3-$J5),1)*IF($H5&gt;=1,1,MIN(0.97,$H5*Assumptions!$E$12)))</f>
        <v>96.44999999999999</v>
      </c>
      <c r="AG5" s="35">
        <f>IF(F5="Owned",1-IF(H5&gt;=1,1,MIN(0.97,H5*Assumptions!$E$12)),1)</f>
        <v>0.8071</v>
      </c>
    </row>
    <row r="6">
      <c r="A6" s="39" t="n">
        <v>3</v>
      </c>
      <c r="B6" s="14" t="inlineStr">
        <is>
          <t>Hidradenitis / alopecia / vitiligo</t>
        </is>
      </c>
      <c r="C6" s="14" t="inlineStr">
        <is>
          <t>SPY072, bimekizumab</t>
        </is>
      </c>
      <c r="D6" s="14" t="inlineStr">
        <is>
          <t>Phase 2</t>
        </is>
      </c>
      <c r="E6" s="14" t="inlineStr">
        <is>
          <t>Autoimmune / area</t>
        </is>
      </c>
      <c r="F6" s="14" t="inlineStr">
        <is>
          <t>Owned</t>
        </is>
      </c>
      <c r="G6" s="40" t="n">
        <v>1500</v>
      </c>
      <c r="H6" s="27" t="n">
        <v>0.1929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328.71403812758155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28.935</v>
      </c>
      <c r="S6" s="23">
        <f>IF(S$3&lt;$I6,0,$G6*Assumptions!$E$11*INDEX(Assumptions!$B$24:$G$24,MIN(6,S$3-$I6+1))*IF(S$3&gt;$J6,(1-Assumptions!$B$26)^(S$3-$J6),1)*IF($H6&gt;=1,1,MIN(0.97,$H6*Assumptions!$E$12)))</f>
        <v>72.33749999999999</v>
      </c>
      <c r="T6" s="23">
        <f>IF(T$3&lt;$I6,0,$G6*Assumptions!$E$11*INDEX(Assumptions!$B$24:$G$24,MIN(6,T$3-$I6+1))*IF(T$3&gt;$J6,(1-Assumptions!$B$26)^(T$3-$J6),1)*IF($H6&gt;=1,1,MIN(0.97,$H6*Assumptions!$E$12)))</f>
        <v>130.20749999999998</v>
      </c>
      <c r="U6" s="23">
        <f>IF(U$3&lt;$I6,0,$G6*Assumptions!$E$11*INDEX(Assumptions!$B$24:$G$24,MIN(6,U$3-$I6+1))*IF(U$3&gt;$J6,(1-Assumptions!$B$26)^(U$3-$J6),1)*IF($H6&gt;=1,1,MIN(0.97,$H6*Assumptions!$E$12)))</f>
        <v>188.0775</v>
      </c>
      <c r="V6" s="23">
        <f>IF(V$3&lt;$I6,0,$G6*Assumptions!$E$11*INDEX(Assumptions!$B$24:$G$24,MIN(6,V$3-$I6+1))*IF(V$3&gt;$J6,(1-Assumptions!$B$26)^(V$3-$J6),1)*IF($H6&gt;=1,1,MIN(0.97,$H6*Assumptions!$E$12)))</f>
        <v>245.9475</v>
      </c>
      <c r="W6" s="23">
        <f>IF(W$3&lt;$I6,0,$G6*Assumptions!$E$11*INDEX(Assumptions!$B$24:$G$24,MIN(6,W$3-$I6+1))*IF(W$3&gt;$J6,(1-Assumptions!$B$26)^(W$3-$J6),1)*IF($H6&gt;=1,1,MIN(0.97,$H6*Assumptions!$E$12)))</f>
        <v>289.34999999999997</v>
      </c>
      <c r="X6" s="23">
        <f>IF(X$3&lt;$I6,0,$G6*Assumptions!$E$11*INDEX(Assumptions!$B$24:$G$24,MIN(6,X$3-$I6+1))*IF(X$3&gt;$J6,(1-Assumptions!$B$26)^(X$3-$J6),1)*IF($H6&gt;=1,1,MIN(0.97,$H6*Assumptions!$E$12)))</f>
        <v>289.34999999999997</v>
      </c>
      <c r="Y6" s="23">
        <f>IF(Y$3&lt;$I6,0,$G6*Assumptions!$E$11*INDEX(Assumptions!$B$24:$G$24,MIN(6,Y$3-$I6+1))*IF(Y$3&gt;$J6,(1-Assumptions!$B$26)^(Y$3-$J6),1)*IF($H6&gt;=1,1,MIN(0.97,$H6*Assumptions!$E$12)))</f>
        <v>289.34999999999997</v>
      </c>
      <c r="Z6" s="23">
        <f>IF(Z$3&lt;$I6,0,$G6*Assumptions!$E$11*INDEX(Assumptions!$B$24:$G$24,MIN(6,Z$3-$I6+1))*IF(Z$3&gt;$J6,(1-Assumptions!$B$26)^(Z$3-$J6),1)*IF($H6&gt;=1,1,MIN(0.97,$H6*Assumptions!$E$12)))</f>
        <v>289.34999999999997</v>
      </c>
      <c r="AA6" s="23">
        <f>IF(AA$3&lt;$I6,0,$G6*Assumptions!$E$11*INDEX(Assumptions!$B$24:$G$24,MIN(6,AA$3-$I6+1))*IF(AA$3&gt;$J6,(1-Assumptions!$B$26)^(AA$3-$J6),1)*IF($H6&gt;=1,1,MIN(0.97,$H6*Assumptions!$E$12)))</f>
        <v>289.34999999999997</v>
      </c>
      <c r="AB6" s="23">
        <f>IF(AB$3&lt;$I6,0,$G6*Assumptions!$E$11*INDEX(Assumptions!$B$24:$G$24,MIN(6,AB$3-$I6+1))*IF(AB$3&gt;$J6,(1-Assumptions!$B$26)^(AB$3-$J6),1)*IF($H6&gt;=1,1,MIN(0.97,$H6*Assumptions!$E$12)))</f>
        <v>289.34999999999997</v>
      </c>
      <c r="AC6" s="23">
        <f>IF(AC$3&lt;$I6,0,$G6*Assumptions!$E$11*INDEX(Assumptions!$B$24:$G$24,MIN(6,AC$3-$I6+1))*IF(AC$3&gt;$J6,(1-Assumptions!$B$26)^(AC$3-$J6),1)*IF($H6&gt;=1,1,MIN(0.97,$H6*Assumptions!$E$12)))</f>
        <v>289.34999999999997</v>
      </c>
      <c r="AD6" s="23">
        <f>IF(AD$3&lt;$I6,0,$G6*Assumptions!$E$11*INDEX(Assumptions!$B$24:$G$24,MIN(6,AD$3-$I6+1))*IF(AD$3&gt;$J6,(1-Assumptions!$B$26)^(AD$3-$J6),1)*IF($H6&gt;=1,1,MIN(0.97,$H6*Assumptions!$E$12)))</f>
        <v>289.34999999999997</v>
      </c>
      <c r="AE6" s="23">
        <f>IF(AE$3&lt;$I6,0,$G6*Assumptions!$E$11*INDEX(Assumptions!$B$24:$G$24,MIN(6,AE$3-$I6+1))*IF(AE$3&gt;$J6,(1-Assumptions!$B$26)^(AE$3-$J6),1)*IF($H6&gt;=1,1,MIN(0.97,$H6*Assumptions!$E$12)))</f>
        <v>144.67499999999998</v>
      </c>
      <c r="AF6" s="23">
        <f>IF(AF$3&lt;$I6,0,$G6*Assumptions!$E$11*INDEX(Assumptions!$B$24:$G$24,MIN(6,AF$3-$I6+1))*IF(AF$3&gt;$J6,(1-Assumptions!$B$26)^(AF$3-$J6),1)*IF($H6&gt;=1,1,MIN(0.97,$H6*Assumptions!$E$12)))</f>
        <v>72.33749999999999</v>
      </c>
      <c r="AG6" s="35">
        <f>IF(F6="Owned",1-IF(H6&gt;=1,1,MIN(0.97,H6*Assumptions!$E$12)),1)</f>
        <v>0.8071</v>
      </c>
    </row>
    <row r="7">
      <c r="B7" s="24" t="inlineStr">
        <is>
          <t>Risked revenue</t>
        </is>
      </c>
      <c r="L7" s="54">
        <f>SUM(L4:L6)</f>
        <v>1424.4274985528534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125.38499999999999</v>
      </c>
      <c r="S7" s="54">
        <f>SUM(S4:S6)</f>
        <v>313.4625</v>
      </c>
      <c r="T7" s="54">
        <f>SUM(T4:T6)</f>
        <v>564.2325</v>
      </c>
      <c r="U7" s="54">
        <f>SUM(U4:U6)</f>
        <v>815.0024999999999</v>
      </c>
      <c r="V7" s="54">
        <f>SUM(V4:V6)</f>
        <v>1065.7725</v>
      </c>
      <c r="W7" s="54">
        <f>SUM(W4:W6)</f>
        <v>1253.85</v>
      </c>
      <c r="X7" s="54">
        <f>SUM(X4:X6)</f>
        <v>1253.85</v>
      </c>
      <c r="Y7" s="54">
        <f>SUM(Y4:Y6)</f>
        <v>1253.85</v>
      </c>
      <c r="Z7" s="54">
        <f>SUM(Z4:Z6)</f>
        <v>1253.85</v>
      </c>
      <c r="AA7" s="54">
        <f>SUM(AA4:AA6)</f>
        <v>1253.85</v>
      </c>
      <c r="AB7" s="54">
        <f>SUM(AB4:AB6)</f>
        <v>1253.85</v>
      </c>
      <c r="AC7" s="54">
        <f>SUM(AC4:AC6)</f>
        <v>1253.85</v>
      </c>
      <c r="AD7" s="54">
        <f>SUM(AD4:AD6)</f>
        <v>1253.85</v>
      </c>
      <c r="AE7" s="54">
        <f>SUM(AE4:AE6)</f>
        <v>626.925</v>
      </c>
      <c r="AF7" s="54">
        <f>SUM(AF4:AF6)</f>
        <v>313.4625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50.153999999999996</v>
      </c>
      <c r="S8" s="55">
        <f>SUMPRODUCT(S4:S6,$K$4:$K$6)</f>
        <v>125.38499999999999</v>
      </c>
      <c r="T8" s="55">
        <f>SUMPRODUCT(T4:T6,$K$4:$K$6)</f>
        <v>225.693</v>
      </c>
      <c r="U8" s="55">
        <f>SUMPRODUCT(U4:U6,$K$4:$K$6)</f>
        <v>326.001</v>
      </c>
      <c r="V8" s="55">
        <f>SUMPRODUCT(V4:V6,$K$4:$K$6)</f>
        <v>426.309</v>
      </c>
      <c r="W8" s="55">
        <f>SUMPRODUCT(W4:W6,$K$4:$K$6)</f>
        <v>501.53999999999996</v>
      </c>
      <c r="X8" s="55">
        <f>SUMPRODUCT(X4:X6,$K$4:$K$6)</f>
        <v>501.53999999999996</v>
      </c>
      <c r="Y8" s="55">
        <f>SUMPRODUCT(Y4:Y6,$K$4:$K$6)</f>
        <v>501.53999999999996</v>
      </c>
      <c r="Z8" s="55">
        <f>SUMPRODUCT(Z4:Z6,$K$4:$K$6)</f>
        <v>501.53999999999996</v>
      </c>
      <c r="AA8" s="55">
        <f>SUMPRODUCT(AA4:AA6,$K$4:$K$6)</f>
        <v>501.53999999999996</v>
      </c>
      <c r="AB8" s="55">
        <f>SUMPRODUCT(AB4:AB6,$K$4:$K$6)</f>
        <v>501.53999999999996</v>
      </c>
      <c r="AC8" s="55">
        <f>SUMPRODUCT(AC4:AC6,$K$4:$K$6)</f>
        <v>501.53999999999996</v>
      </c>
      <c r="AD8" s="55">
        <f>SUMPRODUCT(AD4:AD6,$K$4:$K$6)</f>
        <v>501.53999999999996</v>
      </c>
      <c r="AE8" s="55">
        <f>SUMPRODUCT(AE4:AE6,$K$4:$K$6)</f>
        <v>250.76999999999998</v>
      </c>
      <c r="AF8" s="55">
        <f>SUMPRODUCT(AF4:AF6,$K$4:$K$6)</f>
        <v>125.38499999999999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Spyre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125.38499999999999</v>
      </c>
      <c r="I4" s="57">
        <f>Pipeline!S7</f>
        <v>313.4625</v>
      </c>
      <c r="J4" s="57">
        <f>Pipeline!T7</f>
        <v>564.2325</v>
      </c>
      <c r="K4" s="57">
        <f>Pipeline!U7</f>
        <v>815.0024999999999</v>
      </c>
      <c r="L4" s="57">
        <f>Pipeline!V7</f>
        <v>1065.7725</v>
      </c>
      <c r="M4" s="57">
        <f>Pipeline!W7</f>
        <v>1253.85</v>
      </c>
      <c r="N4" s="57">
        <f>Pipeline!X7</f>
        <v>1253.85</v>
      </c>
      <c r="O4" s="57">
        <f>Pipeline!Y7</f>
        <v>1253.85</v>
      </c>
      <c r="P4" s="57">
        <f>Pipeline!Z7</f>
        <v>1253.85</v>
      </c>
      <c r="Q4" s="57">
        <f>Pipeline!AA7</f>
        <v>1253.85</v>
      </c>
      <c r="R4" s="57">
        <f>Pipeline!AB7</f>
        <v>1253.85</v>
      </c>
      <c r="S4" s="57">
        <f>Pipeline!AC7</f>
        <v>1253.85</v>
      </c>
      <c r="T4" s="57">
        <f>Pipeline!AD7</f>
        <v>1253.85</v>
      </c>
      <c r="U4" s="57">
        <f>Pipeline!AE7</f>
        <v>626.925</v>
      </c>
      <c r="V4" s="57">
        <f>Pipeline!AF7</f>
        <v>313.4625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50.153999999999996</v>
      </c>
      <c r="I5" s="57">
        <f>Pipeline!S8</f>
        <v>125.38499999999999</v>
      </c>
      <c r="J5" s="57">
        <f>Pipeline!T8</f>
        <v>225.693</v>
      </c>
      <c r="K5" s="57">
        <f>Pipeline!U8</f>
        <v>326.001</v>
      </c>
      <c r="L5" s="57">
        <f>Pipeline!V8</f>
        <v>426.309</v>
      </c>
      <c r="M5" s="57">
        <f>Pipeline!W8</f>
        <v>501.53999999999996</v>
      </c>
      <c r="N5" s="57">
        <f>Pipeline!X8</f>
        <v>501.53999999999996</v>
      </c>
      <c r="O5" s="57">
        <f>Pipeline!Y8</f>
        <v>501.53999999999996</v>
      </c>
      <c r="P5" s="57">
        <f>Pipeline!Z8</f>
        <v>501.53999999999996</v>
      </c>
      <c r="Q5" s="57">
        <f>Pipeline!AA8</f>
        <v>501.53999999999996</v>
      </c>
      <c r="R5" s="57">
        <f>Pipeline!AB8</f>
        <v>501.53999999999996</v>
      </c>
      <c r="S5" s="57">
        <f>Pipeline!AC8</f>
        <v>501.53999999999996</v>
      </c>
      <c r="T5" s="57">
        <f>Pipeline!AD8</f>
        <v>501.53999999999996</v>
      </c>
      <c r="U5" s="57">
        <f>Pipeline!AE8</f>
        <v>250.76999999999998</v>
      </c>
      <c r="V5" s="57">
        <f>Pipeline!AF8</f>
        <v>125.38499999999999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-201.34</v>
      </c>
      <c r="D6" s="23">
        <f>-IF(D3-2026&lt;Assumptions!$B$19,Assumptions!$B$18,Assumptions!$B$18*Assumptions!$B$20*Assumptions!$B$16)</f>
        <v>-201.34</v>
      </c>
      <c r="E6" s="23">
        <f>-IF(E3-2026&lt;Assumptions!$B$19,Assumptions!$B$18,Assumptions!$B$18*Assumptions!$B$20*Assumptions!$B$16)</f>
        <v>-201.34</v>
      </c>
      <c r="F6" s="23">
        <f>-IF(F3-2026&lt;Assumptions!$B$19,Assumptions!$B$18,Assumptions!$B$18*Assumptions!$B$20*Assumptions!$B$16)</f>
        <v>-201.34</v>
      </c>
      <c r="G6" s="23">
        <f>-IF(G3-2026&lt;Assumptions!$B$19,Assumptions!$B$18,Assumptions!$B$18*Assumptions!$B$20*Assumptions!$B$16)</f>
        <v>-28.645446641891773</v>
      </c>
      <c r="H6" s="23">
        <f>-IF(H3-2026&lt;Assumptions!$B$19,Assumptions!$B$18,Assumptions!$B$18*Assumptions!$B$20*Assumptions!$B$16)</f>
        <v>-28.645446641891773</v>
      </c>
      <c r="I6" s="23">
        <f>-IF(I3-2026&lt;Assumptions!$B$19,Assumptions!$B$18,Assumptions!$B$18*Assumptions!$B$20*Assumptions!$B$16)</f>
        <v>-28.645446641891773</v>
      </c>
      <c r="J6" s="23">
        <f>-IF(J3-2026&lt;Assumptions!$B$19,Assumptions!$B$18,Assumptions!$B$18*Assumptions!$B$20*Assumptions!$B$16)</f>
        <v>-28.645446641891773</v>
      </c>
      <c r="K6" s="23">
        <f>-IF(K3-2026&lt;Assumptions!$B$19,Assumptions!$B$18,Assumptions!$B$18*Assumptions!$B$20*Assumptions!$B$16)</f>
        <v>-28.645446641891773</v>
      </c>
      <c r="L6" s="23">
        <f>-IF(L3-2026&lt;Assumptions!$B$19,Assumptions!$B$18,Assumptions!$B$18*Assumptions!$B$20*Assumptions!$B$16)</f>
        <v>-28.645446641891773</v>
      </c>
      <c r="M6" s="23">
        <f>-IF(M3-2026&lt;Assumptions!$B$19,Assumptions!$B$18,Assumptions!$B$18*Assumptions!$B$20*Assumptions!$B$16)</f>
        <v>-28.645446641891773</v>
      </c>
      <c r="N6" s="23">
        <f>-IF(N3-2026&lt;Assumptions!$B$19,Assumptions!$B$18,Assumptions!$B$18*Assumptions!$B$20*Assumptions!$B$16)</f>
        <v>-28.645446641891773</v>
      </c>
      <c r="O6" s="23">
        <f>-IF(O3-2026&lt;Assumptions!$B$19,Assumptions!$B$18,Assumptions!$B$18*Assumptions!$B$20*Assumptions!$B$16)</f>
        <v>-28.645446641891773</v>
      </c>
      <c r="P6" s="23">
        <f>-IF(P3-2026&lt;Assumptions!$B$19,Assumptions!$B$18,Assumptions!$B$18*Assumptions!$B$20*Assumptions!$B$16)</f>
        <v>-28.645446641891773</v>
      </c>
      <c r="Q6" s="23">
        <f>-IF(Q3-2026&lt;Assumptions!$B$19,Assumptions!$B$18,Assumptions!$B$18*Assumptions!$B$20*Assumptions!$B$16)</f>
        <v>-28.645446641891773</v>
      </c>
      <c r="R6" s="23">
        <f>-IF(R3-2026&lt;Assumptions!$B$19,Assumptions!$B$18,Assumptions!$B$18*Assumptions!$B$20*Assumptions!$B$16)</f>
        <v>-28.645446641891773</v>
      </c>
      <c r="S6" s="23">
        <f>-IF(S3-2026&lt;Assumptions!$B$19,Assumptions!$B$18,Assumptions!$B$18*Assumptions!$B$20*Assumptions!$B$16)</f>
        <v>-28.645446641891773</v>
      </c>
      <c r="T6" s="23">
        <f>-IF(T3-2026&lt;Assumptions!$B$19,Assumptions!$B$18,Assumptions!$B$18*Assumptions!$B$20*Assumptions!$B$16)</f>
        <v>-28.645446641891773</v>
      </c>
      <c r="U6" s="23">
        <f>-IF(U3-2026&lt;Assumptions!$B$19,Assumptions!$B$18,Assumptions!$B$18*Assumptions!$B$20*Assumptions!$B$16)</f>
        <v>-28.645446641891773</v>
      </c>
      <c r="V6" s="23">
        <f>-IF(V3-2026&lt;Assumptions!$B$19,Assumptions!$B$18,Assumptions!$B$18*Assumptions!$B$20*Assumptions!$B$16)</f>
        <v>-28.645446641891773</v>
      </c>
    </row>
    <row r="7">
      <c r="A7" s="14" t="inlineStr">
        <is>
          <t>Pre-tax cash flow</t>
        </is>
      </c>
      <c r="C7" s="23">
        <f>C5+C6</f>
        <v>-201.34</v>
      </c>
      <c r="D7" s="23">
        <f>D5+D6</f>
        <v>-201.34</v>
      </c>
      <c r="E7" s="23">
        <f>E5+E6</f>
        <v>-201.34</v>
      </c>
      <c r="F7" s="23">
        <f>F5+F6</f>
        <v>-201.34</v>
      </c>
      <c r="G7" s="23">
        <f>G5+G6</f>
        <v>-28.645446641891773</v>
      </c>
      <c r="H7" s="23">
        <f>H5+H6</f>
        <v>21.508553358108223</v>
      </c>
      <c r="I7" s="23">
        <f>I5+I6</f>
        <v>96.73955335810822</v>
      </c>
      <c r="J7" s="23">
        <f>J5+J6</f>
        <v>197.04755335810825</v>
      </c>
      <c r="K7" s="23">
        <f>K5+K6</f>
        <v>297.3555533581082</v>
      </c>
      <c r="L7" s="23">
        <f>L5+L6</f>
        <v>397.66355335810823</v>
      </c>
      <c r="M7" s="23">
        <f>M5+M6</f>
        <v>472.89455335810817</v>
      </c>
      <c r="N7" s="23">
        <f>N5+N6</f>
        <v>472.89455335810817</v>
      </c>
      <c r="O7" s="23">
        <f>O5+O6</f>
        <v>472.89455335810817</v>
      </c>
      <c r="P7" s="23">
        <f>P5+P6</f>
        <v>472.89455335810817</v>
      </c>
      <c r="Q7" s="23">
        <f>Q5+Q6</f>
        <v>472.89455335810817</v>
      </c>
      <c r="R7" s="23">
        <f>R5+R6</f>
        <v>472.89455335810817</v>
      </c>
      <c r="S7" s="23">
        <f>S5+S6</f>
        <v>472.89455335810817</v>
      </c>
      <c r="T7" s="23">
        <f>T5+T6</f>
        <v>472.89455335810817</v>
      </c>
      <c r="U7" s="23">
        <f>U5+U6</f>
        <v>222.12455335810822</v>
      </c>
      <c r="V7" s="23">
        <f>V5+V6</f>
        <v>96.73955335810822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21.508553358108223</v>
      </c>
      <c r="I8" s="23">
        <f>MIN(H17,MAX(0,I7))</f>
        <v>96.73955335810822</v>
      </c>
      <c r="J8" s="23">
        <f>MIN(I17,MAX(0,J7))</f>
        <v>197.04755335810825</v>
      </c>
      <c r="K8" s="23">
        <f>MIN(J17,MAX(0,K7))</f>
        <v>297.3555533581082</v>
      </c>
      <c r="L8" s="23">
        <f>MIN(K17,MAX(0,L7))</f>
        <v>397.66355335810823</v>
      </c>
      <c r="M8" s="23">
        <f>MIN(L17,MAX(0,M7))</f>
        <v>472.89455335810817</v>
      </c>
      <c r="N8" s="23">
        <f>MIN(M17,MAX(0,N7))</f>
        <v>472.89455335810817</v>
      </c>
      <c r="O8" s="23">
        <f>MIN(N17,MAX(0,O7))</f>
        <v>3.601573135134231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469.29298022297394</v>
      </c>
      <c r="P9" s="23">
        <f>MAX(0,P7)-P8</f>
        <v>472.89455335810817</v>
      </c>
      <c r="Q9" s="23">
        <f>MAX(0,Q7)-Q8</f>
        <v>472.89455335810817</v>
      </c>
      <c r="R9" s="23">
        <f>MAX(0,R7)-R8</f>
        <v>472.89455335810817</v>
      </c>
      <c r="S9" s="23">
        <f>MAX(0,S7)-S8</f>
        <v>472.89455335810817</v>
      </c>
      <c r="T9" s="23">
        <f>MAX(0,T7)-T8</f>
        <v>472.89455335810817</v>
      </c>
      <c r="U9" s="23">
        <f>MAX(0,U7)-U8</f>
        <v>222.12455335810822</v>
      </c>
      <c r="V9" s="23">
        <f>MAX(0,V7)-V8</f>
        <v>96.73955335810822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98.55152584682452</v>
      </c>
      <c r="P10" s="23">
        <f>P9*Assumptions!$E$15</f>
        <v>99.30785620520271</v>
      </c>
      <c r="Q10" s="23">
        <f>Q9*Assumptions!$E$15</f>
        <v>99.30785620520271</v>
      </c>
      <c r="R10" s="23">
        <f>R9*Assumptions!$E$15</f>
        <v>99.30785620520271</v>
      </c>
      <c r="S10" s="23">
        <f>S9*Assumptions!$E$15</f>
        <v>99.30785620520271</v>
      </c>
      <c r="T10" s="23">
        <f>T9*Assumptions!$E$15</f>
        <v>99.30785620520271</v>
      </c>
      <c r="U10" s="23">
        <f>U9*Assumptions!$E$15</f>
        <v>46.64615620520272</v>
      </c>
      <c r="V10" s="23">
        <f>V9*Assumptions!$E$15</f>
        <v>20.315306205202727</v>
      </c>
    </row>
    <row r="11">
      <c r="A11" s="24" t="inlineStr">
        <is>
          <t>Free cash flow</t>
        </is>
      </c>
      <c r="C11" s="55">
        <f>C7-C10</f>
        <v>-201.34</v>
      </c>
      <c r="D11" s="55">
        <f>D7-D10</f>
        <v>-201.34</v>
      </c>
      <c r="E11" s="55">
        <f>E7-E10</f>
        <v>-201.34</v>
      </c>
      <c r="F11" s="55">
        <f>F7-F10</f>
        <v>-201.34</v>
      </c>
      <c r="G11" s="55">
        <f>G7-G10</f>
        <v>-28.645446641891773</v>
      </c>
      <c r="H11" s="55">
        <f>H7-H10</f>
        <v>21.508553358108223</v>
      </c>
      <c r="I11" s="55">
        <f>I7-I10</f>
        <v>96.73955335810822</v>
      </c>
      <c r="J11" s="55">
        <f>J7-J10</f>
        <v>197.04755335810825</v>
      </c>
      <c r="K11" s="55">
        <f>K7-K10</f>
        <v>297.3555533581082</v>
      </c>
      <c r="L11" s="55">
        <f>L7-L10</f>
        <v>397.66355335810823</v>
      </c>
      <c r="M11" s="55">
        <f>M7-M10</f>
        <v>472.89455335810817</v>
      </c>
      <c r="N11" s="55">
        <f>N7-N10</f>
        <v>472.89455335810817</v>
      </c>
      <c r="O11" s="55">
        <f>O7-O10</f>
        <v>374.34302751128365</v>
      </c>
      <c r="P11" s="55">
        <f>P7-P10</f>
        <v>373.58669715290546</v>
      </c>
      <c r="Q11" s="55">
        <f>Q7-Q10</f>
        <v>373.58669715290546</v>
      </c>
      <c r="R11" s="55">
        <f>R7-R10</f>
        <v>373.58669715290546</v>
      </c>
      <c r="S11" s="55">
        <f>S7-S10</f>
        <v>373.58669715290546</v>
      </c>
      <c r="T11" s="55">
        <f>T7-T10</f>
        <v>373.58669715290546</v>
      </c>
      <c r="U11" s="55">
        <f>U7-U10</f>
        <v>175.4783971529055</v>
      </c>
      <c r="V11" s="55">
        <f>V7-V10</f>
        <v>76.4242471529055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-98.6373416306119</v>
      </c>
      <c r="D16" s="55">
        <f>D11*D15</f>
        <v>-179.6843478404256</v>
      </c>
      <c r="E16" s="55">
        <f>E11*E15</f>
        <v>-160.4324534289514</v>
      </c>
      <c r="F16" s="55">
        <f>F11*F15</f>
        <v>-143.24326199013518</v>
      </c>
      <c r="G16" s="55">
        <f>G11*G15</f>
        <v>-18.196242399800536</v>
      </c>
      <c r="H16" s="55">
        <f>H11*H15</f>
        <v>12.198861314240416</v>
      </c>
      <c r="I16" s="55">
        <f>I11*I15</f>
        <v>48.98850070119098</v>
      </c>
      <c r="J16" s="55">
        <f>J11*J15</f>
        <v>89.09289972373928</v>
      </c>
      <c r="K16" s="55">
        <f>K11*K15</f>
        <v>120.04113096299818</v>
      </c>
      <c r="L16" s="55">
        <f>L11*L15</f>
        <v>143.33484824089342</v>
      </c>
      <c r="M16" s="55">
        <f>M11*M15</f>
        <v>152.18865938289414</v>
      </c>
      <c r="N16" s="55">
        <f>N11*N15</f>
        <v>135.88273159186974</v>
      </c>
      <c r="O16" s="55">
        <f>O11*O15</f>
        <v>96.03989630267056</v>
      </c>
      <c r="P16" s="55">
        <f>P11*P15</f>
        <v>85.57665653505826</v>
      </c>
      <c r="Q16" s="55">
        <f>Q11*Q15</f>
        <v>76.40772904915916</v>
      </c>
      <c r="R16" s="55">
        <f>R11*R15</f>
        <v>68.22118665103496</v>
      </c>
      <c r="S16" s="55">
        <f>S11*S15</f>
        <v>60.91177379556692</v>
      </c>
      <c r="T16" s="55">
        <f>T11*T15</f>
        <v>54.385512317470464</v>
      </c>
      <c r="U16" s="55">
        <f>U11*U15</f>
        <v>22.808538444785825</v>
      </c>
      <c r="V16" s="55">
        <f>V11*V15</f>
        <v>8.869250979356623</v>
      </c>
    </row>
    <row r="17">
      <c r="A17" s="14" t="inlineStr">
        <is>
          <t>Tax-loss carryforward, end of year</t>
        </is>
      </c>
      <c r="C17" s="23">
        <f>Assumptions!$B$21-C8+MAX(0,-C7)</f>
        <v>1327.04</v>
      </c>
      <c r="D17" s="23">
        <f>C17-D8+MAX(0,-D7)</f>
        <v>1528.3799999999999</v>
      </c>
      <c r="E17" s="23">
        <f>D17-E8+MAX(0,-E7)</f>
        <v>1729.7199999999998</v>
      </c>
      <c r="F17" s="23">
        <f>E17-F8+MAX(0,-F7)</f>
        <v>1931.0599999999997</v>
      </c>
      <c r="G17" s="23">
        <f>F17-G8+MAX(0,-G7)</f>
        <v>1959.7054466418915</v>
      </c>
      <c r="H17" s="23">
        <f>G17-H8+MAX(0,-H7)</f>
        <v>1938.1968932837833</v>
      </c>
      <c r="I17" s="23">
        <f>H17-I8+MAX(0,-I7)</f>
        <v>1841.4573399256751</v>
      </c>
      <c r="J17" s="23">
        <f>I17-J8+MAX(0,-J7)</f>
        <v>1644.409786567567</v>
      </c>
      <c r="K17" s="23">
        <f>J17-K8+MAX(0,-K7)</f>
        <v>1347.0542332094587</v>
      </c>
      <c r="L17" s="23">
        <f>K17-L8+MAX(0,-L7)</f>
        <v>949.3906798513506</v>
      </c>
      <c r="M17" s="23">
        <f>L17-M8+MAX(0,-M7)</f>
        <v>476.4961264932424</v>
      </c>
      <c r="N17" s="23">
        <f>M17-N8+MAX(0,-N7)</f>
        <v>3.601573135134231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1424.4274985528534</v>
      </c>
    </row>
    <row r="20">
      <c r="A20" s="14" t="inlineStr">
        <is>
          <t>PV of corporate burn</t>
        </is>
      </c>
      <c r="B20" s="23">
        <f>SUMPRODUCT(C6:V6,C15:V15)</f>
        <v>-724.1257884924235</v>
      </c>
    </row>
    <row r="21">
      <c r="A21" s="14" t="inlineStr">
        <is>
          <t>PV of taxes</t>
        </is>
      </c>
      <c r="B21" s="23">
        <f>-SUMPRODUCT(C10:V10,C15:V15)</f>
        <v>-125.54718135742567</v>
      </c>
    </row>
    <row r="22">
      <c r="A22" s="24" t="inlineStr">
        <is>
          <t>Pipeline rNPV (operations)</t>
        </is>
      </c>
      <c r="B22" s="54">
        <f>SUM(C16:V16)</f>
        <v>574.7545287030043</v>
      </c>
    </row>
    <row r="23">
      <c r="A23" s="14" t="inlineStr">
        <is>
          <t>Cash &amp; investments</t>
        </is>
      </c>
      <c r="B23" s="57">
        <f>Main!C7</f>
        <v>1145.346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1720.1005287030043</v>
      </c>
    </row>
    <row r="26">
      <c r="A26" s="14" t="inlineStr">
        <is>
          <t>Shares (mm)</t>
        </is>
      </c>
      <c r="B26" s="57">
        <f>Main!C4</f>
        <v>88.173762</v>
      </c>
    </row>
    <row r="27">
      <c r="A27" s="24" t="inlineStr">
        <is>
          <t>rNPV / share</t>
        </is>
      </c>
      <c r="B27" s="60">
        <f>B25/B26</f>
        <v>19.508076889165785</v>
      </c>
    </row>
    <row r="28">
      <c r="A28" s="14" t="inlineStr">
        <is>
          <t>Price</t>
        </is>
      </c>
      <c r="B28" s="61">
        <f>Main!C3</f>
        <v>91.4</v>
      </c>
    </row>
    <row r="29">
      <c r="A29" s="14" t="inlineStr">
        <is>
          <t>Upside</t>
        </is>
      </c>
      <c r="B29" s="62">
        <f>B27/B28-1</f>
        <v>-0.7865637101841818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2026-10-21T06:21:31Z</dcterms:modified>
  <cp:lastModifiedBy>Wang, Eric</cp:lastModifiedBy>
</cp:coreProperties>
</file>