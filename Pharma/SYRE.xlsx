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Spyre Therapeutics Inc</t>
        </is>
      </c>
      <c r="C2" s="10" t="n"/>
    </row>
    <row r="3">
      <c r="B3" t="inlineStr">
        <is>
          <t>Price</t>
        </is>
      </c>
      <c r="C3" s="11">
        <f>INDEX([1]Pharma!$F$1:$F$1000,MATCH("SYRE",[1]Pharma!$B$1:$B$1000,0))</f>
        <v>91.4</v>
      </c>
      <c r="F3" s="1" t="n"/>
    </row>
    <row r="4">
      <c r="B4" t="inlineStr">
        <is>
          <t>Shares</t>
        </is>
      </c>
      <c r="C4" s="21" t="n">
        <v>88.173762</v>
      </c>
      <c r="F4" s="1" t="n"/>
    </row>
    <row r="5">
      <c r="B5" t="inlineStr">
        <is>
          <t>Market Cap.</t>
        </is>
      </c>
      <c r="C5" s="13">
        <f>C3*C4</f>
        <v>8059.0818468</v>
      </c>
      <c r="F5" s="1" t="n"/>
    </row>
    <row r="6"/>
    <row r="7">
      <c r="B7" t="inlineStr">
        <is>
          <t>Cash</t>
        </is>
      </c>
      <c r="C7" s="21">
        <f>162.007+983.339</f>
        <v>1145.346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6913.7358468</v>
      </c>
    </row>
    <row r="10"/>
    <row r="11">
      <c r="B11" s="14" t="inlineStr">
        <is>
          <t>Net Cash / Share</t>
        </is>
      </c>
      <c r="C11" s="11">
        <f>(C7-C8)/C4</f>
        <v>12.98964651185009</v>
      </c>
    </row>
    <row r="12">
      <c r="B12" s="14" t="inlineStr">
        <is>
          <t>Upside</t>
        </is>
      </c>
      <c r="C12" s="15">
        <f>IFERROR(C11/C3-1,"")</f>
        <v>-0.8578813291920122</v>
      </c>
    </row>
    <row r="13">
      <c r="B13" s="14" t="inlineStr">
        <is>
          <t>Cash / Share</t>
        </is>
      </c>
      <c r="C13" s="11">
        <f>IFERROR((C7-C8)/C4,"")</f>
        <v>12.98964651185009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-208.944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5.481593154146566</v>
      </c>
    </row>
    <row r="19">
      <c r="B19" s="14" t="inlineStr">
        <is>
          <t>Implied Pipeline Value</t>
        </is>
      </c>
      <c r="C19" s="13">
        <f>C9</f>
        <v>6913.7358468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4.628</v>
      </c>
      <c r="E2" s="23" t="n">
        <v>5.205</v>
      </c>
      <c r="F2" s="23" t="n">
        <v>3.888</v>
      </c>
      <c r="G2" s="23" t="n">
        <v>0</v>
      </c>
      <c r="H2" s="23" t="n">
        <v>0</v>
      </c>
      <c r="I2" s="23" t="n">
        <v>18.739</v>
      </c>
      <c r="J2" s="23" t="n">
        <v>2.329</v>
      </c>
      <c r="K2" s="23" t="n">
        <v>0.886</v>
      </c>
      <c r="L2" s="23" t="n">
        <v>0</v>
      </c>
      <c r="M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4.628</v>
      </c>
      <c r="E4" s="23">
        <f>E2-E3</f>
        <v>5.205</v>
      </c>
      <c r="F4" s="23">
        <f>F2-F3</f>
        <v>3.888</v>
      </c>
      <c r="G4" s="23">
        <f>G2-G3</f>
        <v>0.0</v>
      </c>
      <c r="H4" s="23">
        <f>H2-H3</f>
        <v>0.0</v>
      </c>
      <c r="I4" s="23">
        <f>I2-I3</f>
        <v>18.739</v>
      </c>
      <c r="J4" s="23">
        <f>J2-J3</f>
        <v>2.329</v>
      </c>
      <c r="K4" s="23">
        <f>K2-K3</f>
        <v>0.886</v>
      </c>
      <c r="L4" s="23">
        <f>L2-L3</f>
        <v>0.0</v>
      </c>
      <c r="M4" s="23">
        <f>M2-M3</f>
        <v>0.0</v>
      </c>
    </row>
    <row r="5">
      <c r="A5" s="2" t="inlineStr">
        <is>
          <t>Research &amp; Dev.</t>
        </is>
      </c>
      <c r="B5" s="23" t="n">
        <v>6.83</v>
      </c>
      <c r="C5" s="23" t="n">
        <v>11.453</v>
      </c>
      <c r="D5" s="23" t="n">
        <v>18.143</v>
      </c>
      <c r="E5" s="23" t="n">
        <v>22.815</v>
      </c>
      <c r="F5" s="23" t="n">
        <v>36.719</v>
      </c>
      <c r="G5" s="23" t="n">
        <v>64.59999999999999</v>
      </c>
      <c r="H5" s="23" t="n">
        <v>59.638</v>
      </c>
      <c r="I5" s="23" t="n">
        <v>57.069</v>
      </c>
      <c r="J5" s="23" t="n">
        <v>58.579</v>
      </c>
      <c r="K5" s="23" t="n">
        <v>89.504</v>
      </c>
      <c r="L5" s="23" t="n">
        <v>162.79</v>
      </c>
      <c r="M5" s="23" t="n">
        <v>171.653</v>
      </c>
    </row>
    <row r="6">
      <c r="A6" s="19" t="inlineStr">
        <is>
          <t>SG&amp;A &amp; Other</t>
        </is>
      </c>
      <c r="B6" s="23" t="n">
        <v>2.074</v>
      </c>
      <c r="C6" s="23" t="n">
        <v>-0.138</v>
      </c>
      <c r="D6" s="23" t="n">
        <v>8.391</v>
      </c>
      <c r="E6" s="23" t="n">
        <v>10.066</v>
      </c>
      <c r="F6" s="23" t="n">
        <v>12.632</v>
      </c>
      <c r="G6" s="23" t="n">
        <v>15.734</v>
      </c>
      <c r="H6" s="23" t="n">
        <v>21.843</v>
      </c>
      <c r="I6" s="23" t="n">
        <v>27.319</v>
      </c>
      <c r="J6" s="23" t="n">
        <v>28.531</v>
      </c>
      <c r="K6" s="23" t="n">
        <v>153.685</v>
      </c>
      <c r="L6" s="23" t="n">
        <v>45.776</v>
      </c>
      <c r="M6" s="23" t="n">
        <v>37.909</v>
      </c>
    </row>
    <row r="7">
      <c r="A7" s="2" t="inlineStr">
        <is>
          <t>Operating Expense</t>
        </is>
      </c>
      <c r="B7" s="23">
        <f>SUM(B5:B6)</f>
        <v>8.904</v>
      </c>
      <c r="C7" s="23">
        <f>SUM(C5:C6)</f>
        <v>11.315</v>
      </c>
      <c r="D7" s="23">
        <f>SUM(D5:D6)</f>
        <v>26.534</v>
      </c>
      <c r="E7" s="23">
        <f>SUM(E5:E6)</f>
        <v>32.881</v>
      </c>
      <c r="F7" s="23">
        <f>SUM(F5:F6)</f>
        <v>49.351</v>
      </c>
      <c r="G7" s="23">
        <f>SUM(G5:G6)</f>
        <v>80.33399999999999</v>
      </c>
      <c r="H7" s="23">
        <f>SUM(H5:H6)</f>
        <v>81.481</v>
      </c>
      <c r="I7" s="23">
        <f>SUM(I5:I6)</f>
        <v>84.388</v>
      </c>
      <c r="J7" s="23">
        <f>SUM(J5:J6)</f>
        <v>87.11</v>
      </c>
      <c r="K7" s="23">
        <f>SUM(K5:K6)</f>
        <v>243.18900000000002</v>
      </c>
      <c r="L7" s="23">
        <f>SUM(L5:L6)</f>
        <v>208.566</v>
      </c>
      <c r="M7" s="23">
        <f>SUM(M5:M6)</f>
        <v>209.56199999999998</v>
      </c>
    </row>
    <row r="8">
      <c r="A8" s="2" t="inlineStr">
        <is>
          <t>Operating Income</t>
        </is>
      </c>
      <c r="B8" s="23">
        <f>B4-B7</f>
        <v>-8.904</v>
      </c>
      <c r="C8" s="23">
        <f>C4-C7</f>
        <v>-11.315</v>
      </c>
      <c r="D8" s="23">
        <f>D4-D7</f>
        <v>-21.906</v>
      </c>
      <c r="E8" s="23">
        <f>E4-E7</f>
        <v>-27.676000000000002</v>
      </c>
      <c r="F8" s="23">
        <f>F4-F7</f>
        <v>-45.463</v>
      </c>
      <c r="G8" s="23">
        <f>G4-G7</f>
        <v>-80.33399999999999</v>
      </c>
      <c r="H8" s="23">
        <f>H4-H7</f>
        <v>-81.481</v>
      </c>
      <c r="I8" s="23">
        <f>I4-I7</f>
        <v>-65.649</v>
      </c>
      <c r="J8" s="23">
        <f>J4-J7</f>
        <v>-84.781</v>
      </c>
      <c r="K8" s="23">
        <f>K4-K7</f>
        <v>-242.30300000000003</v>
      </c>
      <c r="L8" s="23">
        <f>L4-L7</f>
        <v>-208.566</v>
      </c>
      <c r="M8" s="23">
        <f>M4-M7</f>
        <v>-209.56199999999998</v>
      </c>
    </row>
    <row r="9">
      <c r="A9" s="19" t="inlineStr">
        <is>
          <t>Interest &amp; Other</t>
        </is>
      </c>
      <c r="B9" s="23" t="n">
        <v>-1.443</v>
      </c>
      <c r="C9" s="23" t="n">
        <v>0.02</v>
      </c>
      <c r="D9" s="23" t="n">
        <v>0.208</v>
      </c>
      <c r="E9" s="23" t="n">
        <v>0.44</v>
      </c>
      <c r="F9" s="23" t="n">
        <v>1.115</v>
      </c>
      <c r="G9" s="23" t="n">
        <v>2.08</v>
      </c>
      <c r="H9" s="23" t="n">
        <v>0.588</v>
      </c>
      <c r="I9" s="23" t="n">
        <v>-0.011</v>
      </c>
      <c r="J9" s="23" t="n">
        <v>0.83</v>
      </c>
      <c r="K9" s="23" t="n">
        <v>-96.51300000000001</v>
      </c>
      <c r="L9" s="23" t="n">
        <v>0.599</v>
      </c>
      <c r="M9" s="23" t="n">
        <v>54.347</v>
      </c>
    </row>
    <row r="10">
      <c r="A10" s="2" t="inlineStr">
        <is>
          <t>Pretax</t>
        </is>
      </c>
      <c r="B10" s="23">
        <f>B8+B9</f>
        <v>-10.347</v>
      </c>
      <c r="C10" s="23">
        <f>C8+C9</f>
        <v>-11.295</v>
      </c>
      <c r="D10" s="23">
        <f>D8+D9</f>
        <v>-21.698</v>
      </c>
      <c r="E10" s="23">
        <f>E8+E9</f>
        <v>-27.236</v>
      </c>
      <c r="F10" s="23">
        <f>F8+F9</f>
        <v>-44.348</v>
      </c>
      <c r="G10" s="23">
        <f>G8+G9</f>
        <v>-78.25399999999999</v>
      </c>
      <c r="H10" s="23">
        <f>H8+H9</f>
        <v>-80.893</v>
      </c>
      <c r="I10" s="23">
        <f>I8+I9</f>
        <v>-65.66</v>
      </c>
      <c r="J10" s="23">
        <f>J8+J9</f>
        <v>-83.95100000000001</v>
      </c>
      <c r="K10" s="23">
        <f>K8+K9</f>
        <v>-338.81600000000003</v>
      </c>
      <c r="L10" s="23">
        <f>L8+L9</f>
        <v>-207.967</v>
      </c>
      <c r="M10" s="23">
        <f>M8+M9</f>
        <v>-155.21499999999997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0.141</v>
      </c>
      <c r="J11" s="23" t="n">
        <v>-0.136</v>
      </c>
      <c r="K11" s="23" t="n">
        <v>-0.026</v>
      </c>
      <c r="L11" s="23" t="n">
        <v>0.051</v>
      </c>
      <c r="M11" s="23" t="n">
        <v>-0.015</v>
      </c>
    </row>
    <row r="12">
      <c r="A12" s="2" t="inlineStr">
        <is>
          <t>Net Income</t>
        </is>
      </c>
      <c r="B12" s="23" t="n">
        <v>-10.347</v>
      </c>
      <c r="C12" s="23" t="n">
        <v>-11.295</v>
      </c>
      <c r="D12" s="23" t="n">
        <v>-21.698</v>
      </c>
      <c r="E12" s="23" t="n">
        <v>-27.236</v>
      </c>
      <c r="F12" s="23" t="n">
        <v>-44.348</v>
      </c>
      <c r="G12" s="23" t="n">
        <v>-78.254</v>
      </c>
      <c r="H12" s="23" t="n">
        <v>-80.893</v>
      </c>
      <c r="I12" s="23" t="n">
        <v>-65.801</v>
      </c>
      <c r="J12" s="23" t="n">
        <v>-83.815</v>
      </c>
      <c r="K12" s="23" t="n">
        <v>-338.79</v>
      </c>
      <c r="L12" s="23" t="n">
        <v>-208.018</v>
      </c>
      <c r="M12" s="23" t="n">
        <v>-155.2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-376.5</v>
      </c>
      <c r="D13" s="11">
        <f>IFERROR(D12/D14,0)</f>
        <v>-44.28163265306122</v>
      </c>
      <c r="E13" s="11">
        <f>IFERROR(E12/E14,0)</f>
        <v>-36.026455026455025</v>
      </c>
      <c r="F13" s="11">
        <f>IFERROR(F12/F14,0)</f>
        <v>-42.60134486071086</v>
      </c>
      <c r="G13" s="11">
        <f>IFERROR(G12/G14,0)</f>
        <v>-49.000626174076395</v>
      </c>
      <c r="H13" s="11">
        <f>IFERROR(H12/H14,0)</f>
        <v>-30.30835518920944</v>
      </c>
      <c r="I13" s="11">
        <f>IFERROR(I12/I14,0)</f>
        <v>-25.01939163498099</v>
      </c>
      <c r="J13" s="11">
        <f>IFERROR(J12/J14,0)</f>
        <v>-24.863541975674874</v>
      </c>
      <c r="K13" s="11">
        <f>IFERROR(K12/K14,0)</f>
        <v>-49.12135711178774</v>
      </c>
      <c r="L13" s="11">
        <f>IFERROR(L12/L14,0)</f>
        <v>0</v>
      </c>
      <c r="M13" s="11">
        <f>IFERROR(M12/M14,0)</f>
        <v>0</v>
      </c>
    </row>
    <row r="14">
      <c r="A14" s="2" t="inlineStr">
        <is>
          <t>Shares</t>
        </is>
      </c>
      <c r="B14" s="23" t="n"/>
      <c r="C14" s="23" t="n">
        <v>0.03</v>
      </c>
      <c r="D14" s="23" t="n">
        <v>0.49</v>
      </c>
      <c r="E14" s="23" t="n">
        <v>0.756</v>
      </c>
      <c r="F14" s="23" t="n">
        <v>1.041</v>
      </c>
      <c r="G14" s="23" t="n">
        <v>1.597</v>
      </c>
      <c r="H14" s="23" t="n">
        <v>2.669</v>
      </c>
      <c r="I14" s="23" t="n">
        <v>2.63</v>
      </c>
      <c r="J14" s="23" t="n">
        <v>3.371</v>
      </c>
      <c r="K14" s="23" t="n">
        <v>6.897</v>
      </c>
      <c r="L14" s="23" t="n"/>
      <c r="M14" s="23" t="n"/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0.12467588591184087</v>
      </c>
      <c r="F16" s="15">
        <f>IFERROR(F2/E2-1,"")</f>
        <v>-0.25302593659942363</v>
      </c>
      <c r="G16" s="15">
        <f>IFERROR(G2/F2-1,"")</f>
        <v>-1.0</v>
      </c>
      <c r="H16" s="15">
        <f>IFERROR(H2/G2-1,"")</f>
        <v/>
      </c>
      <c r="I16" s="15">
        <f>IFERROR(I2/H2-1,"")</f>
        <v/>
      </c>
      <c r="J16" s="15">
        <f>IFERROR(J2/I2-1,"")</f>
        <v>-0.8757137520678798</v>
      </c>
      <c r="K16" s="15">
        <f>IFERROR(K2/J2-1,"")</f>
        <v>-0.6195792185487334</v>
      </c>
      <c r="L16" s="15">
        <f>IFERROR(L2/K2-1,"")</f>
        <v>-1.0</v>
      </c>
      <c r="M16" s="15">
        <f>IFERROR(M2/L2-1,"")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/>
      </c>
      <c r="H17" s="15">
        <f>IFERROR(H4/H2,"")</f>
        <v/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/>
      </c>
      <c r="M17" s="15">
        <f>IFERROR(M4/M2,"")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-4.733362143474503</v>
      </c>
      <c r="E18" s="15">
        <f>IFERROR(E8/E2,"")</f>
        <v>-5.317195004803074</v>
      </c>
      <c r="F18" s="15">
        <f>IFERROR(F8/F2,"")</f>
        <v>-11.693158436213992</v>
      </c>
      <c r="G18" s="15">
        <f>IFERROR(G8/G2,"")</f>
        <v/>
      </c>
      <c r="H18" s="15">
        <f>IFERROR(H8/H2,"")</f>
        <v/>
      </c>
      <c r="I18" s="15">
        <f>IFERROR(I8/I2,"")</f>
        <v>-3.5033352900368215</v>
      </c>
      <c r="J18" s="15">
        <f>IFERROR(J8/J2,"")</f>
        <v>-36.402318591670245</v>
      </c>
      <c r="K18" s="15">
        <f>IFERROR(K8/K2,"")</f>
        <v>-273.47968397291197</v>
      </c>
      <c r="L18" s="15">
        <f>IFERROR(L8/L2,"")</f>
        <v/>
      </c>
      <c r="M18" s="15">
        <f>IFERROR(M8/M2,"")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2026-10-21T01:04:00Z</dcterms:modified>
  <cp:lastModifiedBy>Wang, Eric</cp:lastModifiedBy>
</cp:coreProperties>
</file>