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Eupraxia Pharmaceuticals Inc</t>
        </is>
      </c>
      <c r="C2" s="10" t="n"/>
    </row>
    <row r="3">
      <c r="B3" t="inlineStr">
        <is>
          <t>Price</t>
        </is>
      </c>
      <c r="C3" s="11">
        <f>INDEX([1]Pharma!$F$1:$F$1000,MATCH("EPRX",[1]Pharma!$B$1:$B$1000,0))</f>
        <v>7.59</v>
      </c>
      <c r="F3" s="1" t="n"/>
    </row>
    <row r="4">
      <c r="B4" t="inlineStr">
        <is>
          <t>Shares</t>
        </is>
      </c>
      <c r="C4" s="21" t="n">
        <v>51.939206</v>
      </c>
      <c r="F4" s="1" t="n"/>
    </row>
    <row r="5">
      <c r="B5" t="inlineStr">
        <is>
          <t>Market Cap.</t>
        </is>
      </c>
      <c r="C5" s="13">
        <f>C3*C4</f>
        <v>394.21857353999997</v>
      </c>
      <c r="F5" s="1" t="n"/>
    </row>
    <row r="6"/>
    <row r="7">
      <c r="B7" t="inlineStr">
        <is>
          <t>Cash</t>
        </is>
      </c>
      <c r="C7" s="21" t="n">
        <v>80.56348199999999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313.65509153999994</v>
      </c>
    </row>
    <row r="10"/>
    <row r="11">
      <c r="B11" s="14" t="inlineStr">
        <is>
          <t>Net Cash / Share</t>
        </is>
      </c>
      <c r="C11" s="11">
        <f>(C7-C8)/C4</f>
        <v>1.5511111586881015</v>
      </c>
    </row>
    <row r="12">
      <c r="B12" s="14" t="inlineStr">
        <is>
          <t>Upside</t>
        </is>
      </c>
      <c r="C12" s="15">
        <f>IFERROR(C11/C3-1,"")</f>
        <v>-0.7956375284995914</v>
      </c>
    </row>
    <row r="13">
      <c r="B13" s="14" t="inlineStr">
        <is>
          <t>Cash / Share</t>
        </is>
      </c>
      <c r="C13" s="11">
        <f>IFERROR((C7-C8)/C4,"")</f>
        <v>1.5511111586881015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-28.552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2.8216405855982067</v>
      </c>
    </row>
    <row r="19">
      <c r="B19" s="14" t="inlineStr">
        <is>
          <t>Implied Pipeline Value</t>
        </is>
      </c>
      <c r="C19" s="13">
        <f>C9</f>
        <v>313.65509153999994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13.63</v>
      </c>
      <c r="C5" s="23" t="n">
        <v>20.363</v>
      </c>
      <c r="D5" s="23" t="n">
        <v>16.079</v>
      </c>
      <c r="E5" s="23" t="n">
        <v>21.332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3.988</v>
      </c>
      <c r="C6" s="23" t="n">
        <v>7.484</v>
      </c>
      <c r="D6" s="23" t="n">
        <v>10.924</v>
      </c>
      <c r="E6" s="23" t="n">
        <v>17.102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17.618000000000002</v>
      </c>
      <c r="C7" s="23">
        <f>SUM(C5:C6)</f>
        <v>27.847</v>
      </c>
      <c r="D7" s="23">
        <f>SUM(D5:D6)</f>
        <v>27.003</v>
      </c>
      <c r="E7" s="23">
        <f>SUM(E5:E6)</f>
        <v>38.434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-17.618000000000002</v>
      </c>
      <c r="C8" s="23">
        <f>C4-C7</f>
        <v>-27.847</v>
      </c>
      <c r="D8" s="23">
        <f>D4-D7</f>
        <v>-27.003</v>
      </c>
      <c r="E8" s="23">
        <f>E4-E7</f>
        <v>-38.434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-0.872</v>
      </c>
      <c r="C9" s="23" t="n">
        <v>-0.337</v>
      </c>
      <c r="D9" s="23" t="n">
        <v>1.503</v>
      </c>
      <c r="E9" s="23" t="n">
        <v>-0.123</v>
      </c>
    </row>
    <row r="10">
      <c r="A10" s="2" t="inlineStr">
        <is>
          <t>Pretax</t>
        </is>
      </c>
      <c r="B10" s="23">
        <f>B8+B9</f>
        <v>-18.490000000000002</v>
      </c>
      <c r="C10" s="23">
        <f>C8+C9</f>
        <v>-28.184</v>
      </c>
      <c r="D10" s="23">
        <f>D8+D9</f>
        <v>-25.5</v>
      </c>
      <c r="E10" s="23">
        <f>E8+E9</f>
        <v>-38.556999999999995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0.036</v>
      </c>
      <c r="D11" s="23" t="n">
        <v>0.002</v>
      </c>
      <c r="E11" s="23" t="n">
        <v>0.019</v>
      </c>
    </row>
    <row r="12">
      <c r="A12" s="2" t="inlineStr">
        <is>
          <t>Net Income</t>
        </is>
      </c>
      <c r="B12" s="23" t="n">
        <v>-18.49</v>
      </c>
      <c r="C12" s="23" t="n">
        <v>-28.221</v>
      </c>
      <c r="D12" s="23" t="n">
        <v>-25.503</v>
      </c>
      <c r="E12" s="23" t="n">
        <v>-38.576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-0.9587762509722582</v>
      </c>
      <c r="C13" s="11">
        <f>IFERROR(C12/C14,0)</f>
        <v>-1.1687166107591005</v>
      </c>
      <c r="D13" s="11">
        <f>IFERROR(D12/D14,0)</f>
        <v>-0.7516135687129764</v>
      </c>
      <c r="E13" s="11">
        <f>IFERROR(E12/E14,0)</f>
        <v>-0.9654620082090298</v>
      </c>
    </row>
    <row r="14">
      <c r="A14" s="2" t="inlineStr">
        <is>
          <t>Shares</t>
        </is>
      </c>
      <c r="B14" s="23" t="n">
        <v>19.285</v>
      </c>
      <c r="C14" s="23" t="n">
        <v>24.147</v>
      </c>
      <c r="D14" s="23" t="n">
        <v>33.931</v>
      </c>
      <c r="E14" s="23" t="n">
        <v>39.956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2026-10-21T01:05:21Z</dcterms:modified>
  <cp:lastModifiedBy>Wang, Eric</cp:lastModifiedBy>
</cp:coreProperties>
</file>