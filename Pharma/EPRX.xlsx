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Eupraxia Pharmaceuticals Inc</t>
        </is>
      </c>
      <c r="C2" s="10" t="n"/>
    </row>
    <row r="3">
      <c r="B3" t="inlineStr">
        <is>
          <t>Price</t>
        </is>
      </c>
      <c r="C3" s="11">
        <f>INDEX([1]Pharma!$F$1:$F$1000,MATCH("EPRX",[1]Pharma!$B$1:$B$1000,0))</f>
        <v>7.59</v>
      </c>
      <c r="F3" s="1" t="n"/>
    </row>
    <row r="4">
      <c r="B4" t="inlineStr">
        <is>
          <t>Shares</t>
        </is>
      </c>
      <c r="C4" s="21" t="n">
        <v>51.939206</v>
      </c>
      <c r="F4" s="1" t="n"/>
    </row>
    <row r="5">
      <c r="B5" t="inlineStr">
        <is>
          <t>Market Cap.</t>
        </is>
      </c>
      <c r="C5" s="13">
        <f>C3*C4</f>
        <v>394.21857353999997</v>
      </c>
      <c r="F5" s="1" t="n"/>
    </row>
    <row r="6"/>
    <row r="7">
      <c r="B7" t="inlineStr">
        <is>
          <t>Cash</t>
        </is>
      </c>
      <c r="C7" s="21" t="n">
        <v>80.56348199999999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313.65509153999994</v>
      </c>
    </row>
    <row r="10"/>
    <row r="11">
      <c r="B11" s="14" t="inlineStr">
        <is>
          <t>rNPV / Share</t>
        </is>
      </c>
      <c r="C11" s="11">
        <f>NPV!B27</f>
        <v>0.687198199445147</v>
      </c>
    </row>
    <row r="12">
      <c r="B12" s="14" t="inlineStr">
        <is>
          <t>Upside</t>
        </is>
      </c>
      <c r="C12" s="15">
        <f>IFERROR(C11/C3-1,"")</f>
        <v>-0.9094600527740254</v>
      </c>
    </row>
    <row r="13">
      <c r="B13" s="14" t="inlineStr">
        <is>
          <t>Cash / Share</t>
        </is>
      </c>
      <c r="C13" s="11">
        <f>IFERROR((C7-C8)/C4,"")</f>
        <v>1.5511111586881015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-28.552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2.8216405855982067</v>
      </c>
    </row>
    <row r="19">
      <c r="B19" s="14" t="inlineStr">
        <is>
          <t>Implied Pipeline Value</t>
        </is>
      </c>
      <c r="C19" s="13">
        <f>C9</f>
        <v>313.65509153999994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13.63</v>
      </c>
      <c r="C5" s="23" t="n">
        <v>20.363</v>
      </c>
      <c r="D5" s="23" t="n">
        <v>16.079</v>
      </c>
      <c r="E5" s="23" t="n">
        <v>21.332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3.988</v>
      </c>
      <c r="C6" s="23" t="n">
        <v>7.484</v>
      </c>
      <c r="D6" s="23" t="n">
        <v>10.924</v>
      </c>
      <c r="E6" s="23" t="n">
        <v>17.102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17.618000000000002</v>
      </c>
      <c r="C7" s="23">
        <f>SUM(C5:C6)</f>
        <v>27.847</v>
      </c>
      <c r="D7" s="23">
        <f>SUM(D5:D6)</f>
        <v>27.003</v>
      </c>
      <c r="E7" s="23">
        <f>SUM(E5:E6)</f>
        <v>38.434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-17.618000000000002</v>
      </c>
      <c r="C8" s="23">
        <f>C4-C7</f>
        <v>-27.847</v>
      </c>
      <c r="D8" s="23">
        <f>D4-D7</f>
        <v>-27.003</v>
      </c>
      <c r="E8" s="23">
        <f>E4-E7</f>
        <v>-38.434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-0.872</v>
      </c>
      <c r="C9" s="23" t="n">
        <v>-0.337</v>
      </c>
      <c r="D9" s="23" t="n">
        <v>1.503</v>
      </c>
      <c r="E9" s="23" t="n">
        <v>-0.123</v>
      </c>
    </row>
    <row r="10">
      <c r="A10" s="2" t="inlineStr">
        <is>
          <t>Pretax</t>
        </is>
      </c>
      <c r="B10" s="23">
        <f>B8+B9</f>
        <v>-18.490000000000002</v>
      </c>
      <c r="C10" s="23">
        <f>C8+C9</f>
        <v>-28.184</v>
      </c>
      <c r="D10" s="23">
        <f>D8+D9</f>
        <v>-25.5</v>
      </c>
      <c r="E10" s="23">
        <f>E8+E9</f>
        <v>-38.556999999999995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0.036</v>
      </c>
      <c r="D11" s="23" t="n">
        <v>0.002</v>
      </c>
      <c r="E11" s="23" t="n">
        <v>0.019</v>
      </c>
    </row>
    <row r="12">
      <c r="A12" s="2" t="inlineStr">
        <is>
          <t>Net Income</t>
        </is>
      </c>
      <c r="B12" s="23" t="n">
        <v>-18.49</v>
      </c>
      <c r="C12" s="23" t="n">
        <v>-28.221</v>
      </c>
      <c r="D12" s="23" t="n">
        <v>-25.503</v>
      </c>
      <c r="E12" s="23" t="n">
        <v>-38.576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-0.9587762509722582</v>
      </c>
      <c r="C13" s="11">
        <f>IFERROR(C12/C14,0)</f>
        <v>-1.1687166107591005</v>
      </c>
      <c r="D13" s="11">
        <f>IFERROR(D12/D14,0)</f>
        <v>-0.7516135687129764</v>
      </c>
      <c r="E13" s="11">
        <f>IFERROR(E12/E14,0)</f>
        <v>-0.9654620082090298</v>
      </c>
    </row>
    <row r="14">
      <c r="A14" s="2" t="inlineStr">
        <is>
          <t>Shares</t>
        </is>
      </c>
      <c r="B14" s="23" t="n">
        <v>19.285</v>
      </c>
      <c r="C14" s="23" t="n">
        <v>24.147</v>
      </c>
      <c r="D14" s="23" t="n">
        <v>33.931</v>
      </c>
      <c r="E14" s="23" t="n">
        <v>39.956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Eupraxia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38.434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110.8</v>
      </c>
    </row>
    <row r="22">
      <c r="A22" s="14" t="inlineStr">
        <is>
          <t>First year, fraction after the balance sheet date</t>
        </is>
      </c>
      <c r="B22" s="28" t="n">
        <v>1</v>
      </c>
    </row>
    <row r="23">
      <c r="A23" s="14" t="inlineStr">
        <is>
          <t>Balance sheet date</t>
        </is>
      </c>
      <c r="B23" s="41" t="n">
        <v>46022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-44.870953156189415</v>
      </c>
      <c r="C29" s="42">
        <f>NPV!B25</f>
        <v>35.69252884381058</v>
      </c>
      <c r="D29" s="43">
        <f>NPV!B27</f>
        <v>0.687198199445147</v>
      </c>
      <c r="E29" s="44">
        <f>NPV!B29</f>
        <v>-0.9094600527740254</v>
      </c>
    </row>
    <row r="30">
      <c r="A30" s="45" t="n">
        <v>1</v>
      </c>
      <c r="B30" s="46">
        <f t="dataTable" ref="B30:E32" r1="B4"/>
        <v>-89.37208879602821</v>
      </c>
      <c r="C30" s="46">
        <v>-8.808606796028215</v>
      </c>
      <c r="D30" s="47">
        <v>-0.16959456014842073</v>
      </c>
      <c r="E30" s="48">
        <v>-1.0223444743278551</v>
      </c>
    </row>
    <row r="31">
      <c r="A31" s="45" t="n">
        <v>2</v>
      </c>
      <c r="B31" s="46">
        <v>-44.870953156189415</v>
      </c>
      <c r="C31" s="46">
        <v>35.69252884381058</v>
      </c>
      <c r="D31" s="47">
        <v>0.687198199445147</v>
      </c>
      <c r="E31" s="48">
        <v>-0.9094600527740254</v>
      </c>
    </row>
    <row r="32">
      <c r="A32" s="45" t="n">
        <v>3</v>
      </c>
      <c r="B32" s="46">
        <v>25.382003401226033</v>
      </c>
      <c r="C32" s="46">
        <v>105.94548540122602</v>
      </c>
      <c r="D32" s="47">
        <v>2.0397979399459056</v>
      </c>
      <c r="E32" s="48">
        <v>-0.7312519183206976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0.687198199445147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-0.3786018235168791</v>
      </c>
      <c r="C37" s="47">
        <v>-0.13059781314240146</v>
      </c>
      <c r="D37" s="47">
        <v>0.11740619723207615</v>
      </c>
      <c r="E37" s="47">
        <v>0.5731995477025827</v>
      </c>
      <c r="F37" s="47">
        <v>0.9955286000092008</v>
      </c>
    </row>
    <row r="38">
      <c r="A38" s="50" t="n">
        <v>0.8</v>
      </c>
      <c r="B38" s="47">
        <v>-0.22896803006530822</v>
      </c>
      <c r="C38" s="47">
        <v>0.10170398376732896</v>
      </c>
      <c r="D38" s="47">
        <v>0.41471027591308673</v>
      </c>
      <c r="E38" s="47">
        <v>0.9818115476069874</v>
      </c>
      <c r="F38" s="47">
        <v>1.5309505832481387</v>
      </c>
    </row>
    <row r="39">
      <c r="A39" s="50" t="n">
        <v>1</v>
      </c>
      <c r="B39" s="47">
        <v>-0.07933423661373655</v>
      </c>
      <c r="C39" s="47">
        <v>0.3273742719728504</v>
      </c>
      <c r="D39" s="47">
        <v>0.687198199445147</v>
      </c>
      <c r="E39" s="47">
        <v>1.3810806911827345</v>
      </c>
      <c r="F39" s="47">
        <v>2.058574343402749</v>
      </c>
    </row>
    <row r="40">
      <c r="A40" s="50" t="n">
        <v>1.2</v>
      </c>
      <c r="B40" s="47">
        <v>0.07029955683783486</v>
      </c>
      <c r="C40" s="47">
        <v>0.5306469005771862</v>
      </c>
      <c r="D40" s="47">
        <v>0.9541764022308645</v>
      </c>
      <c r="E40" s="47">
        <v>1.7758231063841214</v>
      </c>
      <c r="F40" s="47">
        <v>2.5822892085207183</v>
      </c>
    </row>
    <row r="41">
      <c r="A41" s="50" t="n">
        <v>1.4</v>
      </c>
      <c r="B41" s="47">
        <v>0.219933350289406</v>
      </c>
      <c r="C41" s="47">
        <v>0.7301320910646998</v>
      </c>
      <c r="D41" s="47">
        <v>1.2168911293242868</v>
      </c>
      <c r="E41" s="47">
        <v>2.1664761459349173</v>
      </c>
      <c r="F41" s="47">
        <v>3.102165103635261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Eupraxia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Gastric / esophageal cancer</t>
        </is>
      </c>
      <c r="C4" s="14" t="inlineStr">
        <is>
          <t>EP-104GI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85.87420922444086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9.048</v>
      </c>
      <c r="T4" s="23">
        <f>IF(T$3&lt;$I4,0,$G4*Assumptions!$E$11*INDEX(Assumptions!$B$24:$G$24,MIN(6,T$3-$I4+1))*IF(T$3&gt;$J4,(1-Assumptions!$B$26)^(T$3-$J4),1)*IF($H4&gt;=1,1,MIN(0.97,$H4*Assumptions!$E$12)))</f>
        <v>22.619999999999997</v>
      </c>
      <c r="U4" s="23">
        <f>IF(U$3&lt;$I4,0,$G4*Assumptions!$E$11*INDEX(Assumptions!$B$24:$G$24,MIN(6,U$3-$I4+1))*IF(U$3&gt;$J4,(1-Assumptions!$B$26)^(U$3-$J4),1)*IF($H4&gt;=1,1,MIN(0.97,$H4*Assumptions!$E$12)))</f>
        <v>40.715999999999994</v>
      </c>
      <c r="V4" s="23">
        <f>IF(V$3&lt;$I4,0,$G4*Assumptions!$E$11*INDEX(Assumptions!$B$24:$G$24,MIN(6,V$3-$I4+1))*IF(V$3&gt;$J4,(1-Assumptions!$B$26)^(V$3-$J4),1)*IF($H4&gt;=1,1,MIN(0.97,$H4*Assumptions!$E$12)))</f>
        <v>58.812</v>
      </c>
      <c r="W4" s="23">
        <f>IF(W$3&lt;$I4,0,$G4*Assumptions!$E$11*INDEX(Assumptions!$B$24:$G$24,MIN(6,W$3-$I4+1))*IF(W$3&gt;$J4,(1-Assumptions!$B$26)^(W$3-$J4),1)*IF($H4&gt;=1,1,MIN(0.97,$H4*Assumptions!$E$12)))</f>
        <v>76.908</v>
      </c>
      <c r="X4" s="23">
        <f>IF(X$3&lt;$I4,0,$G4*Assumptions!$E$11*INDEX(Assumptions!$B$24:$G$24,MIN(6,X$3-$I4+1))*IF(X$3&gt;$J4,(1-Assumptions!$B$26)^(X$3-$J4),1)*IF($H4&gt;=1,1,MIN(0.97,$H4*Assumptions!$E$12)))</f>
        <v>90.47999999999999</v>
      </c>
      <c r="Y4" s="23">
        <f>IF(Y$3&lt;$I4,0,$G4*Assumptions!$E$11*INDEX(Assumptions!$B$24:$G$24,MIN(6,Y$3-$I4+1))*IF(Y$3&gt;$J4,(1-Assumptions!$B$26)^(Y$3-$J4),1)*IF($H4&gt;=1,1,MIN(0.97,$H4*Assumptions!$E$12)))</f>
        <v>90.47999999999999</v>
      </c>
      <c r="Z4" s="23">
        <f>IF(Z$3&lt;$I4,0,$G4*Assumptions!$E$11*INDEX(Assumptions!$B$24:$G$24,MIN(6,Z$3-$I4+1))*IF(Z$3&gt;$J4,(1-Assumptions!$B$26)^(Z$3-$J4),1)*IF($H4&gt;=1,1,MIN(0.97,$H4*Assumptions!$E$12)))</f>
        <v>90.47999999999999</v>
      </c>
      <c r="AA4" s="23">
        <f>IF(AA$3&lt;$I4,0,$G4*Assumptions!$E$11*INDEX(Assumptions!$B$24:$G$24,MIN(6,AA$3-$I4+1))*IF(AA$3&gt;$J4,(1-Assumptions!$B$26)^(AA$3-$J4),1)*IF($H4&gt;=1,1,MIN(0.97,$H4*Assumptions!$E$12)))</f>
        <v>90.47999999999999</v>
      </c>
      <c r="AB4" s="23">
        <f>IF(AB$3&lt;$I4,0,$G4*Assumptions!$E$11*INDEX(Assumptions!$B$24:$G$24,MIN(6,AB$3-$I4+1))*IF(AB$3&gt;$J4,(1-Assumptions!$B$26)^(AB$3-$J4),1)*IF($H4&gt;=1,1,MIN(0.97,$H4*Assumptions!$E$12)))</f>
        <v>90.47999999999999</v>
      </c>
      <c r="AC4" s="23">
        <f>IF(AC$3&lt;$I4,0,$G4*Assumptions!$E$11*INDEX(Assumptions!$B$24:$G$24,MIN(6,AC$3-$I4+1))*IF(AC$3&gt;$J4,(1-Assumptions!$B$26)^(AC$3-$J4),1)*IF($H4&gt;=1,1,MIN(0.97,$H4*Assumptions!$E$12)))</f>
        <v>90.47999999999999</v>
      </c>
      <c r="AD4" s="23">
        <f>IF(AD$3&lt;$I4,0,$G4*Assumptions!$E$11*INDEX(Assumptions!$B$24:$G$24,MIN(6,AD$3-$I4+1))*IF(AD$3&gt;$J4,(1-Assumptions!$B$26)^(AD$3-$J4),1)*IF($H4&gt;=1,1,MIN(0.97,$H4*Assumptions!$E$12)))</f>
        <v>90.47999999999999</v>
      </c>
      <c r="AE4" s="23">
        <f>IF(AE$3&lt;$I4,0,$G4*Assumptions!$E$11*INDEX(Assumptions!$B$24:$G$24,MIN(6,AE$3-$I4+1))*IF(AE$3&gt;$J4,(1-Assumptions!$B$26)^(AE$3-$J4),1)*IF($H4&gt;=1,1,MIN(0.97,$H4*Assumptions!$E$12)))</f>
        <v>90.47999999999999</v>
      </c>
      <c r="AF4" s="23">
        <f>IF(AF$3&lt;$I4,0,$G4*Assumptions!$E$11*INDEX(Assumptions!$B$24:$G$24,MIN(6,AF$3-$I4+1))*IF(AF$3&gt;$J4,(1-Assumptions!$B$26)^(AF$3-$J4),1)*IF($H4&gt;=1,1,MIN(0.97,$H4*Assumptions!$E$12)))</f>
        <v>45.239999999999995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85.87420922444086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9.048</v>
      </c>
      <c r="T5" s="54">
        <f>SUM(T4:T4)</f>
        <v>22.619999999999997</v>
      </c>
      <c r="U5" s="54">
        <f>SUM(U4:U4)</f>
        <v>40.715999999999994</v>
      </c>
      <c r="V5" s="54">
        <f>SUM(V4:V4)</f>
        <v>58.812</v>
      </c>
      <c r="W5" s="54">
        <f>SUM(W4:W4)</f>
        <v>76.908</v>
      </c>
      <c r="X5" s="54">
        <f>SUM(X4:X4)</f>
        <v>90.47999999999999</v>
      </c>
      <c r="Y5" s="54">
        <f>SUM(Y4:Y4)</f>
        <v>90.47999999999999</v>
      </c>
      <c r="Z5" s="54">
        <f>SUM(Z4:Z4)</f>
        <v>90.47999999999999</v>
      </c>
      <c r="AA5" s="54">
        <f>SUM(AA4:AA4)</f>
        <v>90.47999999999999</v>
      </c>
      <c r="AB5" s="54">
        <f>SUM(AB4:AB4)</f>
        <v>90.47999999999999</v>
      </c>
      <c r="AC5" s="54">
        <f>SUM(AC4:AC4)</f>
        <v>90.47999999999999</v>
      </c>
      <c r="AD5" s="54">
        <f>SUM(AD4:AD4)</f>
        <v>90.47999999999999</v>
      </c>
      <c r="AE5" s="54">
        <f>SUM(AE4:AE4)</f>
        <v>90.47999999999999</v>
      </c>
      <c r="AF5" s="54">
        <f>SUM(AF4:AF4)</f>
        <v>45.239999999999995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3.6192</v>
      </c>
      <c r="T6" s="55">
        <f>SUMPRODUCT(T4:T4,$K$4:$K$4)</f>
        <v>9.048</v>
      </c>
      <c r="U6" s="55">
        <f>SUMPRODUCT(U4:U4,$K$4:$K$4)</f>
        <v>16.286399999999997</v>
      </c>
      <c r="V6" s="55">
        <f>SUMPRODUCT(V4:V4,$K$4:$K$4)</f>
        <v>23.5248</v>
      </c>
      <c r="W6" s="55">
        <f>SUMPRODUCT(W4:W4,$K$4:$K$4)</f>
        <v>30.7632</v>
      </c>
      <c r="X6" s="55">
        <f>SUMPRODUCT(X4:X4,$K$4:$K$4)</f>
        <v>36.192</v>
      </c>
      <c r="Y6" s="55">
        <f>SUMPRODUCT(Y4:Y4,$K$4:$K$4)</f>
        <v>36.192</v>
      </c>
      <c r="Z6" s="55">
        <f>SUMPRODUCT(Z4:Z4,$K$4:$K$4)</f>
        <v>36.192</v>
      </c>
      <c r="AA6" s="55">
        <f>SUMPRODUCT(AA4:AA4,$K$4:$K$4)</f>
        <v>36.192</v>
      </c>
      <c r="AB6" s="55">
        <f>SUMPRODUCT(AB4:AB4,$K$4:$K$4)</f>
        <v>36.192</v>
      </c>
      <c r="AC6" s="55">
        <f>SUMPRODUCT(AC4:AC4,$K$4:$K$4)</f>
        <v>36.192</v>
      </c>
      <c r="AD6" s="55">
        <f>SUMPRODUCT(AD4:AD4,$K$4:$K$4)</f>
        <v>36.192</v>
      </c>
      <c r="AE6" s="55">
        <f>SUMPRODUCT(AE4:AE4,$K$4:$K$4)</f>
        <v>36.192</v>
      </c>
      <c r="AF6" s="55">
        <f>SUMPRODUCT(AF4:AF4,$K$4:$K$4)</f>
        <v>18.096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Eupraxia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9.048</v>
      </c>
      <c r="J4" s="57">
        <f>Pipeline!T5</f>
        <v>22.619999999999997</v>
      </c>
      <c r="K4" s="57">
        <f>Pipeline!U5</f>
        <v>40.715999999999994</v>
      </c>
      <c r="L4" s="57">
        <f>Pipeline!V5</f>
        <v>58.812</v>
      </c>
      <c r="M4" s="57">
        <f>Pipeline!W5</f>
        <v>76.908</v>
      </c>
      <c r="N4" s="57">
        <f>Pipeline!X5</f>
        <v>90.47999999999999</v>
      </c>
      <c r="O4" s="57">
        <f>Pipeline!Y5</f>
        <v>90.47999999999999</v>
      </c>
      <c r="P4" s="57">
        <f>Pipeline!Z5</f>
        <v>90.47999999999999</v>
      </c>
      <c r="Q4" s="57">
        <f>Pipeline!AA5</f>
        <v>90.47999999999999</v>
      </c>
      <c r="R4" s="57">
        <f>Pipeline!AB5</f>
        <v>90.47999999999999</v>
      </c>
      <c r="S4" s="57">
        <f>Pipeline!AC5</f>
        <v>90.47999999999999</v>
      </c>
      <c r="T4" s="57">
        <f>Pipeline!AD5</f>
        <v>90.47999999999999</v>
      </c>
      <c r="U4" s="57">
        <f>Pipeline!AE5</f>
        <v>90.47999999999999</v>
      </c>
      <c r="V4" s="57">
        <f>Pipeline!AF5</f>
        <v>45.239999999999995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3.6192</v>
      </c>
      <c r="J5" s="57">
        <f>Pipeline!T6</f>
        <v>9.048</v>
      </c>
      <c r="K5" s="57">
        <f>Pipeline!U6</f>
        <v>16.286399999999997</v>
      </c>
      <c r="L5" s="57">
        <f>Pipeline!V6</f>
        <v>23.5248</v>
      </c>
      <c r="M5" s="57">
        <f>Pipeline!W6</f>
        <v>30.7632</v>
      </c>
      <c r="N5" s="57">
        <f>Pipeline!X6</f>
        <v>36.192</v>
      </c>
      <c r="O5" s="57">
        <f>Pipeline!Y6</f>
        <v>36.192</v>
      </c>
      <c r="P5" s="57">
        <f>Pipeline!Z6</f>
        <v>36.192</v>
      </c>
      <c r="Q5" s="57">
        <f>Pipeline!AA6</f>
        <v>36.192</v>
      </c>
      <c r="R5" s="57">
        <f>Pipeline!AB6</f>
        <v>36.192</v>
      </c>
      <c r="S5" s="57">
        <f>Pipeline!AC6</f>
        <v>36.192</v>
      </c>
      <c r="T5" s="57">
        <f>Pipeline!AD6</f>
        <v>36.192</v>
      </c>
      <c r="U5" s="57">
        <f>Pipeline!AE6</f>
        <v>36.192</v>
      </c>
      <c r="V5" s="57">
        <f>Pipeline!AF6</f>
        <v>18.096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-38.434</v>
      </c>
      <c r="D6" s="23">
        <f>-IF(D3-2026&lt;Assumptions!$B$19,Assumptions!$B$18,Assumptions!$B$18*Assumptions!$B$20*Assumptions!$B$16)</f>
        <v>-38.434</v>
      </c>
      <c r="E6" s="23">
        <f>-IF(E3-2026&lt;Assumptions!$B$19,Assumptions!$B$18,Assumptions!$B$18*Assumptions!$B$20*Assumptions!$B$16)</f>
        <v>-38.434</v>
      </c>
      <c r="F6" s="23">
        <f>-IF(F3-2026&lt;Assumptions!$B$19,Assumptions!$B$18,Assumptions!$B$18*Assumptions!$B$20*Assumptions!$B$16)</f>
        <v>-38.434</v>
      </c>
      <c r="G6" s="23">
        <f>-IF(G3-2026&lt;Assumptions!$B$19,Assumptions!$B$18,Assumptions!$B$18*Assumptions!$B$20*Assumptions!$B$16)</f>
        <v>-0.8693770800000001</v>
      </c>
      <c r="H6" s="23">
        <f>-IF(H3-2026&lt;Assumptions!$B$19,Assumptions!$B$18,Assumptions!$B$18*Assumptions!$B$20*Assumptions!$B$16)</f>
        <v>-0.8693770800000001</v>
      </c>
      <c r="I6" s="23">
        <f>-IF(I3-2026&lt;Assumptions!$B$19,Assumptions!$B$18,Assumptions!$B$18*Assumptions!$B$20*Assumptions!$B$16)</f>
        <v>-0.8693770800000001</v>
      </c>
      <c r="J6" s="23">
        <f>-IF(J3-2026&lt;Assumptions!$B$19,Assumptions!$B$18,Assumptions!$B$18*Assumptions!$B$20*Assumptions!$B$16)</f>
        <v>-0.8693770800000001</v>
      </c>
      <c r="K6" s="23">
        <f>-IF(K3-2026&lt;Assumptions!$B$19,Assumptions!$B$18,Assumptions!$B$18*Assumptions!$B$20*Assumptions!$B$16)</f>
        <v>-0.8693770800000001</v>
      </c>
      <c r="L6" s="23">
        <f>-IF(L3-2026&lt;Assumptions!$B$19,Assumptions!$B$18,Assumptions!$B$18*Assumptions!$B$20*Assumptions!$B$16)</f>
        <v>-0.8693770800000001</v>
      </c>
      <c r="M6" s="23">
        <f>-IF(M3-2026&lt;Assumptions!$B$19,Assumptions!$B$18,Assumptions!$B$18*Assumptions!$B$20*Assumptions!$B$16)</f>
        <v>-0.8693770800000001</v>
      </c>
      <c r="N6" s="23">
        <f>-IF(N3-2026&lt;Assumptions!$B$19,Assumptions!$B$18,Assumptions!$B$18*Assumptions!$B$20*Assumptions!$B$16)</f>
        <v>-0.8693770800000001</v>
      </c>
      <c r="O6" s="23">
        <f>-IF(O3-2026&lt;Assumptions!$B$19,Assumptions!$B$18,Assumptions!$B$18*Assumptions!$B$20*Assumptions!$B$16)</f>
        <v>-0.8693770800000001</v>
      </c>
      <c r="P6" s="23">
        <f>-IF(P3-2026&lt;Assumptions!$B$19,Assumptions!$B$18,Assumptions!$B$18*Assumptions!$B$20*Assumptions!$B$16)</f>
        <v>-0.8693770800000001</v>
      </c>
      <c r="Q6" s="23">
        <f>-IF(Q3-2026&lt;Assumptions!$B$19,Assumptions!$B$18,Assumptions!$B$18*Assumptions!$B$20*Assumptions!$B$16)</f>
        <v>-0.8693770800000001</v>
      </c>
      <c r="R6" s="23">
        <f>-IF(R3-2026&lt;Assumptions!$B$19,Assumptions!$B$18,Assumptions!$B$18*Assumptions!$B$20*Assumptions!$B$16)</f>
        <v>-0.8693770800000001</v>
      </c>
      <c r="S6" s="23">
        <f>-IF(S3-2026&lt;Assumptions!$B$19,Assumptions!$B$18,Assumptions!$B$18*Assumptions!$B$20*Assumptions!$B$16)</f>
        <v>-0.8693770800000001</v>
      </c>
      <c r="T6" s="23">
        <f>-IF(T3-2026&lt;Assumptions!$B$19,Assumptions!$B$18,Assumptions!$B$18*Assumptions!$B$20*Assumptions!$B$16)</f>
        <v>-0.8693770800000001</v>
      </c>
      <c r="U6" s="23">
        <f>-IF(U3-2026&lt;Assumptions!$B$19,Assumptions!$B$18,Assumptions!$B$18*Assumptions!$B$20*Assumptions!$B$16)</f>
        <v>-0.8693770800000001</v>
      </c>
      <c r="V6" s="23">
        <f>-IF(V3-2026&lt;Assumptions!$B$19,Assumptions!$B$18,Assumptions!$B$18*Assumptions!$B$20*Assumptions!$B$16)</f>
        <v>-0.8693770800000001</v>
      </c>
    </row>
    <row r="7">
      <c r="A7" s="14" t="inlineStr">
        <is>
          <t>Pre-tax cash flow</t>
        </is>
      </c>
      <c r="C7" s="23">
        <f>C5+C6</f>
        <v>-38.434</v>
      </c>
      <c r="D7" s="23">
        <f>D5+D6</f>
        <v>-38.434</v>
      </c>
      <c r="E7" s="23">
        <f>E5+E6</f>
        <v>-38.434</v>
      </c>
      <c r="F7" s="23">
        <f>F5+F6</f>
        <v>-38.434</v>
      </c>
      <c r="G7" s="23">
        <f>G5+G6</f>
        <v>-0.8693770800000001</v>
      </c>
      <c r="H7" s="23">
        <f>H5+H6</f>
        <v>-0.8693770800000001</v>
      </c>
      <c r="I7" s="23">
        <f>I5+I6</f>
        <v>2.74982292</v>
      </c>
      <c r="J7" s="23">
        <f>J5+J6</f>
        <v>8.17862292</v>
      </c>
      <c r="K7" s="23">
        <f>K5+K6</f>
        <v>15.417022919999997</v>
      </c>
      <c r="L7" s="23">
        <f>L5+L6</f>
        <v>22.65542292</v>
      </c>
      <c r="M7" s="23">
        <f>M5+M6</f>
        <v>29.89382292</v>
      </c>
      <c r="N7" s="23">
        <f>N5+N6</f>
        <v>35.32262292</v>
      </c>
      <c r="O7" s="23">
        <f>O5+O6</f>
        <v>35.32262292</v>
      </c>
      <c r="P7" s="23">
        <f>P5+P6</f>
        <v>35.32262292</v>
      </c>
      <c r="Q7" s="23">
        <f>Q5+Q6</f>
        <v>35.32262292</v>
      </c>
      <c r="R7" s="23">
        <f>R5+R6</f>
        <v>35.32262292</v>
      </c>
      <c r="S7" s="23">
        <f>S5+S6</f>
        <v>35.32262292</v>
      </c>
      <c r="T7" s="23">
        <f>T5+T6</f>
        <v>35.32262292</v>
      </c>
      <c r="U7" s="23">
        <f>U5+U6</f>
        <v>35.32262292</v>
      </c>
      <c r="V7" s="23">
        <f>V5+V6</f>
        <v>17.22662292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2.74982292</v>
      </c>
      <c r="J8" s="23">
        <f>MIN(I17,MAX(0,J7))</f>
        <v>8.17862292</v>
      </c>
      <c r="K8" s="23">
        <f>MIN(J17,MAX(0,K7))</f>
        <v>15.417022919999997</v>
      </c>
      <c r="L8" s="23">
        <f>MIN(K17,MAX(0,L7))</f>
        <v>22.65542292</v>
      </c>
      <c r="M8" s="23">
        <f>MIN(L17,MAX(0,M7))</f>
        <v>29.89382292</v>
      </c>
      <c r="N8" s="23">
        <f>MIN(M17,MAX(0,N7))</f>
        <v>35.32262292</v>
      </c>
      <c r="O8" s="23">
        <f>MIN(N17,MAX(0,O7))</f>
        <v>35.32262292</v>
      </c>
      <c r="P8" s="23">
        <f>MIN(O17,MAX(0,P7))</f>
        <v>35.32262292</v>
      </c>
      <c r="Q8" s="23">
        <f>MIN(P17,MAX(0,Q7))</f>
        <v>35.32262292</v>
      </c>
      <c r="R8" s="23">
        <f>MIN(Q17,MAX(0,R7))</f>
        <v>35.32262292</v>
      </c>
      <c r="S8" s="23">
        <f>MIN(R17,MAX(0,S7))</f>
        <v>10.766924959999926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24.555697960000074</v>
      </c>
      <c r="T9" s="23">
        <f>MAX(0,T7)-T8</f>
        <v>35.32262292</v>
      </c>
      <c r="U9" s="23">
        <f>MAX(0,U7)-U8</f>
        <v>35.32262292</v>
      </c>
      <c r="V9" s="23">
        <f>MAX(0,V7)-V8</f>
        <v>17.22662292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5.1566965716000155</v>
      </c>
      <c r="T10" s="23">
        <f>T9*Assumptions!$E$15</f>
        <v>7.4177508132</v>
      </c>
      <c r="U10" s="23">
        <f>U9*Assumptions!$E$15</f>
        <v>7.4177508132</v>
      </c>
      <c r="V10" s="23">
        <f>V9*Assumptions!$E$15</f>
        <v>3.6175908132</v>
      </c>
    </row>
    <row r="11">
      <c r="A11" s="24" t="inlineStr">
        <is>
          <t>Free cash flow</t>
        </is>
      </c>
      <c r="C11" s="55">
        <f>C7-C10</f>
        <v>-38.434</v>
      </c>
      <c r="D11" s="55">
        <f>D7-D10</f>
        <v>-38.434</v>
      </c>
      <c r="E11" s="55">
        <f>E7-E10</f>
        <v>-38.434</v>
      </c>
      <c r="F11" s="55">
        <f>F7-F10</f>
        <v>-38.434</v>
      </c>
      <c r="G11" s="55">
        <f>G7-G10</f>
        <v>-0.8693770800000001</v>
      </c>
      <c r="H11" s="55">
        <f>H7-H10</f>
        <v>-0.8693770800000001</v>
      </c>
      <c r="I11" s="55">
        <f>I7-I10</f>
        <v>2.74982292</v>
      </c>
      <c r="J11" s="55">
        <f>J7-J10</f>
        <v>8.17862292</v>
      </c>
      <c r="K11" s="55">
        <f>K7-K10</f>
        <v>15.417022919999997</v>
      </c>
      <c r="L11" s="55">
        <f>L7-L10</f>
        <v>22.65542292</v>
      </c>
      <c r="M11" s="55">
        <f>M7-M10</f>
        <v>29.89382292</v>
      </c>
      <c r="N11" s="55">
        <f>N7-N10</f>
        <v>35.32262292</v>
      </c>
      <c r="O11" s="55">
        <f>O7-O10</f>
        <v>35.32262292</v>
      </c>
      <c r="P11" s="55">
        <f>P7-P10</f>
        <v>35.32262292</v>
      </c>
      <c r="Q11" s="55">
        <f>Q7-Q10</f>
        <v>35.32262292</v>
      </c>
      <c r="R11" s="55">
        <f>R7-R10</f>
        <v>35.32262292</v>
      </c>
      <c r="S11" s="55">
        <f>S7-S10</f>
        <v>30.165926348399985</v>
      </c>
      <c r="T11" s="55">
        <f>T7-T10</f>
        <v>27.9048721068</v>
      </c>
      <c r="U11" s="55">
        <f>U7-U10</f>
        <v>27.9048721068</v>
      </c>
      <c r="V11" s="55">
        <f>V7-V10</f>
        <v>13.6090321068</v>
      </c>
    </row>
    <row r="12">
      <c r="A12" s="14" t="inlineStr">
        <is>
          <t>Year fraction</t>
        </is>
      </c>
      <c r="C12" s="58">
        <f>Assumptions!$B$22</f>
        <v>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0.5</v>
      </c>
      <c r="D13" s="11">
        <f>C13+C12/2+D12/2</f>
        <v>1.5</v>
      </c>
      <c r="E13" s="11">
        <f>D13+D12/2+E12/2</f>
        <v>2.5</v>
      </c>
      <c r="F13" s="11">
        <f>E13+E12/2+F12/2</f>
        <v>3.5</v>
      </c>
      <c r="G13" s="11">
        <f>F13+F12/2+G12/2</f>
        <v>4.5</v>
      </c>
      <c r="H13" s="11">
        <f>G13+G12/2+H12/2</f>
        <v>5.5</v>
      </c>
      <c r="I13" s="11">
        <f>H13+H12/2+I12/2</f>
        <v>6.5</v>
      </c>
      <c r="J13" s="11">
        <f>I13+I12/2+J12/2</f>
        <v>7.5</v>
      </c>
      <c r="K13" s="11">
        <f>J13+J12/2+K12/2</f>
        <v>8.5</v>
      </c>
      <c r="L13" s="11">
        <f>K13+K12/2+L12/2</f>
        <v>9.5</v>
      </c>
      <c r="M13" s="11">
        <f>L13+L12/2+M12/2</f>
        <v>10.5</v>
      </c>
      <c r="N13" s="11">
        <f>M13+M12/2+N12/2</f>
        <v>11.5</v>
      </c>
      <c r="O13" s="11">
        <f>N13+N12/2+O12/2</f>
        <v>12.5</v>
      </c>
      <c r="P13" s="11">
        <f>O13+O12/2+P12/2</f>
        <v>13.5</v>
      </c>
      <c r="Q13" s="11">
        <f>P13+P12/2+Q12/2</f>
        <v>14.5</v>
      </c>
      <c r="R13" s="11">
        <f>Q13+Q12/2+R12/2</f>
        <v>15.5</v>
      </c>
      <c r="S13" s="11">
        <f>R13+R12/2+S12/2</f>
        <v>16.5</v>
      </c>
      <c r="T13" s="11">
        <f>S13+S12/2+T12/2</f>
        <v>17.5</v>
      </c>
      <c r="U13" s="11">
        <f>T13+T12/2+U12/2</f>
        <v>18.5</v>
      </c>
      <c r="V13" s="11">
        <f>U13+U12/2+V12/2</f>
        <v>19.5</v>
      </c>
    </row>
    <row r="14">
      <c r="A14" s="14" t="inlineStr">
        <is>
          <t>Discount factor</t>
        </is>
      </c>
      <c r="C14" s="59">
        <f>1/(1+Assumptions!$E$10)^C13</f>
        <v>0.9449111825230679</v>
      </c>
      <c r="D14" s="59">
        <f>1/(1+Assumptions!$E$10)^D13</f>
        <v>0.8436706986813106</v>
      </c>
      <c r="E14" s="59">
        <f>1/(1+Assumptions!$E$10)^E13</f>
        <v>0.7532774095368845</v>
      </c>
      <c r="F14" s="59">
        <f>1/(1+Assumptions!$E$10)^F13</f>
        <v>0.6725691156579324</v>
      </c>
      <c r="G14" s="59">
        <f>1/(1+Assumptions!$E$10)^G13</f>
        <v>0.6005081389802968</v>
      </c>
      <c r="H14" s="59">
        <f>1/(1+Assumptions!$E$10)^H13</f>
        <v>0.5361679812324078</v>
      </c>
      <c r="I14" s="59">
        <f>1/(1+Assumptions!$E$10)^I13</f>
        <v>0.4787214118146497</v>
      </c>
      <c r="J14" s="59">
        <f>1/(1+Assumptions!$E$10)^J13</f>
        <v>0.42742983197736584</v>
      </c>
      <c r="K14" s="59">
        <f>1/(1+Assumptions!$E$10)^K13</f>
        <v>0.38163377855121944</v>
      </c>
      <c r="L14" s="59">
        <f>1/(1+Assumptions!$E$10)^L13</f>
        <v>0.34074444513501734</v>
      </c>
      <c r="M14" s="59">
        <f>1/(1+Assumptions!$E$10)^M13</f>
        <v>0.304236111727694</v>
      </c>
      <c r="N14" s="59">
        <f>1/(1+Assumptions!$E$10)^N13</f>
        <v>0.27163938547115535</v>
      </c>
      <c r="O14" s="59">
        <f>1/(1+Assumptions!$E$10)^O13</f>
        <v>0.24253516559924582</v>
      </c>
      <c r="P14" s="59">
        <f>1/(1+Assumptions!$E$10)^P13</f>
        <v>0.21654925499932662</v>
      </c>
      <c r="Q14" s="59">
        <f>1/(1+Assumptions!$E$10)^Q13</f>
        <v>0.1933475491065416</v>
      </c>
      <c r="R14" s="59">
        <f>1/(1+Assumptions!$E$10)^R13</f>
        <v>0.17263174027369785</v>
      </c>
      <c r="S14" s="59">
        <f>1/(1+Assumptions!$E$10)^S13</f>
        <v>0.15413548238723018</v>
      </c>
      <c r="T14" s="59">
        <f>1/(1+Assumptions!$E$10)^T13</f>
        <v>0.1376209664171698</v>
      </c>
      <c r="U14" s="59">
        <f>1/(1+Assumptions!$E$10)^U13</f>
        <v>0.12287586287247303</v>
      </c>
      <c r="V14" s="59">
        <f>1/(1+Assumptions!$E$10)^V13</f>
        <v>0.10971059185042233</v>
      </c>
    </row>
    <row r="15">
      <c r="A15" s="14" t="inlineStr">
        <is>
          <t>PV factor</t>
        </is>
      </c>
      <c r="C15" s="59">
        <f>C12*C14</f>
        <v>0.9449111825230679</v>
      </c>
      <c r="D15" s="59">
        <f>D12*D14</f>
        <v>0.8436706986813106</v>
      </c>
      <c r="E15" s="59">
        <f>E12*E14</f>
        <v>0.7532774095368845</v>
      </c>
      <c r="F15" s="59">
        <f>F12*F14</f>
        <v>0.6725691156579324</v>
      </c>
      <c r="G15" s="59">
        <f>G12*G14</f>
        <v>0.6005081389802968</v>
      </c>
      <c r="H15" s="59">
        <f>H12*H14</f>
        <v>0.5361679812324078</v>
      </c>
      <c r="I15" s="59">
        <f>I12*I14</f>
        <v>0.4787214118146497</v>
      </c>
      <c r="J15" s="59">
        <f>J12*J14</f>
        <v>0.42742983197736584</v>
      </c>
      <c r="K15" s="59">
        <f>K12*K14</f>
        <v>0.38163377855121944</v>
      </c>
      <c r="L15" s="59">
        <f>L12*L14</f>
        <v>0.34074444513501734</v>
      </c>
      <c r="M15" s="59">
        <f>M12*M14</f>
        <v>0.304236111727694</v>
      </c>
      <c r="N15" s="59">
        <f>N12*N14</f>
        <v>0.27163938547115535</v>
      </c>
      <c r="O15" s="59">
        <f>O12*O14</f>
        <v>0.24253516559924582</v>
      </c>
      <c r="P15" s="59">
        <f>P12*P14</f>
        <v>0.21654925499932662</v>
      </c>
      <c r="Q15" s="59">
        <f>Q12*Q14</f>
        <v>0.1933475491065416</v>
      </c>
      <c r="R15" s="59">
        <f>R12*R14</f>
        <v>0.17263174027369785</v>
      </c>
      <c r="S15" s="59">
        <f>S12*S14</f>
        <v>0.15413548238723018</v>
      </c>
      <c r="T15" s="59">
        <f>T12*T14</f>
        <v>0.1376209664171698</v>
      </c>
      <c r="U15" s="59">
        <f>U12*U14</f>
        <v>0.12287586287247303</v>
      </c>
      <c r="V15" s="59">
        <f>V12*V14</f>
        <v>0.10971059185042233</v>
      </c>
    </row>
    <row r="16">
      <c r="A16" s="24" t="inlineStr">
        <is>
          <t>PV of free cash flow</t>
        </is>
      </c>
      <c r="C16" s="55">
        <f>C11*C15</f>
        <v>-36.31671638909159</v>
      </c>
      <c r="D16" s="55">
        <f>D11*D15</f>
        <v>-32.42563963311749</v>
      </c>
      <c r="E16" s="55">
        <f>E11*E15</f>
        <v>-28.951463958140618</v>
      </c>
      <c r="F16" s="55">
        <f>F11*F15</f>
        <v>-25.849521391196973</v>
      </c>
      <c r="G16" s="55">
        <f>G11*G15</f>
        <v>-0.5220680123829247</v>
      </c>
      <c r="H16" s="55">
        <f>H11*H15</f>
        <v>-0.4661321539133256</v>
      </c>
      <c r="I16" s="55">
        <f>I11*I15</f>
        <v>1.3163991105026827</v>
      </c>
      <c r="J16" s="55">
        <f>J11*J15</f>
        <v>3.4957874205018333</v>
      </c>
      <c r="K16" s="55">
        <f>K11*K15</f>
        <v>5.883656710970353</v>
      </c>
      <c r="L16" s="55">
        <f>L11*L15</f>
        <v>7.719709512174554</v>
      </c>
      <c r="M16" s="55">
        <f>M11*M15</f>
        <v>9.09478044985702</v>
      </c>
      <c r="N16" s="55">
        <f>N11*N15</f>
        <v>9.595015583218148</v>
      </c>
      <c r="O16" s="55">
        <f>O11*O15</f>
        <v>8.566978199301916</v>
      </c>
      <c r="P16" s="55">
        <f>P11*P15</f>
        <v>7.649087677948139</v>
      </c>
      <c r="Q16" s="55">
        <f>Q11*Q15</f>
        <v>6.829542569596551</v>
      </c>
      <c r="R16" s="55">
        <f>R11*R15</f>
        <v>6.097805865711207</v>
      </c>
      <c r="S16" s="55">
        <f>S11*S15</f>
        <v>4.649639609368289</v>
      </c>
      <c r="T16" s="55">
        <f>T11*T15</f>
        <v>3.8402954670853413</v>
      </c>
      <c r="U16" s="55">
        <f>U11*U15</f>
        <v>3.428835238469054</v>
      </c>
      <c r="V16" s="55">
        <f>V11*V15</f>
        <v>1.4930549669484279</v>
      </c>
    </row>
    <row r="17">
      <c r="A17" s="14" t="inlineStr">
        <is>
          <t>Tax-loss carryforward, end of year</t>
        </is>
      </c>
      <c r="C17" s="23">
        <f>Assumptions!$B$21-C8+MAX(0,-C7)</f>
        <v>149.23399999999998</v>
      </c>
      <c r="D17" s="23">
        <f>C17-D8+MAX(0,-D7)</f>
        <v>187.66799999999998</v>
      </c>
      <c r="E17" s="23">
        <f>D17-E8+MAX(0,-E7)</f>
        <v>226.10199999999998</v>
      </c>
      <c r="F17" s="23">
        <f>E17-F8+MAX(0,-F7)</f>
        <v>264.53599999999994</v>
      </c>
      <c r="G17" s="23">
        <f>F17-G8+MAX(0,-G7)</f>
        <v>265.40537707999994</v>
      </c>
      <c r="H17" s="23">
        <f>G17-H8+MAX(0,-H7)</f>
        <v>266.27475415999993</v>
      </c>
      <c r="I17" s="23">
        <f>H17-I8+MAX(0,-I7)</f>
        <v>263.52493123999994</v>
      </c>
      <c r="J17" s="23">
        <f>I17-J8+MAX(0,-J7)</f>
        <v>255.34630831999993</v>
      </c>
      <c r="K17" s="23">
        <f>J17-K8+MAX(0,-K7)</f>
        <v>239.92928539999994</v>
      </c>
      <c r="L17" s="23">
        <f>K17-L8+MAX(0,-L7)</f>
        <v>217.27386247999993</v>
      </c>
      <c r="M17" s="23">
        <f>L17-M8+MAX(0,-M7)</f>
        <v>187.38003955999994</v>
      </c>
      <c r="N17" s="23">
        <f>M17-N8+MAX(0,-N7)</f>
        <v>152.05741663999993</v>
      </c>
      <c r="O17" s="23">
        <f>N17-O8+MAX(0,-O7)</f>
        <v>116.73479371999993</v>
      </c>
      <c r="P17" s="23">
        <f>O17-P8+MAX(0,-P7)</f>
        <v>81.41217079999993</v>
      </c>
      <c r="Q17" s="23">
        <f>P17-Q8+MAX(0,-Q7)</f>
        <v>46.08954787999993</v>
      </c>
      <c r="R17" s="23">
        <f>Q17-R8+MAX(0,-R7)</f>
        <v>10.766924959999926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85.87420922444088</v>
      </c>
    </row>
    <row r="20">
      <c r="A20" s="14" t="inlineStr">
        <is>
          <t>PV of corporate burn</t>
        </is>
      </c>
      <c r="B20" s="23">
        <f>SUMPRODUCT(C6:V6,C15:V15)</f>
        <v>-127.62114387055405</v>
      </c>
    </row>
    <row r="21">
      <c r="A21" s="14" t="inlineStr">
        <is>
          <t>PV of taxes</t>
        </is>
      </c>
      <c r="B21" s="23">
        <f>-SUMPRODUCT(C10:V10,C15:V15)</f>
        <v>-3.1240185100762368</v>
      </c>
    </row>
    <row r="22">
      <c r="A22" s="24" t="inlineStr">
        <is>
          <t>Pipeline rNPV (operations)</t>
        </is>
      </c>
      <c r="B22" s="54">
        <f>SUM(C16:V16)</f>
        <v>-44.870953156189415</v>
      </c>
    </row>
    <row r="23">
      <c r="A23" s="14" t="inlineStr">
        <is>
          <t>Cash &amp; investments</t>
        </is>
      </c>
      <c r="B23" s="57">
        <f>Main!C7</f>
        <v>80.563482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35.69252884381058</v>
      </c>
    </row>
    <row r="26">
      <c r="A26" s="14" t="inlineStr">
        <is>
          <t>Shares (mm)</t>
        </is>
      </c>
      <c r="B26" s="57">
        <f>Main!C4</f>
        <v>51.939206</v>
      </c>
    </row>
    <row r="27">
      <c r="A27" s="24" t="inlineStr">
        <is>
          <t>rNPV / share</t>
        </is>
      </c>
      <c r="B27" s="60">
        <f>B25/B26</f>
        <v>0.687198199445147</v>
      </c>
    </row>
    <row r="28">
      <c r="A28" s="14" t="inlineStr">
        <is>
          <t>Price</t>
        </is>
      </c>
      <c r="B28" s="61">
        <f>Main!C3</f>
        <v>7.59</v>
      </c>
    </row>
    <row r="29">
      <c r="A29" s="14" t="inlineStr">
        <is>
          <t>Upside</t>
        </is>
      </c>
      <c r="B29" s="62">
        <f>B27/B28-1</f>
        <v>-0.9094600527740254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2026-10-21T06:25:52Z</dcterms:modified>
  <cp:lastModifiedBy>Wang, Eric</cp:lastModifiedBy>
</cp:coreProperties>
</file>