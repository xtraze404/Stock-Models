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Vera Therapeutics, Inc.</t>
        </is>
      </c>
      <c r="C2" s="10" t="n"/>
    </row>
    <row r="3">
      <c r="B3" t="inlineStr">
        <is>
          <t>Price</t>
        </is>
      </c>
      <c r="C3" s="11">
        <f>INDEX([1]Pharma!$F$1:$F$1000,MATCH("VERA",[1]Pharma!$B$1:$B$1000,0))</f>
        <v>30.06</v>
      </c>
      <c r="F3" s="1" t="n"/>
    </row>
    <row r="4">
      <c r="B4" t="inlineStr">
        <is>
          <t>Shares</t>
        </is>
      </c>
      <c r="C4" s="21" t="n">
        <v>72.063335</v>
      </c>
      <c r="F4" s="1" t="n"/>
    </row>
    <row r="5">
      <c r="B5" t="inlineStr">
        <is>
          <t>Market Cap.</t>
        </is>
      </c>
      <c r="C5" s="13">
        <f>C3*C4</f>
        <v>2166.2238500999997</v>
      </c>
      <c r="F5" s="1" t="n"/>
    </row>
    <row r="6"/>
    <row r="7">
      <c r="B7" t="inlineStr">
        <is>
          <t>Cash</t>
        </is>
      </c>
      <c r="C7" s="21">
        <f>48.876+450.285</f>
        <v>499.161</v>
      </c>
    </row>
    <row r="8">
      <c r="B8" t="inlineStr">
        <is>
          <t>Debt</t>
        </is>
      </c>
      <c r="C8" s="21" t="n">
        <v>75.22799999999999</v>
      </c>
    </row>
    <row r="9">
      <c r="B9" t="inlineStr">
        <is>
          <t>Enterprise V.</t>
        </is>
      </c>
      <c r="C9" s="13">
        <f>C5-C7+C8</f>
        <v>1742.2908500999997</v>
      </c>
    </row>
    <row r="10"/>
    <row r="11">
      <c r="B11" s="14" t="inlineStr">
        <is>
          <t>Net Cash / Share</t>
        </is>
      </c>
      <c r="C11" s="11">
        <f>(C7-C8)/C4</f>
        <v>5.882783526463215</v>
      </c>
    </row>
    <row r="12">
      <c r="B12" s="14" t="inlineStr">
        <is>
          <t>Upside</t>
        </is>
      </c>
      <c r="C12" s="15">
        <f>IFERROR(C11/C3-1,"")</f>
        <v>-0.8042986185474645</v>
      </c>
    </row>
    <row r="13">
      <c r="B13" s="14" t="inlineStr">
        <is>
          <t>Cash / Share</t>
        </is>
      </c>
      <c r="C13" s="11">
        <f>IFERROR((C7-C8)/C4,"")</f>
        <v>5.882783526463215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-338.653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1.2518211856974542</v>
      </c>
    </row>
    <row r="19">
      <c r="B19" s="14" t="inlineStr">
        <is>
          <t>Implied Pipeline Value</t>
        </is>
      </c>
      <c r="C19" s="13">
        <f>C9</f>
        <v>1742.2908500999997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45.206</v>
      </c>
      <c r="C5" s="23" t="n">
        <v>22.484</v>
      </c>
      <c r="D5" s="23" t="n">
        <v>68.99299999999999</v>
      </c>
      <c r="E5" s="23" t="n">
        <v>78.22499999999999</v>
      </c>
      <c r="F5" s="23" t="n">
        <v>126.172</v>
      </c>
      <c r="G5" s="23" t="n">
        <v>215.256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7.035</v>
      </c>
      <c r="C6" s="23" t="n">
        <v>11.918</v>
      </c>
      <c r="D6" s="23" t="n">
        <v>21.91</v>
      </c>
      <c r="E6" s="23" t="n">
        <v>23.787</v>
      </c>
      <c r="F6" s="23" t="n">
        <v>40.998</v>
      </c>
      <c r="G6" s="23" t="n">
        <v>100.217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52.241</v>
      </c>
      <c r="C7" s="23">
        <f>SUM(C5:C6)</f>
        <v>34.402</v>
      </c>
      <c r="D7" s="23">
        <f>SUM(D5:D6)</f>
        <v>90.90299999999999</v>
      </c>
      <c r="E7" s="23">
        <f>SUM(E5:E6)</f>
        <v>102.012</v>
      </c>
      <c r="F7" s="23">
        <f>SUM(F5:F6)</f>
        <v>167.17</v>
      </c>
      <c r="G7" s="23">
        <f>SUM(G5:G6)</f>
        <v>315.473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-52.241</v>
      </c>
      <c r="C8" s="23">
        <f>C4-C7</f>
        <v>-34.402</v>
      </c>
      <c r="D8" s="23">
        <f>D4-D7</f>
        <v>-90.90299999999999</v>
      </c>
      <c r="E8" s="23">
        <f>E4-E7</f>
        <v>-102.012</v>
      </c>
      <c r="F8" s="23">
        <f>F4-F7</f>
        <v>-167.17</v>
      </c>
      <c r="G8" s="23">
        <f>G4-G7</f>
        <v>-315.473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-1.173</v>
      </c>
      <c r="C9" s="23" t="n">
        <v>1.794</v>
      </c>
      <c r="D9" s="23" t="n">
        <v>1.848</v>
      </c>
      <c r="E9" s="23" t="n">
        <v>6.023</v>
      </c>
      <c r="F9" s="23" t="n">
        <v>15.023</v>
      </c>
      <c r="G9" s="23" t="n">
        <v>15.859</v>
      </c>
    </row>
    <row r="10">
      <c r="A10" s="2" t="inlineStr">
        <is>
          <t>Pretax</t>
        </is>
      </c>
      <c r="B10" s="23">
        <f>B8+B9</f>
        <v>-53.414</v>
      </c>
      <c r="C10" s="23">
        <f>C8+C9</f>
        <v>-32.608000000000004</v>
      </c>
      <c r="D10" s="23">
        <f>D8+D9</f>
        <v>-89.05499999999999</v>
      </c>
      <c r="E10" s="23">
        <f>E8+E9</f>
        <v>-95.989</v>
      </c>
      <c r="F10" s="23">
        <f>F8+F9</f>
        <v>-152.147</v>
      </c>
      <c r="G10" s="23">
        <f>G8+G9</f>
        <v>-299.61400000000003</v>
      </c>
      <c r="I10" s="1" t="n"/>
      <c r="J10" s="1" t="n"/>
      <c r="K10" s="1" t="n"/>
    </row>
    <row r="11">
      <c r="A11" s="2" t="inlineStr">
        <is>
          <t>Taxes</t>
        </is>
      </c>
      <c r="B11" s="23" t="n">
        <v>-0.001</v>
      </c>
      <c r="C11" s="23" t="n">
        <v>0.001</v>
      </c>
      <c r="D11" s="23" t="n">
        <v>0.001</v>
      </c>
      <c r="E11" s="23" t="n">
        <v>0.001</v>
      </c>
      <c r="F11" s="23" t="n">
        <v>0.001</v>
      </c>
      <c r="G11" s="23" t="n">
        <v>0.001</v>
      </c>
    </row>
    <row r="12">
      <c r="A12" s="2" t="inlineStr">
        <is>
          <t>Net Income</t>
        </is>
      </c>
      <c r="B12" s="23" t="n">
        <v>-53.413</v>
      </c>
      <c r="C12" s="23" t="n">
        <v>-32.609</v>
      </c>
      <c r="D12" s="23" t="n">
        <v>-89.056</v>
      </c>
      <c r="E12" s="23" t="n">
        <v>-95.98999999999999</v>
      </c>
      <c r="F12" s="23" t="n">
        <v>-152.148</v>
      </c>
      <c r="G12" s="23" t="n">
        <v>-299.615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-1.9873125720876585</v>
      </c>
      <c r="C13" s="11">
        <f>IFERROR(C12/C14,0)</f>
        <v>-1.2135387592571918</v>
      </c>
      <c r="D13" s="11">
        <f>IFERROR(D12/D14,0)</f>
        <v>-3.351623950923939</v>
      </c>
      <c r="E13" s="11">
        <f>IFERROR(E12/E14,0)</f>
        <v>-2.247640901959866</v>
      </c>
      <c r="F13" s="11">
        <f>IFERROR(F12/F14,0)</f>
        <v>-2.7499774070526146</v>
      </c>
      <c r="G13" s="11">
        <f>IFERROR(G12/G14,0)</f>
        <v>-4.664430052620109</v>
      </c>
    </row>
    <row r="14">
      <c r="A14" s="2" t="inlineStr">
        <is>
          <t>Shares</t>
        </is>
      </c>
      <c r="B14" s="23" t="n">
        <v>26.877</v>
      </c>
      <c r="C14" s="23" t="n">
        <v>26.871</v>
      </c>
      <c r="D14" s="23" t="n">
        <v>26.571</v>
      </c>
      <c r="E14" s="23" t="n">
        <v>42.707</v>
      </c>
      <c r="F14" s="23" t="n">
        <v>55.327</v>
      </c>
      <c r="G14" s="23" t="n">
        <v>64.23399999999999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2026-10-21T01:04:27Z</dcterms:modified>
  <cp:lastModifiedBy>Wang, Eric</cp:lastModifiedBy>
</cp:coreProperties>
</file>