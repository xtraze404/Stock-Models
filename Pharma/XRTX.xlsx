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XORTX Therapeutics Inc</t>
        </is>
      </c>
      <c r="C2" s="10" t="n"/>
    </row>
    <row r="3">
      <c r="B3" t="inlineStr">
        <is>
          <t>Price</t>
        </is>
      </c>
      <c r="C3" s="11">
        <f>INDEX([1]Pharma!$F$1:$F$1000,MATCH("XRTX",[1]Pharma!$B$1:$B$1000,0))</f>
        <v>0.9555</v>
      </c>
      <c r="F3" s="1" t="n"/>
    </row>
    <row r="4">
      <c r="B4" t="inlineStr">
        <is>
          <t>Shares</t>
        </is>
      </c>
      <c r="C4" s="21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-4.281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0.028</v>
      </c>
      <c r="C5" s="23" t="n">
        <v>0.196</v>
      </c>
      <c r="D5" s="23" t="n">
        <v>0.602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</v>
      </c>
      <c r="C6" s="23" t="n">
        <v>0</v>
      </c>
      <c r="D6" s="23" t="n">
        <v>0.003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0.028</v>
      </c>
      <c r="C7" s="23">
        <f>SUM(C5:C6)</f>
        <v>0.196</v>
      </c>
      <c r="D7" s="23">
        <f>SUM(D5:D6)</f>
        <v>0.605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-0.028</v>
      </c>
      <c r="C8" s="23">
        <f>C4-C7</f>
        <v>-0.196</v>
      </c>
      <c r="D8" s="23">
        <f>D4-D7</f>
        <v>-0.605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-0.416</v>
      </c>
      <c r="C9" s="23" t="n">
        <v>-0.711</v>
      </c>
      <c r="D9" s="23" t="n">
        <v>-0.5610000000000001</v>
      </c>
    </row>
    <row r="10">
      <c r="A10" s="2" t="inlineStr">
        <is>
          <t>Pretax</t>
        </is>
      </c>
      <c r="B10" s="23">
        <f>B8+B9</f>
        <v>-0.444</v>
      </c>
      <c r="C10" s="23">
        <f>C8+C9</f>
        <v>-0.907</v>
      </c>
      <c r="D10" s="23">
        <f>D8+D9</f>
        <v>-1.166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-0.445</v>
      </c>
      <c r="C12" s="23" t="n">
        <v>-0.907</v>
      </c>
      <c r="D12" s="23" t="n">
        <v>-1.167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</row>
    <row r="14">
      <c r="A14" s="2" t="inlineStr">
        <is>
          <t>Shares</t>
        </is>
      </c>
      <c r="B14" s="23" t="n"/>
      <c r="C14" s="23" t="n"/>
      <c r="D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2026-10-21T06:31:56Z</dcterms:modified>
  <cp:lastModifiedBy>Wang, Eric</cp:lastModifiedBy>
</cp:coreProperties>
</file>