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TherapeuticsMD Inc</t>
        </is>
      </c>
      <c r="C2" s="10" t="n"/>
    </row>
    <row r="3">
      <c r="B3" t="inlineStr">
        <is>
          <t>Price</t>
        </is>
      </c>
      <c r="C3" s="11">
        <f>INDEX([1]Pharma!$F$1:$F$1000,MATCH("TXMD",[1]Pharma!$B$1:$B$1000,0))</f>
        <v>1.88</v>
      </c>
      <c r="F3" s="1" t="n"/>
    </row>
    <row r="4">
      <c r="B4" t="inlineStr">
        <is>
          <t>Shares</t>
        </is>
      </c>
      <c r="C4" s="21" t="n">
        <v>11.574362</v>
      </c>
      <c r="F4" s="1" t="n"/>
    </row>
    <row r="5">
      <c r="B5" t="inlineStr">
        <is>
          <t>Market Cap.</t>
        </is>
      </c>
      <c r="C5" s="13">
        <f>C3*C4</f>
        <v>21.75980056</v>
      </c>
      <c r="F5" s="1" t="n"/>
    </row>
    <row r="6"/>
    <row r="7">
      <c r="B7" t="inlineStr">
        <is>
          <t>Cash</t>
        </is>
      </c>
      <c r="C7" s="21" t="n">
        <v>9.189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12.570800559999999</v>
      </c>
    </row>
    <row r="10"/>
    <row r="11">
      <c r="B11" s="14" t="inlineStr">
        <is>
          <t>rNPV / Share</t>
        </is>
      </c>
      <c r="C11" s="11">
        <f>NPV!B27</f>
        <v>10.062046465516863</v>
      </c>
    </row>
    <row r="12">
      <c r="B12" s="14" t="inlineStr">
        <is>
          <t>Upside</t>
        </is>
      </c>
      <c r="C12" s="15">
        <f>IFERROR(C11/C3-1,"")</f>
        <v>4.352152375274927</v>
      </c>
    </row>
    <row r="13">
      <c r="B13" s="14" t="inlineStr">
        <is>
          <t>Cash / Share</t>
        </is>
      </c>
      <c r="C13" s="11">
        <f>IFERROR((C7-C8)/C4,"")</f>
        <v>0.793909850063442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3.097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12.570800559999999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2.088</v>
      </c>
      <c r="D2" s="23" t="n">
        <v>3.818</v>
      </c>
      <c r="E2" s="23" t="n">
        <v>8.776</v>
      </c>
      <c r="F2" s="23" t="n">
        <v>15.026</v>
      </c>
      <c r="G2" s="23" t="n">
        <v>20.143</v>
      </c>
      <c r="H2" s="23" t="n">
        <v>19.356</v>
      </c>
      <c r="I2" s="23" t="n">
        <v>16.778</v>
      </c>
      <c r="J2" s="23" t="n">
        <v>16.099</v>
      </c>
      <c r="K2" s="23" t="n">
        <v>49.647</v>
      </c>
      <c r="L2" s="23" t="n">
        <v>64.872</v>
      </c>
      <c r="M2" s="23" t="n">
        <v>2.573</v>
      </c>
      <c r="N2" s="23" t="n">
        <v>69.96299999999999</v>
      </c>
      <c r="O2" s="23" t="n">
        <v>1.302</v>
      </c>
      <c r="P2" s="23" t="n">
        <v>1.761</v>
      </c>
      <c r="Q2" s="23" t="n">
        <v>3.022</v>
      </c>
    </row>
    <row r="3" customFormat="1" s="1">
      <c r="A3" s="5" t="inlineStr">
        <is>
          <t>Cost of Sales</t>
        </is>
      </c>
      <c r="B3" s="23" t="n">
        <v>0</v>
      </c>
      <c r="C3" s="23" t="n">
        <v>0.947</v>
      </c>
      <c r="D3" s="23" t="n">
        <v>1.348</v>
      </c>
      <c r="E3" s="23" t="n">
        <v>1.96</v>
      </c>
      <c r="F3" s="23" t="n">
        <v>3.672</v>
      </c>
      <c r="G3" s="23" t="n">
        <v>4.507</v>
      </c>
      <c r="H3" s="23" t="n">
        <v>4.186</v>
      </c>
      <c r="I3" s="23" t="n">
        <v>2.637</v>
      </c>
      <c r="J3" s="23" t="n">
        <v>2.738</v>
      </c>
      <c r="K3" s="23" t="n">
        <v>6.335</v>
      </c>
      <c r="L3" s="23" t="n">
        <v>15.975</v>
      </c>
      <c r="M3" s="23" t="n">
        <v>1.402</v>
      </c>
      <c r="N3" s="23" t="n">
        <v>1.397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1.141</v>
      </c>
      <c r="D4" s="23">
        <f>D2-D3</f>
        <v>2.4699999999999998</v>
      </c>
      <c r="E4" s="23">
        <f>E2-E3</f>
        <v>6.816</v>
      </c>
      <c r="F4" s="23">
        <f>F2-F3</f>
        <v>11.354</v>
      </c>
      <c r="G4" s="23">
        <f>G2-G3</f>
        <v>15.636000000000001</v>
      </c>
      <c r="H4" s="23">
        <f>H2-H3</f>
        <v>15.170000000000002</v>
      </c>
      <c r="I4" s="23">
        <f>I2-I3</f>
        <v>14.140999999999998</v>
      </c>
      <c r="J4" s="23">
        <f>J2-J3</f>
        <v>13.361</v>
      </c>
      <c r="K4" s="23">
        <f>K2-K3</f>
        <v>43.312</v>
      </c>
      <c r="L4" s="23">
        <f>L2-L3</f>
        <v>48.897</v>
      </c>
      <c r="M4" s="23">
        <f>M2-M3</f>
        <v>1.171</v>
      </c>
      <c r="N4" s="23">
        <f>N2-N3</f>
        <v>68.56599999999999</v>
      </c>
      <c r="O4" s="23">
        <f>O2-O3</f>
        <v>1.302</v>
      </c>
      <c r="P4" s="23">
        <f>P2-P3</f>
        <v>1.761</v>
      </c>
      <c r="Q4" s="23">
        <f>Q2-Q3</f>
        <v>3.022</v>
      </c>
    </row>
    <row r="5">
      <c r="A5" s="2" t="inlineStr">
        <is>
          <t>Research &amp; Dev.</t>
        </is>
      </c>
      <c r="B5" s="23" t="n">
        <v>0</v>
      </c>
      <c r="C5" s="23" t="n">
        <v>0.107</v>
      </c>
      <c r="D5" s="23" t="n">
        <v>4.492</v>
      </c>
      <c r="E5" s="23" t="n">
        <v>13.551</v>
      </c>
      <c r="F5" s="23" t="n">
        <v>43.219</v>
      </c>
      <c r="G5" s="23" t="n">
        <v>72.04300000000001</v>
      </c>
      <c r="H5" s="23" t="n">
        <v>53.943</v>
      </c>
      <c r="I5" s="23" t="n">
        <v>33.853</v>
      </c>
      <c r="J5" s="23" t="n">
        <v>27.299</v>
      </c>
      <c r="K5" s="23" t="n">
        <v>19.792</v>
      </c>
      <c r="L5" s="23" t="n">
        <v>10.432</v>
      </c>
      <c r="M5" s="23" t="n">
        <v>7.086</v>
      </c>
      <c r="N5" s="23" t="n">
        <v>0</v>
      </c>
      <c r="O5" s="23" t="n">
        <v>0</v>
      </c>
      <c r="P5" s="23" t="n">
        <v>0</v>
      </c>
      <c r="Q5" s="23" t="n">
        <v>0</v>
      </c>
    </row>
    <row r="6">
      <c r="A6" s="19" t="inlineStr">
        <is>
          <t>SG&amp;A &amp; Other</t>
        </is>
      </c>
      <c r="B6" s="23" t="n">
        <v>2.867</v>
      </c>
      <c r="C6" s="23" t="n">
        <v>6.461</v>
      </c>
      <c r="D6" s="23" t="n">
        <v>14.126</v>
      </c>
      <c r="E6" s="23" t="n">
        <v>19.073</v>
      </c>
      <c r="F6" s="23" t="n">
        <v>22.177</v>
      </c>
      <c r="G6" s="23" t="n">
        <v>28.784</v>
      </c>
      <c r="H6" s="23" t="n">
        <v>51.481</v>
      </c>
      <c r="I6" s="23" t="n">
        <v>57.916</v>
      </c>
      <c r="J6" s="23" t="n">
        <v>116.283</v>
      </c>
      <c r="K6" s="23" t="n">
        <v>174.725</v>
      </c>
      <c r="L6" s="23" t="n">
        <v>194.006</v>
      </c>
      <c r="M6" s="23" t="n">
        <v>73.66200000000001</v>
      </c>
      <c r="N6" s="23" t="n">
        <v>67.375</v>
      </c>
      <c r="O6" s="23" t="n">
        <v>9.824999999999999</v>
      </c>
      <c r="P6" s="23" t="n">
        <v>7.873</v>
      </c>
      <c r="Q6" s="23" t="n">
        <v>7.412</v>
      </c>
    </row>
    <row r="7">
      <c r="A7" s="2" t="inlineStr">
        <is>
          <t>Operating Expense</t>
        </is>
      </c>
      <c r="B7" s="23">
        <f>SUM(B5:B6)</f>
        <v>2.867</v>
      </c>
      <c r="C7" s="23">
        <f>SUM(C5:C6)</f>
        <v>6.5680000000000005</v>
      </c>
      <c r="D7" s="23">
        <f>SUM(D5:D6)</f>
        <v>18.618</v>
      </c>
      <c r="E7" s="23">
        <f>SUM(E5:E6)</f>
        <v>32.624</v>
      </c>
      <c r="F7" s="23">
        <f>SUM(F5:F6)</f>
        <v>65.396</v>
      </c>
      <c r="G7" s="23">
        <f>SUM(G5:G6)</f>
        <v>100.827</v>
      </c>
      <c r="H7" s="23">
        <f>SUM(H5:H6)</f>
        <v>105.424</v>
      </c>
      <c r="I7" s="23">
        <f>SUM(I5:I6)</f>
        <v>91.769</v>
      </c>
      <c r="J7" s="23">
        <f>SUM(J5:J6)</f>
        <v>143.582</v>
      </c>
      <c r="K7" s="23">
        <f>SUM(K5:K6)</f>
        <v>194.517</v>
      </c>
      <c r="L7" s="23">
        <f>SUM(L5:L6)</f>
        <v>204.438</v>
      </c>
      <c r="M7" s="23">
        <f>SUM(M5:M6)</f>
        <v>80.748</v>
      </c>
      <c r="N7" s="23">
        <f>SUM(N5:N6)</f>
        <v>67.375</v>
      </c>
      <c r="O7" s="23">
        <f>SUM(O5:O6)</f>
        <v>9.825</v>
      </c>
      <c r="P7" s="23">
        <f>SUM(P5:P6)</f>
        <v>7.873</v>
      </c>
      <c r="Q7" s="23">
        <f>SUM(Q5:Q6)</f>
        <v>7.412</v>
      </c>
    </row>
    <row r="8">
      <c r="A8" s="2" t="inlineStr">
        <is>
          <t>Operating Income</t>
        </is>
      </c>
      <c r="B8" s="23">
        <f>B4-B7</f>
        <v>-2.867</v>
      </c>
      <c r="C8" s="23">
        <f>C4-C7</f>
        <v>-5.4270000000000005</v>
      </c>
      <c r="D8" s="23">
        <f>D4-D7</f>
        <v>-16.148</v>
      </c>
      <c r="E8" s="23">
        <f>E4-E7</f>
        <v>-25.808000000000003</v>
      </c>
      <c r="F8" s="23">
        <f>F4-F7</f>
        <v>-54.042</v>
      </c>
      <c r="G8" s="23">
        <f>G4-G7</f>
        <v>-85.191</v>
      </c>
      <c r="H8" s="23">
        <f>H4-H7</f>
        <v>-90.254</v>
      </c>
      <c r="I8" s="23">
        <f>I4-I7</f>
        <v>-77.62800000000001</v>
      </c>
      <c r="J8" s="23">
        <f>J4-J7</f>
        <v>-130.221</v>
      </c>
      <c r="K8" s="23">
        <f>K4-K7</f>
        <v>-151.20499999999998</v>
      </c>
      <c r="L8" s="23">
        <f>L4-L7</f>
        <v>-155.541</v>
      </c>
      <c r="M8" s="23">
        <f>M4-M7</f>
        <v>-79.577</v>
      </c>
      <c r="N8" s="23">
        <f>N4-N7</f>
        <v>1.1909999999999883</v>
      </c>
      <c r="O8" s="23">
        <f>O4-O7</f>
        <v>-8.523</v>
      </c>
      <c r="P8" s="23">
        <f>P4-P7</f>
        <v>-6.112</v>
      </c>
      <c r="Q8" s="23">
        <f>Q4-Q7</f>
        <v>-4.390000000000001</v>
      </c>
    </row>
    <row r="9">
      <c r="A9" s="19" t="inlineStr">
        <is>
          <t>Interest &amp; Other</t>
        </is>
      </c>
      <c r="B9" s="23" t="n">
        <v>0</v>
      </c>
      <c r="C9" s="23" t="n">
        <v>-7.486</v>
      </c>
      <c r="D9" s="23" t="n">
        <v>-18.972</v>
      </c>
      <c r="E9" s="23" t="n">
        <v>-2.611</v>
      </c>
      <c r="F9" s="23" t="n">
        <v>-0.176</v>
      </c>
      <c r="G9" s="23" t="n">
        <v>0.113</v>
      </c>
      <c r="H9" s="23" t="n">
        <v>0.378</v>
      </c>
      <c r="I9" s="23" t="n">
        <v>0.703</v>
      </c>
      <c r="J9" s="23" t="n">
        <v>-2.397</v>
      </c>
      <c r="K9" s="23" t="n">
        <v>-24.94</v>
      </c>
      <c r="L9" s="23" t="n">
        <v>-27.983</v>
      </c>
      <c r="M9" s="23" t="n">
        <v>-92.83799999999999</v>
      </c>
      <c r="N9" s="23" t="n">
        <v>110.806</v>
      </c>
      <c r="O9" s="23" t="n">
        <v>-1.798</v>
      </c>
      <c r="P9" s="23" t="n">
        <v>3.9</v>
      </c>
      <c r="Q9" s="23" t="n">
        <v>3.821</v>
      </c>
    </row>
    <row r="10">
      <c r="A10" s="2" t="inlineStr">
        <is>
          <t>Pretax</t>
        </is>
      </c>
      <c r="B10" s="23">
        <f>B8+B9</f>
        <v>-2.867</v>
      </c>
      <c r="C10" s="23">
        <f>C8+C9</f>
        <v>-12.913</v>
      </c>
      <c r="D10" s="23">
        <f>D8+D9</f>
        <v>-35.120000000000005</v>
      </c>
      <c r="E10" s="23">
        <f>E8+E9</f>
        <v>-28.419000000000004</v>
      </c>
      <c r="F10" s="23">
        <f>F8+F9</f>
        <v>-54.218</v>
      </c>
      <c r="G10" s="23">
        <f>G8+G9</f>
        <v>-85.078</v>
      </c>
      <c r="H10" s="23">
        <f>H8+H9</f>
        <v>-89.876</v>
      </c>
      <c r="I10" s="23">
        <f>I8+I9</f>
        <v>-76.92500000000001</v>
      </c>
      <c r="J10" s="23">
        <f>J8+J9</f>
        <v>-132.618</v>
      </c>
      <c r="K10" s="23">
        <f>K8+K9</f>
        <v>-176.14499999999998</v>
      </c>
      <c r="L10" s="23">
        <f>L8+L9</f>
        <v>-183.524</v>
      </c>
      <c r="M10" s="23">
        <f>M8+M9</f>
        <v>-172.415</v>
      </c>
      <c r="N10" s="23">
        <f>N8+N9</f>
        <v>111.99699999999999</v>
      </c>
      <c r="O10" s="23">
        <f>O8+O9</f>
        <v>-10.321</v>
      </c>
      <c r="P10" s="23">
        <f>P8+P9</f>
        <v>-2.212</v>
      </c>
      <c r="Q10" s="23">
        <f>Q8+Q9</f>
        <v>-0.5690000000000004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-0.043</v>
      </c>
      <c r="P11" s="23" t="n">
        <v>-0.031</v>
      </c>
      <c r="Q11" s="23" t="n">
        <v>0</v>
      </c>
    </row>
    <row r="12">
      <c r="A12" s="2" t="inlineStr">
        <is>
          <t>Net Income</t>
        </is>
      </c>
      <c r="B12" s="23" t="n">
        <v>-2.867</v>
      </c>
      <c r="C12" s="23" t="n">
        <v>-12.913</v>
      </c>
      <c r="D12" s="23" t="n">
        <v>-35.12</v>
      </c>
      <c r="E12" s="23" t="n">
        <v>-28.419</v>
      </c>
      <c r="F12" s="23" t="n">
        <v>-54.217</v>
      </c>
      <c r="G12" s="23" t="n">
        <v>-85.077</v>
      </c>
      <c r="H12" s="23" t="n">
        <v>-89.875</v>
      </c>
      <c r="I12" s="23" t="n">
        <v>-76.925</v>
      </c>
      <c r="J12" s="23" t="n">
        <v>-132.617</v>
      </c>
      <c r="K12" s="23" t="n">
        <v>-176.145</v>
      </c>
      <c r="L12" s="23" t="n">
        <v>-183.524</v>
      </c>
      <c r="M12" s="23" t="n">
        <v>-172.415</v>
      </c>
      <c r="N12" s="23" t="n">
        <v>111.997</v>
      </c>
      <c r="O12" s="23" t="n">
        <v>-10.278</v>
      </c>
      <c r="P12" s="23" t="n">
        <v>-2.181</v>
      </c>
      <c r="Q12" s="23" t="n">
        <v>-0.569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-7.230123180291153</v>
      </c>
      <c r="D13" s="11">
        <f>IFERROR(D12/D14,0)</f>
        <v>-13.414820473644003</v>
      </c>
      <c r="E13" s="11">
        <f>IFERROR(E12/E14,0)</f>
        <v>-7.796707818930042</v>
      </c>
      <c r="F13" s="11">
        <f>IFERROR(F12/F14,0)</f>
        <v>-12.67344553529687</v>
      </c>
      <c r="G13" s="11">
        <f>IFERROR(G12/G14,0)</f>
        <v>-17.194219886822957</v>
      </c>
      <c r="H13" s="11">
        <f>IFERROR(H12/H14,0)</f>
        <v>-16.040514010351597</v>
      </c>
      <c r="I13" s="11">
        <f>IFERROR(I12/I14,0)</f>
        <v>-13.100306539509537</v>
      </c>
      <c r="J13" s="11">
        <f>IFERROR(J12/J14,0)</f>
        <v>-20.627935915383418</v>
      </c>
      <c r="K13" s="11">
        <f>IFERROR(K12/K14,0)</f>
        <v>-25.024151157834922</v>
      </c>
      <c r="L13" s="11">
        <f>IFERROR(L12/L14,0)</f>
        <v>-23.30167597765363</v>
      </c>
      <c r="M13" s="11">
        <f>IFERROR(M12/M14,0)</f>
        <v>-21.660175879396984</v>
      </c>
      <c r="N13" s="11">
        <f>IFERROR(N12/N14,0)</f>
        <v>11.957826179799275</v>
      </c>
      <c r="O13" s="11">
        <f>IFERROR(O12/O14,0)</f>
        <v>-0.9843884685374964</v>
      </c>
      <c r="P13" s="11">
        <f>IFERROR(P12/P14,0)</f>
        <v>-0.18912591050988553</v>
      </c>
      <c r="Q13" s="11">
        <f>IFERROR(Q12/Q14,0)</f>
        <v>-0.049183161898176155</v>
      </c>
    </row>
    <row r="14">
      <c r="A14" s="2" t="inlineStr">
        <is>
          <t>Shares</t>
        </is>
      </c>
      <c r="B14" s="23" t="n"/>
      <c r="C14" s="23" t="n">
        <v>1.786</v>
      </c>
      <c r="D14" s="23" t="n">
        <v>2.618</v>
      </c>
      <c r="E14" s="23" t="n">
        <v>3.645</v>
      </c>
      <c r="F14" s="23" t="n">
        <v>4.278</v>
      </c>
      <c r="G14" s="23" t="n">
        <v>4.948</v>
      </c>
      <c r="H14" s="23" t="n">
        <v>5.603</v>
      </c>
      <c r="I14" s="23" t="n">
        <v>5.872</v>
      </c>
      <c r="J14" s="23" t="n">
        <v>6.429</v>
      </c>
      <c r="K14" s="23" t="n">
        <v>7.039</v>
      </c>
      <c r="L14" s="23" t="n">
        <v>7.876</v>
      </c>
      <c r="M14" s="23" t="n">
        <v>7.96</v>
      </c>
      <c r="N14" s="23" t="n">
        <v>9.366</v>
      </c>
      <c r="O14" s="23" t="n">
        <v>10.441</v>
      </c>
      <c r="P14" s="23" t="n">
        <v>11.532</v>
      </c>
      <c r="Q14" s="23" t="n">
        <v>11.569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0.828544061302682</v>
      </c>
      <c r="E16" s="15">
        <f>IFERROR(E2/D2-1,"")</f>
        <v>1.2985856469355683</v>
      </c>
      <c r="F16" s="15">
        <f>IFERROR(F2/E2-1,"")</f>
        <v>0.7121695533272561</v>
      </c>
      <c r="G16" s="15">
        <f>IFERROR(G2/F2-1,"")</f>
        <v>0.3405430586982565</v>
      </c>
      <c r="H16" s="15">
        <f>IFERROR(H2/G2-1,"")</f>
        <v>-0.03907064488904333</v>
      </c>
      <c r="I16" s="15">
        <f>IFERROR(I2/H2-1,"")</f>
        <v>-0.1331886753461461</v>
      </c>
      <c r="J16" s="15">
        <f>IFERROR(J2/I2-1,"")</f>
        <v>-0.040469662653474736</v>
      </c>
      <c r="K16" s="15">
        <f>IFERROR(K2/J2-1,"")</f>
        <v>2.0838561401329274</v>
      </c>
      <c r="L16" s="15">
        <f>IFERROR(L2/K2-1,"")</f>
        <v>0.3066650552903498</v>
      </c>
      <c r="M16" s="15">
        <f>IFERROR(M2/L2-1,"")</f>
        <v>-0.9603372795659144</v>
      </c>
      <c r="N16" s="15">
        <f>IFERROR(N2/M2-1,"")</f>
        <v>26.191216478818497</v>
      </c>
      <c r="O16" s="15">
        <f>IFERROR(O2/N2-1,"")</f>
        <v>-0.9813901633720681</v>
      </c>
      <c r="P16" s="15">
        <f>IFERROR(P2/O2-1,"")</f>
        <v>0.35253456221198154</v>
      </c>
      <c r="Q16" s="15">
        <f>IFERROR(Q2/P2-1,"")</f>
        <v>0.7160704145371948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0.546455938697318</v>
      </c>
      <c r="D17" s="15">
        <f>IFERROR(D4/D2,"")</f>
        <v>0.646935568360398</v>
      </c>
      <c r="E17" s="15">
        <f>IFERROR(E4/E2,"")</f>
        <v>0.7766636280765725</v>
      </c>
      <c r="F17" s="15">
        <f>IFERROR(F4/F2,"")</f>
        <v>0.75562358578464</v>
      </c>
      <c r="G17" s="15">
        <f>IFERROR(G4/G2,"")</f>
        <v>0.7762498138311076</v>
      </c>
      <c r="H17" s="15">
        <f>IFERROR(H4/H2,"")</f>
        <v>0.7837363091547841</v>
      </c>
      <c r="I17" s="15">
        <f>IFERROR(I4/I2,"")</f>
        <v>0.8428298962927643</v>
      </c>
      <c r="J17" s="15">
        <f>IFERROR(J4/J2,"")</f>
        <v>0.8299273246785515</v>
      </c>
      <c r="K17" s="15">
        <f>IFERROR(K4/K2,"")</f>
        <v>0.8723991379136705</v>
      </c>
      <c r="L17" s="15">
        <f>IFERROR(L4/L2,"")</f>
        <v>0.7537458379578246</v>
      </c>
      <c r="M17" s="15">
        <f>IFERROR(M4/M2,"")</f>
        <v>0.45511076564321806</v>
      </c>
      <c r="N17" s="15">
        <f>IFERROR(N4/N2,"")</f>
        <v>0.9800323027886167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-2.599137931034483</v>
      </c>
      <c r="D18" s="15">
        <f>IFERROR(D8/D2,"")</f>
        <v>-4.229439497118911</v>
      </c>
      <c r="E18" s="15">
        <f>IFERROR(E8/E2,"")</f>
        <v>-2.9407474931631725</v>
      </c>
      <c r="F18" s="15">
        <f>IFERROR(F8/F2,"")</f>
        <v>-3.5965659523492612</v>
      </c>
      <c r="G18" s="15">
        <f>IFERROR(G8/G2,"")</f>
        <v>-4.229310430422479</v>
      </c>
      <c r="H18" s="15">
        <f>IFERROR(H8/H2,"")</f>
        <v>-4.66284356271957</v>
      </c>
      <c r="I18" s="15">
        <f>IFERROR(I8/I2,"")</f>
        <v>-4.626773155322447</v>
      </c>
      <c r="J18" s="15">
        <f>IFERROR(J8/J2,"")</f>
        <v>-8.088763277222188</v>
      </c>
      <c r="K18" s="15">
        <f>IFERROR(K8/K2,"")</f>
        <v>-3.0456019497653433</v>
      </c>
      <c r="L18" s="15">
        <f>IFERROR(L8/L2,"")</f>
        <v>-2.397660007399186</v>
      </c>
      <c r="M18" s="15">
        <f>IFERROR(M8/M2,"")</f>
        <v>-30.927710843373493</v>
      </c>
      <c r="N18" s="15">
        <f>IFERROR(N8/N2,"")</f>
        <v>0.017023283735688698</v>
      </c>
      <c r="O18" s="15">
        <f>IFERROR(O8/O2,"")</f>
        <v>-6.546082949308755</v>
      </c>
      <c r="P18" s="15">
        <f>IFERROR(P8/P2,"")</f>
        <v>-3.4707552526973315</v>
      </c>
      <c r="Q18" s="15">
        <f>IFERROR(Q8/Q2,"")</f>
        <v>-1.4526803441429519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TherapeuticsMD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3.953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1063.1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107.27276825271268</v>
      </c>
      <c r="C29" s="42">
        <f>NPV!B25</f>
        <v>116.46176825271269</v>
      </c>
      <c r="D29" s="43">
        <f>NPV!B27</f>
        <v>10.062046465516863</v>
      </c>
      <c r="E29" s="44">
        <f>NPV!B29</f>
        <v>4.352152375274927</v>
      </c>
    </row>
    <row r="30">
      <c r="A30" s="45" t="n">
        <v>1</v>
      </c>
      <c r="B30" s="46">
        <f t="dataTable" ref="B30:E32" r1="B4"/>
        <v>60.34476671766875</v>
      </c>
      <c r="C30" s="46">
        <v>69.53376671766875</v>
      </c>
      <c r="D30" s="47">
        <v>6.007567995339073</v>
      </c>
      <c r="E30" s="48">
        <v>2.195514891137805</v>
      </c>
    </row>
    <row r="31">
      <c r="A31" s="45" t="n">
        <v>2</v>
      </c>
      <c r="B31" s="46">
        <v>107.27276825271268</v>
      </c>
      <c r="C31" s="46">
        <v>116.46176825271269</v>
      </c>
      <c r="D31" s="47">
        <v>10.062046465516863</v>
      </c>
      <c r="E31" s="48">
        <v>4.352152375274927</v>
      </c>
    </row>
    <row r="32">
      <c r="A32" s="45" t="n">
        <v>3</v>
      </c>
      <c r="B32" s="46">
        <v>159.2897043918501</v>
      </c>
      <c r="C32" s="46">
        <v>168.4787043918501</v>
      </c>
      <c r="D32" s="47">
        <v>14.55619794783074</v>
      </c>
      <c r="E32" s="48">
        <v>6.742658482888691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10.062046465516863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5.344319469231121</v>
      </c>
      <c r="C37" s="47">
        <v>7.703182967373991</v>
      </c>
      <c r="D37" s="47">
        <v>10.062046465516863</v>
      </c>
      <c r="E37" s="47">
        <v>14.7797734618026</v>
      </c>
      <c r="F37" s="47">
        <v>19.497500458088343</v>
      </c>
    </row>
    <row r="38">
      <c r="A38" s="50" t="n">
        <v>0.8</v>
      </c>
      <c r="B38" s="47">
        <v>5.344319469231121</v>
      </c>
      <c r="C38" s="47">
        <v>7.703182967373991</v>
      </c>
      <c r="D38" s="47">
        <v>10.062046465516863</v>
      </c>
      <c r="E38" s="47">
        <v>14.7797734618026</v>
      </c>
      <c r="F38" s="47">
        <v>19.497500458088343</v>
      </c>
    </row>
    <row r="39">
      <c r="A39" s="50" t="n">
        <v>1</v>
      </c>
      <c r="B39" s="47">
        <v>5.344319469231121</v>
      </c>
      <c r="C39" s="47">
        <v>7.703182967373991</v>
      </c>
      <c r="D39" s="47">
        <v>10.062046465516863</v>
      </c>
      <c r="E39" s="47">
        <v>14.7797734618026</v>
      </c>
      <c r="F39" s="47">
        <v>19.497500458088343</v>
      </c>
    </row>
    <row r="40">
      <c r="A40" s="50" t="n">
        <v>1.2</v>
      </c>
      <c r="B40" s="47">
        <v>5.344319469231121</v>
      </c>
      <c r="C40" s="47">
        <v>7.703182967373991</v>
      </c>
      <c r="D40" s="47">
        <v>10.062046465516863</v>
      </c>
      <c r="E40" s="47">
        <v>14.7797734618026</v>
      </c>
      <c r="F40" s="47">
        <v>19.497500458088343</v>
      </c>
    </row>
    <row r="41">
      <c r="A41" s="50" t="n">
        <v>1.4</v>
      </c>
      <c r="B41" s="47">
        <v>5.344319469231121</v>
      </c>
      <c r="C41" s="47">
        <v>7.703182967373991</v>
      </c>
      <c r="D41" s="47">
        <v>10.062046465516863</v>
      </c>
      <c r="E41" s="47">
        <v>14.7797734618026</v>
      </c>
      <c r="F41" s="47">
        <v>19.497500458088343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TherapeuticsMD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Women's health</t>
        </is>
      </c>
      <c r="C4" s="14" t="inlineStr">
        <is>
          <t>Annovera (segesterone/EE ring)</t>
        </is>
      </c>
      <c r="D4" s="14" t="inlineStr">
        <is>
          <t>Approved</t>
        </is>
      </c>
      <c r="E4" s="14" t="inlineStr">
        <is>
          <t>Endocrine / area</t>
        </is>
      </c>
      <c r="F4" s="14" t="inlineStr">
        <is>
          <t>Partnered</t>
        </is>
      </c>
      <c r="G4" s="40" t="n">
        <v>200</v>
      </c>
      <c r="H4" s="27" t="n">
        <v>1</v>
      </c>
      <c r="I4" s="26" t="n">
        <v>2019</v>
      </c>
      <c r="J4" s="39">
        <f>I4+Assumptions!$B$25</f>
        <v>2031.0</v>
      </c>
      <c r="K4" s="53">
        <f>Assumptions!$E$14</f>
        <v>0.12</v>
      </c>
      <c r="L4" s="23">
        <f>K4*SUMPRODUCT(M4:AF4,NPV!$C$15:$V$15)</f>
        <v>109.20936014436764</v>
      </c>
      <c r="M4" s="23">
        <f>IF(M$3&lt;$I4,0,$G4*Assumptions!$E$11*INDEX(Assumptions!$B$24:$G$24,MIN(6,M$3-$I4+1))*IF(M$3&gt;$J4,(1-Assumptions!$B$26)^(M$3-$J4),1)*IF($H4&gt;=1,1,MIN(0.97,$H4*Assumptions!$E$12)))</f>
        <v>200.0</v>
      </c>
      <c r="N4" s="23">
        <f>IF(N$3&lt;$I4,0,$G4*Assumptions!$E$11*INDEX(Assumptions!$B$24:$G$24,MIN(6,N$3-$I4+1))*IF(N$3&gt;$J4,(1-Assumptions!$B$26)^(N$3-$J4),1)*IF($H4&gt;=1,1,MIN(0.97,$H4*Assumptions!$E$12)))</f>
        <v>200.0</v>
      </c>
      <c r="O4" s="23">
        <f>IF(O$3&lt;$I4,0,$G4*Assumptions!$E$11*INDEX(Assumptions!$B$24:$G$24,MIN(6,O$3-$I4+1))*IF(O$3&gt;$J4,(1-Assumptions!$B$26)^(O$3-$J4),1)*IF($H4&gt;=1,1,MIN(0.97,$H4*Assumptions!$E$12)))</f>
        <v>200.0</v>
      </c>
      <c r="P4" s="23">
        <f>IF(P$3&lt;$I4,0,$G4*Assumptions!$E$11*INDEX(Assumptions!$B$24:$G$24,MIN(6,P$3-$I4+1))*IF(P$3&gt;$J4,(1-Assumptions!$B$26)^(P$3-$J4),1)*IF($H4&gt;=1,1,MIN(0.97,$H4*Assumptions!$E$12)))</f>
        <v>200.0</v>
      </c>
      <c r="Q4" s="23">
        <f>IF(Q$3&lt;$I4,0,$G4*Assumptions!$E$11*INDEX(Assumptions!$B$24:$G$24,MIN(6,Q$3-$I4+1))*IF(Q$3&gt;$J4,(1-Assumptions!$B$26)^(Q$3-$J4),1)*IF($H4&gt;=1,1,MIN(0.97,$H4*Assumptions!$E$12)))</f>
        <v>200.0</v>
      </c>
      <c r="R4" s="23">
        <f>IF(R$3&lt;$I4,0,$G4*Assumptions!$E$11*INDEX(Assumptions!$B$24:$G$24,MIN(6,R$3-$I4+1))*IF(R$3&gt;$J4,(1-Assumptions!$B$26)^(R$3-$J4),1)*IF($H4&gt;=1,1,MIN(0.97,$H4*Assumptions!$E$12)))</f>
        <v>200.0</v>
      </c>
      <c r="S4" s="23">
        <f>IF(S$3&lt;$I4,0,$G4*Assumptions!$E$11*INDEX(Assumptions!$B$24:$G$24,MIN(6,S$3-$I4+1))*IF(S$3&gt;$J4,(1-Assumptions!$B$26)^(S$3-$J4),1)*IF($H4&gt;=1,1,MIN(0.97,$H4*Assumptions!$E$12)))</f>
        <v>100.0</v>
      </c>
      <c r="T4" s="23">
        <f>IF(T$3&lt;$I4,0,$G4*Assumptions!$E$11*INDEX(Assumptions!$B$24:$G$24,MIN(6,T$3-$I4+1))*IF(T$3&gt;$J4,(1-Assumptions!$B$26)^(T$3-$J4),1)*IF($H4&gt;=1,1,MIN(0.97,$H4*Assumptions!$E$12)))</f>
        <v>50.0</v>
      </c>
      <c r="U4" s="23">
        <f>IF(U$3&lt;$I4,0,$G4*Assumptions!$E$11*INDEX(Assumptions!$B$24:$G$24,MIN(6,U$3-$I4+1))*IF(U$3&gt;$J4,(1-Assumptions!$B$26)^(U$3-$J4),1)*IF($H4&gt;=1,1,MIN(0.97,$H4*Assumptions!$E$12)))</f>
        <v>25.0</v>
      </c>
      <c r="V4" s="23">
        <f>IF(V$3&lt;$I4,0,$G4*Assumptions!$E$11*INDEX(Assumptions!$B$24:$G$24,MIN(6,V$3-$I4+1))*IF(V$3&gt;$J4,(1-Assumptions!$B$26)^(V$3-$J4),1)*IF($H4&gt;=1,1,MIN(0.97,$H4*Assumptions!$E$12)))</f>
        <v>12.5</v>
      </c>
      <c r="W4" s="23">
        <f>IF(W$3&lt;$I4,0,$G4*Assumptions!$E$11*INDEX(Assumptions!$B$24:$G$24,MIN(6,W$3-$I4+1))*IF(W$3&gt;$J4,(1-Assumptions!$B$26)^(W$3-$J4),1)*IF($H4&gt;=1,1,MIN(0.97,$H4*Assumptions!$E$12)))</f>
        <v>6.25</v>
      </c>
      <c r="X4" s="23">
        <f>IF(X$3&lt;$I4,0,$G4*Assumptions!$E$11*INDEX(Assumptions!$B$24:$G$24,MIN(6,X$3-$I4+1))*IF(X$3&gt;$J4,(1-Assumptions!$B$26)^(X$3-$J4),1)*IF($H4&gt;=1,1,MIN(0.97,$H4*Assumptions!$E$12)))</f>
        <v>3.125</v>
      </c>
      <c r="Y4" s="23">
        <f>IF(Y$3&lt;$I4,0,$G4*Assumptions!$E$11*INDEX(Assumptions!$B$24:$G$24,MIN(6,Y$3-$I4+1))*IF(Y$3&gt;$J4,(1-Assumptions!$B$26)^(Y$3-$J4),1)*IF($H4&gt;=1,1,MIN(0.97,$H4*Assumptions!$E$12)))</f>
        <v>1.5625</v>
      </c>
      <c r="Z4" s="23">
        <f>IF(Z$3&lt;$I4,0,$G4*Assumptions!$E$11*INDEX(Assumptions!$B$24:$G$24,MIN(6,Z$3-$I4+1))*IF(Z$3&gt;$J4,(1-Assumptions!$B$26)^(Z$3-$J4),1)*IF($H4&gt;=1,1,MIN(0.97,$H4*Assumptions!$E$12)))</f>
        <v>0.78125</v>
      </c>
      <c r="AA4" s="23">
        <f>IF(AA$3&lt;$I4,0,$G4*Assumptions!$E$11*INDEX(Assumptions!$B$24:$G$24,MIN(6,AA$3-$I4+1))*IF(AA$3&gt;$J4,(1-Assumptions!$B$26)^(AA$3-$J4),1)*IF($H4&gt;=1,1,MIN(0.97,$H4*Assumptions!$E$12)))</f>
        <v>0.390625</v>
      </c>
      <c r="AB4" s="23">
        <f>IF(AB$3&lt;$I4,0,$G4*Assumptions!$E$11*INDEX(Assumptions!$B$24:$G$24,MIN(6,AB$3-$I4+1))*IF(AB$3&gt;$J4,(1-Assumptions!$B$26)^(AB$3-$J4),1)*IF($H4&gt;=1,1,MIN(0.97,$H4*Assumptions!$E$12)))</f>
        <v>0.1953125</v>
      </c>
      <c r="AC4" s="23">
        <f>IF(AC$3&lt;$I4,0,$G4*Assumptions!$E$11*INDEX(Assumptions!$B$24:$G$24,MIN(6,AC$3-$I4+1))*IF(AC$3&gt;$J4,(1-Assumptions!$B$26)^(AC$3-$J4),1)*IF($H4&gt;=1,1,MIN(0.97,$H4*Assumptions!$E$12)))</f>
        <v>0.09765625</v>
      </c>
      <c r="AD4" s="23">
        <f>IF(AD$3&lt;$I4,0,$G4*Assumptions!$E$11*INDEX(Assumptions!$B$24:$G$24,MIN(6,AD$3-$I4+1))*IF(AD$3&gt;$J4,(1-Assumptions!$B$26)^(AD$3-$J4),1)*IF($H4&gt;=1,1,MIN(0.97,$H4*Assumptions!$E$12)))</f>
        <v>0.048828125</v>
      </c>
      <c r="AE4" s="23">
        <f>IF(AE$3&lt;$I4,0,$G4*Assumptions!$E$11*INDEX(Assumptions!$B$24:$G$24,MIN(6,AE$3-$I4+1))*IF(AE$3&gt;$J4,(1-Assumptions!$B$26)^(AE$3-$J4),1)*IF($H4&gt;=1,1,MIN(0.97,$H4*Assumptions!$E$12)))</f>
        <v>0.0244140625</v>
      </c>
      <c r="AF4" s="23">
        <f>IF(AF$3&lt;$I4,0,$G4*Assumptions!$E$11*INDEX(Assumptions!$B$24:$G$24,MIN(6,AF$3-$I4+1))*IF(AF$3&gt;$J4,(1-Assumptions!$B$26)^(AF$3-$J4),1)*IF($H4&gt;=1,1,MIN(0.97,$H4*Assumptions!$E$12)))</f>
        <v>0.01220703125</v>
      </c>
      <c r="AG4" s="35">
        <f>IF(F4="Owned",1-IF(H4&gt;=1,1,MIN(0.97,H4*Assumptions!$E$12)),1)</f>
        <v>1</v>
      </c>
    </row>
    <row r="5">
      <c r="B5" s="24" t="inlineStr">
        <is>
          <t>Risked revenue</t>
        </is>
      </c>
      <c r="L5" s="54">
        <f>SUM(L4:L4)</f>
        <v>109.20936014436764</v>
      </c>
      <c r="M5" s="54">
        <f>SUM(M4:M4)</f>
        <v>200.0</v>
      </c>
      <c r="N5" s="54">
        <f>SUM(N4:N4)</f>
        <v>200.0</v>
      </c>
      <c r="O5" s="54">
        <f>SUM(O4:O4)</f>
        <v>200.0</v>
      </c>
      <c r="P5" s="54">
        <f>SUM(P4:P4)</f>
        <v>200.0</v>
      </c>
      <c r="Q5" s="54">
        <f>SUM(Q4:Q4)</f>
        <v>200.0</v>
      </c>
      <c r="R5" s="54">
        <f>SUM(R4:R4)</f>
        <v>200.0</v>
      </c>
      <c r="S5" s="54">
        <f>SUM(S4:S4)</f>
        <v>100.0</v>
      </c>
      <c r="T5" s="54">
        <f>SUM(T4:T4)</f>
        <v>50.0</v>
      </c>
      <c r="U5" s="54">
        <f>SUM(U4:U4)</f>
        <v>25.0</v>
      </c>
      <c r="V5" s="54">
        <f>SUM(V4:V4)</f>
        <v>12.5</v>
      </c>
      <c r="W5" s="54">
        <f>SUM(W4:W4)</f>
        <v>6.25</v>
      </c>
      <c r="X5" s="54">
        <f>SUM(X4:X4)</f>
        <v>3.125</v>
      </c>
      <c r="Y5" s="54">
        <f>SUM(Y4:Y4)</f>
        <v>1.5625</v>
      </c>
      <c r="Z5" s="54">
        <f>SUM(Z4:Z4)</f>
        <v>0.78125</v>
      </c>
      <c r="AA5" s="54">
        <f>SUM(AA4:AA4)</f>
        <v>0.390625</v>
      </c>
      <c r="AB5" s="54">
        <f>SUM(AB4:AB4)</f>
        <v>0.1953125</v>
      </c>
      <c r="AC5" s="54">
        <f>SUM(AC4:AC4)</f>
        <v>0.09765625</v>
      </c>
      <c r="AD5" s="54">
        <f>SUM(AD4:AD4)</f>
        <v>0.048828125</v>
      </c>
      <c r="AE5" s="54">
        <f>SUM(AE4:AE4)</f>
        <v>0.0244140625</v>
      </c>
      <c r="AF5" s="54">
        <f>SUM(AF4:AF4)</f>
        <v>0.01220703125</v>
      </c>
    </row>
    <row r="6">
      <c r="B6" s="24" t="inlineStr">
        <is>
          <t>Risked contribution (revenue x share)</t>
        </is>
      </c>
      <c r="M6" s="55">
        <f>SUMPRODUCT(M4:M4,$K$4:$K$4)</f>
        <v>24.0</v>
      </c>
      <c r="N6" s="55">
        <f>SUMPRODUCT(N4:N4,$K$4:$K$4)</f>
        <v>24.0</v>
      </c>
      <c r="O6" s="55">
        <f>SUMPRODUCT(O4:O4,$K$4:$K$4)</f>
        <v>24.0</v>
      </c>
      <c r="P6" s="55">
        <f>SUMPRODUCT(P4:P4,$K$4:$K$4)</f>
        <v>24.0</v>
      </c>
      <c r="Q6" s="55">
        <f>SUMPRODUCT(Q4:Q4,$K$4:$K$4)</f>
        <v>24.0</v>
      </c>
      <c r="R6" s="55">
        <f>SUMPRODUCT(R4:R4,$K$4:$K$4)</f>
        <v>24.0</v>
      </c>
      <c r="S6" s="55">
        <f>SUMPRODUCT(S4:S4,$K$4:$K$4)</f>
        <v>12.0</v>
      </c>
      <c r="T6" s="55">
        <f>SUMPRODUCT(T4:T4,$K$4:$K$4)</f>
        <v>6.0</v>
      </c>
      <c r="U6" s="55">
        <f>SUMPRODUCT(U4:U4,$K$4:$K$4)</f>
        <v>3.0</v>
      </c>
      <c r="V6" s="55">
        <f>SUMPRODUCT(V4:V4,$K$4:$K$4)</f>
        <v>1.5</v>
      </c>
      <c r="W6" s="55">
        <f>SUMPRODUCT(W4:W4,$K$4:$K$4)</f>
        <v>0.75</v>
      </c>
      <c r="X6" s="55">
        <f>SUMPRODUCT(X4:X4,$K$4:$K$4)</f>
        <v>0.375</v>
      </c>
      <c r="Y6" s="55">
        <f>SUMPRODUCT(Y4:Y4,$K$4:$K$4)</f>
        <v>0.1875</v>
      </c>
      <c r="Z6" s="55">
        <f>SUMPRODUCT(Z4:Z4,$K$4:$K$4)</f>
        <v>0.09375</v>
      </c>
      <c r="AA6" s="55">
        <f>SUMPRODUCT(AA4:AA4,$K$4:$K$4)</f>
        <v>0.046875</v>
      </c>
      <c r="AB6" s="55">
        <f>SUMPRODUCT(AB4:AB4,$K$4:$K$4)</f>
        <v>0.0234375</v>
      </c>
      <c r="AC6" s="55">
        <f>SUMPRODUCT(AC4:AC4,$K$4:$K$4)</f>
        <v>0.01171875</v>
      </c>
      <c r="AD6" s="55">
        <f>SUMPRODUCT(AD4:AD4,$K$4:$K$4)</f>
        <v>0.005859375</v>
      </c>
      <c r="AE6" s="55">
        <f>SUMPRODUCT(AE4:AE4,$K$4:$K$4)</f>
        <v>0.0029296875</v>
      </c>
      <c r="AF6" s="55">
        <f>SUMPRODUCT(AF4:AF4,$K$4:$K$4)</f>
        <v>0.00146484375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TherapeuticsMD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200.0</v>
      </c>
      <c r="D4" s="57">
        <f>Pipeline!N5</f>
        <v>200.0</v>
      </c>
      <c r="E4" s="57">
        <f>Pipeline!O5</f>
        <v>200.0</v>
      </c>
      <c r="F4" s="57">
        <f>Pipeline!P5</f>
        <v>200.0</v>
      </c>
      <c r="G4" s="57">
        <f>Pipeline!Q5</f>
        <v>200.0</v>
      </c>
      <c r="H4" s="57">
        <f>Pipeline!R5</f>
        <v>200.0</v>
      </c>
      <c r="I4" s="57">
        <f>Pipeline!S5</f>
        <v>100.0</v>
      </c>
      <c r="J4" s="57">
        <f>Pipeline!T5</f>
        <v>50.0</v>
      </c>
      <c r="K4" s="57">
        <f>Pipeline!U5</f>
        <v>25.0</v>
      </c>
      <c r="L4" s="57">
        <f>Pipeline!V5</f>
        <v>12.5</v>
      </c>
      <c r="M4" s="57">
        <f>Pipeline!W5</f>
        <v>6.25</v>
      </c>
      <c r="N4" s="57">
        <f>Pipeline!X5</f>
        <v>3.125</v>
      </c>
      <c r="O4" s="57">
        <f>Pipeline!Y5</f>
        <v>1.5625</v>
      </c>
      <c r="P4" s="57">
        <f>Pipeline!Z5</f>
        <v>0.78125</v>
      </c>
      <c r="Q4" s="57">
        <f>Pipeline!AA5</f>
        <v>0.390625</v>
      </c>
      <c r="R4" s="57">
        <f>Pipeline!AB5</f>
        <v>0.1953125</v>
      </c>
      <c r="S4" s="57">
        <f>Pipeline!AC5</f>
        <v>0.09765625</v>
      </c>
      <c r="T4" s="57">
        <f>Pipeline!AD5</f>
        <v>0.048828125</v>
      </c>
      <c r="U4" s="57">
        <f>Pipeline!AE5</f>
        <v>0.0244140625</v>
      </c>
      <c r="V4" s="57">
        <f>Pipeline!AF5</f>
        <v>0.01220703125</v>
      </c>
    </row>
    <row r="5">
      <c r="A5" s="14" t="inlineStr">
        <is>
          <t>Risked contribution</t>
        </is>
      </c>
      <c r="C5" s="57">
        <f>Pipeline!M6</f>
        <v>24.0</v>
      </c>
      <c r="D5" s="57">
        <f>Pipeline!N6</f>
        <v>24.0</v>
      </c>
      <c r="E5" s="57">
        <f>Pipeline!O6</f>
        <v>24.0</v>
      </c>
      <c r="F5" s="57">
        <f>Pipeline!P6</f>
        <v>24.0</v>
      </c>
      <c r="G5" s="57">
        <f>Pipeline!Q6</f>
        <v>24.0</v>
      </c>
      <c r="H5" s="57">
        <f>Pipeline!R6</f>
        <v>24.0</v>
      </c>
      <c r="I5" s="57">
        <f>Pipeline!S6</f>
        <v>12.0</v>
      </c>
      <c r="J5" s="57">
        <f>Pipeline!T6</f>
        <v>6.0</v>
      </c>
      <c r="K5" s="57">
        <f>Pipeline!U6</f>
        <v>3.0</v>
      </c>
      <c r="L5" s="57">
        <f>Pipeline!V6</f>
        <v>1.5</v>
      </c>
      <c r="M5" s="57">
        <f>Pipeline!W6</f>
        <v>0.75</v>
      </c>
      <c r="N5" s="57">
        <f>Pipeline!X6</f>
        <v>0.375</v>
      </c>
      <c r="O5" s="57">
        <f>Pipeline!Y6</f>
        <v>0.1875</v>
      </c>
      <c r="P5" s="57">
        <f>Pipeline!Z6</f>
        <v>0.09375</v>
      </c>
      <c r="Q5" s="57">
        <f>Pipeline!AA6</f>
        <v>0.046875</v>
      </c>
      <c r="R5" s="57">
        <f>Pipeline!AB6</f>
        <v>0.0234375</v>
      </c>
      <c r="S5" s="57">
        <f>Pipeline!AC6</f>
        <v>0.01171875</v>
      </c>
      <c r="T5" s="57">
        <f>Pipeline!AD6</f>
        <v>0.005859375</v>
      </c>
      <c r="U5" s="57">
        <f>Pipeline!AE6</f>
        <v>0.0029296875</v>
      </c>
      <c r="V5" s="57">
        <f>Pipeline!AF6</f>
        <v>0.00146484375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-3.953</v>
      </c>
      <c r="D6" s="23">
        <f>-IF(D3-2026&lt;Assumptions!$B$19,Assumptions!$B$18,Assumptions!$B$18*Assumptions!$B$20*Assumptions!$B$16)</f>
        <v>-0.0</v>
      </c>
      <c r="E6" s="23">
        <f>-IF(E3-2026&lt;Assumptions!$B$19,Assumptions!$B$18,Assumptions!$B$18*Assumptions!$B$20*Assumptions!$B$16)</f>
        <v>-0.0</v>
      </c>
      <c r="F6" s="23">
        <f>-IF(F3-2026&lt;Assumptions!$B$19,Assumptions!$B$18,Assumptions!$B$18*Assumptions!$B$20*Assumptions!$B$16)</f>
        <v>-0.0</v>
      </c>
      <c r="G6" s="23">
        <f>-IF(G3-2026&lt;Assumptions!$B$19,Assumptions!$B$18,Assumptions!$B$18*Assumptions!$B$20*Assumptions!$B$16)</f>
        <v>-0.0</v>
      </c>
      <c r="H6" s="23">
        <f>-IF(H3-2026&lt;Assumptions!$B$19,Assumptions!$B$18,Assumptions!$B$18*Assumptions!$B$20*Assumptions!$B$16)</f>
        <v>-0.0</v>
      </c>
      <c r="I6" s="23">
        <f>-IF(I3-2026&lt;Assumptions!$B$19,Assumptions!$B$18,Assumptions!$B$18*Assumptions!$B$20*Assumptions!$B$16)</f>
        <v>-0.0</v>
      </c>
      <c r="J6" s="23">
        <f>-IF(J3-2026&lt;Assumptions!$B$19,Assumptions!$B$18,Assumptions!$B$18*Assumptions!$B$20*Assumptions!$B$16)</f>
        <v>-0.0</v>
      </c>
      <c r="K6" s="23">
        <f>-IF(K3-2026&lt;Assumptions!$B$19,Assumptions!$B$18,Assumptions!$B$18*Assumptions!$B$20*Assumptions!$B$16)</f>
        <v>-0.0</v>
      </c>
      <c r="L6" s="23">
        <f>-IF(L3-2026&lt;Assumptions!$B$19,Assumptions!$B$18,Assumptions!$B$18*Assumptions!$B$20*Assumptions!$B$16)</f>
        <v>-0.0</v>
      </c>
      <c r="M6" s="23">
        <f>-IF(M3-2026&lt;Assumptions!$B$19,Assumptions!$B$18,Assumptions!$B$18*Assumptions!$B$20*Assumptions!$B$16)</f>
        <v>-0.0</v>
      </c>
      <c r="N6" s="23">
        <f>-IF(N3-2026&lt;Assumptions!$B$19,Assumptions!$B$18,Assumptions!$B$18*Assumptions!$B$20*Assumptions!$B$16)</f>
        <v>-0.0</v>
      </c>
      <c r="O6" s="23">
        <f>-IF(O3-2026&lt;Assumptions!$B$19,Assumptions!$B$18,Assumptions!$B$18*Assumptions!$B$20*Assumptions!$B$16)</f>
        <v>-0.0</v>
      </c>
      <c r="P6" s="23">
        <f>-IF(P3-2026&lt;Assumptions!$B$19,Assumptions!$B$18,Assumptions!$B$18*Assumptions!$B$20*Assumptions!$B$16)</f>
        <v>-0.0</v>
      </c>
      <c r="Q6" s="23">
        <f>-IF(Q3-2026&lt;Assumptions!$B$19,Assumptions!$B$18,Assumptions!$B$18*Assumptions!$B$20*Assumptions!$B$16)</f>
        <v>-0.0</v>
      </c>
      <c r="R6" s="23">
        <f>-IF(R3-2026&lt;Assumptions!$B$19,Assumptions!$B$18,Assumptions!$B$18*Assumptions!$B$20*Assumptions!$B$16)</f>
        <v>-0.0</v>
      </c>
      <c r="S6" s="23">
        <f>-IF(S3-2026&lt;Assumptions!$B$19,Assumptions!$B$18,Assumptions!$B$18*Assumptions!$B$20*Assumptions!$B$16)</f>
        <v>-0.0</v>
      </c>
      <c r="T6" s="23">
        <f>-IF(T3-2026&lt;Assumptions!$B$19,Assumptions!$B$18,Assumptions!$B$18*Assumptions!$B$20*Assumptions!$B$16)</f>
        <v>-0.0</v>
      </c>
      <c r="U6" s="23">
        <f>-IF(U3-2026&lt;Assumptions!$B$19,Assumptions!$B$18,Assumptions!$B$18*Assumptions!$B$20*Assumptions!$B$16)</f>
        <v>-0.0</v>
      </c>
      <c r="V6" s="23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23">
        <f>C5+C6</f>
        <v>20.047</v>
      </c>
      <c r="D7" s="23">
        <f>D5+D6</f>
        <v>24.0</v>
      </c>
      <c r="E7" s="23">
        <f>E5+E6</f>
        <v>24.0</v>
      </c>
      <c r="F7" s="23">
        <f>F5+F6</f>
        <v>24.0</v>
      </c>
      <c r="G7" s="23">
        <f>G5+G6</f>
        <v>24.0</v>
      </c>
      <c r="H7" s="23">
        <f>H5+H6</f>
        <v>24.0</v>
      </c>
      <c r="I7" s="23">
        <f>I5+I6</f>
        <v>12.0</v>
      </c>
      <c r="J7" s="23">
        <f>J5+J6</f>
        <v>6.0</v>
      </c>
      <c r="K7" s="23">
        <f>K5+K6</f>
        <v>3.0</v>
      </c>
      <c r="L7" s="23">
        <f>L5+L6</f>
        <v>1.5</v>
      </c>
      <c r="M7" s="23">
        <f>M5+M6</f>
        <v>0.75</v>
      </c>
      <c r="N7" s="23">
        <f>N5+N6</f>
        <v>0.375</v>
      </c>
      <c r="O7" s="23">
        <f>O5+O6</f>
        <v>0.1875</v>
      </c>
      <c r="P7" s="23">
        <f>P5+P6</f>
        <v>0.09375</v>
      </c>
      <c r="Q7" s="23">
        <f>Q5+Q6</f>
        <v>0.046875</v>
      </c>
      <c r="R7" s="23">
        <f>R5+R6</f>
        <v>0.0234375</v>
      </c>
      <c r="S7" s="23">
        <f>S5+S6</f>
        <v>0.01171875</v>
      </c>
      <c r="T7" s="23">
        <f>T5+T6</f>
        <v>0.005859375</v>
      </c>
      <c r="U7" s="23">
        <f>U5+U6</f>
        <v>0.0029296875</v>
      </c>
      <c r="V7" s="23">
        <f>V5+V6</f>
        <v>0.00146484375</v>
      </c>
    </row>
    <row r="8">
      <c r="A8" s="14" t="inlineStr">
        <is>
          <t>Tax-loss carryforward used</t>
        </is>
      </c>
      <c r="C8" s="23">
        <f>MIN(Assumptions!$B$21,MAX(0,C7))</f>
        <v>20.047</v>
      </c>
      <c r="D8" s="23">
        <f>MIN(C17,MAX(0,D7))</f>
        <v>24.0</v>
      </c>
      <c r="E8" s="23">
        <f>MIN(D17,MAX(0,E7))</f>
        <v>24.0</v>
      </c>
      <c r="F8" s="23">
        <f>MIN(E17,MAX(0,F7))</f>
        <v>24.0</v>
      </c>
      <c r="G8" s="23">
        <f>MIN(F17,MAX(0,G7))</f>
        <v>24.0</v>
      </c>
      <c r="H8" s="23">
        <f>MIN(G17,MAX(0,H7))</f>
        <v>24.0</v>
      </c>
      <c r="I8" s="23">
        <f>MIN(H17,MAX(0,I7))</f>
        <v>12.0</v>
      </c>
      <c r="J8" s="23">
        <f>MIN(I17,MAX(0,J7))</f>
        <v>6.0</v>
      </c>
      <c r="K8" s="23">
        <f>MIN(J17,MAX(0,K7))</f>
        <v>3.0</v>
      </c>
      <c r="L8" s="23">
        <f>MIN(K17,MAX(0,L7))</f>
        <v>1.5</v>
      </c>
      <c r="M8" s="23">
        <f>MIN(L17,MAX(0,M7))</f>
        <v>0.75</v>
      </c>
      <c r="N8" s="23">
        <f>MIN(M17,MAX(0,N7))</f>
        <v>0.375</v>
      </c>
      <c r="O8" s="23">
        <f>MIN(N17,MAX(0,O7))</f>
        <v>0.1875</v>
      </c>
      <c r="P8" s="23">
        <f>MIN(O17,MAX(0,P7))</f>
        <v>0.09375</v>
      </c>
      <c r="Q8" s="23">
        <f>MIN(P17,MAX(0,Q7))</f>
        <v>0.046875</v>
      </c>
      <c r="R8" s="23">
        <f>MIN(Q17,MAX(0,R7))</f>
        <v>0.0234375</v>
      </c>
      <c r="S8" s="23">
        <f>MIN(R17,MAX(0,S7))</f>
        <v>0.01171875</v>
      </c>
      <c r="T8" s="23">
        <f>MIN(S17,MAX(0,T7))</f>
        <v>0.005859375</v>
      </c>
      <c r="U8" s="23">
        <f>MIN(T17,MAX(0,U7))</f>
        <v>0.0029296875</v>
      </c>
      <c r="V8" s="23">
        <f>MIN(U17,MAX(0,V7))</f>
        <v>0.00146484375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20.047</v>
      </c>
      <c r="D11" s="55">
        <f>D7-D10</f>
        <v>24.0</v>
      </c>
      <c r="E11" s="55">
        <f>E7-E10</f>
        <v>24.0</v>
      </c>
      <c r="F11" s="55">
        <f>F7-F10</f>
        <v>24.0</v>
      </c>
      <c r="G11" s="55">
        <f>G7-G10</f>
        <v>24.0</v>
      </c>
      <c r="H11" s="55">
        <f>H7-H10</f>
        <v>24.0</v>
      </c>
      <c r="I11" s="55">
        <f>I7-I10</f>
        <v>12.0</v>
      </c>
      <c r="J11" s="55">
        <f>J7-J10</f>
        <v>6.0</v>
      </c>
      <c r="K11" s="55">
        <f>K7-K10</f>
        <v>3.0</v>
      </c>
      <c r="L11" s="55">
        <f>L7-L10</f>
        <v>1.5</v>
      </c>
      <c r="M11" s="55">
        <f>M7-M10</f>
        <v>0.75</v>
      </c>
      <c r="N11" s="55">
        <f>N7-N10</f>
        <v>0.375</v>
      </c>
      <c r="O11" s="55">
        <f>O7-O10</f>
        <v>0.1875</v>
      </c>
      <c r="P11" s="55">
        <f>P7-P10</f>
        <v>0.09375</v>
      </c>
      <c r="Q11" s="55">
        <f>Q7-Q10</f>
        <v>0.046875</v>
      </c>
      <c r="R11" s="55">
        <f>R7-R10</f>
        <v>0.0234375</v>
      </c>
      <c r="S11" s="55">
        <f>S7-S10</f>
        <v>0.01171875</v>
      </c>
      <c r="T11" s="55">
        <f>T7-T10</f>
        <v>0.005859375</v>
      </c>
      <c r="U11" s="55">
        <f>U7-U10</f>
        <v>0.0029296875</v>
      </c>
      <c r="V11" s="55">
        <f>V7-V10</f>
        <v>0.00146484375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9.821112484696915</v>
      </c>
      <c r="D16" s="55">
        <f>D11*D15</f>
        <v>21.41861700690481</v>
      </c>
      <c r="E16" s="55">
        <f>E11*E15</f>
        <v>19.12376518473643</v>
      </c>
      <c r="F16" s="55">
        <f>F11*F15</f>
        <v>17.07479034351467</v>
      </c>
      <c r="G16" s="55">
        <f>G11*G15</f>
        <v>15.24534852099524</v>
      </c>
      <c r="H16" s="55">
        <f>H11*H15</f>
        <v>13.611918322317178</v>
      </c>
      <c r="I16" s="55">
        <f>I11*I15</f>
        <v>6.076749251034453</v>
      </c>
      <c r="J16" s="55">
        <f>J11*J15</f>
        <v>2.7128344870689527</v>
      </c>
      <c r="K16" s="55">
        <f>K11*K15</f>
        <v>1.2110868245843536</v>
      </c>
      <c r="L16" s="55">
        <f>L11*L15</f>
        <v>0.5406637609751578</v>
      </c>
      <c r="M16" s="55">
        <f>M11*M15</f>
        <v>0.24136775043533826</v>
      </c>
      <c r="N16" s="55">
        <f>N11*N15</f>
        <v>0.10775346001577599</v>
      </c>
      <c r="O16" s="55">
        <f>O11*O15</f>
        <v>0.04810422322132857</v>
      </c>
      <c r="P16" s="55">
        <f>P11*P15</f>
        <v>0.021475099652378822</v>
      </c>
      <c r="Q16" s="55">
        <f>Q11*Q15</f>
        <v>0.009587098059097687</v>
      </c>
      <c r="R16" s="55">
        <f>R11*R15</f>
        <v>0.004279954490668611</v>
      </c>
      <c r="S16" s="55">
        <f>S11*S15</f>
        <v>0.0019106939690484866</v>
      </c>
      <c r="T16" s="55">
        <f>T11*T15</f>
        <v>0.0008529883790395029</v>
      </c>
      <c r="U16" s="55">
        <f>U11*U15</f>
        <v>0.00038079838349977806</v>
      </c>
      <c r="V16" s="55">
        <f>V11*V15</f>
        <v>0.00016999927834811517</v>
      </c>
    </row>
    <row r="17">
      <c r="A17" s="14" t="inlineStr">
        <is>
          <t>Tax-loss carryforward, end of year</t>
        </is>
      </c>
      <c r="C17" s="23">
        <f>Assumptions!$B$21-C8+MAX(0,-C7)</f>
        <v>1043.0529999999999</v>
      </c>
      <c r="D17" s="23">
        <f>C17-D8+MAX(0,-D7)</f>
        <v>1019.0529999999999</v>
      </c>
      <c r="E17" s="23">
        <f>D17-E8+MAX(0,-E7)</f>
        <v>995.0529999999999</v>
      </c>
      <c r="F17" s="23">
        <f>E17-F8+MAX(0,-F7)</f>
        <v>971.0529999999999</v>
      </c>
      <c r="G17" s="23">
        <f>F17-G8+MAX(0,-G7)</f>
        <v>947.0529999999999</v>
      </c>
      <c r="H17" s="23">
        <f>G17-H8+MAX(0,-H7)</f>
        <v>923.0529999999999</v>
      </c>
      <c r="I17" s="23">
        <f>H17-I8+MAX(0,-I7)</f>
        <v>911.0529999999999</v>
      </c>
      <c r="J17" s="23">
        <f>I17-J8+MAX(0,-J7)</f>
        <v>905.0529999999999</v>
      </c>
      <c r="K17" s="23">
        <f>J17-K8+MAX(0,-K7)</f>
        <v>902.0529999999999</v>
      </c>
      <c r="L17" s="23">
        <f>K17-L8+MAX(0,-L7)</f>
        <v>900.5529999999999</v>
      </c>
      <c r="M17" s="23">
        <f>L17-M8+MAX(0,-M7)</f>
        <v>899.8029999999999</v>
      </c>
      <c r="N17" s="23">
        <f>M17-N8+MAX(0,-N7)</f>
        <v>899.4279999999999</v>
      </c>
      <c r="O17" s="23">
        <f>N17-O8+MAX(0,-O7)</f>
        <v>899.2404999999999</v>
      </c>
      <c r="P17" s="23">
        <f>O17-P8+MAX(0,-P7)</f>
        <v>899.1467499999999</v>
      </c>
      <c r="Q17" s="23">
        <f>P17-Q8+MAX(0,-Q7)</f>
        <v>899.0998749999999</v>
      </c>
      <c r="R17" s="23">
        <f>Q17-R8+MAX(0,-R7)</f>
        <v>899.0764374999999</v>
      </c>
      <c r="S17" s="23">
        <f>R17-S8+MAX(0,-S7)</f>
        <v>899.0647187499999</v>
      </c>
      <c r="T17" s="23">
        <f>S17-T8+MAX(0,-T7)</f>
        <v>899.0588593749999</v>
      </c>
      <c r="U17" s="23">
        <f>T17-U8+MAX(0,-U7)</f>
        <v>899.0559296874999</v>
      </c>
      <c r="V17" s="23">
        <f>U17-V8+MAX(0,-V7)</f>
        <v>899.0544648437499</v>
      </c>
    </row>
    <row r="19">
      <c r="A19" s="14" t="inlineStr">
        <is>
          <t>PV of risked pipeline contribution</t>
        </is>
      </c>
      <c r="B19" s="23">
        <f>SUMPRODUCT(C5:V5,C15:V15)</f>
        <v>109.20936014436764</v>
      </c>
    </row>
    <row r="20">
      <c r="A20" s="14" t="inlineStr">
        <is>
          <t>PV of corporate burn</t>
        </is>
      </c>
      <c r="B20" s="23">
        <f>SUMPRODUCT(C6:V6,C15:V15)</f>
        <v>-1.9365918916549558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107.27276825271268</v>
      </c>
    </row>
    <row r="23">
      <c r="A23" s="14" t="inlineStr">
        <is>
          <t>Cash &amp; investments</t>
        </is>
      </c>
      <c r="B23" s="57">
        <f>Main!C7</f>
        <v>9.189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116.46176825271269</v>
      </c>
    </row>
    <row r="26">
      <c r="A26" s="14" t="inlineStr">
        <is>
          <t>Shares (mm)</t>
        </is>
      </c>
      <c r="B26" s="57">
        <f>Main!C4</f>
        <v>11.574362</v>
      </c>
    </row>
    <row r="27">
      <c r="A27" s="24" t="inlineStr">
        <is>
          <t>rNPV / share</t>
        </is>
      </c>
      <c r="B27" s="60">
        <f>B25/B26</f>
        <v>10.062046465516863</v>
      </c>
    </row>
    <row r="28">
      <c r="A28" s="14" t="inlineStr">
        <is>
          <t>Price</t>
        </is>
      </c>
      <c r="B28" s="61">
        <f>Main!C3</f>
        <v>1.88</v>
      </c>
    </row>
    <row r="29">
      <c r="A29" s="14" t="inlineStr">
        <is>
          <t>Upside</t>
        </is>
      </c>
      <c r="B29" s="62">
        <f>B27/B28-1</f>
        <v>4.352152375274927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2026-10-21T06:30:05Z</dcterms:modified>
  <cp:lastModifiedBy>Wang, Eric</cp:lastModifiedBy>
</cp:coreProperties>
</file>