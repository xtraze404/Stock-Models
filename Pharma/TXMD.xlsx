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TherapeuticsMD Inc</t>
        </is>
      </c>
      <c r="C2" s="10" t="n"/>
    </row>
    <row r="3">
      <c r="B3" t="inlineStr">
        <is>
          <t>Price</t>
        </is>
      </c>
      <c r="C3" s="11">
        <f>INDEX([1]Pharma!$F$1:$F$1000,MATCH("TXMD",[1]Pharma!$B$1:$B$1000,0))</f>
        <v>1.88</v>
      </c>
      <c r="F3" s="1" t="n"/>
    </row>
    <row r="4">
      <c r="B4" t="inlineStr">
        <is>
          <t>Shares</t>
        </is>
      </c>
      <c r="C4" s="21" t="n">
        <v>11.574362</v>
      </c>
      <c r="F4" s="1" t="n"/>
    </row>
    <row r="5">
      <c r="B5" t="inlineStr">
        <is>
          <t>Market Cap.</t>
        </is>
      </c>
      <c r="C5" s="13">
        <f>C3*C4</f>
        <v>21.75980056</v>
      </c>
      <c r="F5" s="1" t="n"/>
    </row>
    <row r="6"/>
    <row r="7">
      <c r="B7" t="inlineStr">
        <is>
          <t>Cash</t>
        </is>
      </c>
      <c r="C7" s="21" t="n">
        <v>9.189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12.570800559999999</v>
      </c>
    </row>
    <row r="10"/>
    <row r="11">
      <c r="B11" s="14" t="inlineStr">
        <is>
          <t>Net Cash / Share</t>
        </is>
      </c>
      <c r="C11" s="11">
        <f>(C7-C8)/C4</f>
        <v>0.793909850063442</v>
      </c>
    </row>
    <row r="12">
      <c r="B12" s="14" t="inlineStr">
        <is>
          <t>Upside</t>
        </is>
      </c>
      <c r="C12" s="15">
        <f>IFERROR(C11/C3-1,"")</f>
        <v>-0.5777075265619989</v>
      </c>
    </row>
    <row r="13">
      <c r="B13" s="14" t="inlineStr">
        <is>
          <t>Cash / Share</t>
        </is>
      </c>
      <c r="C13" s="11">
        <f>IFERROR((C7-C8)/C4,"")</f>
        <v>0.793909850063442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3.097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12.570800559999999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2.088</v>
      </c>
      <c r="D2" s="23" t="n">
        <v>3.818</v>
      </c>
      <c r="E2" s="23" t="n">
        <v>8.776</v>
      </c>
      <c r="F2" s="23" t="n">
        <v>15.026</v>
      </c>
      <c r="G2" s="23" t="n">
        <v>20.143</v>
      </c>
      <c r="H2" s="23" t="n">
        <v>19.356</v>
      </c>
      <c r="I2" s="23" t="n">
        <v>16.778</v>
      </c>
      <c r="J2" s="23" t="n">
        <v>16.099</v>
      </c>
      <c r="K2" s="23" t="n">
        <v>49.647</v>
      </c>
      <c r="L2" s="23" t="n">
        <v>64.872</v>
      </c>
      <c r="M2" s="23" t="n">
        <v>2.573</v>
      </c>
      <c r="N2" s="23" t="n">
        <v>69.96299999999999</v>
      </c>
      <c r="O2" s="23" t="n">
        <v>1.302</v>
      </c>
      <c r="P2" s="23" t="n">
        <v>1.761</v>
      </c>
      <c r="Q2" s="23" t="n">
        <v>3.022</v>
      </c>
    </row>
    <row r="3" customFormat="1" s="1">
      <c r="A3" s="5" t="inlineStr">
        <is>
          <t>Cost of Sales</t>
        </is>
      </c>
      <c r="B3" s="23" t="n">
        <v>0</v>
      </c>
      <c r="C3" s="23" t="n">
        <v>0.947</v>
      </c>
      <c r="D3" s="23" t="n">
        <v>1.348</v>
      </c>
      <c r="E3" s="23" t="n">
        <v>1.96</v>
      </c>
      <c r="F3" s="23" t="n">
        <v>3.672</v>
      </c>
      <c r="G3" s="23" t="n">
        <v>4.507</v>
      </c>
      <c r="H3" s="23" t="n">
        <v>4.186</v>
      </c>
      <c r="I3" s="23" t="n">
        <v>2.637</v>
      </c>
      <c r="J3" s="23" t="n">
        <v>2.738</v>
      </c>
      <c r="K3" s="23" t="n">
        <v>6.335</v>
      </c>
      <c r="L3" s="23" t="n">
        <v>15.975</v>
      </c>
      <c r="M3" s="23" t="n">
        <v>1.402</v>
      </c>
      <c r="N3" s="23" t="n">
        <v>1.397</v>
      </c>
      <c r="O3" s="23" t="n">
        <v>0</v>
      </c>
      <c r="P3" s="23" t="n">
        <v>0</v>
      </c>
      <c r="Q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1.141</v>
      </c>
      <c r="D4" s="23">
        <f>D2-D3</f>
        <v>2.4699999999999998</v>
      </c>
      <c r="E4" s="23">
        <f>E2-E3</f>
        <v>6.816</v>
      </c>
      <c r="F4" s="23">
        <f>F2-F3</f>
        <v>11.354</v>
      </c>
      <c r="G4" s="23">
        <f>G2-G3</f>
        <v>15.636000000000001</v>
      </c>
      <c r="H4" s="23">
        <f>H2-H3</f>
        <v>15.170000000000002</v>
      </c>
      <c r="I4" s="23">
        <f>I2-I3</f>
        <v>14.140999999999998</v>
      </c>
      <c r="J4" s="23">
        <f>J2-J3</f>
        <v>13.361</v>
      </c>
      <c r="K4" s="23">
        <f>K2-K3</f>
        <v>43.312</v>
      </c>
      <c r="L4" s="23">
        <f>L2-L3</f>
        <v>48.897</v>
      </c>
      <c r="M4" s="23">
        <f>M2-M3</f>
        <v>1.171</v>
      </c>
      <c r="N4" s="23">
        <f>N2-N3</f>
        <v>68.56599999999999</v>
      </c>
      <c r="O4" s="23">
        <f>O2-O3</f>
        <v>1.302</v>
      </c>
      <c r="P4" s="23">
        <f>P2-P3</f>
        <v>1.761</v>
      </c>
      <c r="Q4" s="23">
        <f>Q2-Q3</f>
        <v>3.022</v>
      </c>
    </row>
    <row r="5">
      <c r="A5" s="2" t="inlineStr">
        <is>
          <t>Research &amp; Dev.</t>
        </is>
      </c>
      <c r="B5" s="23" t="n">
        <v>0</v>
      </c>
      <c r="C5" s="23" t="n">
        <v>0.107</v>
      </c>
      <c r="D5" s="23" t="n">
        <v>4.492</v>
      </c>
      <c r="E5" s="23" t="n">
        <v>13.551</v>
      </c>
      <c r="F5" s="23" t="n">
        <v>43.219</v>
      </c>
      <c r="G5" s="23" t="n">
        <v>72.04300000000001</v>
      </c>
      <c r="H5" s="23" t="n">
        <v>53.943</v>
      </c>
      <c r="I5" s="23" t="n">
        <v>33.853</v>
      </c>
      <c r="J5" s="23" t="n">
        <v>27.299</v>
      </c>
      <c r="K5" s="23" t="n">
        <v>19.792</v>
      </c>
      <c r="L5" s="23" t="n">
        <v>10.432</v>
      </c>
      <c r="M5" s="23" t="n">
        <v>7.086</v>
      </c>
      <c r="N5" s="23" t="n">
        <v>0</v>
      </c>
      <c r="O5" s="23" t="n">
        <v>0</v>
      </c>
      <c r="P5" s="23" t="n">
        <v>0</v>
      </c>
      <c r="Q5" s="23" t="n">
        <v>0</v>
      </c>
    </row>
    <row r="6">
      <c r="A6" s="19" t="inlineStr">
        <is>
          <t>SG&amp;A &amp; Other</t>
        </is>
      </c>
      <c r="B6" s="23" t="n">
        <v>2.867</v>
      </c>
      <c r="C6" s="23" t="n">
        <v>6.461</v>
      </c>
      <c r="D6" s="23" t="n">
        <v>14.126</v>
      </c>
      <c r="E6" s="23" t="n">
        <v>19.073</v>
      </c>
      <c r="F6" s="23" t="n">
        <v>22.177</v>
      </c>
      <c r="G6" s="23" t="n">
        <v>28.784</v>
      </c>
      <c r="H6" s="23" t="n">
        <v>51.481</v>
      </c>
      <c r="I6" s="23" t="n">
        <v>57.916</v>
      </c>
      <c r="J6" s="23" t="n">
        <v>116.283</v>
      </c>
      <c r="K6" s="23" t="n">
        <v>174.725</v>
      </c>
      <c r="L6" s="23" t="n">
        <v>194.006</v>
      </c>
      <c r="M6" s="23" t="n">
        <v>73.66200000000001</v>
      </c>
      <c r="N6" s="23" t="n">
        <v>67.375</v>
      </c>
      <c r="O6" s="23" t="n">
        <v>9.824999999999999</v>
      </c>
      <c r="P6" s="23" t="n">
        <v>7.873</v>
      </c>
      <c r="Q6" s="23" t="n">
        <v>7.412</v>
      </c>
    </row>
    <row r="7">
      <c r="A7" s="2" t="inlineStr">
        <is>
          <t>Operating Expense</t>
        </is>
      </c>
      <c r="B7" s="23">
        <f>SUM(B5:B6)</f>
        <v>2.867</v>
      </c>
      <c r="C7" s="23">
        <f>SUM(C5:C6)</f>
        <v>6.5680000000000005</v>
      </c>
      <c r="D7" s="23">
        <f>SUM(D5:D6)</f>
        <v>18.618</v>
      </c>
      <c r="E7" s="23">
        <f>SUM(E5:E6)</f>
        <v>32.624</v>
      </c>
      <c r="F7" s="23">
        <f>SUM(F5:F6)</f>
        <v>65.396</v>
      </c>
      <c r="G7" s="23">
        <f>SUM(G5:G6)</f>
        <v>100.827</v>
      </c>
      <c r="H7" s="23">
        <f>SUM(H5:H6)</f>
        <v>105.424</v>
      </c>
      <c r="I7" s="23">
        <f>SUM(I5:I6)</f>
        <v>91.769</v>
      </c>
      <c r="J7" s="23">
        <f>SUM(J5:J6)</f>
        <v>143.582</v>
      </c>
      <c r="K7" s="23">
        <f>SUM(K5:K6)</f>
        <v>194.517</v>
      </c>
      <c r="L7" s="23">
        <f>SUM(L5:L6)</f>
        <v>204.438</v>
      </c>
      <c r="M7" s="23">
        <f>SUM(M5:M6)</f>
        <v>80.748</v>
      </c>
      <c r="N7" s="23">
        <f>SUM(N5:N6)</f>
        <v>67.375</v>
      </c>
      <c r="O7" s="23">
        <f>SUM(O5:O6)</f>
        <v>9.825</v>
      </c>
      <c r="P7" s="23">
        <f>SUM(P5:P6)</f>
        <v>7.873</v>
      </c>
      <c r="Q7" s="23">
        <f>SUM(Q5:Q6)</f>
        <v>7.412</v>
      </c>
    </row>
    <row r="8">
      <c r="A8" s="2" t="inlineStr">
        <is>
          <t>Operating Income</t>
        </is>
      </c>
      <c r="B8" s="23">
        <f>B4-B7</f>
        <v>-2.867</v>
      </c>
      <c r="C8" s="23">
        <f>C4-C7</f>
        <v>-5.4270000000000005</v>
      </c>
      <c r="D8" s="23">
        <f>D4-D7</f>
        <v>-16.148</v>
      </c>
      <c r="E8" s="23">
        <f>E4-E7</f>
        <v>-25.808000000000003</v>
      </c>
      <c r="F8" s="23">
        <f>F4-F7</f>
        <v>-54.042</v>
      </c>
      <c r="G8" s="23">
        <f>G4-G7</f>
        <v>-85.191</v>
      </c>
      <c r="H8" s="23">
        <f>H4-H7</f>
        <v>-90.254</v>
      </c>
      <c r="I8" s="23">
        <f>I4-I7</f>
        <v>-77.62800000000001</v>
      </c>
      <c r="J8" s="23">
        <f>J4-J7</f>
        <v>-130.221</v>
      </c>
      <c r="K8" s="23">
        <f>K4-K7</f>
        <v>-151.20499999999998</v>
      </c>
      <c r="L8" s="23">
        <f>L4-L7</f>
        <v>-155.541</v>
      </c>
      <c r="M8" s="23">
        <f>M4-M7</f>
        <v>-79.577</v>
      </c>
      <c r="N8" s="23">
        <f>N4-N7</f>
        <v>1.1909999999999883</v>
      </c>
      <c r="O8" s="23">
        <f>O4-O7</f>
        <v>-8.523</v>
      </c>
      <c r="P8" s="23">
        <f>P4-P7</f>
        <v>-6.112</v>
      </c>
      <c r="Q8" s="23">
        <f>Q4-Q7</f>
        <v>-4.390000000000001</v>
      </c>
    </row>
    <row r="9">
      <c r="A9" s="19" t="inlineStr">
        <is>
          <t>Interest &amp; Other</t>
        </is>
      </c>
      <c r="B9" s="23" t="n">
        <v>0</v>
      </c>
      <c r="C9" s="23" t="n">
        <v>-7.486</v>
      </c>
      <c r="D9" s="23" t="n">
        <v>-18.972</v>
      </c>
      <c r="E9" s="23" t="n">
        <v>-2.611</v>
      </c>
      <c r="F9" s="23" t="n">
        <v>-0.176</v>
      </c>
      <c r="G9" s="23" t="n">
        <v>0.113</v>
      </c>
      <c r="H9" s="23" t="n">
        <v>0.378</v>
      </c>
      <c r="I9" s="23" t="n">
        <v>0.703</v>
      </c>
      <c r="J9" s="23" t="n">
        <v>-2.397</v>
      </c>
      <c r="K9" s="23" t="n">
        <v>-24.94</v>
      </c>
      <c r="L9" s="23" t="n">
        <v>-27.983</v>
      </c>
      <c r="M9" s="23" t="n">
        <v>-92.83799999999999</v>
      </c>
      <c r="N9" s="23" t="n">
        <v>110.806</v>
      </c>
      <c r="O9" s="23" t="n">
        <v>-1.798</v>
      </c>
      <c r="P9" s="23" t="n">
        <v>3.9</v>
      </c>
      <c r="Q9" s="23" t="n">
        <v>3.821</v>
      </c>
    </row>
    <row r="10">
      <c r="A10" s="2" t="inlineStr">
        <is>
          <t>Pretax</t>
        </is>
      </c>
      <c r="B10" s="23">
        <f>B8+B9</f>
        <v>-2.867</v>
      </c>
      <c r="C10" s="23">
        <f>C8+C9</f>
        <v>-12.913</v>
      </c>
      <c r="D10" s="23">
        <f>D8+D9</f>
        <v>-35.120000000000005</v>
      </c>
      <c r="E10" s="23">
        <f>E8+E9</f>
        <v>-28.419000000000004</v>
      </c>
      <c r="F10" s="23">
        <f>F8+F9</f>
        <v>-54.218</v>
      </c>
      <c r="G10" s="23">
        <f>G8+G9</f>
        <v>-85.078</v>
      </c>
      <c r="H10" s="23">
        <f>H8+H9</f>
        <v>-89.876</v>
      </c>
      <c r="I10" s="23">
        <f>I8+I9</f>
        <v>-76.92500000000001</v>
      </c>
      <c r="J10" s="23">
        <f>J8+J9</f>
        <v>-132.618</v>
      </c>
      <c r="K10" s="23">
        <f>K8+K9</f>
        <v>-176.14499999999998</v>
      </c>
      <c r="L10" s="23">
        <f>L8+L9</f>
        <v>-183.524</v>
      </c>
      <c r="M10" s="23">
        <f>M8+M9</f>
        <v>-172.415</v>
      </c>
      <c r="N10" s="23">
        <f>N8+N9</f>
        <v>111.99699999999999</v>
      </c>
      <c r="O10" s="23">
        <f>O8+O9</f>
        <v>-10.321</v>
      </c>
      <c r="P10" s="23">
        <f>P8+P9</f>
        <v>-2.212</v>
      </c>
      <c r="Q10" s="23">
        <f>Q8+Q9</f>
        <v>-0.5690000000000004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-0.043</v>
      </c>
      <c r="P11" s="23" t="n">
        <v>-0.031</v>
      </c>
      <c r="Q11" s="23" t="n">
        <v>0</v>
      </c>
    </row>
    <row r="12">
      <c r="A12" s="2" t="inlineStr">
        <is>
          <t>Net Income</t>
        </is>
      </c>
      <c r="B12" s="23" t="n">
        <v>-2.867</v>
      </c>
      <c r="C12" s="23" t="n">
        <v>-12.913</v>
      </c>
      <c r="D12" s="23" t="n">
        <v>-35.12</v>
      </c>
      <c r="E12" s="23" t="n">
        <v>-28.419</v>
      </c>
      <c r="F12" s="23" t="n">
        <v>-54.217</v>
      </c>
      <c r="G12" s="23" t="n">
        <v>-85.077</v>
      </c>
      <c r="H12" s="23" t="n">
        <v>-89.875</v>
      </c>
      <c r="I12" s="23" t="n">
        <v>-76.925</v>
      </c>
      <c r="J12" s="23" t="n">
        <v>-132.617</v>
      </c>
      <c r="K12" s="23" t="n">
        <v>-176.145</v>
      </c>
      <c r="L12" s="23" t="n">
        <v>-183.524</v>
      </c>
      <c r="M12" s="23" t="n">
        <v>-172.415</v>
      </c>
      <c r="N12" s="23" t="n">
        <v>111.997</v>
      </c>
      <c r="O12" s="23" t="n">
        <v>-10.278</v>
      </c>
      <c r="P12" s="23" t="n">
        <v>-2.181</v>
      </c>
      <c r="Q12" s="23" t="n">
        <v>-0.569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-7.230123180291153</v>
      </c>
      <c r="D13" s="11">
        <f>IFERROR(D12/D14,0)</f>
        <v>-13.414820473644003</v>
      </c>
      <c r="E13" s="11">
        <f>IFERROR(E12/E14,0)</f>
        <v>-7.796707818930042</v>
      </c>
      <c r="F13" s="11">
        <f>IFERROR(F12/F14,0)</f>
        <v>-12.67344553529687</v>
      </c>
      <c r="G13" s="11">
        <f>IFERROR(G12/G14,0)</f>
        <v>-17.194219886822957</v>
      </c>
      <c r="H13" s="11">
        <f>IFERROR(H12/H14,0)</f>
        <v>-16.040514010351597</v>
      </c>
      <c r="I13" s="11">
        <f>IFERROR(I12/I14,0)</f>
        <v>-13.100306539509537</v>
      </c>
      <c r="J13" s="11">
        <f>IFERROR(J12/J14,0)</f>
        <v>-20.627935915383418</v>
      </c>
      <c r="K13" s="11">
        <f>IFERROR(K12/K14,0)</f>
        <v>-25.024151157834922</v>
      </c>
      <c r="L13" s="11">
        <f>IFERROR(L12/L14,0)</f>
        <v>-23.30167597765363</v>
      </c>
      <c r="M13" s="11">
        <f>IFERROR(M12/M14,0)</f>
        <v>-21.660175879396984</v>
      </c>
      <c r="N13" s="11">
        <f>IFERROR(N12/N14,0)</f>
        <v>11.957826179799275</v>
      </c>
      <c r="O13" s="11">
        <f>IFERROR(O12/O14,0)</f>
        <v>-0.9843884685374964</v>
      </c>
      <c r="P13" s="11">
        <f>IFERROR(P12/P14,0)</f>
        <v>-0.18912591050988553</v>
      </c>
      <c r="Q13" s="11">
        <f>IFERROR(Q12/Q14,0)</f>
        <v>-0.049183161898176155</v>
      </c>
    </row>
    <row r="14">
      <c r="A14" s="2" t="inlineStr">
        <is>
          <t>Shares</t>
        </is>
      </c>
      <c r="B14" s="23" t="n"/>
      <c r="C14" s="23" t="n">
        <v>1.786</v>
      </c>
      <c r="D14" s="23" t="n">
        <v>2.618</v>
      </c>
      <c r="E14" s="23" t="n">
        <v>3.645</v>
      </c>
      <c r="F14" s="23" t="n">
        <v>4.278</v>
      </c>
      <c r="G14" s="23" t="n">
        <v>4.948</v>
      </c>
      <c r="H14" s="23" t="n">
        <v>5.603</v>
      </c>
      <c r="I14" s="23" t="n">
        <v>5.872</v>
      </c>
      <c r="J14" s="23" t="n">
        <v>6.429</v>
      </c>
      <c r="K14" s="23" t="n">
        <v>7.039</v>
      </c>
      <c r="L14" s="23" t="n">
        <v>7.876</v>
      </c>
      <c r="M14" s="23" t="n">
        <v>7.96</v>
      </c>
      <c r="N14" s="23" t="n">
        <v>9.366</v>
      </c>
      <c r="O14" s="23" t="n">
        <v>10.441</v>
      </c>
      <c r="P14" s="23" t="n">
        <v>11.532</v>
      </c>
      <c r="Q14" s="23" t="n">
        <v>11.569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>0.828544061302682</v>
      </c>
      <c r="E16" s="15">
        <f>IFERROR(E2/D2-1,"")</f>
        <v>1.2985856469355683</v>
      </c>
      <c r="F16" s="15">
        <f>IFERROR(F2/E2-1,"")</f>
        <v>0.7121695533272561</v>
      </c>
      <c r="G16" s="15">
        <f>IFERROR(G2/F2-1,"")</f>
        <v>0.3405430586982565</v>
      </c>
      <c r="H16" s="15">
        <f>IFERROR(H2/G2-1,"")</f>
        <v>-0.03907064488904333</v>
      </c>
      <c r="I16" s="15">
        <f>IFERROR(I2/H2-1,"")</f>
        <v>-0.1331886753461461</v>
      </c>
      <c r="J16" s="15">
        <f>IFERROR(J2/I2-1,"")</f>
        <v>-0.040469662653474736</v>
      </c>
      <c r="K16" s="15">
        <f>IFERROR(K2/J2-1,"")</f>
        <v>2.0838561401329274</v>
      </c>
      <c r="L16" s="15">
        <f>IFERROR(L2/K2-1,"")</f>
        <v>0.3066650552903498</v>
      </c>
      <c r="M16" s="15">
        <f>IFERROR(M2/L2-1,"")</f>
        <v>-0.9603372795659144</v>
      </c>
      <c r="N16" s="15">
        <f>IFERROR(N2/M2-1,"")</f>
        <v>26.191216478818497</v>
      </c>
      <c r="O16" s="15">
        <f>IFERROR(O2/N2-1,"")</f>
        <v>-0.9813901633720681</v>
      </c>
      <c r="P16" s="15">
        <f>IFERROR(P2/O2-1,"")</f>
        <v>0.35253456221198154</v>
      </c>
      <c r="Q16" s="15">
        <f>IFERROR(Q2/P2-1,"")</f>
        <v>0.7160704145371948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>0.546455938697318</v>
      </c>
      <c r="D17" s="15">
        <f>IFERROR(D4/D2,"")</f>
        <v>0.646935568360398</v>
      </c>
      <c r="E17" s="15">
        <f>IFERROR(E4/E2,"")</f>
        <v>0.7766636280765725</v>
      </c>
      <c r="F17" s="15">
        <f>IFERROR(F4/F2,"")</f>
        <v>0.75562358578464</v>
      </c>
      <c r="G17" s="15">
        <f>IFERROR(G4/G2,"")</f>
        <v>0.7762498138311076</v>
      </c>
      <c r="H17" s="15">
        <f>IFERROR(H4/H2,"")</f>
        <v>0.7837363091547841</v>
      </c>
      <c r="I17" s="15">
        <f>IFERROR(I4/I2,"")</f>
        <v>0.8428298962927643</v>
      </c>
      <c r="J17" s="15">
        <f>IFERROR(J4/J2,"")</f>
        <v>0.8299273246785515</v>
      </c>
      <c r="K17" s="15">
        <f>IFERROR(K4/K2,"")</f>
        <v>0.8723991379136705</v>
      </c>
      <c r="L17" s="15">
        <f>IFERROR(L4/L2,"")</f>
        <v>0.7537458379578246</v>
      </c>
      <c r="M17" s="15">
        <f>IFERROR(M4/M2,"")</f>
        <v>0.45511076564321806</v>
      </c>
      <c r="N17" s="15">
        <f>IFERROR(N4/N2,"")</f>
        <v>0.9800323027886167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>-2.599137931034483</v>
      </c>
      <c r="D18" s="15">
        <f>IFERROR(D8/D2,"")</f>
        <v>-4.229439497118911</v>
      </c>
      <c r="E18" s="15">
        <f>IFERROR(E8/E2,"")</f>
        <v>-2.9407474931631725</v>
      </c>
      <c r="F18" s="15">
        <f>IFERROR(F8/F2,"")</f>
        <v>-3.5965659523492612</v>
      </c>
      <c r="G18" s="15">
        <f>IFERROR(G8/G2,"")</f>
        <v>-4.229310430422479</v>
      </c>
      <c r="H18" s="15">
        <f>IFERROR(H8/H2,"")</f>
        <v>-4.66284356271957</v>
      </c>
      <c r="I18" s="15">
        <f>IFERROR(I8/I2,"")</f>
        <v>-4.626773155322447</v>
      </c>
      <c r="J18" s="15">
        <f>IFERROR(J8/J2,"")</f>
        <v>-8.088763277222188</v>
      </c>
      <c r="K18" s="15">
        <f>IFERROR(K8/K2,"")</f>
        <v>-3.0456019497653433</v>
      </c>
      <c r="L18" s="15">
        <f>IFERROR(L8/L2,"")</f>
        <v>-2.397660007399186</v>
      </c>
      <c r="M18" s="15">
        <f>IFERROR(M8/M2,"")</f>
        <v>-30.927710843373493</v>
      </c>
      <c r="N18" s="15">
        <f>IFERROR(N8/N2,"")</f>
        <v>0.017023283735688698</v>
      </c>
      <c r="O18" s="15">
        <f>IFERROR(O8/O2,"")</f>
        <v>-6.546082949308755</v>
      </c>
      <c r="P18" s="15">
        <f>IFERROR(P8/P2,"")</f>
        <v>-3.4707552526973315</v>
      </c>
      <c r="Q18" s="15">
        <f>IFERROR(Q8/Q2,"")</f>
        <v>-1.4526803441429519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2026-10-21T01:06:27Z</dcterms:modified>
  <cp:lastModifiedBy>Wang, Eric</cp:lastModifiedBy>
</cp:coreProperties>
</file>