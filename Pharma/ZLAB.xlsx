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Zai Lab Ltd</t>
        </is>
      </c>
      <c r="C2" s="10" t="n"/>
    </row>
    <row r="3">
      <c r="B3" t="inlineStr">
        <is>
          <t>Price</t>
        </is>
      </c>
      <c r="C3" s="11">
        <f>INDEX([1]Pharma!$F$1:$F$1000,MATCH("ZLAB",[1]Pharma!$B$1:$B$1000,0))</f>
        <v>25.08</v>
      </c>
      <c r="F3" s="1" t="n"/>
    </row>
    <row r="4">
      <c r="B4" t="inlineStr">
        <is>
          <t>Shares</t>
        </is>
      </c>
      <c r="C4" s="51">
        <f>1122.44539/10</f>
        <v>112.244539</v>
      </c>
      <c r="F4" s="1" t="n"/>
    </row>
    <row r="5">
      <c r="B5" t="inlineStr">
        <is>
          <t>Market Cap.</t>
        </is>
      </c>
      <c r="C5" s="13">
        <f>C3*C4</f>
        <v>2815.09303812</v>
      </c>
      <c r="F5" s="1" t="n"/>
    </row>
    <row r="6"/>
    <row r="7">
      <c r="B7" t="inlineStr">
        <is>
          <t>Cash</t>
        </is>
      </c>
      <c r="C7" s="51">
        <f>607.522+10</f>
        <v>617.522</v>
      </c>
    </row>
    <row r="8">
      <c r="B8" t="inlineStr">
        <is>
          <t>Debt</t>
        </is>
      </c>
      <c r="C8" s="51" t="n">
        <v>238.104</v>
      </c>
    </row>
    <row r="9">
      <c r="B9" t="inlineStr">
        <is>
          <t>Enterprise V.</t>
        </is>
      </c>
      <c r="C9" s="13">
        <f>C5-C7+C8</f>
        <v>2435.67503812</v>
      </c>
    </row>
    <row r="10"/>
    <row r="11">
      <c r="B11" s="14" t="inlineStr">
        <is>
          <t>NPV / Share</t>
        </is>
      </c>
      <c r="C11" s="11">
        <f>NPV!B28</f>
        <v>1.6158726427105166</v>
      </c>
    </row>
    <row r="12">
      <c r="B12" s="14" t="inlineStr">
        <is>
          <t>Upside</t>
        </is>
      </c>
      <c r="C12" s="15">
        <f>IFERROR(C11/C3-1,"")</f>
        <v>-0.9355712662396126</v>
      </c>
    </row>
    <row r="13">
      <c r="B13" s="14" t="inlineStr">
        <is>
          <t>Cash / Share</t>
        </is>
      </c>
      <c r="C13" s="11">
        <f>IFERROR((C7-C8)/C4,"")</f>
        <v>3.380280264681741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0.129</v>
      </c>
      <c r="F2" s="52" t="n">
        <v>12.985</v>
      </c>
      <c r="G2" s="52" t="n">
        <v>48.958</v>
      </c>
      <c r="H2" s="52" t="n">
        <v>144.312</v>
      </c>
      <c r="I2" s="52" t="n">
        <v>215.04</v>
      </c>
      <c r="J2" s="52" t="n">
        <v>266.719</v>
      </c>
      <c r="K2" s="52" t="n">
        <v>398.988</v>
      </c>
      <c r="L2" s="52" t="n">
        <v>460.156</v>
      </c>
      <c r="M2" s="52">
        <f>L2*(1+NPV!C5)</f>
        <v>437.7464028</v>
      </c>
      <c r="N2" s="52">
        <f>M2*(1+NPV!D5)</f>
        <v>420.01280963768</v>
      </c>
      <c r="O2" s="52">
        <f>N2*(1+NPV!E5)</f>
        <v>406.43706226839095</v>
      </c>
      <c r="P2" s="52">
        <f>O2*(1+NPV!F5)</f>
        <v>396.6283811656471</v>
      </c>
      <c r="Q2" s="52">
        <f>P2*(1+NPV!G5)</f>
        <v>390.30436197706155</v>
      </c>
      <c r="R2" s="52">
        <f>Q2*(1+NPV!H5)</f>
        <v>387.2773348141728</v>
      </c>
      <c r="S2" s="52">
        <f>R2*(1+NPV!I5)</f>
        <v>387.4451549925922</v>
      </c>
      <c r="T2" s="52">
        <f>S2*(1+NPV!J5)</f>
        <v>390.78579321786174</v>
      </c>
      <c r="U2" s="52">
        <f>T2*(1+NPV!K5)</f>
        <v>397.3553366082909</v>
      </c>
      <c r="V2" s="52">
        <f>U2*(1+NPV!L5)</f>
        <v>407.2892200234981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0.043</v>
      </c>
      <c r="F3" s="52" t="n">
        <v>3.749</v>
      </c>
      <c r="G3" s="52" t="n">
        <v>16.736</v>
      </c>
      <c r="H3" s="52" t="n">
        <v>52.239</v>
      </c>
      <c r="I3" s="52" t="n">
        <v>74.018</v>
      </c>
      <c r="J3" s="52" t="n">
        <v>95.816</v>
      </c>
      <c r="K3" s="52" t="n">
        <v>147.118</v>
      </c>
      <c r="L3" s="52" t="n">
        <v>190.52</v>
      </c>
      <c r="M3" s="52">
        <f>M2*(1-Assumptions!$B$19)</f>
        <v>181.22701075920003</v>
      </c>
      <c r="N3" s="52">
        <f>N2*(1-Assumptions!$B$19)</f>
        <v>173.88530318999952</v>
      </c>
      <c r="O3" s="52">
        <f>O2*(1-Assumptions!$B$19)</f>
        <v>168.26494377911388</v>
      </c>
      <c r="P3" s="52">
        <f>P2*(1-Assumptions!$B$19)</f>
        <v>164.20414980257792</v>
      </c>
      <c r="Q3" s="52">
        <f>Q2*(1-Assumptions!$B$19)</f>
        <v>161.58600585850348</v>
      </c>
      <c r="R3" s="52">
        <f>R2*(1-Assumptions!$B$19)</f>
        <v>160.33281661306754</v>
      </c>
      <c r="S3" s="52">
        <f>S2*(1-Assumptions!$B$19)</f>
        <v>160.4022941669332</v>
      </c>
      <c r="T3" s="52">
        <f>T2*(1-Assumptions!$B$19)</f>
        <v>161.78531839219477</v>
      </c>
      <c r="U3" s="52">
        <f>U2*(1-Assumptions!$B$19)</f>
        <v>164.50510935583245</v>
      </c>
      <c r="V3" s="52">
        <f>V2*(1-Assumptions!$B$19)</f>
        <v>168.61773708972822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0.08600000000000001</v>
      </c>
      <c r="F4" s="52">
        <f>F2-F3</f>
        <v>9.235999999999999</v>
      </c>
      <c r="G4" s="52">
        <f>G2-G3</f>
        <v>32.221999999999994</v>
      </c>
      <c r="H4" s="52">
        <f>H2-H3</f>
        <v>92.07300000000001</v>
      </c>
      <c r="I4" s="52">
        <f>I2-I3</f>
        <v>141.022</v>
      </c>
      <c r="J4" s="52">
        <f>J2-J3</f>
        <v>170.903</v>
      </c>
      <c r="K4" s="52">
        <f>K2-K3</f>
        <v>251.87</v>
      </c>
      <c r="L4" s="52">
        <f>L2-L3</f>
        <v>269.63599999999997</v>
      </c>
      <c r="M4" s="52">
        <f>M2-M3</f>
        <v>256.51939204079997</v>
      </c>
      <c r="N4" s="52">
        <f>N2-N3</f>
        <v>246.12750644768047</v>
      </c>
      <c r="O4" s="52">
        <f>O2-O3</f>
        <v>238.17211848927707</v>
      </c>
      <c r="P4" s="52">
        <f>P2-P3</f>
        <v>232.4242313630692</v>
      </c>
      <c r="Q4" s="52">
        <f>Q2-Q3</f>
        <v>228.71835611855806</v>
      </c>
      <c r="R4" s="52">
        <f>R2-R3</f>
        <v>226.94451820110524</v>
      </c>
      <c r="S4" s="52">
        <f>S2-S3</f>
        <v>227.04286082565903</v>
      </c>
      <c r="T4" s="52">
        <f>T2-T3</f>
        <v>229.00047482566697</v>
      </c>
      <c r="U4" s="52">
        <f>U2-U3</f>
        <v>232.85022725245844</v>
      </c>
      <c r="V4" s="52">
        <f>V2-V3</f>
        <v>238.67148293376988</v>
      </c>
    </row>
    <row r="5">
      <c r="A5" s="2" t="inlineStr">
        <is>
          <t>Research &amp; Dev.</t>
        </is>
      </c>
      <c r="B5" s="52" t="n">
        <v>13.587</v>
      </c>
      <c r="C5" s="52" t="n">
        <v>32.149</v>
      </c>
      <c r="D5" s="52" t="n">
        <v>39.342</v>
      </c>
      <c r="E5" s="52" t="n">
        <v>120.278</v>
      </c>
      <c r="F5" s="52" t="n">
        <v>142.221</v>
      </c>
      <c r="G5" s="52" t="n">
        <v>222.711</v>
      </c>
      <c r="H5" s="52" t="n">
        <v>573.306</v>
      </c>
      <c r="I5" s="52" t="n">
        <v>286.408</v>
      </c>
      <c r="J5" s="52" t="n">
        <v>265.868</v>
      </c>
      <c r="K5" s="52" t="n">
        <v>234.504</v>
      </c>
      <c r="L5" s="52" t="n">
        <v>220.904</v>
      </c>
      <c r="M5" s="52">
        <f>M7*Assumptions!$B$20</f>
        <v>212.08660704813263</v>
      </c>
      <c r="N5" s="52">
        <f>N7*Assumptions!$B$20</f>
        <v>188.8571604448037</v>
      </c>
      <c r="O5" s="52">
        <f>O7*Assumptions!$B$20</f>
        <v>168.58841403098725</v>
      </c>
      <c r="P5" s="52">
        <f>P7*Assumptions!$B$20</f>
        <v>150.69718604782113</v>
      </c>
      <c r="Q5" s="52">
        <f>Q7*Assumptions!$B$20</f>
        <v>134.69216966343367</v>
      </c>
      <c r="R5" s="52">
        <f>R7*Assumptions!$B$20</f>
        <v>120.15081646258021</v>
      </c>
      <c r="S5" s="52">
        <f>S7*Assumptions!$B$20</f>
        <v>106.70029263265857</v>
      </c>
      <c r="T5" s="52">
        <f>T7*Assumptions!$B$20</f>
        <v>94.00127475867404</v>
      </c>
      <c r="U5" s="52">
        <f>U7*Assumptions!$B$20</f>
        <v>81.7335784093002</v>
      </c>
      <c r="V5" s="52">
        <f>V7*Assumptions!$B$20</f>
        <v>69.58275659000648</v>
      </c>
    </row>
    <row r="6">
      <c r="A6" s="18" t="inlineStr">
        <is>
          <t>SG&amp;A &amp; Other</t>
        </is>
      </c>
      <c r="B6" s="52" t="n">
        <v>2.762</v>
      </c>
      <c r="C6" s="52" t="n">
        <v>6.38</v>
      </c>
      <c r="D6" s="52" t="n">
        <v>12.049</v>
      </c>
      <c r="E6" s="52" t="n">
        <v>21.576</v>
      </c>
      <c r="F6" s="52" t="n">
        <v>70.211</v>
      </c>
      <c r="G6" s="52" t="n">
        <v>111.312</v>
      </c>
      <c r="H6" s="52" t="n">
        <v>218.831</v>
      </c>
      <c r="I6" s="52" t="n">
        <v>258.971</v>
      </c>
      <c r="J6" s="52" t="n">
        <v>271.608</v>
      </c>
      <c r="K6" s="52" t="n">
        <v>299.483</v>
      </c>
      <c r="L6" s="52" t="n">
        <v>278.166</v>
      </c>
      <c r="M6" s="52">
        <f>M7-M5</f>
        <v>267.09687024091534</v>
      </c>
      <c r="N6" s="52">
        <f>N7-N5</f>
        <v>237.84225312230814</v>
      </c>
      <c r="O6" s="52">
        <f>O7-O5</f>
        <v>212.3162719857033</v>
      </c>
      <c r="P6" s="52">
        <f>P7-P5</f>
        <v>189.78448148001698</v>
      </c>
      <c r="Q6" s="52">
        <f>Q7-Q5</f>
        <v>169.6281413700812</v>
      </c>
      <c r="R6" s="52">
        <f>R7-R5</f>
        <v>151.31510414876232</v>
      </c>
      <c r="S6" s="52">
        <f>S7-S5</f>
        <v>134.37583170683212</v>
      </c>
      <c r="T6" s="52">
        <f>T7-T5</f>
        <v>118.38298813936944</v>
      </c>
      <c r="U6" s="52">
        <f>U7-U5</f>
        <v>102.93334072603689</v>
      </c>
      <c r="V6" s="52">
        <f>V7-V5</f>
        <v>87.63088233906373</v>
      </c>
    </row>
    <row r="7">
      <c r="A7" s="2" t="inlineStr">
        <is>
          <t>Operating Expense</t>
        </is>
      </c>
      <c r="B7" s="52">
        <f>SUM(B5:B6)</f>
        <v>16.349</v>
      </c>
      <c r="C7" s="52">
        <f>SUM(C5:C6)</f>
        <v>38.529</v>
      </c>
      <c r="D7" s="52">
        <f>SUM(D5:D6)</f>
        <v>51.391</v>
      </c>
      <c r="E7" s="52">
        <f>SUM(E5:E6)</f>
        <v>141.854</v>
      </c>
      <c r="F7" s="52">
        <f>SUM(F5:F6)</f>
        <v>212.43200000000002</v>
      </c>
      <c r="G7" s="52">
        <f>SUM(G5:G6)</f>
        <v>334.023</v>
      </c>
      <c r="H7" s="52">
        <f>SUM(H5:H6)</f>
        <v>792.1370000000001</v>
      </c>
      <c r="I7" s="52">
        <f>SUM(I5:I6)</f>
        <v>545.379</v>
      </c>
      <c r="J7" s="52">
        <f>SUM(J5:J6)</f>
        <v>537.476</v>
      </c>
      <c r="K7" s="52">
        <f>SUM(K5:K6)</f>
        <v>533.987</v>
      </c>
      <c r="L7" s="52">
        <f>SUM(L5:L6)</f>
        <v>499.07</v>
      </c>
      <c r="M7" s="52">
        <f>M4-M2*NPV!C6</f>
        <v>479.18347728904797</v>
      </c>
      <c r="N7" s="52">
        <f>N4-N2*NPV!D6</f>
        <v>426.69941356711183</v>
      </c>
      <c r="O7" s="52">
        <f>O4-O2*NPV!E6</f>
        <v>380.90468601669056</v>
      </c>
      <c r="P7" s="52">
        <f>P4-P2*NPV!F6</f>
        <v>340.4816675278381</v>
      </c>
      <c r="Q7" s="52">
        <f>Q4-Q2*NPV!G6</f>
        <v>304.3203110335149</v>
      </c>
      <c r="R7" s="52">
        <f>R4-R2*NPV!H6</f>
        <v>271.46592061134254</v>
      </c>
      <c r="S7" s="52">
        <f>S4-S2*NPV!I6</f>
        <v>241.0761243394907</v>
      </c>
      <c r="T7" s="52">
        <f>T4-T2*NPV!J6</f>
        <v>212.3842628980435</v>
      </c>
      <c r="U7" s="52">
        <f>U4-U2*NPV!K6</f>
        <v>184.66691913533708</v>
      </c>
      <c r="V7" s="52">
        <f>V4-V2*NPV!L6</f>
        <v>157.2136389290702</v>
      </c>
    </row>
    <row r="8">
      <c r="A8" s="2" t="inlineStr">
        <is>
          <t>Operating Income</t>
        </is>
      </c>
      <c r="B8" s="52">
        <f>B4-B7</f>
        <v>-16.349</v>
      </c>
      <c r="C8" s="52">
        <f>C4-C7</f>
        <v>-38.529</v>
      </c>
      <c r="D8" s="52">
        <f>D4-D7</f>
        <v>-51.391</v>
      </c>
      <c r="E8" s="52">
        <f>E4-E7</f>
        <v>-141.768</v>
      </c>
      <c r="F8" s="52">
        <f>F4-F7</f>
        <v>-203.19600000000003</v>
      </c>
      <c r="G8" s="52">
        <f>G4-G7</f>
        <v>-301.80100000000004</v>
      </c>
      <c r="H8" s="52">
        <f>H4-H7</f>
        <v>-700.0640000000001</v>
      </c>
      <c r="I8" s="52">
        <f>I4-I7</f>
        <v>-404.357</v>
      </c>
      <c r="J8" s="52">
        <f>J4-J7</f>
        <v>-366.573</v>
      </c>
      <c r="K8" s="52">
        <f>K4-K7</f>
        <v>-282.11699999999996</v>
      </c>
      <c r="L8" s="52">
        <f>L4-L7</f>
        <v>-229.43400000000003</v>
      </c>
      <c r="M8" s="52">
        <f>M4-M7</f>
        <v>-222.664085248248</v>
      </c>
      <c r="N8" s="52">
        <f>N4-N7</f>
        <v>-180.57190711943136</v>
      </c>
      <c r="O8" s="52">
        <f>O4-O7</f>
        <v>-142.7325675274135</v>
      </c>
      <c r="P8" s="52">
        <f>P4-P7</f>
        <v>-108.05743616476892</v>
      </c>
      <c r="Q8" s="52">
        <f>Q4-Q7</f>
        <v>-75.60195491495682</v>
      </c>
      <c r="R8" s="52">
        <f>R4-R7</f>
        <v>-44.5214024102373</v>
      </c>
      <c r="S8" s="52">
        <f>S4-S7</f>
        <v>-14.033263513831656</v>
      </c>
      <c r="T8" s="52">
        <f>T4-T7</f>
        <v>16.616211927623482</v>
      </c>
      <c r="U8" s="52">
        <f>U4-U7</f>
        <v>48.183308117121356</v>
      </c>
      <c r="V8" s="52">
        <f>V4-V7</f>
        <v>81.45784400469967</v>
      </c>
    </row>
    <row r="9">
      <c r="A9" s="18" t="inlineStr">
        <is>
          <t>Interest &amp; Other</t>
        </is>
      </c>
      <c r="B9" s="52" t="n">
        <v>-1.672</v>
      </c>
      <c r="C9" s="52" t="n">
        <v>1.017</v>
      </c>
      <c r="D9" s="52" t="n">
        <v>1.007</v>
      </c>
      <c r="E9" s="52" t="n">
        <v>2.693</v>
      </c>
      <c r="F9" s="52" t="n">
        <v>8.125</v>
      </c>
      <c r="G9" s="52" t="n">
        <v>32.896</v>
      </c>
      <c r="H9" s="52" t="n">
        <v>-4.436</v>
      </c>
      <c r="I9" s="52" t="n">
        <v>-38.943</v>
      </c>
      <c r="J9" s="52" t="n">
        <v>31.973</v>
      </c>
      <c r="K9" s="52" t="n">
        <v>25.017</v>
      </c>
      <c r="L9" s="52" t="n">
        <v>51.007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-18.021</v>
      </c>
      <c r="C10" s="52">
        <f>C8+C9</f>
        <v>-37.512</v>
      </c>
      <c r="D10" s="52">
        <f>D8+D9</f>
        <v>-50.384</v>
      </c>
      <c r="E10" s="52">
        <f>E8+E9</f>
        <v>-139.075</v>
      </c>
      <c r="F10" s="52">
        <f>F8+F9</f>
        <v>-195.07100000000003</v>
      </c>
      <c r="G10" s="52">
        <f>G8+G9</f>
        <v>-268.90500000000003</v>
      </c>
      <c r="H10" s="52">
        <f>H8+H9</f>
        <v>-704.5000000000001</v>
      </c>
      <c r="I10" s="52">
        <f>I8+I9</f>
        <v>-443.3</v>
      </c>
      <c r="J10" s="52">
        <f>J8+J9</f>
        <v>-334.59999999999997</v>
      </c>
      <c r="K10" s="52">
        <f>K8+K9</f>
        <v>-257.09999999999997</v>
      </c>
      <c r="L10" s="52">
        <f>L8+L9</f>
        <v>-178.42700000000002</v>
      </c>
      <c r="M10" s="52">
        <f>M8+M9</f>
        <v>-222.664085248248</v>
      </c>
      <c r="N10" s="52">
        <f>N8+N9</f>
        <v>-180.57190711943136</v>
      </c>
      <c r="O10" s="52">
        <f>O8+O9</f>
        <v>-142.7325675274135</v>
      </c>
      <c r="P10" s="52">
        <f>P8+P9</f>
        <v>-108.05743616476892</v>
      </c>
      <c r="Q10" s="52">
        <f>Q8+Q9</f>
        <v>-75.60195491495682</v>
      </c>
      <c r="R10" s="52">
        <f>R8+R9</f>
        <v>-44.5214024102373</v>
      </c>
      <c r="S10" s="52">
        <f>S8+S9</f>
        <v>-14.033263513831656</v>
      </c>
      <c r="T10" s="52">
        <f>T8+T9</f>
        <v>16.616211927623482</v>
      </c>
      <c r="U10" s="52">
        <f>U8+U9</f>
        <v>48.183308117121356</v>
      </c>
      <c r="V10" s="52">
        <f>V8+V9</f>
        <v>81.45784400469967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-2.927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2.824756027695992</v>
      </c>
      <c r="U11" s="52">
        <f>MAX(0,U10)*Assumptions!$E$14</f>
        <v>8.191162379910631</v>
      </c>
      <c r="V11" s="52">
        <f>MAX(0,V10)*Assumptions!$E$14</f>
        <v>13.847833480798943</v>
      </c>
    </row>
    <row r="12">
      <c r="A12" s="2" t="inlineStr">
        <is>
          <t>Net Income</t>
        </is>
      </c>
      <c r="B12" s="52" t="n">
        <v>-18.022</v>
      </c>
      <c r="C12" s="52" t="n">
        <v>-37.512</v>
      </c>
      <c r="D12" s="52" t="n">
        <v>-50.384</v>
      </c>
      <c r="E12" s="52" t="n">
        <v>-139.075</v>
      </c>
      <c r="F12" s="52" t="n">
        <v>-195.071</v>
      </c>
      <c r="G12" s="52" t="n">
        <v>-268.905</v>
      </c>
      <c r="H12" s="52" t="n">
        <v>-704.5</v>
      </c>
      <c r="I12" s="52" t="n">
        <v>-443.3</v>
      </c>
      <c r="J12" s="52" t="n">
        <v>-334.6</v>
      </c>
      <c r="K12" s="52" t="n">
        <v>-257.1</v>
      </c>
      <c r="L12" s="52" t="n">
        <v>-175.5</v>
      </c>
      <c r="M12" s="52">
        <f>M10-M11</f>
        <v>-222.664085248248</v>
      </c>
      <c r="N12" s="52">
        <f>N10-N11</f>
        <v>-180.57190711943136</v>
      </c>
      <c r="O12" s="52">
        <f>O10-O11</f>
        <v>-142.7325675274135</v>
      </c>
      <c r="P12" s="52">
        <f>P10-P11</f>
        <v>-108.05743616476892</v>
      </c>
      <c r="Q12" s="52">
        <f>Q10-Q11</f>
        <v>-75.60195491495682</v>
      </c>
      <c r="R12" s="52">
        <f>R10-R11</f>
        <v>-44.5214024102373</v>
      </c>
      <c r="S12" s="52">
        <f>S10-S11</f>
        <v>-14.033263513831656</v>
      </c>
      <c r="T12" s="52">
        <f>T10-T11</f>
        <v>13.79145589992749</v>
      </c>
      <c r="U12" s="52">
        <f>U10-U11</f>
        <v>39.99214573721073</v>
      </c>
      <c r="V12" s="52">
        <f>V10-V11</f>
        <v>67.61001052390073</v>
      </c>
    </row>
    <row r="13">
      <c r="A13" s="2" t="inlineStr">
        <is>
          <t>Earnings per Share</t>
        </is>
      </c>
      <c r="B13" s="11">
        <f>IFERROR(B12/B14,0)</f>
        <v>-0.17275027798013878</v>
      </c>
      <c r="C13" s="11">
        <f>IFERROR(C12/C14,0)</f>
        <v>-0.3311791503337218</v>
      </c>
      <c r="D13" s="11">
        <f>IFERROR(D12/D14,0)</f>
        <v>-0.19301774105189765</v>
      </c>
      <c r="E13" s="11">
        <f>IFERROR(E12/E14,0)</f>
        <v>-0.22029310109960432</v>
      </c>
      <c r="F13" s="11">
        <f>IFERROR(F12/F14,0)</f>
        <v>-0.2525406701413972</v>
      </c>
      <c r="G13" s="11">
        <f>IFERROR(G12/G14,0)</f>
        <v>-0.3462250073067697</v>
      </c>
      <c r="H13" s="11">
        <f>IFERROR(H12/H14,0)</f>
        <v>-0.7575912362447993</v>
      </c>
      <c r="I13" s="11">
        <f>IFERROR(I12/I14,0)</f>
        <v>-0.462702504104619</v>
      </c>
      <c r="J13" s="11">
        <f>IFERROR(J12/J14,0)</f>
        <v>-0.34623559335012427</v>
      </c>
      <c r="K13" s="11">
        <f>IFERROR(K12/K14,0)</f>
        <v>-0.2598339730645856</v>
      </c>
      <c r="L13" s="11">
        <f>IFERROR(L12/L14,0)</f>
        <v>-0.16022846479219147</v>
      </c>
      <c r="M13" s="11">
        <f>IFERROR(M12/M14,0)</f>
        <v>-1.9837409216696769</v>
      </c>
      <c r="N13" s="11">
        <f>IFERROR(N12/N14,0)</f>
        <v>-1.6087366808948393</v>
      </c>
      <c r="O13" s="11">
        <f>IFERROR(O12/O14,0)</f>
        <v>-1.2716214864351973</v>
      </c>
      <c r="P13" s="11">
        <f>IFERROR(P12/P14,0)</f>
        <v>-0.9626966008989436</v>
      </c>
      <c r="Q13" s="11">
        <f>IFERROR(Q12/Q14,0)</f>
        <v>-0.6735468432451472</v>
      </c>
      <c r="R13" s="11">
        <f>IFERROR(R12/R14,0)</f>
        <v>-0.39664648994849805</v>
      </c>
      <c r="S13" s="11">
        <f>IFERROR(S12/S14,0)</f>
        <v>-0.12502402022277143</v>
      </c>
      <c r="T13" s="11">
        <f>IFERROR(T12/T14,0)</f>
        <v>0.12286972731856015</v>
      </c>
      <c r="U13" s="11">
        <f>IFERROR(U12/U14,0)</f>
        <v>0.35629480145319786</v>
      </c>
      <c r="V13" s="11">
        <f>IFERROR(V12/V14,0)</f>
        <v>0.6023456564234339</v>
      </c>
    </row>
    <row r="14">
      <c r="A14" s="2" t="inlineStr">
        <is>
          <t>Shares</t>
        </is>
      </c>
      <c r="B14" s="52" t="n">
        <v>104.324</v>
      </c>
      <c r="C14" s="52" t="n">
        <v>113.268</v>
      </c>
      <c r="D14" s="52" t="n">
        <v>261.033</v>
      </c>
      <c r="E14" s="52" t="n">
        <v>631.318</v>
      </c>
      <c r="F14" s="52" t="n">
        <v>772.434</v>
      </c>
      <c r="G14" s="52" t="n">
        <v>776.677</v>
      </c>
      <c r="H14" s="52" t="n">
        <v>929.921</v>
      </c>
      <c r="I14" s="52" t="n">
        <v>958.067</v>
      </c>
      <c r="J14" s="52" t="n">
        <v>966.394</v>
      </c>
      <c r="K14" s="52" t="n">
        <v>989.478</v>
      </c>
      <c r="L14" s="52" t="n">
        <v>1095.311</v>
      </c>
      <c r="M14" s="52">
        <f>Main!$C$4</f>
        <v>112.244539</v>
      </c>
      <c r="N14" s="52">
        <f>Main!$C$4</f>
        <v>112.244539</v>
      </c>
      <c r="O14" s="52">
        <f>Main!$C$4</f>
        <v>112.244539</v>
      </c>
      <c r="P14" s="52">
        <f>Main!$C$4</f>
        <v>112.244539</v>
      </c>
      <c r="Q14" s="52">
        <f>Main!$C$4</f>
        <v>112.244539</v>
      </c>
      <c r="R14" s="52">
        <f>Main!$C$4</f>
        <v>112.244539</v>
      </c>
      <c r="S14" s="52">
        <f>Main!$C$4</f>
        <v>112.244539</v>
      </c>
      <c r="T14" s="52">
        <f>Main!$C$4</f>
        <v>112.244539</v>
      </c>
      <c r="U14" s="52">
        <f>Main!$C$4</f>
        <v>112.244539</v>
      </c>
      <c r="V14" s="52">
        <f>Main!$C$4</f>
        <v>112.244539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99.65891472868216</v>
      </c>
      <c r="G16" s="15">
        <f>IFERROR(G2/F2-1,"")</f>
        <v>2.7703504043126683</v>
      </c>
      <c r="H16" s="15">
        <f>IFERROR(H2/G2-1,"")</f>
        <v>1.947669430940807</v>
      </c>
      <c r="I16" s="15">
        <f>IFERROR(I2/H2-1,"")</f>
        <v>0.49010477299185085</v>
      </c>
      <c r="J16" s="15">
        <f>IFERROR(J2/I2-1,"")</f>
        <v>0.24032273065476195</v>
      </c>
      <c r="K16" s="15">
        <f>IFERROR(K2/J2-1,"")</f>
        <v>0.49591142738237615</v>
      </c>
      <c r="L16" s="15">
        <f>IFERROR(L2/K2-1,"")</f>
        <v>0.15330786890833803</v>
      </c>
      <c r="M16" s="15">
        <f>IFERROR(M2/L2-1,"")</f>
        <v>-0.048699999999999966</v>
      </c>
      <c r="N16" s="15">
        <f>IFERROR(N2/M2-1,"")</f>
        <v>-0.040511111111111164</v>
      </c>
      <c r="O16" s="15">
        <f>IFERROR(O2/N2-1,"")</f>
        <v>-0.03232222222222225</v>
      </c>
      <c r="P16" s="15">
        <f>IFERROR(P2/O2-1,"")</f>
        <v>-0.02413333333333334</v>
      </c>
      <c r="Q16" s="15">
        <f>IFERROR(Q2/P2-1,"")</f>
        <v>-0.015944444444444317</v>
      </c>
      <c r="R16" s="15">
        <f>IFERROR(R2/Q2-1,"")</f>
        <v>-0.007755555555555516</v>
      </c>
      <c r="S16" s="15">
        <f>IFERROR(S2/R2-1,"")</f>
        <v>0.0004333333333332856</v>
      </c>
      <c r="T16" s="15">
        <f>IFERROR(T2/S2-1,"")</f>
        <v>0.008622222222222309</v>
      </c>
      <c r="U16" s="15">
        <f>IFERROR(U2/T2-1,"")</f>
        <v>0.01681111111111111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0.6666666666666667</v>
      </c>
      <c r="F17" s="15">
        <f>IFERROR(F4/F2,"")</f>
        <v>0.711282248748556</v>
      </c>
      <c r="G17" s="15">
        <f>IFERROR(G4/G2,"")</f>
        <v>0.6581559704236283</v>
      </c>
      <c r="H17" s="15">
        <f>IFERROR(H4/H2,"")</f>
        <v>0.638013470813238</v>
      </c>
      <c r="I17" s="15">
        <f>IFERROR(I4/I2,"")</f>
        <v>0.6557942708333333</v>
      </c>
      <c r="J17" s="15">
        <f>IFERROR(J4/J2,"")</f>
        <v>0.6407605007517274</v>
      </c>
      <c r="K17" s="15">
        <f>IFERROR(K4/K2,"")</f>
        <v>0.6312721184597031</v>
      </c>
      <c r="L17" s="15">
        <f>IFERROR(L4/L2,"")</f>
        <v>0.5859664983179617</v>
      </c>
      <c r="M17" s="15">
        <f>IFERROR(M4/M2,"")</f>
        <v>0.586</v>
      </c>
      <c r="N17" s="15">
        <f>IFERROR(N4/N2,"")</f>
        <v>0.586</v>
      </c>
      <c r="O17" s="15">
        <f>IFERROR(O4/O2,"")</f>
        <v>0.586</v>
      </c>
      <c r="P17" s="15">
        <f>IFERROR(P4/P2,"")</f>
        <v>0.586</v>
      </c>
      <c r="Q17" s="15">
        <f>IFERROR(Q4/Q2,"")</f>
        <v>0.586</v>
      </c>
      <c r="R17" s="15">
        <f>IFERROR(R4/R2,"")</f>
        <v>0.586</v>
      </c>
      <c r="S17" s="15">
        <f>IFERROR(S4/S2,"")</f>
        <v>0.586</v>
      </c>
      <c r="T17" s="15">
        <f>IFERROR(T4/T2,"")</f>
        <v>0.586</v>
      </c>
      <c r="U17" s="15">
        <f>IFERROR(U4/U2,"")</f>
        <v>0.586</v>
      </c>
      <c r="V17" s="15">
        <f>IFERROR(V4/V2,"")</f>
        <v>0.586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-1098.9767441860465</v>
      </c>
      <c r="F18" s="15">
        <f>IFERROR(F8/F2,"")</f>
        <v>-15.648517520215636</v>
      </c>
      <c r="G18" s="15">
        <f>IFERROR(G8/G2,"")</f>
        <v>-6.16448792842845</v>
      </c>
      <c r="H18" s="15">
        <f>IFERROR(H8/H2,"")</f>
        <v>-4.851044958146239</v>
      </c>
      <c r="I18" s="15">
        <f>IFERROR(I8/I2,"")</f>
        <v>-1.8803803943452384</v>
      </c>
      <c r="J18" s="15">
        <f>IFERROR(J8/J2,"")</f>
        <v>-1.3743790281157322</v>
      </c>
      <c r="K18" s="15">
        <f>IFERROR(K8/K2,"")</f>
        <v>-0.7070814159824355</v>
      </c>
      <c r="L18" s="15">
        <f>IFERROR(L8/L2,"")</f>
        <v>-0.4986004746216501</v>
      </c>
      <c r="M18" s="15">
        <f>IFERROR(M8/M2,"")</f>
        <v>-0.50866</v>
      </c>
      <c r="N18" s="15">
        <f>IFERROR(N8/N2,"")</f>
        <v>-0.42991999999999997</v>
      </c>
      <c r="O18" s="15">
        <f>IFERROR(O8/O2,"")</f>
        <v>-0.3511799999999999</v>
      </c>
      <c r="P18" s="15">
        <f>IFERROR(P8/P2,"")</f>
        <v>-0.27244</v>
      </c>
      <c r="Q18" s="15">
        <f>IFERROR(Q8/Q2,"")</f>
        <v>-0.1937</v>
      </c>
      <c r="R18" s="15">
        <f>IFERROR(R8/R2,"")</f>
        <v>-0.11495999999999999</v>
      </c>
      <c r="S18" s="15">
        <f>IFERROR(S8/S2,"")</f>
        <v>-0.03621999999999991</v>
      </c>
      <c r="T18" s="15">
        <f>IFERROR(T8/T2,"")</f>
        <v>0.04252</v>
      </c>
      <c r="U18" s="15">
        <f>IFERROR(U8/U2,"")</f>
        <v>0.12126</v>
      </c>
      <c r="V18" s="15">
        <f>IFERROR(V8/V2,"")</f>
        <v>0.20000000000000012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Zai Lab Ltd: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-0.0987</v>
      </c>
      <c r="C12" s="53" t="n">
        <v>-0.0487</v>
      </c>
      <c r="D12" s="53" t="n">
        <v>0.0013</v>
      </c>
      <c r="E12" s="54">
        <f>CHOOSE($B$4,B12,C12,D12)</f>
        <v>-0.0487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-0.5874</v>
      </c>
    </row>
    <row r="19">
      <c r="A19" s="14" t="inlineStr">
        <is>
          <t>Gross margin (forecast)</t>
        </is>
      </c>
      <c r="B19" s="53" t="n">
        <v>0.586</v>
      </c>
    </row>
    <row r="20">
      <c r="A20" s="14" t="inlineStr">
        <is>
          <t>R&amp;D share of operating expense (forecast)</t>
        </is>
      </c>
      <c r="B20" s="53" t="n">
        <v>0.4426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460.156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-198.0451201362464</v>
      </c>
      <c r="C29" s="56">
        <f>NPV!B26</f>
        <v>181.37287986375364</v>
      </c>
      <c r="D29" s="35">
        <f>NPV!B28</f>
        <v>1.6158726427105166</v>
      </c>
      <c r="E29" s="57">
        <f>NPV!B30</f>
        <v>-0.9355712662396126</v>
      </c>
    </row>
    <row r="30">
      <c r="A30" s="58" t="n">
        <v>1</v>
      </c>
      <c r="B30" s="59">
        <f t="dataTable" ref="B30:E32" r1="B4"/>
        <v>-329.22046143389457</v>
      </c>
      <c r="C30" s="59">
        <v>50.197538566105464</v>
      </c>
      <c r="D30" s="39">
        <v>0.4472158646943658</v>
      </c>
      <c r="E30" s="60">
        <v>-0.9821684264475931</v>
      </c>
    </row>
    <row r="31">
      <c r="A31" s="58" t="n">
        <v>2</v>
      </c>
      <c r="B31" s="59">
        <v>-198.0451201362464</v>
      </c>
      <c r="C31" s="59">
        <v>181.37287986375364</v>
      </c>
      <c r="D31" s="39">
        <v>1.6158726427105166</v>
      </c>
      <c r="E31" s="60">
        <v>-0.9355712662396126</v>
      </c>
    </row>
    <row r="32">
      <c r="A32" s="58" t="n">
        <v>3</v>
      </c>
      <c r="B32" s="59">
        <v>136.86043905232555</v>
      </c>
      <c r="C32" s="59">
        <v>516.2784390523256</v>
      </c>
      <c r="D32" s="39">
        <v>4.599586257397569</v>
      </c>
      <c r="E32" s="60">
        <v>-0.8166034187640523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1.6158726427105166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2.2906857081653156</v>
      </c>
      <c r="C37" s="39">
        <v>2.5982559240981082</v>
      </c>
      <c r="D37" s="39">
        <v>2.9566459549487796</v>
      </c>
      <c r="E37" s="39">
        <v>3.3786015617287832</v>
      </c>
      <c r="F37" s="39">
        <v>3.8815038318584</v>
      </c>
    </row>
    <row r="38">
      <c r="A38" s="62" t="n">
        <v>0.1</v>
      </c>
      <c r="B38" s="39">
        <v>1.7008566039995552</v>
      </c>
      <c r="C38" s="39">
        <v>1.922753509265447</v>
      </c>
      <c r="D38" s="39">
        <v>2.1771218064040827</v>
      </c>
      <c r="E38" s="39">
        <v>2.4709525120293927</v>
      </c>
      <c r="F38" s="39">
        <v>2.8133881236578806</v>
      </c>
    </row>
    <row r="39">
      <c r="A39" s="62" t="n">
        <v>0.11</v>
      </c>
      <c r="B39" s="39">
        <v>1.2653771162724485</v>
      </c>
      <c r="C39" s="39">
        <v>1.4297447973645863</v>
      </c>
      <c r="D39" s="39">
        <v>1.6158726427105166</v>
      </c>
      <c r="E39" s="39">
        <v>1.827867720389103</v>
      </c>
      <c r="F39" s="39">
        <v>2.070932640057561</v>
      </c>
    </row>
    <row r="40">
      <c r="A40" s="62" t="n">
        <v>0.12</v>
      </c>
      <c r="B40" s="39">
        <v>0.9382279032545081</v>
      </c>
      <c r="C40" s="39">
        <v>1.0624303103488164</v>
      </c>
      <c r="D40" s="39">
        <v>1.2017717106426373</v>
      </c>
      <c r="E40" s="39">
        <v>1.358797887586859</v>
      </c>
      <c r="F40" s="39">
        <v>1.5366538997017378</v>
      </c>
    </row>
    <row r="41">
      <c r="A41" s="62" t="n">
        <v>0.13</v>
      </c>
      <c r="B41" s="39">
        <v>0.6895450394061423</v>
      </c>
      <c r="C41" s="39">
        <v>0.7848232893843718</v>
      </c>
      <c r="D41" s="39">
        <v>0.8909571768779037</v>
      </c>
      <c r="E41" s="39">
        <v>1.0095942209644828</v>
      </c>
      <c r="F41" s="39">
        <v>1.142729010855175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Zai Lab Ltd: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-0.0487</v>
      </c>
      <c r="D5" s="63">
        <f>Assumptions!$E$12+(Assumptions!$E$11-Assumptions!$E$12)*(D4-1)/(Assumptions!$B$21-1)</f>
        <v>-0.04051111111111111</v>
      </c>
      <c r="E5" s="63">
        <f>Assumptions!$E$12+(Assumptions!$E$11-Assumptions!$E$12)*(E4-1)/(Assumptions!$B$21-1)</f>
        <v>-0.032322222222222224</v>
      </c>
      <c r="F5" s="63">
        <f>Assumptions!$E$12+(Assumptions!$E$11-Assumptions!$E$12)*(F4-1)/(Assumptions!$B$21-1)</f>
        <v>-0.024133333333333333</v>
      </c>
      <c r="G5" s="63">
        <f>Assumptions!$E$12+(Assumptions!$E$11-Assumptions!$E$12)*(G4-1)/(Assumptions!$B$21-1)</f>
        <v>-0.01594444444444444</v>
      </c>
      <c r="H5" s="63">
        <f>Assumptions!$E$12+(Assumptions!$E$11-Assumptions!$E$12)*(H4-1)/(Assumptions!$B$21-1)</f>
        <v>-0.007755555555555557</v>
      </c>
      <c r="I5" s="63">
        <f>Assumptions!$E$12+(Assumptions!$E$11-Assumptions!$E$12)*(I4-1)/(Assumptions!$B$21-1)</f>
        <v>0.0004333333333333342</v>
      </c>
      <c r="J5" s="63">
        <f>Assumptions!$E$12+(Assumptions!$E$11-Assumptions!$E$12)*(J4-1)/(Assumptions!$B$21-1)</f>
        <v>0.008622222222222226</v>
      </c>
      <c r="K5" s="63">
        <f>Assumptions!$E$12+(Assumptions!$E$11-Assumptions!$E$12)*(K4-1)/(Assumptions!$B$21-1)</f>
        <v>0.016811111111111117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-0.4986004746216501</v>
      </c>
      <c r="C6" s="63">
        <f>Assumptions!$B$18+(Assumptions!$E$13-Assumptions!$B$18)*C4/Assumptions!$B$21</f>
        <v>-0.50866</v>
      </c>
      <c r="D6" s="63">
        <f>Assumptions!$B$18+(Assumptions!$E$13-Assumptions!$B$18)*D4/Assumptions!$B$21</f>
        <v>-0.42992</v>
      </c>
      <c r="E6" s="63">
        <f>Assumptions!$B$18+(Assumptions!$E$13-Assumptions!$B$18)*E4/Assumptions!$B$21</f>
        <v>-0.35118</v>
      </c>
      <c r="F6" s="63">
        <f>Assumptions!$B$18+(Assumptions!$E$13-Assumptions!$B$18)*F4/Assumptions!$B$21</f>
        <v>-0.27244</v>
      </c>
      <c r="G6" s="63">
        <f>Assumptions!$B$18+(Assumptions!$E$13-Assumptions!$B$18)*G4/Assumptions!$B$21</f>
        <v>-0.19369999999999998</v>
      </c>
      <c r="H6" s="63">
        <f>Assumptions!$B$18+(Assumptions!$E$13-Assumptions!$B$18)*H4/Assumptions!$B$21</f>
        <v>-0.11495999999999995</v>
      </c>
      <c r="I6" s="63">
        <f>Assumptions!$B$18+(Assumptions!$E$13-Assumptions!$B$18)*I4/Assumptions!$B$21</f>
        <v>-0.03621999999999992</v>
      </c>
      <c r="J6" s="63">
        <f>Assumptions!$B$18+(Assumptions!$E$13-Assumptions!$B$18)*J4/Assumptions!$B$21</f>
        <v>0.04252</v>
      </c>
      <c r="K6" s="63">
        <f>Assumptions!$B$18+(Assumptions!$E$13-Assumptions!$B$18)*K4/Assumptions!$B$21</f>
        <v>0.12126000000000003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Model'!L2</f>
        <v>460.156</v>
      </c>
      <c r="C7" s="55">
        <f>'Yearly Model'!M2</f>
        <v>437.7464028</v>
      </c>
      <c r="D7" s="55">
        <f>'Yearly Model'!N2</f>
        <v>420.01280963768</v>
      </c>
      <c r="E7" s="55">
        <f>'Yearly Model'!O2</f>
        <v>406.43706226839095</v>
      </c>
      <c r="F7" s="55">
        <f>'Yearly Model'!P2</f>
        <v>396.6283811656471</v>
      </c>
      <c r="G7" s="55">
        <f>'Yearly Model'!Q2</f>
        <v>390.30436197706155</v>
      </c>
      <c r="H7" s="55">
        <f>'Yearly Model'!R2</f>
        <v>387.2773348141728</v>
      </c>
      <c r="I7" s="55">
        <f>'Yearly Model'!S2</f>
        <v>387.4451549925922</v>
      </c>
      <c r="J7" s="55">
        <f>'Yearly Model'!T2</f>
        <v>390.78579321786174</v>
      </c>
      <c r="K7" s="55">
        <f>'Yearly Model'!U2</f>
        <v>397.3553366082909</v>
      </c>
      <c r="L7" s="55">
        <f>'Yearly Model'!V2</f>
        <v>407.2892200234981</v>
      </c>
    </row>
    <row r="8">
      <c r="A8" s="14" t="inlineStr">
        <is>
          <t>Operating income</t>
        </is>
      </c>
      <c r="B8" s="55">
        <f>'Yearly Model'!L8</f>
        <v>-229.43400000000003</v>
      </c>
      <c r="C8" s="55">
        <f>'Yearly Model'!M8</f>
        <v>-222.664085248248</v>
      </c>
      <c r="D8" s="55">
        <f>'Yearly Model'!N8</f>
        <v>-180.57190711943136</v>
      </c>
      <c r="E8" s="55">
        <f>'Yearly Model'!O8</f>
        <v>-142.7325675274135</v>
      </c>
      <c r="F8" s="55">
        <f>'Yearly Model'!P8</f>
        <v>-108.05743616476892</v>
      </c>
      <c r="G8" s="55">
        <f>'Yearly Model'!Q8</f>
        <v>-75.60195491495682</v>
      </c>
      <c r="H8" s="55">
        <f>'Yearly Model'!R8</f>
        <v>-44.5214024102373</v>
      </c>
      <c r="I8" s="55">
        <f>'Yearly Model'!S8</f>
        <v>-14.033263513831656</v>
      </c>
      <c r="J8" s="55">
        <f>'Yearly Model'!T8</f>
        <v>16.616211927623482</v>
      </c>
      <c r="K8" s="55">
        <f>'Yearly Model'!U8</f>
        <v>48.183308117121356</v>
      </c>
      <c r="L8" s="55">
        <f>'Yearly Model'!V8</f>
        <v>81.45784400469967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2.824756027695992</v>
      </c>
      <c r="K9" s="52">
        <f>MAX(0,K8)*Assumptions!$E$14</f>
        <v>8.191162379910631</v>
      </c>
      <c r="L9" s="52">
        <f>MAX(0,L8)*Assumptions!$E$14</f>
        <v>13.847833480798943</v>
      </c>
    </row>
    <row r="10">
      <c r="A10" s="14" t="inlineStr">
        <is>
          <t>NOPAT</t>
        </is>
      </c>
      <c r="C10" s="52">
        <f>C8-C9</f>
        <v>-222.664085248248</v>
      </c>
      <c r="D10" s="52">
        <f>D8-D9</f>
        <v>-180.57190711943136</v>
      </c>
      <c r="E10" s="52">
        <f>E8-E9</f>
        <v>-142.7325675274135</v>
      </c>
      <c r="F10" s="52">
        <f>F8-F9</f>
        <v>-108.05743616476892</v>
      </c>
      <c r="G10" s="52">
        <f>G8-G9</f>
        <v>-75.60195491495682</v>
      </c>
      <c r="H10" s="52">
        <f>H8-H9</f>
        <v>-44.5214024102373</v>
      </c>
      <c r="I10" s="52">
        <f>I8-I9</f>
        <v>-14.033263513831656</v>
      </c>
      <c r="J10" s="52">
        <f>J8-J9</f>
        <v>13.79145589992749</v>
      </c>
      <c r="K10" s="52">
        <f>K8-K9</f>
        <v>39.99214573721073</v>
      </c>
      <c r="L10" s="52">
        <f>L8-L9</f>
        <v>67.61001052390073</v>
      </c>
    </row>
    <row r="11">
      <c r="A11" s="14" t="inlineStr">
        <is>
          <t>Reinvestment</t>
        </is>
      </c>
      <c r="C11" s="52">
        <f>(C7-B7)*Assumptions!$E$15</f>
        <v>-5.602399300000002</v>
      </c>
      <c r="D11" s="52">
        <f>(D7-C7)*Assumptions!$E$15</f>
        <v>-4.433398290580001</v>
      </c>
      <c r="E11" s="52">
        <f>(E7-D7)*Assumptions!$E$15</f>
        <v>-3.393936842322262</v>
      </c>
      <c r="F11" s="52">
        <f>(F7-E7)*Assumptions!$E$15</f>
        <v>-2.4521702756859582</v>
      </c>
      <c r="G11" s="52">
        <f>(G7-F7)*Assumptions!$E$15</f>
        <v>-1.5810047971463916</v>
      </c>
      <c r="H11" s="52">
        <f>(H7-G7)*Assumptions!$E$15</f>
        <v>-0.7567567907221928</v>
      </c>
      <c r="I11" s="52">
        <f>(I7-H7)*Assumptions!$E$15</f>
        <v>0.04195504460486177</v>
      </c>
      <c r="J11" s="52">
        <f>(J7-I7)*Assumptions!$E$15</f>
        <v>0.8351595563173788</v>
      </c>
      <c r="K11" s="52">
        <f>(K7-J7)*Assumptions!$E$15</f>
        <v>1.6423858476072866</v>
      </c>
      <c r="L11" s="52">
        <f>(L7-K7)*Assumptions!$E$15</f>
        <v>2.483470853801805</v>
      </c>
    </row>
    <row r="12">
      <c r="A12" s="20" t="inlineStr">
        <is>
          <t>Free cash flow</t>
        </is>
      </c>
      <c r="C12" s="64">
        <f>C10-C11</f>
        <v>-217.061685948248</v>
      </c>
      <c r="D12" s="64">
        <f>D10-D11</f>
        <v>-176.13850882885134</v>
      </c>
      <c r="E12" s="64">
        <f>E10-E11</f>
        <v>-139.33863068509123</v>
      </c>
      <c r="F12" s="64">
        <f>F10-F11</f>
        <v>-105.60526588908296</v>
      </c>
      <c r="G12" s="64">
        <f>G10-G11</f>
        <v>-74.02095011781043</v>
      </c>
      <c r="H12" s="64">
        <f>H10-H11</f>
        <v>-43.76464561951511</v>
      </c>
      <c r="I12" s="64">
        <f>I10-I11</f>
        <v>-14.075218558436518</v>
      </c>
      <c r="J12" s="64">
        <f>J10-J11</f>
        <v>12.956296343610111</v>
      </c>
      <c r="K12" s="64">
        <f>K10-K11</f>
        <v>38.34975988960344</v>
      </c>
      <c r="L12" s="64">
        <f>L10-L11</f>
        <v>65.12653967009892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-106.58012188092823</v>
      </c>
      <c r="D16" s="64">
        <f>D12*D13*D15</f>
        <v>-158.61545900758378</v>
      </c>
      <c r="E16" s="64">
        <f>E12*E13*E15</f>
        <v>-113.04198017489519</v>
      </c>
      <c r="F16" s="64">
        <f>F12*F13*F15</f>
        <v>-77.18462771706558</v>
      </c>
      <c r="G16" s="64">
        <f>G12*G13*G15</f>
        <v>-48.73903385017681</v>
      </c>
      <c r="H16" s="64">
        <f>H12*H13*H15</f>
        <v>-25.961076564897024</v>
      </c>
      <c r="I16" s="64">
        <f>I12*I13*I15</f>
        <v>-7.521967459742254</v>
      </c>
      <c r="J16" s="64">
        <f>J12*J13*J15</f>
        <v>6.237839514594695</v>
      </c>
      <c r="K16" s="64">
        <f>K12*K13*K15</f>
        <v>16.63385819015061</v>
      </c>
      <c r="L16" s="64">
        <f>L12*L13*L15</f>
        <v>25.448686421560378</v>
      </c>
    </row>
    <row r="19">
      <c r="A19" s="14" t="inlineStr">
        <is>
          <t>PV of forecast free cash flow</t>
        </is>
      </c>
      <c r="B19" s="52">
        <f>SUM(C16:L16)</f>
        <v>-489.32388252898323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66.75470316185137</v>
      </c>
    </row>
    <row r="21">
      <c r="A21" s="14" t="inlineStr">
        <is>
          <t>Terminal value</t>
        </is>
      </c>
      <c r="B21" s="52">
        <f>B20/(Assumptions!$E$10-Assumptions!$E$11)</f>
        <v>785.3494489629574</v>
      </c>
    </row>
    <row r="22">
      <c r="A22" s="14" t="inlineStr">
        <is>
          <t>PV of terminal value</t>
        </is>
      </c>
      <c r="B22" s="52">
        <f>B21/(1+Assumptions!$E$10)^(L14+0.5)</f>
        <v>291.27876239273684</v>
      </c>
    </row>
    <row r="23">
      <c r="A23" s="20" t="inlineStr">
        <is>
          <t>Enterprise value</t>
        </is>
      </c>
      <c r="B23" s="66">
        <f>B19+B22</f>
        <v>-198.0451201362464</v>
      </c>
    </row>
    <row r="24">
      <c r="A24" s="14" t="inlineStr">
        <is>
          <t>Cash &amp; investments</t>
        </is>
      </c>
      <c r="B24" s="55">
        <f>Main!C7</f>
        <v>617.522</v>
      </c>
    </row>
    <row r="25">
      <c r="A25" s="14" t="inlineStr">
        <is>
          <t>Debt</t>
        </is>
      </c>
      <c r="B25" s="55">
        <f>Main!C8</f>
        <v>238.104</v>
      </c>
    </row>
    <row r="26">
      <c r="A26" s="20" t="inlineStr">
        <is>
          <t>Equity value</t>
        </is>
      </c>
      <c r="B26" s="66">
        <f>B23+B24-B25</f>
        <v>181.37287986375364</v>
      </c>
    </row>
    <row r="27">
      <c r="A27" s="14" t="inlineStr">
        <is>
          <t>Shares (mm)</t>
        </is>
      </c>
      <c r="B27" s="55">
        <f>Main!C4</f>
        <v>112.244539</v>
      </c>
    </row>
    <row r="28">
      <c r="A28" s="20" t="inlineStr">
        <is>
          <t>NPV / share</t>
        </is>
      </c>
      <c r="B28" s="49">
        <f>B26/B27</f>
        <v>1.6158726427105166</v>
      </c>
    </row>
    <row r="29">
      <c r="A29" s="14" t="inlineStr">
        <is>
          <t>Price</t>
        </is>
      </c>
      <c r="B29" s="50">
        <f>Main!C3</f>
        <v>25.08</v>
      </c>
    </row>
    <row r="30">
      <c r="A30" s="14" t="inlineStr">
        <is>
          <t>Upside</t>
        </is>
      </c>
      <c r="B30" s="63">
        <f>B28/B29-1</f>
        <v>-0.9355712662396126</v>
      </c>
    </row>
    <row r="31">
      <c r="A31" s="14" t="inlineStr">
        <is>
          <t>Terminal value, % of EV</t>
        </is>
      </c>
      <c r="B31" s="63">
        <f>IFERROR(B22/B23,0)</f>
        <v>-1.470769702340304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2026-10-21T01:04:19Z</dcterms:modified>
  <cp:lastModifiedBy>Wang, Eric</cp:lastModifiedBy>
</cp:coreProperties>
</file>