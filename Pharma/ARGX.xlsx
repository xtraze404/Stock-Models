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argenx SE</t>
        </is>
      </c>
      <c r="C2" s="10" t="n"/>
    </row>
    <row r="3">
      <c r="B3" t="inlineStr">
        <is>
          <t>Price</t>
        </is>
      </c>
      <c r="C3" s="11">
        <f>INDEX([1]Pharma!$F$1:$F$1000,MATCH("ARGX",[1]Pharma!$B$1:$B$1000,0))</f>
        <v>869.72</v>
      </c>
      <c r="F3" s="1" t="n"/>
    </row>
    <row r="4">
      <c r="B4" t="inlineStr">
        <is>
          <t>Shares</t>
        </is>
      </c>
      <c r="C4" s="51" t="n">
        <v>61.883306</v>
      </c>
      <c r="F4" s="1" t="n"/>
    </row>
    <row r="5">
      <c r="B5" t="inlineStr">
        <is>
          <t>Market Cap.</t>
        </is>
      </c>
      <c r="C5" s="13">
        <f>C3*C4</f>
        <v>53821.14889432</v>
      </c>
      <c r="F5" s="1" t="n"/>
    </row>
    <row r="6"/>
    <row r="7">
      <c r="B7" t="inlineStr">
        <is>
          <t>Cash</t>
        </is>
      </c>
      <c r="C7" s="51" t="n">
        <v>3491.289</v>
      </c>
    </row>
    <row r="8">
      <c r="B8" t="inlineStr">
        <is>
          <t>Debt</t>
        </is>
      </c>
      <c r="C8" s="51" t="n">
        <v>0</v>
      </c>
    </row>
    <row r="9">
      <c r="B9" t="inlineStr">
        <is>
          <t>Enterprise V.</t>
        </is>
      </c>
      <c r="C9" s="13">
        <f>C5-C7+C8</f>
        <v>50329.859894320005</v>
      </c>
    </row>
    <row r="10"/>
    <row r="11">
      <c r="B11" s="14" t="inlineStr">
        <is>
          <t>NPV / Share</t>
        </is>
      </c>
      <c r="C11" s="11">
        <f>NPV!B28</f>
        <v>725.2073168670735</v>
      </c>
    </row>
    <row r="12">
      <c r="B12" s="14" t="inlineStr">
        <is>
          <t>Upside</t>
        </is>
      </c>
      <c r="C12" s="15">
        <f>IFERROR(C11/C3-1,"")</f>
        <v>-0.16616000912124196</v>
      </c>
    </row>
    <row r="13">
      <c r="B13" s="14" t="inlineStr">
        <is>
          <t>Cash / Share</t>
        </is>
      </c>
      <c r="C13" s="11">
        <f>IFERROR((C7-C8)/C4,"")</f>
        <v>56.41729936018609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2015</v>
      </c>
      <c r="C1" s="16" t="n">
        <v>2016</v>
      </c>
      <c r="D1" s="16" t="n">
        <v>2017</v>
      </c>
      <c r="E1" s="16" t="n">
        <v>2018</v>
      </c>
      <c r="F1" s="16" t="n">
        <v>2019</v>
      </c>
      <c r="G1" s="16" t="n">
        <v>2020</v>
      </c>
      <c r="H1" s="16" t="n">
        <v>2021</v>
      </c>
      <c r="I1" s="16" t="n">
        <v>2022</v>
      </c>
      <c r="J1" s="16" t="n">
        <v>2023</v>
      </c>
      <c r="K1" s="16" t="n">
        <v>2024</v>
      </c>
      <c r="L1" s="16" t="n">
        <v>2025</v>
      </c>
      <c r="M1" s="16" t="n">
        <v>2026</v>
      </c>
      <c r="N1" s="16" t="n">
        <v>2027</v>
      </c>
      <c r="O1" s="16" t="n">
        <v>2028</v>
      </c>
      <c r="P1" s="16" t="n">
        <v>2029</v>
      </c>
      <c r="Q1" s="16" t="n">
        <v>2030</v>
      </c>
      <c r="R1" s="16" t="n">
        <v>2031</v>
      </c>
      <c r="S1" s="16" t="n">
        <v>2032</v>
      </c>
      <c r="T1" s="16" t="n">
        <v>2033</v>
      </c>
      <c r="U1" s="16" t="n">
        <v>2034</v>
      </c>
      <c r="V1" s="16" t="n">
        <v>2035</v>
      </c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11.202</v>
      </c>
      <c r="C2" s="52" t="n">
        <v>19.301</v>
      </c>
      <c r="D2" s="52" t="n">
        <v>46.425</v>
      </c>
      <c r="E2" s="52" t="n">
        <v>32.894</v>
      </c>
      <c r="F2" s="52" t="n">
        <v>94.02500000000001</v>
      </c>
      <c r="G2" s="52" t="n">
        <v>64.911</v>
      </c>
      <c r="H2" s="52" t="n">
        <v>539.418</v>
      </c>
      <c r="I2" s="52" t="n">
        <v>445.267</v>
      </c>
      <c r="J2" s="52" t="n">
        <v>1268.594</v>
      </c>
      <c r="K2" s="52" t="n">
        <v>2252.039</v>
      </c>
      <c r="L2" s="52" t="n">
        <v>4248.05</v>
      </c>
      <c r="M2" s="52">
        <f>L2*(1+NPV!C5)</f>
        <v>5734.8675</v>
      </c>
      <c r="N2" s="52">
        <f>M2*(1+NPV!D5)</f>
        <v>7534.9786875</v>
      </c>
      <c r="O2" s="52">
        <f>N2*(1+NPV!E5)</f>
        <v>9628.028322916665</v>
      </c>
      <c r="P2" s="52">
        <f>O2*(1+NPV!F5)</f>
        <v>11954.801834288193</v>
      </c>
      <c r="Q2" s="52">
        <f>P2*(1+NPV!G5)</f>
        <v>14412.177766891877</v>
      </c>
      <c r="R2" s="52">
        <f>Q2*(1+NPV!H5)</f>
        <v>16854.241221837445</v>
      </c>
      <c r="S2" s="52">
        <f>R2*(1+NPV!I5)</f>
        <v>19101.473384749104</v>
      </c>
      <c r="T2" s="52">
        <f>S2*(1+NPV!J5)</f>
        <v>20958.561074933048</v>
      </c>
      <c r="U2" s="52">
        <f>T2*(1+NPV!K5)</f>
        <v>22239.36202951229</v>
      </c>
      <c r="V2" s="52">
        <f>U2*(1+NPV!L5)</f>
        <v>22795.346080250096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 t="n">
        <v>29.431</v>
      </c>
      <c r="J3" s="52" t="n">
        <v>117.835</v>
      </c>
      <c r="K3" s="52" t="n">
        <v>227.289</v>
      </c>
      <c r="L3" s="52" t="n">
        <v>450.665</v>
      </c>
      <c r="M3" s="52">
        <f>M2*(1-Assumptions!$B$19)</f>
        <v>608.4694417499999</v>
      </c>
      <c r="N3" s="52">
        <f>N2*(1-Assumptions!$B$19)</f>
        <v>799.4612387437497</v>
      </c>
      <c r="O3" s="52">
        <f>O2*(1-Assumptions!$B$19)</f>
        <v>1021.5338050614579</v>
      </c>
      <c r="P3" s="52">
        <f>P2*(1-Assumptions!$B$19)</f>
        <v>1268.404474617977</v>
      </c>
      <c r="Q3" s="52">
        <f>Q2*(1-Assumptions!$B$19)</f>
        <v>1529.1320610672278</v>
      </c>
      <c r="R3" s="52">
        <f>R2*(1-Assumptions!$B$19)</f>
        <v>1788.2349936369524</v>
      </c>
      <c r="S3" s="52">
        <f>S2*(1-Assumptions!$B$19)</f>
        <v>2026.6663261218794</v>
      </c>
      <c r="T3" s="52">
        <f>T2*(1-Assumptions!$B$19)</f>
        <v>2223.703330050396</v>
      </c>
      <c r="U3" s="52">
        <f>U2*(1-Assumptions!$B$19)</f>
        <v>2359.596311331253</v>
      </c>
      <c r="V3" s="52">
        <f>V2*(1-Assumptions!$B$19)</f>
        <v>2418.5862191145347</v>
      </c>
    </row>
    <row r="4" customFormat="1" s="1">
      <c r="A4" s="5" t="inlineStr">
        <is>
          <t>Gross Margin</t>
        </is>
      </c>
      <c r="B4" s="52">
        <f>B2-B3</f>
        <v>11.202</v>
      </c>
      <c r="C4" s="52">
        <f>C2-C3</f>
        <v>19.301</v>
      </c>
      <c r="D4" s="52">
        <f>D2-D3</f>
        <v>46.425</v>
      </c>
      <c r="E4" s="52">
        <f>E2-E3</f>
        <v>32.894</v>
      </c>
      <c r="F4" s="52">
        <f>F2-F3</f>
        <v>94.025</v>
      </c>
      <c r="G4" s="52">
        <f>G2-G3</f>
        <v>64.911</v>
      </c>
      <c r="H4" s="52">
        <f>H2-H3</f>
        <v>539.418</v>
      </c>
      <c r="I4" s="52">
        <f>I2-I3</f>
        <v>415.836</v>
      </c>
      <c r="J4" s="52">
        <f>J2-J3</f>
        <v>1150.759</v>
      </c>
      <c r="K4" s="52">
        <f>K2-K3</f>
        <v>2024.7500000000002</v>
      </c>
      <c r="L4" s="52">
        <f>L2-L3</f>
        <v>3797.385</v>
      </c>
      <c r="M4" s="52">
        <f>M2-M3</f>
        <v>5126.398058250001</v>
      </c>
      <c r="N4" s="52">
        <f>N2-N3</f>
        <v>6735.51744875625</v>
      </c>
      <c r="O4" s="52">
        <f>O2-O3</f>
        <v>8606.494517855208</v>
      </c>
      <c r="P4" s="52">
        <f>P2-P3</f>
        <v>10686.397359670216</v>
      </c>
      <c r="Q4" s="52">
        <f>Q2-Q3</f>
        <v>12883.045705824648</v>
      </c>
      <c r="R4" s="52">
        <f>R2-R3</f>
        <v>15066.006228200493</v>
      </c>
      <c r="S4" s="52">
        <f>S2-S3</f>
        <v>17074.807058627226</v>
      </c>
      <c r="T4" s="52">
        <f>T2-T3</f>
        <v>18734.85774488265</v>
      </c>
      <c r="U4" s="52">
        <f>U2-U3</f>
        <v>19879.765718181035</v>
      </c>
      <c r="V4" s="52">
        <f>V2-V3</f>
        <v>20376.75986113556</v>
      </c>
    </row>
    <row r="5">
      <c r="A5" s="2" t="inlineStr">
        <is>
          <t>Research &amp; Dev.</t>
        </is>
      </c>
      <c r="B5" s="52" t="n">
        <v>23.221</v>
      </c>
      <c r="C5" s="52" t="n">
        <v>35.511</v>
      </c>
      <c r="D5" s="52" t="n">
        <v>58.223</v>
      </c>
      <c r="E5" s="52" t="n">
        <v>94.08499999999999</v>
      </c>
      <c r="F5" s="52" t="n">
        <v>220.771</v>
      </c>
      <c r="G5" s="52" t="n">
        <v>370.885</v>
      </c>
      <c r="H5" s="52" t="n">
        <v>580.52</v>
      </c>
      <c r="I5" s="52" t="n">
        <v>663.366</v>
      </c>
      <c r="J5" s="52" t="n">
        <v>859.492</v>
      </c>
      <c r="K5" s="52" t="n">
        <v>983.423</v>
      </c>
      <c r="L5" s="52" t="n">
        <v>1364.132</v>
      </c>
      <c r="M5" s="52">
        <f>M7*Assumptions!$B$20</f>
        <v>1855.1338180838102</v>
      </c>
      <c r="N5" s="52">
        <f>N7*Assumptions!$B$20</f>
        <v>2455.4598536328135</v>
      </c>
      <c r="O5" s="52">
        <f>O7*Assumptions!$B$20</f>
        <v>3160.557773028645</v>
      </c>
      <c r="P5" s="52">
        <f>P7*Assumptions!$B$20</f>
        <v>3952.94952598426</v>
      </c>
      <c r="Q5" s="52">
        <f>Q7*Assumptions!$B$20</f>
        <v>4799.967446200235</v>
      </c>
      <c r="R5" s="52">
        <f>R7*Assumptions!$B$20</f>
        <v>5653.602720690797</v>
      </c>
      <c r="S5" s="52">
        <f>S7*Assumptions!$B$20</f>
        <v>6453.0982016296775</v>
      </c>
      <c r="T5" s="52">
        <f>T7*Assumptions!$B$20</f>
        <v>7130.605818494997</v>
      </c>
      <c r="U5" s="52">
        <f>U7*Assumptions!$B$20</f>
        <v>7619.551208911746</v>
      </c>
      <c r="V5" s="52">
        <f>V7*Assumptions!$B$20</f>
        <v>7864.555788736531</v>
      </c>
    </row>
    <row r="6">
      <c r="A6" s="18" t="inlineStr">
        <is>
          <t>SG&amp;A &amp; Other</t>
        </is>
      </c>
      <c r="B6" s="52" t="n">
        <v>5.542</v>
      </c>
      <c r="C6" s="52" t="n">
        <v>7.889</v>
      </c>
      <c r="D6" s="52" t="n">
        <v>14.008</v>
      </c>
      <c r="E6" s="52" t="n">
        <v>30.913</v>
      </c>
      <c r="F6" s="52" t="n">
        <v>72.146</v>
      </c>
      <c r="G6" s="52" t="n">
        <v>171.643</v>
      </c>
      <c r="H6" s="52" t="n">
        <v>307.644</v>
      </c>
      <c r="I6" s="52" t="n">
        <v>472.811</v>
      </c>
      <c r="J6" s="52" t="n">
        <v>716.316</v>
      </c>
      <c r="K6" s="52" t="n">
        <v>1062.981</v>
      </c>
      <c r="L6" s="52" t="n">
        <v>1379.447</v>
      </c>
      <c r="M6" s="52">
        <f>M7-M5</f>
        <v>1876.0283260911906</v>
      </c>
      <c r="N6" s="52">
        <f>N7-N5</f>
        <v>2483.1158777284368</v>
      </c>
      <c r="O6" s="52">
        <f>O7-O5</f>
        <v>3196.1553666106256</v>
      </c>
      <c r="P6" s="52">
        <f>P7-P5</f>
        <v>3997.4718858907604</v>
      </c>
      <c r="Q6" s="52">
        <f>Q7-Q5</f>
        <v>4854.02983095229</v>
      </c>
      <c r="R6" s="52">
        <f>R7-R5</f>
        <v>5717.279662034056</v>
      </c>
      <c r="S6" s="52">
        <f>S7-S5</f>
        <v>6525.7799191057975</v>
      </c>
      <c r="T6" s="52">
        <f>T7-T5</f>
        <v>7210.918353860187</v>
      </c>
      <c r="U6" s="52">
        <f>U7-U5</f>
        <v>7705.370772004879</v>
      </c>
      <c r="V6" s="52">
        <f>V7-V5</f>
        <v>7953.134856349011</v>
      </c>
    </row>
    <row r="7">
      <c r="A7" s="2" t="inlineStr">
        <is>
          <t>Operating Expense</t>
        </is>
      </c>
      <c r="B7" s="52">
        <f>SUM(B5:B6)</f>
        <v>28.762999999999998</v>
      </c>
      <c r="C7" s="52">
        <f>SUM(C5:C6)</f>
        <v>43.400000000000006</v>
      </c>
      <c r="D7" s="52">
        <f>SUM(D5:D6)</f>
        <v>72.231</v>
      </c>
      <c r="E7" s="52">
        <f>SUM(E5:E6)</f>
        <v>124.99799999999999</v>
      </c>
      <c r="F7" s="52">
        <f>SUM(F5:F6)</f>
        <v>292.917</v>
      </c>
      <c r="G7" s="52">
        <f>SUM(G5:G6)</f>
        <v>542.528</v>
      </c>
      <c r="H7" s="52">
        <f>SUM(H5:H6)</f>
        <v>888.164</v>
      </c>
      <c r="I7" s="52">
        <f>SUM(I5:I6)</f>
        <v>1136.177</v>
      </c>
      <c r="J7" s="52">
        <f>SUM(J5:J6)</f>
        <v>1575.808</v>
      </c>
      <c r="K7" s="52">
        <f>SUM(K5:K6)</f>
        <v>2046.404</v>
      </c>
      <c r="L7" s="52">
        <f>SUM(L5:L6)</f>
        <v>2743.5789999999997</v>
      </c>
      <c r="M7" s="52">
        <f>M4-M2*NPV!C6</f>
        <v>3731.162144175001</v>
      </c>
      <c r="N7" s="52">
        <f>N4-N2*NPV!D6</f>
        <v>4938.57573136125</v>
      </c>
      <c r="O7" s="52">
        <f>O4-O2*NPV!E6</f>
        <v>6356.713139639271</v>
      </c>
      <c r="P7" s="52">
        <f>P4-P2*NPV!F6</f>
        <v>7950.421411875021</v>
      </c>
      <c r="Q7" s="52">
        <f>Q4-Q2*NPV!G6</f>
        <v>9653.997277152524</v>
      </c>
      <c r="R7" s="52">
        <f>R4-R2*NPV!H6</f>
        <v>11370.882382724853</v>
      </c>
      <c r="S7" s="52">
        <f>S4-S2*NPV!I6</f>
        <v>12978.878120735475</v>
      </c>
      <c r="T7" s="52">
        <f>T4-T2*NPV!J6</f>
        <v>14341.524172355184</v>
      </c>
      <c r="U7" s="52">
        <f>U4-U2*NPV!K6</f>
        <v>15324.921980916624</v>
      </c>
      <c r="V7" s="52">
        <f>V4-V2*NPV!L6</f>
        <v>15817.690645085542</v>
      </c>
    </row>
    <row r="8">
      <c r="A8" s="2" t="inlineStr">
        <is>
          <t>Operating Income</t>
        </is>
      </c>
      <c r="B8" s="52">
        <f>B4-B7</f>
        <v>-17.561</v>
      </c>
      <c r="C8" s="52">
        <f>C4-C7</f>
        <v>-24.099000000000007</v>
      </c>
      <c r="D8" s="52">
        <f>D4-D7</f>
        <v>-25.805999999999997</v>
      </c>
      <c r="E8" s="52">
        <f>E4-E7</f>
        <v>-92.10399999999998</v>
      </c>
      <c r="F8" s="52">
        <f>F4-F7</f>
        <v>-198.89199999999997</v>
      </c>
      <c r="G8" s="52">
        <f>G4-G7</f>
        <v>-477.617</v>
      </c>
      <c r="H8" s="52">
        <f>H4-H7</f>
        <v>-348.746</v>
      </c>
      <c r="I8" s="52">
        <f>I4-I7</f>
        <v>-720.3409999999999</v>
      </c>
      <c r="J8" s="52">
        <f>J4-J7</f>
        <v>-425.049</v>
      </c>
      <c r="K8" s="52">
        <f>K4-K7</f>
        <v>-21.65399999999977</v>
      </c>
      <c r="L8" s="52">
        <f>L4-L7</f>
        <v>1053.8060000000005</v>
      </c>
      <c r="M8" s="52">
        <f>M4-M7</f>
        <v>1395.235914075</v>
      </c>
      <c r="N8" s="52">
        <f>N4-N7</f>
        <v>1796.9417173949996</v>
      </c>
      <c r="O8" s="52">
        <f>O4-O7</f>
        <v>2249.7813782159374</v>
      </c>
      <c r="P8" s="52">
        <f>P4-P7</f>
        <v>2735.9759477951957</v>
      </c>
      <c r="Q8" s="52">
        <f>Q4-Q7</f>
        <v>3229.048428672124</v>
      </c>
      <c r="R8" s="52">
        <f>R4-R7</f>
        <v>3695.1238454756403</v>
      </c>
      <c r="S8" s="52">
        <f>S4-S7</f>
        <v>4095.928937891751</v>
      </c>
      <c r="T8" s="52">
        <f>T4-T7</f>
        <v>4393.3335725274665</v>
      </c>
      <c r="U8" s="52">
        <f>U4-U7</f>
        <v>4554.843737264411</v>
      </c>
      <c r="V8" s="52">
        <f>V4-V7</f>
        <v>4559.069216050018</v>
      </c>
    </row>
    <row r="9">
      <c r="A9" s="18" t="inlineStr">
        <is>
          <t>Interest &amp; Other</t>
        </is>
      </c>
      <c r="B9" s="52" t="n">
        <v>0.33</v>
      </c>
      <c r="C9" s="52" t="n">
        <v>0.047</v>
      </c>
      <c r="D9" s="52" t="n">
        <v>-5.117</v>
      </c>
      <c r="E9" s="52" t="n">
        <v>18.007</v>
      </c>
      <c r="F9" s="52" t="n">
        <v>20.796</v>
      </c>
      <c r="G9" s="52" t="n">
        <v>-127.735</v>
      </c>
      <c r="H9" s="52" t="n">
        <v>-50.997</v>
      </c>
      <c r="I9" s="52" t="n">
        <v>-8.973000000000001</v>
      </c>
      <c r="J9" s="52" t="n">
        <v>120.553</v>
      </c>
      <c r="K9" s="52" t="n">
        <v>106.834</v>
      </c>
      <c r="L9" s="52" t="n">
        <v>224.801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</row>
    <row r="10">
      <c r="A10" s="2" t="inlineStr">
        <is>
          <t>Pretax</t>
        </is>
      </c>
      <c r="B10" s="52">
        <f>B8+B9</f>
        <v>-17.231</v>
      </c>
      <c r="C10" s="52">
        <f>C8+C9</f>
        <v>-24.052000000000007</v>
      </c>
      <c r="D10" s="52">
        <f>D8+D9</f>
        <v>-30.923</v>
      </c>
      <c r="E10" s="52">
        <f>E8+E9</f>
        <v>-74.09699999999998</v>
      </c>
      <c r="F10" s="52">
        <f>F8+F9</f>
        <v>-178.09599999999998</v>
      </c>
      <c r="G10" s="52">
        <f>G8+G9</f>
        <v>-605.352</v>
      </c>
      <c r="H10" s="52">
        <f>H8+H9</f>
        <v>-399.743</v>
      </c>
      <c r="I10" s="52">
        <f>I8+I9</f>
        <v>-729.3139999999999</v>
      </c>
      <c r="J10" s="52">
        <f>J8+J9</f>
        <v>-304.496</v>
      </c>
      <c r="K10" s="52">
        <f>K8+K9</f>
        <v>85.18000000000023</v>
      </c>
      <c r="L10" s="52">
        <f>L8+L9</f>
        <v>1278.6070000000004</v>
      </c>
      <c r="M10" s="52">
        <f>M8+M9</f>
        <v>1395.235914075</v>
      </c>
      <c r="N10" s="52">
        <f>N8+N9</f>
        <v>1796.9417173949996</v>
      </c>
      <c r="O10" s="52">
        <f>O8+O9</f>
        <v>2249.7813782159374</v>
      </c>
      <c r="P10" s="52">
        <f>P8+P9</f>
        <v>2735.9759477951957</v>
      </c>
      <c r="Q10" s="52">
        <f>Q8+Q9</f>
        <v>3229.048428672124</v>
      </c>
      <c r="R10" s="52">
        <f>R8+R9</f>
        <v>3695.1238454756403</v>
      </c>
      <c r="S10" s="52">
        <f>S8+S9</f>
        <v>4095.928937891751</v>
      </c>
      <c r="T10" s="52">
        <f>T8+T9</f>
        <v>4393.3335725274665</v>
      </c>
      <c r="U10" s="52">
        <f>U8+U9</f>
        <v>4554.843737264411</v>
      </c>
      <c r="V10" s="52">
        <f>V8+V9</f>
        <v>4559.069216050018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0.672</v>
      </c>
      <c r="E11" s="52" t="n">
        <v>0.893</v>
      </c>
      <c r="F11" s="52" t="n">
        <v>5.289</v>
      </c>
      <c r="G11" s="52" t="n">
        <v>3.103</v>
      </c>
      <c r="H11" s="52" t="n">
        <v>8.522</v>
      </c>
      <c r="I11" s="52" t="n">
        <v>-19.72</v>
      </c>
      <c r="J11" s="52" t="n">
        <v>-9.443</v>
      </c>
      <c r="K11" s="52" t="n">
        <v>-747.86</v>
      </c>
      <c r="L11" s="52" t="n">
        <v>-13.428</v>
      </c>
      <c r="M11" s="52">
        <f>MAX(0,M10)*Assumptions!$E$14</f>
        <v>237.19010539275</v>
      </c>
      <c r="N11" s="52">
        <f>MAX(0,N10)*Assumptions!$E$14</f>
        <v>305.48009195714997</v>
      </c>
      <c r="O11" s="52">
        <f>MAX(0,O10)*Assumptions!$E$14</f>
        <v>382.4628342967094</v>
      </c>
      <c r="P11" s="52">
        <f>MAX(0,P10)*Assumptions!$E$14</f>
        <v>465.1159111251833</v>
      </c>
      <c r="Q11" s="52">
        <f>MAX(0,Q10)*Assumptions!$E$14</f>
        <v>548.9382328742611</v>
      </c>
      <c r="R11" s="52">
        <f>MAX(0,R10)*Assumptions!$E$14</f>
        <v>628.171053730859</v>
      </c>
      <c r="S11" s="52">
        <f>MAX(0,S10)*Assumptions!$E$14</f>
        <v>696.3079194415977</v>
      </c>
      <c r="T11" s="52">
        <f>MAX(0,T10)*Assumptions!$E$14</f>
        <v>746.8667073296693</v>
      </c>
      <c r="U11" s="52">
        <f>MAX(0,U10)*Assumptions!$E$14</f>
        <v>774.32343533495</v>
      </c>
      <c r="V11" s="52">
        <f>MAX(0,V10)*Assumptions!$E$14</f>
        <v>775.0417667285031</v>
      </c>
    </row>
    <row r="12">
      <c r="A12" s="2" t="inlineStr">
        <is>
          <t>Net Income</t>
        </is>
      </c>
      <c r="B12" s="52" t="n">
        <v>-17.231</v>
      </c>
      <c r="C12" s="52" t="n">
        <v>-24.052</v>
      </c>
      <c r="D12" s="52" t="n">
        <v>-31.594</v>
      </c>
      <c r="E12" s="52" t="n">
        <v>-74.991</v>
      </c>
      <c r="F12" s="52" t="n">
        <v>-183.385</v>
      </c>
      <c r="G12" s="52" t="n">
        <v>-608.455</v>
      </c>
      <c r="H12" s="52" t="n">
        <v>-408.265</v>
      </c>
      <c r="I12" s="52" t="n">
        <v>-709.5940000000001</v>
      </c>
      <c r="J12" s="52" t="n">
        <v>-295.053</v>
      </c>
      <c r="K12" s="52" t="n">
        <v>833.04</v>
      </c>
      <c r="L12" s="52" t="n">
        <v>1292.035</v>
      </c>
      <c r="M12" s="52">
        <f>M10-M11</f>
        <v>1158.04580868225</v>
      </c>
      <c r="N12" s="52">
        <f>N10-N11</f>
        <v>1491.4616254378498</v>
      </c>
      <c r="O12" s="52">
        <f>O10-O11</f>
        <v>1867.318543919228</v>
      </c>
      <c r="P12" s="52">
        <f>P10-P11</f>
        <v>2270.8600366700125</v>
      </c>
      <c r="Q12" s="52">
        <f>Q10-Q11</f>
        <v>2680.1101957978626</v>
      </c>
      <c r="R12" s="52">
        <f>R10-R11</f>
        <v>3066.9527917447813</v>
      </c>
      <c r="S12" s="52">
        <f>S10-S11</f>
        <v>3399.6210184501533</v>
      </c>
      <c r="T12" s="52">
        <f>T10-T11</f>
        <v>3646.4668651977972</v>
      </c>
      <c r="U12" s="52">
        <f>U10-U11</f>
        <v>3780.5203019294613</v>
      </c>
      <c r="V12" s="52">
        <f>V10-V11</f>
        <v>3784.027449321515</v>
      </c>
    </row>
    <row r="13">
      <c r="A13" s="2" t="inlineStr">
        <is>
          <t>Earnings per Share</t>
        </is>
      </c>
      <c r="B13" s="11">
        <f>IFERROR(B12/B14,0)</f>
        <v>-1.095144273547731</v>
      </c>
      <c r="C13" s="11">
        <f>IFERROR(C12/C14,0)</f>
        <v>-1.2779342224111363</v>
      </c>
      <c r="D13" s="11">
        <f>IFERROR(D12/D14,0)</f>
        <v>-1.2837870784234051</v>
      </c>
      <c r="E13" s="11">
        <f>IFERROR(E12/E14,0)</f>
        <v>-2.2439630150513183</v>
      </c>
      <c r="F13" s="11">
        <f>IFERROR(F12/F14,0)</f>
        <v>-4.748569357052228</v>
      </c>
      <c r="G13" s="11">
        <f>IFERROR(G12/G14,0)</f>
        <v>-13.399141158335171</v>
      </c>
      <c r="H13" s="11">
        <f>IFERROR(H12/H14,0)</f>
        <v>-7.9932845171900695</v>
      </c>
      <c r="I13" s="11">
        <f>IFERROR(I12/I14,0)</f>
        <v>-13.048564756072894</v>
      </c>
      <c r="J13" s="11">
        <f>IFERROR(J12/J14,0)</f>
        <v>-5.161066312162186</v>
      </c>
      <c r="K13" s="11">
        <f>IFERROR(K12/K14,0)</f>
        <v>12.780999723833196</v>
      </c>
      <c r="L13" s="11">
        <f>IFERROR(L12/L14,0)</f>
        <v>19.56768995441397</v>
      </c>
      <c r="M13" s="11">
        <f>IFERROR(M12/M14,0)</f>
        <v>18.713379803629916</v>
      </c>
      <c r="N13" s="11">
        <f>IFERROR(N12/N14,0)</f>
        <v>24.101195004640665</v>
      </c>
      <c r="O13" s="11">
        <f>IFERROR(O12/O14,0)</f>
        <v>30.17483493721599</v>
      </c>
      <c r="P13" s="11">
        <f>IFERROR(P12/P14,0)</f>
        <v>36.69584227885324</v>
      </c>
      <c r="Q13" s="11">
        <f>IFERROR(Q12/Q14,0)</f>
        <v>43.30909851192926</v>
      </c>
      <c r="R13" s="11">
        <f>IFERROR(R12/R14,0)</f>
        <v>49.560260916648204</v>
      </c>
      <c r="S13" s="11">
        <f>IFERROR(S12/S14,0)</f>
        <v>54.93599547590676</v>
      </c>
      <c r="T13" s="11">
        <f>IFERROR(T12/T14,0)</f>
        <v>58.924887839667086</v>
      </c>
      <c r="U13" s="11">
        <f>IFERROR(U12/U14,0)</f>
        <v>61.09111723813626</v>
      </c>
      <c r="V13" s="11">
        <f>IFERROR(V12/V14,0)</f>
        <v>61.14779080034146</v>
      </c>
    </row>
    <row r="14">
      <c r="A14" s="2" t="inlineStr">
        <is>
          <t>Shares</t>
        </is>
      </c>
      <c r="B14" s="52" t="n">
        <v>15.734</v>
      </c>
      <c r="C14" s="52" t="n">
        <v>18.821</v>
      </c>
      <c r="D14" s="52" t="n">
        <v>24.61</v>
      </c>
      <c r="E14" s="52" t="n">
        <v>33.419</v>
      </c>
      <c r="F14" s="52" t="n">
        <v>38.619</v>
      </c>
      <c r="G14" s="52" t="n">
        <v>45.41</v>
      </c>
      <c r="H14" s="52" t="n">
        <v>51.076</v>
      </c>
      <c r="I14" s="52" t="n">
        <v>54.381</v>
      </c>
      <c r="J14" s="52" t="n">
        <v>57.169</v>
      </c>
      <c r="K14" s="52" t="n">
        <v>65.178</v>
      </c>
      <c r="L14" s="52" t="n">
        <v>66.029</v>
      </c>
      <c r="M14" s="52">
        <f>Main!$C$4</f>
        <v>61.883306</v>
      </c>
      <c r="N14" s="52">
        <f>Main!$C$4</f>
        <v>61.883306</v>
      </c>
      <c r="O14" s="52">
        <f>Main!$C$4</f>
        <v>61.883306</v>
      </c>
      <c r="P14" s="52">
        <f>Main!$C$4</f>
        <v>61.883306</v>
      </c>
      <c r="Q14" s="52">
        <f>Main!$C$4</f>
        <v>61.883306</v>
      </c>
      <c r="R14" s="52">
        <f>Main!$C$4</f>
        <v>61.883306</v>
      </c>
      <c r="S14" s="52">
        <f>Main!$C$4</f>
        <v>61.883306</v>
      </c>
      <c r="T14" s="52">
        <f>Main!$C$4</f>
        <v>61.883306</v>
      </c>
      <c r="U14" s="52">
        <f>Main!$C$4</f>
        <v>61.883306</v>
      </c>
      <c r="V14" s="52">
        <f>Main!$C$4</f>
        <v>61.883306</v>
      </c>
    </row>
    <row r="15"/>
    <row r="16" customFormat="1" s="4">
      <c r="A16" s="3" t="inlineStr">
        <is>
          <t>Revenue Change</t>
        </is>
      </c>
      <c r="C16" s="15">
        <f>IFERROR(C2/B2-1,"")</f>
        <v>0.7229958935904301</v>
      </c>
      <c r="D16" s="15">
        <f>IFERROR(D2/C2-1,"")</f>
        <v>1.405315786746801</v>
      </c>
      <c r="E16" s="15">
        <f>IFERROR(E2/D2-1,"")</f>
        <v>-0.29145934302638665</v>
      </c>
      <c r="F16" s="15">
        <f>IFERROR(F2/E2-1,"")</f>
        <v>1.8584240286982432</v>
      </c>
      <c r="G16" s="15">
        <f>IFERROR(G2/F2-1,"")</f>
        <v>-0.3096410529114597</v>
      </c>
      <c r="H16" s="15">
        <f>IFERROR(H2/G2-1,"")</f>
        <v>7.310116929334011</v>
      </c>
      <c r="I16" s="15">
        <f>IFERROR(I2/H2-1,"")</f>
        <v>-0.17454182099967008</v>
      </c>
      <c r="J16" s="15">
        <f>IFERROR(J2/I2-1,"")</f>
        <v>1.8490635955505348</v>
      </c>
      <c r="K16" s="15">
        <f>IFERROR(K2/J2-1,"")</f>
        <v>0.7752243822688742</v>
      </c>
      <c r="L16" s="15">
        <f>IFERROR(L2/K2-1,"")</f>
        <v>0.8863128036415</v>
      </c>
      <c r="M16" s="15">
        <f>IFERROR(M2/L2-1,"")</f>
        <v>0.3500000000000001</v>
      </c>
      <c r="N16" s="15">
        <f>IFERROR(N2/M2-1,"")</f>
        <v>0.3138888888888889</v>
      </c>
      <c r="O16" s="15">
        <f>IFERROR(O2/N2-1,"")</f>
        <v>0.2777777777777777</v>
      </c>
      <c r="P16" s="15">
        <f>IFERROR(P2/O2-1,"")</f>
        <v>0.2416666666666667</v>
      </c>
      <c r="Q16" s="15">
        <f>IFERROR(Q2/P2-1,"")</f>
        <v>0.2055555555555555</v>
      </c>
      <c r="R16" s="15">
        <f>IFERROR(R2/Q2-1,"")</f>
        <v>0.1694444444444445</v>
      </c>
      <c r="S16" s="15">
        <f>IFERROR(S2/R2-1,"")</f>
        <v>0.1333333333333333</v>
      </c>
      <c r="T16" s="15">
        <f>IFERROR(T2/S2-1,"")</f>
        <v>0.09722222222222232</v>
      </c>
      <c r="U16" s="15">
        <f>IFERROR(U2/T2-1,"")</f>
        <v>0.061111111111111116</v>
      </c>
      <c r="V16" s="15">
        <f>IFERROR(V2/U2-1,"")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0.9339025798004343</v>
      </c>
      <c r="J17" s="15">
        <f>IFERROR(J4/J2,"")</f>
        <v>0.9071137022561986</v>
      </c>
      <c r="K17" s="15">
        <f>IFERROR(K4/K2,"")</f>
        <v>0.8990741279347294</v>
      </c>
      <c r="L17" s="15">
        <f>IFERROR(L4/L2,"")</f>
        <v>0.8939125010298843</v>
      </c>
      <c r="M17" s="15">
        <f>IFERROR(M4/M2,"")</f>
        <v>0.8939000000000001</v>
      </c>
      <c r="N17" s="15">
        <f>IFERROR(N4/N2,"")</f>
        <v>0.8939</v>
      </c>
      <c r="O17" s="15">
        <f>IFERROR(O4/O2,"")</f>
        <v>0.8939000000000001</v>
      </c>
      <c r="P17" s="15">
        <f>IFERROR(P4/P2,"")</f>
        <v>0.8939</v>
      </c>
      <c r="Q17" s="15">
        <f>IFERROR(Q4/Q2,"")</f>
        <v>0.8939</v>
      </c>
      <c r="R17" s="15">
        <f>IFERROR(R4/R2,"")</f>
        <v>0.8939</v>
      </c>
      <c r="S17" s="15">
        <f>IFERROR(S4/S2,"")</f>
        <v>0.8939000000000001</v>
      </c>
      <c r="T17" s="15">
        <f>IFERROR(T4/T2,"")</f>
        <v>0.8938999999999999</v>
      </c>
      <c r="U17" s="15">
        <f>IFERROR(U4/U2,"")</f>
        <v>0.8939</v>
      </c>
      <c r="V17" s="15">
        <f>IFERROR(V4/V2,"")</f>
        <v>0.8939</v>
      </c>
    </row>
    <row r="18">
      <c r="A18" s="14" t="inlineStr">
        <is>
          <t>Operating Margin</t>
        </is>
      </c>
      <c r="B18" s="15">
        <f>IFERROR(B8/B2,"")</f>
        <v>-1.56766648812712</v>
      </c>
      <c r="C18" s="15">
        <f>IFERROR(C8/C2,"")</f>
        <v>-1.248588156054091</v>
      </c>
      <c r="D18" s="15">
        <f>IFERROR(D8/D2,"")</f>
        <v>-0.5558642972536348</v>
      </c>
      <c r="E18" s="15">
        <f>IFERROR(E8/E2,"")</f>
        <v>-2.8000243205447797</v>
      </c>
      <c r="F18" s="15">
        <f>IFERROR(F8/F2,"")</f>
        <v>-2.115309758043073</v>
      </c>
      <c r="G18" s="15">
        <f>IFERROR(G8/G2,"")</f>
        <v>-7.358028685430821</v>
      </c>
      <c r="H18" s="15">
        <f>IFERROR(H8/H2,"")</f>
        <v>-0.6465227337612018</v>
      </c>
      <c r="I18" s="15">
        <f>IFERROR(I8/I2,"")</f>
        <v>-1.6177731563309203</v>
      </c>
      <c r="J18" s="15">
        <f>IFERROR(J8/J2,"")</f>
        <v>-0.33505518708113075</v>
      </c>
      <c r="K18" s="15">
        <f>IFERROR(K8/K2,"")</f>
        <v>-0.0096152864137787</v>
      </c>
      <c r="L18" s="15">
        <f>IFERROR(L8/L2,"")</f>
        <v>0.24806817245559737</v>
      </c>
      <c r="M18" s="15">
        <f>IFERROR(M8/M2,"")</f>
        <v>0.24328999999999998</v>
      </c>
      <c r="N18" s="15">
        <f>IFERROR(N8/N2,"")</f>
        <v>0.23847999999999994</v>
      </c>
      <c r="O18" s="15">
        <f>IFERROR(O8/O2,"")</f>
        <v>0.23367000000000002</v>
      </c>
      <c r="P18" s="15">
        <f>IFERROR(P8/P2,"")</f>
        <v>0.22885999999999998</v>
      </c>
      <c r="Q18" s="15">
        <f>IFERROR(Q8/Q2,"")</f>
        <v>0.22404999999999992</v>
      </c>
      <c r="R18" s="15">
        <f>IFERROR(R8/R2,"")</f>
        <v>0.21923999999999993</v>
      </c>
      <c r="S18" s="15">
        <f>IFERROR(S8/S2,"")</f>
        <v>0.21443000000000004</v>
      </c>
      <c r="T18" s="15">
        <f>IFERROR(T8/T2,"")</f>
        <v>0.20962000000000006</v>
      </c>
      <c r="U18" s="15">
        <f>IFERROR(U8/U2,"")</f>
        <v>0.20480999999999996</v>
      </c>
      <c r="V18" s="15">
        <f>IFERROR(V8/V2,"")</f>
        <v>0.19999999999999996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argenx SE: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0.095</v>
      </c>
      <c r="C10" s="53" t="n">
        <v>0.08500000000000001</v>
      </c>
      <c r="D10" s="53" t="n">
        <v>0.075</v>
      </c>
      <c r="E10" s="54">
        <f>IF(ISNUMBER($B$6),$B$6,CHOOSE($B$4,B10,C10,D10))</f>
        <v>0.085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0.3</v>
      </c>
      <c r="C12" s="53" t="n">
        <v>0.35</v>
      </c>
      <c r="D12" s="53" t="n">
        <v>0.4</v>
      </c>
      <c r="E12" s="54">
        <f>CHOOSE($B$4,B12,C12,D12)</f>
        <v>0.35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0.2481</v>
      </c>
    </row>
    <row r="19">
      <c r="A19" s="14" t="inlineStr">
        <is>
          <t>Gross margin (forecast)</t>
        </is>
      </c>
      <c r="B19" s="53" t="n">
        <v>0.8939</v>
      </c>
    </row>
    <row r="20">
      <c r="A20" s="14" t="inlineStr">
        <is>
          <t>R&amp;D share of operating expense (forecast)</t>
        </is>
      </c>
      <c r="B20" s="53" t="n">
        <v>0.4972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1</v>
      </c>
    </row>
    <row r="23">
      <c r="A23" s="14" t="inlineStr">
        <is>
          <t>Balance sheet date</t>
        </is>
      </c>
      <c r="B23" s="31" t="n">
        <v>46022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Model'!L2</f>
        <v>4248.05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41386.93730312407</v>
      </c>
      <c r="C29" s="56">
        <f>NPV!B26</f>
        <v>44878.226303124065</v>
      </c>
      <c r="D29" s="35">
        <f>NPV!B28</f>
        <v>725.2073168670735</v>
      </c>
      <c r="E29" s="57">
        <f>NPV!B30</f>
        <v>-0.16616000912124196</v>
      </c>
    </row>
    <row r="30">
      <c r="A30" s="58" t="n">
        <v>1</v>
      </c>
      <c r="B30" s="59">
        <f t="dataTable" ref="B30:E32" r1="B4"/>
        <v>21580.18262006389</v>
      </c>
      <c r="C30" s="59">
        <v>25071.47162006389</v>
      </c>
      <c r="D30" s="39">
        <v>405.1411154417621</v>
      </c>
      <c r="E30" s="60">
        <v>-0.534170634868967</v>
      </c>
    </row>
    <row r="31">
      <c r="A31" s="58" t="n">
        <v>2</v>
      </c>
      <c r="B31" s="59">
        <v>41386.93730312407</v>
      </c>
      <c r="C31" s="59">
        <v>44878.226303124065</v>
      </c>
      <c r="D31" s="39">
        <v>725.2073168670735</v>
      </c>
      <c r="E31" s="60">
        <v>-0.16616000912124196</v>
      </c>
    </row>
    <row r="32">
      <c r="A32" s="58" t="n">
        <v>3</v>
      </c>
      <c r="B32" s="59">
        <v>82947.19585303619</v>
      </c>
      <c r="C32" s="59">
        <v>86438.48485303619</v>
      </c>
      <c r="D32" s="39">
        <v>1396.7981098656267</v>
      </c>
      <c r="E32" s="60">
        <v>0.6060319526578974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725.2073168670735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0.065</v>
      </c>
      <c r="B37" s="39">
        <f t="dataTable" ref="B37:F41" dt2D="1" r1="B7" r2="B6"/>
        <v>920.6467085985138</v>
      </c>
      <c r="C37" s="39">
        <v>1004.5905459993154</v>
      </c>
      <c r="D37" s="39">
        <v>1109.4259180015297</v>
      </c>
      <c r="E37" s="39">
        <v>1244.1052928426018</v>
      </c>
      <c r="F37" s="39">
        <v>1423.549440702883</v>
      </c>
    </row>
    <row r="38">
      <c r="A38" s="62" t="n">
        <v>0.075</v>
      </c>
      <c r="B38" s="39">
        <v>758.8073452318497</v>
      </c>
      <c r="C38" s="39">
        <v>813.0884923513951</v>
      </c>
      <c r="D38" s="39">
        <v>878.1542410902538</v>
      </c>
      <c r="E38" s="39">
        <v>957.5986915329651</v>
      </c>
      <c r="F38" s="39">
        <v>1056.8129866483055</v>
      </c>
    </row>
    <row r="39">
      <c r="A39" s="62" t="n">
        <v>0.08500000000000001</v>
      </c>
      <c r="B39" s="39">
        <v>644.2852491181916</v>
      </c>
      <c r="C39" s="39">
        <v>681.6600174041939</v>
      </c>
      <c r="D39" s="39">
        <v>725.2073168670735</v>
      </c>
      <c r="E39" s="39">
        <v>776.6099736315663</v>
      </c>
      <c r="F39" s="39">
        <v>838.2239389204037</v>
      </c>
    </row>
    <row r="40">
      <c r="A40" s="62" t="n">
        <v>0.095</v>
      </c>
      <c r="B40" s="39">
        <v>559.2507349777363</v>
      </c>
      <c r="C40" s="39">
        <v>586.1844612500572</v>
      </c>
      <c r="D40" s="39">
        <v>616.919864274307</v>
      </c>
      <c r="E40" s="39">
        <v>652.3337824395501</v>
      </c>
      <c r="F40" s="39">
        <v>693.595329428205</v>
      </c>
    </row>
    <row r="41">
      <c r="A41" s="62" t="n">
        <v>0.105</v>
      </c>
      <c r="B41" s="39">
        <v>493.8067239000612</v>
      </c>
      <c r="C41" s="39">
        <v>513.9008839476871</v>
      </c>
      <c r="D41" s="39">
        <v>536.4686485162965</v>
      </c>
      <c r="E41" s="39">
        <v>562.0043533044603</v>
      </c>
      <c r="F41" s="39">
        <v>591.1435694391824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argenx SE: free-cash-flow DCF ($mm)</t>
        </is>
      </c>
    </row>
    <row r="3">
      <c r="A3" s="20" t="inlineStr">
        <is>
          <t>Fiscal year</t>
        </is>
      </c>
      <c r="B3" s="43">
        <f>'Yearly Model'!L1</f>
        <v>2025</v>
      </c>
      <c r="C3" s="43">
        <f>'Yearly Model'!M1</f>
        <v>2026</v>
      </c>
      <c r="D3" s="43">
        <f>'Yearly Model'!N1</f>
        <v>2027</v>
      </c>
      <c r="E3" s="43">
        <f>'Yearly Model'!O1</f>
        <v>2028</v>
      </c>
      <c r="F3" s="43">
        <f>'Yearly Model'!P1</f>
        <v>2029</v>
      </c>
      <c r="G3" s="43">
        <f>'Yearly Model'!Q1</f>
        <v>2030</v>
      </c>
      <c r="H3" s="43">
        <f>'Yearly Model'!R1</f>
        <v>2031</v>
      </c>
      <c r="I3" s="43">
        <f>'Yearly Model'!S1</f>
        <v>2032</v>
      </c>
      <c r="J3" s="43">
        <f>'Yearly Model'!T1</f>
        <v>2033</v>
      </c>
      <c r="K3" s="43">
        <f>'Yearly Model'!U1</f>
        <v>2034</v>
      </c>
      <c r="L3" s="43">
        <f>'Yearly Model'!V1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0.35</v>
      </c>
      <c r="D5" s="63">
        <f>Assumptions!$E$12+(Assumptions!$E$11-Assumptions!$E$12)*(D4-1)/(Assumptions!$B$21-1)</f>
        <v>0.3138888888888889</v>
      </c>
      <c r="E5" s="63">
        <f>Assumptions!$E$12+(Assumptions!$E$11-Assumptions!$E$12)*(E4-1)/(Assumptions!$B$21-1)</f>
        <v>0.2777777777777778</v>
      </c>
      <c r="F5" s="63">
        <f>Assumptions!$E$12+(Assumptions!$E$11-Assumptions!$E$12)*(F4-1)/(Assumptions!$B$21-1)</f>
        <v>0.24166666666666664</v>
      </c>
      <c r="G5" s="63">
        <f>Assumptions!$E$12+(Assumptions!$E$11-Assumptions!$E$12)*(G4-1)/(Assumptions!$B$21-1)</f>
        <v>0.20555555555555555</v>
      </c>
      <c r="H5" s="63">
        <f>Assumptions!$E$12+(Assumptions!$E$11-Assumptions!$E$12)*(H4-1)/(Assumptions!$B$21-1)</f>
        <v>0.16944444444444445</v>
      </c>
      <c r="I5" s="63">
        <f>Assumptions!$E$12+(Assumptions!$E$11-Assumptions!$E$12)*(I4-1)/(Assumptions!$B$21-1)</f>
        <v>0.13333333333333333</v>
      </c>
      <c r="J5" s="63">
        <f>Assumptions!$E$12+(Assumptions!$E$11-Assumptions!$E$12)*(J4-1)/(Assumptions!$B$21-1)</f>
        <v>0.09722222222222227</v>
      </c>
      <c r="K5" s="63">
        <f>Assumptions!$E$12+(Assumptions!$E$11-Assumptions!$E$12)*(K4-1)/(Assumptions!$B$21-1)</f>
        <v>0.061111111111111116</v>
      </c>
      <c r="L5" s="63">
        <f>Assumptions!$E$12+(Assumptions!$E$11-Assumptions!$E$12)*(L4-1)/(Assumptions!$B$21-1)</f>
        <v>0.025000000000000022</v>
      </c>
    </row>
    <row r="6">
      <c r="A6" s="14" t="inlineStr">
        <is>
          <t>Operating margin</t>
        </is>
      </c>
      <c r="B6" s="63">
        <f>IFERROR(B8/B7,0)</f>
        <v>0.24806817245559737</v>
      </c>
      <c r="C6" s="63">
        <f>Assumptions!$B$18+(Assumptions!$E$13-Assumptions!$B$18)*C4/Assumptions!$B$21</f>
        <v>0.24328999999999998</v>
      </c>
      <c r="D6" s="63">
        <f>Assumptions!$B$18+(Assumptions!$E$13-Assumptions!$B$18)*D4/Assumptions!$B$21</f>
        <v>0.23848</v>
      </c>
      <c r="E6" s="63">
        <f>Assumptions!$B$18+(Assumptions!$E$13-Assumptions!$B$18)*E4/Assumptions!$B$21</f>
        <v>0.23367</v>
      </c>
      <c r="F6" s="63">
        <f>Assumptions!$B$18+(Assumptions!$E$13-Assumptions!$B$18)*F4/Assumptions!$B$21</f>
        <v>0.22886</v>
      </c>
      <c r="G6" s="63">
        <f>Assumptions!$B$18+(Assumptions!$E$13-Assumptions!$B$18)*G4/Assumptions!$B$21</f>
        <v>0.22405</v>
      </c>
      <c r="H6" s="63">
        <f>Assumptions!$B$18+(Assumptions!$E$13-Assumptions!$B$18)*H4/Assumptions!$B$21</f>
        <v>0.21924</v>
      </c>
      <c r="I6" s="63">
        <f>Assumptions!$B$18+(Assumptions!$E$13-Assumptions!$B$18)*I4/Assumptions!$B$21</f>
        <v>0.21443</v>
      </c>
      <c r="J6" s="63">
        <f>Assumptions!$B$18+(Assumptions!$E$13-Assumptions!$B$18)*J4/Assumptions!$B$21</f>
        <v>0.20962</v>
      </c>
      <c r="K6" s="63">
        <f>Assumptions!$B$18+(Assumptions!$E$13-Assumptions!$B$18)*K4/Assumptions!$B$21</f>
        <v>0.20481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Model'!L2</f>
        <v>4248.05</v>
      </c>
      <c r="C7" s="55">
        <f>'Yearly Model'!M2</f>
        <v>5734.8675</v>
      </c>
      <c r="D7" s="55">
        <f>'Yearly Model'!N2</f>
        <v>7534.9786875</v>
      </c>
      <c r="E7" s="55">
        <f>'Yearly Model'!O2</f>
        <v>9628.028322916665</v>
      </c>
      <c r="F7" s="55">
        <f>'Yearly Model'!P2</f>
        <v>11954.801834288193</v>
      </c>
      <c r="G7" s="55">
        <f>'Yearly Model'!Q2</f>
        <v>14412.177766891877</v>
      </c>
      <c r="H7" s="55">
        <f>'Yearly Model'!R2</f>
        <v>16854.241221837445</v>
      </c>
      <c r="I7" s="55">
        <f>'Yearly Model'!S2</f>
        <v>19101.473384749104</v>
      </c>
      <c r="J7" s="55">
        <f>'Yearly Model'!T2</f>
        <v>20958.561074933048</v>
      </c>
      <c r="K7" s="55">
        <f>'Yearly Model'!U2</f>
        <v>22239.36202951229</v>
      </c>
      <c r="L7" s="55">
        <f>'Yearly Model'!V2</f>
        <v>22795.346080250096</v>
      </c>
    </row>
    <row r="8">
      <c r="A8" s="14" t="inlineStr">
        <is>
          <t>Operating income</t>
        </is>
      </c>
      <c r="B8" s="55">
        <f>'Yearly Model'!L8</f>
        <v>1053.8060000000005</v>
      </c>
      <c r="C8" s="55">
        <f>'Yearly Model'!M8</f>
        <v>1395.235914075</v>
      </c>
      <c r="D8" s="55">
        <f>'Yearly Model'!N8</f>
        <v>1796.9417173949996</v>
      </c>
      <c r="E8" s="55">
        <f>'Yearly Model'!O8</f>
        <v>2249.7813782159374</v>
      </c>
      <c r="F8" s="55">
        <f>'Yearly Model'!P8</f>
        <v>2735.9759477951957</v>
      </c>
      <c r="G8" s="55">
        <f>'Yearly Model'!Q8</f>
        <v>3229.048428672124</v>
      </c>
      <c r="H8" s="55">
        <f>'Yearly Model'!R8</f>
        <v>3695.1238454756403</v>
      </c>
      <c r="I8" s="55">
        <f>'Yearly Model'!S8</f>
        <v>4095.928937891751</v>
      </c>
      <c r="J8" s="55">
        <f>'Yearly Model'!T8</f>
        <v>4393.3335725274665</v>
      </c>
      <c r="K8" s="55">
        <f>'Yearly Model'!U8</f>
        <v>4554.843737264411</v>
      </c>
      <c r="L8" s="55">
        <f>'Yearly Model'!V8</f>
        <v>4559.069216050018</v>
      </c>
    </row>
    <row r="9">
      <c r="A9" s="14" t="inlineStr">
        <is>
          <t>Tax on operating income</t>
        </is>
      </c>
      <c r="C9" s="52">
        <f>MAX(0,C8)*Assumptions!$E$14</f>
        <v>237.19010539275</v>
      </c>
      <c r="D9" s="52">
        <f>MAX(0,D8)*Assumptions!$E$14</f>
        <v>305.48009195714997</v>
      </c>
      <c r="E9" s="52">
        <f>MAX(0,E8)*Assumptions!$E$14</f>
        <v>382.4628342967094</v>
      </c>
      <c r="F9" s="52">
        <f>MAX(0,F8)*Assumptions!$E$14</f>
        <v>465.1159111251833</v>
      </c>
      <c r="G9" s="52">
        <f>MAX(0,G8)*Assumptions!$E$14</f>
        <v>548.9382328742611</v>
      </c>
      <c r="H9" s="52">
        <f>MAX(0,H8)*Assumptions!$E$14</f>
        <v>628.171053730859</v>
      </c>
      <c r="I9" s="52">
        <f>MAX(0,I8)*Assumptions!$E$14</f>
        <v>696.3079194415977</v>
      </c>
      <c r="J9" s="52">
        <f>MAX(0,J8)*Assumptions!$E$14</f>
        <v>746.8667073296693</v>
      </c>
      <c r="K9" s="52">
        <f>MAX(0,K8)*Assumptions!$E$14</f>
        <v>774.32343533495</v>
      </c>
      <c r="L9" s="52">
        <f>MAX(0,L8)*Assumptions!$E$14</f>
        <v>775.0417667285031</v>
      </c>
    </row>
    <row r="10">
      <c r="A10" s="14" t="inlineStr">
        <is>
          <t>NOPAT</t>
        </is>
      </c>
      <c r="C10" s="52">
        <f>C8-C9</f>
        <v>1158.04580868225</v>
      </c>
      <c r="D10" s="52">
        <f>D8-D9</f>
        <v>1491.4616254378498</v>
      </c>
      <c r="E10" s="52">
        <f>E8-E9</f>
        <v>1867.318543919228</v>
      </c>
      <c r="F10" s="52">
        <f>F8-F9</f>
        <v>2270.8600366700125</v>
      </c>
      <c r="G10" s="52">
        <f>G8-G9</f>
        <v>2680.1101957978626</v>
      </c>
      <c r="H10" s="52">
        <f>H8-H9</f>
        <v>3066.9527917447813</v>
      </c>
      <c r="I10" s="52">
        <f>I8-I9</f>
        <v>3399.6210184501533</v>
      </c>
      <c r="J10" s="52">
        <f>J8-J9</f>
        <v>3646.4668651977972</v>
      </c>
      <c r="K10" s="52">
        <f>K8-K9</f>
        <v>3780.5203019294613</v>
      </c>
      <c r="L10" s="52">
        <f>L8-L9</f>
        <v>3784.027449321515</v>
      </c>
    </row>
    <row r="11">
      <c r="A11" s="14" t="inlineStr">
        <is>
          <t>Reinvestment</t>
        </is>
      </c>
      <c r="C11" s="52">
        <f>(C7-B7)*Assumptions!$E$15</f>
        <v>371.704375</v>
      </c>
      <c r="D11" s="52">
        <f>(D7-C7)*Assumptions!$E$15</f>
        <v>450.0277968749999</v>
      </c>
      <c r="E11" s="52">
        <f>(E7-D7)*Assumptions!$E$15</f>
        <v>523.2624088541663</v>
      </c>
      <c r="F11" s="52">
        <f>(F7-E7)*Assumptions!$E$15</f>
        <v>581.693377842882</v>
      </c>
      <c r="G11" s="52">
        <f>(G7-F7)*Assumptions!$E$15</f>
        <v>614.3439831509208</v>
      </c>
      <c r="H11" s="52">
        <f>(H7-G7)*Assumptions!$E$15</f>
        <v>610.515863736392</v>
      </c>
      <c r="I11" s="52">
        <f>(I7-H7)*Assumptions!$E$15</f>
        <v>561.8080407279149</v>
      </c>
      <c r="J11" s="52">
        <f>(J7-I7)*Assumptions!$E$15</f>
        <v>464.27192254598594</v>
      </c>
      <c r="K11" s="52">
        <f>(K7-J7)*Assumptions!$E$15</f>
        <v>320.20023864481027</v>
      </c>
      <c r="L11" s="52">
        <f>(L7-K7)*Assumptions!$E$15</f>
        <v>138.99601268445167</v>
      </c>
    </row>
    <row r="12">
      <c r="A12" s="20" t="inlineStr">
        <is>
          <t>Free cash flow</t>
        </is>
      </c>
      <c r="C12" s="64">
        <f>C10-C11</f>
        <v>786.34143368225</v>
      </c>
      <c r="D12" s="64">
        <f>D10-D11</f>
        <v>1041.4338285628498</v>
      </c>
      <c r="E12" s="64">
        <f>E10-E11</f>
        <v>1344.0561350650617</v>
      </c>
      <c r="F12" s="64">
        <f>F10-F11</f>
        <v>1689.1666588271305</v>
      </c>
      <c r="G12" s="64">
        <f>G10-G11</f>
        <v>2065.7662126469418</v>
      </c>
      <c r="H12" s="64">
        <f>H10-H11</f>
        <v>2456.4369280083893</v>
      </c>
      <c r="I12" s="64">
        <f>I10-I11</f>
        <v>2837.8129777222384</v>
      </c>
      <c r="J12" s="64">
        <f>J10-J11</f>
        <v>3182.1949426518113</v>
      </c>
      <c r="K12" s="64">
        <f>K10-K11</f>
        <v>3460.320063284651</v>
      </c>
      <c r="L12" s="64">
        <f>L10-L11</f>
        <v>3645.0314366370635</v>
      </c>
    </row>
    <row r="13">
      <c r="A13" s="14" t="inlineStr">
        <is>
          <t>Year fraction</t>
        </is>
      </c>
      <c r="C13" s="46">
        <f>Assumptions!$B$22</f>
        <v>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0.5</v>
      </c>
      <c r="D14" s="11">
        <f>C14+C13/2+D13/2</f>
        <v>1.5</v>
      </c>
      <c r="E14" s="11">
        <f>D14+D13/2+E13/2</f>
        <v>2.5</v>
      </c>
      <c r="F14" s="11">
        <f>E14+E13/2+F13/2</f>
        <v>3.5</v>
      </c>
      <c r="G14" s="11">
        <f>F14+F13/2+G13/2</f>
        <v>4.5</v>
      </c>
      <c r="H14" s="11">
        <f>G14+G13/2+H13/2</f>
        <v>5.5</v>
      </c>
      <c r="I14" s="11">
        <f>H14+H13/2+I13/2</f>
        <v>6.5</v>
      </c>
      <c r="J14" s="11">
        <f>I14+I13/2+J13/2</f>
        <v>7.5</v>
      </c>
      <c r="K14" s="11">
        <f>J14+J13/2+K13/2</f>
        <v>8.5</v>
      </c>
      <c r="L14" s="11">
        <f>K14+K13/2+L13/2</f>
        <v>9.5</v>
      </c>
    </row>
    <row r="15">
      <c r="A15" s="14" t="inlineStr">
        <is>
          <t>Discount factor</t>
        </is>
      </c>
      <c r="C15" s="65">
        <f>1/(1+Assumptions!$E$10)^C14</f>
        <v>0.9600307214746386</v>
      </c>
      <c r="D15" s="65">
        <f>1/(1+Assumptions!$E$10)^D14</f>
        <v>0.88482094145128</v>
      </c>
      <c r="E15" s="65">
        <f>1/(1+Assumptions!$E$10)^E14</f>
        <v>0.8155031718444976</v>
      </c>
      <c r="F15" s="65">
        <f>1/(1+Assumptions!$E$10)^F14</f>
        <v>0.7516158265847905</v>
      </c>
      <c r="G15" s="65">
        <f>1/(1+Assumptions!$E$10)^G14</f>
        <v>0.6927334807233092</v>
      </c>
      <c r="H15" s="65">
        <f>1/(1+Assumptions!$E$10)^H14</f>
        <v>0.638464037533004</v>
      </c>
      <c r="I15" s="65">
        <f>1/(1+Assumptions!$E$10)^I14</f>
        <v>0.5884461175419391</v>
      </c>
      <c r="J15" s="65">
        <f>1/(1+Assumptions!$E$10)^J14</f>
        <v>0.5423466521123863</v>
      </c>
      <c r="K15" s="65">
        <f>1/(1+Assumptions!$E$10)^K14</f>
        <v>0.49985866554136993</v>
      </c>
      <c r="L15" s="65">
        <f>1/(1+Assumptions!$E$10)^L14</f>
        <v>0.460699230913705</v>
      </c>
    </row>
    <row r="16">
      <c r="A16" s="20" t="inlineStr">
        <is>
          <t>PV of free cash flow</t>
        </is>
      </c>
      <c r="C16" s="64">
        <f>C12*C13*C15</f>
        <v>754.9119339033722</v>
      </c>
      <c r="D16" s="64">
        <f>D12*D13*D15</f>
        <v>921.4824606481917</v>
      </c>
      <c r="E16" s="64">
        <f>E12*E13*E15</f>
        <v>1096.0820412826142</v>
      </c>
      <c r="F16" s="64">
        <f>F12*F13*F15</f>
        <v>1269.6043945138226</v>
      </c>
      <c r="G16" s="64">
        <f>G12*G13*G15</f>
        <v>1431.0254188475237</v>
      </c>
      <c r="H16" s="64">
        <f>H12*H13*H15</f>
        <v>1568.3466390014053</v>
      </c>
      <c r="I16" s="64">
        <f>I12*I13*I15</f>
        <v>1669.9000290507804</v>
      </c>
      <c r="J16" s="64">
        <f>J12*J13*J15</f>
        <v>1725.852773516177</v>
      </c>
      <c r="K16" s="64">
        <f>K12*K13*K15</f>
        <v>1729.6709691794945</v>
      </c>
      <c r="L16" s="64">
        <f>L12*L13*L15</f>
        <v>1679.2631795149725</v>
      </c>
    </row>
    <row r="19">
      <c r="A19" s="14" t="inlineStr">
        <is>
          <t>PV of forecast free cash flow</t>
        </is>
      </c>
      <c r="B19" s="52">
        <f>SUM(C16:L16)</f>
        <v>13846.139839458354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3736.1572225529894</v>
      </c>
    </row>
    <row r="21">
      <c r="A21" s="14" t="inlineStr">
        <is>
          <t>Terminal value</t>
        </is>
      </c>
      <c r="B21" s="52">
        <f>B20/(Assumptions!$E$10-Assumptions!$E$11)</f>
        <v>62269.28704254982</v>
      </c>
    </row>
    <row r="22">
      <c r="A22" s="14" t="inlineStr">
        <is>
          <t>PV of terminal value</t>
        </is>
      </c>
      <c r="B22" s="52">
        <f>B21/(1+Assumptions!$E$10)^(L14+0.5)</f>
        <v>27540.797463665716</v>
      </c>
    </row>
    <row r="23">
      <c r="A23" s="20" t="inlineStr">
        <is>
          <t>Enterprise value</t>
        </is>
      </c>
      <c r="B23" s="66">
        <f>B19+B22</f>
        <v>41386.93730312407</v>
      </c>
    </row>
    <row r="24">
      <c r="A24" s="14" t="inlineStr">
        <is>
          <t>Cash &amp; investments</t>
        </is>
      </c>
      <c r="B24" s="55">
        <f>Main!C7</f>
        <v>3491.289</v>
      </c>
    </row>
    <row r="25">
      <c r="A25" s="14" t="inlineStr">
        <is>
          <t>Debt</t>
        </is>
      </c>
      <c r="B25" s="55">
        <f>Main!C8</f>
        <v>0</v>
      </c>
    </row>
    <row r="26">
      <c r="A26" s="20" t="inlineStr">
        <is>
          <t>Equity value</t>
        </is>
      </c>
      <c r="B26" s="66">
        <f>B23+B24-B25</f>
        <v>44878.226303124065</v>
      </c>
    </row>
    <row r="27">
      <c r="A27" s="14" t="inlineStr">
        <is>
          <t>Shares (mm)</t>
        </is>
      </c>
      <c r="B27" s="55">
        <f>Main!C4</f>
        <v>61.883306</v>
      </c>
    </row>
    <row r="28">
      <c r="A28" s="20" t="inlineStr">
        <is>
          <t>NPV / share</t>
        </is>
      </c>
      <c r="B28" s="49">
        <f>B26/B27</f>
        <v>725.2073168670735</v>
      </c>
    </row>
    <row r="29">
      <c r="A29" s="14" t="inlineStr">
        <is>
          <t>Price</t>
        </is>
      </c>
      <c r="B29" s="50">
        <f>Main!C3</f>
        <v>869.72</v>
      </c>
    </row>
    <row r="30">
      <c r="A30" s="14" t="inlineStr">
        <is>
          <t>Upside</t>
        </is>
      </c>
      <c r="B30" s="63">
        <f>B28/B29-1</f>
        <v>-0.16616000912124196</v>
      </c>
    </row>
    <row r="31">
      <c r="A31" s="14" t="inlineStr">
        <is>
          <t>Terminal value, % of EV</t>
        </is>
      </c>
      <c r="B31" s="63">
        <f>IFERROR(B22/B23,0)</f>
        <v>0.6654466181431312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2026-10-21T06:21:05Z</dcterms:modified>
  <cp:lastModifiedBy>Wang, Eric</cp:lastModifiedBy>
</cp:coreProperties>
</file>