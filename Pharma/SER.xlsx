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Serina Therapeutics, Inc.</t>
        </is>
      </c>
      <c r="C2" s="10" t="n"/>
    </row>
    <row r="3">
      <c r="B3" t="inlineStr">
        <is>
          <t>Price</t>
        </is>
      </c>
      <c r="C3" s="11">
        <f>INDEX([1]Pharma!$F$1:$F$1000,MATCH("SER",[1]Pharma!$B$1:$B$1000,0))</f>
        <v>1.66</v>
      </c>
      <c r="F3" s="1" t="n"/>
    </row>
    <row r="4">
      <c r="B4" t="inlineStr">
        <is>
          <t>Shares</t>
        </is>
      </c>
      <c r="C4" s="21" t="n">
        <v>25.400473</v>
      </c>
      <c r="F4" s="1" t="n"/>
    </row>
    <row r="5">
      <c r="B5" t="inlineStr">
        <is>
          <t>Market Cap.</t>
        </is>
      </c>
      <c r="C5" s="13">
        <f>C3*C4</f>
        <v>42.16478518</v>
      </c>
      <c r="F5" s="1" t="n"/>
    </row>
    <row r="6"/>
    <row r="7">
      <c r="B7" t="inlineStr">
        <is>
          <t>Cash</t>
        </is>
      </c>
      <c r="C7" s="21" t="n">
        <v>23.024</v>
      </c>
    </row>
    <row r="8">
      <c r="B8" t="inlineStr">
        <is>
          <t>Debt</t>
        </is>
      </c>
      <c r="C8" s="21" t="n">
        <v>3.087</v>
      </c>
    </row>
    <row r="9">
      <c r="B9" t="inlineStr">
        <is>
          <t>Enterprise V.</t>
        </is>
      </c>
      <c r="C9" s="13">
        <f>C5-C7+C8</f>
        <v>22.22778518</v>
      </c>
    </row>
    <row r="10"/>
    <row r="11">
      <c r="B11" s="14" t="inlineStr">
        <is>
          <t>Net Cash / Share</t>
        </is>
      </c>
      <c r="C11" s="11">
        <f>(C7-C8)/C4</f>
        <v>0.7849066432739265</v>
      </c>
    </row>
    <row r="12">
      <c r="B12" s="14" t="inlineStr">
        <is>
          <t>Upside</t>
        </is>
      </c>
      <c r="C12" s="15">
        <f>IFERROR(C11/C3-1,"")</f>
        <v>-0.5271646727265503</v>
      </c>
    </row>
    <row r="13">
      <c r="B13" s="14" t="inlineStr">
        <is>
          <t>Cash / Share</t>
        </is>
      </c>
      <c r="C13" s="11">
        <f>IFERROR((C7-C8)/C4,"")</f>
        <v>0.7849066432739265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-21.135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0.9433167731251478</v>
      </c>
    </row>
    <row r="19">
      <c r="B19" s="14" t="inlineStr">
        <is>
          <t>Implied Pipeline Value</t>
        </is>
      </c>
      <c r="C19" s="13">
        <f>C9</f>
        <v>22.22778518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2017</v>
      </c>
      <c r="C1" s="17" t="n">
        <v>2018</v>
      </c>
      <c r="D1" s="17" t="n">
        <v>2019</v>
      </c>
      <c r="E1" s="17" t="n">
        <v>2020</v>
      </c>
      <c r="F1" s="17" t="n">
        <v>2021</v>
      </c>
      <c r="G1" s="17" t="n">
        <v>2022</v>
      </c>
      <c r="H1" s="17" t="n">
        <v>2023</v>
      </c>
      <c r="I1" s="17" t="n">
        <v>2024</v>
      </c>
      <c r="J1" s="17" t="n">
        <v>2025</v>
      </c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1.404</v>
      </c>
      <c r="C2" s="23" t="n">
        <v>1.396</v>
      </c>
      <c r="D2" s="23" t="n">
        <v>1.728</v>
      </c>
      <c r="E2" s="23" t="n">
        <v>0.361</v>
      </c>
      <c r="F2" s="23" t="n">
        <v>0.144</v>
      </c>
      <c r="G2" s="23" t="n">
        <v>0.034</v>
      </c>
      <c r="H2" s="23" t="n">
        <v>3.153</v>
      </c>
      <c r="I2" s="23" t="n">
        <v>0.056</v>
      </c>
      <c r="J2" s="23" t="n">
        <v>0.13</v>
      </c>
      <c r="K2" s="1" t="n"/>
    </row>
    <row r="3" customFormat="1" s="1">
      <c r="A3" s="5" t="inlineStr">
        <is>
          <t>Cost of Sales</t>
        </is>
      </c>
      <c r="B3" s="23" t="n">
        <v>0.168</v>
      </c>
      <c r="C3" s="23" t="n">
        <v>0.364</v>
      </c>
      <c r="D3" s="23" t="n">
        <v>0.244</v>
      </c>
      <c r="E3" s="23" t="n">
        <v>0.026</v>
      </c>
      <c r="F3" s="23" t="n">
        <v>0.019</v>
      </c>
      <c r="G3" s="23" t="n">
        <v>0.013</v>
      </c>
      <c r="H3" s="23" t="n">
        <v>0.04</v>
      </c>
      <c r="I3" s="23" t="n">
        <v>0</v>
      </c>
      <c r="J3" s="23" t="n">
        <v>0</v>
      </c>
      <c r="K3" s="1" t="n"/>
    </row>
    <row r="4" customFormat="1" s="1">
      <c r="A4" s="5" t="inlineStr">
        <is>
          <t>Gross Margin</t>
        </is>
      </c>
      <c r="B4" s="23">
        <f>B2-B3</f>
        <v>1.236</v>
      </c>
      <c r="C4" s="23">
        <f>C2-C3</f>
        <v>1.032</v>
      </c>
      <c r="D4" s="23">
        <f>D2-D3</f>
        <v>1.484</v>
      </c>
      <c r="E4" s="23">
        <f>E2-E3</f>
        <v>0.33499999999999996</v>
      </c>
      <c r="F4" s="23">
        <f>F2-F3</f>
        <v>0.12499999999999999</v>
      </c>
      <c r="G4" s="23">
        <f>G2-G3</f>
        <v>0.021000000000000005</v>
      </c>
      <c r="H4" s="23">
        <f>H2-H3</f>
        <v>3.113</v>
      </c>
      <c r="I4" s="23">
        <f>I2-I3</f>
        <v>0.056</v>
      </c>
      <c r="J4" s="23">
        <f>J2-J3</f>
        <v>0.13</v>
      </c>
      <c r="K4" s="1" t="n"/>
    </row>
    <row r="5">
      <c r="A5" s="2" t="inlineStr">
        <is>
          <t>Research &amp; Dev.</t>
        </is>
      </c>
      <c r="B5" s="23" t="n">
        <v>5.784</v>
      </c>
      <c r="C5" s="23" t="n">
        <v>5.83</v>
      </c>
      <c r="D5" s="23" t="n">
        <v>5.904</v>
      </c>
      <c r="E5" s="23" t="n">
        <v>3.714</v>
      </c>
      <c r="F5" s="23" t="n">
        <v>1.456</v>
      </c>
      <c r="G5" s="23" t="n">
        <v>1.025</v>
      </c>
      <c r="H5" s="23" t="n">
        <v>2.388</v>
      </c>
      <c r="I5" s="23" t="n">
        <v>7.48</v>
      </c>
      <c r="J5" s="23" t="n">
        <v>13.155</v>
      </c>
      <c r="K5" s="1" t="n"/>
    </row>
    <row r="6">
      <c r="A6" s="19" t="inlineStr">
        <is>
          <t>SG&amp;A &amp; Other</t>
        </is>
      </c>
      <c r="B6" s="23" t="n">
        <v>2.115</v>
      </c>
      <c r="C6" s="23" t="n">
        <v>6.447</v>
      </c>
      <c r="D6" s="23" t="n">
        <v>8.138999999999999</v>
      </c>
      <c r="E6" s="23" t="n">
        <v>6.721</v>
      </c>
      <c r="F6" s="23" t="n">
        <v>6.602</v>
      </c>
      <c r="G6" s="23" t="n">
        <v>5.971</v>
      </c>
      <c r="H6" s="23" t="n">
        <v>3.854</v>
      </c>
      <c r="I6" s="23" t="n">
        <v>9.624000000000001</v>
      </c>
      <c r="J6" s="23" t="n">
        <v>10.997</v>
      </c>
      <c r="K6" s="1" t="n"/>
    </row>
    <row r="7">
      <c r="A7" s="2" t="inlineStr">
        <is>
          <t>Operating Expense</t>
        </is>
      </c>
      <c r="B7" s="23">
        <f>SUM(B5:B6)</f>
        <v>7.899</v>
      </c>
      <c r="C7" s="23">
        <f>SUM(C5:C6)</f>
        <v>12.277000000000001</v>
      </c>
      <c r="D7" s="23">
        <f>SUM(D5:D6)</f>
        <v>14.043</v>
      </c>
      <c r="E7" s="23">
        <f>SUM(E5:E6)</f>
        <v>10.435</v>
      </c>
      <c r="F7" s="23">
        <f>SUM(F5:F6)</f>
        <v>8.058</v>
      </c>
      <c r="G7" s="23">
        <f>SUM(G5:G6)</f>
        <v>6.996</v>
      </c>
      <c r="H7" s="23">
        <f>SUM(H5:H6)</f>
        <v>6.242</v>
      </c>
      <c r="I7" s="23">
        <f>SUM(I5:I6)</f>
        <v>17.104</v>
      </c>
      <c r="J7" s="23">
        <f>SUM(J5:J6)</f>
        <v>24.152</v>
      </c>
      <c r="K7" s="1" t="n"/>
    </row>
    <row r="8">
      <c r="A8" s="2" t="inlineStr">
        <is>
          <t>Operating Income</t>
        </is>
      </c>
      <c r="B8" s="23">
        <f>B4-B7</f>
        <v>-6.663</v>
      </c>
      <c r="C8" s="23">
        <f>C4-C7</f>
        <v>-11.245000000000001</v>
      </c>
      <c r="D8" s="23">
        <f>D4-D7</f>
        <v>-12.559</v>
      </c>
      <c r="E8" s="23">
        <f>E4-E7</f>
        <v>-10.100000000000001</v>
      </c>
      <c r="F8" s="23">
        <f>F4-F7</f>
        <v>-7.933</v>
      </c>
      <c r="G8" s="23">
        <f>G4-G7</f>
        <v>-6.9750000000000005</v>
      </c>
      <c r="H8" s="23">
        <f>H4-H7</f>
        <v>-3.129</v>
      </c>
      <c r="I8" s="23">
        <f>I4-I7</f>
        <v>-17.048</v>
      </c>
      <c r="J8" s="23">
        <f>J4-J7</f>
        <v>-24.022000000000002</v>
      </c>
      <c r="K8" s="1" t="n"/>
    </row>
    <row r="9">
      <c r="A9" s="19" t="inlineStr">
        <is>
          <t>Interest &amp; Other</t>
        </is>
      </c>
      <c r="B9" s="23" t="n">
        <v>0.083</v>
      </c>
      <c r="C9" s="23" t="n">
        <v>3.743</v>
      </c>
      <c r="D9" s="23" t="n">
        <v>0.553</v>
      </c>
      <c r="E9" s="23" t="n">
        <v>-0.915</v>
      </c>
      <c r="F9" s="23" t="n">
        <v>-0.742</v>
      </c>
      <c r="G9" s="23" t="n">
        <v>-3.487</v>
      </c>
      <c r="H9" s="23" t="n">
        <v>8.398</v>
      </c>
      <c r="I9" s="23" t="n">
        <v>5.907</v>
      </c>
      <c r="J9" s="23" t="n">
        <v>4.858</v>
      </c>
    </row>
    <row r="10">
      <c r="A10" s="2" t="inlineStr">
        <is>
          <t>Pretax</t>
        </is>
      </c>
      <c r="B10" s="23">
        <f>B8+B9</f>
        <v>-6.58</v>
      </c>
      <c r="C10" s="23">
        <f>C8+C9</f>
        <v>-7.502000000000001</v>
      </c>
      <c r="D10" s="23">
        <f>D8+D9</f>
        <v>-12.005999999999998</v>
      </c>
      <c r="E10" s="23">
        <f>E8+E9</f>
        <v>-11.015</v>
      </c>
      <c r="F10" s="23">
        <f>F8+F9</f>
        <v>-8.675</v>
      </c>
      <c r="G10" s="23">
        <f>G8+G9</f>
        <v>-10.462</v>
      </c>
      <c r="H10" s="23">
        <f>H8+H9</f>
        <v>5.269</v>
      </c>
      <c r="I10" s="23">
        <f>I8+I9</f>
        <v>-11.140999999999998</v>
      </c>
      <c r="J10" s="23">
        <f>J8+J9</f>
        <v>-19.164</v>
      </c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0.148</v>
      </c>
      <c r="E11" s="23" t="n">
        <v>-0.15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0.018</v>
      </c>
    </row>
    <row r="12">
      <c r="A12" s="2" t="inlineStr">
        <is>
          <t>Net Income</t>
        </is>
      </c>
      <c r="B12" s="23" t="n">
        <v>-6.58</v>
      </c>
      <c r="C12" s="23" t="n">
        <v>-7.502</v>
      </c>
      <c r="D12" s="23" t="n">
        <v>-12.154</v>
      </c>
      <c r="E12" s="23" t="n">
        <v>-10.865</v>
      </c>
      <c r="F12" s="23" t="n">
        <v>-8.675000000000001</v>
      </c>
      <c r="G12" s="23" t="n">
        <v>-10.462</v>
      </c>
      <c r="H12" s="23" t="n">
        <v>5.269</v>
      </c>
      <c r="I12" s="23" t="n">
        <v>-11.141</v>
      </c>
      <c r="J12" s="23" t="n">
        <v>-19.182</v>
      </c>
      <c r="K12" s="1" t="n"/>
    </row>
    <row r="13">
      <c r="A13" s="2" t="inlineStr">
        <is>
          <t>Earnings per Share</t>
        </is>
      </c>
      <c r="B13" s="11">
        <f>IFERROR(B12/B14,0)</f>
        <v>-1.1066263033972419</v>
      </c>
      <c r="C13" s="11">
        <f>IFERROR(C12/C14,0)</f>
        <v>-1.1073062730627306</v>
      </c>
      <c r="D13" s="11">
        <f>IFERROR(D12/D14,0)</f>
        <v>-1.6805862831858407</v>
      </c>
      <c r="E13" s="11">
        <f>IFERROR(E12/E14,0)</f>
        <v>-1.4865234642221918</v>
      </c>
      <c r="F13" s="11">
        <f>IFERROR(F12/F14,0)</f>
        <v>-1.1801115494490546</v>
      </c>
      <c r="G13" s="11">
        <f>IFERROR(G12/G14,0)</f>
        <v>-1.4232077268398857</v>
      </c>
      <c r="H13" s="11">
        <f>IFERROR(H12/H14,0)</f>
        <v>0.7167732281322269</v>
      </c>
      <c r="I13" s="11">
        <f>IFERROR(I12/I14,0)</f>
        <v>-1.5139285228971329</v>
      </c>
      <c r="J13" s="11">
        <f>IFERROR(J12/J14,0)</f>
        <v>-1.8824337585868498</v>
      </c>
    </row>
    <row r="14">
      <c r="A14" s="2" t="inlineStr">
        <is>
          <t>Shares</t>
        </is>
      </c>
      <c r="B14" s="23" t="n">
        <v>5.946</v>
      </c>
      <c r="C14" s="23" t="n">
        <v>6.775</v>
      </c>
      <c r="D14" s="23" t="n">
        <v>7.232</v>
      </c>
      <c r="E14" s="23" t="n">
        <v>7.309</v>
      </c>
      <c r="F14" s="23" t="n">
        <v>7.351</v>
      </c>
      <c r="G14" s="23" t="n">
        <v>7.351</v>
      </c>
      <c r="H14" s="23" t="n">
        <v>7.351</v>
      </c>
      <c r="I14" s="23" t="n">
        <v>7.359</v>
      </c>
      <c r="J14" s="23" t="n">
        <v>10.19</v>
      </c>
    </row>
    <row r="15"/>
    <row r="16" customFormat="1" s="4">
      <c r="A16" s="3" t="inlineStr">
        <is>
          <t>Revenue Change</t>
        </is>
      </c>
      <c r="C16" s="15">
        <f>IFERROR(C2/B2-1,"")</f>
        <v>-0.005698005698005715</v>
      </c>
      <c r="D16" s="15">
        <f>IFERROR(D2/C2-1,"")</f>
        <v>0.23782234957020054</v>
      </c>
      <c r="E16" s="15">
        <f>IFERROR(E2/D2-1,"")</f>
        <v>-0.791087962962963</v>
      </c>
      <c r="F16" s="15">
        <f>IFERROR(F2/E2-1,"")</f>
        <v>-0.6011080332409973</v>
      </c>
      <c r="G16" s="15">
        <f>IFERROR(G2/F2-1,"")</f>
        <v>-0.7638888888888888</v>
      </c>
      <c r="H16" s="15">
        <f>IFERROR(H2/G2-1,"")</f>
        <v>91.73529411764706</v>
      </c>
      <c r="I16" s="15">
        <f>IFERROR(I2/H2-1,"")</f>
        <v>-0.9822391373295274</v>
      </c>
      <c r="J16" s="15">
        <f>IFERROR(J2/I2-1,"")</f>
        <v>1.3214285714285716</v>
      </c>
      <c r="K16" s="4" t="n"/>
    </row>
    <row r="17" customFormat="1" s="4">
      <c r="A17" s="3" t="inlineStr">
        <is>
          <t>Gross Margin</t>
        </is>
      </c>
      <c r="B17" s="15">
        <f>IFERROR(B4/B2,"")</f>
        <v>0.8803418803418804</v>
      </c>
      <c r="C17" s="15">
        <f>IFERROR(C4/C2,"")</f>
        <v>0.7392550143266476</v>
      </c>
      <c r="D17" s="15">
        <f>IFERROR(D4/D2,"")</f>
        <v>0.8587962962962963</v>
      </c>
      <c r="E17" s="15">
        <f>IFERROR(E4/E2,"")</f>
        <v>0.92797783933518</v>
      </c>
      <c r="F17" s="15">
        <f>IFERROR(F4/F2,"")</f>
        <v>0.8680555555555556</v>
      </c>
      <c r="G17" s="15">
        <f>IFERROR(G4/G2,"")</f>
        <v>0.6176470588235295</v>
      </c>
      <c r="H17" s="15">
        <f>IFERROR(H4/H2,"")</f>
        <v>0.987313669521091</v>
      </c>
      <c r="I17" s="15">
        <f>IFERROR(I4/I2,"")</f>
        <v>1.0</v>
      </c>
      <c r="J17" s="15">
        <f>IFERROR(J4/J2,"")</f>
        <v>1.0</v>
      </c>
      <c r="K17" s="4" t="n"/>
    </row>
    <row r="18">
      <c r="A18" s="14" t="inlineStr">
        <is>
          <t>Operating Margin</t>
        </is>
      </c>
      <c r="B18" s="15">
        <f>IFERROR(B8/B2,"")</f>
        <v>-4.745726495726497</v>
      </c>
      <c r="C18" s="15">
        <f>IFERROR(C8/C2,"")</f>
        <v>-8.05515759312321</v>
      </c>
      <c r="D18" s="15">
        <f>IFERROR(D8/D2,"")</f>
        <v>-7.267939814814815</v>
      </c>
      <c r="E18" s="15">
        <f>IFERROR(E8/E2,"")</f>
        <v>-27.97783933518006</v>
      </c>
      <c r="F18" s="15">
        <f>IFERROR(F8/F2,"")</f>
        <v>-55.09027777777778</v>
      </c>
      <c r="G18" s="15">
        <f>IFERROR(G8/G2,"")</f>
        <v>-205.14705882352942</v>
      </c>
      <c r="H18" s="15">
        <f>IFERROR(H8/H2,"")</f>
        <v>-0.9923882017126546</v>
      </c>
      <c r="I18" s="15">
        <f>IFERROR(I8/I2,"")</f>
        <v>-304.4285714285714</v>
      </c>
      <c r="J18" s="15">
        <f>IFERROR(J8/J2,"")</f>
        <v>-184.7846153846154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2026-10-21T01:06:14Z</dcterms:modified>
  <cp:lastModifiedBy>Wang, Eric</cp:lastModifiedBy>
</cp:coreProperties>
</file>