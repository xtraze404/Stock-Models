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Serina Therapeutics, Inc.</t>
        </is>
      </c>
      <c r="C2" s="10" t="n"/>
    </row>
    <row r="3">
      <c r="B3" t="inlineStr">
        <is>
          <t>Price</t>
        </is>
      </c>
      <c r="C3" s="11">
        <f>INDEX([1]Pharma!$F$1:$F$1000,MATCH("SER",[1]Pharma!$B$1:$B$1000,0))</f>
        <v>1.66</v>
      </c>
      <c r="F3" s="1" t="n"/>
    </row>
    <row r="4">
      <c r="B4" t="inlineStr">
        <is>
          <t>Shares</t>
        </is>
      </c>
      <c r="C4" s="21" t="n">
        <v>25.400473</v>
      </c>
      <c r="F4" s="1" t="n"/>
    </row>
    <row r="5">
      <c r="B5" t="inlineStr">
        <is>
          <t>Market Cap.</t>
        </is>
      </c>
      <c r="C5" s="13">
        <f>C3*C4</f>
        <v>42.16478518</v>
      </c>
      <c r="F5" s="1" t="n"/>
    </row>
    <row r="6"/>
    <row r="7">
      <c r="B7" t="inlineStr">
        <is>
          <t>Cash</t>
        </is>
      </c>
      <c r="C7" s="21" t="n">
        <v>23.024</v>
      </c>
    </row>
    <row r="8">
      <c r="B8" t="inlineStr">
        <is>
          <t>Debt</t>
        </is>
      </c>
      <c r="C8" s="21" t="n">
        <v>3.087</v>
      </c>
    </row>
    <row r="9">
      <c r="B9" t="inlineStr">
        <is>
          <t>Enterprise V.</t>
        </is>
      </c>
      <c r="C9" s="13">
        <f>C5-C7+C8</f>
        <v>22.22778518</v>
      </c>
    </row>
    <row r="10"/>
    <row r="11">
      <c r="B11" s="14" t="inlineStr">
        <is>
          <t>rNPV / Share</t>
        </is>
      </c>
      <c r="C11" s="11">
        <f>NPV!B27</f>
        <v>0.6194909708192644</v>
      </c>
    </row>
    <row r="12">
      <c r="B12" s="14" t="inlineStr">
        <is>
          <t>Upside</t>
        </is>
      </c>
      <c r="C12" s="15">
        <f>IFERROR(C11/C3-1,"")</f>
        <v>-0.626812668181166</v>
      </c>
    </row>
    <row r="13">
      <c r="B13" s="14" t="inlineStr">
        <is>
          <t>Cash / Share</t>
        </is>
      </c>
      <c r="C13" s="11">
        <f>IFERROR((C7-C8)/C4,"")</f>
        <v>0.7849066432739265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-21.135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0.9433167731251478</v>
      </c>
    </row>
    <row r="19">
      <c r="B19" s="14" t="inlineStr">
        <is>
          <t>Implied Pipeline Value</t>
        </is>
      </c>
      <c r="C19" s="13">
        <f>C9</f>
        <v>22.22778518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1.404</v>
      </c>
      <c r="C2" s="23" t="n">
        <v>1.396</v>
      </c>
      <c r="D2" s="23" t="n">
        <v>1.728</v>
      </c>
      <c r="E2" s="23" t="n">
        <v>0.361</v>
      </c>
      <c r="F2" s="23" t="n">
        <v>0.144</v>
      </c>
      <c r="G2" s="23" t="n">
        <v>0.034</v>
      </c>
      <c r="H2" s="23" t="n">
        <v>3.153</v>
      </c>
      <c r="I2" s="23" t="n">
        <v>0.056</v>
      </c>
      <c r="J2" s="23" t="n">
        <v>0.13</v>
      </c>
      <c r="K2" s="1" t="n"/>
    </row>
    <row r="3" customFormat="1" s="1">
      <c r="A3" s="5" t="inlineStr">
        <is>
          <t>Cost of Sales</t>
        </is>
      </c>
      <c r="B3" s="23" t="n">
        <v>0.168</v>
      </c>
      <c r="C3" s="23" t="n">
        <v>0.364</v>
      </c>
      <c r="D3" s="23" t="n">
        <v>0.244</v>
      </c>
      <c r="E3" s="23" t="n">
        <v>0.026</v>
      </c>
      <c r="F3" s="23" t="n">
        <v>0.019</v>
      </c>
      <c r="G3" s="23" t="n">
        <v>0.013</v>
      </c>
      <c r="H3" s="23" t="n">
        <v>0.04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1.236</v>
      </c>
      <c r="C4" s="23">
        <f>C2-C3</f>
        <v>1.032</v>
      </c>
      <c r="D4" s="23">
        <f>D2-D3</f>
        <v>1.484</v>
      </c>
      <c r="E4" s="23">
        <f>E2-E3</f>
        <v>0.33499999999999996</v>
      </c>
      <c r="F4" s="23">
        <f>F2-F3</f>
        <v>0.12499999999999999</v>
      </c>
      <c r="G4" s="23">
        <f>G2-G3</f>
        <v>0.021000000000000005</v>
      </c>
      <c r="H4" s="23">
        <f>H2-H3</f>
        <v>3.113</v>
      </c>
      <c r="I4" s="23">
        <f>I2-I3</f>
        <v>0.056</v>
      </c>
      <c r="J4" s="23">
        <f>J2-J3</f>
        <v>0.13</v>
      </c>
      <c r="K4" s="1" t="n"/>
    </row>
    <row r="5">
      <c r="A5" s="2" t="inlineStr">
        <is>
          <t>Research &amp; Dev.</t>
        </is>
      </c>
      <c r="B5" s="23" t="n">
        <v>5.784</v>
      </c>
      <c r="C5" s="23" t="n">
        <v>5.83</v>
      </c>
      <c r="D5" s="23" t="n">
        <v>5.904</v>
      </c>
      <c r="E5" s="23" t="n">
        <v>3.714</v>
      </c>
      <c r="F5" s="23" t="n">
        <v>1.456</v>
      </c>
      <c r="G5" s="23" t="n">
        <v>1.025</v>
      </c>
      <c r="H5" s="23" t="n">
        <v>2.388</v>
      </c>
      <c r="I5" s="23" t="n">
        <v>7.48</v>
      </c>
      <c r="J5" s="23" t="n">
        <v>13.155</v>
      </c>
      <c r="K5" s="1" t="n"/>
    </row>
    <row r="6">
      <c r="A6" s="19" t="inlineStr">
        <is>
          <t>SG&amp;A &amp; Other</t>
        </is>
      </c>
      <c r="B6" s="23" t="n">
        <v>2.115</v>
      </c>
      <c r="C6" s="23" t="n">
        <v>6.447</v>
      </c>
      <c r="D6" s="23" t="n">
        <v>8.138999999999999</v>
      </c>
      <c r="E6" s="23" t="n">
        <v>6.721</v>
      </c>
      <c r="F6" s="23" t="n">
        <v>6.602</v>
      </c>
      <c r="G6" s="23" t="n">
        <v>5.971</v>
      </c>
      <c r="H6" s="23" t="n">
        <v>3.854</v>
      </c>
      <c r="I6" s="23" t="n">
        <v>9.624000000000001</v>
      </c>
      <c r="J6" s="23" t="n">
        <v>10.997</v>
      </c>
      <c r="K6" s="1" t="n"/>
    </row>
    <row r="7">
      <c r="A7" s="2" t="inlineStr">
        <is>
          <t>Operating Expense</t>
        </is>
      </c>
      <c r="B7" s="23">
        <f>SUM(B5:B6)</f>
        <v>7.899</v>
      </c>
      <c r="C7" s="23">
        <f>SUM(C5:C6)</f>
        <v>12.277000000000001</v>
      </c>
      <c r="D7" s="23">
        <f>SUM(D5:D6)</f>
        <v>14.043</v>
      </c>
      <c r="E7" s="23">
        <f>SUM(E5:E6)</f>
        <v>10.435</v>
      </c>
      <c r="F7" s="23">
        <f>SUM(F5:F6)</f>
        <v>8.058</v>
      </c>
      <c r="G7" s="23">
        <f>SUM(G5:G6)</f>
        <v>6.996</v>
      </c>
      <c r="H7" s="23">
        <f>SUM(H5:H6)</f>
        <v>6.242</v>
      </c>
      <c r="I7" s="23">
        <f>SUM(I5:I6)</f>
        <v>17.104</v>
      </c>
      <c r="J7" s="23">
        <f>SUM(J5:J6)</f>
        <v>24.152</v>
      </c>
      <c r="K7" s="1" t="n"/>
    </row>
    <row r="8">
      <c r="A8" s="2" t="inlineStr">
        <is>
          <t>Operating Income</t>
        </is>
      </c>
      <c r="B8" s="23">
        <f>B4-B7</f>
        <v>-6.663</v>
      </c>
      <c r="C8" s="23">
        <f>C4-C7</f>
        <v>-11.245000000000001</v>
      </c>
      <c r="D8" s="23">
        <f>D4-D7</f>
        <v>-12.559</v>
      </c>
      <c r="E8" s="23">
        <f>E4-E7</f>
        <v>-10.100000000000001</v>
      </c>
      <c r="F8" s="23">
        <f>F4-F7</f>
        <v>-7.933</v>
      </c>
      <c r="G8" s="23">
        <f>G4-G7</f>
        <v>-6.9750000000000005</v>
      </c>
      <c r="H8" s="23">
        <f>H4-H7</f>
        <v>-3.129</v>
      </c>
      <c r="I8" s="23">
        <f>I4-I7</f>
        <v>-17.048</v>
      </c>
      <c r="J8" s="23">
        <f>J4-J7</f>
        <v>-24.022000000000002</v>
      </c>
      <c r="K8" s="1" t="n"/>
    </row>
    <row r="9">
      <c r="A9" s="19" t="inlineStr">
        <is>
          <t>Interest &amp; Other</t>
        </is>
      </c>
      <c r="B9" s="23" t="n">
        <v>0.083</v>
      </c>
      <c r="C9" s="23" t="n">
        <v>3.743</v>
      </c>
      <c r="D9" s="23" t="n">
        <v>0.553</v>
      </c>
      <c r="E9" s="23" t="n">
        <v>-0.915</v>
      </c>
      <c r="F9" s="23" t="n">
        <v>-0.742</v>
      </c>
      <c r="G9" s="23" t="n">
        <v>-3.487</v>
      </c>
      <c r="H9" s="23" t="n">
        <v>8.398</v>
      </c>
      <c r="I9" s="23" t="n">
        <v>5.907</v>
      </c>
      <c r="J9" s="23" t="n">
        <v>4.858</v>
      </c>
    </row>
    <row r="10">
      <c r="A10" s="2" t="inlineStr">
        <is>
          <t>Pretax</t>
        </is>
      </c>
      <c r="B10" s="23">
        <f>B8+B9</f>
        <v>-6.58</v>
      </c>
      <c r="C10" s="23">
        <f>C8+C9</f>
        <v>-7.502000000000001</v>
      </c>
      <c r="D10" s="23">
        <f>D8+D9</f>
        <v>-12.005999999999998</v>
      </c>
      <c r="E10" s="23">
        <f>E8+E9</f>
        <v>-11.015</v>
      </c>
      <c r="F10" s="23">
        <f>F8+F9</f>
        <v>-8.675</v>
      </c>
      <c r="G10" s="23">
        <f>G8+G9</f>
        <v>-10.462</v>
      </c>
      <c r="H10" s="23">
        <f>H8+H9</f>
        <v>5.269</v>
      </c>
      <c r="I10" s="23">
        <f>I8+I9</f>
        <v>-11.140999999999998</v>
      </c>
      <c r="J10" s="23">
        <f>J8+J9</f>
        <v>-19.164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0.148</v>
      </c>
      <c r="E11" s="23" t="n">
        <v>-0.15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0.018</v>
      </c>
    </row>
    <row r="12">
      <c r="A12" s="2" t="inlineStr">
        <is>
          <t>Net Income</t>
        </is>
      </c>
      <c r="B12" s="23" t="n">
        <v>-6.58</v>
      </c>
      <c r="C12" s="23" t="n">
        <v>-7.502</v>
      </c>
      <c r="D12" s="23" t="n">
        <v>-12.154</v>
      </c>
      <c r="E12" s="23" t="n">
        <v>-10.865</v>
      </c>
      <c r="F12" s="23" t="n">
        <v>-8.675000000000001</v>
      </c>
      <c r="G12" s="23" t="n">
        <v>-10.462</v>
      </c>
      <c r="H12" s="23" t="n">
        <v>5.269</v>
      </c>
      <c r="I12" s="23" t="n">
        <v>-11.141</v>
      </c>
      <c r="J12" s="23" t="n">
        <v>-19.182</v>
      </c>
      <c r="K12" s="1" t="n"/>
    </row>
    <row r="13">
      <c r="A13" s="2" t="inlineStr">
        <is>
          <t>Earnings per Share</t>
        </is>
      </c>
      <c r="B13" s="11">
        <f>IFERROR(B12/B14,0)</f>
        <v>-1.1066263033972419</v>
      </c>
      <c r="C13" s="11">
        <f>IFERROR(C12/C14,0)</f>
        <v>-1.1073062730627306</v>
      </c>
      <c r="D13" s="11">
        <f>IFERROR(D12/D14,0)</f>
        <v>-1.6805862831858407</v>
      </c>
      <c r="E13" s="11">
        <f>IFERROR(E12/E14,0)</f>
        <v>-1.4865234642221918</v>
      </c>
      <c r="F13" s="11">
        <f>IFERROR(F12/F14,0)</f>
        <v>-1.1801115494490546</v>
      </c>
      <c r="G13" s="11">
        <f>IFERROR(G12/G14,0)</f>
        <v>-1.4232077268398857</v>
      </c>
      <c r="H13" s="11">
        <f>IFERROR(H12/H14,0)</f>
        <v>0.7167732281322269</v>
      </c>
      <c r="I13" s="11">
        <f>IFERROR(I12/I14,0)</f>
        <v>-1.5139285228971329</v>
      </c>
      <c r="J13" s="11">
        <f>IFERROR(J12/J14,0)</f>
        <v>-1.8824337585868498</v>
      </c>
    </row>
    <row r="14">
      <c r="A14" s="2" t="inlineStr">
        <is>
          <t>Shares</t>
        </is>
      </c>
      <c r="B14" s="23" t="n">
        <v>5.946</v>
      </c>
      <c r="C14" s="23" t="n">
        <v>6.775</v>
      </c>
      <c r="D14" s="23" t="n">
        <v>7.232</v>
      </c>
      <c r="E14" s="23" t="n">
        <v>7.309</v>
      </c>
      <c r="F14" s="23" t="n">
        <v>7.351</v>
      </c>
      <c r="G14" s="23" t="n">
        <v>7.351</v>
      </c>
      <c r="H14" s="23" t="n">
        <v>7.351</v>
      </c>
      <c r="I14" s="23" t="n">
        <v>7.359</v>
      </c>
      <c r="J14" s="23" t="n">
        <v>10.19</v>
      </c>
    </row>
    <row r="15"/>
    <row r="16" customFormat="1" s="4">
      <c r="A16" s="3" t="inlineStr">
        <is>
          <t>Revenue Change</t>
        </is>
      </c>
      <c r="C16" s="15">
        <f>IFERROR(C2/B2-1,"")</f>
        <v>-0.005698005698005715</v>
      </c>
      <c r="D16" s="15">
        <f>IFERROR(D2/C2-1,"")</f>
        <v>0.23782234957020054</v>
      </c>
      <c r="E16" s="15">
        <f>IFERROR(E2/D2-1,"")</f>
        <v>-0.791087962962963</v>
      </c>
      <c r="F16" s="15">
        <f>IFERROR(F2/E2-1,"")</f>
        <v>-0.6011080332409973</v>
      </c>
      <c r="G16" s="15">
        <f>IFERROR(G2/F2-1,"")</f>
        <v>-0.7638888888888888</v>
      </c>
      <c r="H16" s="15">
        <f>IFERROR(H2/G2-1,"")</f>
        <v>91.73529411764706</v>
      </c>
      <c r="I16" s="15">
        <f>IFERROR(I2/H2-1,"")</f>
        <v>-0.9822391373295274</v>
      </c>
      <c r="J16" s="15">
        <f>IFERROR(J2/I2-1,"")</f>
        <v>1.3214285714285716</v>
      </c>
      <c r="K16" s="4" t="n"/>
    </row>
    <row r="17" customFormat="1" s="4">
      <c r="A17" s="3" t="inlineStr">
        <is>
          <t>Gross Margin</t>
        </is>
      </c>
      <c r="B17" s="15">
        <f>IFERROR(B4/B2,"")</f>
        <v>0.8803418803418804</v>
      </c>
      <c r="C17" s="15">
        <f>IFERROR(C4/C2,"")</f>
        <v>0.7392550143266476</v>
      </c>
      <c r="D17" s="15">
        <f>IFERROR(D4/D2,"")</f>
        <v>0.8587962962962963</v>
      </c>
      <c r="E17" s="15">
        <f>IFERROR(E4/E2,"")</f>
        <v>0.92797783933518</v>
      </c>
      <c r="F17" s="15">
        <f>IFERROR(F4/F2,"")</f>
        <v>0.8680555555555556</v>
      </c>
      <c r="G17" s="15">
        <f>IFERROR(G4/G2,"")</f>
        <v>0.6176470588235295</v>
      </c>
      <c r="H17" s="15">
        <f>IFERROR(H4/H2,"")</f>
        <v>0.987313669521091</v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>-4.745726495726497</v>
      </c>
      <c r="C18" s="15">
        <f>IFERROR(C8/C2,"")</f>
        <v>-8.05515759312321</v>
      </c>
      <c r="D18" s="15">
        <f>IFERROR(D8/D2,"")</f>
        <v>-7.267939814814815</v>
      </c>
      <c r="E18" s="15">
        <f>IFERROR(E8/E2,"")</f>
        <v>-27.97783933518006</v>
      </c>
      <c r="F18" s="15">
        <f>IFERROR(F8/F2,"")</f>
        <v>-55.09027777777778</v>
      </c>
      <c r="G18" s="15">
        <f>IFERROR(G8/G2,"")</f>
        <v>-205.14705882352942</v>
      </c>
      <c r="H18" s="15">
        <f>IFERROR(H8/H2,"")</f>
        <v>-0.9923882017126546</v>
      </c>
      <c r="I18" s="15">
        <f>IFERROR(I8/I2,"")</f>
        <v>-304.4285714285714</v>
      </c>
      <c r="J18" s="15">
        <f>IFERROR(J8/J2,"")</f>
        <v>-184.7846153846154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Serina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0.05889999999999995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25.663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86.59999999999999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-4.201636321961489</v>
      </c>
      <c r="C29" s="42">
        <f>NPV!B25</f>
        <v>15.735363678038514</v>
      </c>
      <c r="D29" s="43">
        <f>NPV!B27</f>
        <v>0.6194909708192644</v>
      </c>
      <c r="E29" s="44">
        <f>NPV!B29</f>
        <v>-0.626812668181166</v>
      </c>
    </row>
    <row r="30">
      <c r="A30" s="45" t="n">
        <v>1</v>
      </c>
      <c r="B30" s="46">
        <f t="dataTable" ref="B30:E32" r1="B4"/>
        <v>-44.096334121415794</v>
      </c>
      <c r="C30" s="46">
        <v>-24.159334121415792</v>
      </c>
      <c r="D30" s="47">
        <v>-0.951137174548513</v>
      </c>
      <c r="E30" s="48">
        <v>-1.5729742015352488</v>
      </c>
    </row>
    <row r="31">
      <c r="A31" s="45" t="n">
        <v>2</v>
      </c>
      <c r="B31" s="46">
        <v>-4.201636321961489</v>
      </c>
      <c r="C31" s="46">
        <v>15.735363678038514</v>
      </c>
      <c r="D31" s="47">
        <v>0.6194909708192644</v>
      </c>
      <c r="E31" s="48">
        <v>-0.626812668181166</v>
      </c>
    </row>
    <row r="32">
      <c r="A32" s="45" t="n">
        <v>3</v>
      </c>
      <c r="B32" s="46">
        <v>60.48131293705535</v>
      </c>
      <c r="C32" s="46">
        <v>80.41831293705535</v>
      </c>
      <c r="D32" s="47">
        <v>3.1660163547763593</v>
      </c>
      <c r="E32" s="48">
        <v>0.907238767937566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0.6194909708192644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-1.27498700601086</v>
      </c>
      <c r="C37" s="47">
        <v>-0.8181123778668471</v>
      </c>
      <c r="D37" s="47">
        <v>-0.38547369719548596</v>
      </c>
      <c r="E37" s="47">
        <v>0.3960403213842903</v>
      </c>
      <c r="F37" s="47">
        <v>1.154441199107245</v>
      </c>
    </row>
    <row r="38">
      <c r="A38" s="50" t="n">
        <v>0.8</v>
      </c>
      <c r="B38" s="47">
        <v>-0.9881195825056452</v>
      </c>
      <c r="C38" s="47">
        <v>-0.40164044536089627</v>
      </c>
      <c r="D38" s="47">
        <v>0.12311368752554751</v>
      </c>
      <c r="E38" s="47">
        <v>1.1389652495859428</v>
      </c>
      <c r="F38" s="47">
        <v>2.1342497704778287</v>
      </c>
    </row>
    <row r="39">
      <c r="A39" s="50" t="n">
        <v>1</v>
      </c>
      <c r="B39" s="47">
        <v>-0.7012521590004298</v>
      </c>
      <c r="C39" s="47">
        <v>-0.022141607438800115</v>
      </c>
      <c r="D39" s="47">
        <v>0.6194909708192644</v>
      </c>
      <c r="E39" s="47">
        <v>1.870670641182447</v>
      </c>
      <c r="F39" s="47">
        <v>3.10303654480835</v>
      </c>
    </row>
    <row r="40">
      <c r="A40" s="50" t="n">
        <v>1.2</v>
      </c>
      <c r="B40" s="47">
        <v>-0.43399894640635767</v>
      </c>
      <c r="C40" s="47">
        <v>0.34907025409489</v>
      </c>
      <c r="D40" s="47">
        <v>1.1080133505433376</v>
      </c>
      <c r="E40" s="47">
        <v>2.5966564067662166</v>
      </c>
      <c r="F40" s="47">
        <v>4.070102992436896</v>
      </c>
    </row>
    <row r="41">
      <c r="A41" s="50" t="n">
        <v>1.4</v>
      </c>
      <c r="B41" s="47">
        <v>-0.18519335835176576</v>
      </c>
      <c r="C41" s="47">
        <v>0.7154813888141928</v>
      </c>
      <c r="D41" s="47">
        <v>1.591799588115021</v>
      </c>
      <c r="E41" s="47">
        <v>3.3184605492874373</v>
      </c>
      <c r="F41" s="47">
        <v>5.029453149339921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Serina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Parkinson's disease</t>
        </is>
      </c>
      <c r="C4" s="14" t="inlineStr">
        <is>
          <t>SER-214, SER-252 (PEOZ-apomorphine)</t>
        </is>
      </c>
      <c r="D4" s="14" t="inlineStr">
        <is>
          <t>Phase 1</t>
        </is>
      </c>
      <c r="E4" s="14" t="inlineStr">
        <is>
          <t>Neurology / area</t>
        </is>
      </c>
      <c r="F4" s="14" t="inlineStr">
        <is>
          <t>Owned</t>
        </is>
      </c>
      <c r="G4" s="40" t="n">
        <v>1500</v>
      </c>
      <c r="H4" s="27" t="n">
        <v>0.0589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77.36554437704687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8.835</v>
      </c>
      <c r="U4" s="23">
        <f>IF(U$3&lt;$I4,0,$G4*Assumptions!$E$11*INDEX(Assumptions!$B$24:$G$24,MIN(6,U$3-$I4+1))*IF(U$3&gt;$J4,(1-Assumptions!$B$26)^(U$3-$J4),1)*IF($H4&gt;=1,1,MIN(0.97,$H4*Assumptions!$E$12)))</f>
        <v>22.087500000000002</v>
      </c>
      <c r="V4" s="23">
        <f>IF(V$3&lt;$I4,0,$G4*Assumptions!$E$11*INDEX(Assumptions!$B$24:$G$24,MIN(6,V$3-$I4+1))*IF(V$3&gt;$J4,(1-Assumptions!$B$26)^(V$3-$J4),1)*IF($H4&gt;=1,1,MIN(0.97,$H4*Assumptions!$E$12)))</f>
        <v>39.7575</v>
      </c>
      <c r="W4" s="23">
        <f>IF(W$3&lt;$I4,0,$G4*Assumptions!$E$11*INDEX(Assumptions!$B$24:$G$24,MIN(6,W$3-$I4+1))*IF(W$3&gt;$J4,(1-Assumptions!$B$26)^(W$3-$J4),1)*IF($H4&gt;=1,1,MIN(0.97,$H4*Assumptions!$E$12)))</f>
        <v>57.4275</v>
      </c>
      <c r="X4" s="23">
        <f>IF(X$3&lt;$I4,0,$G4*Assumptions!$E$11*INDEX(Assumptions!$B$24:$G$24,MIN(6,X$3-$I4+1))*IF(X$3&gt;$J4,(1-Assumptions!$B$26)^(X$3-$J4),1)*IF($H4&gt;=1,1,MIN(0.97,$H4*Assumptions!$E$12)))</f>
        <v>75.0975</v>
      </c>
      <c r="Y4" s="23">
        <f>IF(Y$3&lt;$I4,0,$G4*Assumptions!$E$11*INDEX(Assumptions!$B$24:$G$24,MIN(6,Y$3-$I4+1))*IF(Y$3&gt;$J4,(1-Assumptions!$B$26)^(Y$3-$J4),1)*IF($H4&gt;=1,1,MIN(0.97,$H4*Assumptions!$E$12)))</f>
        <v>88.35000000000001</v>
      </c>
      <c r="Z4" s="23">
        <f>IF(Z$3&lt;$I4,0,$G4*Assumptions!$E$11*INDEX(Assumptions!$B$24:$G$24,MIN(6,Z$3-$I4+1))*IF(Z$3&gt;$J4,(1-Assumptions!$B$26)^(Z$3-$J4),1)*IF($H4&gt;=1,1,MIN(0.97,$H4*Assumptions!$E$12)))</f>
        <v>88.35000000000001</v>
      </c>
      <c r="AA4" s="23">
        <f>IF(AA$3&lt;$I4,0,$G4*Assumptions!$E$11*INDEX(Assumptions!$B$24:$G$24,MIN(6,AA$3-$I4+1))*IF(AA$3&gt;$J4,(1-Assumptions!$B$26)^(AA$3-$J4),1)*IF($H4&gt;=1,1,MIN(0.97,$H4*Assumptions!$E$12)))</f>
        <v>88.35000000000001</v>
      </c>
      <c r="AB4" s="23">
        <f>IF(AB$3&lt;$I4,0,$G4*Assumptions!$E$11*INDEX(Assumptions!$B$24:$G$24,MIN(6,AB$3-$I4+1))*IF(AB$3&gt;$J4,(1-Assumptions!$B$26)^(AB$3-$J4),1)*IF($H4&gt;=1,1,MIN(0.97,$H4*Assumptions!$E$12)))</f>
        <v>88.35000000000001</v>
      </c>
      <c r="AC4" s="23">
        <f>IF(AC$3&lt;$I4,0,$G4*Assumptions!$E$11*INDEX(Assumptions!$B$24:$G$24,MIN(6,AC$3-$I4+1))*IF(AC$3&gt;$J4,(1-Assumptions!$B$26)^(AC$3-$J4),1)*IF($H4&gt;=1,1,MIN(0.97,$H4*Assumptions!$E$12)))</f>
        <v>88.35000000000001</v>
      </c>
      <c r="AD4" s="23">
        <f>IF(AD$3&lt;$I4,0,$G4*Assumptions!$E$11*INDEX(Assumptions!$B$24:$G$24,MIN(6,AD$3-$I4+1))*IF(AD$3&gt;$J4,(1-Assumptions!$B$26)^(AD$3-$J4),1)*IF($H4&gt;=1,1,MIN(0.97,$H4*Assumptions!$E$12)))</f>
        <v>88.35000000000001</v>
      </c>
      <c r="AE4" s="23">
        <f>IF(AE$3&lt;$I4,0,$G4*Assumptions!$E$11*INDEX(Assumptions!$B$24:$G$24,MIN(6,AE$3-$I4+1))*IF(AE$3&gt;$J4,(1-Assumptions!$B$26)^(AE$3-$J4),1)*IF($H4&gt;=1,1,MIN(0.97,$H4*Assumptions!$E$12)))</f>
        <v>88.35000000000001</v>
      </c>
      <c r="AF4" s="23">
        <f>IF(AF$3&lt;$I4,0,$G4*Assumptions!$E$11*INDEX(Assumptions!$B$24:$G$24,MIN(6,AF$3-$I4+1))*IF(AF$3&gt;$J4,(1-Assumptions!$B$26)^(AF$3-$J4),1)*IF($H4&gt;=1,1,MIN(0.97,$H4*Assumptions!$E$12)))</f>
        <v>88.35000000000001</v>
      </c>
      <c r="AG4" s="35">
        <f>IF(F4="Owned",1-IF(H4&gt;=1,1,MIN(0.97,H4*Assumptions!$E$12)),1)</f>
        <v>0.9411</v>
      </c>
    </row>
    <row r="5">
      <c r="B5" s="24" t="inlineStr">
        <is>
          <t>Risked revenue</t>
        </is>
      </c>
      <c r="L5" s="54">
        <f>SUM(L4:L4)</f>
        <v>77.36554437704687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8.835</v>
      </c>
      <c r="U5" s="54">
        <f>SUM(U4:U4)</f>
        <v>22.087500000000002</v>
      </c>
      <c r="V5" s="54">
        <f>SUM(V4:V4)</f>
        <v>39.7575</v>
      </c>
      <c r="W5" s="54">
        <f>SUM(W4:W4)</f>
        <v>57.4275</v>
      </c>
      <c r="X5" s="54">
        <f>SUM(X4:X4)</f>
        <v>75.0975</v>
      </c>
      <c r="Y5" s="54">
        <f>SUM(Y4:Y4)</f>
        <v>88.35000000000001</v>
      </c>
      <c r="Z5" s="54">
        <f>SUM(Z4:Z4)</f>
        <v>88.35000000000001</v>
      </c>
      <c r="AA5" s="54">
        <f>SUM(AA4:AA4)</f>
        <v>88.35000000000001</v>
      </c>
      <c r="AB5" s="54">
        <f>SUM(AB4:AB4)</f>
        <v>88.35000000000001</v>
      </c>
      <c r="AC5" s="54">
        <f>SUM(AC4:AC4)</f>
        <v>88.35000000000001</v>
      </c>
      <c r="AD5" s="54">
        <f>SUM(AD4:AD4)</f>
        <v>88.35000000000001</v>
      </c>
      <c r="AE5" s="54">
        <f>SUM(AE4:AE4)</f>
        <v>88.35000000000001</v>
      </c>
      <c r="AF5" s="54">
        <f>SUM(AF4:AF4)</f>
        <v>88.35000000000001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3.5340000000000007</v>
      </c>
      <c r="U6" s="55">
        <f>SUMPRODUCT(U4:U4,$K$4:$K$4)</f>
        <v>8.835</v>
      </c>
      <c r="V6" s="55">
        <f>SUMPRODUCT(V4:V4,$K$4:$K$4)</f>
        <v>15.903</v>
      </c>
      <c r="W6" s="55">
        <f>SUMPRODUCT(W4:W4,$K$4:$K$4)</f>
        <v>22.971000000000004</v>
      </c>
      <c r="X6" s="55">
        <f>SUMPRODUCT(X4:X4,$K$4:$K$4)</f>
        <v>30.039</v>
      </c>
      <c r="Y6" s="55">
        <f>SUMPRODUCT(Y4:Y4,$K$4:$K$4)</f>
        <v>35.34</v>
      </c>
      <c r="Z6" s="55">
        <f>SUMPRODUCT(Z4:Z4,$K$4:$K$4)</f>
        <v>35.34</v>
      </c>
      <c r="AA6" s="55">
        <f>SUMPRODUCT(AA4:AA4,$K$4:$K$4)</f>
        <v>35.34</v>
      </c>
      <c r="AB6" s="55">
        <f>SUMPRODUCT(AB4:AB4,$K$4:$K$4)</f>
        <v>35.34</v>
      </c>
      <c r="AC6" s="55">
        <f>SUMPRODUCT(AC4:AC4,$K$4:$K$4)</f>
        <v>35.34</v>
      </c>
      <c r="AD6" s="55">
        <f>SUMPRODUCT(AD4:AD4,$K$4:$K$4)</f>
        <v>35.34</v>
      </c>
      <c r="AE6" s="55">
        <f>SUMPRODUCT(AE4:AE4,$K$4:$K$4)</f>
        <v>35.34</v>
      </c>
      <c r="AF6" s="55">
        <f>SUMPRODUCT(AF4:AF4,$K$4:$K$4)</f>
        <v>35.34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Serina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8.835</v>
      </c>
      <c r="K4" s="57">
        <f>Pipeline!U5</f>
        <v>22.087500000000002</v>
      </c>
      <c r="L4" s="57">
        <f>Pipeline!V5</f>
        <v>39.7575</v>
      </c>
      <c r="M4" s="57">
        <f>Pipeline!W5</f>
        <v>57.4275</v>
      </c>
      <c r="N4" s="57">
        <f>Pipeline!X5</f>
        <v>75.0975</v>
      </c>
      <c r="O4" s="57">
        <f>Pipeline!Y5</f>
        <v>88.35000000000001</v>
      </c>
      <c r="P4" s="57">
        <f>Pipeline!Z5</f>
        <v>88.35000000000001</v>
      </c>
      <c r="Q4" s="57">
        <f>Pipeline!AA5</f>
        <v>88.35000000000001</v>
      </c>
      <c r="R4" s="57">
        <f>Pipeline!AB5</f>
        <v>88.35000000000001</v>
      </c>
      <c r="S4" s="57">
        <f>Pipeline!AC5</f>
        <v>88.35000000000001</v>
      </c>
      <c r="T4" s="57">
        <f>Pipeline!AD5</f>
        <v>88.35000000000001</v>
      </c>
      <c r="U4" s="57">
        <f>Pipeline!AE5</f>
        <v>88.35000000000001</v>
      </c>
      <c r="V4" s="57">
        <f>Pipeline!AF5</f>
        <v>88.35000000000001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3.5340000000000007</v>
      </c>
      <c r="K5" s="57">
        <f>Pipeline!U6</f>
        <v>8.835</v>
      </c>
      <c r="L5" s="57">
        <f>Pipeline!V6</f>
        <v>15.903</v>
      </c>
      <c r="M5" s="57">
        <f>Pipeline!W6</f>
        <v>22.971000000000004</v>
      </c>
      <c r="N5" s="57">
        <f>Pipeline!X6</f>
        <v>30.039</v>
      </c>
      <c r="O5" s="57">
        <f>Pipeline!Y6</f>
        <v>35.34</v>
      </c>
      <c r="P5" s="57">
        <f>Pipeline!Z6</f>
        <v>35.34</v>
      </c>
      <c r="Q5" s="57">
        <f>Pipeline!AA6</f>
        <v>35.34</v>
      </c>
      <c r="R5" s="57">
        <f>Pipeline!AB6</f>
        <v>35.34</v>
      </c>
      <c r="S5" s="57">
        <f>Pipeline!AC6</f>
        <v>35.34</v>
      </c>
      <c r="T5" s="57">
        <f>Pipeline!AD6</f>
        <v>35.34</v>
      </c>
      <c r="U5" s="57">
        <f>Pipeline!AE6</f>
        <v>35.34</v>
      </c>
      <c r="V5" s="57">
        <f>Pipeline!AF6</f>
        <v>35.34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-25.663</v>
      </c>
      <c r="D6" s="23">
        <f>-IF(D3-2026&lt;Assumptions!$B$19,Assumptions!$B$18,Assumptions!$B$18*Assumptions!$B$20*Assumptions!$B$16)</f>
        <v>-25.663</v>
      </c>
      <c r="E6" s="23">
        <f>-IF(E3-2026&lt;Assumptions!$B$19,Assumptions!$B$18,Assumptions!$B$18*Assumptions!$B$20*Assumptions!$B$16)</f>
        <v>-25.663</v>
      </c>
      <c r="F6" s="23">
        <f>-IF(F3-2026&lt;Assumptions!$B$19,Assumptions!$B$18,Assumptions!$B$18*Assumptions!$B$20*Assumptions!$B$16)</f>
        <v>-25.663</v>
      </c>
      <c r="G6" s="23">
        <f>-IF(G3-2026&lt;Assumptions!$B$19,Assumptions!$B$18,Assumptions!$B$18*Assumptions!$B$20*Assumptions!$B$16)</f>
        <v>-0.4534652099999996</v>
      </c>
      <c r="H6" s="23">
        <f>-IF(H3-2026&lt;Assumptions!$B$19,Assumptions!$B$18,Assumptions!$B$18*Assumptions!$B$20*Assumptions!$B$16)</f>
        <v>-0.4534652099999996</v>
      </c>
      <c r="I6" s="23">
        <f>-IF(I3-2026&lt;Assumptions!$B$19,Assumptions!$B$18,Assumptions!$B$18*Assumptions!$B$20*Assumptions!$B$16)</f>
        <v>-0.4534652099999996</v>
      </c>
      <c r="J6" s="23">
        <f>-IF(J3-2026&lt;Assumptions!$B$19,Assumptions!$B$18,Assumptions!$B$18*Assumptions!$B$20*Assumptions!$B$16)</f>
        <v>-0.4534652099999996</v>
      </c>
      <c r="K6" s="23">
        <f>-IF(K3-2026&lt;Assumptions!$B$19,Assumptions!$B$18,Assumptions!$B$18*Assumptions!$B$20*Assumptions!$B$16)</f>
        <v>-0.4534652099999996</v>
      </c>
      <c r="L6" s="23">
        <f>-IF(L3-2026&lt;Assumptions!$B$19,Assumptions!$B$18,Assumptions!$B$18*Assumptions!$B$20*Assumptions!$B$16)</f>
        <v>-0.4534652099999996</v>
      </c>
      <c r="M6" s="23">
        <f>-IF(M3-2026&lt;Assumptions!$B$19,Assumptions!$B$18,Assumptions!$B$18*Assumptions!$B$20*Assumptions!$B$16)</f>
        <v>-0.4534652099999996</v>
      </c>
      <c r="N6" s="23">
        <f>-IF(N3-2026&lt;Assumptions!$B$19,Assumptions!$B$18,Assumptions!$B$18*Assumptions!$B$20*Assumptions!$B$16)</f>
        <v>-0.4534652099999996</v>
      </c>
      <c r="O6" s="23">
        <f>-IF(O3-2026&lt;Assumptions!$B$19,Assumptions!$B$18,Assumptions!$B$18*Assumptions!$B$20*Assumptions!$B$16)</f>
        <v>-0.4534652099999996</v>
      </c>
      <c r="P6" s="23">
        <f>-IF(P3-2026&lt;Assumptions!$B$19,Assumptions!$B$18,Assumptions!$B$18*Assumptions!$B$20*Assumptions!$B$16)</f>
        <v>-0.4534652099999996</v>
      </c>
      <c r="Q6" s="23">
        <f>-IF(Q3-2026&lt;Assumptions!$B$19,Assumptions!$B$18,Assumptions!$B$18*Assumptions!$B$20*Assumptions!$B$16)</f>
        <v>-0.4534652099999996</v>
      </c>
      <c r="R6" s="23">
        <f>-IF(R3-2026&lt;Assumptions!$B$19,Assumptions!$B$18,Assumptions!$B$18*Assumptions!$B$20*Assumptions!$B$16)</f>
        <v>-0.4534652099999996</v>
      </c>
      <c r="S6" s="23">
        <f>-IF(S3-2026&lt;Assumptions!$B$19,Assumptions!$B$18,Assumptions!$B$18*Assumptions!$B$20*Assumptions!$B$16)</f>
        <v>-0.4534652099999996</v>
      </c>
      <c r="T6" s="23">
        <f>-IF(T3-2026&lt;Assumptions!$B$19,Assumptions!$B$18,Assumptions!$B$18*Assumptions!$B$20*Assumptions!$B$16)</f>
        <v>-0.4534652099999996</v>
      </c>
      <c r="U6" s="23">
        <f>-IF(U3-2026&lt;Assumptions!$B$19,Assumptions!$B$18,Assumptions!$B$18*Assumptions!$B$20*Assumptions!$B$16)</f>
        <v>-0.4534652099999996</v>
      </c>
      <c r="V6" s="23">
        <f>-IF(V3-2026&lt;Assumptions!$B$19,Assumptions!$B$18,Assumptions!$B$18*Assumptions!$B$20*Assumptions!$B$16)</f>
        <v>-0.4534652099999996</v>
      </c>
    </row>
    <row r="7">
      <c r="A7" s="14" t="inlineStr">
        <is>
          <t>Pre-tax cash flow</t>
        </is>
      </c>
      <c r="C7" s="23">
        <f>C5+C6</f>
        <v>-25.663</v>
      </c>
      <c r="D7" s="23">
        <f>D5+D6</f>
        <v>-25.663</v>
      </c>
      <c r="E7" s="23">
        <f>E5+E6</f>
        <v>-25.663</v>
      </c>
      <c r="F7" s="23">
        <f>F5+F6</f>
        <v>-25.663</v>
      </c>
      <c r="G7" s="23">
        <f>G5+G6</f>
        <v>-0.4534652099999996</v>
      </c>
      <c r="H7" s="23">
        <f>H5+H6</f>
        <v>-0.4534652099999996</v>
      </c>
      <c r="I7" s="23">
        <f>I5+I6</f>
        <v>-0.4534652099999996</v>
      </c>
      <c r="J7" s="23">
        <f>J5+J6</f>
        <v>3.080534790000001</v>
      </c>
      <c r="K7" s="23">
        <f>K5+K6</f>
        <v>8.381534790000002</v>
      </c>
      <c r="L7" s="23">
        <f>L5+L6</f>
        <v>15.449534790000001</v>
      </c>
      <c r="M7" s="23">
        <f>M5+M6</f>
        <v>22.517534790000003</v>
      </c>
      <c r="N7" s="23">
        <f>N5+N6</f>
        <v>29.58553479</v>
      </c>
      <c r="O7" s="23">
        <f>O5+O6</f>
        <v>34.886534790000006</v>
      </c>
      <c r="P7" s="23">
        <f>P5+P6</f>
        <v>34.886534790000006</v>
      </c>
      <c r="Q7" s="23">
        <f>Q5+Q6</f>
        <v>34.886534790000006</v>
      </c>
      <c r="R7" s="23">
        <f>R5+R6</f>
        <v>34.886534790000006</v>
      </c>
      <c r="S7" s="23">
        <f>S5+S6</f>
        <v>34.886534790000006</v>
      </c>
      <c r="T7" s="23">
        <f>T5+T6</f>
        <v>34.886534790000006</v>
      </c>
      <c r="U7" s="23">
        <f>U5+U6</f>
        <v>34.886534790000006</v>
      </c>
      <c r="V7" s="23">
        <f>V5+V6</f>
        <v>34.886534790000006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3.080534790000001</v>
      </c>
      <c r="K8" s="23">
        <f>MIN(J17,MAX(0,K7))</f>
        <v>8.381534790000002</v>
      </c>
      <c r="L8" s="23">
        <f>MIN(K17,MAX(0,L7))</f>
        <v>15.449534790000001</v>
      </c>
      <c r="M8" s="23">
        <f>MIN(L17,MAX(0,M7))</f>
        <v>22.517534790000003</v>
      </c>
      <c r="N8" s="23">
        <f>MIN(M17,MAX(0,N7))</f>
        <v>29.58553479</v>
      </c>
      <c r="O8" s="23">
        <f>MIN(N17,MAX(0,O7))</f>
        <v>34.886534790000006</v>
      </c>
      <c r="P8" s="23">
        <f>MIN(O17,MAX(0,P7))</f>
        <v>34.886534790000006</v>
      </c>
      <c r="Q8" s="23">
        <f>MIN(P17,MAX(0,Q7))</f>
        <v>34.886534790000006</v>
      </c>
      <c r="R8" s="23">
        <f>MIN(Q17,MAX(0,R7))</f>
        <v>6.938117309999953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27.948417480000053</v>
      </c>
      <c r="S9" s="23">
        <f>MAX(0,S7)-S8</f>
        <v>34.886534790000006</v>
      </c>
      <c r="T9" s="23">
        <f>MAX(0,T7)-T8</f>
        <v>34.886534790000006</v>
      </c>
      <c r="U9" s="23">
        <f>MAX(0,U7)-U8</f>
        <v>34.886534790000006</v>
      </c>
      <c r="V9" s="23">
        <f>MAX(0,V7)-V8</f>
        <v>34.886534790000006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5.869167670800011</v>
      </c>
      <c r="S10" s="23">
        <f>S9*Assumptions!$E$15</f>
        <v>7.326172305900001</v>
      </c>
      <c r="T10" s="23">
        <f>T9*Assumptions!$E$15</f>
        <v>7.326172305900001</v>
      </c>
      <c r="U10" s="23">
        <f>U9*Assumptions!$E$15</f>
        <v>7.326172305900001</v>
      </c>
      <c r="V10" s="23">
        <f>V9*Assumptions!$E$15</f>
        <v>7.326172305900001</v>
      </c>
    </row>
    <row r="11">
      <c r="A11" s="24" t="inlineStr">
        <is>
          <t>Free cash flow</t>
        </is>
      </c>
      <c r="C11" s="55">
        <f>C7-C10</f>
        <v>-25.663</v>
      </c>
      <c r="D11" s="55">
        <f>D7-D10</f>
        <v>-25.663</v>
      </c>
      <c r="E11" s="55">
        <f>E7-E10</f>
        <v>-25.663</v>
      </c>
      <c r="F11" s="55">
        <f>F7-F10</f>
        <v>-25.663</v>
      </c>
      <c r="G11" s="55">
        <f>G7-G10</f>
        <v>-0.4534652099999996</v>
      </c>
      <c r="H11" s="55">
        <f>H7-H10</f>
        <v>-0.4534652099999996</v>
      </c>
      <c r="I11" s="55">
        <f>I7-I10</f>
        <v>-0.4534652099999996</v>
      </c>
      <c r="J11" s="55">
        <f>J7-J10</f>
        <v>3.080534790000001</v>
      </c>
      <c r="K11" s="55">
        <f>K7-K10</f>
        <v>8.381534790000002</v>
      </c>
      <c r="L11" s="55">
        <f>L7-L10</f>
        <v>15.449534790000001</v>
      </c>
      <c r="M11" s="55">
        <f>M7-M10</f>
        <v>22.517534790000003</v>
      </c>
      <c r="N11" s="55">
        <f>N7-N10</f>
        <v>29.58553479</v>
      </c>
      <c r="O11" s="55">
        <f>O7-O10</f>
        <v>34.886534790000006</v>
      </c>
      <c r="P11" s="55">
        <f>P7-P10</f>
        <v>34.886534790000006</v>
      </c>
      <c r="Q11" s="55">
        <f>Q7-Q10</f>
        <v>34.886534790000006</v>
      </c>
      <c r="R11" s="55">
        <f>R7-R10</f>
        <v>29.017367119199996</v>
      </c>
      <c r="S11" s="55">
        <f>S7-S10</f>
        <v>27.560362484100004</v>
      </c>
      <c r="T11" s="55">
        <f>T7-T10</f>
        <v>27.560362484100004</v>
      </c>
      <c r="U11" s="55">
        <f>U7-U10</f>
        <v>27.560362484100004</v>
      </c>
      <c r="V11" s="55">
        <f>V7-V10</f>
        <v>27.560362484100004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-12.57241530876325</v>
      </c>
      <c r="D16" s="55">
        <f>D11*D15</f>
        <v>-22.902748677008255</v>
      </c>
      <c r="E16" s="55">
        <f>E11*E15</f>
        <v>-20.448882747328796</v>
      </c>
      <c r="F16" s="55">
        <f>F11*F15</f>
        <v>-18.25793102440071</v>
      </c>
      <c r="G16" s="55">
        <f>G11*G15</f>
        <v>-0.28805146535817877</v>
      </c>
      <c r="H16" s="55">
        <f>H11*H15</f>
        <v>-0.2571888083555167</v>
      </c>
      <c r="I16" s="55">
        <f>I11*I15</f>
        <v>-0.22963286460313992</v>
      </c>
      <c r="J16" s="55">
        <f>J11*J15</f>
        <v>1.3928301694879528</v>
      </c>
      <c r="K16" s="55">
        <f>K11*K15</f>
        <v>3.3835887846547963</v>
      </c>
      <c r="L16" s="55">
        <f>L11*L15</f>
        <v>5.568669056585297</v>
      </c>
      <c r="M16" s="55">
        <f>M11*M15</f>
        <v>7.246675623482357</v>
      </c>
      <c r="N16" s="55">
        <f>N11*N15</f>
        <v>8.501183306772306</v>
      </c>
      <c r="O16" s="55">
        <f>O11*O15</f>
        <v>8.95034483710296</v>
      </c>
      <c r="P16" s="55">
        <f>P11*P15</f>
        <v>7.991379318841928</v>
      </c>
      <c r="Q16" s="55">
        <f>Q11*Q15</f>
        <v>7.135160106108865</v>
      </c>
      <c r="R16" s="55">
        <f>R11*R15</f>
        <v>5.298901790259187</v>
      </c>
      <c r="S16" s="55">
        <f>S11*S15</f>
        <v>4.493603702029657</v>
      </c>
      <c r="T16" s="55">
        <f>T11*T15</f>
        <v>4.012146162526479</v>
      </c>
      <c r="U16" s="55">
        <f>U11*U15</f>
        <v>3.5822733593986418</v>
      </c>
      <c r="V16" s="55">
        <f>V11*V15</f>
        <v>3.1984583566059297</v>
      </c>
    </row>
    <row r="17">
      <c r="A17" s="14" t="inlineStr">
        <is>
          <t>Tax-loss carryforward, end of year</t>
        </is>
      </c>
      <c r="C17" s="23">
        <f>Assumptions!$B$21-C8+MAX(0,-C7)</f>
        <v>112.26299999999999</v>
      </c>
      <c r="D17" s="23">
        <f>C17-D8+MAX(0,-D7)</f>
        <v>137.926</v>
      </c>
      <c r="E17" s="23">
        <f>D17-E8+MAX(0,-E7)</f>
        <v>163.589</v>
      </c>
      <c r="F17" s="23">
        <f>E17-F8+MAX(0,-F7)</f>
        <v>189.252</v>
      </c>
      <c r="G17" s="23">
        <f>F17-G8+MAX(0,-G7)</f>
        <v>189.70546521</v>
      </c>
      <c r="H17" s="23">
        <f>G17-H8+MAX(0,-H7)</f>
        <v>190.15893042</v>
      </c>
      <c r="I17" s="23">
        <f>H17-I8+MAX(0,-I7)</f>
        <v>190.61239562999998</v>
      </c>
      <c r="J17" s="23">
        <f>I17-J8+MAX(0,-J7)</f>
        <v>187.53186083999998</v>
      </c>
      <c r="K17" s="23">
        <f>J17-K8+MAX(0,-K7)</f>
        <v>179.15032605</v>
      </c>
      <c r="L17" s="23">
        <f>K17-L8+MAX(0,-L7)</f>
        <v>163.70079126</v>
      </c>
      <c r="M17" s="23">
        <f>L17-M8+MAX(0,-M7)</f>
        <v>141.18325646999998</v>
      </c>
      <c r="N17" s="23">
        <f>M17-N8+MAX(0,-N7)</f>
        <v>111.59772167999998</v>
      </c>
      <c r="O17" s="23">
        <f>N17-O8+MAX(0,-O7)</f>
        <v>76.71118688999996</v>
      </c>
      <c r="P17" s="23">
        <f>O17-P8+MAX(0,-P7)</f>
        <v>41.82465209999996</v>
      </c>
      <c r="Q17" s="23">
        <f>P17-Q8+MAX(0,-Q7)</f>
        <v>6.938117309999953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77.36554437704687</v>
      </c>
    </row>
    <row r="20">
      <c r="A20" s="14" t="inlineStr">
        <is>
          <t>PV of corporate burn</t>
        </is>
      </c>
      <c r="B20" s="23">
        <f>SUMPRODUCT(C6:V6,C15:V15)</f>
        <v>-76.43190871940558</v>
      </c>
    </row>
    <row r="21">
      <c r="A21" s="14" t="inlineStr">
        <is>
          <t>PV of taxes</t>
        </is>
      </c>
      <c r="B21" s="23">
        <f>-SUMPRODUCT(C10:V10,C15:V15)</f>
        <v>-5.135271979602793</v>
      </c>
    </row>
    <row r="22">
      <c r="A22" s="24" t="inlineStr">
        <is>
          <t>Pipeline rNPV (operations)</t>
        </is>
      </c>
      <c r="B22" s="54">
        <f>SUM(C16:V16)</f>
        <v>-4.201636321961489</v>
      </c>
    </row>
    <row r="23">
      <c r="A23" s="14" t="inlineStr">
        <is>
          <t>Cash &amp; investments</t>
        </is>
      </c>
      <c r="B23" s="57">
        <f>Main!C7</f>
        <v>23.024</v>
      </c>
    </row>
    <row r="24">
      <c r="A24" s="14" t="inlineStr">
        <is>
          <t>Debt</t>
        </is>
      </c>
      <c r="B24" s="57">
        <f>Main!C8</f>
        <v>3.087</v>
      </c>
    </row>
    <row r="25">
      <c r="A25" s="24" t="inlineStr">
        <is>
          <t>Equity value</t>
        </is>
      </c>
      <c r="B25" s="54">
        <f>B22+B23-B24</f>
        <v>15.735363678038514</v>
      </c>
    </row>
    <row r="26">
      <c r="A26" s="14" t="inlineStr">
        <is>
          <t>Shares (mm)</t>
        </is>
      </c>
      <c r="B26" s="57">
        <f>Main!C4</f>
        <v>25.400473</v>
      </c>
    </row>
    <row r="27">
      <c r="A27" s="24" t="inlineStr">
        <is>
          <t>rNPV / share</t>
        </is>
      </c>
      <c r="B27" s="60">
        <f>B25/B26</f>
        <v>0.6194909708192644</v>
      </c>
    </row>
    <row r="28">
      <c r="A28" s="14" t="inlineStr">
        <is>
          <t>Price</t>
        </is>
      </c>
      <c r="B28" s="61">
        <f>Main!C3</f>
        <v>1.66</v>
      </c>
    </row>
    <row r="29">
      <c r="A29" s="14" t="inlineStr">
        <is>
          <t>Upside</t>
        </is>
      </c>
      <c r="B29" s="62">
        <f>B27/B28-1</f>
        <v>-0.626812668181166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2026-10-21T06:29:26Z</dcterms:modified>
  <cp:lastModifiedBy>Wang, Eric</cp:lastModifiedBy>
</cp:coreProperties>
</file>