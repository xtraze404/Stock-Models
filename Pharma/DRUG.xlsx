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Bright Minds Biosciences Inc.</t>
        </is>
      </c>
      <c r="C2" s="10" t="n"/>
    </row>
    <row r="3">
      <c r="B3" t="inlineStr">
        <is>
          <t>Price</t>
        </is>
      </c>
      <c r="C3" s="11">
        <f>INDEX([1]Pharma!$F$1:$F$1000,MATCH("DRUG",[1]Pharma!$B$1:$B$1000,0))</f>
        <v>55.2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-1.307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0.251</v>
      </c>
      <c r="C5" s="23" t="n">
        <v>4.459</v>
      </c>
      <c r="D5" s="23" t="n">
        <v>8.602</v>
      </c>
      <c r="E5" s="23" t="n">
        <v>3.531</v>
      </c>
      <c r="F5" s="23" t="n">
        <v>0.833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</v>
      </c>
      <c r="C6" s="23" t="n">
        <v>0</v>
      </c>
      <c r="D6" s="23" t="n">
        <v>0</v>
      </c>
      <c r="E6" s="23" t="n">
        <v>0</v>
      </c>
      <c r="F6" s="23" t="n">
        <v>0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0.251</v>
      </c>
      <c r="C7" s="23">
        <f>SUM(C5:C6)</f>
        <v>4.459</v>
      </c>
      <c r="D7" s="23">
        <f>SUM(D5:D6)</f>
        <v>8.602</v>
      </c>
      <c r="E7" s="23">
        <f>SUM(E5:E6)</f>
        <v>3.531</v>
      </c>
      <c r="F7" s="23">
        <f>SUM(F5:F6)</f>
        <v>0.833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-0.251</v>
      </c>
      <c r="C8" s="23">
        <f>C4-C7</f>
        <v>-4.459</v>
      </c>
      <c r="D8" s="23">
        <f>D4-D7</f>
        <v>-8.602</v>
      </c>
      <c r="E8" s="23">
        <f>E4-E7</f>
        <v>-3.531</v>
      </c>
      <c r="F8" s="23">
        <f>F4-F7</f>
        <v>-0.833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-0.089</v>
      </c>
      <c r="C9" s="23" t="n">
        <v>-1.65</v>
      </c>
      <c r="D9" s="23" t="n">
        <v>-1.966</v>
      </c>
      <c r="E9" s="23" t="n">
        <v>-1.675</v>
      </c>
      <c r="F9" s="23" t="n">
        <v>-1.145</v>
      </c>
    </row>
    <row r="10">
      <c r="A10" s="2" t="inlineStr">
        <is>
          <t>Pretax</t>
        </is>
      </c>
      <c r="B10" s="23">
        <f>B8+B9</f>
        <v>-0.33999999999999997</v>
      </c>
      <c r="C10" s="23">
        <f>C8+C9</f>
        <v>-6.109</v>
      </c>
      <c r="D10" s="23">
        <f>D8+D9</f>
        <v>-10.568</v>
      </c>
      <c r="E10" s="23">
        <f>E8+E9</f>
        <v>-5.206</v>
      </c>
      <c r="F10" s="23">
        <f>F8+F9</f>
        <v>-1.978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-0.339</v>
      </c>
      <c r="C12" s="23" t="n">
        <v>-6.109</v>
      </c>
      <c r="D12" s="23" t="n">
        <v>-10.568</v>
      </c>
      <c r="E12" s="23" t="n">
        <v>-5.206</v>
      </c>
      <c r="F12" s="23" t="n">
        <v>-1.979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-0.1877076411960133</v>
      </c>
      <c r="C13" s="11">
        <f>IFERROR(C12/C14,0)</f>
        <v>-3.4033426183844013</v>
      </c>
      <c r="D13" s="11">
        <f>IFERROR(D12/D14,0)</f>
        <v>-4.278542510121457</v>
      </c>
      <c r="E13" s="11">
        <f>IFERROR(E12/E14,0)</f>
        <v>-1.3994623655913978</v>
      </c>
      <c r="F13" s="11">
        <f>IFERROR(F12/F14,0)</f>
        <v>-0.45916473317865436</v>
      </c>
    </row>
    <row r="14">
      <c r="A14" s="2" t="inlineStr">
        <is>
          <t>Shares</t>
        </is>
      </c>
      <c r="B14" s="23" t="n">
        <v>1.806</v>
      </c>
      <c r="C14" s="23" t="n">
        <v>1.795</v>
      </c>
      <c r="D14" s="23" t="n">
        <v>2.47</v>
      </c>
      <c r="E14" s="23" t="n">
        <v>3.72</v>
      </c>
      <c r="F14" s="23" t="n">
        <v>4.31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2026-10-21T06:31:53Z</dcterms:modified>
  <cp:lastModifiedBy>Wang, Eric</cp:lastModifiedBy>
</cp:coreProperties>
</file>