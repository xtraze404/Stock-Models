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Century Therapeutics, Inc.</t>
        </is>
      </c>
      <c r="C2" s="10" t="n"/>
    </row>
    <row r="3">
      <c r="B3" t="inlineStr">
        <is>
          <t>Price</t>
        </is>
      </c>
      <c r="C3" s="11">
        <f>INDEX([1]Pharma!$F$1:$F$1000,MATCH("IPSC",[1]Pharma!$B$1:$B$1000,0))</f>
        <v>1.64</v>
      </c>
      <c r="F3" s="1" t="n"/>
    </row>
    <row r="4">
      <c r="B4" t="inlineStr">
        <is>
          <t>Shares</t>
        </is>
      </c>
      <c r="C4" s="21" t="n">
        <v>181.075321</v>
      </c>
      <c r="F4" s="1" t="n"/>
    </row>
    <row r="5">
      <c r="B5" t="inlineStr">
        <is>
          <t>Market Cap.</t>
        </is>
      </c>
      <c r="C5" s="13">
        <f>C3*C4</f>
        <v>296.96352644</v>
      </c>
      <c r="F5" s="1" t="n"/>
    </row>
    <row r="6"/>
    <row r="7">
      <c r="B7" t="inlineStr">
        <is>
          <t>Cash</t>
        </is>
      </c>
      <c r="C7" s="21">
        <f>49.642+70.07</f>
        <v>119.71199999999999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177.25152644000002</v>
      </c>
    </row>
    <row r="10"/>
    <row r="11">
      <c r="B11" s="14" t="inlineStr">
        <is>
          <t>Net Cash / Share</t>
        </is>
      </c>
      <c r="C11" s="11">
        <f>(C7-C8)/C4</f>
        <v>0.6611171491448025</v>
      </c>
    </row>
    <row r="12">
      <c r="B12" s="14" t="inlineStr">
        <is>
          <t>Upside</t>
        </is>
      </c>
      <c r="C12" s="15">
        <f>IFERROR(C11/C3-1,"")</f>
        <v>-0.5968797871068278</v>
      </c>
    </row>
    <row r="13">
      <c r="B13" s="14" t="inlineStr">
        <is>
          <t>Cash / Share</t>
        </is>
      </c>
      <c r="C13" s="11">
        <f>IFERROR((C7-C8)/C4,"")</f>
        <v>0.6611171491448025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-86.75700000000001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1.37985407517549</v>
      </c>
    </row>
    <row r="19">
      <c r="B19" s="14" t="inlineStr">
        <is>
          <t>Implied Pipeline Value</t>
        </is>
      </c>
      <c r="C19" s="13">
        <f>C9</f>
        <v>177.25152644000002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5.199</v>
      </c>
      <c r="E2" s="23" t="n">
        <v>2.235</v>
      </c>
      <c r="F2" s="23" t="n">
        <v>6.589</v>
      </c>
      <c r="G2" s="23" t="n">
        <v>109.164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5.199</v>
      </c>
      <c r="E4" s="23">
        <f>E2-E3</f>
        <v>2.235</v>
      </c>
      <c r="F4" s="23">
        <f>F2-F3</f>
        <v>6.589</v>
      </c>
      <c r="G4" s="23">
        <f>G2-G3</f>
        <v>109.164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39.681</v>
      </c>
      <c r="C5" s="23" t="n">
        <v>75.648</v>
      </c>
      <c r="D5" s="23" t="n">
        <v>97.173</v>
      </c>
      <c r="E5" s="23" t="n">
        <v>92.70999999999999</v>
      </c>
      <c r="F5" s="23" t="n">
        <v>107.244</v>
      </c>
      <c r="G5" s="23" t="n">
        <v>95.667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14.217</v>
      </c>
      <c r="C6" s="23" t="n">
        <v>19.235</v>
      </c>
      <c r="D6" s="23" t="n">
        <v>41.857</v>
      </c>
      <c r="E6" s="23" t="n">
        <v>56.071</v>
      </c>
      <c r="F6" s="23" t="n">
        <v>37.482</v>
      </c>
      <c r="G6" s="23" t="n">
        <v>30.766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53.897999999999996</v>
      </c>
      <c r="C7" s="23">
        <f>SUM(C5:C6)</f>
        <v>94.883</v>
      </c>
      <c r="D7" s="23">
        <f>SUM(D5:D6)</f>
        <v>139.03</v>
      </c>
      <c r="E7" s="23">
        <f>SUM(E5:E6)</f>
        <v>148.781</v>
      </c>
      <c r="F7" s="23">
        <f>SUM(F5:F6)</f>
        <v>144.726</v>
      </c>
      <c r="G7" s="23">
        <f>SUM(G5:G6)</f>
        <v>126.43299999999999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-53.897999999999996</v>
      </c>
      <c r="C8" s="23">
        <f>C4-C7</f>
        <v>-94.883</v>
      </c>
      <c r="D8" s="23">
        <f>D4-D7</f>
        <v>-133.831</v>
      </c>
      <c r="E8" s="23">
        <f>E4-E7</f>
        <v>-146.546</v>
      </c>
      <c r="F8" s="23">
        <f>F4-F7</f>
        <v>-138.137</v>
      </c>
      <c r="G8" s="23">
        <f>G4-G7</f>
        <v>-17.26899999999999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0.323</v>
      </c>
      <c r="C9" s="23" t="n">
        <v>-0.898</v>
      </c>
      <c r="D9" s="23" t="n">
        <v>2.99</v>
      </c>
      <c r="E9" s="23" t="n">
        <v>11.754</v>
      </c>
      <c r="F9" s="23" t="n">
        <v>13.361</v>
      </c>
      <c r="G9" s="23" t="n">
        <v>7.621</v>
      </c>
    </row>
    <row r="10">
      <c r="A10" s="2" t="inlineStr">
        <is>
          <t>Pretax</t>
        </is>
      </c>
      <c r="B10" s="23">
        <f>B8+B9</f>
        <v>-53.574999999999996</v>
      </c>
      <c r="C10" s="23">
        <f>C8+C9</f>
        <v>-95.78099999999999</v>
      </c>
      <c r="D10" s="23">
        <f>D8+D9</f>
        <v>-130.84099999999998</v>
      </c>
      <c r="E10" s="23">
        <f>E8+E9</f>
        <v>-134.792</v>
      </c>
      <c r="F10" s="23">
        <f>F8+F9</f>
        <v>-124.776</v>
      </c>
      <c r="G10" s="23">
        <f>G8+G9</f>
        <v>-9.64799999999999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0.043</v>
      </c>
      <c r="D11" s="23" t="n">
        <v>0.091</v>
      </c>
      <c r="E11" s="23" t="n">
        <v>1.881</v>
      </c>
      <c r="F11" s="23" t="n">
        <v>1.79</v>
      </c>
      <c r="G11" s="23" t="n">
        <v>-0.068</v>
      </c>
    </row>
    <row r="12">
      <c r="A12" s="2" t="inlineStr">
        <is>
          <t>Net Income</t>
        </is>
      </c>
      <c r="B12" s="23" t="n">
        <v>-53.575</v>
      </c>
      <c r="C12" s="23" t="n">
        <v>-95.824</v>
      </c>
      <c r="D12" s="23" t="n">
        <v>-130.932</v>
      </c>
      <c r="E12" s="23" t="n">
        <v>-136.673</v>
      </c>
      <c r="F12" s="23" t="n">
        <v>-126.566</v>
      </c>
      <c r="G12" s="23" t="n">
        <v>-9.58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-7.160518577920342</v>
      </c>
      <c r="C13" s="11">
        <f>IFERROR(C12/C14,0)</f>
        <v>-2.9581699749945973</v>
      </c>
      <c r="D13" s="11">
        <f>IFERROR(D12/D14,0)</f>
        <v>-4.041984379341216</v>
      </c>
      <c r="E13" s="11">
        <f>IFERROR(E12/E14,0)</f>
        <v>-2.304228344067168</v>
      </c>
      <c r="F13" s="11">
        <f>IFERROR(F12/F14,0)</f>
        <v>-1.6092512301491437</v>
      </c>
      <c r="G13" s="11">
        <f>IFERROR(G12/G14,0)</f>
        <v>-0.11067851242533822</v>
      </c>
    </row>
    <row r="14">
      <c r="A14" s="2" t="inlineStr">
        <is>
          <t>Shares</t>
        </is>
      </c>
      <c r="B14" s="23" t="n">
        <v>7.482</v>
      </c>
      <c r="C14" s="23" t="n">
        <v>32.393</v>
      </c>
      <c r="D14" s="23" t="n">
        <v>32.393</v>
      </c>
      <c r="E14" s="23" t="n">
        <v>59.314</v>
      </c>
      <c r="F14" s="23" t="n">
        <v>78.649</v>
      </c>
      <c r="G14" s="23" t="n">
        <v>86.557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-0.5701096364685516</v>
      </c>
      <c r="F16" s="15">
        <f>IFERROR(F2/E2-1,"")</f>
        <v>1.9480984340044745</v>
      </c>
      <c r="G16" s="15">
        <f>IFERROR(G2/F2-1,"")</f>
        <v>15.567612687813021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-25.74168109251779</v>
      </c>
      <c r="E18" s="15">
        <f>IFERROR(E8/E2,"")</f>
        <v>-65.56868008948545</v>
      </c>
      <c r="F18" s="15">
        <f>IFERROR(F8/F2,"")</f>
        <v>-20.96478980118379</v>
      </c>
      <c r="G18" s="15">
        <f>IFERROR(G8/G2,"")</f>
        <v>-0.15819317723791718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2026-10-21T01:05:29Z</dcterms:modified>
  <cp:lastModifiedBy>Wang, Eric</cp:lastModifiedBy>
</cp:coreProperties>
</file>